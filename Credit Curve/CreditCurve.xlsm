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holas Burgess\Documents\MY_DOCUMENTS\REPO\PUBLIC\QUANT RESEARCH\Credit Curve\"/>
    </mc:Choice>
  </mc:AlternateContent>
  <xr:revisionPtr revIDLastSave="0" documentId="13_ncr:1_{570431B0-4D42-424D-9FFD-49BD2B98CB22}" xr6:coauthVersionLast="47" xr6:coauthVersionMax="47" xr10:uidLastSave="{00000000-0000-0000-0000-000000000000}"/>
  <bookViews>
    <workbookView xWindow="-108" yWindow="-108" windowWidth="23256" windowHeight="12456" activeTab="1" xr2:uid="{240FB811-79B9-4413-B467-37154B088B69}"/>
  </bookViews>
  <sheets>
    <sheet name="Yield Curve" sheetId="2" r:id="rId1"/>
    <sheet name="Credit Curve" sheetId="1" r:id="rId2"/>
    <sheet name="CDS Price" sheetId="3" r:id="rId3"/>
  </sheets>
  <functionGroups builtInGroupCount="19"/>
  <definedNames>
    <definedName name="Calibration.HazardRates">'Credit Curve'!$K$4:$K$9</definedName>
    <definedName name="Calibration.Times">'Credit Curve'!$J$4:$J$9</definedName>
    <definedName name="CDS.BuySell">'CDS Price'!$D$3</definedName>
    <definedName name="CDS.CreditSpread">'CDS Price'!$D$12</definedName>
    <definedName name="CDS.Notional">'CDS Price'!$D$4</definedName>
    <definedName name="CDS.PremiumLegPV">'CDS Price'!$D$17</definedName>
    <definedName name="CDS.PremiumSign">'CDS Price'!$D$10</definedName>
    <definedName name="CDS.ProtectionSign">'CDS Price'!$D$11</definedName>
    <definedName name="CDS.RecoveryRate">'CDS Price'!$D$7</definedName>
    <definedName name="CDS.Spread">'CDS Price'!$D$5</definedName>
    <definedName name="CDS.Tenor">'CDS Price'!$D$6</definedName>
    <definedName name="CDS.YearFraction">'CDS Price'!$D$13</definedName>
    <definedName name="CreditName">'Credit Curve'!$D$3</definedName>
    <definedName name="Currency">'Credit Curve'!$D$4</definedName>
    <definedName name="DiscFactors10Y">'Credit Curve'!$S$5:$S$44</definedName>
    <definedName name="DiscFactors1Y">'Credit Curve'!$S$5:$S$8</definedName>
    <definedName name="DiscFactors2Y">'Credit Curve'!$S$5:$S$12</definedName>
    <definedName name="DiscFactors3Y">'Credit Curve'!$S$5:$S$16</definedName>
    <definedName name="DiscFactors4Y">'Credit Curve'!$S$5:$S$20</definedName>
    <definedName name="DiscFactors5Y">'Credit Curve'!$S$5:$S$24</definedName>
    <definedName name="Epsilon">'Credit Curve'!$H$23</definedName>
    <definedName name="Frequency">'Credit Curve'!$D$5</definedName>
    <definedName name="HazardRate10Y">'Credit Curve'!$K$9</definedName>
    <definedName name="HazardRate1Y">'Credit Curve'!$K$4</definedName>
    <definedName name="HazardRate2Y">'Credit Curve'!$K$5</definedName>
    <definedName name="HazardRate3Y">'Credit Curve'!$K$6</definedName>
    <definedName name="HazardRate4Y">'Credit Curve'!$K$7</definedName>
    <definedName name="HazardRate5Y">'Credit Curve'!$K$8</definedName>
    <definedName name="InterationResults">'Credit Curve'!$B$42:$L$47</definedName>
    <definedName name="InterationResults1">'Credit Curve'!$B$42:$B$47</definedName>
    <definedName name="IterationCount">'Credit Curve'!$B$25</definedName>
    <definedName name="LGD">'Credit Curve'!$D$9</definedName>
    <definedName name="Notional">'Credit Curve'!$D$6</definedName>
    <definedName name="PDefault10Y">'Credit Curve'!$R$5:$R$44</definedName>
    <definedName name="PDefault1Y">'Credit Curve'!$R$5:$R$8</definedName>
    <definedName name="PDefault2Y">'Credit Curve'!$R$5:$R$12</definedName>
    <definedName name="PDefault3Y">'Credit Curve'!$R$5:$R$16</definedName>
    <definedName name="PDefault4Y">'Credit Curve'!$R$5:$R$20</definedName>
    <definedName name="PDefault5Y">'Credit Curve'!$R$5:$R$24</definedName>
    <definedName name="Protection10Y">'Credit Curve'!$G$19</definedName>
    <definedName name="Protection1Y">'Credit Curve'!$G$14</definedName>
    <definedName name="Protection2Y">'Credit Curve'!$G$15</definedName>
    <definedName name="Protection3Y">'Credit Curve'!$G$16</definedName>
    <definedName name="Protection4Y">'Credit Curve'!$G$17</definedName>
    <definedName name="Protection5Y">'Credit Curve'!$G$18</definedName>
    <definedName name="PSurvival10Y">'Credit Curve'!$Q$5:$Q$44</definedName>
    <definedName name="PSurvival1Y">'Credit Curve'!$Q$5:$Q$8</definedName>
    <definedName name="PSurvival2Y">'Credit Curve'!$Q$5:$Q$12</definedName>
    <definedName name="PSurvival3Y">'Credit Curve'!$Q$5:$Q$16</definedName>
    <definedName name="PSurvival4Y">'Credit Curve'!$Q$5:$Q$20</definedName>
    <definedName name="PSurvival5Y">'Credit Curve'!$Q$5:$Q$24</definedName>
    <definedName name="RecoveryRate">'Credit Curve'!$D$7</definedName>
    <definedName name="RiskyAnnuity10Y">'Credit Curve'!$J$19</definedName>
    <definedName name="RiskyAnnuity1Y">'Credit Curve'!$J$14</definedName>
    <definedName name="RiskyAnnuity2Y">'Credit Curve'!$J$15</definedName>
    <definedName name="RiskyAnnuity3Y">'Credit Curve'!$J$16</definedName>
    <definedName name="RiskyAnnuity4Y">'Credit Curve'!$J$17</definedName>
    <definedName name="RiskyAnnuity5Y">'Credit Curve'!$J$18</definedName>
    <definedName name="ShiftSize">'Credit Curve'!$Y$48</definedName>
    <definedName name="ShowIterations">'Credit Curve'!$F$37</definedName>
    <definedName name="Tolerance">'Credit Curve'!$F$23</definedName>
    <definedName name="X0">'Credit Curve'!$F$27:$F$32</definedName>
    <definedName name="Xn">'Credit Curve'!$E$27:$E$32</definedName>
    <definedName name="XnPlus1">'Credit Curve'!$D$27:$D$32</definedName>
    <definedName name="YearFraction">'Credit Curve'!$D$8</definedName>
    <definedName name="ZeroRate">'Yield Curve'!$C$7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2" l="1"/>
  <c r="D10" i="3"/>
  <c r="W4" i="3"/>
  <c r="S4" i="3"/>
  <c r="R4" i="3"/>
  <c r="Q5" i="3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F5" i="3"/>
  <c r="D12" i="3"/>
  <c r="C53" i="1"/>
  <c r="D53" i="1"/>
  <c r="E53" i="1"/>
  <c r="F53" i="1"/>
  <c r="G53" i="1"/>
  <c r="D54" i="1"/>
  <c r="E54" i="1"/>
  <c r="F54" i="1"/>
  <c r="G54" i="1"/>
  <c r="E55" i="1"/>
  <c r="F55" i="1"/>
  <c r="G55" i="1"/>
  <c r="F56" i="1"/>
  <c r="G56" i="1"/>
  <c r="G57" i="1"/>
  <c r="X5" i="1"/>
  <c r="X6" i="1" s="1"/>
  <c r="X7" i="1" s="1"/>
  <c r="X8" i="1" s="1"/>
  <c r="X9" i="1" s="1"/>
  <c r="X10" i="1" s="1"/>
  <c r="X11" i="1" s="1"/>
  <c r="X12" i="1" s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K4" i="1"/>
  <c r="Y5" i="1" s="1"/>
  <c r="K5" i="1"/>
  <c r="AC6" i="1" s="1"/>
  <c r="K6" i="1"/>
  <c r="AS7" i="1" s="1"/>
  <c r="K7" i="1"/>
  <c r="AC8" i="1" s="1"/>
  <c r="K8" i="1"/>
  <c r="AK9" i="1" s="1"/>
  <c r="K9" i="1"/>
  <c r="AS10" i="1" s="1"/>
  <c r="H4" i="1"/>
  <c r="F27" i="1" s="1"/>
  <c r="H5" i="1"/>
  <c r="F28" i="1" s="1"/>
  <c r="H6" i="1"/>
  <c r="F29" i="1" s="1"/>
  <c r="H7" i="1"/>
  <c r="F30" i="1" s="1"/>
  <c r="H8" i="1"/>
  <c r="F31" i="1" s="1"/>
  <c r="H9" i="1"/>
  <c r="F32" i="1" s="1"/>
  <c r="D9" i="1"/>
  <c r="Z5" i="1" a="1"/>
  <c r="AT14" i="1" a="1"/>
  <c r="AT38" i="1" a="1"/>
  <c r="AT37" i="1" a="1"/>
  <c r="AT29" i="1" a="1"/>
  <c r="AT13" i="1" a="1"/>
  <c r="AL21" i="1" a="1"/>
  <c r="AT36" i="1" a="1"/>
  <c r="AT44" i="1" a="1"/>
  <c r="AT28" i="1" a="1"/>
  <c r="AT43" i="1" a="1"/>
  <c r="AT35" i="1" a="1"/>
  <c r="AT27" i="1" a="1"/>
  <c r="AT34" i="1" a="1"/>
  <c r="AT26" i="1" a="1"/>
  <c r="AT42" i="1" a="1"/>
  <c r="AT41" i="1" a="1"/>
  <c r="AT33" i="1" a="1"/>
  <c r="AT25" i="1" a="1"/>
  <c r="AT39" i="1" a="1"/>
  <c r="AT30" i="1" a="1"/>
  <c r="AL22" i="1" a="1"/>
  <c r="AT40" i="1" a="1"/>
  <c r="AT32" i="1" a="1"/>
  <c r="AT16" i="1" a="1"/>
  <c r="AL24" i="1" a="1"/>
  <c r="AT15" i="1" a="1"/>
  <c r="AL23" i="1" a="1"/>
  <c r="AT31" i="1" a="1"/>
  <c r="AD20" i="1" a="1"/>
  <c r="AD19" i="1" a="1"/>
  <c r="AD17" i="1" a="1"/>
  <c r="AD18" i="1" a="1"/>
  <c r="P4" i="1" a="1"/>
  <c r="F11" i="2" l="1"/>
  <c r="F13" i="2"/>
  <c r="F12" i="2"/>
  <c r="F10" i="2"/>
  <c r="F8" i="2"/>
  <c r="F9" i="2"/>
  <c r="F7" i="2"/>
  <c r="F16" i="2"/>
  <c r="F15" i="2"/>
  <c r="K5" i="3"/>
  <c r="V5" i="3"/>
  <c r="G5" i="3"/>
  <c r="F6" i="3"/>
  <c r="D11" i="3"/>
  <c r="R5" i="3" s="1"/>
  <c r="Z5" i="1"/>
  <c r="AG7" i="1"/>
  <c r="AK8" i="1"/>
  <c r="Y7" i="1"/>
  <c r="AO7" i="1"/>
  <c r="AO9" i="1"/>
  <c r="AT31" i="1"/>
  <c r="AL23" i="1"/>
  <c r="AT15" i="1"/>
  <c r="AL24" i="1"/>
  <c r="AT16" i="1"/>
  <c r="AT32" i="1"/>
  <c r="AT40" i="1"/>
  <c r="AL22" i="1"/>
  <c r="AT30" i="1"/>
  <c r="AT39" i="1"/>
  <c r="AT25" i="1"/>
  <c r="AT33" i="1"/>
  <c r="AT41" i="1"/>
  <c r="AT42" i="1"/>
  <c r="AT26" i="1"/>
  <c r="AT34" i="1"/>
  <c r="AT27" i="1"/>
  <c r="AT35" i="1"/>
  <c r="AT43" i="1"/>
  <c r="AT28" i="1"/>
  <c r="AT44" i="1"/>
  <c r="AT36" i="1"/>
  <c r="AL21" i="1"/>
  <c r="AT13" i="1"/>
  <c r="AT29" i="1"/>
  <c r="AT37" i="1"/>
  <c r="AT38" i="1"/>
  <c r="AT14" i="1"/>
  <c r="Y10" i="1"/>
  <c r="AC7" i="1"/>
  <c r="AC9" i="1"/>
  <c r="AS5" i="1"/>
  <c r="AD18" i="1"/>
  <c r="AD17" i="1"/>
  <c r="AD19" i="1"/>
  <c r="AD20" i="1"/>
  <c r="AG6" i="1"/>
  <c r="AS6" i="1"/>
  <c r="AO6" i="1"/>
  <c r="Y6" i="1"/>
  <c r="AK6" i="1"/>
  <c r="AG5" i="1"/>
  <c r="AO5" i="1"/>
  <c r="AK5" i="1"/>
  <c r="AC5" i="1"/>
  <c r="AG10" i="1"/>
  <c r="AO10" i="1"/>
  <c r="AK10" i="1"/>
  <c r="AC10" i="1"/>
  <c r="AK7" i="1"/>
  <c r="AG9" i="1"/>
  <c r="AS9" i="1"/>
  <c r="AS8" i="1"/>
  <c r="AG8" i="1"/>
  <c r="Y8" i="1"/>
  <c r="AO8" i="1"/>
  <c r="Y9" i="1"/>
  <c r="P4" i="1"/>
  <c r="C19" i="1"/>
  <c r="D19" i="1" s="1"/>
  <c r="C16" i="1"/>
  <c r="D16" i="1" s="1"/>
  <c r="C15" i="1"/>
  <c r="D15" i="1" s="1"/>
  <c r="C18" i="1"/>
  <c r="D18" i="1" s="1"/>
  <c r="C17" i="1"/>
  <c r="D17" i="1" s="1"/>
  <c r="C14" i="1"/>
  <c r="D14" i="1" s="1"/>
  <c r="O5" i="1"/>
  <c r="H5" i="3" a="1"/>
  <c r="S5" i="3" a="1"/>
  <c r="Z16" i="1" a="1"/>
  <c r="Z15" i="1" a="1"/>
  <c r="Z14" i="1" a="1"/>
  <c r="Z13" i="1" a="1"/>
  <c r="AP14" i="1" a="1"/>
  <c r="AP15" i="1" a="1"/>
  <c r="AP16" i="1" a="1"/>
  <c r="AP13" i="1" a="1"/>
  <c r="AL7" i="1" a="1"/>
  <c r="AL8" i="1" a="1"/>
  <c r="AL6" i="1" a="1"/>
  <c r="AL5" i="1" a="1"/>
  <c r="AD5" i="1" a="1"/>
  <c r="AD8" i="1" a="1"/>
  <c r="AD6" i="1" a="1"/>
  <c r="AD7" i="1" a="1"/>
  <c r="AH7" i="1" a="1"/>
  <c r="AH8" i="1" a="1"/>
  <c r="AH6" i="1" a="1"/>
  <c r="AH5" i="1" a="1"/>
  <c r="AP8" i="1" a="1"/>
  <c r="AP7" i="1" a="1"/>
  <c r="AP6" i="1" a="1"/>
  <c r="AP5" i="1" a="1"/>
  <c r="Z33" i="1" a="1"/>
  <c r="Z42" i="1" a="1"/>
  <c r="Z31" i="1" a="1"/>
  <c r="Z41" i="1" a="1"/>
  <c r="Z40" i="1" a="1"/>
  <c r="Z30" i="1" a="1"/>
  <c r="Z39" i="1" a="1"/>
  <c r="Z26" i="1" a="1"/>
  <c r="Z38" i="1" a="1"/>
  <c r="Z25" i="1" a="1"/>
  <c r="Z34" i="1" a="1"/>
  <c r="Z32" i="1" a="1"/>
  <c r="Z37" i="1" a="1"/>
  <c r="Z29" i="1" a="1"/>
  <c r="Z44" i="1" a="1"/>
  <c r="Z36" i="1" a="1"/>
  <c r="Z28" i="1" a="1"/>
  <c r="Z43" i="1" a="1"/>
  <c r="Z35" i="1" a="1"/>
  <c r="Z27" i="1" a="1"/>
  <c r="AH30" i="1" a="1"/>
  <c r="AH39" i="1" a="1"/>
  <c r="AH32" i="1" a="1"/>
  <c r="AH40" i="1" a="1"/>
  <c r="AH31" i="1" a="1"/>
  <c r="AH25" i="1" a="1"/>
  <c r="AH33" i="1" a="1"/>
  <c r="AH41" i="1" a="1"/>
  <c r="AH26" i="1" a="1"/>
  <c r="AH38" i="1" a="1"/>
  <c r="AH34" i="1" a="1"/>
  <c r="AH42" i="1" a="1"/>
  <c r="AH27" i="1" a="1"/>
  <c r="AH43" i="1" a="1"/>
  <c r="AH35" i="1" a="1"/>
  <c r="AH36" i="1" a="1"/>
  <c r="AH28" i="1" a="1"/>
  <c r="AH44" i="1" a="1"/>
  <c r="AH29" i="1" a="1"/>
  <c r="AH37" i="1" a="1"/>
  <c r="AL31" i="1" a="1"/>
  <c r="AL32" i="1" a="1"/>
  <c r="AL40" i="1" a="1"/>
  <c r="AL39" i="1" a="1"/>
  <c r="AL25" i="1" a="1"/>
  <c r="AL33" i="1" a="1"/>
  <c r="AL41" i="1" a="1"/>
  <c r="AL42" i="1" a="1"/>
  <c r="AL26" i="1" a="1"/>
  <c r="AL34" i="1" a="1"/>
  <c r="AL27" i="1" a="1"/>
  <c r="AL35" i="1" a="1"/>
  <c r="AL43" i="1" a="1"/>
  <c r="AL28" i="1" a="1"/>
  <c r="AL44" i="1" a="1"/>
  <c r="AL30" i="1" a="1"/>
  <c r="AL36" i="1" a="1"/>
  <c r="AL38" i="1" a="1"/>
  <c r="AL29" i="1" a="1"/>
  <c r="AL37" i="1" a="1"/>
  <c r="AD14" i="1" a="1"/>
  <c r="AD15" i="1" a="1"/>
  <c r="AD13" i="1" a="1"/>
  <c r="AD16" i="1" a="1"/>
  <c r="AD30" i="1" a="1"/>
  <c r="AD38" i="1" a="1"/>
  <c r="AD25" i="1" a="1"/>
  <c r="AD33" i="1" a="1"/>
  <c r="AD41" i="1" a="1"/>
  <c r="AD31" i="1" a="1"/>
  <c r="AD37" i="1" a="1"/>
  <c r="AD26" i="1" a="1"/>
  <c r="AD42" i="1" a="1"/>
  <c r="AD39" i="1" a="1"/>
  <c r="AD32" i="1" a="1"/>
  <c r="AD34" i="1" a="1"/>
  <c r="AD29" i="1" a="1"/>
  <c r="AD40" i="1" a="1"/>
  <c r="AD27" i="1" a="1"/>
  <c r="AD35" i="1" a="1"/>
  <c r="AD43" i="1" a="1"/>
  <c r="AD28" i="1" a="1"/>
  <c r="AD36" i="1" a="1"/>
  <c r="AD44" i="1" a="1"/>
  <c r="AL16" i="1" a="1"/>
  <c r="AL14" i="1" a="1"/>
  <c r="AL15" i="1" a="1"/>
  <c r="AL13" i="1" a="1"/>
  <c r="AT7" i="1" a="1"/>
  <c r="AT8" i="1" a="1"/>
  <c r="AT6" i="1" a="1"/>
  <c r="AT5" i="1" a="1"/>
  <c r="AP39" i="1" a="1"/>
  <c r="AP32" i="1" a="1"/>
  <c r="AP40" i="1" a="1"/>
  <c r="AP30" i="1" a="1"/>
  <c r="AP31" i="1" a="1"/>
  <c r="AP25" i="1" a="1"/>
  <c r="AP33" i="1" a="1"/>
  <c r="AP41" i="1" a="1"/>
  <c r="AP38" i="1" a="1"/>
  <c r="AP26" i="1" a="1"/>
  <c r="AP42" i="1" a="1"/>
  <c r="AP34" i="1" a="1"/>
  <c r="AP27" i="1" a="1"/>
  <c r="AP35" i="1" a="1"/>
  <c r="AP43" i="1" a="1"/>
  <c r="AP28" i="1" a="1"/>
  <c r="AP44" i="1" a="1"/>
  <c r="AP36" i="1" a="1"/>
  <c r="AP29" i="1" a="1"/>
  <c r="AP37" i="1" a="1"/>
  <c r="AT9" i="1" a="1"/>
  <c r="AT10" i="1" a="1"/>
  <c r="AT11" i="1" a="1"/>
  <c r="AT12" i="1" a="1"/>
  <c r="AL9" i="1" a="1"/>
  <c r="AL10" i="1" a="1"/>
  <c r="AL11" i="1" a="1"/>
  <c r="AL12" i="1" a="1"/>
  <c r="AL17" i="1" a="1"/>
  <c r="AL18" i="1" a="1"/>
  <c r="AL19" i="1" a="1"/>
  <c r="AL20" i="1" a="1"/>
  <c r="AH24" i="1" a="1"/>
  <c r="AH22" i="1" a="1"/>
  <c r="AH23" i="1" a="1"/>
  <c r="AH21" i="1" a="1"/>
  <c r="AH9" i="1" a="1"/>
  <c r="AH11" i="1" a="1"/>
  <c r="AH10" i="1" a="1"/>
  <c r="AH12" i="1" a="1"/>
  <c r="AH15" i="1" a="1"/>
  <c r="AH16" i="1" a="1"/>
  <c r="AH14" i="1" a="1"/>
  <c r="AH13" i="1" a="1"/>
  <c r="AP23" i="1" a="1"/>
  <c r="AP24" i="1" a="1"/>
  <c r="AP22" i="1" a="1"/>
  <c r="AP21" i="1" a="1"/>
  <c r="AD22" i="1" a="1"/>
  <c r="AD21" i="1" a="1"/>
  <c r="AD24" i="1" a="1"/>
  <c r="AD23" i="1" a="1"/>
  <c r="AD10" i="1" a="1"/>
  <c r="AD11" i="1" a="1"/>
  <c r="AD12" i="1" a="1"/>
  <c r="AD9" i="1" a="1"/>
  <c r="AT24" i="1" a="1"/>
  <c r="AT23" i="1" a="1"/>
  <c r="AT22" i="1" a="1"/>
  <c r="AT21" i="1" a="1"/>
  <c r="AT17" i="1" a="1"/>
  <c r="AT18" i="1" a="1"/>
  <c r="AT19" i="1" a="1"/>
  <c r="AT20" i="1" a="1"/>
  <c r="AH17" i="1" a="1"/>
  <c r="AH18" i="1" a="1"/>
  <c r="AH19" i="1" a="1"/>
  <c r="AH20" i="1" a="1"/>
  <c r="AP9" i="1" a="1"/>
  <c r="AP10" i="1" a="1"/>
  <c r="AP11" i="1" a="1"/>
  <c r="AP12" i="1" a="1"/>
  <c r="AP17" i="1" a="1"/>
  <c r="AP18" i="1" a="1"/>
  <c r="AP19" i="1" a="1"/>
  <c r="AP20" i="1" a="1"/>
  <c r="Z24" i="1" a="1"/>
  <c r="Z23" i="1" a="1"/>
  <c r="Z22" i="1" a="1"/>
  <c r="Z21" i="1" a="1"/>
  <c r="Z18" i="1" a="1"/>
  <c r="Z17" i="1" a="1"/>
  <c r="Z20" i="1" a="1"/>
  <c r="Z19" i="1" a="1"/>
  <c r="Z7" i="1" a="1"/>
  <c r="Z6" i="1" a="1"/>
  <c r="Z8" i="1" a="1"/>
  <c r="Z9" i="1" a="1"/>
  <c r="Z12" i="1" a="1"/>
  <c r="Z11" i="1" a="1"/>
  <c r="Z10" i="1" a="1"/>
  <c r="P5" i="1" a="1"/>
  <c r="S5" i="3" l="1"/>
  <c r="H5" i="3"/>
  <c r="K6" i="3"/>
  <c r="G6" i="3"/>
  <c r="V6" i="3"/>
  <c r="R6" i="3"/>
  <c r="F7" i="3"/>
  <c r="AP13" i="1"/>
  <c r="AP16" i="1"/>
  <c r="AP15" i="1"/>
  <c r="AP14" i="1"/>
  <c r="Z13" i="1"/>
  <c r="Z14" i="1"/>
  <c r="Z15" i="1"/>
  <c r="Z16" i="1"/>
  <c r="AP20" i="1"/>
  <c r="AP19" i="1"/>
  <c r="AP18" i="1"/>
  <c r="AP17" i="1"/>
  <c r="AP12" i="1"/>
  <c r="AP11" i="1"/>
  <c r="AP10" i="1"/>
  <c r="AP9" i="1"/>
  <c r="AH20" i="1"/>
  <c r="AH19" i="1"/>
  <c r="AH18" i="1"/>
  <c r="AH17" i="1"/>
  <c r="AT20" i="1"/>
  <c r="AT19" i="1"/>
  <c r="AT18" i="1"/>
  <c r="AT17" i="1"/>
  <c r="AT21" i="1"/>
  <c r="AT22" i="1"/>
  <c r="AT23" i="1"/>
  <c r="AT24" i="1"/>
  <c r="AD9" i="1"/>
  <c r="AD12" i="1"/>
  <c r="AD11" i="1"/>
  <c r="AD10" i="1"/>
  <c r="AD23" i="1"/>
  <c r="AD24" i="1"/>
  <c r="AD21" i="1"/>
  <c r="AD22" i="1"/>
  <c r="AP21" i="1"/>
  <c r="AP22" i="1"/>
  <c r="AP24" i="1"/>
  <c r="AP23" i="1"/>
  <c r="AH13" i="1"/>
  <c r="AH14" i="1"/>
  <c r="AH16" i="1"/>
  <c r="AH15" i="1"/>
  <c r="AH12" i="1"/>
  <c r="AH10" i="1"/>
  <c r="AH11" i="1"/>
  <c r="AH9" i="1"/>
  <c r="AH21" i="1"/>
  <c r="AH23" i="1"/>
  <c r="AH22" i="1"/>
  <c r="AH24" i="1"/>
  <c r="AL20" i="1"/>
  <c r="AL19" i="1"/>
  <c r="AL18" i="1"/>
  <c r="AL17" i="1"/>
  <c r="AL12" i="1"/>
  <c r="AL11" i="1"/>
  <c r="AL10" i="1"/>
  <c r="AL9" i="1"/>
  <c r="AT12" i="1"/>
  <c r="AT11" i="1"/>
  <c r="AT10" i="1"/>
  <c r="AT9" i="1"/>
  <c r="AP37" i="1"/>
  <c r="AP29" i="1"/>
  <c r="AP36" i="1"/>
  <c r="AP44" i="1"/>
  <c r="AP28" i="1"/>
  <c r="AP43" i="1"/>
  <c r="AP35" i="1"/>
  <c r="AP27" i="1"/>
  <c r="AP34" i="1"/>
  <c r="AP42" i="1"/>
  <c r="AP26" i="1"/>
  <c r="AP38" i="1"/>
  <c r="AP41" i="1"/>
  <c r="AP33" i="1"/>
  <c r="AP25" i="1"/>
  <c r="AP31" i="1"/>
  <c r="AP30" i="1"/>
  <c r="AP40" i="1"/>
  <c r="AP32" i="1"/>
  <c r="AP39" i="1"/>
  <c r="AT5" i="1"/>
  <c r="AU5" i="1" s="1"/>
  <c r="AT6" i="1"/>
  <c r="AT8" i="1"/>
  <c r="AT7" i="1"/>
  <c r="AL13" i="1"/>
  <c r="AL15" i="1"/>
  <c r="AL14" i="1"/>
  <c r="AL16" i="1"/>
  <c r="AD44" i="1"/>
  <c r="AD36" i="1"/>
  <c r="AD28" i="1"/>
  <c r="AD43" i="1"/>
  <c r="AD35" i="1"/>
  <c r="AD27" i="1"/>
  <c r="AD40" i="1"/>
  <c r="AD29" i="1"/>
  <c r="AD34" i="1"/>
  <c r="AD32" i="1"/>
  <c r="AD39" i="1"/>
  <c r="AD42" i="1"/>
  <c r="AD26" i="1"/>
  <c r="AD37" i="1"/>
  <c r="AD31" i="1"/>
  <c r="AD41" i="1"/>
  <c r="AD33" i="1"/>
  <c r="AD25" i="1"/>
  <c r="AD38" i="1"/>
  <c r="AD30" i="1"/>
  <c r="AD16" i="1"/>
  <c r="AD13" i="1"/>
  <c r="AD15" i="1"/>
  <c r="AD14" i="1"/>
  <c r="AL37" i="1"/>
  <c r="AL29" i="1"/>
  <c r="AL38" i="1"/>
  <c r="AL36" i="1"/>
  <c r="AL30" i="1"/>
  <c r="AL44" i="1"/>
  <c r="AL28" i="1"/>
  <c r="AL43" i="1"/>
  <c r="AL35" i="1"/>
  <c r="AL27" i="1"/>
  <c r="AL34" i="1"/>
  <c r="AL26" i="1"/>
  <c r="AL42" i="1"/>
  <c r="AL41" i="1"/>
  <c r="AL33" i="1"/>
  <c r="AL25" i="1"/>
  <c r="AL39" i="1"/>
  <c r="AL40" i="1"/>
  <c r="AL32" i="1"/>
  <c r="AL31" i="1"/>
  <c r="AH37" i="1"/>
  <c r="AH29" i="1"/>
  <c r="AH44" i="1"/>
  <c r="AH28" i="1"/>
  <c r="AH36" i="1"/>
  <c r="AH35" i="1"/>
  <c r="AH43" i="1"/>
  <c r="AH27" i="1"/>
  <c r="AH42" i="1"/>
  <c r="AH34" i="1"/>
  <c r="AH38" i="1"/>
  <c r="AH26" i="1"/>
  <c r="AH41" i="1"/>
  <c r="AH33" i="1"/>
  <c r="AH25" i="1"/>
  <c r="AH31" i="1"/>
  <c r="AH40" i="1"/>
  <c r="AH32" i="1"/>
  <c r="AH39" i="1"/>
  <c r="AH30" i="1"/>
  <c r="Z27" i="1"/>
  <c r="Z35" i="1"/>
  <c r="Z43" i="1"/>
  <c r="Z28" i="1"/>
  <c r="Z36" i="1"/>
  <c r="Z44" i="1"/>
  <c r="Z29" i="1"/>
  <c r="Z37" i="1"/>
  <c r="Z32" i="1"/>
  <c r="Z34" i="1"/>
  <c r="Z25" i="1"/>
  <c r="Z38" i="1"/>
  <c r="Z26" i="1"/>
  <c r="Z39" i="1"/>
  <c r="Z30" i="1"/>
  <c r="Z40" i="1"/>
  <c r="Z41" i="1"/>
  <c r="Z31" i="1"/>
  <c r="Z42" i="1"/>
  <c r="Z33" i="1"/>
  <c r="AP5" i="1"/>
  <c r="AQ5" i="1" s="1"/>
  <c r="AP6" i="1"/>
  <c r="AP7" i="1"/>
  <c r="AP8" i="1"/>
  <c r="AH5" i="1"/>
  <c r="AI5" i="1" s="1"/>
  <c r="AH6" i="1"/>
  <c r="AH8" i="1"/>
  <c r="AH7" i="1"/>
  <c r="AD7" i="1"/>
  <c r="AD6" i="1"/>
  <c r="AD8" i="1"/>
  <c r="AD5" i="1"/>
  <c r="AE5" i="1" s="1"/>
  <c r="AL5" i="1"/>
  <c r="AM5" i="1" s="1"/>
  <c r="AL6" i="1"/>
  <c r="AL8" i="1"/>
  <c r="AL7" i="1"/>
  <c r="Z10" i="1"/>
  <c r="Z11" i="1"/>
  <c r="Z12" i="1"/>
  <c r="Z9" i="1"/>
  <c r="AA5" i="1"/>
  <c r="Z8" i="1"/>
  <c r="Z6" i="1"/>
  <c r="Z7" i="1"/>
  <c r="Z19" i="1"/>
  <c r="Z20" i="1"/>
  <c r="Z17" i="1"/>
  <c r="Z18" i="1"/>
  <c r="Z21" i="1"/>
  <c r="Z22" i="1"/>
  <c r="Z23" i="1"/>
  <c r="Z24" i="1"/>
  <c r="P5" i="1"/>
  <c r="S5" i="1"/>
  <c r="O6" i="1"/>
  <c r="S6" i="3" a="1"/>
  <c r="H6" i="3" a="1"/>
  <c r="P6" i="1" a="1"/>
  <c r="T5" i="3" l="1"/>
  <c r="U5" i="3" s="1"/>
  <c r="W5" i="3" s="1"/>
  <c r="I5" i="3"/>
  <c r="J5" i="3" s="1"/>
  <c r="M5" i="3" s="1"/>
  <c r="H6" i="3"/>
  <c r="S6" i="3"/>
  <c r="V7" i="3"/>
  <c r="K7" i="3"/>
  <c r="R7" i="3"/>
  <c r="G7" i="3"/>
  <c r="F8" i="3"/>
  <c r="AU6" i="1"/>
  <c r="AV6" i="1" s="1"/>
  <c r="AI6" i="1"/>
  <c r="AI7" i="1" s="1"/>
  <c r="AE6" i="1"/>
  <c r="AV5" i="1"/>
  <c r="AQ6" i="1"/>
  <c r="AR6" i="1" s="1"/>
  <c r="AJ5" i="1"/>
  <c r="AR5" i="1"/>
  <c r="AA6" i="1"/>
  <c r="AB6" i="1" s="1"/>
  <c r="AM6" i="1"/>
  <c r="AN6" i="1" s="1"/>
  <c r="AB5" i="1"/>
  <c r="AN5" i="1"/>
  <c r="AF5" i="1"/>
  <c r="P6" i="1"/>
  <c r="S6" i="1"/>
  <c r="O7" i="1"/>
  <c r="S7" i="3" a="1"/>
  <c r="H7" i="3" a="1"/>
  <c r="P7" i="1" a="1"/>
  <c r="L5" i="3" l="1"/>
  <c r="N5" i="3" s="1"/>
  <c r="T6" i="3"/>
  <c r="U6" i="3" s="1"/>
  <c r="W6" i="3" s="1"/>
  <c r="I6" i="3"/>
  <c r="L6" i="3" s="1"/>
  <c r="H7" i="3"/>
  <c r="S7" i="3"/>
  <c r="G8" i="3"/>
  <c r="R8" i="3"/>
  <c r="V8" i="3"/>
  <c r="K8" i="3"/>
  <c r="F9" i="3"/>
  <c r="AQ7" i="1"/>
  <c r="AR7" i="1" s="1"/>
  <c r="AU7" i="1"/>
  <c r="AU8" i="1" s="1"/>
  <c r="AU9" i="1" s="1"/>
  <c r="AV9" i="1" s="1"/>
  <c r="AI8" i="1"/>
  <c r="AE7" i="1"/>
  <c r="AJ7" i="1"/>
  <c r="AJ6" i="1"/>
  <c r="AM7" i="1"/>
  <c r="AN7" i="1" s="1"/>
  <c r="AF6" i="1"/>
  <c r="AA7" i="1"/>
  <c r="AB7" i="1" s="1"/>
  <c r="P7" i="1"/>
  <c r="S7" i="1"/>
  <c r="O8" i="1"/>
  <c r="H8" i="3" a="1"/>
  <c r="S8" i="3" a="1"/>
  <c r="P8" i="1" a="1"/>
  <c r="T7" i="3" l="1"/>
  <c r="U7" i="3" s="1"/>
  <c r="W7" i="3" s="1"/>
  <c r="J6" i="3"/>
  <c r="M6" i="3" s="1"/>
  <c r="N6" i="3" s="1"/>
  <c r="I7" i="3"/>
  <c r="J7" i="3" s="1"/>
  <c r="M7" i="3" s="1"/>
  <c r="S8" i="3"/>
  <c r="H8" i="3"/>
  <c r="K9" i="3"/>
  <c r="V9" i="3"/>
  <c r="G9" i="3"/>
  <c r="R9" i="3"/>
  <c r="F10" i="3"/>
  <c r="AQ8" i="1"/>
  <c r="AQ9" i="1" s="1"/>
  <c r="AV7" i="1"/>
  <c r="AV8" i="1"/>
  <c r="AI9" i="1"/>
  <c r="AJ9" i="1" s="1"/>
  <c r="AE8" i="1"/>
  <c r="AF7" i="1"/>
  <c r="AM8" i="1"/>
  <c r="AM9" i="1" s="1"/>
  <c r="AJ8" i="1"/>
  <c r="AU10" i="1"/>
  <c r="AA8" i="1"/>
  <c r="P8" i="1"/>
  <c r="S8" i="1"/>
  <c r="O9" i="1"/>
  <c r="H9" i="3" a="1"/>
  <c r="S9" i="3" a="1"/>
  <c r="P9" i="1" a="1"/>
  <c r="T8" i="3" l="1"/>
  <c r="U8" i="3" s="1"/>
  <c r="W8" i="3" s="1"/>
  <c r="L7" i="3"/>
  <c r="N7" i="3" s="1"/>
  <c r="I8" i="3"/>
  <c r="L8" i="3" s="1"/>
  <c r="S9" i="3"/>
  <c r="H9" i="3"/>
  <c r="V10" i="3"/>
  <c r="R10" i="3"/>
  <c r="K10" i="3"/>
  <c r="G10" i="3"/>
  <c r="F11" i="3"/>
  <c r="AR8" i="1"/>
  <c r="AI10" i="1"/>
  <c r="AJ10" i="1" s="1"/>
  <c r="AF8" i="1"/>
  <c r="AE9" i="1"/>
  <c r="AF9" i="1" s="1"/>
  <c r="AN8" i="1"/>
  <c r="AQ10" i="1"/>
  <c r="AR10" i="1" s="1"/>
  <c r="AR9" i="1"/>
  <c r="AA9" i="1"/>
  <c r="AB8" i="1"/>
  <c r="AU11" i="1"/>
  <c r="AM10" i="1"/>
  <c r="AV10" i="1"/>
  <c r="AN9" i="1"/>
  <c r="P9" i="1"/>
  <c r="S9" i="1"/>
  <c r="O10" i="1"/>
  <c r="H10" i="3" a="1"/>
  <c r="S10" i="3" a="1"/>
  <c r="P10" i="1" a="1"/>
  <c r="I9" i="3" l="1"/>
  <c r="L9" i="3" s="1"/>
  <c r="T9" i="3"/>
  <c r="J8" i="3"/>
  <c r="M8" i="3" s="1"/>
  <c r="N8" i="3" s="1"/>
  <c r="S10" i="3"/>
  <c r="H10" i="3"/>
  <c r="R11" i="3"/>
  <c r="K11" i="3"/>
  <c r="G11" i="3"/>
  <c r="V11" i="3"/>
  <c r="F12" i="3"/>
  <c r="Y86" i="1"/>
  <c r="Y75" i="1"/>
  <c r="AE10" i="1"/>
  <c r="AE11" i="1" s="1"/>
  <c r="AE12" i="1" s="1"/>
  <c r="AI11" i="1"/>
  <c r="AQ11" i="1"/>
  <c r="AR11" i="1" s="1"/>
  <c r="AU12" i="1"/>
  <c r="AV12" i="1" s="1"/>
  <c r="AA10" i="1"/>
  <c r="AB9" i="1"/>
  <c r="AM11" i="1"/>
  <c r="AV11" i="1"/>
  <c r="AN10" i="1"/>
  <c r="P10" i="1"/>
  <c r="S10" i="1"/>
  <c r="O11" i="1"/>
  <c r="S11" i="3" a="1"/>
  <c r="H11" i="3" a="1"/>
  <c r="P11" i="1" a="1"/>
  <c r="J9" i="3" l="1"/>
  <c r="M9" i="3" s="1"/>
  <c r="N9" i="3" s="1"/>
  <c r="T10" i="3"/>
  <c r="U9" i="3"/>
  <c r="W9" i="3" s="1"/>
  <c r="I10" i="3"/>
  <c r="J10" i="3" s="1"/>
  <c r="M10" i="3" s="1"/>
  <c r="H11" i="3"/>
  <c r="S11" i="3"/>
  <c r="R12" i="3"/>
  <c r="V12" i="3"/>
  <c r="K12" i="3"/>
  <c r="G12" i="3"/>
  <c r="F13" i="3"/>
  <c r="Y64" i="1"/>
  <c r="AF10" i="1"/>
  <c r="AI12" i="1"/>
  <c r="AJ12" i="1" s="1"/>
  <c r="AJ11" i="1"/>
  <c r="AF11" i="1"/>
  <c r="AB10" i="1"/>
  <c r="AM12" i="1"/>
  <c r="AN11" i="1"/>
  <c r="AE13" i="1"/>
  <c r="AQ12" i="1"/>
  <c r="AF12" i="1"/>
  <c r="AA11" i="1"/>
  <c r="AU13" i="1"/>
  <c r="P11" i="1"/>
  <c r="S11" i="1"/>
  <c r="O12" i="1"/>
  <c r="H12" i="3" a="1"/>
  <c r="S12" i="3" a="1"/>
  <c r="P12" i="1" a="1"/>
  <c r="L10" i="3" l="1"/>
  <c r="N10" i="3" s="1"/>
  <c r="T11" i="3"/>
  <c r="U10" i="3"/>
  <c r="W10" i="3" s="1"/>
  <c r="I11" i="3"/>
  <c r="J11" i="3" s="1"/>
  <c r="M11" i="3" s="1"/>
  <c r="S12" i="3"/>
  <c r="H12" i="3"/>
  <c r="K13" i="3"/>
  <c r="R13" i="3"/>
  <c r="V13" i="3"/>
  <c r="G13" i="3"/>
  <c r="F14" i="3"/>
  <c r="AI13" i="1"/>
  <c r="AR12" i="1"/>
  <c r="AF13" i="1"/>
  <c r="AU14" i="1"/>
  <c r="AM13" i="1"/>
  <c r="AE14" i="1"/>
  <c r="AV13" i="1"/>
  <c r="AA12" i="1"/>
  <c r="AB11" i="1"/>
  <c r="AN12" i="1"/>
  <c r="AQ13" i="1"/>
  <c r="P12" i="1"/>
  <c r="S12" i="1"/>
  <c r="O13" i="1"/>
  <c r="H13" i="3" a="1"/>
  <c r="S13" i="3" a="1"/>
  <c r="P13" i="1" a="1"/>
  <c r="T12" i="3" l="1"/>
  <c r="U11" i="3"/>
  <c r="W11" i="3" s="1"/>
  <c r="I12" i="3"/>
  <c r="L12" i="3" s="1"/>
  <c r="L11" i="3"/>
  <c r="N11" i="3" s="1"/>
  <c r="S13" i="3"/>
  <c r="H13" i="3"/>
  <c r="R14" i="3"/>
  <c r="K14" i="3"/>
  <c r="V14" i="3"/>
  <c r="G14" i="3"/>
  <c r="F15" i="3"/>
  <c r="AB12" i="1"/>
  <c r="Y87" i="1" s="1"/>
  <c r="AI14" i="1"/>
  <c r="AJ13" i="1"/>
  <c r="Z87" i="1"/>
  <c r="Z76" i="1"/>
  <c r="AE15" i="1"/>
  <c r="AF14" i="1"/>
  <c r="AM14" i="1"/>
  <c r="AN14" i="1" s="1"/>
  <c r="AN13" i="1"/>
  <c r="AU15" i="1"/>
  <c r="AV15" i="1" s="1"/>
  <c r="AA13" i="1"/>
  <c r="AQ14" i="1"/>
  <c r="AR13" i="1"/>
  <c r="AV14" i="1"/>
  <c r="P13" i="1"/>
  <c r="S13" i="1"/>
  <c r="O14" i="1"/>
  <c r="S14" i="3" a="1"/>
  <c r="H14" i="3" a="1"/>
  <c r="P14" i="1" a="1"/>
  <c r="I13" i="3" l="1"/>
  <c r="L13" i="3" s="1"/>
  <c r="T13" i="3"/>
  <c r="U12" i="3"/>
  <c r="W12" i="3" s="1"/>
  <c r="J12" i="3"/>
  <c r="M12" i="3" s="1"/>
  <c r="N12" i="3" s="1"/>
  <c r="H14" i="3"/>
  <c r="S14" i="3"/>
  <c r="V15" i="3"/>
  <c r="R15" i="3"/>
  <c r="G15" i="3"/>
  <c r="K15" i="3"/>
  <c r="F16" i="3"/>
  <c r="Y76" i="1"/>
  <c r="Y65" i="1" s="1"/>
  <c r="Z65" i="1"/>
  <c r="AJ14" i="1"/>
  <c r="AI15" i="1"/>
  <c r="AJ15" i="1" s="1"/>
  <c r="AE16" i="1"/>
  <c r="AA14" i="1"/>
  <c r="AB14" i="1" s="1"/>
  <c r="AB13" i="1"/>
  <c r="AQ15" i="1"/>
  <c r="AR15" i="1" s="1"/>
  <c r="AF15" i="1"/>
  <c r="AR14" i="1"/>
  <c r="AU16" i="1"/>
  <c r="AV16" i="1" s="1"/>
  <c r="AM15" i="1"/>
  <c r="P14" i="1"/>
  <c r="S14" i="1"/>
  <c r="O15" i="1"/>
  <c r="H15" i="3" a="1"/>
  <c r="S15" i="3" a="1"/>
  <c r="P15" i="1" a="1"/>
  <c r="J13" i="3" l="1"/>
  <c r="M13" i="3" s="1"/>
  <c r="N13" i="3" s="1"/>
  <c r="I14" i="3"/>
  <c r="J14" i="3" s="1"/>
  <c r="M14" i="3" s="1"/>
  <c r="T14" i="3"/>
  <c r="U13" i="3"/>
  <c r="W13" i="3" s="1"/>
  <c r="S15" i="3"/>
  <c r="H15" i="3"/>
  <c r="R16" i="3"/>
  <c r="K16" i="3"/>
  <c r="G16" i="3"/>
  <c r="V16" i="3"/>
  <c r="F17" i="3"/>
  <c r="AI16" i="1"/>
  <c r="AJ16" i="1" s="1"/>
  <c r="AM16" i="1"/>
  <c r="AN15" i="1"/>
  <c r="AU17" i="1"/>
  <c r="AQ16" i="1"/>
  <c r="AA15" i="1"/>
  <c r="AB15" i="1" s="1"/>
  <c r="AE17" i="1"/>
  <c r="AF16" i="1"/>
  <c r="P15" i="1"/>
  <c r="S15" i="1"/>
  <c r="O16" i="1"/>
  <c r="S16" i="3" a="1"/>
  <c r="H16" i="3" a="1"/>
  <c r="P16" i="1" a="1"/>
  <c r="L14" i="3" l="1"/>
  <c r="N14" i="3" s="1"/>
  <c r="T15" i="3"/>
  <c r="U14" i="3"/>
  <c r="W14" i="3" s="1"/>
  <c r="I15" i="3"/>
  <c r="L15" i="3" s="1"/>
  <c r="H16" i="3"/>
  <c r="S16" i="3"/>
  <c r="G17" i="3"/>
  <c r="R17" i="3"/>
  <c r="V17" i="3"/>
  <c r="K17" i="3"/>
  <c r="F18" i="3"/>
  <c r="AI17" i="1"/>
  <c r="AJ17" i="1" s="1"/>
  <c r="AQ17" i="1"/>
  <c r="AE18" i="1"/>
  <c r="AF17" i="1"/>
  <c r="AR16" i="1"/>
  <c r="AM17" i="1"/>
  <c r="AN17" i="1" s="1"/>
  <c r="AA16" i="1"/>
  <c r="AU18" i="1"/>
  <c r="AV17" i="1"/>
  <c r="AN16" i="1"/>
  <c r="P16" i="1"/>
  <c r="S16" i="1"/>
  <c r="Z88" i="1" s="1"/>
  <c r="O17" i="1"/>
  <c r="H17" i="3" a="1"/>
  <c r="S17" i="3" a="1"/>
  <c r="P17" i="1" a="1"/>
  <c r="T16" i="3" l="1"/>
  <c r="U15" i="3"/>
  <c r="W15" i="3" s="1"/>
  <c r="I16" i="3"/>
  <c r="J16" i="3" s="1"/>
  <c r="M16" i="3" s="1"/>
  <c r="J15" i="3"/>
  <c r="M15" i="3" s="1"/>
  <c r="N15" i="3" s="1"/>
  <c r="S17" i="3"/>
  <c r="H17" i="3"/>
  <c r="V18" i="3"/>
  <c r="K18" i="3"/>
  <c r="R18" i="3"/>
  <c r="G18" i="3"/>
  <c r="F19" i="3"/>
  <c r="AA88" i="1"/>
  <c r="Z77" i="1"/>
  <c r="Z66" i="1" s="1"/>
  <c r="AI18" i="1"/>
  <c r="AI19" i="1" s="1"/>
  <c r="AA77" i="1"/>
  <c r="AU19" i="1"/>
  <c r="AE19" i="1"/>
  <c r="AF18" i="1"/>
  <c r="AV18" i="1"/>
  <c r="AA17" i="1"/>
  <c r="AB16" i="1"/>
  <c r="Y88" i="1" s="1"/>
  <c r="AM18" i="1"/>
  <c r="AN18" i="1" s="1"/>
  <c r="AQ18" i="1"/>
  <c r="AR17" i="1"/>
  <c r="P17" i="1"/>
  <c r="S17" i="1"/>
  <c r="O18" i="1"/>
  <c r="S18" i="3" a="1"/>
  <c r="H18" i="3" a="1"/>
  <c r="P18" i="1" a="1"/>
  <c r="L16" i="3" l="1"/>
  <c r="N16" i="3" s="1"/>
  <c r="T17" i="3"/>
  <c r="U16" i="3"/>
  <c r="W16" i="3" s="1"/>
  <c r="I17" i="3"/>
  <c r="L17" i="3" s="1"/>
  <c r="AA66" i="1"/>
  <c r="H18" i="3"/>
  <c r="S18" i="3"/>
  <c r="G19" i="3"/>
  <c r="R19" i="3"/>
  <c r="V19" i="3"/>
  <c r="K19" i="3"/>
  <c r="F20" i="3"/>
  <c r="AJ18" i="1"/>
  <c r="AJ19" i="1"/>
  <c r="AI20" i="1"/>
  <c r="AQ19" i="1"/>
  <c r="AR18" i="1"/>
  <c r="AA18" i="1"/>
  <c r="AB17" i="1"/>
  <c r="AM19" i="1"/>
  <c r="AN19" i="1" s="1"/>
  <c r="Y77" i="1"/>
  <c r="Y66" i="1" s="1"/>
  <c r="AE20" i="1"/>
  <c r="AF19" i="1"/>
  <c r="AU20" i="1"/>
  <c r="AV19" i="1"/>
  <c r="P18" i="1"/>
  <c r="S18" i="1"/>
  <c r="O19" i="1"/>
  <c r="H19" i="3" a="1"/>
  <c r="S19" i="3" a="1"/>
  <c r="P19" i="1" a="1"/>
  <c r="J17" i="3" l="1"/>
  <c r="M17" i="3" s="1"/>
  <c r="N17" i="3" s="1"/>
  <c r="I18" i="3"/>
  <c r="L18" i="3" s="1"/>
  <c r="T18" i="3"/>
  <c r="U18" i="3" s="1"/>
  <c r="W18" i="3" s="1"/>
  <c r="U17" i="3"/>
  <c r="W17" i="3" s="1"/>
  <c r="S19" i="3"/>
  <c r="H19" i="3"/>
  <c r="K20" i="3"/>
  <c r="V20" i="3"/>
  <c r="G20" i="3"/>
  <c r="R20" i="3"/>
  <c r="F21" i="3"/>
  <c r="AJ20" i="1"/>
  <c r="AI21" i="1"/>
  <c r="AF20" i="1"/>
  <c r="AE21" i="1"/>
  <c r="AM20" i="1"/>
  <c r="AA19" i="1"/>
  <c r="AB18" i="1"/>
  <c r="AU21" i="1"/>
  <c r="AQ20" i="1"/>
  <c r="AV20" i="1"/>
  <c r="AR19" i="1"/>
  <c r="P19" i="1"/>
  <c r="S19" i="1"/>
  <c r="O20" i="1"/>
  <c r="S20" i="3" a="1"/>
  <c r="H20" i="3" a="1"/>
  <c r="P20" i="1" a="1"/>
  <c r="I19" i="3" l="1"/>
  <c r="J19" i="3" s="1"/>
  <c r="M19" i="3" s="1"/>
  <c r="J18" i="3"/>
  <c r="M18" i="3" s="1"/>
  <c r="N18" i="3" s="1"/>
  <c r="T19" i="3"/>
  <c r="H20" i="3"/>
  <c r="S20" i="3"/>
  <c r="K21" i="3"/>
  <c r="R21" i="3"/>
  <c r="G21" i="3"/>
  <c r="V21" i="3"/>
  <c r="F22" i="3"/>
  <c r="AI22" i="1"/>
  <c r="AJ21" i="1"/>
  <c r="AA20" i="1"/>
  <c r="AQ21" i="1"/>
  <c r="AR20" i="1"/>
  <c r="AE22" i="1"/>
  <c r="AU22" i="1"/>
  <c r="AV21" i="1"/>
  <c r="AB19" i="1"/>
  <c r="AM21" i="1"/>
  <c r="AN20" i="1"/>
  <c r="AF21" i="1"/>
  <c r="P20" i="1"/>
  <c r="S20" i="1"/>
  <c r="Z89" i="1" s="1"/>
  <c r="O21" i="1"/>
  <c r="S21" i="3" a="1"/>
  <c r="H21" i="3" a="1"/>
  <c r="P21" i="1" a="1"/>
  <c r="L19" i="3" l="1"/>
  <c r="N19" i="3" s="1"/>
  <c r="T20" i="3"/>
  <c r="U20" i="3" s="1"/>
  <c r="W20" i="3" s="1"/>
  <c r="U19" i="3"/>
  <c r="W19" i="3" s="1"/>
  <c r="I20" i="3"/>
  <c r="J20" i="3" s="1"/>
  <c r="M20" i="3" s="1"/>
  <c r="H21" i="3"/>
  <c r="S21" i="3"/>
  <c r="K22" i="3"/>
  <c r="G22" i="3"/>
  <c r="V22" i="3"/>
  <c r="R22" i="3"/>
  <c r="F23" i="3"/>
  <c r="AA89" i="1"/>
  <c r="Z78" i="1"/>
  <c r="Z67" i="1" s="1"/>
  <c r="AB78" i="1"/>
  <c r="AB89" i="1"/>
  <c r="AI23" i="1"/>
  <c r="AJ22" i="1"/>
  <c r="AA78" i="1"/>
  <c r="AB20" i="1"/>
  <c r="Y89" i="1" s="1"/>
  <c r="AQ22" i="1"/>
  <c r="AR22" i="1" s="1"/>
  <c r="AM22" i="1"/>
  <c r="AN21" i="1"/>
  <c r="AU23" i="1"/>
  <c r="AV23" i="1" s="1"/>
  <c r="AV22" i="1"/>
  <c r="AE23" i="1"/>
  <c r="AF23" i="1" s="1"/>
  <c r="AF22" i="1"/>
  <c r="AR21" i="1"/>
  <c r="AA21" i="1"/>
  <c r="P21" i="1"/>
  <c r="S21" i="1"/>
  <c r="O22" i="1"/>
  <c r="S22" i="3" a="1"/>
  <c r="H22" i="3" a="1"/>
  <c r="P22" i="1" a="1"/>
  <c r="L20" i="3" l="1"/>
  <c r="N20" i="3" s="1"/>
  <c r="I21" i="3"/>
  <c r="J21" i="3" s="1"/>
  <c r="M21" i="3" s="1"/>
  <c r="T21" i="3"/>
  <c r="AA67" i="1"/>
  <c r="H22" i="3"/>
  <c r="S22" i="3"/>
  <c r="V23" i="3"/>
  <c r="K23" i="3"/>
  <c r="R23" i="3"/>
  <c r="G23" i="3"/>
  <c r="F24" i="3"/>
  <c r="Y78" i="1"/>
  <c r="Y67" i="1" s="1"/>
  <c r="AJ23" i="1"/>
  <c r="AI24" i="1"/>
  <c r="AB67" i="1"/>
  <c r="AE24" i="1"/>
  <c r="AA22" i="1"/>
  <c r="AM23" i="1"/>
  <c r="AU24" i="1"/>
  <c r="AN22" i="1"/>
  <c r="AB21" i="1"/>
  <c r="AQ23" i="1"/>
  <c r="AR23" i="1" s="1"/>
  <c r="P22" i="1"/>
  <c r="S22" i="1"/>
  <c r="O23" i="1"/>
  <c r="H23" i="3" a="1"/>
  <c r="S23" i="3" a="1"/>
  <c r="P23" i="1" a="1"/>
  <c r="L21" i="3" l="1"/>
  <c r="N21" i="3" s="1"/>
  <c r="T22" i="3"/>
  <c r="U22" i="3" s="1"/>
  <c r="W22" i="3" s="1"/>
  <c r="U21" i="3"/>
  <c r="W21" i="3" s="1"/>
  <c r="I22" i="3"/>
  <c r="L22" i="3" s="1"/>
  <c r="S23" i="3"/>
  <c r="H23" i="3"/>
  <c r="G24" i="3"/>
  <c r="R24" i="3"/>
  <c r="V24" i="3"/>
  <c r="K24" i="3"/>
  <c r="F25" i="3"/>
  <c r="AJ24" i="1"/>
  <c r="AI25" i="1"/>
  <c r="AM24" i="1"/>
  <c r="AQ24" i="1"/>
  <c r="AU25" i="1"/>
  <c r="AV24" i="1"/>
  <c r="AN23" i="1"/>
  <c r="AA23" i="1"/>
  <c r="AB22" i="1"/>
  <c r="AE25" i="1"/>
  <c r="AF24" i="1"/>
  <c r="P23" i="1"/>
  <c r="S23" i="1"/>
  <c r="O24" i="1"/>
  <c r="H24" i="3" a="1"/>
  <c r="S24" i="3" a="1"/>
  <c r="P24" i="1" a="1"/>
  <c r="I23" i="3" l="1"/>
  <c r="J23" i="3" s="1"/>
  <c r="M23" i="3" s="1"/>
  <c r="T23" i="3"/>
  <c r="J22" i="3"/>
  <c r="M22" i="3" s="1"/>
  <c r="N22" i="3" s="1"/>
  <c r="S24" i="3"/>
  <c r="H24" i="3"/>
  <c r="K25" i="3"/>
  <c r="V25" i="3"/>
  <c r="G25" i="3"/>
  <c r="R25" i="3"/>
  <c r="F26" i="3"/>
  <c r="AN24" i="1"/>
  <c r="AJ25" i="1"/>
  <c r="AI26" i="1"/>
  <c r="AE26" i="1"/>
  <c r="AU26" i="1"/>
  <c r="AA24" i="1"/>
  <c r="AB23" i="1"/>
  <c r="AQ25" i="1"/>
  <c r="AR24" i="1"/>
  <c r="AF25" i="1"/>
  <c r="AV25" i="1"/>
  <c r="AM25" i="1"/>
  <c r="AN25" i="1" s="1"/>
  <c r="P24" i="1"/>
  <c r="S24" i="1"/>
  <c r="AA90" i="1" s="1"/>
  <c r="O25" i="1"/>
  <c r="S25" i="3" a="1"/>
  <c r="H25" i="3" a="1"/>
  <c r="P25" i="1" a="1"/>
  <c r="L23" i="3" l="1"/>
  <c r="N23" i="3" s="1"/>
  <c r="H25" i="3"/>
  <c r="S25" i="3"/>
  <c r="T24" i="3"/>
  <c r="U24" i="3" s="1"/>
  <c r="W24" i="3" s="1"/>
  <c r="U23" i="3"/>
  <c r="W23" i="3" s="1"/>
  <c r="I26" i="3"/>
  <c r="T26" i="3"/>
  <c r="I24" i="3"/>
  <c r="M26" i="3"/>
  <c r="W26" i="3"/>
  <c r="V26" i="3"/>
  <c r="G26" i="3"/>
  <c r="U26" i="3"/>
  <c r="S26" i="3" a="1"/>
  <c r="S26" i="3" s="1"/>
  <c r="N26" i="3"/>
  <c r="J26" i="3"/>
  <c r="H26" i="3" a="1"/>
  <c r="H26" i="3" s="1"/>
  <c r="R26" i="3"/>
  <c r="L26" i="3"/>
  <c r="K26" i="3"/>
  <c r="F27" i="3"/>
  <c r="AC79" i="1"/>
  <c r="AB90" i="1"/>
  <c r="AB79" i="1"/>
  <c r="AA79" i="1"/>
  <c r="AA68" i="1" s="1"/>
  <c r="Z79" i="1"/>
  <c r="AI27" i="1"/>
  <c r="AJ26" i="1"/>
  <c r="Z90" i="1"/>
  <c r="AC90" i="1"/>
  <c r="AC68" i="1" s="1"/>
  <c r="AQ26" i="1"/>
  <c r="AU27" i="1"/>
  <c r="AE27" i="1"/>
  <c r="AF27" i="1" s="1"/>
  <c r="AR25" i="1"/>
  <c r="AA25" i="1"/>
  <c r="AB24" i="1"/>
  <c r="Y90" i="1" s="1"/>
  <c r="AV26" i="1"/>
  <c r="AM26" i="1"/>
  <c r="AN26" i="1" s="1"/>
  <c r="AF26" i="1"/>
  <c r="P25" i="1"/>
  <c r="S25" i="1"/>
  <c r="O26" i="1"/>
  <c r="P26" i="1" a="1"/>
  <c r="T25" i="3" l="1"/>
  <c r="L24" i="3"/>
  <c r="U25" i="3"/>
  <c r="W25" i="3" s="1"/>
  <c r="I25" i="3"/>
  <c r="L25" i="3" s="1"/>
  <c r="I27" i="3"/>
  <c r="T27" i="3"/>
  <c r="J24" i="3"/>
  <c r="M24" i="3" s="1"/>
  <c r="R27" i="3"/>
  <c r="N27" i="3"/>
  <c r="M27" i="3"/>
  <c r="L27" i="3"/>
  <c r="K27" i="3"/>
  <c r="J27" i="3"/>
  <c r="G27" i="3"/>
  <c r="W27" i="3"/>
  <c r="S27" i="3" a="1"/>
  <c r="S27" i="3" s="1"/>
  <c r="H27" i="3" a="1"/>
  <c r="H27" i="3" s="1"/>
  <c r="V27" i="3"/>
  <c r="U27" i="3"/>
  <c r="F28" i="3"/>
  <c r="AB68" i="1"/>
  <c r="AJ27" i="1"/>
  <c r="AI28" i="1"/>
  <c r="Z68" i="1"/>
  <c r="AA26" i="1"/>
  <c r="Y79" i="1"/>
  <c r="Y68" i="1" s="1"/>
  <c r="AE28" i="1"/>
  <c r="AU28" i="1"/>
  <c r="AV27" i="1"/>
  <c r="AM27" i="1"/>
  <c r="AB25" i="1"/>
  <c r="AQ27" i="1"/>
  <c r="AR26" i="1"/>
  <c r="P26" i="1"/>
  <c r="S26" i="1"/>
  <c r="O27" i="1"/>
  <c r="P27" i="1" a="1"/>
  <c r="N24" i="3" l="1"/>
  <c r="J25" i="3"/>
  <c r="M25" i="3" s="1"/>
  <c r="N25" i="3" s="1"/>
  <c r="I28" i="3"/>
  <c r="T28" i="3"/>
  <c r="R28" i="3"/>
  <c r="W28" i="3"/>
  <c r="V28" i="3"/>
  <c r="N28" i="3"/>
  <c r="S28" i="3" a="1"/>
  <c r="S28" i="3" s="1"/>
  <c r="M28" i="3"/>
  <c r="L28" i="3"/>
  <c r="K28" i="3"/>
  <c r="G28" i="3"/>
  <c r="J28" i="3"/>
  <c r="U28" i="3"/>
  <c r="H28" i="3" a="1"/>
  <c r="H28" i="3" s="1"/>
  <c r="F29" i="3"/>
  <c r="AJ28" i="1"/>
  <c r="AI29" i="1"/>
  <c r="AQ28" i="1"/>
  <c r="AM28" i="1"/>
  <c r="AN27" i="1"/>
  <c r="AU29" i="1"/>
  <c r="AV28" i="1"/>
  <c r="AE29" i="1"/>
  <c r="AF28" i="1"/>
  <c r="AR27" i="1"/>
  <c r="AA27" i="1"/>
  <c r="AB27" i="1" s="1"/>
  <c r="AB26" i="1"/>
  <c r="P27" i="1"/>
  <c r="S27" i="1"/>
  <c r="O28" i="1"/>
  <c r="P28" i="1" a="1"/>
  <c r="I29" i="3" l="1"/>
  <c r="T29" i="3"/>
  <c r="U29" i="3"/>
  <c r="L29" i="3"/>
  <c r="K29" i="3"/>
  <c r="R29" i="3"/>
  <c r="S29" i="3" a="1"/>
  <c r="S29" i="3" s="1"/>
  <c r="J29" i="3"/>
  <c r="H29" i="3" a="1"/>
  <c r="H29" i="3" s="1"/>
  <c r="M29" i="3"/>
  <c r="W29" i="3"/>
  <c r="G29" i="3"/>
  <c r="V29" i="3"/>
  <c r="N29" i="3"/>
  <c r="F30" i="3"/>
  <c r="AI30" i="1"/>
  <c r="AJ29" i="1"/>
  <c r="AE30" i="1"/>
  <c r="AM29" i="1"/>
  <c r="AF29" i="1"/>
  <c r="AA28" i="1"/>
  <c r="AU30" i="1"/>
  <c r="AV29" i="1"/>
  <c r="AN28" i="1"/>
  <c r="AQ29" i="1"/>
  <c r="AR28" i="1"/>
  <c r="P28" i="1"/>
  <c r="S28" i="1"/>
  <c r="O29" i="1"/>
  <c r="P29" i="1" a="1"/>
  <c r="I30" i="3" l="1"/>
  <c r="T30" i="3"/>
  <c r="R30" i="3"/>
  <c r="N30" i="3"/>
  <c r="L30" i="3"/>
  <c r="W30" i="3"/>
  <c r="K30" i="3"/>
  <c r="V30" i="3"/>
  <c r="J30" i="3"/>
  <c r="U30" i="3"/>
  <c r="M30" i="3"/>
  <c r="H30" i="3" a="1"/>
  <c r="H30" i="3" s="1"/>
  <c r="G30" i="3"/>
  <c r="S30" i="3" a="1"/>
  <c r="S30" i="3" s="1"/>
  <c r="F31" i="3"/>
  <c r="AJ30" i="1"/>
  <c r="AI31" i="1"/>
  <c r="AI32" i="1" s="1"/>
  <c r="AI33" i="1" s="1"/>
  <c r="AQ30" i="1"/>
  <c r="AR29" i="1"/>
  <c r="AU31" i="1"/>
  <c r="AV30" i="1"/>
  <c r="AA29" i="1"/>
  <c r="AB28" i="1"/>
  <c r="AM30" i="1"/>
  <c r="AN29" i="1"/>
  <c r="AE31" i="1"/>
  <c r="AF31" i="1" s="1"/>
  <c r="AF30" i="1"/>
  <c r="P29" i="1"/>
  <c r="S29" i="1"/>
  <c r="O30" i="1"/>
  <c r="P30" i="1" a="1"/>
  <c r="I31" i="3" l="1"/>
  <c r="T31" i="3"/>
  <c r="J31" i="3"/>
  <c r="W31" i="3"/>
  <c r="H31" i="3" a="1"/>
  <c r="H31" i="3" s="1"/>
  <c r="V31" i="3"/>
  <c r="R31" i="3"/>
  <c r="U31" i="3"/>
  <c r="G31" i="3"/>
  <c r="N31" i="3"/>
  <c r="M31" i="3"/>
  <c r="L31" i="3"/>
  <c r="S31" i="3" a="1"/>
  <c r="S31" i="3" s="1"/>
  <c r="K31" i="3"/>
  <c r="F32" i="3"/>
  <c r="AJ32" i="1"/>
  <c r="AJ31" i="1"/>
  <c r="AQ31" i="1"/>
  <c r="AE32" i="1"/>
  <c r="AR30" i="1"/>
  <c r="AM31" i="1"/>
  <c r="AN31" i="1" s="1"/>
  <c r="AN30" i="1"/>
  <c r="AI34" i="1"/>
  <c r="AJ33" i="1"/>
  <c r="AA30" i="1"/>
  <c r="AB30" i="1" s="1"/>
  <c r="AB29" i="1"/>
  <c r="AU32" i="1"/>
  <c r="AV31" i="1"/>
  <c r="P30" i="1"/>
  <c r="S30" i="1"/>
  <c r="O31" i="1"/>
  <c r="P31" i="1" a="1"/>
  <c r="I32" i="3" l="1"/>
  <c r="T32" i="3"/>
  <c r="S32" i="3" a="1"/>
  <c r="S32" i="3" s="1"/>
  <c r="N32" i="3"/>
  <c r="M32" i="3"/>
  <c r="R32" i="3"/>
  <c r="L32" i="3"/>
  <c r="J32" i="3"/>
  <c r="H32" i="3" a="1"/>
  <c r="H32" i="3" s="1"/>
  <c r="G32" i="3"/>
  <c r="W32" i="3"/>
  <c r="U32" i="3"/>
  <c r="V32" i="3"/>
  <c r="K32" i="3"/>
  <c r="F33" i="3"/>
  <c r="AI35" i="1"/>
  <c r="AJ35" i="1" s="1"/>
  <c r="AU33" i="1"/>
  <c r="AV33" i="1" s="1"/>
  <c r="AV32" i="1"/>
  <c r="AJ34" i="1"/>
  <c r="AE33" i="1"/>
  <c r="AQ32" i="1"/>
  <c r="AA31" i="1"/>
  <c r="AM32" i="1"/>
  <c r="AF32" i="1"/>
  <c r="AR31" i="1"/>
  <c r="P31" i="1"/>
  <c r="S31" i="1"/>
  <c r="O32" i="1"/>
  <c r="P32" i="1" a="1"/>
  <c r="I33" i="3" l="1"/>
  <c r="T33" i="3"/>
  <c r="H33" i="3" a="1"/>
  <c r="H33" i="3" s="1"/>
  <c r="G33" i="3"/>
  <c r="R33" i="3"/>
  <c r="V33" i="3"/>
  <c r="U33" i="3"/>
  <c r="S33" i="3" a="1"/>
  <c r="S33" i="3" s="1"/>
  <c r="N33" i="3"/>
  <c r="W33" i="3"/>
  <c r="M33" i="3"/>
  <c r="L33" i="3"/>
  <c r="K33" i="3"/>
  <c r="J33" i="3"/>
  <c r="F34" i="3"/>
  <c r="AM33" i="1"/>
  <c r="AA32" i="1"/>
  <c r="AB31" i="1"/>
  <c r="AE34" i="1"/>
  <c r="AN32" i="1"/>
  <c r="AQ33" i="1"/>
  <c r="AR32" i="1"/>
  <c r="AF33" i="1"/>
  <c r="AU34" i="1"/>
  <c r="AI36" i="1"/>
  <c r="AJ36" i="1" s="1"/>
  <c r="P32" i="1"/>
  <c r="S32" i="1"/>
  <c r="O33" i="1"/>
  <c r="P33" i="1" a="1"/>
  <c r="I34" i="3" l="1"/>
  <c r="T34" i="3"/>
  <c r="W34" i="3"/>
  <c r="V34" i="3"/>
  <c r="N34" i="3"/>
  <c r="U34" i="3"/>
  <c r="M34" i="3"/>
  <c r="L34" i="3"/>
  <c r="S34" i="3" a="1"/>
  <c r="S34" i="3" s="1"/>
  <c r="K34" i="3"/>
  <c r="J34" i="3"/>
  <c r="R34" i="3"/>
  <c r="H34" i="3" a="1"/>
  <c r="H34" i="3" s="1"/>
  <c r="G34" i="3"/>
  <c r="F35" i="3"/>
  <c r="AA33" i="1"/>
  <c r="AU35" i="1"/>
  <c r="AE35" i="1"/>
  <c r="AF34" i="1"/>
  <c r="AB32" i="1"/>
  <c r="AQ34" i="1"/>
  <c r="AR34" i="1" s="1"/>
  <c r="AI37" i="1"/>
  <c r="AJ37" i="1" s="1"/>
  <c r="AV34" i="1"/>
  <c r="AR33" i="1"/>
  <c r="AM34" i="1"/>
  <c r="AN33" i="1"/>
  <c r="P33" i="1"/>
  <c r="S33" i="1"/>
  <c r="O34" i="1"/>
  <c r="P34" i="1" a="1"/>
  <c r="I35" i="3" l="1"/>
  <c r="T35" i="3"/>
  <c r="G35" i="3"/>
  <c r="R35" i="3"/>
  <c r="N35" i="3"/>
  <c r="M35" i="3"/>
  <c r="W35" i="3"/>
  <c r="L35" i="3"/>
  <c r="J35" i="3"/>
  <c r="U35" i="3"/>
  <c r="H35" i="3" a="1"/>
  <c r="H35" i="3" s="1"/>
  <c r="V35" i="3"/>
  <c r="S35" i="3" a="1"/>
  <c r="S35" i="3" s="1"/>
  <c r="K35" i="3"/>
  <c r="F36" i="3"/>
  <c r="AU36" i="1"/>
  <c r="AV35" i="1"/>
  <c r="AM35" i="1"/>
  <c r="AN35" i="1" s="1"/>
  <c r="AN34" i="1"/>
  <c r="AI38" i="1"/>
  <c r="AQ35" i="1"/>
  <c r="AE36" i="1"/>
  <c r="AF36" i="1" s="1"/>
  <c r="AF35" i="1"/>
  <c r="AA34" i="1"/>
  <c r="AB33" i="1"/>
  <c r="P34" i="1"/>
  <c r="S34" i="1"/>
  <c r="O35" i="1"/>
  <c r="P35" i="1" a="1"/>
  <c r="I36" i="3" l="1"/>
  <c r="T36" i="3"/>
  <c r="M36" i="3"/>
  <c r="L36" i="3"/>
  <c r="K36" i="3"/>
  <c r="J36" i="3"/>
  <c r="W36" i="3"/>
  <c r="V36" i="3"/>
  <c r="H36" i="3" a="1"/>
  <c r="H36" i="3" s="1"/>
  <c r="G36" i="3"/>
  <c r="S36" i="3" a="1"/>
  <c r="S36" i="3" s="1"/>
  <c r="R36" i="3"/>
  <c r="N36" i="3"/>
  <c r="U36" i="3"/>
  <c r="F37" i="3"/>
  <c r="AA35" i="1"/>
  <c r="AB34" i="1"/>
  <c r="AI39" i="1"/>
  <c r="AE37" i="1"/>
  <c r="AF37" i="1" s="1"/>
  <c r="AQ36" i="1"/>
  <c r="AR36" i="1" s="1"/>
  <c r="AR35" i="1"/>
  <c r="AJ38" i="1"/>
  <c r="AM36" i="1"/>
  <c r="AN36" i="1" s="1"/>
  <c r="AU37" i="1"/>
  <c r="AV37" i="1" s="1"/>
  <c r="AV36" i="1"/>
  <c r="P35" i="1"/>
  <c r="S35" i="1"/>
  <c r="O36" i="1"/>
  <c r="P36" i="1" a="1"/>
  <c r="I37" i="3" l="1"/>
  <c r="T37" i="3"/>
  <c r="U37" i="3"/>
  <c r="S37" i="3" a="1"/>
  <c r="S37" i="3" s="1"/>
  <c r="M37" i="3"/>
  <c r="L37" i="3"/>
  <c r="K37" i="3"/>
  <c r="R37" i="3"/>
  <c r="J37" i="3"/>
  <c r="G37" i="3"/>
  <c r="W37" i="3"/>
  <c r="V37" i="3"/>
  <c r="N37" i="3"/>
  <c r="H37" i="3" a="1"/>
  <c r="H37" i="3" s="1"/>
  <c r="F38" i="3"/>
  <c r="AU38" i="1"/>
  <c r="AQ37" i="1"/>
  <c r="AM37" i="1"/>
  <c r="AE38" i="1"/>
  <c r="AI40" i="1"/>
  <c r="AJ39" i="1"/>
  <c r="AA36" i="1"/>
  <c r="AB35" i="1"/>
  <c r="P36" i="1"/>
  <c r="S36" i="1"/>
  <c r="O37" i="1"/>
  <c r="P37" i="1" a="1"/>
  <c r="I38" i="3" l="1"/>
  <c r="T38" i="3"/>
  <c r="K38" i="3"/>
  <c r="J38" i="3"/>
  <c r="H38" i="3" a="1"/>
  <c r="H38" i="3" s="1"/>
  <c r="G38" i="3"/>
  <c r="W38" i="3"/>
  <c r="V38" i="3"/>
  <c r="U38" i="3"/>
  <c r="R38" i="3"/>
  <c r="M38" i="3"/>
  <c r="L38" i="3"/>
  <c r="S38" i="3" a="1"/>
  <c r="S38" i="3" s="1"/>
  <c r="N38" i="3"/>
  <c r="F39" i="3"/>
  <c r="AA37" i="1"/>
  <c r="AB37" i="1" s="1"/>
  <c r="AB36" i="1"/>
  <c r="AI41" i="1"/>
  <c r="AJ40" i="1"/>
  <c r="AE39" i="1"/>
  <c r="AF38" i="1"/>
  <c r="AM38" i="1"/>
  <c r="AN37" i="1"/>
  <c r="AQ38" i="1"/>
  <c r="AR37" i="1"/>
  <c r="AU39" i="1"/>
  <c r="AV39" i="1" s="1"/>
  <c r="AV38" i="1"/>
  <c r="P37" i="1"/>
  <c r="S37" i="1"/>
  <c r="O38" i="1"/>
  <c r="P38" i="1" a="1"/>
  <c r="I39" i="3" l="1"/>
  <c r="T39" i="3"/>
  <c r="W39" i="3"/>
  <c r="V39" i="3"/>
  <c r="U39" i="3"/>
  <c r="N39" i="3"/>
  <c r="M39" i="3"/>
  <c r="K39" i="3"/>
  <c r="J39" i="3"/>
  <c r="H39" i="3" a="1"/>
  <c r="H39" i="3" s="1"/>
  <c r="S39" i="3" a="1"/>
  <c r="S39" i="3" s="1"/>
  <c r="L39" i="3"/>
  <c r="R39" i="3"/>
  <c r="G39" i="3"/>
  <c r="F40" i="3"/>
  <c r="AQ39" i="1"/>
  <c r="AM39" i="1"/>
  <c r="AN39" i="1" s="1"/>
  <c r="AR38" i="1"/>
  <c r="AN38" i="1"/>
  <c r="AE40" i="1"/>
  <c r="AF39" i="1"/>
  <c r="AI42" i="1"/>
  <c r="AJ41" i="1"/>
  <c r="AA38" i="1"/>
  <c r="AB38" i="1" s="1"/>
  <c r="AU40" i="1"/>
  <c r="P38" i="1"/>
  <c r="S38" i="1"/>
  <c r="O39" i="1"/>
  <c r="P39" i="1" a="1"/>
  <c r="I40" i="3" l="1"/>
  <c r="T40" i="3"/>
  <c r="S40" i="3" a="1"/>
  <c r="S40" i="3" s="1"/>
  <c r="H40" i="3" a="1"/>
  <c r="H40" i="3" s="1"/>
  <c r="G40" i="3"/>
  <c r="W40" i="3"/>
  <c r="N40" i="3"/>
  <c r="M40" i="3"/>
  <c r="U40" i="3"/>
  <c r="L40" i="3"/>
  <c r="K40" i="3"/>
  <c r="J40" i="3"/>
  <c r="R40" i="3"/>
  <c r="V40" i="3"/>
  <c r="F41" i="3"/>
  <c r="AU41" i="1"/>
  <c r="AV41" i="1" s="1"/>
  <c r="AA39" i="1"/>
  <c r="AB39" i="1" s="1"/>
  <c r="AE41" i="1"/>
  <c r="AF40" i="1"/>
  <c r="AV40" i="1"/>
  <c r="AI43" i="1"/>
  <c r="AJ43" i="1" s="1"/>
  <c r="AJ42" i="1"/>
  <c r="AM40" i="1"/>
  <c r="AQ40" i="1"/>
  <c r="AR39" i="1"/>
  <c r="P39" i="1"/>
  <c r="S39" i="1"/>
  <c r="O40" i="1"/>
  <c r="P40" i="1" a="1"/>
  <c r="I41" i="3" l="1"/>
  <c r="T41" i="3"/>
  <c r="S41" i="3" a="1"/>
  <c r="S41" i="3" s="1"/>
  <c r="N41" i="3"/>
  <c r="M41" i="3"/>
  <c r="W41" i="3"/>
  <c r="L41" i="3"/>
  <c r="K41" i="3"/>
  <c r="V41" i="3"/>
  <c r="U41" i="3"/>
  <c r="H41" i="3" a="1"/>
  <c r="H41" i="3" s="1"/>
  <c r="G41" i="3"/>
  <c r="J41" i="3"/>
  <c r="R41" i="3"/>
  <c r="F42" i="3"/>
  <c r="AQ41" i="1"/>
  <c r="AR41" i="1" s="1"/>
  <c r="AR40" i="1"/>
  <c r="AE42" i="1"/>
  <c r="AM41" i="1"/>
  <c r="AN40" i="1"/>
  <c r="AA40" i="1"/>
  <c r="AB40" i="1" s="1"/>
  <c r="AU42" i="1"/>
  <c r="AI44" i="1"/>
  <c r="AF41" i="1"/>
  <c r="P40" i="1"/>
  <c r="S40" i="1"/>
  <c r="O41" i="1"/>
  <c r="P41" i="1" a="1"/>
  <c r="I42" i="3" l="1"/>
  <c r="T42" i="3"/>
  <c r="W42" i="3"/>
  <c r="V42" i="3"/>
  <c r="G42" i="3"/>
  <c r="U42" i="3"/>
  <c r="S42" i="3" a="1"/>
  <c r="S42" i="3" s="1"/>
  <c r="N42" i="3"/>
  <c r="M42" i="3"/>
  <c r="H42" i="3" a="1"/>
  <c r="H42" i="3" s="1"/>
  <c r="R42" i="3"/>
  <c r="K42" i="3"/>
  <c r="L42" i="3"/>
  <c r="J42" i="3"/>
  <c r="F43" i="3"/>
  <c r="AJ44" i="1"/>
  <c r="AU43" i="1"/>
  <c r="AV42" i="1"/>
  <c r="AE43" i="1"/>
  <c r="AA41" i="1"/>
  <c r="AM42" i="1"/>
  <c r="AN42" i="1" s="1"/>
  <c r="AN41" i="1"/>
  <c r="AF42" i="1"/>
  <c r="AQ42" i="1"/>
  <c r="AR42" i="1" s="1"/>
  <c r="P41" i="1"/>
  <c r="S41" i="1"/>
  <c r="O42" i="1"/>
  <c r="P42" i="1" a="1"/>
  <c r="I43" i="3" l="1"/>
  <c r="T43" i="3"/>
  <c r="R43" i="3"/>
  <c r="N43" i="3"/>
  <c r="M43" i="3"/>
  <c r="L43" i="3"/>
  <c r="K43" i="3"/>
  <c r="J43" i="3"/>
  <c r="G43" i="3"/>
  <c r="W43" i="3"/>
  <c r="V43" i="3"/>
  <c r="S43" i="3" a="1"/>
  <c r="S43" i="3" s="1"/>
  <c r="H43" i="3" a="1"/>
  <c r="H43" i="3" s="1"/>
  <c r="U43" i="3"/>
  <c r="F44" i="3"/>
  <c r="AE44" i="1"/>
  <c r="AQ43" i="1"/>
  <c r="AM43" i="1"/>
  <c r="AN43" i="1" s="1"/>
  <c r="AA42" i="1"/>
  <c r="AB41" i="1"/>
  <c r="AF43" i="1"/>
  <c r="AU44" i="1"/>
  <c r="AV43" i="1"/>
  <c r="P42" i="1"/>
  <c r="S42" i="1"/>
  <c r="O43" i="1"/>
  <c r="P43" i="1" a="1"/>
  <c r="I44" i="3" l="1"/>
  <c r="T44" i="3"/>
  <c r="R44" i="3"/>
  <c r="W44" i="3"/>
  <c r="D18" i="3" s="1"/>
  <c r="V44" i="3"/>
  <c r="N44" i="3"/>
  <c r="D17" i="3" s="1"/>
  <c r="S44" i="3" a="1"/>
  <c r="S44" i="3" s="1"/>
  <c r="M44" i="3"/>
  <c r="L44" i="3"/>
  <c r="K44" i="3"/>
  <c r="J44" i="3"/>
  <c r="U44" i="3"/>
  <c r="H44" i="3" a="1"/>
  <c r="H44" i="3" s="1"/>
  <c r="G44" i="3"/>
  <c r="AV44" i="1"/>
  <c r="AF44" i="1"/>
  <c r="AA43" i="1"/>
  <c r="AB43" i="1" s="1"/>
  <c r="AB42" i="1"/>
  <c r="AM44" i="1"/>
  <c r="AQ44" i="1"/>
  <c r="AR43" i="1"/>
  <c r="P43" i="1"/>
  <c r="S43" i="1"/>
  <c r="O44" i="1"/>
  <c r="P44" i="1" a="1"/>
  <c r="D16" i="3" l="1"/>
  <c r="D19" i="3"/>
  <c r="AR44" i="1"/>
  <c r="AN44" i="1"/>
  <c r="AA44" i="1"/>
  <c r="P44" i="1"/>
  <c r="S44" i="1"/>
  <c r="D21" i="3" l="1"/>
  <c r="D22" i="3" s="1"/>
  <c r="D20" i="3"/>
  <c r="Z91" i="1"/>
  <c r="AA80" i="1"/>
  <c r="AA91" i="1"/>
  <c r="AC80" i="1"/>
  <c r="AD80" i="1"/>
  <c r="AB91" i="1"/>
  <c r="AB80" i="1"/>
  <c r="AC91" i="1"/>
  <c r="Z80" i="1"/>
  <c r="Z69" i="1" s="1"/>
  <c r="AD91" i="1"/>
  <c r="AB44" i="1"/>
  <c r="Y80" i="1" s="1"/>
  <c r="Y91" i="1"/>
  <c r="Q5" i="1"/>
  <c r="Y69" i="1" l="1"/>
  <c r="AB69" i="1"/>
  <c r="AD69" i="1"/>
  <c r="AC69" i="1"/>
  <c r="AA69" i="1"/>
  <c r="R5" i="1"/>
  <c r="Q6" i="1"/>
  <c r="R6" i="1" s="1"/>
  <c r="Q7" i="1" l="1"/>
  <c r="R7" i="1" l="1"/>
  <c r="Q8" i="1"/>
  <c r="P75" i="1" s="1"/>
  <c r="P64" i="1" l="1"/>
  <c r="E14" i="1"/>
  <c r="R8" i="1"/>
  <c r="J14" i="1" s="1"/>
  <c r="Q9" i="1"/>
  <c r="R9" i="1" l="1"/>
  <c r="Q10" i="1"/>
  <c r="G14" i="1"/>
  <c r="K14" i="1" s="1"/>
  <c r="F14" i="1"/>
  <c r="L14" i="1" l="1"/>
  <c r="P53" i="1"/>
  <c r="H14" i="1"/>
  <c r="R10" i="1"/>
  <c r="Q11" i="1"/>
  <c r="M14" i="1" l="1"/>
  <c r="G27" i="1" s="1"/>
  <c r="Y53" i="1"/>
  <c r="B53" i="1" s="1"/>
  <c r="Q12" i="1"/>
  <c r="R11" i="1"/>
  <c r="Q65" i="1" l="1"/>
  <c r="Q76" i="1"/>
  <c r="Q13" i="1"/>
  <c r="R12" i="1"/>
  <c r="P76" i="1" s="1"/>
  <c r="E15" i="1"/>
  <c r="P65" i="1" l="1"/>
  <c r="J15" i="1"/>
  <c r="G15" i="1"/>
  <c r="F15" i="1"/>
  <c r="R13" i="1"/>
  <c r="Q14" i="1"/>
  <c r="P54" i="1" l="1"/>
  <c r="Q54" i="1"/>
  <c r="K15" i="1"/>
  <c r="L15" i="1" s="1"/>
  <c r="H15" i="1"/>
  <c r="R14" i="1"/>
  <c r="Q15" i="1"/>
  <c r="M15" i="1" l="1"/>
  <c r="G28" i="1" s="1"/>
  <c r="Z54" i="1"/>
  <c r="Y54" i="1"/>
  <c r="C54" i="1"/>
  <c r="B54" i="1"/>
  <c r="Q16" i="1"/>
  <c r="R15" i="1"/>
  <c r="R66" i="1" l="1"/>
  <c r="Q17" i="1"/>
  <c r="E16" i="1"/>
  <c r="R77" i="1"/>
  <c r="R16" i="1"/>
  <c r="Q77" i="1" s="1"/>
  <c r="P77" i="1" l="1"/>
  <c r="R17" i="1"/>
  <c r="Q18" i="1"/>
  <c r="P66" i="1"/>
  <c r="Q66" i="1"/>
  <c r="F16" i="1"/>
  <c r="J16" i="1"/>
  <c r="G16" i="1"/>
  <c r="Q19" i="1" l="1"/>
  <c r="R19" i="1" s="1"/>
  <c r="R18" i="1"/>
  <c r="Q55" i="1"/>
  <c r="P55" i="1"/>
  <c r="R55" i="1"/>
  <c r="K16" i="1"/>
  <c r="L16" i="1" s="1"/>
  <c r="H16" i="1"/>
  <c r="M16" i="1" l="1"/>
  <c r="G29" i="1" s="1"/>
  <c r="Z55" i="1"/>
  <c r="AA55" i="1"/>
  <c r="Y55" i="1"/>
  <c r="B55" i="1" s="1"/>
  <c r="D55" i="1"/>
  <c r="C55" i="1"/>
  <c r="Q20" i="1"/>
  <c r="S67" i="1" s="1"/>
  <c r="S78" i="1" l="1"/>
  <c r="R20" i="1"/>
  <c r="Q78" i="1" s="1"/>
  <c r="E17" i="1"/>
  <c r="Q21" i="1"/>
  <c r="Q22" i="1" s="1"/>
  <c r="R67" i="1" l="1"/>
  <c r="P78" i="1"/>
  <c r="Q67" i="1"/>
  <c r="F17" i="1"/>
  <c r="P67" i="1"/>
  <c r="G17" i="1"/>
  <c r="J17" i="1"/>
  <c r="R21" i="1"/>
  <c r="R78" i="1"/>
  <c r="R22" i="1"/>
  <c r="Q23" i="1"/>
  <c r="Q24" i="1" s="1"/>
  <c r="K17" i="1" l="1"/>
  <c r="L17" i="1" s="1"/>
  <c r="S56" i="1"/>
  <c r="R56" i="1"/>
  <c r="P56" i="1"/>
  <c r="Q56" i="1"/>
  <c r="H17" i="1"/>
  <c r="R23" i="1"/>
  <c r="T68" i="1"/>
  <c r="T79" i="1"/>
  <c r="Q25" i="1"/>
  <c r="E18" i="1"/>
  <c r="R24" i="1"/>
  <c r="M17" i="1" l="1"/>
  <c r="G30" i="1" s="1"/>
  <c r="AA56" i="1"/>
  <c r="Z56" i="1"/>
  <c r="Y56" i="1"/>
  <c r="AB56" i="1"/>
  <c r="D56" i="1"/>
  <c r="C56" i="1"/>
  <c r="B56" i="1"/>
  <c r="E56" i="1"/>
  <c r="P79" i="1"/>
  <c r="Q79" i="1"/>
  <c r="S68" i="1"/>
  <c r="S79" i="1"/>
  <c r="R79" i="1"/>
  <c r="P68" i="1"/>
  <c r="Q68" i="1"/>
  <c r="R68" i="1"/>
  <c r="J18" i="1"/>
  <c r="F18" i="1"/>
  <c r="G18" i="1"/>
  <c r="Q26" i="1"/>
  <c r="R25" i="1"/>
  <c r="P57" i="1" l="1"/>
  <c r="Q57" i="1"/>
  <c r="R57" i="1"/>
  <c r="S57" i="1"/>
  <c r="T57" i="1"/>
  <c r="K18" i="1"/>
  <c r="L18" i="1" s="1"/>
  <c r="R26" i="1"/>
  <c r="Q27" i="1"/>
  <c r="H18" i="1"/>
  <c r="M18" i="1" l="1"/>
  <c r="G31" i="1" s="1"/>
  <c r="AC57" i="1"/>
  <c r="AA57" i="1"/>
  <c r="Y57" i="1"/>
  <c r="Z57" i="1"/>
  <c r="AB57" i="1"/>
  <c r="E57" i="1" s="1"/>
  <c r="F57" i="1"/>
  <c r="D57" i="1"/>
  <c r="C57" i="1"/>
  <c r="B57" i="1"/>
  <c r="Q28" i="1"/>
  <c r="R27" i="1"/>
  <c r="Q29" i="1" l="1"/>
  <c r="R28" i="1"/>
  <c r="Q30" i="1" l="1"/>
  <c r="R29" i="1"/>
  <c r="Q31" i="1" l="1"/>
  <c r="R30" i="1"/>
  <c r="Q32" i="1" l="1"/>
  <c r="R31" i="1"/>
  <c r="Q33" i="1" l="1"/>
  <c r="R32" i="1"/>
  <c r="Q34" i="1" l="1"/>
  <c r="R33" i="1"/>
  <c r="Q35" i="1" l="1"/>
  <c r="R34" i="1"/>
  <c r="Q36" i="1" l="1"/>
  <c r="R35" i="1"/>
  <c r="Q37" i="1" l="1"/>
  <c r="R36" i="1"/>
  <c r="Q38" i="1" l="1"/>
  <c r="R37" i="1"/>
  <c r="Q39" i="1" l="1"/>
  <c r="R38" i="1"/>
  <c r="Q40" i="1" l="1"/>
  <c r="R39" i="1"/>
  <c r="Q41" i="1" l="1"/>
  <c r="R40" i="1"/>
  <c r="Q42" i="1" l="1"/>
  <c r="R41" i="1"/>
  <c r="Q43" i="1" l="1"/>
  <c r="R42" i="1"/>
  <c r="R43" i="1" l="1"/>
  <c r="Q44" i="1"/>
  <c r="U69" i="1" l="1"/>
  <c r="U80" i="1"/>
  <c r="E19" i="1"/>
  <c r="R44" i="1"/>
  <c r="P80" i="1" s="1"/>
  <c r="T80" i="1" l="1"/>
  <c r="Q80" i="1"/>
  <c r="S80" i="1"/>
  <c r="R80" i="1"/>
  <c r="P69" i="1"/>
  <c r="Q69" i="1"/>
  <c r="R69" i="1"/>
  <c r="S69" i="1"/>
  <c r="T69" i="1"/>
  <c r="J19" i="1"/>
  <c r="F19" i="1"/>
  <c r="G19" i="1"/>
  <c r="K19" i="1" l="1"/>
  <c r="L19" i="1" s="1"/>
  <c r="R58" i="1"/>
  <c r="S58" i="1"/>
  <c r="T58" i="1"/>
  <c r="U58" i="1"/>
  <c r="Q58" i="1"/>
  <c r="P58" i="1"/>
  <c r="H19" i="1"/>
  <c r="M19" i="1" l="1"/>
  <c r="G32" i="1" s="1"/>
  <c r="Z58" i="1"/>
  <c r="AC58" i="1"/>
  <c r="AA58" i="1"/>
  <c r="AD58" i="1"/>
  <c r="AB58" i="1"/>
  <c r="Y58" i="1"/>
  <c r="B58" i="1" s="1"/>
  <c r="D58" i="1"/>
  <c r="F58" i="1"/>
  <c r="C58" i="1"/>
  <c r="G58" i="1"/>
  <c r="E58" i="1"/>
  <c r="B64" i="1" l="1" a="1"/>
  <c r="B64" i="1" s="1"/>
  <c r="D27" i="1" s="1" a="1"/>
  <c r="H32" i="1" s="1"/>
  <c r="D27" i="1" l="1"/>
  <c r="H27" i="1" s="1"/>
  <c r="H31" i="1"/>
  <c r="H29" i="1"/>
  <c r="H28" i="1"/>
  <c r="H30" i="1"/>
  <c r="H23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<sst xmlns="http://schemas.openxmlformats.org/spreadsheetml/2006/main" count="311" uniqueCount="149">
  <si>
    <t>CreditName</t>
  </si>
  <si>
    <t>RecoveryRate, R</t>
  </si>
  <si>
    <t>Premium</t>
  </si>
  <si>
    <t>PremiumFrequency</t>
  </si>
  <si>
    <t>QUARTERLY</t>
  </si>
  <si>
    <r>
      <t xml:space="preserve">PremiumYearFraction,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</t>
    </r>
  </si>
  <si>
    <t>USA_SOV</t>
  </si>
  <si>
    <t>Time, T</t>
  </si>
  <si>
    <t>Coupon</t>
  </si>
  <si>
    <t>P(Survive), Q(T)</t>
  </si>
  <si>
    <t>LossGivenDefault, LGD</t>
  </si>
  <si>
    <t>CDS Curve</t>
  </si>
  <si>
    <t>Tenor</t>
  </si>
  <si>
    <t>1Y</t>
  </si>
  <si>
    <t>2Y</t>
  </si>
  <si>
    <t>3Y</t>
  </si>
  <si>
    <t>4Y</t>
  </si>
  <si>
    <t>5Y</t>
  </si>
  <si>
    <t>10Y</t>
  </si>
  <si>
    <t>Currency</t>
  </si>
  <si>
    <t>Notional</t>
  </si>
  <si>
    <t>USD</t>
  </si>
  <si>
    <t>Hazard Rate</t>
  </si>
  <si>
    <t>Time, t</t>
  </si>
  <si>
    <t>DiscFactor</t>
  </si>
  <si>
    <t>Yield Curve</t>
  </si>
  <si>
    <t>Discount Factors</t>
  </si>
  <si>
    <t>ZeroRate</t>
  </si>
  <si>
    <t>P(Default)</t>
  </si>
  <si>
    <t>Accrued</t>
  </si>
  <si>
    <t>Protection</t>
  </si>
  <si>
    <t>Credit Spread</t>
  </si>
  <si>
    <t>Total PV</t>
  </si>
  <si>
    <t>Epsilon</t>
  </si>
  <si>
    <t>Term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</si>
  <si>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</si>
  <si>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</si>
  <si>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</si>
  <si>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</si>
  <si>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</si>
  <si>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</si>
  <si>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</si>
  <si>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</si>
  <si>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</si>
  <si>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</si>
  <si>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</si>
  <si>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4. Show Iterations</t>
  </si>
  <si>
    <t>Solver Iteration Results</t>
  </si>
  <si>
    <t>Multi-Dimensional Newton-Raphson Algorithm</t>
  </si>
  <si>
    <t>2. Tolerance</t>
  </si>
  <si>
    <t>RMSE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</si>
  <si>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  <r>
      <rPr>
        <sz val="11"/>
        <color theme="1"/>
        <rFont val="Calibri"/>
        <family val="2"/>
        <scheme val="minor"/>
      </rPr>
      <t xml:space="preserve"> =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</si>
  <si>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3. Initial Guess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</si>
  <si>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</si>
  <si>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</si>
  <si>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</si>
  <si>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 xml:space="preserve">1. CDS Market Data </t>
  </si>
  <si>
    <t>Time (Years)</t>
  </si>
  <si>
    <t>Risky Annuity</t>
  </si>
  <si>
    <t>CDS PVs</t>
  </si>
  <si>
    <t>Inverse Jacobian, dH/dP</t>
  </si>
  <si>
    <t>Jacobian, dP/dH</t>
  </si>
  <si>
    <t>dP/dH</t>
  </si>
  <si>
    <t>dH/dP</t>
  </si>
  <si>
    <r>
      <t>dH</t>
    </r>
    <r>
      <rPr>
        <vertAlign val="subscript"/>
        <sz val="11"/>
        <color theme="1"/>
        <rFont val="Calibri"/>
        <family val="2"/>
        <scheme val="minor"/>
      </rPr>
      <t>1Y</t>
    </r>
  </si>
  <si>
    <r>
      <t>dH</t>
    </r>
    <r>
      <rPr>
        <vertAlign val="subscript"/>
        <sz val="11"/>
        <color theme="1"/>
        <rFont val="Calibri"/>
        <family val="2"/>
        <scheme val="minor"/>
      </rPr>
      <t>2Y</t>
    </r>
  </si>
  <si>
    <r>
      <t>dH</t>
    </r>
    <r>
      <rPr>
        <vertAlign val="subscript"/>
        <sz val="11"/>
        <color theme="1"/>
        <rFont val="Calibri"/>
        <family val="2"/>
        <scheme val="minor"/>
      </rPr>
      <t>3Y</t>
    </r>
  </si>
  <si>
    <r>
      <t>dH</t>
    </r>
    <r>
      <rPr>
        <vertAlign val="subscript"/>
        <sz val="11"/>
        <color theme="1"/>
        <rFont val="Calibri"/>
        <family val="2"/>
        <scheme val="minor"/>
      </rPr>
      <t>4Y</t>
    </r>
  </si>
  <si>
    <r>
      <t>dH</t>
    </r>
    <r>
      <rPr>
        <vertAlign val="subscript"/>
        <sz val="11"/>
        <color theme="1"/>
        <rFont val="Calibri"/>
        <family val="2"/>
        <scheme val="minor"/>
      </rPr>
      <t>5Y</t>
    </r>
  </si>
  <si>
    <r>
      <t>dH</t>
    </r>
    <r>
      <rPr>
        <vertAlign val="subscript"/>
        <sz val="11"/>
        <color theme="1"/>
        <rFont val="Calibri"/>
        <family val="2"/>
        <scheme val="minor"/>
      </rPr>
      <t>10Y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</si>
  <si>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</si>
  <si>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</si>
  <si>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</si>
  <si>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</si>
  <si>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</si>
  <si>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10Y</t>
    </r>
  </si>
  <si>
    <t>Calibration Results</t>
  </si>
  <si>
    <t>Par Spread (bps)</t>
  </si>
  <si>
    <t>CDS Par Spreads</t>
  </si>
  <si>
    <t>Simple Yield Curve for Demo Purposes</t>
  </si>
  <si>
    <t>Iteration: 3</t>
  </si>
  <si>
    <t>+/-</t>
  </si>
  <si>
    <t>dProtection/dH</t>
  </si>
  <si>
    <t>dRiskyAnnuity/dH</t>
  </si>
  <si>
    <r>
      <t>dPROT</t>
    </r>
    <r>
      <rPr>
        <vertAlign val="subscript"/>
        <sz val="11"/>
        <color theme="1"/>
        <rFont val="Calibri"/>
        <family val="2"/>
        <scheme val="minor"/>
      </rPr>
      <t>1Y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</si>
  <si>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2Y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</si>
  <si>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3Y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</si>
  <si>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4Y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</si>
  <si>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5Y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</si>
  <si>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10Y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</si>
  <si>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1Y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</si>
  <si>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2Y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</si>
  <si>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3Y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</si>
  <si>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4Y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</si>
  <si>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5Y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</si>
  <si>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10Y</t>
    </r>
  </si>
  <si>
    <t>dPROT/dH</t>
  </si>
  <si>
    <t>dRA/dH</t>
  </si>
  <si>
    <r>
      <rPr>
        <b/>
        <sz val="11"/>
        <color rgb="FF0000FF"/>
        <rFont val="Calibri"/>
        <family val="2"/>
        <scheme val="minor"/>
      </rPr>
      <t>Numerical</t>
    </r>
    <r>
      <rPr>
        <b/>
        <sz val="11"/>
        <color theme="1"/>
        <rFont val="Calibri"/>
        <family val="2"/>
        <scheme val="minor"/>
      </rPr>
      <t xml:space="preserve"> Jacobian, dP/dH</t>
    </r>
  </si>
  <si>
    <r>
      <rPr>
        <b/>
        <sz val="11"/>
        <color rgb="FF0000FF"/>
        <rFont val="Calibri"/>
        <family val="2"/>
        <scheme val="minor"/>
      </rPr>
      <t>Analytical</t>
    </r>
    <r>
      <rPr>
        <b/>
        <sz val="11"/>
        <color theme="1"/>
        <rFont val="Calibri"/>
        <family val="2"/>
        <scheme val="minor"/>
      </rPr>
      <t xml:space="preserve"> Jacobian, dP/dH</t>
    </r>
  </si>
  <si>
    <t>Bump 1Y</t>
  </si>
  <si>
    <t>Bump 2Y</t>
  </si>
  <si>
    <t>Bump 4Y</t>
  </si>
  <si>
    <t>Bump 5Y</t>
  </si>
  <si>
    <t>Bump 3 Y</t>
  </si>
  <si>
    <t>Hazard Rates &amp; Probabilities</t>
  </si>
  <si>
    <t>Shifted-Hazard</t>
  </si>
  <si>
    <t>Hazard</t>
  </si>
  <si>
    <t>Rates</t>
  </si>
  <si>
    <t>Bump 10Y</t>
  </si>
  <si>
    <t>Rate</t>
  </si>
  <si>
    <t>Shifted Protection PV</t>
  </si>
  <si>
    <t>Shifted Risky Annuity</t>
  </si>
  <si>
    <r>
      <t>ParRate</t>
    </r>
    <r>
      <rPr>
        <vertAlign val="subscript"/>
        <sz val="11"/>
        <color theme="1"/>
        <rFont val="Calibri"/>
        <family val="2"/>
        <scheme val="minor"/>
      </rPr>
      <t>1Y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</si>
  <si>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2Y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</si>
  <si>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3Y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</si>
  <si>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4Y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</si>
  <si>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5Y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</si>
  <si>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10Y</t>
    </r>
  </si>
  <si>
    <t>Par Rate</t>
  </si>
  <si>
    <t>Shifted Par Rate %</t>
  </si>
  <si>
    <t>Shift Size</t>
  </si>
  <si>
    <t>NUMERICAL</t>
  </si>
  <si>
    <t>&lt;--- Can be computed numerically or analytically</t>
  </si>
  <si>
    <t>Par Spread (%)</t>
  </si>
  <si>
    <t>Premium Leg</t>
  </si>
  <si>
    <t>CreditSpread (bps)</t>
  </si>
  <si>
    <t>Buy/Sell Protection</t>
  </si>
  <si>
    <t>BUY</t>
  </si>
  <si>
    <t>RecoveryRate</t>
  </si>
  <si>
    <t>Parameters</t>
  </si>
  <si>
    <t>CreditSpread (in %)</t>
  </si>
  <si>
    <t>YearFraction</t>
  </si>
  <si>
    <t>PremiumSign</t>
  </si>
  <si>
    <t>ProtectionSign</t>
  </si>
  <si>
    <t>-</t>
  </si>
  <si>
    <t>Results</t>
  </si>
  <si>
    <t>PV( CDS )</t>
  </si>
  <si>
    <t>PV( Premium Leg )</t>
  </si>
  <si>
    <t>PV( Protection Leg)</t>
  </si>
  <si>
    <t>PV01</t>
  </si>
  <si>
    <t>HazardRate</t>
  </si>
  <si>
    <t>Premium PV</t>
  </si>
  <si>
    <t>Accrued PV</t>
  </si>
  <si>
    <t>Protection Leg</t>
  </si>
  <si>
    <t>LGD</t>
  </si>
  <si>
    <t>Credit Default Swap (CDS)</t>
  </si>
  <si>
    <t>Tenor (years)</t>
  </si>
  <si>
    <t>DiscFact, P(0,T)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</si>
</sst>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%"/>
    <numFmt numFmtId="165" formatCode="#,##0.000000"/>
    <numFmt numFmtId="167" formatCode="#,##0.0000"/>
    <numFmt numFmtId="168" formatCode="0.00000%"/>
    <numFmt numFmtId="169" formatCode="0.0000000%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1498458815271462"/>
      </right>
      <top/>
      <bottom/>
      <diagonal/>
    </border>
    <border>
      <left/>
      <right/>
      <top/>
      <bottom style="thin">
        <color theme="0" tint="-0.1498458815271462"/>
      </bottom>
      <diagonal/>
    </border>
    <border>
      <left/>
      <right style="thin">
        <color theme="0" tint="-0.1498458815271462"/>
      </right>
      <top/>
      <bottom style="thin">
        <color theme="0" tint="-0.149845881527146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/>
      <diagonal/>
    </border>
    <border>
      <left/>
      <right/>
      <top style="thin">
        <color theme="0" tint="-0.1498458815271462"/>
      </top>
      <bottom/>
      <diagonal/>
    </border>
    <border>
      <left/>
      <right style="thin">
        <color theme="0" tint="-0.1498458815271462"/>
      </right>
      <top style="thin">
        <color theme="0" tint="-0.1498458815271462"/>
      </top>
      <bottom/>
      <diagonal/>
    </border>
    <border>
      <left style="thin">
        <color theme="0" tint="-0.1498458815271462"/>
      </left>
      <right/>
      <top/>
      <bottom/>
      <diagonal/>
    </border>
    <border>
      <left style="thin">
        <color theme="0" tint="-0.1498458815271462"/>
      </left>
      <right/>
      <top/>
      <bottom style="thin">
        <color theme="0" tint="-0.1498458815271462"/>
      </bottom>
      <diagonal/>
    </border>
  </borders>
  <cellStyleXfs count="1">
    <xf numFmtId="0" fontId="0" fillId="0" borderId="0"/>
  </cellStyleXfs>
  <cellXfs count="197">
    <xf numFmtId="0" fontId="0" fillId="0" borderId="0" xfId="0"/>
    <xf numFmtId="0" fontId="2" fillId="0" borderId="0" xfId="0" applyFont="1"/>
    <xf numFmtId="0" fontId="0" fillId="2" borderId="3" xfId="0" applyFill="1" applyBorder="1"/>
    <xf numFmtId="0" fontId="0" fillId="0" borderId="1" xfId="0" applyBorder="1"/>
    <xf numFmtId="0" fontId="0" fillId="0" borderId="0" xfId="0" applyAlignment="1">
      <alignment horizontal="center" vertical="center"/>
    </xf>
    <xf numFmtId="3" fontId="0" fillId="0" borderId="12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4" fontId="0" fillId="0" borderId="14" xfId="0" applyNumberFormat="1" applyBorder="1" applyAlignment="1">
      <alignment horizontal="center"/>
    </xf>
    <xf numFmtId="10" fontId="0" fillId="0" borderId="0" xfId="0" applyNumberForma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" fontId="0" fillId="0" borderId="17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13" xfId="0" applyNumberFormat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left" vertical="center"/>
    </xf>
    <xf numFmtId="168" fontId="0" fillId="0" borderId="0" xfId="0" applyNumberFormat="1" applyAlignment="1">
      <alignment horizontal="center" vertical="center"/>
    </xf>
    <xf numFmtId="0" fontId="0" fillId="4" borderId="8" xfId="0" applyFill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" fontId="0" fillId="0" borderId="2" xfId="0" applyNumberFormat="1" applyBorder="1" applyAlignment="1">
      <alignment horizontal="center"/>
    </xf>
    <xf numFmtId="3" fontId="0" fillId="4" borderId="2" xfId="0" applyNumberFormat="1" applyFill="1" applyBorder="1" applyAlignment="1">
      <alignment horizontal="center"/>
    </xf>
    <xf numFmtId="10" fontId="0" fillId="4" borderId="2" xfId="0" applyNumberFormat="1" applyFill="1" applyBorder="1" applyAlignment="1">
      <alignment horizontal="center"/>
    </xf>
    <xf numFmtId="4" fontId="0" fillId="3" borderId="2" xfId="0" applyNumberFormat="1" applyFill="1" applyBorder="1" applyAlignment="1">
      <alignment horizontal="center"/>
    </xf>
    <xf numFmtId="3" fontId="0" fillId="3" borderId="3" xfId="0" applyNumberForma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1" fontId="0" fillId="4" borderId="5" xfId="0" applyNumberFormat="1" applyFill="1" applyBorder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0" fontId="0" fillId="0" borderId="0" xfId="0" quotePrefix="1" applyAlignment="1">
      <alignment horizontal="center" vertical="center" wrapText="1"/>
    </xf>
    <xf numFmtId="168" fontId="5" fillId="0" borderId="0" xfId="0" applyNumberFormat="1" applyFont="1" applyAlignment="1">
      <alignment horizontal="center" vertical="center"/>
    </xf>
    <xf numFmtId="168" fontId="0" fillId="4" borderId="0" xfId="0" applyNumberFormat="1" applyFill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168" fontId="5" fillId="0" borderId="22" xfId="0" applyNumberFormat="1" applyFont="1" applyBorder="1" applyAlignment="1">
      <alignment horizontal="center" vertical="center"/>
    </xf>
    <xf numFmtId="168" fontId="0" fillId="0" borderId="22" xfId="0" applyNumberFormat="1" applyBorder="1" applyAlignment="1">
      <alignment horizontal="center" vertical="center"/>
    </xf>
    <xf numFmtId="168" fontId="0" fillId="4" borderId="22" xfId="0" applyNumberForma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7" xfId="0" applyNumberFormat="1" applyBorder="1" applyAlignment="1">
      <alignment horizontal="center" vertical="center"/>
    </xf>
    <xf numFmtId="168" fontId="5" fillId="0" borderId="27" xfId="0" applyNumberFormat="1" applyFont="1" applyBorder="1" applyAlignment="1">
      <alignment horizontal="center" vertical="center"/>
    </xf>
    <xf numFmtId="168" fontId="0" fillId="0" borderId="27" xfId="0" applyNumberFormat="1" applyBorder="1" applyAlignment="1">
      <alignment horizontal="center" vertical="center"/>
    </xf>
    <xf numFmtId="168" fontId="0" fillId="4" borderId="27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4" fontId="0" fillId="4" borderId="18" xfId="0" applyNumberForma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4" fontId="0" fillId="4" borderId="19" xfId="0" applyNumberFormat="1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4" fontId="0" fillId="4" borderId="32" xfId="0" applyNumberFormat="1" applyFill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15" xfId="0" applyNumberFormat="1" applyBorder="1" applyAlignment="1">
      <alignment horizontal="center" vertical="center"/>
    </xf>
    <xf numFmtId="168" fontId="0" fillId="0" borderId="23" xfId="0" applyNumberFormat="1" applyBorder="1" applyAlignment="1">
      <alignment horizontal="center" vertical="center"/>
    </xf>
    <xf numFmtId="168" fontId="0" fillId="0" borderId="25" xfId="0" applyNumberFormat="1" applyBorder="1" applyAlignment="1">
      <alignment horizontal="center" vertical="center"/>
    </xf>
    <xf numFmtId="168" fontId="0" fillId="0" borderId="28" xfId="0" applyNumberForma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167" fontId="10" fillId="3" borderId="9" xfId="0" applyNumberFormat="1" applyFont="1" applyFill="1" applyBorder="1" applyAlignment="1">
      <alignment horizontal="center" vertical="center"/>
    </xf>
    <xf numFmtId="167" fontId="0" fillId="0" borderId="10" xfId="0" applyNumberFormat="1" applyBorder="1" applyAlignment="1">
      <alignment horizontal="center" vertical="center"/>
    </xf>
    <xf numFmtId="167" fontId="0" fillId="0" borderId="11" xfId="0" applyNumberFormat="1" applyBorder="1" applyAlignment="1">
      <alignment horizontal="center" vertical="center"/>
    </xf>
    <xf numFmtId="167" fontId="10" fillId="3" borderId="12" xfId="0" applyNumberFormat="1" applyFont="1" applyFill="1" applyBorder="1" applyAlignment="1">
      <alignment horizontal="center" vertical="center"/>
    </xf>
    <xf numFmtId="167" fontId="10" fillId="3" borderId="0" xfId="0" applyNumberFormat="1" applyFont="1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167" fontId="2" fillId="3" borderId="14" xfId="0" applyNumberFormat="1" applyFont="1" applyFill="1" applyBorder="1" applyAlignment="1">
      <alignment horizontal="center" vertical="center"/>
    </xf>
    <xf numFmtId="167" fontId="2" fillId="3" borderId="4" xfId="0" applyNumberFormat="1" applyFont="1" applyFill="1" applyBorder="1" applyAlignment="1">
      <alignment horizontal="center" vertical="center"/>
    </xf>
    <xf numFmtId="167" fontId="10" fillId="3" borderId="15" xfId="0" applyNumberFormat="1" applyFont="1" applyFill="1" applyBorder="1" applyAlignment="1">
      <alignment horizontal="center" vertical="center"/>
    </xf>
    <xf numFmtId="167" fontId="4" fillId="0" borderId="12" xfId="0" applyNumberFormat="1" applyFont="1" applyBorder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4" fontId="0" fillId="0" borderId="29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4" fontId="0" fillId="0" borderId="31" xfId="0" applyNumberFormat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9" fontId="0" fillId="0" borderId="33" xfId="0" applyNumberFormat="1" applyBorder="1" applyAlignment="1">
      <alignment horizontal="center" vertical="center"/>
    </xf>
    <xf numFmtId="169" fontId="0" fillId="0" borderId="34" xfId="0" applyNumberFormat="1" applyBorder="1" applyAlignment="1">
      <alignment horizontal="center" vertical="center"/>
    </xf>
    <xf numFmtId="169" fontId="0" fillId="0" borderId="35" xfId="0" applyNumberFormat="1" applyBorder="1" applyAlignment="1">
      <alignment horizontal="center" vertical="center"/>
    </xf>
    <xf numFmtId="169" fontId="0" fillId="0" borderId="36" xfId="0" applyNumberFormat="1" applyBorder="1" applyAlignment="1">
      <alignment horizontal="center" vertical="center"/>
    </xf>
    <xf numFmtId="169" fontId="0" fillId="0" borderId="37" xfId="0" applyNumberFormat="1" applyBorder="1" applyAlignment="1">
      <alignment horizontal="center" vertical="center"/>
    </xf>
    <xf numFmtId="169" fontId="0" fillId="0" borderId="38" xfId="0" applyNumberFormat="1" applyBorder="1" applyAlignment="1">
      <alignment horizontal="center" vertical="center"/>
    </xf>
    <xf numFmtId="169" fontId="0" fillId="0" borderId="39" xfId="0" applyNumberFormat="1" applyBorder="1" applyAlignment="1">
      <alignment horizontal="center" vertical="center"/>
    </xf>
    <xf numFmtId="169" fontId="0" fillId="0" borderId="40" xfId="0" applyNumberFormat="1" applyBorder="1" applyAlignment="1">
      <alignment horizontal="center" vertical="center"/>
    </xf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0" xfId="0"/>
    <xf numFmtId="0" fontId="0" fillId="0" borderId="0" xfId="0" quotePrefix="1" applyAlignment="1">
      <alignment horizontal="center" vertical="center"/>
    </xf>
    <xf numFmtId="167" fontId="10" fillId="3" borderId="0" xfId="0" applyNumberFormat="1" applyFont="1" applyFill="1" applyBorder="1" applyAlignment="1">
      <alignment horizontal="center" vertical="center"/>
    </xf>
    <xf numFmtId="167" fontId="10" fillId="3" borderId="14" xfId="0" applyNumberFormat="1" applyFont="1" applyFill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7" fontId="10" fillId="3" borderId="4" xfId="0" applyNumberFormat="1" applyFont="1" applyFill="1" applyBorder="1" applyAlignment="1">
      <alignment horizontal="center" vertical="center"/>
    </xf>
    <xf numFmtId="167" fontId="0" fillId="0" borderId="0" xfId="0" applyNumberFormat="1"/>
    <xf numFmtId="10" fontId="0" fillId="0" borderId="11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169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0" fontId="0" fillId="0" borderId="0" xfId="0" applyNumberFormat="1" applyBorder="1" applyAlignment="1">
      <alignment horizontal="center"/>
    </xf>
    <xf numFmtId="9" fontId="0" fillId="0" borderId="0" xfId="0" applyNumberFormat="1"/>
    <xf numFmtId="0" fontId="0" fillId="0" borderId="0" xfId="0" applyBorder="1" applyAlignment="1">
      <alignment horizontal="center" vertical="center"/>
    </xf>
    <xf numFmtId="0" fontId="0" fillId="0" borderId="0" xfId="0" applyBorder="1"/>
    <xf numFmtId="164" fontId="5" fillId="0" borderId="9" xfId="0" applyNumberFormat="1" applyFont="1" applyBorder="1" applyAlignment="1">
      <alignment horizontal="center" vertical="center"/>
    </xf>
    <xf numFmtId="164" fontId="5" fillId="0" borderId="12" xfId="0" applyNumberFormat="1" applyFont="1" applyBorder="1" applyAlignment="1">
      <alignment horizontal="center" vertical="center"/>
    </xf>
    <xf numFmtId="164" fontId="5" fillId="5" borderId="12" xfId="0" applyNumberFormat="1" applyFont="1" applyFill="1" applyBorder="1" applyAlignment="1">
      <alignment horizontal="center" vertical="center"/>
    </xf>
    <xf numFmtId="164" fontId="5" fillId="5" borderId="10" xfId="0" applyNumberFormat="1" applyFont="1" applyFill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164" fontId="10" fillId="3" borderId="9" xfId="0" applyNumberFormat="1" applyFont="1" applyFill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10" fillId="3" borderId="12" xfId="0" applyNumberFormat="1" applyFont="1" applyFill="1" applyBorder="1" applyAlignment="1">
      <alignment horizontal="center" vertical="center"/>
    </xf>
    <xf numFmtId="164" fontId="10" fillId="3" borderId="0" xfId="0" applyNumberFormat="1" applyFont="1" applyFill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3" fontId="10" fillId="3" borderId="12" xfId="0" applyNumberFormat="1" applyFont="1" applyFill="1" applyBorder="1" applyAlignment="1">
      <alignment horizontal="center" vertical="center"/>
    </xf>
    <xf numFmtId="3" fontId="10" fillId="3" borderId="0" xfId="0" applyNumberFormat="1" applyFont="1" applyFill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2" fillId="3" borderId="14" xfId="0" applyNumberFormat="1" applyFont="1" applyFill="1" applyBorder="1" applyAlignment="1">
      <alignment horizontal="center" vertical="center"/>
    </xf>
    <xf numFmtId="3" fontId="2" fillId="3" borderId="4" xfId="0" applyNumberFormat="1" applyFont="1" applyFill="1" applyBorder="1" applyAlignment="1">
      <alignment horizontal="center" vertical="center"/>
    </xf>
    <xf numFmtId="3" fontId="2" fillId="3" borderId="15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168" fontId="0" fillId="6" borderId="0" xfId="0" applyNumberFormat="1" applyFill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4" fontId="0" fillId="4" borderId="2" xfId="0" applyNumberFormat="1" applyFill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64" fontId="11" fillId="0" borderId="2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/>
    </xf>
    <xf numFmtId="4" fontId="0" fillId="0" borderId="9" xfId="0" applyNumberFormat="1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67" fontId="0" fillId="0" borderId="0" xfId="0" quotePrefix="1" applyNumberFormat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11" xfId="0" applyBorder="1"/>
    <xf numFmtId="0" fontId="0" fillId="0" borderId="13" xfId="0" applyBorder="1"/>
    <xf numFmtId="0" fontId="0" fillId="0" borderId="15" xfId="0" applyBorder="1"/>
    <xf numFmtId="3" fontId="2" fillId="0" borderId="1" xfId="0" applyNumberFormat="1" applyFont="1" applyBorder="1" applyAlignment="1">
      <alignment horizontal="center" vertical="center"/>
    </xf>
    <xf numFmtId="4" fontId="0" fillId="4" borderId="2" xfId="0" applyNumberFormat="1" applyFill="1" applyBorder="1" applyAlignment="1">
      <alignment horizontal="center" vertical="center"/>
    </xf>
    <xf numFmtId="10" fontId="0" fillId="4" borderId="3" xfId="0" applyNumberFormat="1" applyFill="1" applyBorder="1" applyAlignment="1">
      <alignment horizontal="center"/>
    </xf>
    <xf numFmtId="164" fontId="0" fillId="4" borderId="15" xfId="0" applyNumberFormat="1" applyFill="1" applyBorder="1" applyAlignment="1">
      <alignment horizontal="center"/>
    </xf>
    <xf numFmtId="4" fontId="0" fillId="0" borderId="3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34</xdr:row>
          <xdr:rowOff>38100</xdr:rowOff>
        </xdr:from>
        <xdr:to>
          <xdr:col>3</xdr:col>
          <xdr:colOff>144780</xdr:colOff>
          <xdr:row>37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556260</xdr:colOff>
      <xdr:row>1</xdr:row>
      <xdr:rowOff>114300</xdr:rowOff>
    </xdr:from>
    <xdr:to>
      <xdr:col>41</xdr:col>
      <xdr:colOff>243338</xdr:colOff>
      <xdr:row>29</xdr:row>
      <xdr:rowOff>19793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DF522D6-0205-4C75-AB40-87B025242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07980" y="297180"/>
          <a:ext cx="10050278" cy="50261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A4356-B9C1-4D7C-BA2F-5EA36A9DD27E}">
  <sheetPr codeName="Sheet2"/>
  <dimension ref="B2:F16"/>
  <sheetViews>
    <sheetView showGridLines="0" workbookViewId="0"/>
  </sheetViews>
  <sheetFormatPr defaultRowHeight="14.4" x14ac:dyDescent="0.3"/>
  <cols>
    <col min="2" max="3" width="12.77734375" customWidth="1"/>
    <col min="5" max="6" width="12.77734375" customWidth="1"/>
  </cols>
  <sheetData>
    <row r="2" spans="2:6" x14ac:dyDescent="0.3">
      <c r="B2" t="s">
        <v>79</v>
      </c>
    </row>
    <row r="4" spans="2:6" x14ac:dyDescent="0.3">
      <c r="B4" s="1" t="s">
        <v>25</v>
      </c>
      <c r="E4" s="1" t="s">
        <v>26</v>
      </c>
    </row>
    <row r="6" spans="2:6" x14ac:dyDescent="0.3">
      <c r="B6" s="3" t="s">
        <v>19</v>
      </c>
      <c r="C6" s="13" t="s">
        <v>21</v>
      </c>
      <c r="E6" s="4" t="s">
        <v>23</v>
      </c>
      <c r="F6" s="4" t="s">
        <v>24</v>
      </c>
    </row>
    <row r="7" spans="2:6" x14ac:dyDescent="0.3">
      <c r="B7" s="2" t="s">
        <v>27</v>
      </c>
      <c r="C7" s="195">
        <v>3.0228123396233719E-2</v>
      </c>
      <c r="E7" s="106">
        <v>1</v>
      </c>
      <c r="F7" s="107">
        <f t="shared" ref="F7:F16" si="0">EXP(-ZeroRate*E7)</f>
        <v>0.97022417746674583</v>
      </c>
    </row>
    <row r="8" spans="2:6" x14ac:dyDescent="0.3">
      <c r="E8" s="108">
        <v>2</v>
      </c>
      <c r="F8" s="109">
        <f t="shared" si="0"/>
        <v>0.94133495454102345</v>
      </c>
    </row>
    <row r="9" spans="2:6" x14ac:dyDescent="0.3">
      <c r="E9" s="108">
        <v>3</v>
      </c>
      <c r="F9" s="109">
        <f t="shared" si="0"/>
        <v>0.913305931990261</v>
      </c>
    </row>
    <row r="10" spans="2:6" x14ac:dyDescent="0.3">
      <c r="E10" s="108">
        <v>4</v>
      </c>
      <c r="F10" s="109">
        <f t="shared" si="0"/>
        <v>0.88611149664075062</v>
      </c>
    </row>
    <row r="11" spans="2:6" x14ac:dyDescent="0.3">
      <c r="E11" s="108">
        <v>5</v>
      </c>
      <c r="F11" s="109">
        <f t="shared" si="0"/>
        <v>0.85972679797209928</v>
      </c>
    </row>
    <row r="12" spans="2:6" x14ac:dyDescent="0.3">
      <c r="E12" s="108">
        <v>6</v>
      </c>
      <c r="F12" s="109">
        <f t="shared" si="0"/>
        <v>0.83412772540859914</v>
      </c>
    </row>
    <row r="13" spans="2:6" x14ac:dyDescent="0.3">
      <c r="E13" s="108">
        <v>7</v>
      </c>
      <c r="F13" s="109">
        <f t="shared" si="0"/>
        <v>0.80929088628676571</v>
      </c>
    </row>
    <row r="14" spans="2:6" x14ac:dyDescent="0.3">
      <c r="E14" s="108">
        <v>8</v>
      </c>
      <c r="F14" s="109">
        <f t="shared" si="0"/>
        <v>0.78519358447891097</v>
      </c>
    </row>
    <row r="15" spans="2:6" x14ac:dyDescent="0.3">
      <c r="E15" s="108">
        <v>9</v>
      </c>
      <c r="F15" s="109">
        <f t="shared" si="0"/>
        <v>0.76181379965321716</v>
      </c>
    </row>
    <row r="16" spans="2:6" x14ac:dyDescent="0.3">
      <c r="E16" s="110">
        <v>10</v>
      </c>
      <c r="F16" s="111">
        <f t="shared" si="0"/>
        <v>0.73913016715135882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9C056-FA10-411F-8B4F-F364D9EA79EB}">
  <sheetPr codeName="Sheet1"/>
  <dimension ref="A1:AW91"/>
  <sheetViews>
    <sheetView showGridLines="0" tabSelected="1" zoomScaleNormal="100" workbookViewId="0"/>
  </sheetViews>
  <sheetFormatPr defaultRowHeight="14.4" outlineLevelCol="2" x14ac:dyDescent="0.3"/>
  <cols>
    <col min="1" max="6" width="12.6640625" customWidth="1"/>
    <col min="7" max="7" width="15.6640625" customWidth="1"/>
    <col min="8" max="10" width="12.6640625" customWidth="1"/>
    <col min="11" max="13" width="15.6640625" customWidth="1"/>
    <col min="14" max="19" width="15.6640625" hidden="1" customWidth="1" outlineLevel="1"/>
    <col min="20" max="21" width="15.77734375" hidden="1" customWidth="1" outlineLevel="1"/>
    <col min="22" max="22" width="15.77734375" customWidth="1" collapsed="1"/>
    <col min="23" max="47" width="15.77734375" hidden="1" customWidth="1" outlineLevel="1"/>
    <col min="48" max="48" width="15.77734375" hidden="1" customWidth="1" outlineLevel="2"/>
    <col min="49" max="49" width="15.77734375" customWidth="1" collapsed="1"/>
  </cols>
  <sheetData>
    <row r="1" spans="2:49" x14ac:dyDescent="0.3">
      <c r="V1" s="142" t="s">
        <v>107</v>
      </c>
      <c r="AW1" s="142" t="s">
        <v>106</v>
      </c>
    </row>
    <row r="2" spans="2:49" x14ac:dyDescent="0.3">
      <c r="B2" s="1" t="s">
        <v>11</v>
      </c>
      <c r="F2" s="58" t="s">
        <v>56</v>
      </c>
      <c r="J2" s="1" t="s">
        <v>76</v>
      </c>
      <c r="O2" s="1" t="s">
        <v>105</v>
      </c>
      <c r="P2" s="1"/>
      <c r="V2" s="142" t="s">
        <v>108</v>
      </c>
      <c r="Y2" s="1" t="s">
        <v>100</v>
      </c>
      <c r="AA2" s="1"/>
      <c r="AC2" s="1" t="s">
        <v>101</v>
      </c>
      <c r="AE2" s="1"/>
      <c r="AG2" s="1" t="s">
        <v>104</v>
      </c>
      <c r="AK2" s="1" t="s">
        <v>102</v>
      </c>
      <c r="AO2" s="1" t="s">
        <v>103</v>
      </c>
      <c r="AS2" s="1" t="s">
        <v>109</v>
      </c>
      <c r="AW2" s="142" t="s">
        <v>108</v>
      </c>
    </row>
    <row r="3" spans="2:49" x14ac:dyDescent="0.3">
      <c r="B3" s="128" t="s">
        <v>0</v>
      </c>
      <c r="C3" s="129"/>
      <c r="D3" s="50" t="s">
        <v>6</v>
      </c>
      <c r="F3" s="43" t="s">
        <v>12</v>
      </c>
      <c r="G3" s="43" t="s">
        <v>77</v>
      </c>
      <c r="H3" s="4" t="s">
        <v>124</v>
      </c>
      <c r="J3" s="43" t="s">
        <v>57</v>
      </c>
      <c r="K3" s="43" t="s">
        <v>22</v>
      </c>
      <c r="O3" s="44" t="s">
        <v>7</v>
      </c>
      <c r="P3" s="44" t="s">
        <v>22</v>
      </c>
      <c r="Q3" s="44" t="s">
        <v>9</v>
      </c>
      <c r="R3" s="44" t="s">
        <v>28</v>
      </c>
      <c r="S3" s="44" t="s">
        <v>148</v>
      </c>
      <c r="T3" s="44"/>
      <c r="U3" s="44"/>
      <c r="V3" s="44"/>
      <c r="W3" s="44"/>
      <c r="X3" s="44" t="s">
        <v>7</v>
      </c>
      <c r="Y3" s="145" t="s">
        <v>22</v>
      </c>
      <c r="Z3" s="44" t="s">
        <v>106</v>
      </c>
      <c r="AA3" s="44" t="s">
        <v>9</v>
      </c>
      <c r="AB3" s="44" t="s">
        <v>28</v>
      </c>
      <c r="AC3" s="145" t="s">
        <v>22</v>
      </c>
      <c r="AD3" s="44" t="s">
        <v>106</v>
      </c>
      <c r="AE3" s="44" t="s">
        <v>9</v>
      </c>
      <c r="AF3" s="44" t="s">
        <v>28</v>
      </c>
      <c r="AG3" s="145" t="s">
        <v>22</v>
      </c>
      <c r="AH3" s="44" t="s">
        <v>106</v>
      </c>
      <c r="AI3" s="44" t="s">
        <v>9</v>
      </c>
      <c r="AJ3" s="44" t="s">
        <v>28</v>
      </c>
      <c r="AK3" s="145" t="s">
        <v>22</v>
      </c>
      <c r="AL3" s="44" t="s">
        <v>106</v>
      </c>
      <c r="AM3" s="44" t="s">
        <v>9</v>
      </c>
      <c r="AN3" s="44" t="s">
        <v>28</v>
      </c>
      <c r="AO3" s="145" t="s">
        <v>22</v>
      </c>
      <c r="AP3" s="44" t="s">
        <v>106</v>
      </c>
      <c r="AQ3" s="44" t="s">
        <v>9</v>
      </c>
      <c r="AR3" s="44" t="s">
        <v>28</v>
      </c>
      <c r="AS3" s="145" t="s">
        <v>22</v>
      </c>
      <c r="AT3" s="44" t="s">
        <v>106</v>
      </c>
      <c r="AU3" s="44" t="s">
        <v>9</v>
      </c>
      <c r="AV3" s="44" t="s">
        <v>28</v>
      </c>
    </row>
    <row r="4" spans="2:49" x14ac:dyDescent="0.3">
      <c r="B4" s="130" t="s">
        <v>19</v>
      </c>
      <c r="C4" s="131"/>
      <c r="D4" s="51" t="s">
        <v>21</v>
      </c>
      <c r="F4" s="76" t="s">
        <v>13</v>
      </c>
      <c r="G4" s="77">
        <v>10</v>
      </c>
      <c r="H4" s="21">
        <f t="shared" ref="H4:H9" si="0">G4/10000</f>
        <v>1E-3</v>
      </c>
      <c r="J4" s="14">
        <v>1</v>
      </c>
      <c r="K4" s="89">
        <f>E27</f>
        <v>1.6666666907791438E-3</v>
      </c>
      <c r="N4" s="21"/>
      <c r="O4" s="20">
        <v>0</v>
      </c>
      <c r="P4" s="21" cm="1">
        <f t="array" ref="P4">Interpolate(O4,$J$4:$J$9,$K$4:$K$9)</f>
        <v>1.6666666907791438E-3</v>
      </c>
      <c r="Q4" s="12">
        <v>1</v>
      </c>
      <c r="R4" s="12">
        <v>0</v>
      </c>
      <c r="S4" s="45">
        <v>1</v>
      </c>
      <c r="X4" s="20">
        <v>0</v>
      </c>
      <c r="Z4" s="12" t="s">
        <v>110</v>
      </c>
      <c r="AA4" s="12">
        <v>1</v>
      </c>
      <c r="AB4" s="12">
        <v>0</v>
      </c>
      <c r="AD4" s="12" t="s">
        <v>110</v>
      </c>
      <c r="AE4" s="12">
        <v>1</v>
      </c>
      <c r="AF4" s="12">
        <v>0</v>
      </c>
      <c r="AH4" s="12" t="s">
        <v>110</v>
      </c>
      <c r="AI4" s="12">
        <v>1</v>
      </c>
      <c r="AJ4" s="12">
        <v>0</v>
      </c>
      <c r="AL4" s="12" t="s">
        <v>110</v>
      </c>
      <c r="AM4" s="12">
        <v>1</v>
      </c>
      <c r="AN4" s="12">
        <v>0</v>
      </c>
      <c r="AP4" s="12" t="s">
        <v>110</v>
      </c>
      <c r="AQ4" s="12">
        <v>1</v>
      </c>
      <c r="AR4" s="12">
        <v>0</v>
      </c>
      <c r="AT4" s="12" t="s">
        <v>110</v>
      </c>
      <c r="AU4" s="12">
        <v>1</v>
      </c>
      <c r="AV4" s="12">
        <v>0</v>
      </c>
    </row>
    <row r="5" spans="2:49" x14ac:dyDescent="0.3">
      <c r="B5" s="130" t="s">
        <v>3</v>
      </c>
      <c r="C5" s="131"/>
      <c r="D5" s="52" t="s">
        <v>4</v>
      </c>
      <c r="F5" s="78" t="s">
        <v>14</v>
      </c>
      <c r="G5" s="79">
        <v>12</v>
      </c>
      <c r="H5" s="21">
        <f t="shared" si="0"/>
        <v>1.1999999999999999E-3</v>
      </c>
      <c r="J5" s="15">
        <v>2</v>
      </c>
      <c r="K5" s="90">
        <f>E28</f>
        <v>2.3442523763718567E-3</v>
      </c>
      <c r="N5" s="21"/>
      <c r="O5" s="23">
        <f>YearFraction</f>
        <v>0.25</v>
      </c>
      <c r="P5" s="24" cm="1">
        <f t="array" ref="P5">Interpolate(O5,$J$4:$J$9,$K$4:$K$9)</f>
        <v>1.6666666907791438E-3</v>
      </c>
      <c r="Q5" s="25">
        <f t="shared" ref="Q5:Q44" si="1">EXP(-P5*YearFraction)*Q4</f>
        <v>0.99958342012080825</v>
      </c>
      <c r="R5" s="25">
        <f t="shared" ref="R5:R44" si="2">Q4-Q5</f>
        <v>4.1657987919174744E-4</v>
      </c>
      <c r="S5" s="26">
        <f t="shared" ref="S5:S44" si="3">EXP(-ZeroRate*$O5)</f>
        <v>0.99247145171553464</v>
      </c>
      <c r="X5" s="23">
        <f>YearFraction</f>
        <v>0.25</v>
      </c>
      <c r="Y5" s="150">
        <f>HazardRate1Y+ShiftSize</f>
        <v>1.6667666907791438E-3</v>
      </c>
      <c r="Z5" s="33" cm="1">
        <f t="array" ref="Z5">Interpolate($X5,$J$4:$J$9,Y$5:Y$10)</f>
        <v>1.6667666907791438E-3</v>
      </c>
      <c r="AA5" s="25">
        <f>EXP(-Z5*YearFraction)*AA4</f>
        <v>0.99958339513122307</v>
      </c>
      <c r="AB5" s="138">
        <f t="shared" ref="AB5:AB44" si="4">AA4-AA5</f>
        <v>4.1660486877692637E-4</v>
      </c>
      <c r="AC5" s="147">
        <f>HazardRate1Y</f>
        <v>1.6666666907791438E-3</v>
      </c>
      <c r="AD5" s="33" cm="1">
        <f t="array" ref="AD5">Interpolate($X5,$J$4:$J$9,AC$5:AC$10)</f>
        <v>1.6666666907791438E-3</v>
      </c>
      <c r="AE5" s="25">
        <f>EXP(-AD5*YearFraction)*AE4</f>
        <v>0.99958342012080825</v>
      </c>
      <c r="AF5" s="138">
        <f t="shared" ref="AF5:AF44" si="5">AE4-AE5</f>
        <v>4.1657987919174744E-4</v>
      </c>
      <c r="AG5" s="147">
        <f>HazardRate1Y</f>
        <v>1.6666666907791438E-3</v>
      </c>
      <c r="AH5" s="33" cm="1">
        <f t="array" ref="AH5">Interpolate($X5,$J$4:$J$9,AG$5:AG$10)</f>
        <v>1.6666666907791438E-3</v>
      </c>
      <c r="AI5" s="25">
        <f>EXP(-AH5*YearFraction)*AI4</f>
        <v>0.99958342012080825</v>
      </c>
      <c r="AJ5" s="138">
        <f t="shared" ref="AJ5:AJ44" si="6">AI4-AI5</f>
        <v>4.1657987919174744E-4</v>
      </c>
      <c r="AK5" s="147">
        <f>HazardRate1Y</f>
        <v>1.6666666907791438E-3</v>
      </c>
      <c r="AL5" s="33" cm="1">
        <f t="array" ref="AL5">Interpolate($X5,$J$4:$J$9,AK$5:AK$10)</f>
        <v>1.6666666907791438E-3</v>
      </c>
      <c r="AM5" s="25">
        <f>EXP(-AL5*YearFraction)*AM4</f>
        <v>0.99958342012080825</v>
      </c>
      <c r="AN5" s="138">
        <f t="shared" ref="AN5:AN44" si="7">AM4-AM5</f>
        <v>4.1657987919174744E-4</v>
      </c>
      <c r="AO5" s="147">
        <f>HazardRate1Y</f>
        <v>1.6666666907791438E-3</v>
      </c>
      <c r="AP5" s="33" cm="1">
        <f t="array" ref="AP5">Interpolate($X5,$J$4:$J$9,AO$5:AO$10)</f>
        <v>1.6666666907791438E-3</v>
      </c>
      <c r="AQ5" s="25">
        <f>EXP(-AP5*YearFraction)*AQ4</f>
        <v>0.99958342012080825</v>
      </c>
      <c r="AR5" s="138">
        <f t="shared" ref="AR5:AR44" si="8">AQ4-AQ5</f>
        <v>4.1657987919174744E-4</v>
      </c>
      <c r="AS5" s="147">
        <f>HazardRate1Y</f>
        <v>1.6666666907791438E-3</v>
      </c>
      <c r="AT5" s="33" cm="1">
        <f t="array" ref="AT5">Interpolate($X5,$J$4:$J$9,AS$5:AS$10)</f>
        <v>1.6666666907791438E-3</v>
      </c>
      <c r="AU5" s="25">
        <f>EXP(-AT5*YearFraction)*AU4</f>
        <v>0.99958342012080825</v>
      </c>
      <c r="AV5" s="138">
        <f t="shared" ref="AV5:AV44" si="9">AU4-AU5</f>
        <v>4.1657987919174744E-4</v>
      </c>
    </row>
    <row r="6" spans="2:49" x14ac:dyDescent="0.3">
      <c r="B6" s="130" t="s">
        <v>20</v>
      </c>
      <c r="C6" s="131"/>
      <c r="D6" s="53">
        <v>1000000</v>
      </c>
      <c r="F6" s="78" t="s">
        <v>15</v>
      </c>
      <c r="G6" s="79">
        <v>15</v>
      </c>
      <c r="H6" s="21">
        <f t="shared" si="0"/>
        <v>1.5E-3</v>
      </c>
      <c r="J6" s="15">
        <v>3</v>
      </c>
      <c r="K6" s="90">
        <f>E29</f>
        <v>3.5506598576896019E-3</v>
      </c>
      <c r="N6" s="21"/>
      <c r="O6" s="27">
        <f t="shared" ref="O6:O44" si="10">O5+YearFraction</f>
        <v>0.5</v>
      </c>
      <c r="P6" s="28" cm="1">
        <f t="array" ref="P6">Interpolate(O6,$J$4:$J$9,$K$4:$K$9)</f>
        <v>1.6666666907791438E-3</v>
      </c>
      <c r="Q6" s="29">
        <f t="shared" si="1"/>
        <v>0.99916701378041228</v>
      </c>
      <c r="R6" s="29">
        <f t="shared" si="2"/>
        <v>4.1640634039596947E-4</v>
      </c>
      <c r="S6" s="30">
        <f t="shared" si="3"/>
        <v>0.98499958247034081</v>
      </c>
      <c r="X6" s="27">
        <f t="shared" ref="X6:X44" si="11">X5+YearFraction</f>
        <v>0.5</v>
      </c>
      <c r="Y6" s="151">
        <f>HazardRate2Y</f>
        <v>2.3442523763718567E-3</v>
      </c>
      <c r="Z6" s="154" cm="1">
        <f t="array" ref="Z6">Interpolate($X6,$J$4:$J$9,Y$5:Y$10)</f>
        <v>1.6667666907791438E-3</v>
      </c>
      <c r="AA6" s="143">
        <f>EXP(-Z6*YearFraction)*AA5</f>
        <v>0.99916696382206283</v>
      </c>
      <c r="AB6" s="139">
        <f t="shared" si="4"/>
        <v>4.1643130916024784E-4</v>
      </c>
      <c r="AC6" s="149">
        <f>HazardRate2Y+ShiftSize</f>
        <v>2.3443523763718565E-3</v>
      </c>
      <c r="AD6" s="154" cm="1">
        <f t="array" ref="AD6">Interpolate($X6,$J$4:$J$9,AC$5:AC$10)</f>
        <v>1.6666666907791438E-3</v>
      </c>
      <c r="AE6" s="143">
        <f>EXP(-AD6*YearFraction)*AE5</f>
        <v>0.99916701378041228</v>
      </c>
      <c r="AF6" s="139">
        <f t="shared" si="5"/>
        <v>4.1640634039596947E-4</v>
      </c>
      <c r="AG6" s="148">
        <f>HazardRate2Y</f>
        <v>2.3442523763718567E-3</v>
      </c>
      <c r="AH6" s="154" cm="1">
        <f t="array" ref="AH6">Interpolate($X6,$J$4:$J$9,AG$5:AG$10)</f>
        <v>1.6666666907791438E-3</v>
      </c>
      <c r="AI6" s="143">
        <f>EXP(-AH6*YearFraction)*AI5</f>
        <v>0.99916701378041228</v>
      </c>
      <c r="AJ6" s="139">
        <f t="shared" si="6"/>
        <v>4.1640634039596947E-4</v>
      </c>
      <c r="AK6" s="148">
        <f>HazardRate2Y</f>
        <v>2.3442523763718567E-3</v>
      </c>
      <c r="AL6" s="154" cm="1">
        <f t="array" ref="AL6">Interpolate($X6,$J$4:$J$9,AK$5:AK$10)</f>
        <v>1.6666666907791438E-3</v>
      </c>
      <c r="AM6" s="143">
        <f>EXP(-AL6*YearFraction)*AM5</f>
        <v>0.99916701378041228</v>
      </c>
      <c r="AN6" s="139">
        <f t="shared" si="7"/>
        <v>4.1640634039596947E-4</v>
      </c>
      <c r="AO6" s="148">
        <f>HazardRate2Y</f>
        <v>2.3442523763718567E-3</v>
      </c>
      <c r="AP6" s="154" cm="1">
        <f t="array" ref="AP6">Interpolate($X6,$J$4:$J$9,AO$5:AO$10)</f>
        <v>1.6666666907791438E-3</v>
      </c>
      <c r="AQ6" s="143">
        <f>EXP(-AP6*YearFraction)*AQ5</f>
        <v>0.99916701378041228</v>
      </c>
      <c r="AR6" s="139">
        <f t="shared" si="8"/>
        <v>4.1640634039596947E-4</v>
      </c>
      <c r="AS6" s="148">
        <f>HazardRate2Y</f>
        <v>2.3442523763718567E-3</v>
      </c>
      <c r="AT6" s="154" cm="1">
        <f t="array" ref="AT6">Interpolate($X6,$J$4:$J$9,AS$5:AS$10)</f>
        <v>1.6666666907791438E-3</v>
      </c>
      <c r="AU6" s="143">
        <f>EXP(-AT6*YearFraction)*AU5</f>
        <v>0.99916701378041228</v>
      </c>
      <c r="AV6" s="139">
        <f t="shared" si="9"/>
        <v>4.1640634039596947E-4</v>
      </c>
    </row>
    <row r="7" spans="2:49" x14ac:dyDescent="0.3">
      <c r="B7" s="130" t="s">
        <v>1</v>
      </c>
      <c r="C7" s="131"/>
      <c r="D7" s="54">
        <v>0.4</v>
      </c>
      <c r="F7" s="78" t="s">
        <v>16</v>
      </c>
      <c r="G7" s="79">
        <v>17</v>
      </c>
      <c r="H7" s="21">
        <f t="shared" si="0"/>
        <v>1.6999999999999999E-3</v>
      </c>
      <c r="J7" s="15">
        <v>4</v>
      </c>
      <c r="K7" s="90">
        <f>E30</f>
        <v>3.9028100611921135E-3</v>
      </c>
      <c r="N7" s="21"/>
      <c r="O7" s="27">
        <f t="shared" si="10"/>
        <v>0.75</v>
      </c>
      <c r="P7" s="28" cm="1">
        <f t="array" ref="P7">Interpolate(O7,$J$4:$J$9,$K$4:$K$9)</f>
        <v>1.6666666907791438E-3</v>
      </c>
      <c r="Q7" s="29">
        <f t="shared" si="1"/>
        <v>0.99875078090651925</v>
      </c>
      <c r="R7" s="29">
        <f t="shared" si="2"/>
        <v>4.1623287389302988E-4</v>
      </c>
      <c r="S7" s="30">
        <f t="shared" si="3"/>
        <v>0.97758396555353466</v>
      </c>
      <c r="X7" s="27">
        <f t="shared" si="11"/>
        <v>0.75</v>
      </c>
      <c r="Y7" s="151">
        <f>HazardRate3Y</f>
        <v>3.5506598576896019E-3</v>
      </c>
      <c r="Z7" s="154" cm="1">
        <f t="array" ref="Z7">Interpolate($X7,$J$4:$J$9,Y$5:Y$10)</f>
        <v>1.6667666907791438E-3</v>
      </c>
      <c r="AA7" s="143">
        <f>EXP(-Z7*YearFraction)*AA6</f>
        <v>0.99875070600021354</v>
      </c>
      <c r="AB7" s="139">
        <f t="shared" si="4"/>
        <v>4.1625782184928628E-4</v>
      </c>
      <c r="AC7" s="148">
        <f>HazardRate3Y</f>
        <v>3.5506598576896019E-3</v>
      </c>
      <c r="AD7" s="154" cm="1">
        <f t="array" ref="AD7">Interpolate($X7,$J$4:$J$9,AC$5:AC$10)</f>
        <v>1.6666666907791438E-3</v>
      </c>
      <c r="AE7" s="143">
        <f>EXP(-AD7*YearFraction)*AE6</f>
        <v>0.99875078090651925</v>
      </c>
      <c r="AF7" s="139">
        <f t="shared" si="5"/>
        <v>4.1623287389302988E-4</v>
      </c>
      <c r="AG7" s="149">
        <f>HazardRate3Y+ShiftSize</f>
        <v>3.5507598576896018E-3</v>
      </c>
      <c r="AH7" s="154" cm="1">
        <f t="array" ref="AH7">Interpolate($X7,$J$4:$J$9,AG$5:AG$10)</f>
        <v>1.6666666907791438E-3</v>
      </c>
      <c r="AI7" s="143">
        <f>EXP(-AH7*YearFraction)*AI6</f>
        <v>0.99875078090651925</v>
      </c>
      <c r="AJ7" s="139">
        <f t="shared" si="6"/>
        <v>4.1623287389302988E-4</v>
      </c>
      <c r="AK7" s="148">
        <f>HazardRate3Y</f>
        <v>3.5506598576896019E-3</v>
      </c>
      <c r="AL7" s="154" cm="1">
        <f t="array" ref="AL7">Interpolate($X7,$J$4:$J$9,AK$5:AK$10)</f>
        <v>1.6666666907791438E-3</v>
      </c>
      <c r="AM7" s="143">
        <f>EXP(-AL7*YearFraction)*AM6</f>
        <v>0.99875078090651925</v>
      </c>
      <c r="AN7" s="139">
        <f t="shared" si="7"/>
        <v>4.1623287389302988E-4</v>
      </c>
      <c r="AO7" s="148">
        <f>HazardRate3Y</f>
        <v>3.5506598576896019E-3</v>
      </c>
      <c r="AP7" s="154" cm="1">
        <f t="array" ref="AP7">Interpolate($X7,$J$4:$J$9,AO$5:AO$10)</f>
        <v>1.6666666907791438E-3</v>
      </c>
      <c r="AQ7" s="143">
        <f>EXP(-AP7*YearFraction)*AQ6</f>
        <v>0.99875078090651925</v>
      </c>
      <c r="AR7" s="139">
        <f t="shared" si="8"/>
        <v>4.1623287389302988E-4</v>
      </c>
      <c r="AS7" s="148">
        <f>HazardRate3Y</f>
        <v>3.5506598576896019E-3</v>
      </c>
      <c r="AT7" s="154" cm="1">
        <f t="array" ref="AT7">Interpolate($X7,$J$4:$J$9,AS$5:AS$10)</f>
        <v>1.6666666907791438E-3</v>
      </c>
      <c r="AU7" s="143">
        <f>EXP(-AT7*YearFraction)*AU6</f>
        <v>0.99875078090651925</v>
      </c>
      <c r="AV7" s="139">
        <f t="shared" si="9"/>
        <v>4.1623287389302988E-4</v>
      </c>
    </row>
    <row r="8" spans="2:49" x14ac:dyDescent="0.3">
      <c r="B8" s="130" t="s">
        <v>5</v>
      </c>
      <c r="C8" s="131"/>
      <c r="D8" s="55">
        <v>0.25</v>
      </c>
      <c r="F8" s="78" t="s">
        <v>17</v>
      </c>
      <c r="G8" s="79">
        <v>24.33</v>
      </c>
      <c r="H8" s="21">
        <f t="shared" si="0"/>
        <v>2.4329999999999998E-3</v>
      </c>
      <c r="J8" s="15">
        <v>5</v>
      </c>
      <c r="K8" s="90">
        <f>E31</f>
        <v>9.3893344838053699E-3</v>
      </c>
      <c r="N8" s="21"/>
      <c r="O8" s="27">
        <f t="shared" si="10"/>
        <v>1</v>
      </c>
      <c r="P8" s="28" cm="1">
        <f t="array" ref="P8">Interpolate(O8,$J$4:$J$9,$K$4:$K$9)</f>
        <v>1.6666666907791438E-3</v>
      </c>
      <c r="Q8" s="29">
        <f t="shared" si="1"/>
        <v>0.99833472142686652</v>
      </c>
      <c r="R8" s="29">
        <f t="shared" si="2"/>
        <v>4.160594796527306E-4</v>
      </c>
      <c r="S8" s="30">
        <f t="shared" si="3"/>
        <v>0.97022417746674583</v>
      </c>
      <c r="X8" s="27">
        <f t="shared" si="11"/>
        <v>1</v>
      </c>
      <c r="Y8" s="151">
        <f>HazardRate4Y</f>
        <v>3.9028100611921135E-3</v>
      </c>
      <c r="Z8" s="154" cm="1">
        <f t="array" ref="Z8">Interpolate($X8,$J$4:$J$9,Y$5:Y$10)</f>
        <v>1.6667666907791438E-3</v>
      </c>
      <c r="AA8" s="143">
        <f>EXP(-Z8*YearFraction)*AA7</f>
        <v>0.99833462159339947</v>
      </c>
      <c r="AB8" s="139">
        <f t="shared" si="4"/>
        <v>4.1608440681406567E-4</v>
      </c>
      <c r="AC8" s="148">
        <f>HazardRate4Y</f>
        <v>3.9028100611921135E-3</v>
      </c>
      <c r="AD8" s="154" cm="1">
        <f t="array" ref="AD8">Interpolate($X8,$J$4:$J$9,AC$5:AC$10)</f>
        <v>1.6666666907791438E-3</v>
      </c>
      <c r="AE8" s="143">
        <f>EXP(-AD8*YearFraction)*AE7</f>
        <v>0.99833472142686652</v>
      </c>
      <c r="AF8" s="139">
        <f t="shared" si="5"/>
        <v>4.160594796527306E-4</v>
      </c>
      <c r="AG8" s="148">
        <f>HazardRate4Y</f>
        <v>3.9028100611921135E-3</v>
      </c>
      <c r="AH8" s="154" cm="1">
        <f t="array" ref="AH8">Interpolate($X8,$J$4:$J$9,AG$5:AG$10)</f>
        <v>1.6666666907791438E-3</v>
      </c>
      <c r="AI8" s="143">
        <f>EXP(-AH8*YearFraction)*AI7</f>
        <v>0.99833472142686652</v>
      </c>
      <c r="AJ8" s="139">
        <f t="shared" si="6"/>
        <v>4.160594796527306E-4</v>
      </c>
      <c r="AK8" s="149">
        <f>HazardRate4Y+ShiftSize</f>
        <v>3.9029100611921133E-3</v>
      </c>
      <c r="AL8" s="154" cm="1">
        <f t="array" ref="AL8">Interpolate($X8,$J$4:$J$9,AK$5:AK$10)</f>
        <v>1.6666666907791438E-3</v>
      </c>
      <c r="AM8" s="143">
        <f>EXP(-AL8*YearFraction)*AM7</f>
        <v>0.99833472142686652</v>
      </c>
      <c r="AN8" s="139">
        <f t="shared" si="7"/>
        <v>4.160594796527306E-4</v>
      </c>
      <c r="AO8" s="148">
        <f>HazardRate4Y</f>
        <v>3.9028100611921135E-3</v>
      </c>
      <c r="AP8" s="154" cm="1">
        <f t="array" ref="AP8">Interpolate($X8,$J$4:$J$9,AO$5:AO$10)</f>
        <v>1.6666666907791438E-3</v>
      </c>
      <c r="AQ8" s="143">
        <f>EXP(-AP8*YearFraction)*AQ7</f>
        <v>0.99833472142686652</v>
      </c>
      <c r="AR8" s="139">
        <f t="shared" si="8"/>
        <v>4.160594796527306E-4</v>
      </c>
      <c r="AS8" s="148">
        <f>HazardRate4Y</f>
        <v>3.9028100611921135E-3</v>
      </c>
      <c r="AT8" s="154" cm="1">
        <f t="array" ref="AT8">Interpolate($X8,$J$4:$J$9,AS$5:AS$10)</f>
        <v>1.6666666907791438E-3</v>
      </c>
      <c r="AU8" s="143">
        <f>EXP(-AT8*YearFraction)*AU7</f>
        <v>0.99833472142686652</v>
      </c>
      <c r="AV8" s="139">
        <f t="shared" si="9"/>
        <v>4.160594796527306E-4</v>
      </c>
    </row>
    <row r="9" spans="2:49" x14ac:dyDescent="0.3">
      <c r="B9" s="126" t="s">
        <v>10</v>
      </c>
      <c r="C9" s="127"/>
      <c r="D9" s="56">
        <f>Notional*(1-RecoveryRate)</f>
        <v>600000</v>
      </c>
      <c r="F9" s="80" t="s">
        <v>18</v>
      </c>
      <c r="G9" s="81">
        <v>30</v>
      </c>
      <c r="H9" s="21">
        <f t="shared" si="0"/>
        <v>3.0000000000000001E-3</v>
      </c>
      <c r="J9" s="16">
        <v>10</v>
      </c>
      <c r="K9" s="91">
        <f>E32</f>
        <v>6.1315102101346889E-3</v>
      </c>
      <c r="N9" s="21"/>
      <c r="O9" s="27">
        <f t="shared" si="10"/>
        <v>1.25</v>
      </c>
      <c r="P9" s="28" cm="1">
        <f t="array" ref="P9">Interpolate(O9,$J$4:$J$9,$K$4:$K$9)</f>
        <v>2.3442523763718567E-3</v>
      </c>
      <c r="Q9" s="29">
        <f t="shared" si="1"/>
        <v>0.99774980570658678</v>
      </c>
      <c r="R9" s="29">
        <f t="shared" si="2"/>
        <v>5.8491572027974392E-4</v>
      </c>
      <c r="S9" s="30">
        <f t="shared" si="3"/>
        <v>0.96291979789993165</v>
      </c>
      <c r="X9" s="27">
        <f t="shared" si="11"/>
        <v>1.25</v>
      </c>
      <c r="Y9" s="151">
        <f>HazardRate5Y</f>
        <v>9.3893344838053699E-3</v>
      </c>
      <c r="Z9" s="154" cm="1">
        <f t="array" ref="Z9">Interpolate($X9,$J$4:$J$9,Y$5:Y$10)</f>
        <v>2.3442523763718567E-3</v>
      </c>
      <c r="AA9" s="143">
        <f>EXP(-Z9*YearFraction)*AA8</f>
        <v>0.99774970593161139</v>
      </c>
      <c r="AB9" s="139">
        <f t="shared" si="4"/>
        <v>5.8491566178808796E-4</v>
      </c>
      <c r="AC9" s="148">
        <f>HazardRate5Y</f>
        <v>9.3893344838053699E-3</v>
      </c>
      <c r="AD9" s="154" cm="1">
        <f t="array" ref="AD9">Interpolate($X9,$J$4:$J$9,AC$5:AC$10)</f>
        <v>2.3443523763718565E-3</v>
      </c>
      <c r="AE9" s="143">
        <f>EXP(-AD9*YearFraction)*AE8</f>
        <v>0.99774978076284193</v>
      </c>
      <c r="AF9" s="139">
        <f t="shared" si="5"/>
        <v>5.8494066402459133E-4</v>
      </c>
      <c r="AG9" s="148">
        <f>HazardRate5Y</f>
        <v>9.3893344838053699E-3</v>
      </c>
      <c r="AH9" s="154" cm="1">
        <f t="array" ref="AH9">Interpolate($X9,$J$4:$J$9,AG$5:AG$10)</f>
        <v>2.3442523763718567E-3</v>
      </c>
      <c r="AI9" s="143">
        <f>EXP(-AH9*YearFraction)*AI8</f>
        <v>0.99774980570658678</v>
      </c>
      <c r="AJ9" s="139">
        <f t="shared" si="6"/>
        <v>5.8491572027974392E-4</v>
      </c>
      <c r="AK9" s="148">
        <f>HazardRate5Y</f>
        <v>9.3893344838053699E-3</v>
      </c>
      <c r="AL9" s="154" cm="1">
        <f t="array" ref="AL9">Interpolate($X9,$J$4:$J$9,AK$5:AK$10)</f>
        <v>2.3442523763718567E-3</v>
      </c>
      <c r="AM9" s="143">
        <f>EXP(-AL9*YearFraction)*AM8</f>
        <v>0.99774980570658678</v>
      </c>
      <c r="AN9" s="139">
        <f t="shared" si="7"/>
        <v>5.8491572027974392E-4</v>
      </c>
      <c r="AO9" s="149">
        <f>HazardRate5Y+ShiftSize</f>
        <v>9.3894344838053694E-3</v>
      </c>
      <c r="AP9" s="154" cm="1">
        <f t="array" ref="AP9">Interpolate($X9,$J$4:$J$9,AO$5:AO$10)</f>
        <v>2.3442523763718567E-3</v>
      </c>
      <c r="AQ9" s="143">
        <f>EXP(-AP9*YearFraction)*AQ8</f>
        <v>0.99774980570658678</v>
      </c>
      <c r="AR9" s="139">
        <f t="shared" si="8"/>
        <v>5.8491572027974392E-4</v>
      </c>
      <c r="AS9" s="148">
        <f>HazardRate5Y</f>
        <v>9.3893344838053699E-3</v>
      </c>
      <c r="AT9" s="154" cm="1">
        <f t="array" ref="AT9">Interpolate($X9,$J$4:$J$9,AS$5:AS$10)</f>
        <v>2.3442523763718567E-3</v>
      </c>
      <c r="AU9" s="143">
        <f>EXP(-AT9*YearFraction)*AU8</f>
        <v>0.99774980570658678</v>
      </c>
      <c r="AV9" s="139">
        <f t="shared" si="9"/>
        <v>5.8491572027974392E-4</v>
      </c>
    </row>
    <row r="10" spans="2:49" x14ac:dyDescent="0.3">
      <c r="O10" s="27">
        <f t="shared" si="10"/>
        <v>1.5</v>
      </c>
      <c r="P10" s="28" cm="1">
        <f t="array" ref="P10">Interpolate(O10,$J$4:$J$9,$K$4:$K$9)</f>
        <v>2.3442523763718567E-3</v>
      </c>
      <c r="Q10" s="29">
        <f t="shared" si="1"/>
        <v>0.99716523268339308</v>
      </c>
      <c r="R10" s="29">
        <f t="shared" si="2"/>
        <v>5.8457302319370186E-4</v>
      </c>
      <c r="S10" s="30">
        <f t="shared" si="3"/>
        <v>0.95567040970737449</v>
      </c>
      <c r="X10" s="27">
        <f t="shared" si="11"/>
        <v>1.5</v>
      </c>
      <c r="Y10" s="151">
        <f>HazardRate10Y</f>
        <v>6.1315102101346889E-3</v>
      </c>
      <c r="Z10" s="154" cm="1">
        <f t="array" ref="Z10">Interpolate($X10,$J$4:$J$9,Y$5:Y$10)</f>
        <v>2.3442523763718567E-3</v>
      </c>
      <c r="AA10" s="143">
        <f>EXP(-Z10*YearFraction)*AA9</f>
        <v>0.99716513296687492</v>
      </c>
      <c r="AB10" s="139">
        <f t="shared" si="4"/>
        <v>5.8457296473646281E-4</v>
      </c>
      <c r="AC10" s="148">
        <f>HazardRate10Y</f>
        <v>6.1315102101346889E-3</v>
      </c>
      <c r="AD10" s="154" cm="1">
        <f t="array" ref="AD10">Interpolate($X10,$J$4:$J$9,AC$5:AC$10)</f>
        <v>2.3443523763718565E-3</v>
      </c>
      <c r="AE10" s="143">
        <f>EXP(-AD10*YearFraction)*AE9</f>
        <v>0.99716518282513256</v>
      </c>
      <c r="AF10" s="139">
        <f t="shared" si="5"/>
        <v>5.8459793770937463E-4</v>
      </c>
      <c r="AG10" s="148">
        <f>HazardRate10Y</f>
        <v>6.1315102101346889E-3</v>
      </c>
      <c r="AH10" s="154" cm="1">
        <f t="array" ref="AH10">Interpolate($X10,$J$4:$J$9,AG$5:AG$10)</f>
        <v>2.3442523763718567E-3</v>
      </c>
      <c r="AI10" s="143">
        <f>EXP(-AH10*YearFraction)*AI9</f>
        <v>0.99716523268339308</v>
      </c>
      <c r="AJ10" s="139">
        <f t="shared" si="6"/>
        <v>5.8457302319370186E-4</v>
      </c>
      <c r="AK10" s="148">
        <f>HazardRate10Y</f>
        <v>6.1315102101346889E-3</v>
      </c>
      <c r="AL10" s="154" cm="1">
        <f t="array" ref="AL10">Interpolate($X10,$J$4:$J$9,AK$5:AK$10)</f>
        <v>2.3442523763718567E-3</v>
      </c>
      <c r="AM10" s="143">
        <f>EXP(-AL10*YearFraction)*AM9</f>
        <v>0.99716523268339308</v>
      </c>
      <c r="AN10" s="139">
        <f t="shared" si="7"/>
        <v>5.8457302319370186E-4</v>
      </c>
      <c r="AO10" s="148">
        <f>HazardRate10Y</f>
        <v>6.1315102101346889E-3</v>
      </c>
      <c r="AP10" s="154" cm="1">
        <f t="array" ref="AP10">Interpolate($X10,$J$4:$J$9,AO$5:AO$10)</f>
        <v>2.3442523763718567E-3</v>
      </c>
      <c r="AQ10" s="143">
        <f>EXP(-AP10*YearFraction)*AQ9</f>
        <v>0.99716523268339308</v>
      </c>
      <c r="AR10" s="139">
        <f t="shared" si="8"/>
        <v>5.8457302319370186E-4</v>
      </c>
      <c r="AS10" s="149">
        <f>HazardRate10Y+ShiftSize</f>
        <v>6.1316102101346892E-3</v>
      </c>
      <c r="AT10" s="154" cm="1">
        <f t="array" ref="AT10">Interpolate($X10,$J$4:$J$9,AS$5:AS$10)</f>
        <v>2.3442523763718567E-3</v>
      </c>
      <c r="AU10" s="143">
        <f>EXP(-AT10*YearFraction)*AU9</f>
        <v>0.99716523268339308</v>
      </c>
      <c r="AV10" s="139">
        <f t="shared" si="9"/>
        <v>5.8457302319370186E-4</v>
      </c>
    </row>
    <row r="11" spans="2:49" x14ac:dyDescent="0.3">
      <c r="O11" s="27">
        <f t="shared" si="10"/>
        <v>1.75</v>
      </c>
      <c r="P11" s="28" cm="1">
        <f t="array" ref="P11">Interpolate(O11,$J$4:$J$9,$K$4:$K$9)</f>
        <v>2.3442523763718567E-3</v>
      </c>
      <c r="Q11" s="29">
        <f t="shared" si="1"/>
        <v>0.99658100215650203</v>
      </c>
      <c r="R11" s="29">
        <f t="shared" si="2"/>
        <v>5.8423052689104971E-4</v>
      </c>
      <c r="S11" s="30">
        <f t="shared" si="3"/>
        <v>0.94847559888385768</v>
      </c>
      <c r="X11" s="27">
        <f t="shared" si="11"/>
        <v>1.75</v>
      </c>
      <c r="Y11" s="146"/>
      <c r="Z11" s="154" cm="1">
        <f t="array" ref="Z11">Interpolate($X11,$J$4:$J$9,Y$5:Y$10)</f>
        <v>2.3442523763718567E-3</v>
      </c>
      <c r="AA11" s="143">
        <f>EXP(-Z11*YearFraction)*AA10</f>
        <v>0.99658090249840692</v>
      </c>
      <c r="AB11" s="139">
        <f t="shared" si="4"/>
        <v>5.8423046846800553E-4</v>
      </c>
      <c r="AC11" s="125"/>
      <c r="AD11" s="154" cm="1">
        <f t="array" ref="AD11">Interpolate($X11,$J$4:$J$9,AC$5:AC$10)</f>
        <v>2.3443523763718565E-3</v>
      </c>
      <c r="AE11" s="143">
        <f>EXP(-AD11*YearFraction)*AE10</f>
        <v>0.99658092741292947</v>
      </c>
      <c r="AF11" s="139">
        <f t="shared" si="5"/>
        <v>5.8425541220308297E-4</v>
      </c>
      <c r="AG11" s="125"/>
      <c r="AH11" s="154" cm="1">
        <f t="array" ref="AH11">Interpolate($X11,$J$4:$J$9,AG$5:AG$10)</f>
        <v>2.3442523763718567E-3</v>
      </c>
      <c r="AI11" s="143">
        <f>EXP(-AH11*YearFraction)*AI10</f>
        <v>0.99658100215650203</v>
      </c>
      <c r="AJ11" s="139">
        <f t="shared" si="6"/>
        <v>5.8423052689104971E-4</v>
      </c>
      <c r="AK11" s="125"/>
      <c r="AL11" s="154" cm="1">
        <f t="array" ref="AL11">Interpolate($X11,$J$4:$J$9,AK$5:AK$10)</f>
        <v>2.3442523763718567E-3</v>
      </c>
      <c r="AM11" s="143">
        <f>EXP(-AL11*YearFraction)*AM10</f>
        <v>0.99658100215650203</v>
      </c>
      <c r="AN11" s="139">
        <f t="shared" si="7"/>
        <v>5.8423052689104971E-4</v>
      </c>
      <c r="AO11" s="125"/>
      <c r="AP11" s="154" cm="1">
        <f t="array" ref="AP11">Interpolate($X11,$J$4:$J$9,AO$5:AO$10)</f>
        <v>2.3442523763718567E-3</v>
      </c>
      <c r="AQ11" s="143">
        <f>EXP(-AP11*YearFraction)*AQ10</f>
        <v>0.99658100215650203</v>
      </c>
      <c r="AR11" s="139">
        <f t="shared" si="8"/>
        <v>5.8423052689104971E-4</v>
      </c>
      <c r="AS11" s="125"/>
      <c r="AT11" s="154" cm="1">
        <f t="array" ref="AT11">Interpolate($X11,$J$4:$J$9,AS$5:AS$10)</f>
        <v>2.3442523763718567E-3</v>
      </c>
      <c r="AU11" s="143">
        <f>EXP(-AT11*YearFraction)*AU10</f>
        <v>0.99658100215650203</v>
      </c>
      <c r="AV11" s="139">
        <f t="shared" si="9"/>
        <v>5.8423052689104971E-4</v>
      </c>
    </row>
    <row r="12" spans="2:49" x14ac:dyDescent="0.3">
      <c r="B12" s="1" t="s">
        <v>59</v>
      </c>
      <c r="J12" s="1" t="s">
        <v>78</v>
      </c>
      <c r="O12" s="27">
        <f t="shared" si="10"/>
        <v>2</v>
      </c>
      <c r="P12" s="28" cm="1">
        <f t="array" ref="P12">Interpolate(O12,$J$4:$J$9,$K$4:$K$9)</f>
        <v>2.3442523763718567E-3</v>
      </c>
      <c r="Q12" s="29">
        <f t="shared" si="1"/>
        <v>0.99599711392524803</v>
      </c>
      <c r="R12" s="29">
        <f t="shared" si="2"/>
        <v>5.8388823125399281E-4</v>
      </c>
      <c r="S12" s="30">
        <f t="shared" si="3"/>
        <v>0.94133495454102345</v>
      </c>
      <c r="X12" s="27">
        <f t="shared" si="11"/>
        <v>2</v>
      </c>
      <c r="Y12" s="146"/>
      <c r="Z12" s="154" cm="1">
        <f t="array" ref="Z12">Interpolate($X12,$J$4:$J$9,Y$5:Y$10)</f>
        <v>2.3442523763718567E-3</v>
      </c>
      <c r="AA12" s="143">
        <f>EXP(-Z12*YearFraction)*AA11</f>
        <v>0.99599701432554166</v>
      </c>
      <c r="AB12" s="139">
        <f t="shared" si="4"/>
        <v>5.8388817286525452E-4</v>
      </c>
      <c r="AC12" s="125"/>
      <c r="AD12" s="154" cm="1">
        <f t="array" ref="AD12">Interpolate($X12,$J$4:$J$9,AC$5:AC$10)</f>
        <v>2.3443523763718565E-3</v>
      </c>
      <c r="AE12" s="143">
        <f>EXP(-AD12*YearFraction)*AE11</f>
        <v>0.99599701432554133</v>
      </c>
      <c r="AF12" s="139">
        <f t="shared" si="5"/>
        <v>5.8391308738814374E-4</v>
      </c>
      <c r="AG12" s="125"/>
      <c r="AH12" s="154" cm="1">
        <f t="array" ref="AH12">Interpolate($X12,$J$4:$J$9,AG$5:AG$10)</f>
        <v>2.3442523763718567E-3</v>
      </c>
      <c r="AI12" s="143">
        <f>EXP(-AH12*YearFraction)*AI11</f>
        <v>0.99599711392524803</v>
      </c>
      <c r="AJ12" s="139">
        <f t="shared" si="6"/>
        <v>5.8388823125399281E-4</v>
      </c>
      <c r="AK12" s="125"/>
      <c r="AL12" s="154" cm="1">
        <f t="array" ref="AL12">Interpolate($X12,$J$4:$J$9,AK$5:AK$10)</f>
        <v>2.3442523763718567E-3</v>
      </c>
      <c r="AM12" s="143">
        <f>EXP(-AL12*YearFraction)*AM11</f>
        <v>0.99599711392524803</v>
      </c>
      <c r="AN12" s="139">
        <f t="shared" si="7"/>
        <v>5.8388823125399281E-4</v>
      </c>
      <c r="AO12" s="125"/>
      <c r="AP12" s="154" cm="1">
        <f t="array" ref="AP12">Interpolate($X12,$J$4:$J$9,AO$5:AO$10)</f>
        <v>2.3442523763718567E-3</v>
      </c>
      <c r="AQ12" s="143">
        <f>EXP(-AP12*YearFraction)*AQ11</f>
        <v>0.99599711392524803</v>
      </c>
      <c r="AR12" s="139">
        <f t="shared" si="8"/>
        <v>5.8388823125399281E-4</v>
      </c>
      <c r="AS12" s="125"/>
      <c r="AT12" s="154" cm="1">
        <f t="array" ref="AT12">Interpolate($X12,$J$4:$J$9,AS$5:AS$10)</f>
        <v>2.3442523763718567E-3</v>
      </c>
      <c r="AU12" s="143">
        <f>EXP(-AT12*YearFraction)*AU11</f>
        <v>0.99599711392524803</v>
      </c>
      <c r="AV12" s="139">
        <f t="shared" si="9"/>
        <v>5.8388823125399281E-4</v>
      </c>
    </row>
    <row r="13" spans="2:49" x14ac:dyDescent="0.3">
      <c r="B13" s="4" t="s">
        <v>12</v>
      </c>
      <c r="C13" s="4" t="s">
        <v>31</v>
      </c>
      <c r="D13" s="4" t="s">
        <v>8</v>
      </c>
      <c r="E13" s="4" t="s">
        <v>2</v>
      </c>
      <c r="F13" s="4" t="s">
        <v>29</v>
      </c>
      <c r="G13" s="4" t="s">
        <v>30</v>
      </c>
      <c r="H13" s="4" t="s">
        <v>32</v>
      </c>
      <c r="J13" s="4" t="s">
        <v>58</v>
      </c>
      <c r="K13" s="4" t="s">
        <v>77</v>
      </c>
      <c r="L13" s="4" t="s">
        <v>124</v>
      </c>
      <c r="M13" s="132" t="s">
        <v>81</v>
      </c>
      <c r="N13" s="132"/>
      <c r="O13" s="27">
        <f t="shared" si="10"/>
        <v>2.25</v>
      </c>
      <c r="P13" s="28" cm="1">
        <f t="array" ref="P13">Interpolate(O13,$J$4:$J$9,$K$4:$K$9)</f>
        <v>3.5506598576896019E-3</v>
      </c>
      <c r="Q13" s="29">
        <f t="shared" si="1"/>
        <v>0.99511339446397995</v>
      </c>
      <c r="R13" s="29">
        <f t="shared" si="2"/>
        <v>8.8371946126808432E-4</v>
      </c>
      <c r="S13" s="30">
        <f t="shared" si="3"/>
        <v>0.93424806888390632</v>
      </c>
      <c r="X13" s="27">
        <f t="shared" si="11"/>
        <v>2.25</v>
      </c>
      <c r="Y13" s="146"/>
      <c r="Z13" s="154" cm="1">
        <f t="array" ref="Z13">Interpolate($X13,$J$4:$J$9,Y$5:Y$10)</f>
        <v>3.5506598576896019E-3</v>
      </c>
      <c r="AA13" s="143">
        <f>EXP(-Z13*YearFraction)*AA12</f>
        <v>0.99511329495264556</v>
      </c>
      <c r="AB13" s="139">
        <f t="shared" si="4"/>
        <v>8.8371937289610791E-4</v>
      </c>
      <c r="AC13" s="125"/>
      <c r="AD13" s="154" cm="1">
        <f t="array" ref="AD13">Interpolate($X13,$J$4:$J$9,AC$5:AC$10)</f>
        <v>3.5506598576896019E-3</v>
      </c>
      <c r="AE13" s="143">
        <f>EXP(-AD13*YearFraction)*AE12</f>
        <v>0.99511329495264522</v>
      </c>
      <c r="AF13" s="139">
        <f t="shared" si="5"/>
        <v>8.8371937289610791E-4</v>
      </c>
      <c r="AG13" s="125"/>
      <c r="AH13" s="154" cm="1">
        <f t="array" ref="AH13">Interpolate($X13,$J$4:$J$9,AG$5:AG$10)</f>
        <v>3.5507598576896018E-3</v>
      </c>
      <c r="AI13" s="143">
        <f>EXP(-AH13*YearFraction)*AI12</f>
        <v>0.99511336958614538</v>
      </c>
      <c r="AJ13" s="139">
        <f t="shared" si="6"/>
        <v>8.8374433910265449E-4</v>
      </c>
      <c r="AK13" s="125"/>
      <c r="AL13" s="154" cm="1">
        <f t="array" ref="AL13">Interpolate($X13,$J$4:$J$9,AK$5:AK$10)</f>
        <v>3.5506598576896019E-3</v>
      </c>
      <c r="AM13" s="143">
        <f>EXP(-AL13*YearFraction)*AM12</f>
        <v>0.99511339446397995</v>
      </c>
      <c r="AN13" s="139">
        <f t="shared" si="7"/>
        <v>8.8371946126808432E-4</v>
      </c>
      <c r="AO13" s="125"/>
      <c r="AP13" s="154" cm="1">
        <f t="array" ref="AP13">Interpolate($X13,$J$4:$J$9,AO$5:AO$10)</f>
        <v>3.5506598576896019E-3</v>
      </c>
      <c r="AQ13" s="143">
        <f>EXP(-AP13*YearFraction)*AQ12</f>
        <v>0.99511339446397995</v>
      </c>
      <c r="AR13" s="139">
        <f t="shared" si="8"/>
        <v>8.8371946126808432E-4</v>
      </c>
      <c r="AS13" s="125"/>
      <c r="AT13" s="154" cm="1">
        <f t="array" ref="AT13">Interpolate($X13,$J$4:$J$9,AS$5:AS$10)</f>
        <v>3.5506598576896019E-3</v>
      </c>
      <c r="AU13" s="143">
        <f>EXP(-AT13*YearFraction)*AU12</f>
        <v>0.99511339446397995</v>
      </c>
      <c r="AV13" s="139">
        <f t="shared" si="9"/>
        <v>8.8371946126808432E-4</v>
      </c>
    </row>
    <row r="14" spans="2:49" x14ac:dyDescent="0.3">
      <c r="B14" s="32" t="s">
        <v>13</v>
      </c>
      <c r="C14" s="33">
        <f t="shared" ref="C14:C19" si="12">H4</f>
        <v>1E-3</v>
      </c>
      <c r="D14" s="34">
        <f t="shared" ref="D14:D19" si="13">-Notional*C14*YearFraction</f>
        <v>-250</v>
      </c>
      <c r="E14" s="35">
        <f>D14*SUMPRODUCT(PSurvival1Y,DiscFactors1Y)</f>
        <v>-980.30208310027001</v>
      </c>
      <c r="F14" s="35">
        <f>D14*0.5*SUMPRODUCT(PDefault1Y,DiscFactors1Y)</f>
        <v>-0.20427215734529419</v>
      </c>
      <c r="G14" s="35">
        <f>LGD*SUMPRODUCT(PDefault1Y,DiscFactors1Y)</f>
        <v>980.50635525741211</v>
      </c>
      <c r="H14" s="36">
        <f t="shared" ref="H14:H19" si="14">SUM(E14:G14)</f>
        <v>-2.0315837900852785E-10</v>
      </c>
      <c r="J14" s="82">
        <f>Notional*YearFraction*(SUMPRODUCT(PSurvival1Y,DiscFactors1Y)+0.5*SUMPRODUCT(PDefault1Y,DiscFactors1Y))</f>
        <v>980506.35525761533</v>
      </c>
      <c r="K14" s="83">
        <f t="shared" ref="K14:K19" si="15">G14/J14*10000</f>
        <v>9.999999999997927</v>
      </c>
      <c r="L14" s="21">
        <f t="shared" ref="L14:L19" si="16">K14/10000</f>
        <v>9.9999999999979272E-4</v>
      </c>
      <c r="M14" s="21">
        <f t="shared" ref="M14:M19" si="17">L14-H4</f>
        <v>-2.0729945537922845E-16</v>
      </c>
      <c r="N14" s="20"/>
      <c r="O14" s="27">
        <f t="shared" si="10"/>
        <v>2.5</v>
      </c>
      <c r="P14" s="28" cm="1">
        <f t="array" ref="P14">Interpolate(O14,$J$4:$J$9,$K$4:$K$9)</f>
        <v>3.5506598576896019E-3</v>
      </c>
      <c r="Q14" s="29">
        <f t="shared" si="1"/>
        <v>0.99423045910145602</v>
      </c>
      <c r="R14" s="29">
        <f t="shared" si="2"/>
        <v>8.829353625239289E-4</v>
      </c>
      <c r="S14" s="30">
        <f t="shared" si="3"/>
        <v>0.92721453718764535</v>
      </c>
      <c r="X14" s="27">
        <f t="shared" si="11"/>
        <v>2.5</v>
      </c>
      <c r="Y14" s="146"/>
      <c r="Z14" s="154" cm="1">
        <f t="array" ref="Z14">Interpolate($X14,$J$4:$J$9,Y$5:Y$10)</f>
        <v>3.5506598576896019E-3</v>
      </c>
      <c r="AA14" s="143">
        <f>EXP(-Z14*YearFraction)*AA13</f>
        <v>0.99423035967841522</v>
      </c>
      <c r="AB14" s="139">
        <f t="shared" si="4"/>
        <v>8.8293527423033424E-4</v>
      </c>
      <c r="AC14" s="125"/>
      <c r="AD14" s="154" cm="1">
        <f t="array" ref="AD14">Interpolate($X14,$J$4:$J$9,AC$5:AC$10)</f>
        <v>3.5506598576896019E-3</v>
      </c>
      <c r="AE14" s="143">
        <f>EXP(-AD14*YearFraction)*AE13</f>
        <v>0.99423035967841489</v>
      </c>
      <c r="AF14" s="139">
        <f t="shared" si="5"/>
        <v>8.8293527423033424E-4</v>
      </c>
      <c r="AG14" s="125"/>
      <c r="AH14" s="154" cm="1">
        <f t="array" ref="AH14">Interpolate($X14,$J$4:$J$9,AG$5:AG$10)</f>
        <v>3.5507598576896018E-3</v>
      </c>
      <c r="AI14" s="143">
        <f>EXP(-AH14*YearFraction)*AI13</f>
        <v>0.99423040938993434</v>
      </c>
      <c r="AJ14" s="139">
        <f t="shared" si="6"/>
        <v>8.8296019621103561E-4</v>
      </c>
      <c r="AK14" s="125"/>
      <c r="AL14" s="154" cm="1">
        <f t="array" ref="AL14">Interpolate($X14,$J$4:$J$9,AK$5:AK$10)</f>
        <v>3.5506598576896019E-3</v>
      </c>
      <c r="AM14" s="143">
        <f>EXP(-AL14*YearFraction)*AM13</f>
        <v>0.99423045910145602</v>
      </c>
      <c r="AN14" s="139">
        <f t="shared" si="7"/>
        <v>8.829353625239289E-4</v>
      </c>
      <c r="AO14" s="125"/>
      <c r="AP14" s="154" cm="1">
        <f t="array" ref="AP14">Interpolate($X14,$J$4:$J$9,AO$5:AO$10)</f>
        <v>3.5506598576896019E-3</v>
      </c>
      <c r="AQ14" s="143">
        <f>EXP(-AP14*YearFraction)*AQ13</f>
        <v>0.99423045910145602</v>
      </c>
      <c r="AR14" s="139">
        <f t="shared" si="8"/>
        <v>8.829353625239289E-4</v>
      </c>
      <c r="AS14" s="125"/>
      <c r="AT14" s="154" cm="1">
        <f t="array" ref="AT14">Interpolate($X14,$J$4:$J$9,AS$5:AS$10)</f>
        <v>3.5506598576896019E-3</v>
      </c>
      <c r="AU14" s="143">
        <f>EXP(-AT14*YearFraction)*AU13</f>
        <v>0.99423045910145602</v>
      </c>
      <c r="AV14" s="139">
        <f t="shared" si="9"/>
        <v>8.829353625239289E-4</v>
      </c>
    </row>
    <row r="15" spans="2:49" x14ac:dyDescent="0.3">
      <c r="B15" s="37" t="s">
        <v>14</v>
      </c>
      <c r="C15" s="21">
        <f t="shared" si="12"/>
        <v>1.1999999999999999E-3</v>
      </c>
      <c r="D15" s="4">
        <f t="shared" si="13"/>
        <v>-300</v>
      </c>
      <c r="E15" s="31">
        <f>D15*SUMPRODUCT(PSurvival2Y,DiscFactors2Y)</f>
        <v>-2315.3167022843181</v>
      </c>
      <c r="F15" s="6">
        <f>D15*0.5*SUMPRODUCT(PDefault2Y,DiscFactors2Y)</f>
        <v>-0.57897391905086359</v>
      </c>
      <c r="G15" s="6">
        <f>LGD*SUMPRODUCT(PDefault2Y,DiscFactors2Y)</f>
        <v>2315.8956762034545</v>
      </c>
      <c r="H15" s="7">
        <f t="shared" si="14"/>
        <v>8.5492501966655254E-11</v>
      </c>
      <c r="J15" s="5">
        <f>Notional*YearFraction*(SUMPRODUCT(PSurvival2Y,DiscFactors2Y)+0.5*SUMPRODUCT(PDefault2Y,DiscFactors2Y))</f>
        <v>1929913.0635028074</v>
      </c>
      <c r="K15" s="84">
        <f t="shared" si="15"/>
        <v>12.000000000000444</v>
      </c>
      <c r="L15" s="21">
        <f t="shared" si="16"/>
        <v>1.2000000000000443E-3</v>
      </c>
      <c r="M15" s="21">
        <f t="shared" si="17"/>
        <v>4.4452289071905682E-17</v>
      </c>
      <c r="N15" s="20"/>
      <c r="O15" s="27">
        <f t="shared" si="10"/>
        <v>2.75</v>
      </c>
      <c r="P15" s="28" cm="1">
        <f t="array" ref="P15">Interpolate(O15,$J$4:$J$9,$K$4:$K$9)</f>
        <v>3.5506598576896019E-3</v>
      </c>
      <c r="Q15" s="29">
        <f t="shared" si="1"/>
        <v>0.99334830714196809</v>
      </c>
      <c r="R15" s="29">
        <f t="shared" si="2"/>
        <v>8.8215195948793124E-4</v>
      </c>
      <c r="S15" s="30">
        <f t="shared" si="3"/>
        <v>0.92023395777436989</v>
      </c>
      <c r="X15" s="27">
        <f t="shared" si="11"/>
        <v>2.75</v>
      </c>
      <c r="Y15" s="146"/>
      <c r="Z15" s="154" cm="1">
        <f t="array" ref="Z15">Interpolate($X15,$J$4:$J$9,Y$5:Y$10)</f>
        <v>3.5506598576896019E-3</v>
      </c>
      <c r="AA15" s="143">
        <f>EXP(-Z15*YearFraction)*AA14</f>
        <v>0.9933482078071425</v>
      </c>
      <c r="AB15" s="139">
        <f t="shared" si="4"/>
        <v>8.8215187127271832E-4</v>
      </c>
      <c r="AC15" s="125"/>
      <c r="AD15" s="154" cm="1">
        <f t="array" ref="AD15">Interpolate($X15,$J$4:$J$9,AC$5:AC$10)</f>
        <v>3.5506598576896019E-3</v>
      </c>
      <c r="AE15" s="143">
        <f>EXP(-AD15*YearFraction)*AE14</f>
        <v>0.99334820780714217</v>
      </c>
      <c r="AF15" s="139">
        <f t="shared" si="5"/>
        <v>8.8215187127271832E-4</v>
      </c>
      <c r="AG15" s="125"/>
      <c r="AH15" s="154" cm="1">
        <f t="array" ref="AH15">Interpolate($X15,$J$4:$J$9,AG$5:AG$10)</f>
        <v>3.5507598576896018E-3</v>
      </c>
      <c r="AI15" s="143">
        <f>EXP(-AH15*YearFraction)*AI14</f>
        <v>0.99334823264084793</v>
      </c>
      <c r="AJ15" s="139">
        <f t="shared" si="6"/>
        <v>8.821767490864163E-4</v>
      </c>
      <c r="AK15" s="125"/>
      <c r="AL15" s="154" cm="1">
        <f t="array" ref="AL15">Interpolate($X15,$J$4:$J$9,AK$5:AK$10)</f>
        <v>3.5506598576896019E-3</v>
      </c>
      <c r="AM15" s="143">
        <f>EXP(-AL15*YearFraction)*AM14</f>
        <v>0.99334830714196809</v>
      </c>
      <c r="AN15" s="139">
        <f t="shared" si="7"/>
        <v>8.8215195948793124E-4</v>
      </c>
      <c r="AO15" s="125"/>
      <c r="AP15" s="154" cm="1">
        <f t="array" ref="AP15">Interpolate($X15,$J$4:$J$9,AO$5:AO$10)</f>
        <v>3.5506598576896019E-3</v>
      </c>
      <c r="AQ15" s="143">
        <f>EXP(-AP15*YearFraction)*AQ14</f>
        <v>0.99334830714196809</v>
      </c>
      <c r="AR15" s="139">
        <f t="shared" si="8"/>
        <v>8.8215195948793124E-4</v>
      </c>
      <c r="AS15" s="125"/>
      <c r="AT15" s="154" cm="1">
        <f t="array" ref="AT15">Interpolate($X15,$J$4:$J$9,AS$5:AS$10)</f>
        <v>3.5506598576896019E-3</v>
      </c>
      <c r="AU15" s="143">
        <f>EXP(-AT15*YearFraction)*AU14</f>
        <v>0.99334830714196809</v>
      </c>
      <c r="AV15" s="139">
        <f t="shared" si="9"/>
        <v>8.8215195948793124E-4</v>
      </c>
    </row>
    <row r="16" spans="2:49" x14ac:dyDescent="0.3">
      <c r="B16" s="37" t="s">
        <v>15</v>
      </c>
      <c r="C16" s="21">
        <f t="shared" si="12"/>
        <v>1.5E-3</v>
      </c>
      <c r="D16" s="4">
        <f t="shared" si="13"/>
        <v>-375</v>
      </c>
      <c r="E16" s="31">
        <f>D16*SUMPRODUCT(PSurvival3Y,DiscFactors3Y)</f>
        <v>-4271.1783108184063</v>
      </c>
      <c r="F16" s="6">
        <f>D16*0.5*SUMPRODUCT(PDefault3Y,DiscFactors3Y)</f>
        <v>-1.3351604597635649</v>
      </c>
      <c r="G16" s="6">
        <f>LGD*SUMPRODUCT(PDefault3Y,DiscFactors3Y)</f>
        <v>4272.5134712434074</v>
      </c>
      <c r="H16" s="7">
        <f t="shared" si="14"/>
        <v>-3.4762706491164863E-8</v>
      </c>
      <c r="J16" s="5">
        <f>Notional*YearFraction*(SUMPRODUCT(PSurvival3Y,DiscFactors3Y)+0.5*SUMPRODUCT(PDefault3Y,DiscFactors3Y))</f>
        <v>2848342.3141854466</v>
      </c>
      <c r="K16" s="84">
        <f t="shared" si="15"/>
        <v>14.999999999877955</v>
      </c>
      <c r="L16" s="21">
        <f t="shared" si="16"/>
        <v>1.4999999999877956E-3</v>
      </c>
      <c r="M16" s="21">
        <f t="shared" si="17"/>
        <v>-1.2204430174800329E-14</v>
      </c>
      <c r="N16" s="20"/>
      <c r="O16" s="27">
        <f t="shared" si="10"/>
        <v>3</v>
      </c>
      <c r="P16" s="28" cm="1">
        <f t="array" ref="P16">Interpolate(O16,$J$4:$J$9,$K$4:$K$9)</f>
        <v>3.5506598576896019E-3</v>
      </c>
      <c r="Q16" s="29">
        <f t="shared" si="1"/>
        <v>0.99246693789042528</v>
      </c>
      <c r="R16" s="29">
        <f t="shared" si="2"/>
        <v>8.8136925154280732E-4</v>
      </c>
      <c r="S16" s="30">
        <f t="shared" si="3"/>
        <v>0.913305931990261</v>
      </c>
      <c r="X16" s="27">
        <f t="shared" si="11"/>
        <v>3</v>
      </c>
      <c r="Y16" s="146"/>
      <c r="Z16" s="154" cm="1">
        <f t="array" ref="Z16">Interpolate($X16,$J$4:$J$9,Y$5:Y$10)</f>
        <v>3.5506598576896019E-3</v>
      </c>
      <c r="AA16" s="143">
        <f>EXP(-Z16*YearFraction)*AA15</f>
        <v>0.99246683864373664</v>
      </c>
      <c r="AB16" s="139">
        <f t="shared" si="4"/>
        <v>8.8136916340586513E-4</v>
      </c>
      <c r="AC16" s="125"/>
      <c r="AD16" s="154" cm="1">
        <f t="array" ref="AD16">Interpolate($X16,$J$4:$J$9,AC$5:AC$10)</f>
        <v>3.5506598576896019E-3</v>
      </c>
      <c r="AE16" s="143">
        <f>EXP(-AD16*YearFraction)*AE15</f>
        <v>0.9924668386437363</v>
      </c>
      <c r="AF16" s="139">
        <f t="shared" si="5"/>
        <v>8.8136916340586513E-4</v>
      </c>
      <c r="AG16" s="125"/>
      <c r="AH16" s="154" cm="1">
        <f t="array" ref="AH16">Interpolate($X16,$J$4:$J$9,AG$5:AG$10)</f>
        <v>3.5507598576896018E-3</v>
      </c>
      <c r="AI16" s="143">
        <f>EXP(-AH16*YearFraction)*AI15</f>
        <v>0.99246683864373653</v>
      </c>
      <c r="AJ16" s="139">
        <f t="shared" si="6"/>
        <v>8.8139399711140154E-4</v>
      </c>
      <c r="AK16" s="125"/>
      <c r="AL16" s="154" cm="1">
        <f t="array" ref="AL16">Interpolate($X16,$J$4:$J$9,AK$5:AK$10)</f>
        <v>3.5506598576896019E-3</v>
      </c>
      <c r="AM16" s="143">
        <f>EXP(-AL16*YearFraction)*AM15</f>
        <v>0.99246693789042528</v>
      </c>
      <c r="AN16" s="139">
        <f t="shared" si="7"/>
        <v>8.8136925154280732E-4</v>
      </c>
      <c r="AO16" s="125"/>
      <c r="AP16" s="154" cm="1">
        <f t="array" ref="AP16">Interpolate($X16,$J$4:$J$9,AO$5:AO$10)</f>
        <v>3.5506598576896019E-3</v>
      </c>
      <c r="AQ16" s="143">
        <f>EXP(-AP16*YearFraction)*AQ15</f>
        <v>0.99246693789042528</v>
      </c>
      <c r="AR16" s="139">
        <f t="shared" si="8"/>
        <v>8.8136925154280732E-4</v>
      </c>
      <c r="AS16" s="125"/>
      <c r="AT16" s="154" cm="1">
        <f t="array" ref="AT16">Interpolate($X16,$J$4:$J$9,AS$5:AS$10)</f>
        <v>3.5506598576896019E-3</v>
      </c>
      <c r="AU16" s="143">
        <f>EXP(-AT16*YearFraction)*AU15</f>
        <v>0.99246693789042528</v>
      </c>
      <c r="AV16" s="139">
        <f t="shared" si="9"/>
        <v>8.8136925154280732E-4</v>
      </c>
    </row>
    <row r="17" spans="2:48" x14ac:dyDescent="0.3">
      <c r="B17" s="37" t="s">
        <v>16</v>
      </c>
      <c r="C17" s="21">
        <f t="shared" si="12"/>
        <v>1.6999999999999999E-3</v>
      </c>
      <c r="D17" s="4">
        <f t="shared" si="13"/>
        <v>-425</v>
      </c>
      <c r="E17" s="31">
        <f>D17*SUMPRODUCT(PSurvival4Y,DiscFactors4Y)</f>
        <v>-6349.1388739432659</v>
      </c>
      <c r="F17" s="6">
        <f>D17*0.5*SUMPRODUCT(PDefault4Y,DiscFactors4Y)</f>
        <v>-2.2494500313332075</v>
      </c>
      <c r="G17" s="6">
        <f>LGD*SUMPRODUCT(PDefault4Y,DiscFactors4Y)</f>
        <v>6351.3883237643513</v>
      </c>
      <c r="H17" s="7">
        <f t="shared" si="14"/>
        <v>-2.1024789020884782E-7</v>
      </c>
      <c r="J17" s="5">
        <f>Notional*YearFraction*(SUMPRODUCT(PSurvival4Y,DiscFactors4Y)+0.5*SUMPRODUCT(PDefault4Y,DiscFactors4Y))</f>
        <v>3736110.7788085877</v>
      </c>
      <c r="K17" s="84">
        <f t="shared" si="15"/>
        <v>16.999999999437254</v>
      </c>
      <c r="L17" s="21">
        <f t="shared" si="16"/>
        <v>1.6999999999437255E-3</v>
      </c>
      <c r="M17" s="21">
        <f t="shared" si="17"/>
        <v>-5.6274429560687622E-14</v>
      </c>
      <c r="N17" s="20"/>
      <c r="O17" s="27">
        <f t="shared" si="10"/>
        <v>3.25</v>
      </c>
      <c r="P17" s="28" cm="1">
        <f t="array" ref="P17">Interpolate(O17,$J$4:$J$9,$K$4:$K$9)</f>
        <v>3.9028100611921135E-3</v>
      </c>
      <c r="Q17" s="29">
        <f t="shared" si="1"/>
        <v>0.99149905766114732</v>
      </c>
      <c r="R17" s="29">
        <f t="shared" si="2"/>
        <v>9.6788022927796202E-4</v>
      </c>
      <c r="S17" s="30">
        <f t="shared" si="3"/>
        <v>0.90643006418278371</v>
      </c>
      <c r="X17" s="27">
        <f t="shared" si="11"/>
        <v>3.25</v>
      </c>
      <c r="Y17" s="146"/>
      <c r="Z17" s="154" cm="1">
        <f t="array" ref="Z17">Interpolate($X17,$J$4:$J$9,Y$5:Y$10)</f>
        <v>3.9028100611921135E-3</v>
      </c>
      <c r="AA17" s="143">
        <f>EXP(-Z17*YearFraction)*AA16</f>
        <v>0.9914989585112467</v>
      </c>
      <c r="AB17" s="139">
        <f t="shared" si="4"/>
        <v>9.6788013248993998E-4</v>
      </c>
      <c r="AC17" s="125"/>
      <c r="AD17" s="154" cm="1">
        <f t="array" ref="AD17">Interpolate($X17,$J$4:$J$9,AC$5:AC$10)</f>
        <v>3.9028100611921135E-3</v>
      </c>
      <c r="AE17" s="143">
        <f>EXP(-AD17*YearFraction)*AE16</f>
        <v>0.99149895851124636</v>
      </c>
      <c r="AF17" s="139">
        <f t="shared" si="5"/>
        <v>9.6788013248993998E-4</v>
      </c>
      <c r="AG17" s="125"/>
      <c r="AH17" s="154" cm="1">
        <f t="array" ref="AH17">Interpolate($X17,$J$4:$J$9,AG$5:AG$10)</f>
        <v>3.9028100611921135E-3</v>
      </c>
      <c r="AI17" s="143">
        <f>EXP(-AH17*YearFraction)*AI16</f>
        <v>0.99149895851124659</v>
      </c>
      <c r="AJ17" s="139">
        <f t="shared" si="6"/>
        <v>9.6788013248993998E-4</v>
      </c>
      <c r="AK17" s="125"/>
      <c r="AL17" s="154" cm="1">
        <f t="array" ref="AL17">Interpolate($X17,$J$4:$J$9,AK$5:AK$10)</f>
        <v>3.9029100611921133E-3</v>
      </c>
      <c r="AM17" s="143">
        <f>EXP(-AL17*YearFraction)*AM16</f>
        <v>0.99149903287367125</v>
      </c>
      <c r="AN17" s="139">
        <f t="shared" si="7"/>
        <v>9.6790501675403373E-4</v>
      </c>
      <c r="AO17" s="125"/>
      <c r="AP17" s="154" cm="1">
        <f t="array" ref="AP17">Interpolate($X17,$J$4:$J$9,AO$5:AO$10)</f>
        <v>3.9028100611921135E-3</v>
      </c>
      <c r="AQ17" s="143">
        <f>EXP(-AP17*YearFraction)*AQ16</f>
        <v>0.99149905766114732</v>
      </c>
      <c r="AR17" s="139">
        <f t="shared" si="8"/>
        <v>9.6788022927796202E-4</v>
      </c>
      <c r="AS17" s="125"/>
      <c r="AT17" s="154" cm="1">
        <f t="array" ref="AT17">Interpolate($X17,$J$4:$J$9,AS$5:AS$10)</f>
        <v>3.9028100611921135E-3</v>
      </c>
      <c r="AU17" s="143">
        <f>EXP(-AT17*YearFraction)*AU16</f>
        <v>0.99149905766114732</v>
      </c>
      <c r="AV17" s="139">
        <f t="shared" si="9"/>
        <v>9.6788022927796202E-4</v>
      </c>
    </row>
    <row r="18" spans="2:48" x14ac:dyDescent="0.3">
      <c r="B18" s="37" t="s">
        <v>17</v>
      </c>
      <c r="C18" s="21">
        <f t="shared" si="12"/>
        <v>2.4329999999999998E-3</v>
      </c>
      <c r="D18" s="4">
        <f t="shared" si="13"/>
        <v>-608.25</v>
      </c>
      <c r="E18" s="31">
        <f>D18*SUMPRODUCT(PSurvival5Y,DiscFactors5Y)</f>
        <v>-11166.074097299199</v>
      </c>
      <c r="F18" s="6">
        <f>D18*0.5*SUMPRODUCT(PDefault5Y,DiscFactors5Y)</f>
        <v>-5.6626740430801128</v>
      </c>
      <c r="G18" s="6">
        <f>LGD*SUMPRODUCT(PDefault5Y,DiscFactors5Y)</f>
        <v>11171.736706446585</v>
      </c>
      <c r="H18" s="7">
        <f t="shared" si="14"/>
        <v>-6.4895693867583759E-5</v>
      </c>
      <c r="J18" s="5">
        <f>Notional*YearFraction*(SUMPRODUCT(PSurvival5Y,DiscFactors5Y)+0.5*SUMPRODUCT(PDefault5Y,DiscFactors5Y))</f>
        <v>4591753.7079088688</v>
      </c>
      <c r="K18" s="84">
        <f t="shared" si="15"/>
        <v>24.329999858669044</v>
      </c>
      <c r="L18" s="21">
        <f t="shared" si="16"/>
        <v>2.4329999858669045E-3</v>
      </c>
      <c r="M18" s="21">
        <f t="shared" si="17"/>
        <v>-1.4133095301710474E-11</v>
      </c>
      <c r="N18" s="20"/>
      <c r="O18" s="27">
        <f t="shared" si="10"/>
        <v>3.5</v>
      </c>
      <c r="P18" s="28" cm="1">
        <f t="array" ref="P18">Interpolate(O18,$J$4:$J$9,$K$4:$K$9)</f>
        <v>3.9028100611921135E-3</v>
      </c>
      <c r="Q18" s="29">
        <f t="shared" si="1"/>
        <v>0.99053212133448465</v>
      </c>
      <c r="R18" s="29">
        <f t="shared" si="2"/>
        <v>9.6693632666267071E-4</v>
      </c>
      <c r="S18" s="30">
        <f t="shared" si="3"/>
        <v>0.89960596167809259</v>
      </c>
      <c r="X18" s="27">
        <f t="shared" si="11"/>
        <v>3.5</v>
      </c>
      <c r="Y18" s="146"/>
      <c r="Z18" s="154" cm="1">
        <f t="array" ref="Z18">Interpolate($X18,$J$4:$J$9,Y$5:Y$10)</f>
        <v>3.9028100611921135E-3</v>
      </c>
      <c r="AA18" s="143">
        <f>EXP(-Z18*YearFraction)*AA17</f>
        <v>0.99053202228127768</v>
      </c>
      <c r="AB18" s="139">
        <f t="shared" si="4"/>
        <v>9.6693622996901762E-4</v>
      </c>
      <c r="AC18" s="125"/>
      <c r="AD18" s="154" cm="1">
        <f t="array" ref="AD18">Interpolate($X18,$J$4:$J$9,AC$5:AC$10)</f>
        <v>3.9028100611921135E-3</v>
      </c>
      <c r="AE18" s="143">
        <f>EXP(-AD18*YearFraction)*AE17</f>
        <v>0.99053202228127735</v>
      </c>
      <c r="AF18" s="139">
        <f t="shared" si="5"/>
        <v>9.6693622996901762E-4</v>
      </c>
      <c r="AG18" s="125"/>
      <c r="AH18" s="154" cm="1">
        <f t="array" ref="AH18">Interpolate($X18,$J$4:$J$9,AG$5:AG$10)</f>
        <v>3.9028100611921135E-3</v>
      </c>
      <c r="AI18" s="143">
        <f>EXP(-AH18*YearFraction)*AI17</f>
        <v>0.99053202228127757</v>
      </c>
      <c r="AJ18" s="139">
        <f t="shared" si="6"/>
        <v>9.6693622996901762E-4</v>
      </c>
      <c r="AK18" s="125"/>
      <c r="AL18" s="154" cm="1">
        <f t="array" ref="AL18">Interpolate($X18,$J$4:$J$9,AK$5:AK$10)</f>
        <v>3.9029100611921133E-3</v>
      </c>
      <c r="AM18" s="143">
        <f>EXP(-AL18*YearFraction)*AM17</f>
        <v>0.99053207180787983</v>
      </c>
      <c r="AN18" s="139">
        <f t="shared" si="7"/>
        <v>9.6696106579141627E-4</v>
      </c>
      <c r="AO18" s="125"/>
      <c r="AP18" s="154" cm="1">
        <f t="array" ref="AP18">Interpolate($X18,$J$4:$J$9,AO$5:AO$10)</f>
        <v>3.9028100611921135E-3</v>
      </c>
      <c r="AQ18" s="143">
        <f>EXP(-AP18*YearFraction)*AQ17</f>
        <v>0.99053212133448465</v>
      </c>
      <c r="AR18" s="139">
        <f t="shared" si="8"/>
        <v>9.6693632666267071E-4</v>
      </c>
      <c r="AS18" s="125"/>
      <c r="AT18" s="154" cm="1">
        <f t="array" ref="AT18">Interpolate($X18,$J$4:$J$9,AS$5:AS$10)</f>
        <v>3.9028100611921135E-3</v>
      </c>
      <c r="AU18" s="143">
        <f>EXP(-AT18*YearFraction)*AU17</f>
        <v>0.99053212133448465</v>
      </c>
      <c r="AV18" s="139">
        <f t="shared" si="9"/>
        <v>9.6693632666267071E-4</v>
      </c>
    </row>
    <row r="19" spans="2:48" x14ac:dyDescent="0.3">
      <c r="B19" s="38" t="s">
        <v>18</v>
      </c>
      <c r="C19" s="39">
        <f t="shared" si="12"/>
        <v>3.0000000000000001E-3</v>
      </c>
      <c r="D19" s="40">
        <f t="shared" si="13"/>
        <v>-750</v>
      </c>
      <c r="E19" s="41">
        <f>D19*SUMPRODUCT(PSurvival10Y,DiscFactors10Y)</f>
        <v>-25264.117374678026</v>
      </c>
      <c r="F19" s="9">
        <f>D19*0.5*SUMPRODUCT(PDefault10Y,DiscFactors10Y)</f>
        <v>-15.79994833370762</v>
      </c>
      <c r="G19" s="9">
        <f>LGD*SUMPRODUCT(PDefault10Y,DiscFactors10Y)</f>
        <v>25279.917333932193</v>
      </c>
      <c r="H19" s="10">
        <f t="shared" si="14"/>
        <v>1.0920459317276254E-5</v>
      </c>
      <c r="J19" s="8">
        <f>Notional*YearFraction*(SUMPRODUCT(PSurvival10Y,DiscFactors10Y)+0.5*SUMPRODUCT(PDefault10Y,DiscFactors10Y))</f>
        <v>8426639.1076705772</v>
      </c>
      <c r="K19" s="85">
        <f t="shared" si="15"/>
        <v>30.00000001295945</v>
      </c>
      <c r="L19" s="21">
        <f t="shared" si="16"/>
        <v>3.0000000012959452E-3</v>
      </c>
      <c r="M19" s="21">
        <f t="shared" si="17"/>
        <v>1.2959451220484475E-12</v>
      </c>
      <c r="N19" s="20"/>
      <c r="O19" s="27">
        <f t="shared" si="10"/>
        <v>3.75</v>
      </c>
      <c r="P19" s="28" cm="1">
        <f t="array" ref="P19">Interpolate(O19,$J$4:$J$9,$K$4:$K$9)</f>
        <v>3.9028100611921135E-3</v>
      </c>
      <c r="Q19" s="29">
        <f t="shared" si="1"/>
        <v>0.98956612798991817</v>
      </c>
      <c r="R19" s="29">
        <f t="shared" si="2"/>
        <v>9.6599334456648478E-4</v>
      </c>
      <c r="S19" s="30">
        <f t="shared" si="3"/>
        <v>0.8928332347586061</v>
      </c>
      <c r="X19" s="27">
        <f t="shared" si="11"/>
        <v>3.75</v>
      </c>
      <c r="Y19" s="146"/>
      <c r="Z19" s="154" cm="1">
        <f t="array" ref="Z19">Interpolate($X19,$J$4:$J$9,Y$5:Y$10)</f>
        <v>3.9028100611921135E-3</v>
      </c>
      <c r="AA19" s="143">
        <f>EXP(-Z19*YearFraction)*AA18</f>
        <v>0.98956602903331059</v>
      </c>
      <c r="AB19" s="139">
        <f t="shared" si="4"/>
        <v>9.6599324796708963E-4</v>
      </c>
      <c r="AC19" s="125"/>
      <c r="AD19" s="154" cm="1">
        <f t="array" ref="AD19">Interpolate($X19,$J$4:$J$9,AC$5:AC$10)</f>
        <v>3.9028100611921135E-3</v>
      </c>
      <c r="AE19" s="143">
        <f>EXP(-AD19*YearFraction)*AE18</f>
        <v>0.98956602903331026</v>
      </c>
      <c r="AF19" s="139">
        <f t="shared" si="5"/>
        <v>9.6599324796708963E-4</v>
      </c>
      <c r="AG19" s="125"/>
      <c r="AH19" s="154" cm="1">
        <f t="array" ref="AH19">Interpolate($X19,$J$4:$J$9,AG$5:AG$10)</f>
        <v>3.9028100611921135E-3</v>
      </c>
      <c r="AI19" s="143">
        <f>EXP(-AH19*YearFraction)*AI18</f>
        <v>0.98956602903331048</v>
      </c>
      <c r="AJ19" s="139">
        <f t="shared" si="6"/>
        <v>9.6599324796708963E-4</v>
      </c>
      <c r="AK19" s="125"/>
      <c r="AL19" s="154" cm="1">
        <f t="array" ref="AL19">Interpolate($X19,$J$4:$J$9,AK$5:AK$10)</f>
        <v>3.9029100611921133E-3</v>
      </c>
      <c r="AM19" s="143">
        <f>EXP(-AL19*YearFraction)*AM18</f>
        <v>0.98956605377246143</v>
      </c>
      <c r="AN19" s="139">
        <f t="shared" si="7"/>
        <v>9.6601803541840336E-4</v>
      </c>
      <c r="AO19" s="125"/>
      <c r="AP19" s="154" cm="1">
        <f t="array" ref="AP19">Interpolate($X19,$J$4:$J$9,AO$5:AO$10)</f>
        <v>3.9028100611921135E-3</v>
      </c>
      <c r="AQ19" s="143">
        <f>EXP(-AP19*YearFraction)*AQ18</f>
        <v>0.98956612798991817</v>
      </c>
      <c r="AR19" s="139">
        <f t="shared" si="8"/>
        <v>9.6599334456648478E-4</v>
      </c>
      <c r="AS19" s="125"/>
      <c r="AT19" s="154" cm="1">
        <f t="array" ref="AT19">Interpolate($X19,$J$4:$J$9,AS$5:AS$10)</f>
        <v>3.9028100611921135E-3</v>
      </c>
      <c r="AU19" s="143">
        <f>EXP(-AT19*YearFraction)*AU18</f>
        <v>0.98956612798991817</v>
      </c>
      <c r="AV19" s="139">
        <f t="shared" si="9"/>
        <v>9.6599334456648478E-4</v>
      </c>
    </row>
    <row r="20" spans="2:48" x14ac:dyDescent="0.3">
      <c r="O20" s="27">
        <f t="shared" si="10"/>
        <v>4</v>
      </c>
      <c r="P20" s="28" cm="1">
        <f t="array" ref="P20">Interpolate(O20,$J$4:$J$9,$K$4:$K$9)</f>
        <v>3.9028100611921135E-3</v>
      </c>
      <c r="Q20" s="29">
        <f t="shared" si="1"/>
        <v>0.98860107670782671</v>
      </c>
      <c r="R20" s="29">
        <f t="shared" si="2"/>
        <v>9.6505128209145585E-4</v>
      </c>
      <c r="S20" s="30">
        <f t="shared" si="3"/>
        <v>0.88611149664075062</v>
      </c>
      <c r="X20" s="27">
        <f t="shared" si="11"/>
        <v>4</v>
      </c>
      <c r="Y20" s="146"/>
      <c r="Z20" s="154" cm="1">
        <f t="array" ref="Z20">Interpolate($X20,$J$4:$J$9,Y$5:Y$10)</f>
        <v>3.9028100611921135E-3</v>
      </c>
      <c r="AA20" s="143">
        <f>EXP(-Z20*YearFraction)*AA19</f>
        <v>0.98860097784772427</v>
      </c>
      <c r="AB20" s="139">
        <f t="shared" si="4"/>
        <v>9.6505118558631864E-4</v>
      </c>
      <c r="AC20" s="125"/>
      <c r="AD20" s="154" cm="1">
        <f t="array" ref="AD20">Interpolate($X20,$J$4:$J$9,AC$5:AC$10)</f>
        <v>3.9028100611921135E-3</v>
      </c>
      <c r="AE20" s="143">
        <f>EXP(-AD20*YearFraction)*AE19</f>
        <v>0.98860097784772394</v>
      </c>
      <c r="AF20" s="139">
        <f t="shared" si="5"/>
        <v>9.6505118558631864E-4</v>
      </c>
      <c r="AG20" s="125"/>
      <c r="AH20" s="154" cm="1">
        <f t="array" ref="AH20">Interpolate($X20,$J$4:$J$9,AG$5:AG$10)</f>
        <v>3.9028100611921135E-3</v>
      </c>
      <c r="AI20" s="143">
        <f>EXP(-AH20*YearFraction)*AI19</f>
        <v>0.98860097784772416</v>
      </c>
      <c r="AJ20" s="139">
        <f t="shared" si="6"/>
        <v>9.6505118558631864E-4</v>
      </c>
      <c r="AK20" s="125"/>
      <c r="AL20" s="154" cm="1">
        <f t="array" ref="AL20">Interpolate($X20,$J$4:$J$9,AK$5:AK$10)</f>
        <v>3.9029100611921133E-3</v>
      </c>
      <c r="AM20" s="143">
        <f>EXP(-AL20*YearFraction)*AM19</f>
        <v>0.98860097784772405</v>
      </c>
      <c r="AN20" s="139">
        <f t="shared" si="7"/>
        <v>9.6507592473737969E-4</v>
      </c>
      <c r="AO20" s="125"/>
      <c r="AP20" s="154" cm="1">
        <f t="array" ref="AP20">Interpolate($X20,$J$4:$J$9,AO$5:AO$10)</f>
        <v>3.9028100611921135E-3</v>
      </c>
      <c r="AQ20" s="143">
        <f>EXP(-AP20*YearFraction)*AQ19</f>
        <v>0.98860107670782671</v>
      </c>
      <c r="AR20" s="139">
        <f t="shared" si="8"/>
        <v>9.6505128209145585E-4</v>
      </c>
      <c r="AS20" s="125"/>
      <c r="AT20" s="154" cm="1">
        <f t="array" ref="AT20">Interpolate($X20,$J$4:$J$9,AS$5:AS$10)</f>
        <v>3.9028100611921135E-3</v>
      </c>
      <c r="AU20" s="143">
        <f>EXP(-AT20*YearFraction)*AU19</f>
        <v>0.98860107670782671</v>
      </c>
      <c r="AV20" s="139">
        <f t="shared" si="9"/>
        <v>9.6505128209145585E-4</v>
      </c>
    </row>
    <row r="21" spans="2:48" x14ac:dyDescent="0.3">
      <c r="O21" s="27">
        <f t="shared" si="10"/>
        <v>4.25</v>
      </c>
      <c r="P21" s="28" cm="1">
        <f t="array" ref="P21">Interpolate(O21,$J$4:$J$9,$K$4:$K$9)</f>
        <v>9.3893344838053699E-3</v>
      </c>
      <c r="Q21" s="29">
        <f t="shared" si="1"/>
        <v>0.98628322161663062</v>
      </c>
      <c r="R21" s="29">
        <f t="shared" si="2"/>
        <v>2.317855091196086E-3</v>
      </c>
      <c r="S21" s="30">
        <f t="shared" si="3"/>
        <v>0.8794403634528708</v>
      </c>
      <c r="X21" s="27">
        <f t="shared" si="11"/>
        <v>4.25</v>
      </c>
      <c r="Y21" s="146"/>
      <c r="Z21" s="154" cm="1">
        <f t="array" ref="Z21">Interpolate($X21,$J$4:$J$9,Y$5:Y$10)</f>
        <v>9.3893344838053699E-3</v>
      </c>
      <c r="AA21" s="143">
        <f>EXP(-Z21*YearFraction)*AA20</f>
        <v>0.98628312298831367</v>
      </c>
      <c r="AB21" s="139">
        <f t="shared" si="4"/>
        <v>2.3178548594106063E-3</v>
      </c>
      <c r="AC21" s="125"/>
      <c r="AD21" s="154" cm="1">
        <f t="array" ref="AD21">Interpolate($X21,$J$4:$J$9,AC$5:AC$10)</f>
        <v>9.3893344838053699E-3</v>
      </c>
      <c r="AE21" s="143">
        <f>EXP(-AD21*YearFraction)*AE20</f>
        <v>0.98628312298831333</v>
      </c>
      <c r="AF21" s="139">
        <f t="shared" si="5"/>
        <v>2.3178548594106063E-3</v>
      </c>
      <c r="AG21" s="125"/>
      <c r="AH21" s="154" cm="1">
        <f t="array" ref="AH21">Interpolate($X21,$J$4:$J$9,AG$5:AG$10)</f>
        <v>9.3893344838053699E-3</v>
      </c>
      <c r="AI21" s="143">
        <f>EXP(-AH21*YearFraction)*AI20</f>
        <v>0.98628312298831355</v>
      </c>
      <c r="AJ21" s="139">
        <f t="shared" si="6"/>
        <v>2.3178548594106063E-3</v>
      </c>
      <c r="AK21" s="125"/>
      <c r="AL21" s="154" cm="1">
        <f t="array" ref="AL21">Interpolate($X21,$J$4:$J$9,AK$5:AK$10)</f>
        <v>9.3893344838053699E-3</v>
      </c>
      <c r="AM21" s="143">
        <f>EXP(-AL21*YearFraction)*AM20</f>
        <v>0.98628312298831344</v>
      </c>
      <c r="AN21" s="139">
        <f t="shared" si="7"/>
        <v>2.3178548594106063E-3</v>
      </c>
      <c r="AO21" s="125"/>
      <c r="AP21" s="154" cm="1">
        <f t="array" ref="AP21">Interpolate($X21,$J$4:$J$9,AO$5:AO$10)</f>
        <v>9.3894344838053694E-3</v>
      </c>
      <c r="AQ21" s="143">
        <f>EXP(-AP21*YearFraction)*AQ20</f>
        <v>0.98628319695955036</v>
      </c>
      <c r="AR21" s="139">
        <f t="shared" si="8"/>
        <v>2.3178797482763525E-3</v>
      </c>
      <c r="AS21" s="125"/>
      <c r="AT21" s="154" cm="1">
        <f t="array" ref="AT21">Interpolate($X21,$J$4:$J$9,AS$5:AS$10)</f>
        <v>9.3893344838053699E-3</v>
      </c>
      <c r="AU21" s="143">
        <f>EXP(-AT21*YearFraction)*AU20</f>
        <v>0.98628322161663062</v>
      </c>
      <c r="AV21" s="139">
        <f t="shared" si="9"/>
        <v>2.317855091196086E-3</v>
      </c>
    </row>
    <row r="22" spans="2:48" x14ac:dyDescent="0.3">
      <c r="B22" s="1" t="s">
        <v>48</v>
      </c>
      <c r="D22" s="1"/>
      <c r="E22" s="1"/>
      <c r="F22" s="59" t="s">
        <v>49</v>
      </c>
      <c r="H22" s="4" t="s">
        <v>50</v>
      </c>
      <c r="O22" s="27">
        <f t="shared" si="10"/>
        <v>4.5</v>
      </c>
      <c r="P22" s="28" cm="1">
        <f t="array" ref="P22">Interpolate(O22,$J$4:$J$9,$K$4:$K$9)</f>
        <v>9.3893344838053699E-3</v>
      </c>
      <c r="Q22" s="29">
        <f t="shared" si="1"/>
        <v>0.98397080092395017</v>
      </c>
      <c r="R22" s="29">
        <f t="shared" si="2"/>
        <v>2.3124206926804503E-3</v>
      </c>
      <c r="S22" s="30">
        <f t="shared" si="3"/>
        <v>0.8728194542133082</v>
      </c>
      <c r="X22" s="27">
        <f t="shared" si="11"/>
        <v>4.5</v>
      </c>
      <c r="Y22" s="146"/>
      <c r="Z22" s="154" cm="1">
        <f t="array" ref="Z22">Interpolate($X22,$J$4:$J$9,Y$5:Y$10)</f>
        <v>9.3893344838053699E-3</v>
      </c>
      <c r="AA22" s="143">
        <f>EXP(-Z22*YearFraction)*AA21</f>
        <v>0.98397070252687524</v>
      </c>
      <c r="AB22" s="139">
        <f t="shared" si="4"/>
        <v>2.3124204614384247E-3</v>
      </c>
      <c r="AC22" s="125"/>
      <c r="AD22" s="154" cm="1">
        <f t="array" ref="AD22">Interpolate($X22,$J$4:$J$9,AC$5:AC$10)</f>
        <v>9.3893344838053699E-3</v>
      </c>
      <c r="AE22" s="143">
        <f>EXP(-AD22*YearFraction)*AE21</f>
        <v>0.98397070252687491</v>
      </c>
      <c r="AF22" s="139">
        <f t="shared" si="5"/>
        <v>2.3124204614384247E-3</v>
      </c>
      <c r="AG22" s="125"/>
      <c r="AH22" s="154" cm="1">
        <f t="array" ref="AH22">Interpolate($X22,$J$4:$J$9,AG$5:AG$10)</f>
        <v>9.3893344838053699E-3</v>
      </c>
      <c r="AI22" s="143">
        <f>EXP(-AH22*YearFraction)*AI21</f>
        <v>0.98397070252687513</v>
      </c>
      <c r="AJ22" s="139">
        <f t="shared" si="6"/>
        <v>2.3124204614384247E-3</v>
      </c>
      <c r="AK22" s="125"/>
      <c r="AL22" s="154" cm="1">
        <f t="array" ref="AL22">Interpolate($X22,$J$4:$J$9,AK$5:AK$10)</f>
        <v>9.3893344838053699E-3</v>
      </c>
      <c r="AM22" s="143">
        <f>EXP(-AL22*YearFraction)*AM21</f>
        <v>0.98397070252687502</v>
      </c>
      <c r="AN22" s="139">
        <f t="shared" si="7"/>
        <v>2.3124204614384247E-3</v>
      </c>
      <c r="AO22" s="125"/>
      <c r="AP22" s="154" cm="1">
        <f t="array" ref="AP22">Interpolate($X22,$J$4:$J$9,AO$5:AO$10)</f>
        <v>9.3894344838053694E-3</v>
      </c>
      <c r="AQ22" s="143">
        <f>EXP(-AP22*YearFraction)*AQ21</f>
        <v>0.98397075172541126</v>
      </c>
      <c r="AR22" s="139">
        <f t="shared" si="8"/>
        <v>2.3124452341390933E-3</v>
      </c>
      <c r="AS22" s="125"/>
      <c r="AT22" s="154" cm="1">
        <f t="array" ref="AT22">Interpolate($X22,$J$4:$J$9,AS$5:AS$10)</f>
        <v>9.3893344838053699E-3</v>
      </c>
      <c r="AU22" s="143">
        <f>EXP(-AT22*YearFraction)*AU21</f>
        <v>0.98397080092395017</v>
      </c>
      <c r="AV22" s="139">
        <f t="shared" si="9"/>
        <v>2.3124206926804503E-3</v>
      </c>
    </row>
    <row r="23" spans="2:48" ht="16.8" x14ac:dyDescent="0.35">
      <c r="B23" t="s">
        <v>51</v>
      </c>
      <c r="E23" s="1"/>
      <c r="F23" s="60">
        <v>1E-8</v>
      </c>
      <c r="H23" s="61">
        <f>SQRT(SUMPRODUCT(H27:H32,H27:H32))</f>
        <v>1.3055116807073336E-10</v>
      </c>
      <c r="O23" s="27">
        <f t="shared" si="10"/>
        <v>4.75</v>
      </c>
      <c r="P23" s="28" cm="1">
        <f t="array" ref="P23">Interpolate(O23,$J$4:$J$9,$K$4:$K$9)</f>
        <v>9.3893344838053699E-3</v>
      </c>
      <c r="Q23" s="29">
        <f t="shared" si="1"/>
        <v>0.98166380188839897</v>
      </c>
      <c r="R23" s="29">
        <f t="shared" si="2"/>
        <v>2.3069990355512049E-3</v>
      </c>
      <c r="S23" s="30">
        <f t="shared" si="3"/>
        <v>0.86624839080864258</v>
      </c>
      <c r="X23" s="27">
        <f t="shared" si="11"/>
        <v>4.75</v>
      </c>
      <c r="Y23" s="146"/>
      <c r="Z23" s="154" cm="1">
        <f t="array" ref="Z23">Interpolate($X23,$J$4:$J$9,Y$5:Y$10)</f>
        <v>9.3893344838053699E-3</v>
      </c>
      <c r="AA23" s="143">
        <f>EXP(-Z23*YearFraction)*AA22</f>
        <v>0.98166370372202394</v>
      </c>
      <c r="AB23" s="139">
        <f t="shared" si="4"/>
        <v>2.3069988048513013E-3</v>
      </c>
      <c r="AC23" s="125"/>
      <c r="AD23" s="154" cm="1">
        <f t="array" ref="AD23">Interpolate($X23,$J$4:$J$9,AC$5:AC$10)</f>
        <v>9.3893344838053699E-3</v>
      </c>
      <c r="AE23" s="143">
        <f>EXP(-AD23*YearFraction)*AE22</f>
        <v>0.98166370372202361</v>
      </c>
      <c r="AF23" s="139">
        <f t="shared" si="5"/>
        <v>2.3069988048513013E-3</v>
      </c>
      <c r="AG23" s="125"/>
      <c r="AH23" s="154" cm="1">
        <f t="array" ref="AH23">Interpolate($X23,$J$4:$J$9,AG$5:AG$10)</f>
        <v>9.3893344838053699E-3</v>
      </c>
      <c r="AI23" s="143">
        <f>EXP(-AH23*YearFraction)*AI22</f>
        <v>0.98166370372202383</v>
      </c>
      <c r="AJ23" s="139">
        <f t="shared" si="6"/>
        <v>2.3069988048513013E-3</v>
      </c>
      <c r="AK23" s="125"/>
      <c r="AL23" s="154" cm="1">
        <f t="array" ref="AL23">Interpolate($X23,$J$4:$J$9,AK$5:AK$10)</f>
        <v>9.3893344838053699E-3</v>
      </c>
      <c r="AM23" s="143">
        <f>EXP(-AL23*YearFraction)*AM22</f>
        <v>0.98166370372202372</v>
      </c>
      <c r="AN23" s="139">
        <f t="shared" si="7"/>
        <v>2.3069988048513013E-3</v>
      </c>
      <c r="AO23" s="125"/>
      <c r="AP23" s="154" cm="1">
        <f t="array" ref="AP23">Interpolate($X23,$J$4:$J$9,AO$5:AO$10)</f>
        <v>9.3894344838053694E-3</v>
      </c>
      <c r="AQ23" s="143">
        <f>EXP(-AP23*YearFraction)*AQ22</f>
        <v>0.98166372826361648</v>
      </c>
      <c r="AR23" s="139">
        <f t="shared" si="8"/>
        <v>2.3070234617947882E-3</v>
      </c>
      <c r="AS23" s="125"/>
      <c r="AT23" s="154" cm="1">
        <f t="array" ref="AT23">Interpolate($X23,$J$4:$J$9,AS$5:AS$10)</f>
        <v>9.3893344838053699E-3</v>
      </c>
      <c r="AU23" s="143">
        <f>EXP(-AT23*YearFraction)*AU22</f>
        <v>0.98166380188839897</v>
      </c>
      <c r="AV23" s="139">
        <f t="shared" si="9"/>
        <v>2.3069990355512049E-3</v>
      </c>
    </row>
    <row r="24" spans="2:48" x14ac:dyDescent="0.3">
      <c r="O24" s="27">
        <f t="shared" si="10"/>
        <v>5</v>
      </c>
      <c r="P24" s="28" cm="1">
        <f t="array" ref="P24">Interpolate(O24,$J$4:$J$9,$K$4:$K$9)</f>
        <v>9.3893344838053699E-3</v>
      </c>
      <c r="Q24" s="29">
        <f t="shared" si="1"/>
        <v>0.97936221179846383</v>
      </c>
      <c r="R24" s="29">
        <f t="shared" si="2"/>
        <v>2.3015900899351349E-3</v>
      </c>
      <c r="S24" s="30">
        <f t="shared" si="3"/>
        <v>0.85972679797209928</v>
      </c>
      <c r="X24" s="27">
        <f t="shared" si="11"/>
        <v>5</v>
      </c>
      <c r="Y24" s="146"/>
      <c r="Z24" s="154" cm="1">
        <f t="array" ref="Z24">Interpolate($X24,$J$4:$J$9,Y$5:Y$10)</f>
        <v>9.3893344838053699E-3</v>
      </c>
      <c r="AA24" s="143">
        <f>EXP(-Z24*YearFraction)*AA23</f>
        <v>0.97936211386224781</v>
      </c>
      <c r="AB24" s="139">
        <f t="shared" si="4"/>
        <v>2.301589859776132E-3</v>
      </c>
      <c r="AC24" s="125"/>
      <c r="AD24" s="154" cm="1">
        <f t="array" ref="AD24">Interpolate($X24,$J$4:$J$9,AC$5:AC$10)</f>
        <v>9.3893344838053699E-3</v>
      </c>
      <c r="AE24" s="143">
        <f>EXP(-AD24*YearFraction)*AE23</f>
        <v>0.97936211386224747</v>
      </c>
      <c r="AF24" s="139">
        <f t="shared" si="5"/>
        <v>2.301589859776132E-3</v>
      </c>
      <c r="AG24" s="125"/>
      <c r="AH24" s="154" cm="1">
        <f t="array" ref="AH24">Interpolate($X24,$J$4:$J$9,AG$5:AG$10)</f>
        <v>9.3893344838053699E-3</v>
      </c>
      <c r="AI24" s="143">
        <f>EXP(-AH24*YearFraction)*AI23</f>
        <v>0.9793621138622477</v>
      </c>
      <c r="AJ24" s="139">
        <f t="shared" si="6"/>
        <v>2.301589859776132E-3</v>
      </c>
      <c r="AK24" s="125"/>
      <c r="AL24" s="154" cm="1">
        <f t="array" ref="AL24">Interpolate($X24,$J$4:$J$9,AK$5:AK$10)</f>
        <v>9.3893344838053699E-3</v>
      </c>
      <c r="AM24" s="143">
        <f>EXP(-AL24*YearFraction)*AM23</f>
        <v>0.97936211386224759</v>
      </c>
      <c r="AN24" s="139">
        <f t="shared" si="7"/>
        <v>2.301589859776132E-3</v>
      </c>
      <c r="AO24" s="125"/>
      <c r="AP24" s="154" cm="1">
        <f t="array" ref="AP24">Interpolate($X24,$J$4:$J$9,AO$5:AO$10)</f>
        <v>9.3894344838053694E-3</v>
      </c>
      <c r="AQ24" s="143">
        <f>EXP(-AP24*YearFraction)*AQ23</f>
        <v>0.97936211386224747</v>
      </c>
      <c r="AR24" s="139">
        <f t="shared" si="8"/>
        <v>2.301614401369001E-3</v>
      </c>
      <c r="AS24" s="125"/>
      <c r="AT24" s="154" cm="1">
        <f t="array" ref="AT24">Interpolate($X24,$J$4:$J$9,AS$5:AS$10)</f>
        <v>9.3893344838053699E-3</v>
      </c>
      <c r="AU24" s="143">
        <f>EXP(-AT24*YearFraction)*AU23</f>
        <v>0.97936221179846383</v>
      </c>
      <c r="AV24" s="139">
        <f t="shared" si="9"/>
        <v>2.3015900899351349E-3</v>
      </c>
    </row>
    <row r="25" spans="2:48" x14ac:dyDescent="0.3">
      <c r="B25" s="46" t="s">
        <v>80</v>
      </c>
      <c r="D25" s="1"/>
      <c r="F25" s="59" t="s">
        <v>52</v>
      </c>
      <c r="I25" s="4"/>
      <c r="O25" s="27">
        <f t="shared" si="10"/>
        <v>5.25</v>
      </c>
      <c r="P25" s="28" cm="1">
        <f t="array" ref="P25">Interpolate(O25,$J$4:$J$9,$K$4:$K$9)</f>
        <v>6.1315102101346889E-3</v>
      </c>
      <c r="Q25" s="29">
        <f t="shared" si="1"/>
        <v>0.97786211947085844</v>
      </c>
      <c r="R25" s="29">
        <f t="shared" si="2"/>
        <v>1.5000923276053957E-3</v>
      </c>
      <c r="S25" s="30">
        <f t="shared" si="3"/>
        <v>0.8532543032621176</v>
      </c>
      <c r="X25" s="27">
        <f t="shared" si="11"/>
        <v>5.25</v>
      </c>
      <c r="Y25" s="146"/>
      <c r="Z25" s="154" cm="1">
        <f t="array" ref="Z25">Interpolate($X25,$J$4:$J$9,Y$5:Y$10)</f>
        <v>6.1315102101346889E-3</v>
      </c>
      <c r="AA25" s="143">
        <f>EXP(-Z25*YearFraction)*AA24</f>
        <v>0.97786202168465164</v>
      </c>
      <c r="AB25" s="139">
        <f t="shared" si="4"/>
        <v>1.5000921775961684E-3</v>
      </c>
      <c r="AC25" s="125"/>
      <c r="AD25" s="154" cm="1">
        <f t="array" ref="AD25">Interpolate($X25,$J$4:$J$9,AC$5:AC$10)</f>
        <v>6.1315102101346889E-3</v>
      </c>
      <c r="AE25" s="143">
        <f>EXP(-AD25*YearFraction)*AE24</f>
        <v>0.97786202168465131</v>
      </c>
      <c r="AF25" s="139">
        <f t="shared" si="5"/>
        <v>1.5000921775961684E-3</v>
      </c>
      <c r="AG25" s="125"/>
      <c r="AH25" s="154" cm="1">
        <f t="array" ref="AH25">Interpolate($X25,$J$4:$J$9,AG$5:AG$10)</f>
        <v>6.1315102101346889E-3</v>
      </c>
      <c r="AI25" s="143">
        <f>EXP(-AH25*YearFraction)*AI24</f>
        <v>0.97786202168465153</v>
      </c>
      <c r="AJ25" s="139">
        <f t="shared" si="6"/>
        <v>1.5000921775961684E-3</v>
      </c>
      <c r="AK25" s="125"/>
      <c r="AL25" s="154" cm="1">
        <f t="array" ref="AL25">Interpolate($X25,$J$4:$J$9,AK$5:AK$10)</f>
        <v>6.1315102101346889E-3</v>
      </c>
      <c r="AM25" s="143">
        <f>EXP(-AL25*YearFraction)*AM24</f>
        <v>0.97786202168465142</v>
      </c>
      <c r="AN25" s="139">
        <f t="shared" si="7"/>
        <v>1.5000921775961684E-3</v>
      </c>
      <c r="AO25" s="125"/>
      <c r="AP25" s="154" cm="1">
        <f t="array" ref="AP25">Interpolate($X25,$J$4:$J$9,AO$5:AO$10)</f>
        <v>6.1315102101346889E-3</v>
      </c>
      <c r="AQ25" s="143">
        <f>EXP(-AP25*YearFraction)*AQ24</f>
        <v>0.97786202168465131</v>
      </c>
      <c r="AR25" s="139">
        <f t="shared" si="8"/>
        <v>1.5000921775961684E-3</v>
      </c>
      <c r="AS25" s="125"/>
      <c r="AT25" s="154" cm="1">
        <f t="array" ref="AT25">Interpolate($X25,$J$4:$J$9,AS$5:AS$10)</f>
        <v>6.1316102101346892E-3</v>
      </c>
      <c r="AU25" s="143">
        <f>EXP(-AT25*YearFraction)*AU24</f>
        <v>0.97786209502430566</v>
      </c>
      <c r="AV25" s="139">
        <f t="shared" si="9"/>
        <v>1.5001167741581778E-3</v>
      </c>
    </row>
    <row r="26" spans="2:48" ht="15.6" x14ac:dyDescent="0.3">
      <c r="B26" s="57" t="s">
        <v>12</v>
      </c>
      <c r="C26" s="57" t="s">
        <v>23</v>
      </c>
      <c r="D26" s="57" t="s">
        <v>53</v>
      </c>
      <c r="E26" s="57" t="s">
        <v>54</v>
      </c>
      <c r="F26" s="4" t="s">
        <v>35</v>
      </c>
      <c r="G26" s="57" t="s">
        <v>55</v>
      </c>
      <c r="H26" s="62" t="s">
        <v>33</v>
      </c>
      <c r="O26" s="27">
        <f t="shared" si="10"/>
        <v>5.5</v>
      </c>
      <c r="P26" s="28" cm="1">
        <f t="array" ref="P26">Interpolate(O26,$J$4:$J$9,$K$4:$K$9)</f>
        <v>6.1315102101346889E-3</v>
      </c>
      <c r="Q26" s="29">
        <f t="shared" si="1"/>
        <v>0.97636432483961522</v>
      </c>
      <c r="R26" s="29">
        <f t="shared" si="2"/>
        <v>1.4977946312432211E-3</v>
      </c>
      <c r="S26" s="30">
        <f t="shared" si="3"/>
        <v>0.84683053704108091</v>
      </c>
      <c r="X26" s="27">
        <f t="shared" si="11"/>
        <v>5.5</v>
      </c>
      <c r="Y26" s="146"/>
      <c r="Z26" s="154" cm="1">
        <f t="array" ref="Z26">Interpolate($X26,$J$4:$J$9,Y$5:Y$10)</f>
        <v>6.1315102101346889E-3</v>
      </c>
      <c r="AA26" s="143">
        <f>EXP(-Z26*YearFraction)*AA25</f>
        <v>0.97636422720318794</v>
      </c>
      <c r="AB26" s="139">
        <f t="shared" si="4"/>
        <v>1.497794481463699E-3</v>
      </c>
      <c r="AC26" s="125"/>
      <c r="AD26" s="154" cm="1">
        <f t="array" ref="AD26">Interpolate($X26,$J$4:$J$9,AC$5:AC$10)</f>
        <v>6.1315102101346889E-3</v>
      </c>
      <c r="AE26" s="143">
        <f>EXP(-AD26*YearFraction)*AE25</f>
        <v>0.97636422720318761</v>
      </c>
      <c r="AF26" s="139">
        <f t="shared" si="5"/>
        <v>1.497794481463699E-3</v>
      </c>
      <c r="AG26" s="125"/>
      <c r="AH26" s="154" cm="1">
        <f t="array" ref="AH26">Interpolate($X26,$J$4:$J$9,AG$5:AG$10)</f>
        <v>6.1315102101346889E-3</v>
      </c>
      <c r="AI26" s="143">
        <f>EXP(-AH26*YearFraction)*AI25</f>
        <v>0.97636422720318783</v>
      </c>
      <c r="AJ26" s="139">
        <f t="shared" si="6"/>
        <v>1.497794481463699E-3</v>
      </c>
      <c r="AK26" s="125"/>
      <c r="AL26" s="154" cm="1">
        <f t="array" ref="AL26">Interpolate($X26,$J$4:$J$9,AK$5:AK$10)</f>
        <v>6.1315102101346889E-3</v>
      </c>
      <c r="AM26" s="143">
        <f>EXP(-AL26*YearFraction)*AM25</f>
        <v>0.97636422720318772</v>
      </c>
      <c r="AN26" s="139">
        <f t="shared" si="7"/>
        <v>1.497794481463699E-3</v>
      </c>
      <c r="AO26" s="125"/>
      <c r="AP26" s="154" cm="1">
        <f t="array" ref="AP26">Interpolate($X26,$J$4:$J$9,AO$5:AO$10)</f>
        <v>6.1315102101346889E-3</v>
      </c>
      <c r="AQ26" s="143">
        <f>EXP(-AP26*YearFraction)*AQ25</f>
        <v>0.97636422720318761</v>
      </c>
      <c r="AR26" s="139">
        <f t="shared" si="8"/>
        <v>1.497794481463699E-3</v>
      </c>
      <c r="AS26" s="125"/>
      <c r="AT26" s="154" cm="1">
        <f t="array" ref="AT26">Interpolate($X26,$J$4:$J$9,AS$5:AS$10)</f>
        <v>6.1316102101346892E-3</v>
      </c>
      <c r="AU26" s="143">
        <f>EXP(-AT26*YearFraction)*AU25</f>
        <v>0.97636427602140008</v>
      </c>
      <c r="AV26" s="139">
        <f t="shared" si="9"/>
        <v>1.497819002905576E-3</v>
      </c>
    </row>
    <row r="27" spans="2:48" x14ac:dyDescent="0.3">
      <c r="B27" s="65" t="s">
        <v>13</v>
      </c>
      <c r="C27" s="66">
        <v>1</v>
      </c>
      <c r="D27" s="67" cm="1">
        <f t="array" ref="D27:D32">E27:E32-MMULT(B64:G69,G27:G32)</f>
        <v>1.6666666907794892E-3</v>
      </c>
      <c r="E27" s="68">
        <v>1.6666666907791438E-3</v>
      </c>
      <c r="F27" s="69">
        <f>H4/(1-RecoveryRate)</f>
        <v>1.6666666666666668E-3</v>
      </c>
      <c r="G27" s="68">
        <f t="shared" ref="G27:G32" si="18">M14</f>
        <v>-2.0729945537922845E-16</v>
      </c>
      <c r="H27" s="86">
        <f t="shared" ref="H27:H32" si="19">D27-E27</f>
        <v>3.4542681215388171E-16</v>
      </c>
      <c r="O27" s="27">
        <f t="shared" si="10"/>
        <v>5.75</v>
      </c>
      <c r="P27" s="28" cm="1">
        <f t="array" ref="P27">Interpolate(O27,$J$4:$J$9,$K$4:$K$9)</f>
        <v>6.1315102101346889E-3</v>
      </c>
      <c r="Q27" s="29">
        <f t="shared" si="1"/>
        <v>0.97486882438534517</v>
      </c>
      <c r="R27" s="29">
        <f t="shared" si="2"/>
        <v>1.495500454270049E-3</v>
      </c>
      <c r="S27" s="30">
        <f t="shared" si="3"/>
        <v>0.84045513245420744</v>
      </c>
      <c r="X27" s="27">
        <f t="shared" si="11"/>
        <v>5.75</v>
      </c>
      <c r="Y27" s="146"/>
      <c r="Z27" s="154" cm="1">
        <f t="array" ref="Z27">Interpolate($X27,$J$4:$J$9,Y$5:Y$10)</f>
        <v>6.1315102101346889E-3</v>
      </c>
      <c r="AA27" s="143">
        <f>EXP(-Z27*YearFraction)*AA26</f>
        <v>0.97486872689846793</v>
      </c>
      <c r="AB27" s="139">
        <f t="shared" si="4"/>
        <v>1.4955003047200099E-3</v>
      </c>
      <c r="AC27" s="125"/>
      <c r="AD27" s="154" cm="1">
        <f t="array" ref="AD27">Interpolate($X27,$J$4:$J$9,AC$5:AC$10)</f>
        <v>6.1315102101346889E-3</v>
      </c>
      <c r="AE27" s="143">
        <f>EXP(-AD27*YearFraction)*AE26</f>
        <v>0.9748687268984676</v>
      </c>
      <c r="AF27" s="139">
        <f t="shared" si="5"/>
        <v>1.4955003047200099E-3</v>
      </c>
      <c r="AG27" s="125"/>
      <c r="AH27" s="154" cm="1">
        <f t="array" ref="AH27">Interpolate($X27,$J$4:$J$9,AG$5:AG$10)</f>
        <v>6.1315102101346889E-3</v>
      </c>
      <c r="AI27" s="143">
        <f>EXP(-AH27*YearFraction)*AI26</f>
        <v>0.97486872689846782</v>
      </c>
      <c r="AJ27" s="139">
        <f t="shared" si="6"/>
        <v>1.4955003047200099E-3</v>
      </c>
      <c r="AK27" s="125"/>
      <c r="AL27" s="154" cm="1">
        <f t="array" ref="AL27">Interpolate($X27,$J$4:$J$9,AK$5:AK$10)</f>
        <v>6.1315102101346889E-3</v>
      </c>
      <c r="AM27" s="143">
        <f>EXP(-AL27*YearFraction)*AM26</f>
        <v>0.97486872689846771</v>
      </c>
      <c r="AN27" s="139">
        <f t="shared" si="7"/>
        <v>1.4955003047200099E-3</v>
      </c>
      <c r="AO27" s="125"/>
      <c r="AP27" s="154" cm="1">
        <f t="array" ref="AP27">Interpolate($X27,$J$4:$J$9,AO$5:AO$10)</f>
        <v>6.1315102101346889E-3</v>
      </c>
      <c r="AQ27" s="143">
        <f>EXP(-AP27*YearFraction)*AQ26</f>
        <v>0.9748687268984676</v>
      </c>
      <c r="AR27" s="139">
        <f t="shared" si="8"/>
        <v>1.4955003047200099E-3</v>
      </c>
      <c r="AS27" s="125"/>
      <c r="AT27" s="154" cm="1">
        <f t="array" ref="AT27">Interpolate($X27,$J$4:$J$9,AS$5:AS$10)</f>
        <v>6.1316102101346892E-3</v>
      </c>
      <c r="AU27" s="143">
        <f>EXP(-AT27*YearFraction)*AU26</f>
        <v>0.97486875127018591</v>
      </c>
      <c r="AV27" s="139">
        <f t="shared" si="9"/>
        <v>1.4955247512141723E-3</v>
      </c>
    </row>
    <row r="28" spans="2:48" x14ac:dyDescent="0.3">
      <c r="B28" s="70" t="s">
        <v>14</v>
      </c>
      <c r="C28" s="20">
        <v>2</v>
      </c>
      <c r="D28" s="63">
        <v>2.3442523763713492E-3</v>
      </c>
      <c r="E28" s="48">
        <v>2.3442523763718567E-3</v>
      </c>
      <c r="F28" s="64">
        <f>H5/(1-RecoveryRate)</f>
        <v>2E-3</v>
      </c>
      <c r="G28" s="48">
        <f t="shared" si="18"/>
        <v>4.4452289071905682E-17</v>
      </c>
      <c r="H28" s="87">
        <f t="shared" si="19"/>
        <v>-5.0740661672321608E-16</v>
      </c>
      <c r="O28" s="27">
        <f t="shared" si="10"/>
        <v>6</v>
      </c>
      <c r="P28" s="28" cm="1">
        <f t="array" ref="P28">Interpolate(O28,$J$4:$J$9,$K$4:$K$9)</f>
        <v>6.1315102101346889E-3</v>
      </c>
      <c r="Q28" s="29">
        <f t="shared" si="1"/>
        <v>0.97337561459404975</v>
      </c>
      <c r="R28" s="29">
        <f t="shared" si="2"/>
        <v>1.4932097912954134E-3</v>
      </c>
      <c r="S28" s="30">
        <f t="shared" si="3"/>
        <v>0.83412772540859914</v>
      </c>
      <c r="X28" s="27">
        <f t="shared" si="11"/>
        <v>6</v>
      </c>
      <c r="Y28" s="146"/>
      <c r="Z28" s="154" cm="1">
        <f t="array" ref="Z28">Interpolate($X28,$J$4:$J$9,Y$5:Y$10)</f>
        <v>6.1315102101346889E-3</v>
      </c>
      <c r="AA28" s="143">
        <f>EXP(-Z28*YearFraction)*AA27</f>
        <v>0.97337551725649352</v>
      </c>
      <c r="AB28" s="139">
        <f t="shared" si="4"/>
        <v>1.4932096419744134E-3</v>
      </c>
      <c r="AC28" s="125"/>
      <c r="AD28" s="154" cm="1">
        <f t="array" ref="AD28">Interpolate($X28,$J$4:$J$9,AC$5:AC$10)</f>
        <v>6.1315102101346889E-3</v>
      </c>
      <c r="AE28" s="143">
        <f>EXP(-AD28*YearFraction)*AE27</f>
        <v>0.97337551725649318</v>
      </c>
      <c r="AF28" s="139">
        <f t="shared" si="5"/>
        <v>1.4932096419744134E-3</v>
      </c>
      <c r="AG28" s="125"/>
      <c r="AH28" s="154" cm="1">
        <f t="array" ref="AH28">Interpolate($X28,$J$4:$J$9,AG$5:AG$10)</f>
        <v>6.1315102101346889E-3</v>
      </c>
      <c r="AI28" s="143">
        <f>EXP(-AH28*YearFraction)*AI27</f>
        <v>0.97337551725649341</v>
      </c>
      <c r="AJ28" s="139">
        <f t="shared" si="6"/>
        <v>1.4932096419744134E-3</v>
      </c>
      <c r="AK28" s="125"/>
      <c r="AL28" s="154" cm="1">
        <f t="array" ref="AL28">Interpolate($X28,$J$4:$J$9,AK$5:AK$10)</f>
        <v>6.1315102101346889E-3</v>
      </c>
      <c r="AM28" s="143">
        <f>EXP(-AL28*YearFraction)*AM27</f>
        <v>0.97337551725649329</v>
      </c>
      <c r="AN28" s="139">
        <f t="shared" si="7"/>
        <v>1.4932096419744134E-3</v>
      </c>
      <c r="AO28" s="125"/>
      <c r="AP28" s="154" cm="1">
        <f t="array" ref="AP28">Interpolate($X28,$J$4:$J$9,AO$5:AO$10)</f>
        <v>6.1315102101346889E-3</v>
      </c>
      <c r="AQ28" s="143">
        <f>EXP(-AP28*YearFraction)*AQ27</f>
        <v>0.97337551725649318</v>
      </c>
      <c r="AR28" s="139">
        <f t="shared" si="8"/>
        <v>1.4932096419744134E-3</v>
      </c>
      <c r="AS28" s="125"/>
      <c r="AT28" s="154" cm="1">
        <f t="array" ref="AT28">Interpolate($X28,$J$4:$J$9,AS$5:AS$10)</f>
        <v>6.1316102101346892E-3</v>
      </c>
      <c r="AU28" s="143">
        <f>EXP(-AT28*YearFraction)*AU27</f>
        <v>0.97337551725649296</v>
      </c>
      <c r="AV28" s="139">
        <f t="shared" si="9"/>
        <v>1.4932340136929456E-3</v>
      </c>
    </row>
    <row r="29" spans="2:48" x14ac:dyDescent="0.3">
      <c r="B29" s="70" t="s">
        <v>15</v>
      </c>
      <c r="C29" s="20">
        <v>3</v>
      </c>
      <c r="D29" s="63">
        <v>3.5506598577528733E-3</v>
      </c>
      <c r="E29" s="48">
        <v>3.5506598576896019E-3</v>
      </c>
      <c r="F29" s="64">
        <f>H6/(1-RecoveryRate)</f>
        <v>2.5000000000000001E-3</v>
      </c>
      <c r="G29" s="48">
        <f t="shared" si="18"/>
        <v>-1.2204430174800329E-14</v>
      </c>
      <c r="H29" s="87">
        <f t="shared" si="19"/>
        <v>6.3271436701040074E-14</v>
      </c>
      <c r="O29" s="27">
        <f t="shared" si="10"/>
        <v>6.25</v>
      </c>
      <c r="P29" s="28" cm="1">
        <f t="array" ref="P29">Interpolate(O29,$J$4:$J$9,$K$4:$K$9)</f>
        <v>6.1315102101346889E-3</v>
      </c>
      <c r="Q29" s="29">
        <f t="shared" si="1"/>
        <v>0.97188469195711302</v>
      </c>
      <c r="R29" s="29">
        <f t="shared" si="2"/>
        <v>1.4909226369367312E-3</v>
      </c>
      <c r="S29" s="30">
        <f t="shared" si="3"/>
        <v>0.82784795455244931</v>
      </c>
      <c r="X29" s="27">
        <f t="shared" si="11"/>
        <v>6.25</v>
      </c>
      <c r="Y29" s="146"/>
      <c r="Z29" s="154" cm="1">
        <f t="array" ref="Z29">Interpolate($X29,$J$4:$J$9,Y$5:Y$10)</f>
        <v>6.1315102101346889E-3</v>
      </c>
      <c r="AA29" s="143">
        <f>EXP(-Z29*YearFraction)*AA28</f>
        <v>0.97188459476864908</v>
      </c>
      <c r="AB29" s="139">
        <f t="shared" si="4"/>
        <v>1.4909224878444371E-3</v>
      </c>
      <c r="AC29" s="125"/>
      <c r="AD29" s="154" cm="1">
        <f t="array" ref="AD29">Interpolate($X29,$J$4:$J$9,AC$5:AC$10)</f>
        <v>6.1315102101346889E-3</v>
      </c>
      <c r="AE29" s="143">
        <f>EXP(-AD29*YearFraction)*AE28</f>
        <v>0.97188459476864875</v>
      </c>
      <c r="AF29" s="139">
        <f t="shared" si="5"/>
        <v>1.4909224878444371E-3</v>
      </c>
      <c r="AG29" s="125"/>
      <c r="AH29" s="154" cm="1">
        <f t="array" ref="AH29">Interpolate($X29,$J$4:$J$9,AG$5:AG$10)</f>
        <v>6.1315102101346889E-3</v>
      </c>
      <c r="AI29" s="143">
        <f>EXP(-AH29*YearFraction)*AI28</f>
        <v>0.97188459476864897</v>
      </c>
      <c r="AJ29" s="139">
        <f t="shared" si="6"/>
        <v>1.4909224878444371E-3</v>
      </c>
      <c r="AK29" s="125"/>
      <c r="AL29" s="154" cm="1">
        <f t="array" ref="AL29">Interpolate($X29,$J$4:$J$9,AK$5:AK$10)</f>
        <v>6.1315102101346889E-3</v>
      </c>
      <c r="AM29" s="143">
        <f>EXP(-AL29*YearFraction)*AM28</f>
        <v>0.97188459476864886</v>
      </c>
      <c r="AN29" s="139">
        <f t="shared" si="7"/>
        <v>1.4909224878444371E-3</v>
      </c>
      <c r="AO29" s="125"/>
      <c r="AP29" s="154" cm="1">
        <f t="array" ref="AP29">Interpolate($X29,$J$4:$J$9,AO$5:AO$10)</f>
        <v>6.1315102101346889E-3</v>
      </c>
      <c r="AQ29" s="143">
        <f>EXP(-AP29*YearFraction)*AQ28</f>
        <v>0.97188459476864875</v>
      </c>
      <c r="AR29" s="139">
        <f t="shared" si="8"/>
        <v>1.4909224878444371E-3</v>
      </c>
      <c r="AS29" s="125"/>
      <c r="AT29" s="154" cm="1">
        <f t="array" ref="AT29">Interpolate($X29,$J$4:$J$9,AS$5:AS$10)</f>
        <v>6.1316102101346892E-3</v>
      </c>
      <c r="AU29" s="143">
        <f>EXP(-AT29*YearFraction)*AU28</f>
        <v>0.97188457047153387</v>
      </c>
      <c r="AV29" s="139">
        <f t="shared" si="9"/>
        <v>1.4909467849590907E-3</v>
      </c>
    </row>
    <row r="30" spans="2:48" x14ac:dyDescent="0.3">
      <c r="B30" s="70" t="s">
        <v>16</v>
      </c>
      <c r="C30" s="20">
        <v>4</v>
      </c>
      <c r="D30" s="63">
        <v>3.9028100615217955E-3</v>
      </c>
      <c r="E30" s="48">
        <v>3.9028100611921135E-3</v>
      </c>
      <c r="F30" s="64">
        <f>H7/(1-RecoveryRate)</f>
        <v>2.8333333333333331E-3</v>
      </c>
      <c r="G30" s="48">
        <f t="shared" si="18"/>
        <v>-5.6274429560687622E-14</v>
      </c>
      <c r="H30" s="87">
        <f t="shared" si="19"/>
        <v>3.2968202820504722E-13</v>
      </c>
      <c r="J30" s="42"/>
      <c r="K30" s="42"/>
      <c r="O30" s="27">
        <f t="shared" si="10"/>
        <v>6.5</v>
      </c>
      <c r="P30" s="28" cm="1">
        <f t="array" ref="P30">Interpolate(O30,$J$4:$J$9,$K$4:$K$9)</f>
        <v>6.1315102101346889E-3</v>
      </c>
      <c r="Q30" s="29">
        <f t="shared" si="1"/>
        <v>0.97039605297129305</v>
      </c>
      <c r="R30" s="29">
        <f t="shared" si="2"/>
        <v>1.4886389858199678E-3</v>
      </c>
      <c r="S30" s="30">
        <f t="shared" si="3"/>
        <v>0.82161546125440532</v>
      </c>
      <c r="X30" s="27">
        <f t="shared" si="11"/>
        <v>6.5</v>
      </c>
      <c r="Y30" s="146"/>
      <c r="Z30" s="154" cm="1">
        <f t="array" ref="Z30">Interpolate($X30,$J$4:$J$9,Y$5:Y$10)</f>
        <v>6.1315102101346889E-3</v>
      </c>
      <c r="AA30" s="143">
        <f>EXP(-Z30*YearFraction)*AA29</f>
        <v>0.97039595593169303</v>
      </c>
      <c r="AB30" s="139">
        <f t="shared" si="4"/>
        <v>1.4886388369560466E-3</v>
      </c>
      <c r="AC30" s="125"/>
      <c r="AD30" s="154" cm="1">
        <f t="array" ref="AD30">Interpolate($X30,$J$4:$J$9,AC$5:AC$10)</f>
        <v>6.1315102101346889E-3</v>
      </c>
      <c r="AE30" s="143">
        <f>EXP(-AD30*YearFraction)*AE29</f>
        <v>0.9703959559316927</v>
      </c>
      <c r="AF30" s="139">
        <f t="shared" si="5"/>
        <v>1.4886388369560466E-3</v>
      </c>
      <c r="AG30" s="125"/>
      <c r="AH30" s="154" cm="1">
        <f t="array" ref="AH30">Interpolate($X30,$J$4:$J$9,AG$5:AG$10)</f>
        <v>6.1315102101346889E-3</v>
      </c>
      <c r="AI30" s="143">
        <f>EXP(-AH30*YearFraction)*AI29</f>
        <v>0.97039595593169292</v>
      </c>
      <c r="AJ30" s="139">
        <f t="shared" si="6"/>
        <v>1.4886388369560466E-3</v>
      </c>
      <c r="AK30" s="125"/>
      <c r="AL30" s="154" cm="1">
        <f t="array" ref="AL30">Interpolate($X30,$J$4:$J$9,AK$5:AK$10)</f>
        <v>6.1315102101346889E-3</v>
      </c>
      <c r="AM30" s="143">
        <f>EXP(-AL30*YearFraction)*AM29</f>
        <v>0.97039595593169281</v>
      </c>
      <c r="AN30" s="139">
        <f t="shared" si="7"/>
        <v>1.4886388369560466E-3</v>
      </c>
      <c r="AO30" s="125"/>
      <c r="AP30" s="154" cm="1">
        <f t="array" ref="AP30">Interpolate($X30,$J$4:$J$9,AO$5:AO$10)</f>
        <v>6.1315102101346889E-3</v>
      </c>
      <c r="AQ30" s="143">
        <f>EXP(-AP30*YearFraction)*AQ29</f>
        <v>0.9703959559316927</v>
      </c>
      <c r="AR30" s="139">
        <f t="shared" si="8"/>
        <v>1.4886388369560466E-3</v>
      </c>
      <c r="AS30" s="125"/>
      <c r="AT30" s="154" cm="1">
        <f t="array" ref="AT30">Interpolate($X30,$J$4:$J$9,AS$5:AS$10)</f>
        <v>6.1316102101346892E-3</v>
      </c>
      <c r="AU30" s="143">
        <f>EXP(-AT30*YearFraction)*AU29</f>
        <v>0.97039590741189574</v>
      </c>
      <c r="AV30" s="139">
        <f t="shared" si="9"/>
        <v>1.4886630596381289E-3</v>
      </c>
    </row>
    <row r="31" spans="2:48" x14ac:dyDescent="0.3">
      <c r="B31" s="70" t="s">
        <v>17</v>
      </c>
      <c r="C31" s="20">
        <v>5</v>
      </c>
      <c r="D31" s="63">
        <v>9.389334610139825E-3</v>
      </c>
      <c r="E31" s="48">
        <v>9.3893344838053699E-3</v>
      </c>
      <c r="F31" s="64">
        <f>H8/(1-RecoveryRate)</f>
        <v>4.0549999999999996E-3</v>
      </c>
      <c r="G31" s="48">
        <f t="shared" si="18"/>
        <v>-1.4133095301710474E-11</v>
      </c>
      <c r="H31" s="87">
        <f t="shared" si="19"/>
        <v>1.2633445505005891E-10</v>
      </c>
      <c r="J31" s="42"/>
      <c r="K31" s="42"/>
      <c r="O31" s="27">
        <f t="shared" si="10"/>
        <v>6.75</v>
      </c>
      <c r="P31" s="28" cm="1">
        <f t="array" ref="P31">Interpolate(O31,$J$4:$J$9,$K$4:$K$9)</f>
        <v>6.1315102101346889E-3</v>
      </c>
      <c r="Q31" s="29">
        <f t="shared" si="1"/>
        <v>0.96890969413871397</v>
      </c>
      <c r="R31" s="29">
        <f t="shared" si="2"/>
        <v>1.4863588325790822E-3</v>
      </c>
      <c r="S31" s="30">
        <f t="shared" si="3"/>
        <v>0.81542988958308826</v>
      </c>
      <c r="X31" s="27">
        <f t="shared" si="11"/>
        <v>6.75</v>
      </c>
      <c r="Y31" s="146"/>
      <c r="Z31" s="154" cm="1">
        <f t="array" ref="Z31">Interpolate($X31,$J$4:$J$9,Y$5:Y$10)</f>
        <v>6.1315102101346889E-3</v>
      </c>
      <c r="AA31" s="143">
        <f>EXP(-Z31*YearFraction)*AA30</f>
        <v>0.96890959724774983</v>
      </c>
      <c r="AB31" s="139">
        <f t="shared" si="4"/>
        <v>1.4863586839432008E-3</v>
      </c>
      <c r="AC31" s="125"/>
      <c r="AD31" s="154" cm="1">
        <f t="array" ref="AD31">Interpolate($X31,$J$4:$J$9,AC$5:AC$10)</f>
        <v>6.1315102101346889E-3</v>
      </c>
      <c r="AE31" s="143">
        <f>EXP(-AD31*YearFraction)*AE30</f>
        <v>0.9689095972477495</v>
      </c>
      <c r="AF31" s="139">
        <f t="shared" si="5"/>
        <v>1.4863586839432008E-3</v>
      </c>
      <c r="AG31" s="125"/>
      <c r="AH31" s="154" cm="1">
        <f t="array" ref="AH31">Interpolate($X31,$J$4:$J$9,AG$5:AG$10)</f>
        <v>6.1315102101346889E-3</v>
      </c>
      <c r="AI31" s="143">
        <f>EXP(-AH31*YearFraction)*AI30</f>
        <v>0.96890959724774972</v>
      </c>
      <c r="AJ31" s="139">
        <f t="shared" si="6"/>
        <v>1.4863586839432008E-3</v>
      </c>
      <c r="AK31" s="125"/>
      <c r="AL31" s="154" cm="1">
        <f t="array" ref="AL31">Interpolate($X31,$J$4:$J$9,AK$5:AK$10)</f>
        <v>6.1315102101346889E-3</v>
      </c>
      <c r="AM31" s="143">
        <f>EXP(-AL31*YearFraction)*AM30</f>
        <v>0.96890959724774961</v>
      </c>
      <c r="AN31" s="139">
        <f t="shared" si="7"/>
        <v>1.4863586839432008E-3</v>
      </c>
      <c r="AO31" s="125"/>
      <c r="AP31" s="154" cm="1">
        <f t="array" ref="AP31">Interpolate($X31,$J$4:$J$9,AO$5:AO$10)</f>
        <v>6.1315102101346889E-3</v>
      </c>
      <c r="AQ31" s="143">
        <f>EXP(-AP31*YearFraction)*AQ30</f>
        <v>0.9689095972477495</v>
      </c>
      <c r="AR31" s="139">
        <f t="shared" si="8"/>
        <v>1.4863586839432008E-3</v>
      </c>
      <c r="AS31" s="125"/>
      <c r="AT31" s="154" cm="1">
        <f t="array" ref="AT31">Interpolate($X31,$J$4:$J$9,AS$5:AS$10)</f>
        <v>6.1316102101346892E-3</v>
      </c>
      <c r="AU31" s="143">
        <f>EXP(-AT31*YearFraction)*AU30</f>
        <v>0.96890952457953206</v>
      </c>
      <c r="AV31" s="139">
        <f t="shared" si="9"/>
        <v>1.4863828323636863E-3</v>
      </c>
    </row>
    <row r="32" spans="2:48" x14ac:dyDescent="0.3">
      <c r="B32" s="71" t="s">
        <v>18</v>
      </c>
      <c r="C32" s="72">
        <v>10</v>
      </c>
      <c r="D32" s="73">
        <v>6.1315101772242003E-3</v>
      </c>
      <c r="E32" s="74">
        <v>6.1315102101346889E-3</v>
      </c>
      <c r="F32" s="75">
        <f>H9/(1-RecoveryRate)</f>
        <v>5.0000000000000001E-3</v>
      </c>
      <c r="G32" s="74">
        <f t="shared" si="18"/>
        <v>1.2959451220484475E-12</v>
      </c>
      <c r="H32" s="88">
        <f t="shared" si="19"/>
        <v>-3.2910488570458973E-11</v>
      </c>
      <c r="O32" s="27">
        <f t="shared" si="10"/>
        <v>7</v>
      </c>
      <c r="P32" s="28" cm="1">
        <f t="array" ref="P32">Interpolate(O32,$J$4:$J$9,$K$4:$K$9)</f>
        <v>6.1315102101346889E-3</v>
      </c>
      <c r="Q32" s="29">
        <f t="shared" si="1"/>
        <v>0.9674256119668575</v>
      </c>
      <c r="R32" s="29">
        <f t="shared" si="2"/>
        <v>1.4840821718564712E-3</v>
      </c>
      <c r="S32" s="30">
        <f t="shared" si="3"/>
        <v>0.80929088628676571</v>
      </c>
      <c r="X32" s="27">
        <f t="shared" si="11"/>
        <v>7</v>
      </c>
      <c r="Y32" s="146"/>
      <c r="Z32" s="154" cm="1">
        <f t="array" ref="Z32">Interpolate($X32,$J$4:$J$9,Y$5:Y$10)</f>
        <v>6.1315102101346889E-3</v>
      </c>
      <c r="AA32" s="143">
        <f>EXP(-Z32*YearFraction)*AA31</f>
        <v>0.96742551522430165</v>
      </c>
      <c r="AB32" s="139">
        <f t="shared" si="4"/>
        <v>1.4840820234481855E-3</v>
      </c>
      <c r="AC32" s="125"/>
      <c r="AD32" s="154" cm="1">
        <f t="array" ref="AD32">Interpolate($X32,$J$4:$J$9,AC$5:AC$10)</f>
        <v>6.1315102101346889E-3</v>
      </c>
      <c r="AE32" s="143">
        <f>EXP(-AD32*YearFraction)*AE31</f>
        <v>0.96742551522430131</v>
      </c>
      <c r="AF32" s="139">
        <f t="shared" si="5"/>
        <v>1.4840820234481855E-3</v>
      </c>
      <c r="AG32" s="125"/>
      <c r="AH32" s="154" cm="1">
        <f t="array" ref="AH32">Interpolate($X32,$J$4:$J$9,AG$5:AG$10)</f>
        <v>6.1315102101346889E-3</v>
      </c>
      <c r="AI32" s="143">
        <f>EXP(-AH32*YearFraction)*AI31</f>
        <v>0.96742551522430154</v>
      </c>
      <c r="AJ32" s="139">
        <f t="shared" si="6"/>
        <v>1.4840820234481855E-3</v>
      </c>
      <c r="AK32" s="125"/>
      <c r="AL32" s="154" cm="1">
        <f t="array" ref="AL32">Interpolate($X32,$J$4:$J$9,AK$5:AK$10)</f>
        <v>6.1315102101346889E-3</v>
      </c>
      <c r="AM32" s="143">
        <f>EXP(-AL32*YearFraction)*AM31</f>
        <v>0.96742551522430142</v>
      </c>
      <c r="AN32" s="139">
        <f t="shared" si="7"/>
        <v>1.4840820234481855E-3</v>
      </c>
      <c r="AO32" s="125"/>
      <c r="AP32" s="154" cm="1">
        <f t="array" ref="AP32">Interpolate($X32,$J$4:$J$9,AO$5:AO$10)</f>
        <v>6.1315102101346889E-3</v>
      </c>
      <c r="AQ32" s="143">
        <f>EXP(-AP32*YearFraction)*AQ31</f>
        <v>0.96742551522430131</v>
      </c>
      <c r="AR32" s="139">
        <f t="shared" si="8"/>
        <v>1.4840820234481855E-3</v>
      </c>
      <c r="AS32" s="125"/>
      <c r="AT32" s="154" cm="1">
        <f t="array" ref="AT32">Interpolate($X32,$J$4:$J$9,AS$5:AS$10)</f>
        <v>6.1316102101346892E-3</v>
      </c>
      <c r="AU32" s="143">
        <f>EXP(-AT32*YearFraction)*AU31</f>
        <v>0.96742541848175412</v>
      </c>
      <c r="AV32" s="139">
        <f t="shared" si="9"/>
        <v>1.4841060977779374E-3</v>
      </c>
    </row>
    <row r="33" spans="1:48" x14ac:dyDescent="0.3">
      <c r="O33" s="27">
        <f t="shared" si="10"/>
        <v>7.25</v>
      </c>
      <c r="P33" s="28" cm="1">
        <f t="array" ref="P33">Interpolate(O33,$J$4:$J$9,$K$4:$K$9)</f>
        <v>6.1315102101346889E-3</v>
      </c>
      <c r="Q33" s="29">
        <f t="shared" si="1"/>
        <v>0.96594380296855498</v>
      </c>
      <c r="R33" s="29">
        <f t="shared" si="2"/>
        <v>1.4818089983025251E-3</v>
      </c>
      <c r="S33" s="30">
        <f t="shared" si="3"/>
        <v>0.80319810077317799</v>
      </c>
      <c r="X33" s="27">
        <f t="shared" si="11"/>
        <v>7.25</v>
      </c>
      <c r="Y33" s="146"/>
      <c r="Z33" s="154" cm="1">
        <f t="array" ref="Z33">Interpolate($X33,$J$4:$J$9,Y$5:Y$10)</f>
        <v>6.1315102101346889E-3</v>
      </c>
      <c r="AA33" s="143">
        <f>EXP(-Z33*YearFraction)*AA32</f>
        <v>0.96594370637418003</v>
      </c>
      <c r="AB33" s="139">
        <f t="shared" si="4"/>
        <v>1.4818088501216131E-3</v>
      </c>
      <c r="AC33" s="125"/>
      <c r="AD33" s="154" cm="1">
        <f t="array" ref="AD33">Interpolate($X33,$J$4:$J$9,AC$5:AC$10)</f>
        <v>6.1315102101346889E-3</v>
      </c>
      <c r="AE33" s="143">
        <f>EXP(-AD33*YearFraction)*AE32</f>
        <v>0.9659437063741797</v>
      </c>
      <c r="AF33" s="139">
        <f t="shared" si="5"/>
        <v>1.4818088501216131E-3</v>
      </c>
      <c r="AG33" s="125"/>
      <c r="AH33" s="154" cm="1">
        <f t="array" ref="AH33">Interpolate($X33,$J$4:$J$9,AG$5:AG$10)</f>
        <v>6.1315102101346889E-3</v>
      </c>
      <c r="AI33" s="143">
        <f>EXP(-AH33*YearFraction)*AI32</f>
        <v>0.96594370637417992</v>
      </c>
      <c r="AJ33" s="139">
        <f t="shared" si="6"/>
        <v>1.4818088501216131E-3</v>
      </c>
      <c r="AK33" s="125"/>
      <c r="AL33" s="154" cm="1">
        <f t="array" ref="AL33">Interpolate($X33,$J$4:$J$9,AK$5:AK$10)</f>
        <v>6.1315102101346889E-3</v>
      </c>
      <c r="AM33" s="143">
        <f>EXP(-AL33*YearFraction)*AM32</f>
        <v>0.96594370637417981</v>
      </c>
      <c r="AN33" s="139">
        <f t="shared" si="7"/>
        <v>1.4818088501216131E-3</v>
      </c>
      <c r="AO33" s="125"/>
      <c r="AP33" s="154" cm="1">
        <f t="array" ref="AP33">Interpolate($X33,$J$4:$J$9,AO$5:AO$10)</f>
        <v>6.1315102101346889E-3</v>
      </c>
      <c r="AQ33" s="143">
        <f>EXP(-AP33*YearFraction)*AQ32</f>
        <v>0.9659437063741797</v>
      </c>
      <c r="AR33" s="139">
        <f t="shared" si="8"/>
        <v>1.4818088501216131E-3</v>
      </c>
      <c r="AS33" s="125"/>
      <c r="AT33" s="154" cm="1">
        <f t="array" ref="AT33">Interpolate($X33,$J$4:$J$9,AS$5:AS$10)</f>
        <v>6.1316102101346892E-3</v>
      </c>
      <c r="AU33" s="143">
        <f>EXP(-AT33*YearFraction)*AU32</f>
        <v>0.9659435856312234</v>
      </c>
      <c r="AV33" s="139">
        <f t="shared" si="9"/>
        <v>1.4818328505307177E-3</v>
      </c>
    </row>
    <row r="34" spans="1:48" x14ac:dyDescent="0.3">
      <c r="O34" s="27">
        <f t="shared" si="10"/>
        <v>7.5</v>
      </c>
      <c r="P34" s="28" cm="1">
        <f t="array" ref="P34">Interpolate(O34,$J$4:$J$9,$K$4:$K$9)</f>
        <v>6.1315102101346889E-3</v>
      </c>
      <c r="Q34" s="29">
        <f t="shared" si="1"/>
        <v>0.9644642636619789</v>
      </c>
      <c r="R34" s="29">
        <f t="shared" si="2"/>
        <v>1.479539306576072E-3</v>
      </c>
      <c r="S34" s="30">
        <f t="shared" si="3"/>
        <v>0.79715118508951632</v>
      </c>
      <c r="X34" s="27">
        <f t="shared" si="11"/>
        <v>7.5</v>
      </c>
      <c r="Y34" s="146"/>
      <c r="Z34" s="154" cm="1">
        <f t="array" ref="Z34">Interpolate($X34,$J$4:$J$9,Y$5:Y$10)</f>
        <v>6.1315102101346889E-3</v>
      </c>
      <c r="AA34" s="143">
        <f>EXP(-Z34*YearFraction)*AA33</f>
        <v>0.96446416721555783</v>
      </c>
      <c r="AB34" s="139">
        <f t="shared" si="4"/>
        <v>1.4795391586222006E-3</v>
      </c>
      <c r="AC34" s="125"/>
      <c r="AD34" s="154" cm="1">
        <f t="array" ref="AD34">Interpolate($X34,$J$4:$J$9,AC$5:AC$10)</f>
        <v>6.1315102101346889E-3</v>
      </c>
      <c r="AE34" s="143">
        <f>EXP(-AD34*YearFraction)*AE33</f>
        <v>0.9644641672155575</v>
      </c>
      <c r="AF34" s="139">
        <f t="shared" si="5"/>
        <v>1.4795391586222006E-3</v>
      </c>
      <c r="AG34" s="125"/>
      <c r="AH34" s="154" cm="1">
        <f t="array" ref="AH34">Interpolate($X34,$J$4:$J$9,AG$5:AG$10)</f>
        <v>6.1315102101346889E-3</v>
      </c>
      <c r="AI34" s="143">
        <f>EXP(-AH34*YearFraction)*AI33</f>
        <v>0.96446416721555772</v>
      </c>
      <c r="AJ34" s="139">
        <f t="shared" si="6"/>
        <v>1.4795391586222006E-3</v>
      </c>
      <c r="AK34" s="125"/>
      <c r="AL34" s="154" cm="1">
        <f t="array" ref="AL34">Interpolate($X34,$J$4:$J$9,AK$5:AK$10)</f>
        <v>6.1315102101346889E-3</v>
      </c>
      <c r="AM34" s="143">
        <f>EXP(-AL34*YearFraction)*AM33</f>
        <v>0.96446416721555761</v>
      </c>
      <c r="AN34" s="139">
        <f t="shared" si="7"/>
        <v>1.4795391586222006E-3</v>
      </c>
      <c r="AO34" s="125"/>
      <c r="AP34" s="154" cm="1">
        <f t="array" ref="AP34">Interpolate($X34,$J$4:$J$9,AO$5:AO$10)</f>
        <v>6.1315102101346889E-3</v>
      </c>
      <c r="AQ34" s="143">
        <f>EXP(-AP34*YearFraction)*AQ33</f>
        <v>0.9644641672155575</v>
      </c>
      <c r="AR34" s="139">
        <f t="shared" si="8"/>
        <v>1.4795391586222006E-3</v>
      </c>
      <c r="AS34" s="125"/>
      <c r="AT34" s="154" cm="1">
        <f t="array" ref="AT34">Interpolate($X34,$J$4:$J$9,AS$5:AS$10)</f>
        <v>6.1316102101346892E-3</v>
      </c>
      <c r="AU34" s="143">
        <f>EXP(-AT34*YearFraction)*AU33</f>
        <v>0.96446402254594266</v>
      </c>
      <c r="AV34" s="139">
        <f t="shared" si="9"/>
        <v>1.479563085280744E-3</v>
      </c>
    </row>
    <row r="35" spans="1:48" x14ac:dyDescent="0.3">
      <c r="O35" s="27">
        <f t="shared" si="10"/>
        <v>7.75</v>
      </c>
      <c r="P35" s="28" cm="1">
        <f t="array" ref="P35">Interpolate(O35,$J$4:$J$9,$K$4:$K$9)</f>
        <v>6.1315102101346889E-3</v>
      </c>
      <c r="Q35" s="29">
        <f t="shared" si="1"/>
        <v>0.96298699057063497</v>
      </c>
      <c r="R35" s="29">
        <f t="shared" si="2"/>
        <v>1.4772730913439336E-3</v>
      </c>
      <c r="S35" s="30">
        <f t="shared" si="3"/>
        <v>0.79114979390255114</v>
      </c>
      <c r="X35" s="27">
        <f t="shared" si="11"/>
        <v>7.75</v>
      </c>
      <c r="Y35" s="146"/>
      <c r="Z35" s="154" cm="1">
        <f t="array" ref="Z35">Interpolate($X35,$J$4:$J$9,Y$5:Y$10)</f>
        <v>6.1315102101346889E-3</v>
      </c>
      <c r="AA35" s="143">
        <f>EXP(-Z35*YearFraction)*AA34</f>
        <v>0.96298689427194117</v>
      </c>
      <c r="AB35" s="139">
        <f t="shared" si="4"/>
        <v>1.4772729436166587E-3</v>
      </c>
      <c r="AC35" s="125"/>
      <c r="AD35" s="154" cm="1">
        <f t="array" ref="AD35">Interpolate($X35,$J$4:$J$9,AC$5:AC$10)</f>
        <v>6.1315102101346889E-3</v>
      </c>
      <c r="AE35" s="143">
        <f>EXP(-AD35*YearFraction)*AE34</f>
        <v>0.96298689427194084</v>
      </c>
      <c r="AF35" s="139">
        <f t="shared" si="5"/>
        <v>1.4772729436166587E-3</v>
      </c>
      <c r="AG35" s="125"/>
      <c r="AH35" s="154" cm="1">
        <f t="array" ref="AH35">Interpolate($X35,$J$4:$J$9,AG$5:AG$10)</f>
        <v>6.1315102101346889E-3</v>
      </c>
      <c r="AI35" s="143">
        <f>EXP(-AH35*YearFraction)*AI34</f>
        <v>0.96298689427194106</v>
      </c>
      <c r="AJ35" s="139">
        <f t="shared" si="6"/>
        <v>1.4772729436166587E-3</v>
      </c>
      <c r="AK35" s="125"/>
      <c r="AL35" s="154" cm="1">
        <f t="array" ref="AL35">Interpolate($X35,$J$4:$J$9,AK$5:AK$10)</f>
        <v>6.1315102101346889E-3</v>
      </c>
      <c r="AM35" s="143">
        <f>EXP(-AL35*YearFraction)*AM34</f>
        <v>0.96298689427194095</v>
      </c>
      <c r="AN35" s="139">
        <f t="shared" si="7"/>
        <v>1.4772729436166587E-3</v>
      </c>
      <c r="AO35" s="125"/>
      <c r="AP35" s="154" cm="1">
        <f t="array" ref="AP35">Interpolate($X35,$J$4:$J$9,AO$5:AO$10)</f>
        <v>6.1315102101346889E-3</v>
      </c>
      <c r="AQ35" s="143">
        <f>EXP(-AP35*YearFraction)*AQ34</f>
        <v>0.96298689427194084</v>
      </c>
      <c r="AR35" s="139">
        <f t="shared" si="8"/>
        <v>1.4772729436166587E-3</v>
      </c>
      <c r="AS35" s="125"/>
      <c r="AT35" s="154" cm="1">
        <f t="array" ref="AT35">Interpolate($X35,$J$4:$J$9,AS$5:AS$10)</f>
        <v>6.1316102101346892E-3</v>
      </c>
      <c r="AU35" s="143">
        <f>EXP(-AT35*YearFraction)*AU34</f>
        <v>0.96298672574924848</v>
      </c>
      <c r="AV35" s="139">
        <f t="shared" si="9"/>
        <v>1.4772967966941719E-3</v>
      </c>
    </row>
    <row r="36" spans="1:48" x14ac:dyDescent="0.3">
      <c r="F36" s="58" t="s">
        <v>46</v>
      </c>
      <c r="O36" s="27">
        <f t="shared" si="10"/>
        <v>8</v>
      </c>
      <c r="P36" s="28" cm="1">
        <f t="array" ref="P36">Interpolate(O36,$J$4:$J$9,$K$4:$K$9)</f>
        <v>6.1315102101346889E-3</v>
      </c>
      <c r="Q36" s="29">
        <f t="shared" si="1"/>
        <v>0.96151198022335382</v>
      </c>
      <c r="R36" s="29">
        <f t="shared" si="2"/>
        <v>1.4750103472811471E-3</v>
      </c>
      <c r="S36" s="30">
        <f t="shared" si="3"/>
        <v>0.78519358447891097</v>
      </c>
      <c r="X36" s="27">
        <f t="shared" si="11"/>
        <v>8</v>
      </c>
      <c r="Y36" s="146"/>
      <c r="Z36" s="154" cm="1">
        <f t="array" ref="Z36">Interpolate($X36,$J$4:$J$9,Y$5:Y$10)</f>
        <v>6.1315102101346889E-3</v>
      </c>
      <c r="AA36" s="143">
        <f>EXP(-Z36*YearFraction)*AA35</f>
        <v>0.96151188407216115</v>
      </c>
      <c r="AB36" s="139">
        <f t="shared" si="4"/>
        <v>1.4750101997800247E-3</v>
      </c>
      <c r="AC36" s="125"/>
      <c r="AD36" s="154" cm="1">
        <f t="array" ref="AD36">Interpolate($X36,$J$4:$J$9,AC$5:AC$10)</f>
        <v>6.1315102101346889E-3</v>
      </c>
      <c r="AE36" s="143">
        <f>EXP(-AD36*YearFraction)*AE35</f>
        <v>0.96151188407216082</v>
      </c>
      <c r="AF36" s="139">
        <f t="shared" si="5"/>
        <v>1.4750101997800247E-3</v>
      </c>
      <c r="AG36" s="125"/>
      <c r="AH36" s="154" cm="1">
        <f t="array" ref="AH36">Interpolate($X36,$J$4:$J$9,AG$5:AG$10)</f>
        <v>6.1315102101346889E-3</v>
      </c>
      <c r="AI36" s="143">
        <f>EXP(-AH36*YearFraction)*AI35</f>
        <v>0.96151188407216104</v>
      </c>
      <c r="AJ36" s="139">
        <f t="shared" si="6"/>
        <v>1.4750101997800247E-3</v>
      </c>
      <c r="AK36" s="125"/>
      <c r="AL36" s="154" cm="1">
        <f t="array" ref="AL36">Interpolate($X36,$J$4:$J$9,AK$5:AK$10)</f>
        <v>6.1315102101346889E-3</v>
      </c>
      <c r="AM36" s="143">
        <f>EXP(-AL36*YearFraction)*AM35</f>
        <v>0.96151188407216093</v>
      </c>
      <c r="AN36" s="139">
        <f t="shared" si="7"/>
        <v>1.4750101997800247E-3</v>
      </c>
      <c r="AO36" s="125"/>
      <c r="AP36" s="154" cm="1">
        <f t="array" ref="AP36">Interpolate($X36,$J$4:$J$9,AO$5:AO$10)</f>
        <v>6.1315102101346889E-3</v>
      </c>
      <c r="AQ36" s="143">
        <f>EXP(-AP36*YearFraction)*AQ35</f>
        <v>0.96151188407216082</v>
      </c>
      <c r="AR36" s="139">
        <f t="shared" si="8"/>
        <v>1.4750101997800247E-3</v>
      </c>
      <c r="AS36" s="125"/>
      <c r="AT36" s="154" cm="1">
        <f t="array" ref="AT36">Interpolate($X36,$J$4:$J$9,AS$5:AS$10)</f>
        <v>6.1316102101346892E-3</v>
      </c>
      <c r="AU36" s="143">
        <f>EXP(-AT36*YearFraction)*AU35</f>
        <v>0.96151169176980256</v>
      </c>
      <c r="AV36" s="139">
        <f t="shared" si="9"/>
        <v>1.4750339794459277E-3</v>
      </c>
    </row>
    <row r="37" spans="1:48" x14ac:dyDescent="0.3">
      <c r="F37" s="49" t="b">
        <v>0</v>
      </c>
      <c r="O37" s="27">
        <f t="shared" si="10"/>
        <v>8.25</v>
      </c>
      <c r="P37" s="28" cm="1">
        <f t="array" ref="P37">Interpolate(O37,$J$4:$J$9,$K$4:$K$9)</f>
        <v>6.1315102101346889E-3</v>
      </c>
      <c r="Q37" s="29">
        <f t="shared" si="1"/>
        <v>0.96003922915428297</v>
      </c>
      <c r="R37" s="29">
        <f t="shared" si="2"/>
        <v>1.4727510690708545E-3</v>
      </c>
      <c r="S37" s="30">
        <f t="shared" si="3"/>
        <v>0.77928221666550901</v>
      </c>
      <c r="X37" s="27">
        <f t="shared" si="11"/>
        <v>8.25</v>
      </c>
      <c r="Y37" s="146"/>
      <c r="Z37" s="154" cm="1">
        <f t="array" ref="Z37">Interpolate($X37,$J$4:$J$9,Y$5:Y$10)</f>
        <v>6.1315102101346889E-3</v>
      </c>
      <c r="AA37" s="143">
        <f>EXP(-Z37*YearFraction)*AA36</f>
        <v>0.96003913315036549</v>
      </c>
      <c r="AB37" s="139">
        <f t="shared" si="4"/>
        <v>1.4727509217956625E-3</v>
      </c>
      <c r="AC37" s="125"/>
      <c r="AD37" s="154" cm="1">
        <f t="array" ref="AD37">Interpolate($X37,$J$4:$J$9,AC$5:AC$10)</f>
        <v>6.1315102101346889E-3</v>
      </c>
      <c r="AE37" s="143">
        <f>EXP(-AD37*YearFraction)*AE36</f>
        <v>0.96003913315036515</v>
      </c>
      <c r="AF37" s="139">
        <f t="shared" si="5"/>
        <v>1.4727509217956625E-3</v>
      </c>
      <c r="AG37" s="125"/>
      <c r="AH37" s="154" cm="1">
        <f t="array" ref="AH37">Interpolate($X37,$J$4:$J$9,AG$5:AG$10)</f>
        <v>6.1315102101346889E-3</v>
      </c>
      <c r="AI37" s="143">
        <f>EXP(-AH37*YearFraction)*AI36</f>
        <v>0.96003913315036538</v>
      </c>
      <c r="AJ37" s="139">
        <f t="shared" si="6"/>
        <v>1.4727509217956625E-3</v>
      </c>
      <c r="AK37" s="125"/>
      <c r="AL37" s="154" cm="1">
        <f t="array" ref="AL37">Interpolate($X37,$J$4:$J$9,AK$5:AK$10)</f>
        <v>6.1315102101346889E-3</v>
      </c>
      <c r="AM37" s="143">
        <f>EXP(-AL37*YearFraction)*AM36</f>
        <v>0.96003913315036526</v>
      </c>
      <c r="AN37" s="139">
        <f t="shared" si="7"/>
        <v>1.4727509217956625E-3</v>
      </c>
      <c r="AO37" s="125"/>
      <c r="AP37" s="154" cm="1">
        <f t="array" ref="AP37">Interpolate($X37,$J$4:$J$9,AO$5:AO$10)</f>
        <v>6.1315102101346889E-3</v>
      </c>
      <c r="AQ37" s="143">
        <f>EXP(-AP37*YearFraction)*AQ36</f>
        <v>0.96003913315036515</v>
      </c>
      <c r="AR37" s="139">
        <f t="shared" si="8"/>
        <v>1.4727509217956625E-3</v>
      </c>
      <c r="AS37" s="125"/>
      <c r="AT37" s="154" cm="1">
        <f t="array" ref="AT37">Interpolate($X37,$J$4:$J$9,AS$5:AS$10)</f>
        <v>6.1316102101346892E-3</v>
      </c>
      <c r="AU37" s="143">
        <f>EXP(-AT37*YearFraction)*AU36</f>
        <v>0.96003891714158374</v>
      </c>
      <c r="AV37" s="139">
        <f t="shared" si="9"/>
        <v>1.4727746282188203E-3</v>
      </c>
    </row>
    <row r="38" spans="1:48" x14ac:dyDescent="0.3">
      <c r="O38" s="27">
        <f t="shared" si="10"/>
        <v>8.5</v>
      </c>
      <c r="P38" s="28" cm="1">
        <f t="array" ref="P38">Interpolate(O38,$J$4:$J$9,$K$4:$K$9)</f>
        <v>6.1315102101346889E-3</v>
      </c>
      <c r="Q38" s="29">
        <f t="shared" si="1"/>
        <v>0.95856873390287856</v>
      </c>
      <c r="R38" s="29">
        <f t="shared" si="2"/>
        <v>1.4704952514044134E-3</v>
      </c>
      <c r="S38" s="30">
        <f t="shared" si="3"/>
        <v>0.77341535287011753</v>
      </c>
      <c r="X38" s="27">
        <f t="shared" si="11"/>
        <v>8.5</v>
      </c>
      <c r="Y38" s="146"/>
      <c r="Z38" s="154" cm="1">
        <f t="array" ref="Z38">Interpolate($X38,$J$4:$J$9,Y$5:Y$10)</f>
        <v>6.1315102101346889E-3</v>
      </c>
      <c r="AA38" s="143">
        <f>EXP(-Z38*YearFraction)*AA37</f>
        <v>0.95856863804601056</v>
      </c>
      <c r="AB38" s="139">
        <f t="shared" si="4"/>
        <v>1.4704951043549297E-3</v>
      </c>
      <c r="AC38" s="125"/>
      <c r="AD38" s="154" cm="1">
        <f t="array" ref="AD38">Interpolate($X38,$J$4:$J$9,AC$5:AC$10)</f>
        <v>6.1315102101346889E-3</v>
      </c>
      <c r="AE38" s="143">
        <f>EXP(-AD38*YearFraction)*AE37</f>
        <v>0.95856863804601022</v>
      </c>
      <c r="AF38" s="139">
        <f t="shared" si="5"/>
        <v>1.4704951043549297E-3</v>
      </c>
      <c r="AG38" s="125"/>
      <c r="AH38" s="154" cm="1">
        <f t="array" ref="AH38">Interpolate($X38,$J$4:$J$9,AG$5:AG$10)</f>
        <v>6.1315102101346889E-3</v>
      </c>
      <c r="AI38" s="143">
        <f>EXP(-AH38*YearFraction)*AI37</f>
        <v>0.95856863804601045</v>
      </c>
      <c r="AJ38" s="139">
        <f t="shared" si="6"/>
        <v>1.4704951043549297E-3</v>
      </c>
      <c r="AK38" s="125"/>
      <c r="AL38" s="154" cm="1">
        <f t="array" ref="AL38">Interpolate($X38,$J$4:$J$9,AK$5:AK$10)</f>
        <v>6.1315102101346889E-3</v>
      </c>
      <c r="AM38" s="143">
        <f>EXP(-AL38*YearFraction)*AM37</f>
        <v>0.95856863804601034</v>
      </c>
      <c r="AN38" s="139">
        <f t="shared" si="7"/>
        <v>1.4704951043549297E-3</v>
      </c>
      <c r="AO38" s="125"/>
      <c r="AP38" s="154" cm="1">
        <f t="array" ref="AP38">Interpolate($X38,$J$4:$J$9,AO$5:AO$10)</f>
        <v>6.1315102101346889E-3</v>
      </c>
      <c r="AQ38" s="143">
        <f>EXP(-AP38*YearFraction)*AQ37</f>
        <v>0.95856863804601022</v>
      </c>
      <c r="AR38" s="139">
        <f t="shared" si="8"/>
        <v>1.4704951043549297E-3</v>
      </c>
      <c r="AS38" s="125"/>
      <c r="AT38" s="154" cm="1">
        <f t="array" ref="AT38">Interpolate($X38,$J$4:$J$9,AS$5:AS$10)</f>
        <v>6.1316102101346892E-3</v>
      </c>
      <c r="AU38" s="143">
        <f>EXP(-AT38*YearFraction)*AU37</f>
        <v>0.95856839840387986</v>
      </c>
      <c r="AV38" s="139">
        <f t="shared" si="9"/>
        <v>1.4705187377038742E-3</v>
      </c>
    </row>
    <row r="39" spans="1:48" x14ac:dyDescent="0.3">
      <c r="L39" s="4"/>
      <c r="M39" s="4"/>
      <c r="N39" s="4"/>
      <c r="O39" s="27">
        <f t="shared" si="10"/>
        <v>8.75</v>
      </c>
      <c r="P39" s="28" cm="1">
        <f t="array" ref="P39">Interpolate(O39,$J$4:$J$9,$K$4:$K$9)</f>
        <v>6.1315102101346889E-3</v>
      </c>
      <c r="Q39" s="29">
        <f t="shared" si="1"/>
        <v>0.95710049101389716</v>
      </c>
      <c r="R39" s="29">
        <f t="shared" si="2"/>
        <v>1.468242888981397E-3</v>
      </c>
      <c r="S39" s="30">
        <f t="shared" si="3"/>
        <v>0.76759265804208809</v>
      </c>
      <c r="X39" s="27">
        <f t="shared" si="11"/>
        <v>8.75</v>
      </c>
      <c r="Y39" s="146"/>
      <c r="Z39" s="154" cm="1">
        <f t="array" ref="Z39">Interpolate($X39,$J$4:$J$9,Y$5:Y$10)</f>
        <v>6.1315102101346889E-3</v>
      </c>
      <c r="AA39" s="143">
        <f>EXP(-Z39*YearFraction)*AA38</f>
        <v>0.95710039530385349</v>
      </c>
      <c r="AB39" s="139">
        <f t="shared" si="4"/>
        <v>1.4682427421570665E-3</v>
      </c>
      <c r="AC39" s="125"/>
      <c r="AD39" s="154" cm="1">
        <f t="array" ref="AD39">Interpolate($X39,$J$4:$J$9,AC$5:AC$10)</f>
        <v>6.1315102101346889E-3</v>
      </c>
      <c r="AE39" s="143">
        <f>EXP(-AD39*YearFraction)*AE38</f>
        <v>0.95710039530385316</v>
      </c>
      <c r="AF39" s="139">
        <f t="shared" si="5"/>
        <v>1.4682427421570665E-3</v>
      </c>
      <c r="AG39" s="125"/>
      <c r="AH39" s="154" cm="1">
        <f t="array" ref="AH39">Interpolate($X39,$J$4:$J$9,AG$5:AG$10)</f>
        <v>6.1315102101346889E-3</v>
      </c>
      <c r="AI39" s="143">
        <f>EXP(-AH39*YearFraction)*AI38</f>
        <v>0.95710039530385338</v>
      </c>
      <c r="AJ39" s="139">
        <f t="shared" si="6"/>
        <v>1.4682427421570665E-3</v>
      </c>
      <c r="AK39" s="125"/>
      <c r="AL39" s="154" cm="1">
        <f t="array" ref="AL39">Interpolate($X39,$J$4:$J$9,AK$5:AK$10)</f>
        <v>6.1315102101346889E-3</v>
      </c>
      <c r="AM39" s="143">
        <f>EXP(-AL39*YearFraction)*AM38</f>
        <v>0.95710039530385327</v>
      </c>
      <c r="AN39" s="139">
        <f t="shared" si="7"/>
        <v>1.4682427421570665E-3</v>
      </c>
      <c r="AO39" s="125"/>
      <c r="AP39" s="154" cm="1">
        <f t="array" ref="AP39">Interpolate($X39,$J$4:$J$9,AO$5:AO$10)</f>
        <v>6.1315102101346889E-3</v>
      </c>
      <c r="AQ39" s="143">
        <f>EXP(-AP39*YearFraction)*AQ38</f>
        <v>0.95710039530385316</v>
      </c>
      <c r="AR39" s="139">
        <f t="shared" si="8"/>
        <v>1.4682427421570665E-3</v>
      </c>
      <c r="AS39" s="125"/>
      <c r="AT39" s="154" cm="1">
        <f t="array" ref="AT39">Interpolate($X39,$J$4:$J$9,AS$5:AS$10)</f>
        <v>6.1316102101346892E-3</v>
      </c>
      <c r="AU39" s="143">
        <f>EXP(-AT39*YearFraction)*AU38</f>
        <v>0.95710013210127975</v>
      </c>
      <c r="AV39" s="139">
        <f t="shared" si="9"/>
        <v>1.4682663026001075E-3</v>
      </c>
    </row>
    <row r="40" spans="1:48" x14ac:dyDescent="0.3">
      <c r="B40" s="47" t="s">
        <v>47</v>
      </c>
      <c r="C40" s="4"/>
      <c r="D40" s="4"/>
      <c r="E40" s="4"/>
      <c r="F40" s="4"/>
      <c r="G40" s="48"/>
      <c r="H40" s="4"/>
      <c r="I40" s="4"/>
      <c r="O40" s="27">
        <f t="shared" si="10"/>
        <v>9</v>
      </c>
      <c r="P40" s="28" cm="1">
        <f t="array" ref="P40">Interpolate(O40,$J$4:$J$9,$K$4:$K$9)</f>
        <v>6.1315102101346889E-3</v>
      </c>
      <c r="Q40" s="29">
        <f t="shared" si="1"/>
        <v>0.9556344970373879</v>
      </c>
      <c r="R40" s="29">
        <f t="shared" si="2"/>
        <v>1.4659939765092611E-3</v>
      </c>
      <c r="S40" s="30">
        <f t="shared" si="3"/>
        <v>0.76181379965321716</v>
      </c>
      <c r="X40" s="27">
        <f t="shared" si="11"/>
        <v>9</v>
      </c>
      <c r="Y40" s="146"/>
      <c r="Z40" s="154" cm="1">
        <f t="array" ref="Z40">Interpolate($X40,$J$4:$J$9,Y$5:Y$10)</f>
        <v>6.1315102101346889E-3</v>
      </c>
      <c r="AA40" s="143">
        <f>EXP(-Z40*YearFraction)*AA39</f>
        <v>0.95563440147394363</v>
      </c>
      <c r="AB40" s="139">
        <f t="shared" si="4"/>
        <v>1.4659938299098618E-3</v>
      </c>
      <c r="AC40" s="125"/>
      <c r="AD40" s="154" cm="1">
        <f t="array" ref="AD40">Interpolate($X40,$J$4:$J$9,AC$5:AC$10)</f>
        <v>6.1315102101346889E-3</v>
      </c>
      <c r="AE40" s="143">
        <f>EXP(-AD40*YearFraction)*AE39</f>
        <v>0.9556344014739433</v>
      </c>
      <c r="AF40" s="139">
        <f t="shared" si="5"/>
        <v>1.4659938299098618E-3</v>
      </c>
      <c r="AG40" s="125"/>
      <c r="AH40" s="154" cm="1">
        <f t="array" ref="AH40">Interpolate($X40,$J$4:$J$9,AG$5:AG$10)</f>
        <v>6.1315102101346889E-3</v>
      </c>
      <c r="AI40" s="143">
        <f>EXP(-AH40*YearFraction)*AI39</f>
        <v>0.95563440147394352</v>
      </c>
      <c r="AJ40" s="139">
        <f t="shared" si="6"/>
        <v>1.4659938299098618E-3</v>
      </c>
      <c r="AK40" s="125"/>
      <c r="AL40" s="154" cm="1">
        <f t="array" ref="AL40">Interpolate($X40,$J$4:$J$9,AK$5:AK$10)</f>
        <v>6.1315102101346889E-3</v>
      </c>
      <c r="AM40" s="143">
        <f>EXP(-AL40*YearFraction)*AM39</f>
        <v>0.95563440147394341</v>
      </c>
      <c r="AN40" s="139">
        <f t="shared" si="7"/>
        <v>1.4659938299098618E-3</v>
      </c>
      <c r="AO40" s="125"/>
      <c r="AP40" s="154" cm="1">
        <f t="array" ref="AP40">Interpolate($X40,$J$4:$J$9,AO$5:AO$10)</f>
        <v>6.1315102101346889E-3</v>
      </c>
      <c r="AQ40" s="143">
        <f>EXP(-AP40*YearFraction)*AQ39</f>
        <v>0.9556344014739433</v>
      </c>
      <c r="AR40" s="139">
        <f t="shared" si="8"/>
        <v>1.4659938299098618E-3</v>
      </c>
      <c r="AS40" s="125"/>
      <c r="AT40" s="154" cm="1">
        <f t="array" ref="AT40">Interpolate($X40,$J$4:$J$9,AS$5:AS$10)</f>
        <v>6.1316102101346892E-3</v>
      </c>
      <c r="AU40" s="143">
        <f>EXP(-AT40*YearFraction)*AU39</f>
        <v>0.95563411478366489</v>
      </c>
      <c r="AV40" s="139">
        <f t="shared" si="9"/>
        <v>1.466017317614865E-3</v>
      </c>
    </row>
    <row r="41" spans="1:48" ht="15.6" x14ac:dyDescent="0.3">
      <c r="A41" s="57" t="s">
        <v>34</v>
      </c>
      <c r="B41" s="4" t="s">
        <v>35</v>
      </c>
      <c r="C41" s="4" t="s">
        <v>36</v>
      </c>
      <c r="D41" s="4" t="s">
        <v>37</v>
      </c>
      <c r="E41" s="4" t="s">
        <v>38</v>
      </c>
      <c r="F41" s="4" t="s">
        <v>39</v>
      </c>
      <c r="G41" s="4" t="s">
        <v>40</v>
      </c>
      <c r="H41" s="4" t="s">
        <v>41</v>
      </c>
      <c r="I41" s="4" t="s">
        <v>42</v>
      </c>
      <c r="J41" s="4" t="s">
        <v>43</v>
      </c>
      <c r="K41" s="4" t="s">
        <v>44</v>
      </c>
      <c r="L41" s="4" t="s">
        <v>45</v>
      </c>
      <c r="M41" s="4"/>
      <c r="N41" s="4"/>
      <c r="O41" s="27">
        <f t="shared" si="10"/>
        <v>9.25</v>
      </c>
      <c r="P41" s="28" cm="1">
        <f t="array" ref="P41">Interpolate(O41,$J$4:$J$9,$K$4:$K$9)</f>
        <v>6.1315102101346889E-3</v>
      </c>
      <c r="Q41" s="29">
        <f t="shared" si="1"/>
        <v>0.95417074852868411</v>
      </c>
      <c r="R41" s="29">
        <f t="shared" si="2"/>
        <v>1.4637485087037883E-3</v>
      </c>
      <c r="S41" s="30">
        <f t="shared" si="3"/>
        <v>0.75607844767875587</v>
      </c>
      <c r="X41" s="27">
        <f t="shared" si="11"/>
        <v>9.25</v>
      </c>
      <c r="Y41" s="146"/>
      <c r="Z41" s="154" cm="1">
        <f t="array" ref="Z41">Interpolate($X41,$J$4:$J$9,Y$5:Y$10)</f>
        <v>6.1315102101346889E-3</v>
      </c>
      <c r="AA41" s="143">
        <f>EXP(-Z41*YearFraction)*AA40</f>
        <v>0.95417065311161464</v>
      </c>
      <c r="AB41" s="139">
        <f t="shared" si="4"/>
        <v>1.4637483623289871E-3</v>
      </c>
      <c r="AC41" s="125"/>
      <c r="AD41" s="154" cm="1">
        <f t="array" ref="AD41">Interpolate($X41,$J$4:$J$9,AC$5:AC$10)</f>
        <v>6.1315102101346889E-3</v>
      </c>
      <c r="AE41" s="143">
        <f>EXP(-AD41*YearFraction)*AE40</f>
        <v>0.95417065311161431</v>
      </c>
      <c r="AF41" s="139">
        <f t="shared" si="5"/>
        <v>1.4637483623289871E-3</v>
      </c>
      <c r="AG41" s="125"/>
      <c r="AH41" s="154" cm="1">
        <f t="array" ref="AH41">Interpolate($X41,$J$4:$J$9,AG$5:AG$10)</f>
        <v>6.1315102101346889E-3</v>
      </c>
      <c r="AI41" s="143">
        <f>EXP(-AH41*YearFraction)*AI40</f>
        <v>0.95417065311161453</v>
      </c>
      <c r="AJ41" s="139">
        <f t="shared" si="6"/>
        <v>1.4637483623289871E-3</v>
      </c>
      <c r="AK41" s="125"/>
      <c r="AL41" s="154" cm="1">
        <f t="array" ref="AL41">Interpolate($X41,$J$4:$J$9,AK$5:AK$10)</f>
        <v>6.1315102101346889E-3</v>
      </c>
      <c r="AM41" s="143">
        <f>EXP(-AL41*YearFraction)*AM40</f>
        <v>0.95417065311161442</v>
      </c>
      <c r="AN41" s="139">
        <f t="shared" si="7"/>
        <v>1.4637483623289871E-3</v>
      </c>
      <c r="AO41" s="125"/>
      <c r="AP41" s="154" cm="1">
        <f t="array" ref="AP41">Interpolate($X41,$J$4:$J$9,AO$5:AO$10)</f>
        <v>6.1315102101346889E-3</v>
      </c>
      <c r="AQ41" s="143">
        <f>EXP(-AP41*YearFraction)*AQ40</f>
        <v>0.95417065311161431</v>
      </c>
      <c r="AR41" s="139">
        <f t="shared" si="8"/>
        <v>1.4637483623289871E-3</v>
      </c>
      <c r="AS41" s="125"/>
      <c r="AT41" s="154" cm="1">
        <f t="array" ref="AT41">Interpolate($X41,$J$4:$J$9,AS$5:AS$10)</f>
        <v>6.1316102101346892E-3</v>
      </c>
      <c r="AU41" s="143">
        <f>EXP(-AT41*YearFraction)*AU40</f>
        <v>0.95417034300620152</v>
      </c>
      <c r="AV41" s="139">
        <f t="shared" si="9"/>
        <v>1.4637717774633741E-3</v>
      </c>
    </row>
    <row r="42" spans="1:48" x14ac:dyDescent="0.3">
      <c r="A42" s="4" t="s">
        <v>13</v>
      </c>
      <c r="B42" s="116">
        <v>1.6666666666666668E-3</v>
      </c>
      <c r="C42" s="117">
        <v>1.6666666907792429E-3</v>
      </c>
      <c r="D42" s="117">
        <v>1.6666666907791438E-3</v>
      </c>
      <c r="E42" s="117">
        <v>1.6666666907794892E-3</v>
      </c>
      <c r="F42" s="117"/>
      <c r="G42" s="117"/>
      <c r="H42" s="117"/>
      <c r="I42" s="117"/>
      <c r="J42" s="117"/>
      <c r="K42" s="117"/>
      <c r="L42" s="118"/>
      <c r="M42" s="141"/>
      <c r="N42" s="141"/>
      <c r="O42" s="27">
        <f t="shared" si="10"/>
        <v>9.5</v>
      </c>
      <c r="P42" s="28" cm="1">
        <f t="array" ref="P42">Interpolate(O42,$J$4:$J$9,$K$4:$K$9)</f>
        <v>6.1315102101346889E-3</v>
      </c>
      <c r="Q42" s="29">
        <f t="shared" si="1"/>
        <v>0.95270924204839535</v>
      </c>
      <c r="R42" s="29">
        <f t="shared" si="2"/>
        <v>1.4615064802887545E-3</v>
      </c>
      <c r="S42" s="30">
        <f t="shared" si="3"/>
        <v>0.75038627457856277</v>
      </c>
      <c r="X42" s="27">
        <f t="shared" si="11"/>
        <v>9.5</v>
      </c>
      <c r="Y42" s="146"/>
      <c r="Z42" s="154" cm="1">
        <f t="array" ref="Z42">Interpolate($X42,$J$4:$J$9,Y$5:Y$10)</f>
        <v>6.1315102101346889E-3</v>
      </c>
      <c r="AA42" s="143">
        <f>EXP(-Z42*YearFraction)*AA41</f>
        <v>0.95270914677747653</v>
      </c>
      <c r="AB42" s="139">
        <f t="shared" si="4"/>
        <v>1.4615063341381074E-3</v>
      </c>
      <c r="AC42" s="125"/>
      <c r="AD42" s="154" cm="1">
        <f t="array" ref="AD42">Interpolate($X42,$J$4:$J$9,AC$5:AC$10)</f>
        <v>6.1315102101346889E-3</v>
      </c>
      <c r="AE42" s="143">
        <f>EXP(-AD42*YearFraction)*AE41</f>
        <v>0.9527091467774762</v>
      </c>
      <c r="AF42" s="139">
        <f t="shared" si="5"/>
        <v>1.4615063341381074E-3</v>
      </c>
      <c r="AG42" s="125"/>
      <c r="AH42" s="154" cm="1">
        <f t="array" ref="AH42">Interpolate($X42,$J$4:$J$9,AG$5:AG$10)</f>
        <v>6.1315102101346889E-3</v>
      </c>
      <c r="AI42" s="143">
        <f>EXP(-AH42*YearFraction)*AI41</f>
        <v>0.95270914677747642</v>
      </c>
      <c r="AJ42" s="139">
        <f t="shared" si="6"/>
        <v>1.4615063341381074E-3</v>
      </c>
      <c r="AK42" s="125"/>
      <c r="AL42" s="154" cm="1">
        <f t="array" ref="AL42">Interpolate($X42,$J$4:$J$9,AK$5:AK$10)</f>
        <v>6.1315102101346889E-3</v>
      </c>
      <c r="AM42" s="143">
        <f>EXP(-AL42*YearFraction)*AM41</f>
        <v>0.95270914677747631</v>
      </c>
      <c r="AN42" s="139">
        <f t="shared" si="7"/>
        <v>1.4615063341381074E-3</v>
      </c>
      <c r="AO42" s="125"/>
      <c r="AP42" s="154" cm="1">
        <f t="array" ref="AP42">Interpolate($X42,$J$4:$J$9,AO$5:AO$10)</f>
        <v>6.1315102101346889E-3</v>
      </c>
      <c r="AQ42" s="143">
        <f>EXP(-AP42*YearFraction)*AQ41</f>
        <v>0.9527091467774762</v>
      </c>
      <c r="AR42" s="139">
        <f t="shared" si="8"/>
        <v>1.4615063341381074E-3</v>
      </c>
      <c r="AS42" s="125"/>
      <c r="AT42" s="154" cm="1">
        <f t="array" ref="AT42">Interpolate($X42,$J$4:$J$9,AS$5:AS$10)</f>
        <v>6.1316102101346892E-3</v>
      </c>
      <c r="AU42" s="143">
        <f>EXP(-AT42*YearFraction)*AU41</f>
        <v>0.95270881332933222</v>
      </c>
      <c r="AV42" s="139">
        <f t="shared" si="9"/>
        <v>1.4615296768692998E-3</v>
      </c>
    </row>
    <row r="43" spans="1:48" x14ac:dyDescent="0.3">
      <c r="A43" s="4" t="s">
        <v>14</v>
      </c>
      <c r="B43" s="119">
        <v>2E-3</v>
      </c>
      <c r="C43" s="112">
        <v>2.3442224311186629E-3</v>
      </c>
      <c r="D43" s="112">
        <v>2.3442523763718567E-3</v>
      </c>
      <c r="E43" s="112">
        <v>2.3442523763713492E-3</v>
      </c>
      <c r="F43" s="112"/>
      <c r="G43" s="112"/>
      <c r="H43" s="112"/>
      <c r="I43" s="112"/>
      <c r="J43" s="112"/>
      <c r="K43" s="112"/>
      <c r="L43" s="113"/>
      <c r="M43" s="141"/>
      <c r="N43" s="141"/>
      <c r="O43" s="27">
        <f t="shared" si="10"/>
        <v>9.75</v>
      </c>
      <c r="P43" s="28" cm="1">
        <f t="array" ref="P43">Interpolate(O43,$J$4:$J$9,$K$4:$K$9)</f>
        <v>6.1315102101346889E-3</v>
      </c>
      <c r="Q43" s="29">
        <f t="shared" si="1"/>
        <v>0.95124997416239931</v>
      </c>
      <c r="R43" s="29">
        <f t="shared" si="2"/>
        <v>1.4592678859960406E-3</v>
      </c>
      <c r="S43" s="30">
        <f t="shared" si="3"/>
        <v>0.74473695527839801</v>
      </c>
      <c r="X43" s="27">
        <f t="shared" si="11"/>
        <v>9.75</v>
      </c>
      <c r="Y43" s="146"/>
      <c r="Z43" s="154" cm="1">
        <f t="array" ref="Z43">Interpolate($X43,$J$4:$J$9,Y$5:Y$10)</f>
        <v>6.1315102101346889E-3</v>
      </c>
      <c r="AA43" s="143">
        <f>EXP(-Z43*YearFraction)*AA42</f>
        <v>0.95124987903740721</v>
      </c>
      <c r="AB43" s="139">
        <f t="shared" si="4"/>
        <v>1.4592677400693255E-3</v>
      </c>
      <c r="AC43" s="125"/>
      <c r="AD43" s="154" cm="1">
        <f t="array" ref="AD43">Interpolate($X43,$J$4:$J$9,AC$5:AC$10)</f>
        <v>6.1315102101346889E-3</v>
      </c>
      <c r="AE43" s="143">
        <f>EXP(-AD43*YearFraction)*AE42</f>
        <v>0.95124987903740688</v>
      </c>
      <c r="AF43" s="139">
        <f t="shared" si="5"/>
        <v>1.4592677400693255E-3</v>
      </c>
      <c r="AG43" s="125"/>
      <c r="AH43" s="154" cm="1">
        <f t="array" ref="AH43">Interpolate($X43,$J$4:$J$9,AG$5:AG$10)</f>
        <v>6.1315102101346889E-3</v>
      </c>
      <c r="AI43" s="143">
        <f>EXP(-AH43*YearFraction)*AI42</f>
        <v>0.9512498790374071</v>
      </c>
      <c r="AJ43" s="139">
        <f t="shared" si="6"/>
        <v>1.4592677400693255E-3</v>
      </c>
      <c r="AK43" s="125"/>
      <c r="AL43" s="154" cm="1">
        <f t="array" ref="AL43">Interpolate($X43,$J$4:$J$9,AK$5:AK$10)</f>
        <v>6.1315102101346889E-3</v>
      </c>
      <c r="AM43" s="143">
        <f>EXP(-AL43*YearFraction)*AM42</f>
        <v>0.95124987903740699</v>
      </c>
      <c r="AN43" s="139">
        <f t="shared" si="7"/>
        <v>1.4592677400693255E-3</v>
      </c>
      <c r="AO43" s="125"/>
      <c r="AP43" s="154" cm="1">
        <f t="array" ref="AP43">Interpolate($X43,$J$4:$J$9,AO$5:AO$10)</f>
        <v>6.1315102101346889E-3</v>
      </c>
      <c r="AQ43" s="143">
        <f>EXP(-AP43*YearFraction)*AQ42</f>
        <v>0.95124987903740688</v>
      </c>
      <c r="AR43" s="139">
        <f t="shared" si="8"/>
        <v>1.4592677400693255E-3</v>
      </c>
      <c r="AS43" s="125"/>
      <c r="AT43" s="154" cm="1">
        <f t="array" ref="AT43">Interpolate($X43,$J$4:$J$9,AS$5:AS$10)</f>
        <v>6.1316102101346892E-3</v>
      </c>
      <c r="AU43" s="143">
        <f>EXP(-AT43*YearFraction)*AU42</f>
        <v>0.95124952231876814</v>
      </c>
      <c r="AV43" s="139">
        <f t="shared" si="9"/>
        <v>1.4592910105640788E-3</v>
      </c>
    </row>
    <row r="44" spans="1:48" x14ac:dyDescent="0.3">
      <c r="A44" s="4" t="s">
        <v>15</v>
      </c>
      <c r="B44" s="119">
        <v>2.5000000000000001E-3</v>
      </c>
      <c r="C44" s="112">
        <v>3.5501926719301788E-3</v>
      </c>
      <c r="D44" s="112">
        <v>3.5506598576896019E-3</v>
      </c>
      <c r="E44" s="112">
        <v>3.5506598577528733E-3</v>
      </c>
      <c r="F44" s="112"/>
      <c r="G44" s="112"/>
      <c r="H44" s="112"/>
      <c r="I44" s="112"/>
      <c r="J44" s="112"/>
      <c r="K44" s="112"/>
      <c r="L44" s="113"/>
      <c r="M44" s="141"/>
      <c r="N44" s="141"/>
      <c r="O44" s="11">
        <f t="shared" si="10"/>
        <v>10</v>
      </c>
      <c r="P44" s="22" cm="1">
        <f t="array" ref="P44">Interpolate(O44,$J$4:$J$9,$K$4:$K$9)</f>
        <v>6.1315102101346889E-3</v>
      </c>
      <c r="Q44" s="17">
        <f t="shared" si="1"/>
        <v>0.94979294144183368</v>
      </c>
      <c r="R44" s="17">
        <f t="shared" si="2"/>
        <v>1.4570327205656319E-3</v>
      </c>
      <c r="S44" s="18">
        <f t="shared" si="3"/>
        <v>0.73913016715135882</v>
      </c>
      <c r="X44" s="11">
        <f t="shared" si="11"/>
        <v>10</v>
      </c>
      <c r="Y44" s="122"/>
      <c r="Z44" s="39" cm="1">
        <f t="array" ref="Z44">Interpolate($X44,$J$4:$J$9,Y$5:Y$10)</f>
        <v>6.1315102101346889E-3</v>
      </c>
      <c r="AA44" s="17">
        <f>EXP(-Z44*YearFraction)*AA43</f>
        <v>0.94979284646254492</v>
      </c>
      <c r="AB44" s="140">
        <f t="shared" si="4"/>
        <v>1.4570325748622937E-3</v>
      </c>
      <c r="AC44" s="121"/>
      <c r="AD44" s="39" cm="1">
        <f t="array" ref="AD44">Interpolate($X44,$J$4:$J$9,AC$5:AC$10)</f>
        <v>6.1315102101346889E-3</v>
      </c>
      <c r="AE44" s="17">
        <f>EXP(-AD44*YearFraction)*AE43</f>
        <v>0.94979284646254458</v>
      </c>
      <c r="AF44" s="140">
        <f t="shared" si="5"/>
        <v>1.4570325748622937E-3</v>
      </c>
      <c r="AG44" s="121"/>
      <c r="AH44" s="39" cm="1">
        <f t="array" ref="AH44">Interpolate($X44,$J$4:$J$9,AG$5:AG$10)</f>
        <v>6.1315102101346889E-3</v>
      </c>
      <c r="AI44" s="17">
        <f>EXP(-AH44*YearFraction)*AI43</f>
        <v>0.9497928464625448</v>
      </c>
      <c r="AJ44" s="140">
        <f t="shared" si="6"/>
        <v>1.4570325748622937E-3</v>
      </c>
      <c r="AK44" s="121"/>
      <c r="AL44" s="39" cm="1">
        <f t="array" ref="AL44">Interpolate($X44,$J$4:$J$9,AK$5:AK$10)</f>
        <v>6.1315102101346889E-3</v>
      </c>
      <c r="AM44" s="17">
        <f>EXP(-AL44*YearFraction)*AM43</f>
        <v>0.94979284646254469</v>
      </c>
      <c r="AN44" s="140">
        <f t="shared" si="7"/>
        <v>1.4570325748622937E-3</v>
      </c>
      <c r="AO44" s="121"/>
      <c r="AP44" s="39" cm="1">
        <f t="array" ref="AP44">Interpolate($X44,$J$4:$J$9,AO$5:AO$10)</f>
        <v>6.1315102101346889E-3</v>
      </c>
      <c r="AQ44" s="17">
        <f>EXP(-AP44*YearFraction)*AQ43</f>
        <v>0.94979284646254458</v>
      </c>
      <c r="AR44" s="140">
        <f t="shared" si="8"/>
        <v>1.4570325748622937E-3</v>
      </c>
      <c r="AS44" s="121"/>
      <c r="AT44" s="39" cm="1">
        <f t="array" ref="AT44">Interpolate($X44,$J$4:$J$9,AS$5:AS$10)</f>
        <v>6.1316102101346892E-3</v>
      </c>
      <c r="AU44" s="17">
        <f>EXP(-AT44*YearFraction)*AU43</f>
        <v>0.94979246654548088</v>
      </c>
      <c r="AV44" s="140">
        <f t="shared" si="9"/>
        <v>1.4570557732872524E-3</v>
      </c>
    </row>
    <row r="45" spans="1:48" x14ac:dyDescent="0.3">
      <c r="A45" s="4" t="s">
        <v>16</v>
      </c>
      <c r="B45" s="119">
        <v>2.8333333333333331E-3</v>
      </c>
      <c r="C45" s="112">
        <v>3.9020636550980499E-3</v>
      </c>
      <c r="D45" s="112">
        <v>3.9028100611921135E-3</v>
      </c>
      <c r="E45" s="112">
        <v>3.9028100615217955E-3</v>
      </c>
      <c r="F45" s="112"/>
      <c r="G45" s="112"/>
      <c r="H45" s="112"/>
      <c r="I45" s="112"/>
      <c r="J45" s="112"/>
      <c r="K45" s="112"/>
      <c r="L45" s="113"/>
      <c r="M45" s="141"/>
      <c r="N45" s="141"/>
    </row>
    <row r="46" spans="1:48" x14ac:dyDescent="0.3">
      <c r="A46" s="4" t="s">
        <v>17</v>
      </c>
      <c r="B46" s="119">
        <v>4.0549999999999996E-3</v>
      </c>
      <c r="C46" s="112">
        <v>9.3724117732265876E-3</v>
      </c>
      <c r="D46" s="112">
        <v>9.3893344838053699E-3</v>
      </c>
      <c r="E46" s="112">
        <v>9.389334610139825E-3</v>
      </c>
      <c r="F46" s="112"/>
      <c r="G46" s="112"/>
      <c r="H46" s="112"/>
      <c r="I46" s="112"/>
      <c r="J46" s="112"/>
      <c r="K46" s="112"/>
      <c r="L46" s="113"/>
      <c r="M46" s="141"/>
      <c r="N46" s="141"/>
    </row>
    <row r="47" spans="1:48" x14ac:dyDescent="0.3">
      <c r="A47" s="4" t="s">
        <v>18</v>
      </c>
      <c r="B47" s="120">
        <v>5.0000000000000001E-3</v>
      </c>
      <c r="C47" s="114">
        <v>6.1332039707682829E-3</v>
      </c>
      <c r="D47" s="114">
        <v>6.1315102101346889E-3</v>
      </c>
      <c r="E47" s="114">
        <v>6.1315101772242003E-3</v>
      </c>
      <c r="F47" s="114"/>
      <c r="G47" s="114"/>
      <c r="H47" s="114"/>
      <c r="I47" s="114"/>
      <c r="J47" s="114"/>
      <c r="K47" s="114"/>
      <c r="L47" s="115"/>
      <c r="M47" s="141"/>
      <c r="N47" s="141"/>
      <c r="Y47" s="42" t="s">
        <v>121</v>
      </c>
    </row>
    <row r="48" spans="1:48" x14ac:dyDescent="0.3">
      <c r="Y48" s="172">
        <v>9.9999999999999995E-8</v>
      </c>
    </row>
    <row r="50" spans="1:40" x14ac:dyDescent="0.3">
      <c r="B50" s="1" t="s">
        <v>61</v>
      </c>
      <c r="P50" s="1" t="s">
        <v>99</v>
      </c>
      <c r="Y50" s="1" t="s">
        <v>98</v>
      </c>
    </row>
    <row r="51" spans="1:40" x14ac:dyDescent="0.3">
      <c r="B51" s="173" t="s">
        <v>122</v>
      </c>
      <c r="C51" s="46" t="s">
        <v>123</v>
      </c>
    </row>
    <row r="52" spans="1:40" ht="15.6" x14ac:dyDescent="0.3">
      <c r="A52" s="42" t="s">
        <v>62</v>
      </c>
      <c r="B52" s="4" t="s">
        <v>64</v>
      </c>
      <c r="C52" s="4" t="s">
        <v>65</v>
      </c>
      <c r="D52" s="4" t="s">
        <v>66</v>
      </c>
      <c r="E52" s="4" t="s">
        <v>67</v>
      </c>
      <c r="F52" s="4" t="s">
        <v>68</v>
      </c>
      <c r="G52" s="4" t="s">
        <v>69</v>
      </c>
      <c r="O52" s="42" t="s">
        <v>62</v>
      </c>
      <c r="P52" s="4" t="s">
        <v>64</v>
      </c>
      <c r="Q52" s="4" t="s">
        <v>65</v>
      </c>
      <c r="R52" s="4" t="s">
        <v>66</v>
      </c>
      <c r="S52" s="4" t="s">
        <v>67</v>
      </c>
      <c r="T52" s="4" t="s">
        <v>68</v>
      </c>
      <c r="U52" s="4" t="s">
        <v>69</v>
      </c>
      <c r="X52" s="42" t="s">
        <v>62</v>
      </c>
      <c r="Y52" s="4" t="s">
        <v>64</v>
      </c>
      <c r="Z52" s="4" t="s">
        <v>65</v>
      </c>
      <c r="AA52" s="4" t="s">
        <v>66</v>
      </c>
      <c r="AB52" s="4" t="s">
        <v>67</v>
      </c>
      <c r="AC52" s="4" t="s">
        <v>68</v>
      </c>
      <c r="AD52" s="4" t="s">
        <v>69</v>
      </c>
    </row>
    <row r="53" spans="1:40" ht="15.6" x14ac:dyDescent="0.3">
      <c r="A53" s="4" t="s">
        <v>70</v>
      </c>
      <c r="B53" s="92">
        <f>IF($B$51="ANALYTICAL",P53,Y53)</f>
        <v>0.59999997334674737</v>
      </c>
      <c r="C53" s="93">
        <f>IF($B$51="ANALYTICAL",Q53,Z53)</f>
        <v>0</v>
      </c>
      <c r="D53" s="93">
        <f>IF($B$51="ANALYTICAL",R53,AA53)</f>
        <v>0</v>
      </c>
      <c r="E53" s="93">
        <f>IF($B$51="ANALYTICAL",S53,AB53)</f>
        <v>0</v>
      </c>
      <c r="F53" s="93">
        <f>IF($B$51="ANALYTICAL",T53,AC53)</f>
        <v>0</v>
      </c>
      <c r="G53" s="94">
        <f>IF($B$51="ANALYTICAL",U53,AD53)</f>
        <v>0</v>
      </c>
      <c r="O53" s="4" t="s">
        <v>70</v>
      </c>
      <c r="P53" s="92">
        <f>(P64*RiskyAnnuity1Y-Protection1Y*P75)/RiskyAnnuity1Y^2*Notional</f>
        <v>0.59999997395833327</v>
      </c>
      <c r="Q53" s="93">
        <v>0</v>
      </c>
      <c r="R53" s="93">
        <v>0</v>
      </c>
      <c r="S53" s="93">
        <v>0</v>
      </c>
      <c r="T53" s="93">
        <v>0</v>
      </c>
      <c r="U53" s="94">
        <v>0</v>
      </c>
      <c r="X53" s="4" t="s">
        <v>70</v>
      </c>
      <c r="Y53" s="92">
        <f>(Y64-$L14)/ShiftSize</f>
        <v>0.59999997334674737</v>
      </c>
      <c r="Z53" s="93">
        <v>0</v>
      </c>
      <c r="AA53" s="93">
        <v>0</v>
      </c>
      <c r="AB53" s="93">
        <v>0</v>
      </c>
      <c r="AC53" s="93">
        <v>0</v>
      </c>
      <c r="AD53" s="94">
        <v>0</v>
      </c>
      <c r="AF53" s="137"/>
      <c r="AG53" s="137"/>
      <c r="AH53" s="137"/>
      <c r="AI53" s="137"/>
      <c r="AJ53" s="137"/>
      <c r="AK53" s="137"/>
      <c r="AL53" s="137"/>
      <c r="AM53" s="137"/>
      <c r="AN53" s="137"/>
    </row>
    <row r="54" spans="1:40" ht="15.6" x14ac:dyDescent="0.3">
      <c r="A54" s="4" t="s">
        <v>71</v>
      </c>
      <c r="B54" s="95">
        <f>IF($B$51="ANALYTICAL",P54,Y54)</f>
        <v>0.30478329238886603</v>
      </c>
      <c r="C54" s="96">
        <f>IF($B$51="ANALYTICAL",Q54,Z54)</f>
        <v>0.29511506483351213</v>
      </c>
      <c r="D54" s="97">
        <f>IF($B$51="ANALYTICAL",R54,AA54)</f>
        <v>0</v>
      </c>
      <c r="E54" s="97">
        <f>IF($B$51="ANALYTICAL",S54,AB54)</f>
        <v>0</v>
      </c>
      <c r="F54" s="97">
        <f>IF($B$51="ANALYTICAL",T54,AC54)</f>
        <v>0</v>
      </c>
      <c r="G54" s="98">
        <f>IF($B$51="ANALYTICAL",U54,AD54)</f>
        <v>0</v>
      </c>
      <c r="O54" s="4" t="s">
        <v>71</v>
      </c>
      <c r="P54" s="95">
        <f>(P65*RiskyAnnuity2Y-Protection2Y*P76)/RiskyAnnuity2Y^2*Notional</f>
        <v>0.30526438766930664</v>
      </c>
      <c r="Q54" s="133">
        <f>(Q65*RiskyAnnuity2Y-Protection2Y*Q76)/RiskyAnnuity2Y^2*Notional</f>
        <v>0.29515291715962266</v>
      </c>
      <c r="R54" s="97">
        <v>0</v>
      </c>
      <c r="S54" s="97">
        <v>0</v>
      </c>
      <c r="T54" s="97">
        <v>0</v>
      </c>
      <c r="U54" s="98">
        <v>0</v>
      </c>
      <c r="X54" s="4" t="s">
        <v>71</v>
      </c>
      <c r="Y54" s="95">
        <f>(Y65-$L15)/ShiftSize</f>
        <v>0.30478329238886603</v>
      </c>
      <c r="Z54" s="133">
        <f>(Z65-$L15)/ShiftSize</f>
        <v>0.29511506483351213</v>
      </c>
      <c r="AA54" s="135">
        <v>0</v>
      </c>
      <c r="AB54" s="135">
        <v>0</v>
      </c>
      <c r="AC54" s="135">
        <v>0</v>
      </c>
      <c r="AD54" s="98">
        <v>0</v>
      </c>
      <c r="AF54" s="137"/>
      <c r="AG54" s="137"/>
      <c r="AH54" s="137"/>
      <c r="AI54" s="137"/>
      <c r="AJ54" s="137"/>
      <c r="AK54" s="137"/>
      <c r="AL54" s="137"/>
      <c r="AM54" s="137"/>
      <c r="AN54" s="137"/>
    </row>
    <row r="55" spans="1:40" ht="15.6" x14ac:dyDescent="0.3">
      <c r="A55" s="4" t="s">
        <v>72</v>
      </c>
      <c r="B55" s="95">
        <f>IF($B$51="ANALYTICAL",P55,Y55)</f>
        <v>0.20645602955525477</v>
      </c>
      <c r="C55" s="96">
        <f>IF($B$51="ANALYTICAL",Q55,Z55)</f>
        <v>0.19980362998654744</v>
      </c>
      <c r="D55" s="96">
        <f>IF($B$51="ANALYTICAL",R55,AA55)</f>
        <v>0.19336492428296062</v>
      </c>
      <c r="E55" s="97">
        <f>IF($B$51="ANALYTICAL",S55,AB55)</f>
        <v>0</v>
      </c>
      <c r="F55" s="97">
        <f>IF($B$51="ANALYTICAL",T55,AC55)</f>
        <v>0</v>
      </c>
      <c r="G55" s="98">
        <f>IF($B$51="ANALYTICAL",U55,AD55)</f>
        <v>0</v>
      </c>
      <c r="O55" s="4" t="s">
        <v>72</v>
      </c>
      <c r="P55" s="95">
        <f>(P66*RiskyAnnuity3Y-Protection3Y*P77)/RiskyAnnuity3Y^2*Notional</f>
        <v>0.20824231553507661</v>
      </c>
      <c r="Q55" s="96">
        <f>(Q66*RiskyAnnuity3Y-Protection3Y*Q77)/RiskyAnnuity3Y^2*Notional</f>
        <v>0.20030722357719666</v>
      </c>
      <c r="R55" s="96">
        <f>(R66*RiskyAnnuity3Y-Protection3Y*R77)/RiskyAnnuity3Y^2*Notional</f>
        <v>0.19344061965279979</v>
      </c>
      <c r="S55" s="97">
        <v>0</v>
      </c>
      <c r="T55" s="97">
        <v>0</v>
      </c>
      <c r="U55" s="98">
        <v>0</v>
      </c>
      <c r="X55" s="4" t="s">
        <v>72</v>
      </c>
      <c r="Y55" s="95">
        <f>(Y66-$L16)/ShiftSize</f>
        <v>0.20645602955525477</v>
      </c>
      <c r="Z55" s="133">
        <f>(Z66-$L16)/ShiftSize</f>
        <v>0.19980362998654744</v>
      </c>
      <c r="AA55" s="133">
        <f>(AA66-$L16)/ShiftSize</f>
        <v>0.19336492428296062</v>
      </c>
      <c r="AB55" s="135">
        <v>0</v>
      </c>
      <c r="AC55" s="135">
        <v>0</v>
      </c>
      <c r="AD55" s="98">
        <v>0</v>
      </c>
      <c r="AF55" s="137"/>
      <c r="AG55" s="137"/>
      <c r="AH55" s="137"/>
      <c r="AI55" s="137"/>
      <c r="AJ55" s="137"/>
      <c r="AK55" s="137"/>
      <c r="AL55" s="137"/>
      <c r="AM55" s="137"/>
      <c r="AN55" s="137"/>
    </row>
    <row r="56" spans="1:40" ht="15.6" x14ac:dyDescent="0.3">
      <c r="A56" s="4" t="s">
        <v>73</v>
      </c>
      <c r="B56" s="95">
        <f>IF($B$51="ANALYTICAL",P56,Y56)</f>
        <v>0.15737191353662125</v>
      </c>
      <c r="C56" s="96">
        <f>IF($B$51="ANALYTICAL",Q56,Z56)</f>
        <v>0.15224859265233065</v>
      </c>
      <c r="D56" s="96">
        <f>IF($B$51="ANALYTICAL",R56,AA56)</f>
        <v>0.14728984723067287</v>
      </c>
      <c r="E56" s="96">
        <f>IF($B$51="ANALYTICAL",S56,AB56)</f>
        <v>0.14249514600824659</v>
      </c>
      <c r="F56" s="97">
        <f>IF($B$51="ANALYTICAL",T56,AC56)</f>
        <v>0</v>
      </c>
      <c r="G56" s="98">
        <f>IF($B$51="ANALYTICAL",U56,AD56)</f>
        <v>0</v>
      </c>
      <c r="O56" s="4" t="s">
        <v>73</v>
      </c>
      <c r="P56" s="95">
        <f>(P67*RiskyAnnuity4Y-Protection4Y*P78)/RiskyAnnuity4Y^2*Notional</f>
        <v>0.16088906613183382</v>
      </c>
      <c r="Q56" s="96">
        <f>(Q67*RiskyAnnuity4Y-Protection4Y*Q78)/RiskyAnnuity4Y^2*Notional</f>
        <v>0.15385270867514889</v>
      </c>
      <c r="R56" s="96">
        <f>(R67*RiskyAnnuity4Y-Protection4Y*R78)/RiskyAnnuity4Y^2*Notional</f>
        <v>0.14774656299749905</v>
      </c>
      <c r="S56" s="96">
        <f>(S67*RiskyAnnuity4Y-Protection4Y*S78)/RiskyAnnuity4Y^2*Notional</f>
        <v>0.1425519235680591</v>
      </c>
      <c r="T56" s="97">
        <v>0</v>
      </c>
      <c r="U56" s="98">
        <v>0</v>
      </c>
      <c r="X56" s="4" t="s">
        <v>73</v>
      </c>
      <c r="Y56" s="95">
        <f>(Y67-$L17)/ShiftSize</f>
        <v>0.15737191353662125</v>
      </c>
      <c r="Z56" s="133">
        <f>(Z67-$L17)/ShiftSize</f>
        <v>0.15224859265233065</v>
      </c>
      <c r="AA56" s="133">
        <f>(AA67-$L17)/ShiftSize</f>
        <v>0.14728984723067287</v>
      </c>
      <c r="AB56" s="133">
        <f>(AB67-$L17)/ShiftSize</f>
        <v>0.14249514600824659</v>
      </c>
      <c r="AC56" s="135">
        <v>0</v>
      </c>
      <c r="AD56" s="98">
        <v>0</v>
      </c>
      <c r="AF56" s="137"/>
      <c r="AG56" s="137"/>
      <c r="AH56" s="137"/>
      <c r="AI56" s="137"/>
      <c r="AJ56" s="137"/>
      <c r="AK56" s="137"/>
      <c r="AL56" s="137"/>
      <c r="AM56" s="137"/>
      <c r="AN56" s="137"/>
    </row>
    <row r="57" spans="1:40" ht="15.6" x14ac:dyDescent="0.3">
      <c r="A57" s="4" t="s">
        <v>74</v>
      </c>
      <c r="B57" s="95">
        <f>IF($B$51="ANALYTICAL",P57,Y57)</f>
        <v>0.12796804364865327</v>
      </c>
      <c r="C57" s="96">
        <f>IF($B$51="ANALYTICAL",Q57,Z57)</f>
        <v>0.12364538331567643</v>
      </c>
      <c r="D57" s="96">
        <f>IF($B$51="ANALYTICAL",R57,AA57)</f>
        <v>0.119461578949355</v>
      </c>
      <c r="E57" s="96">
        <f>IF($B$51="ANALYTICAL",S57,AB57)</f>
        <v>0.11541618230581641</v>
      </c>
      <c r="F57" s="96">
        <f>IF($B$51="ANALYTICAL",T57,AC57)</f>
        <v>0.11150960082823708</v>
      </c>
      <c r="G57" s="98">
        <f>IF($B$51="ANALYTICAL",U57,AD57)</f>
        <v>0</v>
      </c>
      <c r="O57" s="4" t="s">
        <v>74</v>
      </c>
      <c r="P57" s="95">
        <f>(P68*RiskyAnnuity5Y-Protection5Y*P79)/RiskyAnnuity5Y^2*Notional</f>
        <v>0.13525770468945494</v>
      </c>
      <c r="Q57" s="96">
        <f>(Q68*RiskyAnnuity5Y-Protection5Y*Q79)/RiskyAnnuity5Y^2*Notional</f>
        <v>0.12783313889679404</v>
      </c>
      <c r="R57" s="96">
        <f>(R68*RiskyAnnuity5Y-Protection5Y*R79)/RiskyAnnuity5Y^2*Notional</f>
        <v>0.12148958285899454</v>
      </c>
      <c r="S57" s="96">
        <f>(S68*RiskyAnnuity5Y-Protection5Y*S79)/RiskyAnnuity5Y^2*Notional</f>
        <v>0.11619693916613019</v>
      </c>
      <c r="T57" s="96">
        <f>(T68*RiskyAnnuity5Y-Protection5Y*T79)/RiskyAnnuity5Y^2*Notional</f>
        <v>0.11173141321118912</v>
      </c>
      <c r="U57" s="98">
        <v>0</v>
      </c>
      <c r="X57" s="4" t="s">
        <v>74</v>
      </c>
      <c r="Y57" s="95">
        <f>(Y68-$L18)/ShiftSize</f>
        <v>0.12796804364865327</v>
      </c>
      <c r="Z57" s="133">
        <f>(Z68-$L18)/ShiftSize</f>
        <v>0.12364538331567643</v>
      </c>
      <c r="AA57" s="133">
        <f>(AA68-$L18)/ShiftSize</f>
        <v>0.119461578949355</v>
      </c>
      <c r="AB57" s="133">
        <f>(AB68-$L18)/ShiftSize</f>
        <v>0.11541618230581641</v>
      </c>
      <c r="AC57" s="133">
        <f>(AC68-$L18)/ShiftSize</f>
        <v>0.11150960082823708</v>
      </c>
      <c r="AD57" s="98">
        <v>0</v>
      </c>
      <c r="AF57" s="137"/>
      <c r="AG57" s="137"/>
      <c r="AH57" s="137"/>
      <c r="AI57" s="137"/>
      <c r="AJ57" s="137"/>
      <c r="AK57" s="137"/>
      <c r="AL57" s="137"/>
      <c r="AM57" s="137"/>
      <c r="AN57" s="137"/>
    </row>
    <row r="58" spans="1:40" ht="15.6" x14ac:dyDescent="0.3">
      <c r="A58" s="4" t="s">
        <v>75</v>
      </c>
      <c r="B58" s="99">
        <f>IF($B$51="ANALYTICAL",P58,Y58)</f>
        <v>6.9697818896527486E-2</v>
      </c>
      <c r="C58" s="100">
        <f>IF($B$51="ANALYTICAL",Q58,Z58)</f>
        <v>6.7277434430759731E-2</v>
      </c>
      <c r="D58" s="100">
        <f>IF($B$51="ANALYTICAL",R58,AA58)</f>
        <v>6.4934799455865222E-2</v>
      </c>
      <c r="E58" s="100">
        <f>IF($B$51="ANALYTICAL",S58,AB58)</f>
        <v>6.266966297904103E-2</v>
      </c>
      <c r="F58" s="100">
        <f>IF($B$51="ANALYTICAL",T58,AC58)</f>
        <v>6.0482253164129141E-2</v>
      </c>
      <c r="G58" s="101">
        <f>IF($B$51="ANALYTICAL",U58,AD58)</f>
        <v>0.27230519912286449</v>
      </c>
      <c r="O58" s="4" t="s">
        <v>75</v>
      </c>
      <c r="P58" s="134">
        <f>(P69*RiskyAnnuity10Y-Protection10Y*P80)/RiskyAnnuity10Y^2*Notional</f>
        <v>9.2952322448570157E-2</v>
      </c>
      <c r="Q58" s="100">
        <f>(Q69*RiskyAnnuity10Y-Protection10Y*Q80)/RiskyAnnuity10Y^2*Notional</f>
        <v>8.5426210628235577E-2</v>
      </c>
      <c r="R58" s="100">
        <f>(R69*RiskyAnnuity10Y-Protection10Y*R80)/RiskyAnnuity10Y^2*Notional</f>
        <v>7.8673850124555134E-2</v>
      </c>
      <c r="S58" s="100">
        <f>(S69*RiskyAnnuity10Y-Protection10Y*S80)/RiskyAnnuity10Y^2*Notional</f>
        <v>7.2672227044044704E-2</v>
      </c>
      <c r="T58" s="100">
        <f>(T69*RiskyAnnuity10Y-Protection10Y*T80)/RiskyAnnuity10Y^2*Notional</f>
        <v>6.7295844943490182E-2</v>
      </c>
      <c r="U58" s="101">
        <f>(U69*RiskyAnnuity10Y-Protection10Y*U80)/RiskyAnnuity10Y^2*Notional</f>
        <v>0.27301569079994437</v>
      </c>
      <c r="X58" s="4" t="s">
        <v>75</v>
      </c>
      <c r="Y58" s="134">
        <f>(Y69-$L19)/ShiftSize</f>
        <v>6.9697818896527486E-2</v>
      </c>
      <c r="Z58" s="136">
        <f>(Z69-$L19)/ShiftSize</f>
        <v>6.7277434430759731E-2</v>
      </c>
      <c r="AA58" s="136">
        <f>(AA69-$L19)/ShiftSize</f>
        <v>6.4934799455865222E-2</v>
      </c>
      <c r="AB58" s="136">
        <f>(AB69-$L19)/ShiftSize</f>
        <v>6.266966297904103E-2</v>
      </c>
      <c r="AC58" s="136">
        <f>(AC69-$L19)/ShiftSize</f>
        <v>6.0482253164129141E-2</v>
      </c>
      <c r="AD58" s="101">
        <f>(AD69-$L19)/ShiftSize</f>
        <v>0.27230519912286449</v>
      </c>
      <c r="AF58" s="137"/>
      <c r="AG58" s="137"/>
      <c r="AH58" s="137"/>
      <c r="AI58" s="137"/>
      <c r="AJ58" s="137"/>
      <c r="AK58" s="137"/>
      <c r="AL58" s="137"/>
      <c r="AM58" s="137"/>
      <c r="AN58" s="137"/>
    </row>
    <row r="61" spans="1:40" x14ac:dyDescent="0.3">
      <c r="B61" s="1" t="s">
        <v>60</v>
      </c>
      <c r="P61" s="1" t="s">
        <v>82</v>
      </c>
      <c r="Y61" s="1" t="s">
        <v>120</v>
      </c>
    </row>
    <row r="63" spans="1:40" ht="15.6" x14ac:dyDescent="0.3">
      <c r="A63" s="42" t="s">
        <v>63</v>
      </c>
      <c r="B63" s="4" t="s">
        <v>70</v>
      </c>
      <c r="C63" s="4" t="s">
        <v>71</v>
      </c>
      <c r="D63" s="4" t="s">
        <v>72</v>
      </c>
      <c r="E63" s="4" t="s">
        <v>73</v>
      </c>
      <c r="F63" s="4" t="s">
        <v>74</v>
      </c>
      <c r="G63" s="4" t="s">
        <v>75</v>
      </c>
      <c r="O63" s="42" t="s">
        <v>96</v>
      </c>
      <c r="P63" s="4" t="s">
        <v>64</v>
      </c>
      <c r="Q63" s="4" t="s">
        <v>65</v>
      </c>
      <c r="R63" s="4" t="s">
        <v>66</v>
      </c>
      <c r="S63" s="4" t="s">
        <v>67</v>
      </c>
      <c r="T63" s="4" t="s">
        <v>68</v>
      </c>
      <c r="U63" s="4" t="s">
        <v>69</v>
      </c>
      <c r="X63" s="42" t="s">
        <v>119</v>
      </c>
      <c r="Y63" s="4" t="s">
        <v>64</v>
      </c>
      <c r="Z63" s="4" t="s">
        <v>65</v>
      </c>
      <c r="AA63" s="4" t="s">
        <v>66</v>
      </c>
      <c r="AB63" s="4" t="s">
        <v>67</v>
      </c>
      <c r="AC63" s="4" t="s">
        <v>68</v>
      </c>
      <c r="AD63" s="4" t="s">
        <v>69</v>
      </c>
    </row>
    <row r="64" spans="1:40" ht="15.6" x14ac:dyDescent="0.3">
      <c r="A64" s="4" t="s">
        <v>64</v>
      </c>
      <c r="B64" s="92" cm="1">
        <f t="array" ref="B64:G69">MINVERSE(B53:G58)</f>
        <v>1.6666667407034828</v>
      </c>
      <c r="C64" s="93">
        <v>0</v>
      </c>
      <c r="D64" s="93">
        <v>0</v>
      </c>
      <c r="E64" s="93">
        <v>0</v>
      </c>
      <c r="F64" s="93">
        <v>0</v>
      </c>
      <c r="G64" s="94">
        <v>0</v>
      </c>
      <c r="O64" s="4" t="s">
        <v>84</v>
      </c>
      <c r="P64" s="92">
        <f>(1-RecoveryRate)*YearFraction*(SUMPRODUCT($Q$5:$Q$8,$S$5:$S$8))</f>
        <v>0.58818124986016196</v>
      </c>
      <c r="Q64" s="93">
        <v>0</v>
      </c>
      <c r="R64" s="93">
        <v>0</v>
      </c>
      <c r="S64" s="93">
        <v>0</v>
      </c>
      <c r="T64" s="93">
        <v>0</v>
      </c>
      <c r="U64" s="94">
        <v>0</v>
      </c>
      <c r="X64" s="4" t="s">
        <v>113</v>
      </c>
      <c r="Y64" s="156">
        <f t="shared" ref="Y64:Z69" si="20">Y75/Y86</f>
        <v>1.0000599999971274E-3</v>
      </c>
      <c r="Z64" s="33">
        <v>0</v>
      </c>
      <c r="AA64" s="33">
        <v>0</v>
      </c>
      <c r="AB64" s="33">
        <v>0</v>
      </c>
      <c r="AC64" s="33">
        <v>0</v>
      </c>
      <c r="AD64" s="157">
        <v>0</v>
      </c>
    </row>
    <row r="65" spans="1:30" ht="15.6" x14ac:dyDescent="0.3">
      <c r="A65" s="4" t="s">
        <v>65</v>
      </c>
      <c r="B65" s="95">
        <v>-1.7212682003651634</v>
      </c>
      <c r="C65" s="96">
        <v>3.388508819650212</v>
      </c>
      <c r="D65" s="97">
        <v>0</v>
      </c>
      <c r="E65" s="97">
        <v>0</v>
      </c>
      <c r="F65" s="97">
        <v>0</v>
      </c>
      <c r="G65" s="98">
        <v>0</v>
      </c>
      <c r="O65" s="4" t="s">
        <v>85</v>
      </c>
      <c r="P65" s="95">
        <f>(1-RecoveryRate)*YearFraction*(SUMPRODUCT($Q$5:$Q$8,$S$5:$S$8)-SUMPRODUCT($R$9:$R$12,$S$9:$S$12))</f>
        <v>0.58784740252992551</v>
      </c>
      <c r="Q65" s="133">
        <f>(1-RecoveryRate)*YearFraction*(SUMPRODUCT($Q$9:$Q$12,$S$9:$S$12))</f>
        <v>0.56947710128199713</v>
      </c>
      <c r="R65" s="135">
        <v>0</v>
      </c>
      <c r="S65" s="97">
        <v>0</v>
      </c>
      <c r="T65" s="97">
        <v>0</v>
      </c>
      <c r="U65" s="98">
        <v>0</v>
      </c>
      <c r="X65" s="4" t="s">
        <v>114</v>
      </c>
      <c r="Y65" s="158">
        <f t="shared" si="20"/>
        <v>1.2000304783292832E-3</v>
      </c>
      <c r="Z65" s="159">
        <f t="shared" si="20"/>
        <v>1.2000295115065277E-3</v>
      </c>
      <c r="AA65" s="154">
        <v>0</v>
      </c>
      <c r="AB65" s="154">
        <v>0</v>
      </c>
      <c r="AC65" s="154">
        <v>0</v>
      </c>
      <c r="AD65" s="160">
        <v>0</v>
      </c>
    </row>
    <row r="66" spans="1:30" ht="15.6" x14ac:dyDescent="0.3">
      <c r="A66" s="4" t="s">
        <v>66</v>
      </c>
      <c r="B66" s="102">
        <v>-9.1931494155936722E-4</v>
      </c>
      <c r="C66" s="96">
        <v>-3.5013400952532749</v>
      </c>
      <c r="D66" s="96">
        <v>5.1715687512004491</v>
      </c>
      <c r="E66" s="97">
        <v>0</v>
      </c>
      <c r="F66" s="97">
        <v>0</v>
      </c>
      <c r="G66" s="98">
        <v>0</v>
      </c>
      <c r="O66" s="4" t="s">
        <v>86</v>
      </c>
      <c r="P66" s="95">
        <f>(1-RecoveryRate)*YearFraction*(SUMPRODUCT($Q$5:$Q$8,$S$5:$S$8)-SUMPRODUCT($R$9:$R$16,$S$9:$S$16))</f>
        <v>0.58735824808116555</v>
      </c>
      <c r="Q66" s="133">
        <f>(1-RecoveryRate)*YearFraction*(SUMPRODUCT($Q$9:$Q$12,$S$9:$S$12)-SUMPRODUCT($R$13:$R$16,$S$13:$S$16))</f>
        <v>0.56898794683323717</v>
      </c>
      <c r="R66" s="133">
        <f>(1-RecoveryRate)*YearFraction*(SUMPRODUCT($Q$13:$Q$16,$S$13:$S$16))</f>
        <v>0.55081297318520361</v>
      </c>
      <c r="S66" s="97">
        <v>0</v>
      </c>
      <c r="T66" s="97">
        <v>0</v>
      </c>
      <c r="U66" s="98">
        <v>0</v>
      </c>
      <c r="X66" s="4" t="s">
        <v>115</v>
      </c>
      <c r="Y66" s="158">
        <f t="shared" si="20"/>
        <v>1.5000206455907511E-3</v>
      </c>
      <c r="Z66" s="159">
        <f t="shared" si="20"/>
        <v>1.5000199803507943E-3</v>
      </c>
      <c r="AA66" s="159">
        <f t="shared" ref="AA66" si="21">AA77/AA88</f>
        <v>1.5000193364802239E-3</v>
      </c>
      <c r="AB66" s="154">
        <v>0</v>
      </c>
      <c r="AC66" s="154">
        <v>0</v>
      </c>
      <c r="AD66" s="160">
        <v>0</v>
      </c>
    </row>
    <row r="67" spans="1:30" ht="15.6" x14ac:dyDescent="0.3">
      <c r="A67" s="4" t="s">
        <v>67</v>
      </c>
      <c r="B67" s="102">
        <v>-6.3488037859452139E-4</v>
      </c>
      <c r="C67" s="103">
        <v>-1.2902281545773516E-3</v>
      </c>
      <c r="D67" s="96">
        <v>-5.3455825875160192</v>
      </c>
      <c r="E67" s="96">
        <v>7.0177829070902336</v>
      </c>
      <c r="F67" s="97">
        <v>0</v>
      </c>
      <c r="G67" s="98">
        <v>0</v>
      </c>
      <c r="O67" s="4" t="s">
        <v>87</v>
      </c>
      <c r="P67" s="95">
        <f>(1-RecoveryRate)*YearFraction*(SUMPRODUCT($Q$5:$Q$8,$S$5:$S$8)-SUMPRODUCT($R$9:$R$20,$S$9:$S$20))</f>
        <v>0.58683852936803527</v>
      </c>
      <c r="Q67" s="133">
        <f>(1-RecoveryRate)*YearFraction*(SUMPRODUCT($Q$9:$Q$12,$S$9:$S$12)-SUMPRODUCT($R$13:$R$20,$S$13:$S$20))</f>
        <v>0.56846822812010689</v>
      </c>
      <c r="R67" s="133">
        <f>(1-RecoveryRate)*YearFraction*(SUMPRODUCT($Q$13:$Q$16,$S$13:$S$16)-SUMPRODUCT($R$17:$R$20,$S$17:$S$20))</f>
        <v>0.55029325447207345</v>
      </c>
      <c r="S67" s="133">
        <f>(1-RecoveryRate)*YearFraction*(SUMPRODUCT($Q$17:$Q$20,$S$17:$S$20))</f>
        <v>0.53240121941731955</v>
      </c>
      <c r="T67" s="97">
        <v>0</v>
      </c>
      <c r="U67" s="98">
        <v>0</v>
      </c>
      <c r="X67" s="4" t="s">
        <v>116</v>
      </c>
      <c r="Y67" s="158">
        <f t="shared" si="20"/>
        <v>1.7000157371350791E-3</v>
      </c>
      <c r="Z67" s="159">
        <f t="shared" si="20"/>
        <v>1.7000152248029907E-3</v>
      </c>
      <c r="AA67" s="159">
        <f t="shared" ref="AA67:AB67" si="22">AA78/AA89</f>
        <v>1.7000147289284485E-3</v>
      </c>
      <c r="AB67" s="159">
        <f t="shared" si="22"/>
        <v>1.7000142494583263E-3</v>
      </c>
      <c r="AC67" s="154">
        <v>0</v>
      </c>
      <c r="AD67" s="160">
        <v>0</v>
      </c>
    </row>
    <row r="68" spans="1:30" ht="15.6" x14ac:dyDescent="0.3">
      <c r="A68" s="4" t="s">
        <v>68</v>
      </c>
      <c r="B68" s="102">
        <v>-2.4223700279783007E-3</v>
      </c>
      <c r="C68" s="103">
        <v>-4.9228267752501496E-3</v>
      </c>
      <c r="D68" s="103">
        <v>-7.5063869459303682E-3</v>
      </c>
      <c r="E68" s="96">
        <v>-7.2636410261659252</v>
      </c>
      <c r="F68" s="96">
        <v>8.9678376800966397</v>
      </c>
      <c r="G68" s="98">
        <v>0</v>
      </c>
      <c r="O68" s="4" t="s">
        <v>88</v>
      </c>
      <c r="P68" s="95">
        <f>(1-RecoveryRate)*YearFraction*(SUMPRODUCT($Q$5:$Q$8,$S$5:$S$8)-SUMPRODUCT($R$9:$R$24,$S$9:$S$24))</f>
        <v>0.58563344227236469</v>
      </c>
      <c r="Q68" s="133">
        <f>(1-RecoveryRate)*YearFraction*(SUMPRODUCT($Q$9:$Q$12,$S$9:$S$12)-SUMPRODUCT($R$13:$R$24,$S$13:$S$24))</f>
        <v>0.56726314102443631</v>
      </c>
      <c r="R68" s="133">
        <f>(1-RecoveryRate)*YearFraction*(SUMPRODUCT($Q$13:$Q$16,$S$13:$S$16)-SUMPRODUCT($R$17:$R$24,$S$17:$S$24))</f>
        <v>0.54908816737640287</v>
      </c>
      <c r="S68" s="133">
        <f>(1-RecoveryRate)*YearFraction*(SUMPRODUCT($Q$17:$Q$20,$S$17:$S$20)-SUMPRODUCT($R$21:$R$24,$S$21:$S$24))</f>
        <v>0.53119613232164897</v>
      </c>
      <c r="T68" s="133">
        <f>(1-RecoveryRate)*YearFraction*(SUMPRODUCT($Q$21:$Q$24,$S$21:$S$24))</f>
        <v>0.51278321391233361</v>
      </c>
      <c r="U68" s="98">
        <v>0</v>
      </c>
      <c r="X68" s="4" t="s">
        <v>117</v>
      </c>
      <c r="Y68" s="158">
        <f t="shared" si="20"/>
        <v>2.4330127826712694E-3</v>
      </c>
      <c r="Z68" s="159">
        <f t="shared" si="20"/>
        <v>2.4330123504052361E-3</v>
      </c>
      <c r="AA68" s="159">
        <f t="shared" ref="AA68:AB68" si="23">AA79/AA90</f>
        <v>2.4330119320247995E-3</v>
      </c>
      <c r="AB68" s="159">
        <f t="shared" si="23"/>
        <v>2.4330115274851351E-3</v>
      </c>
      <c r="AC68" s="159">
        <f t="shared" ref="AC68" si="24">AC79/AC90</f>
        <v>2.4330111368269874E-3</v>
      </c>
      <c r="AD68" s="160">
        <v>0</v>
      </c>
    </row>
    <row r="69" spans="1:30" ht="15.6" x14ac:dyDescent="0.3">
      <c r="A69" s="4" t="s">
        <v>69</v>
      </c>
      <c r="B69" s="104">
        <v>-4.2061076671349697E-4</v>
      </c>
      <c r="C69" s="105">
        <v>-8.5478059856830655E-4</v>
      </c>
      <c r="D69" s="105">
        <v>-1.3033807312274211E-3</v>
      </c>
      <c r="E69" s="105">
        <v>-1.7653508307809603E-3</v>
      </c>
      <c r="F69" s="100">
        <v>-1.9918643883758242</v>
      </c>
      <c r="G69" s="101">
        <v>3.6723500073489181</v>
      </c>
      <c r="O69" s="4" t="s">
        <v>89</v>
      </c>
      <c r="P69" s="99">
        <f>(1-RecoveryRate)*YearFraction*(SUMPRODUCT($Q$5:$Q$8,$S$5:$S$8)-SUMPRODUCT($R$9:$R$44,$S$9:$S$44))</f>
        <v>0.58210639711549328</v>
      </c>
      <c r="Q69" s="136">
        <f>(1-RecoveryRate)*YearFraction*(SUMPRODUCT($Q$9:$Q$12,$S$9:$S$12)-SUMPRODUCT($R$13:$R$44,$S$13:$S$44))</f>
        <v>0.5637360958675649</v>
      </c>
      <c r="R69" s="136">
        <f>(1-RecoveryRate)*YearFraction*(SUMPRODUCT($Q$13:$Q$16,$S$13:$S$16)-SUMPRODUCT($R$17:$R$44,$S$17:$S$44))</f>
        <v>0.54556112221953146</v>
      </c>
      <c r="S69" s="136">
        <f>(1-RecoveryRate)*YearFraction*(SUMPRODUCT($Q$17:$Q$20,$S$17:$S$20)-SUMPRODUCT($R$21:$R$44,$S$21:$S$44))</f>
        <v>0.52766908716477756</v>
      </c>
      <c r="T69" s="136">
        <f>(1-RecoveryRate)*YearFraction*(SUMPRODUCT($Q$21:$Q$24,$S$21:$S$24)-SUMPRODUCT($R$25:$R$44,$S$25:$S$44))</f>
        <v>0.5092561687554622</v>
      </c>
      <c r="U69" s="101">
        <f>(1-RecoveryRate)*YearFraction*(SUMPRODUCT($Q$25:$Q$44,$S$25:$S$44))</f>
        <v>2.2991677172785896</v>
      </c>
      <c r="X69" s="4" t="s">
        <v>118</v>
      </c>
      <c r="Y69" s="161">
        <f t="shared" si="20"/>
        <v>3.0000069710778348E-3</v>
      </c>
      <c r="Z69" s="170">
        <f t="shared" si="20"/>
        <v>3.0000067290393883E-3</v>
      </c>
      <c r="AA69" s="170">
        <f t="shared" ref="AA69:AB69" si="25">AA80/AA91</f>
        <v>3.0000064947758908E-3</v>
      </c>
      <c r="AB69" s="170">
        <f t="shared" si="25"/>
        <v>3.0000062682622431E-3</v>
      </c>
      <c r="AC69" s="170">
        <f t="shared" ref="AC69:AD69" si="26">AC80/AC91</f>
        <v>3.0000060495212616E-3</v>
      </c>
      <c r="AD69" s="171">
        <f t="shared" si="26"/>
        <v>3.0000272318158575E-3</v>
      </c>
    </row>
    <row r="72" spans="1:30" x14ac:dyDescent="0.3">
      <c r="P72" s="1" t="s">
        <v>83</v>
      </c>
      <c r="Y72" s="1" t="s">
        <v>111</v>
      </c>
    </row>
    <row r="74" spans="1:30" ht="15.6" x14ac:dyDescent="0.3">
      <c r="O74" s="42" t="s">
        <v>97</v>
      </c>
      <c r="P74" s="4" t="s">
        <v>64</v>
      </c>
      <c r="Q74" s="4" t="s">
        <v>65</v>
      </c>
      <c r="R74" s="4" t="s">
        <v>66</v>
      </c>
      <c r="S74" s="4" t="s">
        <v>67</v>
      </c>
      <c r="T74" s="4" t="s">
        <v>68</v>
      </c>
      <c r="U74" s="4" t="s">
        <v>69</v>
      </c>
      <c r="X74" s="42" t="s">
        <v>96</v>
      </c>
      <c r="Y74" s="4" t="s">
        <v>64</v>
      </c>
      <c r="Z74" s="4" t="s">
        <v>65</v>
      </c>
      <c r="AA74" s="4" t="s">
        <v>66</v>
      </c>
      <c r="AB74" s="4" t="s">
        <v>67</v>
      </c>
      <c r="AC74" s="4" t="s">
        <v>68</v>
      </c>
      <c r="AD74" s="4" t="s">
        <v>69</v>
      </c>
    </row>
    <row r="75" spans="1:30" ht="15.6" x14ac:dyDescent="0.3">
      <c r="O75" s="4" t="s">
        <v>90</v>
      </c>
      <c r="P75" s="92">
        <f>-YearFraction*(0.5*YearFraction*SUMPRODUCT($Q$5:$Q$8,$S$5:$S$8))</f>
        <v>-0.12253776038753375</v>
      </c>
      <c r="Q75" s="93">
        <v>0</v>
      </c>
      <c r="R75" s="93">
        <v>0</v>
      </c>
      <c r="S75" s="93">
        <v>0</v>
      </c>
      <c r="T75" s="93">
        <v>0</v>
      </c>
      <c r="U75" s="94">
        <v>0</v>
      </c>
      <c r="X75" s="4" t="s">
        <v>84</v>
      </c>
      <c r="Y75" s="162">
        <f>LGD*SUMPRODUCT($AB$5:$AB$8,DiscFactors1Y)</f>
        <v>980.56513685474113</v>
      </c>
      <c r="Z75" s="35">
        <v>0</v>
      </c>
      <c r="AA75" s="35">
        <v>0</v>
      </c>
      <c r="AB75" s="35">
        <v>0</v>
      </c>
      <c r="AC75" s="35">
        <v>0</v>
      </c>
      <c r="AD75" s="36">
        <v>0</v>
      </c>
    </row>
    <row r="76" spans="1:30" ht="15.6" x14ac:dyDescent="0.3">
      <c r="O76" s="4" t="s">
        <v>91</v>
      </c>
      <c r="P76" s="95">
        <f>-YearFraction*(0.5*YearFraction*SUMPRODUCT($Q$5:$Q$8,$S$5:$S$8)+SUM($S$9:$S$12)*(YearFraction*SUM($Q$9:$Q$12)+0.5*YearFraction*SUM($R$9:$R$12)))</f>
        <v>-1.071939212712212</v>
      </c>
      <c r="Q76" s="96">
        <f>-YearFraction*(0.5*YearFraction*SUMPRODUCT($Q$9:$Q$12,$S$9:$S$12))</f>
        <v>-0.11864106276708274</v>
      </c>
      <c r="R76" s="97">
        <v>0</v>
      </c>
      <c r="S76" s="97">
        <v>0</v>
      </c>
      <c r="T76" s="97">
        <v>0</v>
      </c>
      <c r="U76" s="98">
        <v>0</v>
      </c>
      <c r="X76" s="4" t="s">
        <v>85</v>
      </c>
      <c r="Y76" s="163">
        <f>LGD*SUMPRODUCT($AB$5:$AB$12,DiscFactors2Y)</f>
        <v>2315.954324261892</v>
      </c>
      <c r="Z76" s="164">
        <f>LGD*SUMPRODUCT($AF$5:$AF$12,DiscFactors2Y)</f>
        <v>2315.9525741736302</v>
      </c>
      <c r="AA76" s="165">
        <v>0</v>
      </c>
      <c r="AB76" s="165">
        <v>0</v>
      </c>
      <c r="AC76" s="165">
        <v>0</v>
      </c>
      <c r="AD76" s="166">
        <v>0</v>
      </c>
    </row>
    <row r="77" spans="1:30" ht="15.6" x14ac:dyDescent="0.3">
      <c r="O77" s="4" t="s">
        <v>92</v>
      </c>
      <c r="P77" s="95">
        <f>-YearFraction*(0.5*YearFraction*SUMPRODUCT($Q$5:$Q$8,$S$5:$S$8)+SUM($S$9:$S$16)*(YearFraction*SUM($Q$9:$Q$16)+0.5*YearFraction*SUM($R$9:$R$16)))</f>
        <v>-3.8581005742651193</v>
      </c>
      <c r="Q77" s="96">
        <f>-YearFraction*(0.5*YearFraction*SUMPRODUCT($Q$9:$Q$12,$S$9:$S$12)+SUM($S$13:$S$16)*(YearFraction*SUM($Q$13:$Q$16)+0.5*YearFraction*SUM($R$13:$R$16)))</f>
        <v>-1.0370626124729947</v>
      </c>
      <c r="R77" s="96">
        <f>-YearFraction*(0.5*YearFraction*SUMPRODUCT($Q$13:$Q$16,$S$13:$S$16))</f>
        <v>-0.11475270274691743</v>
      </c>
      <c r="S77" s="97">
        <v>0</v>
      </c>
      <c r="T77" s="97">
        <v>0</v>
      </c>
      <c r="U77" s="98">
        <v>0</v>
      </c>
      <c r="X77" s="4" t="s">
        <v>86</v>
      </c>
      <c r="Y77" s="163">
        <f>LGD*SUMPRODUCT($AB$5:$AB$16,DiscFactors3Y)</f>
        <v>4272.5719236399964</v>
      </c>
      <c r="Z77" s="164">
        <f>LGD*SUMPRODUCT($AF$5:$AF$16,DiscFactors3Y)</f>
        <v>4272.570173551735</v>
      </c>
      <c r="AA77" s="164">
        <f>LGD*SUMPRODUCT($AJ$5:$AJ$16,DiscFactors3Y)</f>
        <v>4272.5684796811165</v>
      </c>
      <c r="AB77" s="165">
        <v>0</v>
      </c>
      <c r="AC77" s="165">
        <v>0</v>
      </c>
      <c r="AD77" s="166">
        <v>0</v>
      </c>
    </row>
    <row r="78" spans="1:30" ht="15.6" x14ac:dyDescent="0.3">
      <c r="O78" s="4" t="s">
        <v>93</v>
      </c>
      <c r="P78" s="95">
        <f>-YearFraction*(0.5*YearFraction*SUMPRODUCT($Q$5:$Q$8,$S$5:$S$8)+SUM($S$9:$S$20)*(YearFraction*SUM($Q$9:$Q$20)+0.5*YearFraction*SUM($R$9:$R$20)))</f>
        <v>-8.3887322353110392</v>
      </c>
      <c r="Q78" s="96">
        <f>-YearFraction*(0.5*YearFraction*SUMPRODUCT($Q$9:$Q$12,$S$9:$S$12)+SUM($S$13:$S$20)*(YearFraction*SUM($Q$13:$Q$20)+0.5*YearFraction*SUM($R$13:$R$20)))</f>
        <v>-3.730903006014231</v>
      </c>
      <c r="R78" s="96">
        <f>-YearFraction*(0.5*YearFraction*SUMPRODUCT($Q$13:$Q$16,$S$13:$S$16)+SUM($S$17:$S$20)*(YearFraction*SUM($Q$17:$Q$20)+0.5*YearFraction*SUM($R$17:$R$20)))</f>
        <v>-1.002512985212465</v>
      </c>
      <c r="S78" s="96">
        <f>-YearFraction*(0.5*YearFraction*SUMPRODUCT($Q$17:$Q$20,$S$17:$S$20))</f>
        <v>-0.11091692071194158</v>
      </c>
      <c r="T78" s="97">
        <v>0</v>
      </c>
      <c r="U78" s="98">
        <v>0</v>
      </c>
      <c r="X78" s="4" t="s">
        <v>87</v>
      </c>
      <c r="Y78" s="163">
        <f>LGD*SUMPRODUCT($AB$5:$AB$20,DiscFactors4Y)</f>
        <v>6351.4465682734062</v>
      </c>
      <c r="Z78" s="164">
        <f>LGD*SUMPRODUCT($AF$5:$AF$20,DiscFactors4Y)</f>
        <v>6351.4448181851449</v>
      </c>
      <c r="AA78" s="164">
        <f>LGD*SUMPRODUCT($AJ$5:$AJ$20,DiscFactors4Y)</f>
        <v>6351.4431243145254</v>
      </c>
      <c r="AB78" s="164">
        <f>LGD*SUMPRODUCT($AN$5:$AN$20,DiscFactors4Y)</f>
        <v>6351.4414864801201</v>
      </c>
      <c r="AC78" s="165">
        <v>0</v>
      </c>
      <c r="AD78" s="166">
        <v>0</v>
      </c>
    </row>
    <row r="79" spans="1:30" ht="15.6" x14ac:dyDescent="0.3">
      <c r="O79" s="4" t="s">
        <v>94</v>
      </c>
      <c r="P79" s="95">
        <f>-YearFraction*(0.5*YearFraction*SUMPRODUCT($Q$5:$Q$8,$S$5:$S$8)+SUM($S$9:$S$24)*(YearFraction*SUM($Q$9:$Q$24)+0.5*YearFraction*SUM($R$9:$R$24)))</f>
        <v>-14.564991765117663</v>
      </c>
      <c r="Q79" s="96">
        <f>-YearFraction*(0.5*YearFraction*SUMPRODUCT($Q$9:$Q$12,$S$9:$S$12)+SUM($S$13:$S$24)*(YearFraction*SUM($Q$13:$Q$24)+0.5*YearFraction*SUM($R$13:$R$24)))</f>
        <v>-8.1032258993303596</v>
      </c>
      <c r="R79" s="96">
        <f>-YearFraction*(0.5*YearFraction*SUMPRODUCT($Q$13:$Q$16,$S$13:$S$16)+SUM($S$17:$S$24)*(YearFraction*SUM($Q$17:$Q$24)+0.5*YearFraction*SUM($R$17:$R$24)))</f>
        <v>-3.6013461732778844</v>
      </c>
      <c r="S79" s="96">
        <f>-YearFraction*(0.5*YearFraction*SUMPRODUCT($Q$17:$Q$20,$S$17:$S$20)+SUM($S$21:$S$24)*(YearFraction*SUM($Q$21:$Q$24)+0.5*YearFraction*SUM($R$21:$R$24)))</f>
        <v>-0.96654087782606679</v>
      </c>
      <c r="T79" s="96">
        <f>-YearFraction*(0.5*YearFraction*SUMPRODUCT($Q$21:$Q$24,$S$21:$S$24))</f>
        <v>-0.10682983623173618</v>
      </c>
      <c r="U79" s="98">
        <v>0</v>
      </c>
      <c r="X79" s="4" t="s">
        <v>88</v>
      </c>
      <c r="Y79" s="163">
        <f>LGD*SUMPRODUCT($AB$5:$AB$24,DiscFactors5Y)</f>
        <v>11171.794468920843</v>
      </c>
      <c r="Z79" s="164">
        <f>LGD*SUMPRODUCT($AF$5:$AF$24,DiscFactors5Y)</f>
        <v>11171.792718832581</v>
      </c>
      <c r="AA79" s="164">
        <f>LGD*SUMPRODUCT($AJ$5:$AJ$24,DiscFactors5Y)</f>
        <v>11171.791024961962</v>
      </c>
      <c r="AB79" s="164">
        <f>LGD*SUMPRODUCT($AN$5:$AN$24,DiscFactors5Y)</f>
        <v>11171.789387127556</v>
      </c>
      <c r="AC79" s="164">
        <f>LGD*SUMPRODUCT($AR$5:$AR$24,DiscFactors5Y)</f>
        <v>11171.787805494319</v>
      </c>
      <c r="AD79" s="166">
        <v>0</v>
      </c>
    </row>
    <row r="80" spans="1:30" ht="15.6" x14ac:dyDescent="0.3">
      <c r="O80" s="4" t="s">
        <v>95</v>
      </c>
      <c r="P80" s="99">
        <f>-YearFraction*(0.5*YearFraction*SUMPRODUCT($Q$5:$Q$8,$S$5:$S$8)+SUM($S$9:$S$44)*(YearFraction*SUM($Q$9:$Q$44)+0.5*YearFraction*SUM($R$9:$R$44)))</f>
        <v>-67.05642609717745</v>
      </c>
      <c r="Q80" s="100">
        <f>-YearFraction*(0.5*YearFraction*SUMPRODUCT($Q$9:$Q$12,$S$9:$S$12)+SUM($S$13:$S$44)*(YearFraction*SUM($Q$13:$Q$44)+0.5*YearFraction*SUM($R$13:$R$44)))</f>
        <v>-52.039917121662704</v>
      </c>
      <c r="R80" s="100">
        <f>-YearFraction*(0.5*YearFraction*SUMPRODUCT($Q$13:$Q$16,$S$13:$S$16)+SUM($S$17:$S$44)*(YearFraction*SUM($Q$17:$Q$44)+0.5*YearFraction*SUM($R$17:$R$44)))</f>
        <v>-39.131673313448673</v>
      </c>
      <c r="S80" s="100">
        <f>-YearFraction*(0.5*YearFraction*SUMPRODUCT($Q$17:$Q$20,$S$17:$S$20)+SUM($S$21:$S$44)*(YearFraction*SUM($Q$21:$Q$44)+0.5*YearFraction*SUM($R$21:$R$44)))</f>
        <v>-28.237847749830035</v>
      </c>
      <c r="T80" s="100">
        <f>-YearFraction*(0.5*YearFraction*SUMPRODUCT($Q$21:$Q$24,$S$21:$S$24)+SUM($S$25:$S$44)*(YearFraction*SUM($Q$25:$Q$44)+0.5*YearFraction*SUM($R$25:$R$44)))</f>
        <v>-19.273876668036532</v>
      </c>
      <c r="U80" s="101">
        <f>-YearFraction*(0.5*YearFraction*SUMPRODUCT($Q$25:$Q$44,$S$25:$S$44))</f>
        <v>-0.47899327443303952</v>
      </c>
      <c r="X80" s="4" t="s">
        <v>89</v>
      </c>
      <c r="Y80" s="167">
        <f>LGD*SUMPRODUCT($AB$5:$AB$44,DiscFactors10Y)</f>
        <v>25279.973685588273</v>
      </c>
      <c r="Z80" s="168">
        <f>LGD*SUMPRODUCT($AF$5:$AF$44,DiscFactors10Y)</f>
        <v>25279.971935500009</v>
      </c>
      <c r="AA80" s="168">
        <f>LGD*SUMPRODUCT($AJ$5:$AJ$44,DiscFactors10Y)</f>
        <v>25279.970241629391</v>
      </c>
      <c r="AB80" s="168">
        <f>LGD*SUMPRODUCT($AN$5:$AN$44,DiscFactors10Y)</f>
        <v>25279.968603794987</v>
      </c>
      <c r="AC80" s="168">
        <f>LGD*SUMPRODUCT($AR$5:$AR$44,DiscFactors10Y)</f>
        <v>25279.967022161749</v>
      </c>
      <c r="AD80" s="169">
        <f>LGD*SUMPRODUCT($AV$5:$AV$44,DiscFactors10Y)</f>
        <v>25280.144006498576</v>
      </c>
    </row>
    <row r="83" spans="24:30" x14ac:dyDescent="0.3">
      <c r="Y83" s="1" t="s">
        <v>112</v>
      </c>
    </row>
    <row r="85" spans="24:30" ht="15.6" x14ac:dyDescent="0.3">
      <c r="X85" s="42" t="s">
        <v>97</v>
      </c>
      <c r="Y85" s="4" t="s">
        <v>64</v>
      </c>
      <c r="Z85" s="4" t="s">
        <v>65</v>
      </c>
      <c r="AA85" s="4" t="s">
        <v>66</v>
      </c>
      <c r="AB85" s="4" t="s">
        <v>67</v>
      </c>
      <c r="AC85" s="4" t="s">
        <v>68</v>
      </c>
      <c r="AD85" s="4" t="s">
        <v>69</v>
      </c>
    </row>
    <row r="86" spans="24:30" ht="15.6" x14ac:dyDescent="0.3">
      <c r="X86" s="4" t="s">
        <v>90</v>
      </c>
      <c r="Y86" s="162">
        <f>Notional*YearFraction*(SUMPRODUCT($AA$5:$AA$8,DiscFactors1Y)+0.5*SUMPRODUCT($AB$5:$AB$8,DiscFactors1Y))</f>
        <v>980506.30647916894</v>
      </c>
      <c r="Z86" s="35">
        <v>0</v>
      </c>
      <c r="AA86" s="35">
        <v>0</v>
      </c>
      <c r="AB86" s="35">
        <v>0</v>
      </c>
      <c r="AC86" s="35">
        <v>0</v>
      </c>
      <c r="AD86" s="36">
        <v>0</v>
      </c>
    </row>
    <row r="87" spans="24:30" ht="15.6" x14ac:dyDescent="0.3">
      <c r="X87" s="4" t="s">
        <v>91</v>
      </c>
      <c r="Y87" s="163">
        <f>Notional*YearFraction*(SUMPRODUCT($AA$5:$AA$12,DiscFactors2Y)+0.5*SUMPRODUCT($AB$5:$AB$12,DiscFactors2Y))</f>
        <v>1929912.9197836956</v>
      </c>
      <c r="Z87" s="164">
        <f>Notional*YearFraction*(SUMPRODUCT($AE$5:$AE$12,DiscFactors2Y)+0.5*SUMPRODUCT($AF$5:$AF$12,DiscFactors2Y))</f>
        <v>1929913.0162775437</v>
      </c>
      <c r="AA87" s="165">
        <v>0</v>
      </c>
      <c r="AB87" s="165">
        <v>0</v>
      </c>
      <c r="AC87" s="165">
        <v>0</v>
      </c>
      <c r="AD87" s="166">
        <v>0</v>
      </c>
    </row>
    <row r="88" spans="24:30" ht="15.6" x14ac:dyDescent="0.3">
      <c r="X88" s="4" t="s">
        <v>92</v>
      </c>
      <c r="Y88" s="163">
        <f>Notional*YearFraction*(SUMPRODUCT($AA$5:$AA$16,DiscFactors3Y)+0.5*SUMPRODUCT($AB$5:$AB$16,DiscFactors3Y))</f>
        <v>2848342.0786234145</v>
      </c>
      <c r="Z88" s="164">
        <f>Notional*YearFraction*(SUMPRODUCT($AE$5:$AE$16,DiscFactors3Y)+0.5*SUMPRODUCT($AF$5:$AF$16,DiscFactors3Y))</f>
        <v>2848342.1751172626</v>
      </c>
      <c r="AA88" s="164">
        <f>Notional*YearFraction*(SUMPRODUCT($AI$5:$AI$16,DiscFactors3Y)+0.5*SUMPRODUCT($AJ$5:$AJ$16,DiscFactors3Y))</f>
        <v>2848342.2685114471</v>
      </c>
      <c r="AB88" s="165">
        <v>0</v>
      </c>
      <c r="AC88" s="165">
        <v>0</v>
      </c>
      <c r="AD88" s="166">
        <v>0</v>
      </c>
    </row>
    <row r="89" spans="24:30" ht="15.6" x14ac:dyDescent="0.3">
      <c r="X89" s="4" t="s">
        <v>93</v>
      </c>
      <c r="Y89" s="163">
        <f>Notional*YearFraction*(SUMPRODUCT($AA$5:$AA$20,DiscFactors4Y)+0.5*SUMPRODUCT($AB$5:$AB$20,DiscFactors4Y))</f>
        <v>3736110.4544697138</v>
      </c>
      <c r="Z89" s="164">
        <f>Notional*YearFraction*(SUMPRODUCT($AE$5:$AE$20,DiscFactors4Y)+0.5*SUMPRODUCT($AF$5:$AF$20,DiscFactors4Y))</f>
        <v>3736110.5509635615</v>
      </c>
      <c r="AA89" s="164">
        <f>Notional*YearFraction*(SUMPRODUCT($AI$5:$AI$20,DiscFactors4Y)+0.5*SUMPRODUCT($AJ$5:$AJ$20,DiscFactors4Y))</f>
        <v>3736110.6443577465</v>
      </c>
      <c r="AB89" s="164">
        <f>Notional*YearFraction*(SUMPRODUCT($AM$5:$AM$20,DiscFactors4Y)+0.5*SUMPRODUCT($AN$5:$AN$20,DiscFactors4Y))</f>
        <v>3736110.7346622967</v>
      </c>
      <c r="AC89" s="165">
        <v>0</v>
      </c>
      <c r="AD89" s="166">
        <v>0</v>
      </c>
    </row>
    <row r="90" spans="24:30" ht="15.6" x14ac:dyDescent="0.3">
      <c r="X90" s="4" t="s">
        <v>94</v>
      </c>
      <c r="Y90" s="163">
        <f>Notional*YearFraction*(SUMPRODUCT($AA$5:$AA$24,DiscFactors5Y)+0.5*SUMPRODUCT($AB$5:$AB$24,DiscFactors5Y))</f>
        <v>4591753.2980057066</v>
      </c>
      <c r="Z90" s="164">
        <f>Notional*YearFraction*(SUMPRODUCT($AE$5:$AE$24,DiscFactors5Y)+0.5*SUMPRODUCT($AF$5:$AF$24,DiscFactors5Y))</f>
        <v>4591753.3944995543</v>
      </c>
      <c r="AA90" s="164">
        <f>Notional*YearFraction*(SUMPRODUCT($AI$5:$AI$24,DiscFactors5Y)+0.5*SUMPRODUCT($AJ$5:$AJ$24,DiscFactors5Y))</f>
        <v>4591753.4878937406</v>
      </c>
      <c r="AB90" s="164">
        <f>Notional*YearFraction*(SUMPRODUCT($AM$5:$AM$24,DiscFactors5Y)+0.5*SUMPRODUCT($AN$5:$AN$24,DiscFactors5Y))</f>
        <v>4591753.5781982895</v>
      </c>
      <c r="AC90" s="164">
        <f>Notional*YearFraction*(SUMPRODUCT($AQ$5:$AQ$24,DiscFactors5Y)+0.5*SUMPRODUCT($AR$5:$AR$24,DiscFactors5Y))</f>
        <v>4591753.6654041018</v>
      </c>
      <c r="AD90" s="166">
        <v>0</v>
      </c>
    </row>
    <row r="91" spans="24:30" ht="15.6" x14ac:dyDescent="0.3">
      <c r="X91" s="4" t="s">
        <v>95</v>
      </c>
      <c r="Y91" s="167">
        <f>Notional*YearFraction*(SUMPRODUCT($AA$5:$AA$44,DiscFactors10Y)+0.5*SUMPRODUCT($AB$5:$AB$44,DiscFactors10Y))</f>
        <v>8426638.3142788988</v>
      </c>
      <c r="Z91" s="168">
        <f>Notional*YearFraction*(SUMPRODUCT($AE$5:$AE$44,DiscFactors10Y)+0.5*SUMPRODUCT($AF$5:$AF$44,DiscFactors10Y))</f>
        <v>8426638.4107727446</v>
      </c>
      <c r="AA91" s="168">
        <f>Notional*YearFraction*(SUMPRODUCT($AI$5:$AI$44,DiscFactors10Y)+0.5*SUMPRODUCT($AJ$5:$AJ$44,DiscFactors10Y))</f>
        <v>8426638.5041669309</v>
      </c>
      <c r="AB91" s="168">
        <f>Notional*YearFraction*(SUMPRODUCT($AM$5:$AM$44,DiscFactors10Y)+0.5*SUMPRODUCT($AN$5:$AN$44,DiscFactors10Y))</f>
        <v>8426638.5944714826</v>
      </c>
      <c r="AC91" s="168">
        <f>Notional*YearFraction*(SUMPRODUCT($AQ$5:$AQ$44,DiscFactors10Y)+0.5*SUMPRODUCT($AR$5:$AR$44,DiscFactors10Y))</f>
        <v>8426638.681677293</v>
      </c>
      <c r="AD91" s="169">
        <f>Notional*YearFraction*(SUMPRODUCT($AU$5:$AU$44,DiscFactors10Y)+0.5*SUMPRODUCT($AV$5:$AV$44,DiscFactors10Y))</f>
        <v>8426638.1779464725</v>
      </c>
    </row>
  </sheetData>
  <mergeCells count="7">
    <mergeCell ref="B9:C9"/>
    <mergeCell ref="B3:C3"/>
    <mergeCell ref="B4:C4"/>
    <mergeCell ref="B5:C5"/>
    <mergeCell ref="B6:C6"/>
    <mergeCell ref="B7:C7"/>
    <mergeCell ref="B8:C8"/>
  </mergeCells>
  <dataValidations count="2">
    <dataValidation type="list" allowBlank="1" showInputMessage="1" showErrorMessage="1" sqref="F37" xr:uid="{ED6D3334-3C12-4598-9B8E-3E8C11E28705}">
      <formula1>"TRUE,FALSE"</formula1>
    </dataValidation>
    <dataValidation type="list" allowBlank="1" showInputMessage="1" showErrorMessage="1" sqref="B51" xr:uid="{ABA15CA1-E0CD-4204-8952-CA2BCA25F43C}">
      <formula1>"ANALYTICAL,NUMERICAL"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UpdateSolverIteration">
                <anchor moveWithCells="1" sizeWithCells="1">
                  <from>
                    <xdr:col>1</xdr:col>
                    <xdr:colOff>30480</xdr:colOff>
                    <xdr:row>34</xdr:row>
                    <xdr:rowOff>38100</xdr:rowOff>
                  </from>
                  <to>
                    <xdr:col>3</xdr:col>
                    <xdr:colOff>144780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BB312-6E25-473F-916F-85E156F5AFA0}">
  <sheetPr codeName="Sheet3"/>
  <dimension ref="B1:X44"/>
  <sheetViews>
    <sheetView showGridLines="0" workbookViewId="0"/>
  </sheetViews>
  <sheetFormatPr defaultRowHeight="14.4" outlineLevelCol="1" x14ac:dyDescent="0.3"/>
  <cols>
    <col min="2" max="3" width="12.77734375" customWidth="1"/>
    <col min="4" max="4" width="15.77734375" customWidth="1"/>
    <col min="5" max="5" width="9.21875" customWidth="1"/>
    <col min="6" max="14" width="15.77734375" hidden="1" customWidth="1" outlineLevel="1"/>
    <col min="15" max="15" width="15.77734375" customWidth="1" collapsed="1"/>
    <col min="16" max="16" width="9.21875" customWidth="1"/>
    <col min="17" max="23" width="15.77734375" hidden="1" customWidth="1" outlineLevel="1"/>
    <col min="24" max="24" width="15.77734375" customWidth="1" collapsed="1"/>
  </cols>
  <sheetData>
    <row r="1" spans="2:24" x14ac:dyDescent="0.3">
      <c r="O1" s="142" t="s">
        <v>125</v>
      </c>
      <c r="P1" s="142"/>
      <c r="X1" s="142" t="s">
        <v>144</v>
      </c>
    </row>
    <row r="2" spans="2:24" x14ac:dyDescent="0.3">
      <c r="B2" s="1" t="s">
        <v>146</v>
      </c>
      <c r="F2" s="1" t="s">
        <v>125</v>
      </c>
      <c r="Q2" s="1" t="s">
        <v>144</v>
      </c>
    </row>
    <row r="3" spans="2:24" x14ac:dyDescent="0.3">
      <c r="B3" s="123" t="s">
        <v>127</v>
      </c>
      <c r="C3" s="124"/>
      <c r="D3" s="179" t="s">
        <v>128</v>
      </c>
      <c r="F3" s="44" t="s">
        <v>7</v>
      </c>
      <c r="G3" s="4" t="s">
        <v>2</v>
      </c>
      <c r="H3" s="4" t="s">
        <v>141</v>
      </c>
      <c r="I3" s="44" t="s">
        <v>9</v>
      </c>
      <c r="J3" s="44" t="s">
        <v>28</v>
      </c>
      <c r="K3" s="44" t="s">
        <v>148</v>
      </c>
      <c r="L3" s="44" t="s">
        <v>142</v>
      </c>
      <c r="M3" s="44" t="s">
        <v>143</v>
      </c>
      <c r="N3" s="44" t="s">
        <v>32</v>
      </c>
      <c r="Q3" s="44" t="s">
        <v>7</v>
      </c>
      <c r="R3" s="4" t="s">
        <v>145</v>
      </c>
      <c r="S3" s="4" t="s">
        <v>141</v>
      </c>
      <c r="T3" s="44" t="s">
        <v>9</v>
      </c>
      <c r="U3" s="44" t="s">
        <v>28</v>
      </c>
      <c r="V3" s="44" t="s">
        <v>148</v>
      </c>
      <c r="W3" s="44" t="s">
        <v>32</v>
      </c>
    </row>
    <row r="4" spans="2:24" x14ac:dyDescent="0.3">
      <c r="B4" s="125" t="s">
        <v>20</v>
      </c>
      <c r="C4" s="146"/>
      <c r="D4" s="53">
        <v>10000000</v>
      </c>
      <c r="F4" s="20">
        <v>0</v>
      </c>
      <c r="G4" s="132" t="s">
        <v>135</v>
      </c>
      <c r="H4" s="132" t="s">
        <v>135</v>
      </c>
      <c r="I4" s="12">
        <v>1</v>
      </c>
      <c r="J4" s="12">
        <v>0</v>
      </c>
      <c r="K4" s="97">
        <v>1</v>
      </c>
      <c r="L4" s="184" t="s">
        <v>135</v>
      </c>
      <c r="M4" s="184" t="s">
        <v>135</v>
      </c>
      <c r="N4" s="132" t="s">
        <v>135</v>
      </c>
      <c r="Q4" s="20">
        <v>0</v>
      </c>
      <c r="R4" s="132" t="str">
        <f>"-"</f>
        <v>-</v>
      </c>
      <c r="S4" s="4" t="str">
        <f>"-"</f>
        <v>-</v>
      </c>
      <c r="T4" s="12">
        <v>1</v>
      </c>
      <c r="U4" s="12">
        <v>0</v>
      </c>
      <c r="V4" s="97">
        <v>1</v>
      </c>
      <c r="W4" s="4" t="str">
        <f>"-"</f>
        <v>-</v>
      </c>
    </row>
    <row r="5" spans="2:24" x14ac:dyDescent="0.3">
      <c r="B5" s="125" t="s">
        <v>126</v>
      </c>
      <c r="C5" s="146"/>
      <c r="D5" s="174">
        <v>100</v>
      </c>
      <c r="F5" s="180">
        <f>F4+YearFraction</f>
        <v>0.25</v>
      </c>
      <c r="G5" s="35">
        <f>IF($F5&gt;CDS.Tenor,"-",CDS.PremiumSign*CDS.Notional*CDS.YearFraction*CDS.CreditSpread)</f>
        <v>-25000</v>
      </c>
      <c r="H5" s="33" cm="1">
        <f t="array" ref="H5">IF($F5&gt;CDS.Tenor,"-",Interpolate(F5,Calibration.Times,Calibration.HazardRates))</f>
        <v>1.6666666907791438E-3</v>
      </c>
      <c r="I5" s="155">
        <f>IF($F5&gt;CDS.Tenor,"-",EXP(-H5*YearFraction)*I4)</f>
        <v>0.99958342012080825</v>
      </c>
      <c r="J5" s="155">
        <f>IF($F5&gt;CDS.Tenor,"-",I4-I5)</f>
        <v>4.1657987919174744E-4</v>
      </c>
      <c r="K5" s="93">
        <f>IF($F5&gt;CDS.Tenor,"-",EXP(-ZeroRate*F5))</f>
        <v>0.99247145171553464</v>
      </c>
      <c r="L5" s="35">
        <f>IF($F5&gt;CDS.Tenor,"-",G5*I5*K5)</f>
        <v>-24801.450201951942</v>
      </c>
      <c r="M5" s="35">
        <f>IF($F5&gt;CDS.Tenor,"-",0.5*G5*J5*K5)</f>
        <v>-5.1680454682114449</v>
      </c>
      <c r="N5" s="36">
        <f>IF($F5&gt;CDS.Tenor,"-",L5+M5)</f>
        <v>-24806.618247420152</v>
      </c>
      <c r="Q5" s="180">
        <f>Q4+YearFraction</f>
        <v>0.25</v>
      </c>
      <c r="R5" s="35">
        <f>IF($F5&gt;CDS.Tenor,"-",CDS.ProtectionSign*CDS.Notional*(1-CDS.RecoveryRate))</f>
        <v>6000000</v>
      </c>
      <c r="S5" s="33" cm="1">
        <f t="array" ref="S5">IF($F5&gt;CDS.Tenor,"-",Interpolate(Q5,Calibration.Times,Calibration.HazardRates))</f>
        <v>1.6666666907791438E-3</v>
      </c>
      <c r="T5" s="155">
        <f>IF($F5&gt;CDS.Tenor,"-",EXP(-S5*YearFraction)*T4)</f>
        <v>0.99958342012080825</v>
      </c>
      <c r="U5" s="155">
        <f>IF($F5&gt;CDS.Tenor,"-",T4-T5)</f>
        <v>4.1657987919174744E-4</v>
      </c>
      <c r="V5" s="93">
        <f>IF($F5&gt;CDS.Tenor,"-",EXP(-ZeroRate*Q5))</f>
        <v>0.99247145171553464</v>
      </c>
      <c r="W5" s="36">
        <f>IF($F5&gt;CDS.Tenor,"-",R5*U5*V5)</f>
        <v>2480.6618247414935</v>
      </c>
    </row>
    <row r="6" spans="2:24" x14ac:dyDescent="0.3">
      <c r="B6" s="125" t="s">
        <v>147</v>
      </c>
      <c r="C6" s="190"/>
      <c r="D6" s="193">
        <v>5</v>
      </c>
      <c r="F6" s="181">
        <f>F5+YearFraction</f>
        <v>0.5</v>
      </c>
      <c r="G6" s="165">
        <f>IF($F6&gt;CDS.Tenor,"-",CDS.PremiumSign*CDS.Notional*CDS.YearFraction*CDS.CreditSpread)</f>
        <v>-25000</v>
      </c>
      <c r="H6" s="154" cm="1">
        <f t="array" ref="H6">IF($F6&gt;CDS.Tenor,"-",Interpolate(F6,Calibration.Times,Calibration.HazardRates))</f>
        <v>1.6666666907791438E-3</v>
      </c>
      <c r="I6" s="152">
        <f>IF($F6&gt;CDS.Tenor,"-",EXP(-H6*YearFraction)*I5)</f>
        <v>0.99916701378041228</v>
      </c>
      <c r="J6" s="152">
        <f>IF($F6&gt;CDS.Tenor,"-",I5-I6)</f>
        <v>4.1640634039596947E-4</v>
      </c>
      <c r="K6" s="135">
        <f>IF($F6&gt;CDS.Tenor,"-",EXP(-ZeroRate*F6))</f>
        <v>0.98499958247034081</v>
      </c>
      <c r="L6" s="165">
        <f>IF($F6&gt;CDS.Tenor,"-",G6*I6*K6)</f>
        <v>-24604.477284796081</v>
      </c>
      <c r="M6" s="165">
        <f>IF($F6&gt;CDS.Tenor,"-",0.5*G6*J6*K6)</f>
        <v>-5.1270008928504067</v>
      </c>
      <c r="N6" s="166">
        <f>IF($F6&gt;CDS.Tenor,"-",L6+M6)</f>
        <v>-24609.604285688933</v>
      </c>
      <c r="Q6" s="181">
        <f>Q5+YearFraction</f>
        <v>0.5</v>
      </c>
      <c r="R6" s="165">
        <f>IF($F6&gt;CDS.Tenor,"-",CDS.ProtectionSign*CDS.Notional*(1-CDS.RecoveryRate))</f>
        <v>6000000</v>
      </c>
      <c r="S6" s="154" cm="1">
        <f t="array" ref="S6">IF($F6&gt;CDS.Tenor,"-",Interpolate(Q6,Calibration.Times,Calibration.HazardRates))</f>
        <v>1.6666666907791438E-3</v>
      </c>
      <c r="T6" s="152">
        <f>IF($F6&gt;CDS.Tenor,"-",EXP(-S6*YearFraction)*T5)</f>
        <v>0.99916701378041228</v>
      </c>
      <c r="U6" s="152">
        <f>IF($F6&gt;CDS.Tenor,"-",T5-T6)</f>
        <v>4.1640634039596947E-4</v>
      </c>
      <c r="V6" s="135">
        <f>IF($F6&gt;CDS.Tenor,"-",EXP(-ZeroRate*Q6))</f>
        <v>0.98499958247034081</v>
      </c>
      <c r="W6" s="166">
        <f>IF($F6&gt;CDS.Tenor,"-",R6*U6*V6)</f>
        <v>2460.9604285681949</v>
      </c>
    </row>
    <row r="7" spans="2:24" x14ac:dyDescent="0.3">
      <c r="B7" s="121" t="s">
        <v>129</v>
      </c>
      <c r="C7" s="191"/>
      <c r="D7" s="194">
        <v>0.4</v>
      </c>
      <c r="F7" s="181">
        <f>F6+YearFraction</f>
        <v>0.75</v>
      </c>
      <c r="G7" s="165">
        <f>IF($F7&gt;CDS.Tenor,"-",CDS.PremiumSign*CDS.Notional*CDS.YearFraction*CDS.CreditSpread)</f>
        <v>-25000</v>
      </c>
      <c r="H7" s="154" cm="1">
        <f t="array" ref="H7">IF($F7&gt;CDS.Tenor,"-",Interpolate(F7,Calibration.Times,Calibration.HazardRates))</f>
        <v>1.6666666907791438E-3</v>
      </c>
      <c r="I7" s="152">
        <f>IF($F7&gt;CDS.Tenor,"-",EXP(-H7*YearFraction)*I6)</f>
        <v>0.99875078090651925</v>
      </c>
      <c r="J7" s="152">
        <f>IF($F7&gt;CDS.Tenor,"-",I6-I7)</f>
        <v>4.1623287389302988E-4</v>
      </c>
      <c r="K7" s="135">
        <f>IF($F7&gt;CDS.Tenor,"-",EXP(-ZeroRate*F7))</f>
        <v>0.97758396555353466</v>
      </c>
      <c r="L7" s="165">
        <f>IF($F7&gt;CDS.Tenor,"-",G7*I7*K7)</f>
        <v>-24409.068724957113</v>
      </c>
      <c r="M7" s="165">
        <f>IF($F7&gt;CDS.Tenor,"-",0.5*G7*J7*K7)</f>
        <v>-5.086282293176156</v>
      </c>
      <c r="N7" s="166">
        <f>IF($F7&gt;CDS.Tenor,"-",L7+M7)</f>
        <v>-24414.155007250291</v>
      </c>
      <c r="Q7" s="181">
        <f>Q6+YearFraction</f>
        <v>0.75</v>
      </c>
      <c r="R7" s="165">
        <f>IF($F7&gt;CDS.Tenor,"-",CDS.ProtectionSign*CDS.Notional*(1-CDS.RecoveryRate))</f>
        <v>6000000</v>
      </c>
      <c r="S7" s="154" cm="1">
        <f t="array" ref="S7">IF($F7&gt;CDS.Tenor,"-",Interpolate(Q7,Calibration.Times,Calibration.HazardRates))</f>
        <v>1.6666666907791438E-3</v>
      </c>
      <c r="T7" s="152">
        <f>IF($F7&gt;CDS.Tenor,"-",EXP(-S7*YearFraction)*T6)</f>
        <v>0.99875078090651925</v>
      </c>
      <c r="U7" s="152">
        <f>IF($F7&gt;CDS.Tenor,"-",T6-T7)</f>
        <v>4.1623287389302988E-4</v>
      </c>
      <c r="V7" s="135">
        <f>IF($F7&gt;CDS.Tenor,"-",EXP(-ZeroRate*Q7))</f>
        <v>0.97758396555353466</v>
      </c>
      <c r="W7" s="166">
        <f>IF($F7&gt;CDS.Tenor,"-",R7*U7*V7)</f>
        <v>2441.4155007245549</v>
      </c>
    </row>
    <row r="8" spans="2:24" x14ac:dyDescent="0.3">
      <c r="F8" s="181">
        <f>F7+YearFraction</f>
        <v>1</v>
      </c>
      <c r="G8" s="165">
        <f>IF($F8&gt;CDS.Tenor,"-",CDS.PremiumSign*CDS.Notional*CDS.YearFraction*CDS.CreditSpread)</f>
        <v>-25000</v>
      </c>
      <c r="H8" s="154" cm="1">
        <f t="array" ref="H8">IF($F8&gt;CDS.Tenor,"-",Interpolate(F8,Calibration.Times,Calibration.HazardRates))</f>
        <v>1.6666666907791438E-3</v>
      </c>
      <c r="I8" s="152">
        <f>IF($F8&gt;CDS.Tenor,"-",EXP(-H8*YearFraction)*I7)</f>
        <v>0.99833472142686652</v>
      </c>
      <c r="J8" s="152">
        <f>IF($F8&gt;CDS.Tenor,"-",I7-I8)</f>
        <v>4.160594796527306E-4</v>
      </c>
      <c r="K8" s="135">
        <f>IF($F8&gt;CDS.Tenor,"-",EXP(-ZeroRate*F8))</f>
        <v>0.97022417746674583</v>
      </c>
      <c r="L8" s="165">
        <f>IF($F8&gt;CDS.Tenor,"-",G8*I8*K8)</f>
        <v>-24215.212098321859</v>
      </c>
      <c r="M8" s="165">
        <f>IF($F8&gt;CDS.Tenor,"-",0.5*G8*J8*K8)</f>
        <v>-5.0458870802914104</v>
      </c>
      <c r="N8" s="166">
        <f>IF($F8&gt;CDS.Tenor,"-",L8+M8)</f>
        <v>-24220.25798540215</v>
      </c>
      <c r="Q8" s="181">
        <f>Q7+YearFraction</f>
        <v>1</v>
      </c>
      <c r="R8" s="165">
        <f>IF($F8&gt;CDS.Tenor,"-",CDS.ProtectionSign*CDS.Notional*(1-CDS.RecoveryRate))</f>
        <v>6000000</v>
      </c>
      <c r="S8" s="154" cm="1">
        <f t="array" ref="S8">IF($F8&gt;CDS.Tenor,"-",Interpolate(Q8,Calibration.Times,Calibration.HazardRates))</f>
        <v>1.6666666907791438E-3</v>
      </c>
      <c r="T8" s="152">
        <f>IF($F8&gt;CDS.Tenor,"-",EXP(-S8*YearFraction)*T7)</f>
        <v>0.99833472142686652</v>
      </c>
      <c r="U8" s="152">
        <f>IF($F8&gt;CDS.Tenor,"-",T7-T8)</f>
        <v>4.160594796527306E-4</v>
      </c>
      <c r="V8" s="135">
        <f>IF($F8&gt;CDS.Tenor,"-",EXP(-ZeroRate*Q8))</f>
        <v>0.97022417746674583</v>
      </c>
      <c r="W8" s="166">
        <f>IF($F8&gt;CDS.Tenor,"-",R8*U8*V8)</f>
        <v>2422.0257985398766</v>
      </c>
    </row>
    <row r="9" spans="2:24" x14ac:dyDescent="0.3">
      <c r="B9" s="1" t="s">
        <v>130</v>
      </c>
      <c r="F9" s="181">
        <f>F8+YearFraction</f>
        <v>1.25</v>
      </c>
      <c r="G9" s="165">
        <f>IF($F9&gt;CDS.Tenor,"-",CDS.PremiumSign*CDS.Notional*CDS.YearFraction*CDS.CreditSpread)</f>
        <v>-25000</v>
      </c>
      <c r="H9" s="154" cm="1">
        <f t="array" ref="H9">IF($F9&gt;CDS.Tenor,"-",Interpolate(F9,Calibration.Times,Calibration.HazardRates))</f>
        <v>2.3442523763718567E-3</v>
      </c>
      <c r="I9" s="152">
        <f>IF($F9&gt;CDS.Tenor,"-",EXP(-H9*YearFraction)*I8)</f>
        <v>0.99774980570658678</v>
      </c>
      <c r="J9" s="152">
        <f>IF($F9&gt;CDS.Tenor,"-",I8-I9)</f>
        <v>5.8491572027974392E-4</v>
      </c>
      <c r="K9" s="135">
        <f>IF($F9&gt;CDS.Tenor,"-",EXP(-ZeroRate*F9))</f>
        <v>0.96291979789993165</v>
      </c>
      <c r="L9" s="165">
        <f>IF($F9&gt;CDS.Tenor,"-",G9*I9*K9)</f>
        <v>-24018.826031642064</v>
      </c>
      <c r="M9" s="165">
        <f>IF($F9&gt;CDS.Tenor,"-",0.5*G9*J9*K9)</f>
        <v>-7.0403365895032994</v>
      </c>
      <c r="N9" s="166">
        <f>IF($F9&gt;CDS.Tenor,"-",L9+M9)</f>
        <v>-24025.866368231567</v>
      </c>
      <c r="Q9" s="181">
        <f>Q8+YearFraction</f>
        <v>1.25</v>
      </c>
      <c r="R9" s="165">
        <f>IF($F9&gt;CDS.Tenor,"-",CDS.ProtectionSign*CDS.Notional*(1-CDS.RecoveryRate))</f>
        <v>6000000</v>
      </c>
      <c r="S9" s="154" cm="1">
        <f t="array" ref="S9">IF($F9&gt;CDS.Tenor,"-",Interpolate(Q9,Calibration.Times,Calibration.HazardRates))</f>
        <v>2.3442523763718567E-3</v>
      </c>
      <c r="T9" s="152">
        <f>IF($F9&gt;CDS.Tenor,"-",EXP(-S9*YearFraction)*T8)</f>
        <v>0.99774980570658678</v>
      </c>
      <c r="U9" s="152">
        <f>IF($F9&gt;CDS.Tenor,"-",T8-T9)</f>
        <v>5.8491572027974392E-4</v>
      </c>
      <c r="V9" s="135">
        <f>IF($F9&gt;CDS.Tenor,"-",EXP(-ZeroRate*Q9))</f>
        <v>0.96291979789993165</v>
      </c>
      <c r="W9" s="166">
        <f>IF($F9&gt;CDS.Tenor,"-",R9*U9*V9)</f>
        <v>3379.3615629615838</v>
      </c>
    </row>
    <row r="10" spans="2:24" x14ac:dyDescent="0.3">
      <c r="B10" s="123" t="s">
        <v>133</v>
      </c>
      <c r="C10" s="124"/>
      <c r="D10" s="175">
        <f>IF(D3="BUY",-1,1)</f>
        <v>-1</v>
      </c>
      <c r="F10" s="181">
        <f>F9+YearFraction</f>
        <v>1.5</v>
      </c>
      <c r="G10" s="165">
        <f>IF($F10&gt;CDS.Tenor,"-",CDS.PremiumSign*CDS.Notional*CDS.YearFraction*CDS.CreditSpread)</f>
        <v>-25000</v>
      </c>
      <c r="H10" s="154" cm="1">
        <f t="array" ref="H10">IF($F10&gt;CDS.Tenor,"-",Interpolate(F10,Calibration.Times,Calibration.HazardRates))</f>
        <v>2.3442523763718567E-3</v>
      </c>
      <c r="I10" s="152">
        <f>IF($F10&gt;CDS.Tenor,"-",EXP(-H10*YearFraction)*I9)</f>
        <v>0.99716523268339308</v>
      </c>
      <c r="J10" s="152">
        <f>IF($F10&gt;CDS.Tenor,"-",I9-I10)</f>
        <v>5.8457302319370186E-4</v>
      </c>
      <c r="K10" s="135">
        <f>IF($F10&gt;CDS.Tenor,"-",EXP(-ZeroRate*F10))</f>
        <v>0.95567040970737449</v>
      </c>
      <c r="L10" s="165">
        <f>IF($F10&gt;CDS.Tenor,"-",G10*I10*K10)</f>
        <v>-23824.032661612193</v>
      </c>
      <c r="M10" s="165">
        <f>IF($F10&gt;CDS.Tenor,"-",0.5*G10*J10*K10)</f>
        <v>-6.9832392572425448</v>
      </c>
      <c r="N10" s="166">
        <f>IF($F10&gt;CDS.Tenor,"-",L10+M10)</f>
        <v>-23831.015900869435</v>
      </c>
      <c r="Q10" s="181">
        <f>Q9+YearFraction</f>
        <v>1.5</v>
      </c>
      <c r="R10" s="165">
        <f>IF($F10&gt;CDS.Tenor,"-",CDS.ProtectionSign*CDS.Notional*(1-CDS.RecoveryRate))</f>
        <v>6000000</v>
      </c>
      <c r="S10" s="154" cm="1">
        <f t="array" ref="S10">IF($F10&gt;CDS.Tenor,"-",Interpolate(Q10,Calibration.Times,Calibration.HazardRates))</f>
        <v>2.3442523763718567E-3</v>
      </c>
      <c r="T10" s="152">
        <f>IF($F10&gt;CDS.Tenor,"-",EXP(-S10*YearFraction)*T9)</f>
        <v>0.99716523268339308</v>
      </c>
      <c r="U10" s="152">
        <f>IF($F10&gt;CDS.Tenor,"-",T9-T10)</f>
        <v>5.8457302319370186E-4</v>
      </c>
      <c r="V10" s="135">
        <f>IF($F10&gt;CDS.Tenor,"-",EXP(-ZeroRate*Q10))</f>
        <v>0.95567040970737449</v>
      </c>
      <c r="W10" s="166">
        <f>IF($F10&gt;CDS.Tenor,"-",R10*U10*V10)</f>
        <v>3351.9548434764215</v>
      </c>
    </row>
    <row r="11" spans="2:24" x14ac:dyDescent="0.3">
      <c r="B11" s="125" t="s">
        <v>134</v>
      </c>
      <c r="C11" s="146"/>
      <c r="D11" s="176">
        <f>-D10</f>
        <v>1</v>
      </c>
      <c r="F11" s="181">
        <f>F10+YearFraction</f>
        <v>1.75</v>
      </c>
      <c r="G11" s="165">
        <f>IF($F11&gt;CDS.Tenor,"-",CDS.PremiumSign*CDS.Notional*CDS.YearFraction*CDS.CreditSpread)</f>
        <v>-25000</v>
      </c>
      <c r="H11" s="154" cm="1">
        <f t="array" ref="H11">IF($F11&gt;CDS.Tenor,"-",Interpolate(F11,Calibration.Times,Calibration.HazardRates))</f>
        <v>2.3442523763718567E-3</v>
      </c>
      <c r="I11" s="152">
        <f>IF($F11&gt;CDS.Tenor,"-",EXP(-H11*YearFraction)*I10)</f>
        <v>0.99658100215650203</v>
      </c>
      <c r="J11" s="152">
        <f>IF($F11&gt;CDS.Tenor,"-",I10-I11)</f>
        <v>5.8423052689104971E-4</v>
      </c>
      <c r="K11" s="135">
        <f>IF($F11&gt;CDS.Tenor,"-",EXP(-ZeroRate*F11))</f>
        <v>0.94847559888385768</v>
      </c>
      <c r="L11" s="165">
        <f>IF($F11&gt;CDS.Tenor,"-",G11*I11*K11)</f>
        <v>-23630.819071416583</v>
      </c>
      <c r="M11" s="165">
        <f>IF($F11&gt;CDS.Tenor,"-",0.5*G11*J11*K11)</f>
        <v>-6.9266049859902514</v>
      </c>
      <c r="N11" s="166">
        <f>IF($F11&gt;CDS.Tenor,"-",L11+M11)</f>
        <v>-23637.745676402574</v>
      </c>
      <c r="Q11" s="181">
        <f>Q10+YearFraction</f>
        <v>1.75</v>
      </c>
      <c r="R11" s="165">
        <f>IF($F11&gt;CDS.Tenor,"-",CDS.ProtectionSign*CDS.Notional*(1-CDS.RecoveryRate))</f>
        <v>6000000</v>
      </c>
      <c r="S11" s="154" cm="1">
        <f t="array" ref="S11">IF($F11&gt;CDS.Tenor,"-",Interpolate(Q11,Calibration.Times,Calibration.HazardRates))</f>
        <v>2.3442523763718567E-3</v>
      </c>
      <c r="T11" s="152">
        <f>IF($F11&gt;CDS.Tenor,"-",EXP(-S11*YearFraction)*T10)</f>
        <v>0.99658100215650203</v>
      </c>
      <c r="U11" s="152">
        <f>IF($F11&gt;CDS.Tenor,"-",T10-T11)</f>
        <v>5.8423052689104971E-4</v>
      </c>
      <c r="V11" s="135">
        <f>IF($F11&gt;CDS.Tenor,"-",EXP(-ZeroRate*Q11))</f>
        <v>0.94847559888385768</v>
      </c>
      <c r="W11" s="166">
        <f>IF($F11&gt;CDS.Tenor,"-",R11*U11*V11)</f>
        <v>3324.7703932753202</v>
      </c>
    </row>
    <row r="12" spans="2:24" x14ac:dyDescent="0.3">
      <c r="B12" s="125" t="s">
        <v>131</v>
      </c>
      <c r="C12" s="146"/>
      <c r="D12" s="177">
        <f>D5/10000</f>
        <v>0.01</v>
      </c>
      <c r="F12" s="181">
        <f>F11+YearFraction</f>
        <v>2</v>
      </c>
      <c r="G12" s="165">
        <f>IF($F12&gt;CDS.Tenor,"-",CDS.PremiumSign*CDS.Notional*CDS.YearFraction*CDS.CreditSpread)</f>
        <v>-25000</v>
      </c>
      <c r="H12" s="154" cm="1">
        <f t="array" ref="H12">IF($F12&gt;CDS.Tenor,"-",Interpolate(F12,Calibration.Times,Calibration.HazardRates))</f>
        <v>2.3442523763718567E-3</v>
      </c>
      <c r="I12" s="152">
        <f>IF($F12&gt;CDS.Tenor,"-",EXP(-H12*YearFraction)*I11)</f>
        <v>0.99599711392524803</v>
      </c>
      <c r="J12" s="152">
        <f>IF($F12&gt;CDS.Tenor,"-",I11-I12)</f>
        <v>5.8388823125399281E-4</v>
      </c>
      <c r="K12" s="135">
        <f>IF($F12&gt;CDS.Tenor,"-",EXP(-ZeroRate*F12))</f>
        <v>0.94133495454102345</v>
      </c>
      <c r="L12" s="165">
        <f>IF($F12&gt;CDS.Tenor,"-",G12*I12*K12)</f>
        <v>-23439.172448995345</v>
      </c>
      <c r="M12" s="165">
        <f>IF($F12&gt;CDS.Tenor,"-",0.5*G12*J12*K12)</f>
        <v>-6.8704300203064497</v>
      </c>
      <c r="N12" s="166">
        <f>IF($F12&gt;CDS.Tenor,"-",L12+M12)</f>
        <v>-23446.042879015651</v>
      </c>
      <c r="Q12" s="181">
        <f>Q11+YearFraction</f>
        <v>2</v>
      </c>
      <c r="R12" s="165">
        <f>IF($F12&gt;CDS.Tenor,"-",CDS.ProtectionSign*CDS.Notional*(1-CDS.RecoveryRate))</f>
        <v>6000000</v>
      </c>
      <c r="S12" s="154" cm="1">
        <f t="array" ref="S12">IF($F12&gt;CDS.Tenor,"-",Interpolate(Q12,Calibration.Times,Calibration.HazardRates))</f>
        <v>2.3442523763718567E-3</v>
      </c>
      <c r="T12" s="152">
        <f>IF($F12&gt;CDS.Tenor,"-",EXP(-S12*YearFraction)*T11)</f>
        <v>0.99599711392524803</v>
      </c>
      <c r="U12" s="152">
        <f>IF($F12&gt;CDS.Tenor,"-",T11-T12)</f>
        <v>5.8388823125399281E-4</v>
      </c>
      <c r="V12" s="135">
        <f>IF($F12&gt;CDS.Tenor,"-",EXP(-ZeroRate*Q12))</f>
        <v>0.94133495454102345</v>
      </c>
      <c r="W12" s="166">
        <f>IF($F12&gt;CDS.Tenor,"-",R12*U12*V12)</f>
        <v>3297.8064097470956</v>
      </c>
    </row>
    <row r="13" spans="2:24" x14ac:dyDescent="0.3">
      <c r="B13" s="121" t="s">
        <v>132</v>
      </c>
      <c r="C13" s="122"/>
      <c r="D13" s="178">
        <v>0.25</v>
      </c>
      <c r="F13" s="181">
        <f>F12+YearFraction</f>
        <v>2.25</v>
      </c>
      <c r="G13" s="165">
        <f>IF($F13&gt;CDS.Tenor,"-",CDS.PremiumSign*CDS.Notional*CDS.YearFraction*CDS.CreditSpread)</f>
        <v>-25000</v>
      </c>
      <c r="H13" s="154" cm="1">
        <f t="array" ref="H13">IF($F13&gt;CDS.Tenor,"-",Interpolate(F13,Calibration.Times,Calibration.HazardRates))</f>
        <v>3.5506598576896019E-3</v>
      </c>
      <c r="I13" s="152">
        <f>IF($F13&gt;CDS.Tenor,"-",EXP(-H13*YearFraction)*I12)</f>
        <v>0.99511339446397995</v>
      </c>
      <c r="J13" s="152">
        <f>IF($F13&gt;CDS.Tenor,"-",I12-I13)</f>
        <v>8.8371946126808432E-4</v>
      </c>
      <c r="K13" s="135">
        <f>IF($F13&gt;CDS.Tenor,"-",EXP(-ZeroRate*F13))</f>
        <v>0.93424806888390632</v>
      </c>
      <c r="L13" s="165">
        <f>IF($F13&gt;CDS.Tenor,"-",G13*I13*K13)</f>
        <v>-23242.069177462054</v>
      </c>
      <c r="M13" s="165">
        <f>IF($F13&gt;CDS.Tenor,"-",0.5*G13*J13*K13)</f>
        <v>-10.320165001560424</v>
      </c>
      <c r="N13" s="166">
        <f>IF($F13&gt;CDS.Tenor,"-",L13+M13)</f>
        <v>-23252.389342463615</v>
      </c>
      <c r="Q13" s="181">
        <f>Q12+YearFraction</f>
        <v>2.25</v>
      </c>
      <c r="R13" s="165">
        <f>IF($F13&gt;CDS.Tenor,"-",CDS.ProtectionSign*CDS.Notional*(1-CDS.RecoveryRate))</f>
        <v>6000000</v>
      </c>
      <c r="S13" s="154" cm="1">
        <f t="array" ref="S13">IF($F13&gt;CDS.Tenor,"-",Interpolate(Q13,Calibration.Times,Calibration.HazardRates))</f>
        <v>3.5506598576896019E-3</v>
      </c>
      <c r="T13" s="152">
        <f>IF($F13&gt;CDS.Tenor,"-",EXP(-S13*YearFraction)*T12)</f>
        <v>0.99511339446397995</v>
      </c>
      <c r="U13" s="152">
        <f>IF($F13&gt;CDS.Tenor,"-",T12-T13)</f>
        <v>8.8371946126808432E-4</v>
      </c>
      <c r="V13" s="135">
        <f>IF($F13&gt;CDS.Tenor,"-",EXP(-ZeroRate*Q13))</f>
        <v>0.93424806888390632</v>
      </c>
      <c r="W13" s="166">
        <f>IF($F13&gt;CDS.Tenor,"-",R13*U13*V13)</f>
        <v>4953.679200749003</v>
      </c>
    </row>
    <row r="14" spans="2:24" x14ac:dyDescent="0.3">
      <c r="F14" s="181">
        <f>F13+YearFraction</f>
        <v>2.5</v>
      </c>
      <c r="G14" s="165">
        <f>IF($F14&gt;CDS.Tenor,"-",CDS.PremiumSign*CDS.Notional*CDS.YearFraction*CDS.CreditSpread)</f>
        <v>-25000</v>
      </c>
      <c r="H14" s="154" cm="1">
        <f t="array" ref="H14">IF($F14&gt;CDS.Tenor,"-",Interpolate(F14,Calibration.Times,Calibration.HazardRates))</f>
        <v>3.5506598576896019E-3</v>
      </c>
      <c r="I14" s="152">
        <f>IF($F14&gt;CDS.Tenor,"-",EXP(-H14*YearFraction)*I13)</f>
        <v>0.99423045910145602</v>
      </c>
      <c r="J14" s="152">
        <f>IF($F14&gt;CDS.Tenor,"-",I13-I14)</f>
        <v>8.829353625239289E-4</v>
      </c>
      <c r="K14" s="135">
        <f>IF($F14&gt;CDS.Tenor,"-",EXP(-ZeroRate*F14))</f>
        <v>0.92721453718764535</v>
      </c>
      <c r="L14" s="165">
        <f>IF($F14&gt;CDS.Tenor,"-",G14*I14*K14)</f>
        <v>-23046.623374840419</v>
      </c>
      <c r="M14" s="165">
        <f>IF($F14&gt;CDS.Tenor,"-",0.5*G14*J14*K14)</f>
        <v>-10.233381294115384</v>
      </c>
      <c r="N14" s="166">
        <f>IF($F14&gt;CDS.Tenor,"-",L14+M14)</f>
        <v>-23056.856756134533</v>
      </c>
      <c r="Q14" s="181">
        <f>Q13+YearFraction</f>
        <v>2.5</v>
      </c>
      <c r="R14" s="165">
        <f>IF($F14&gt;CDS.Tenor,"-",CDS.ProtectionSign*CDS.Notional*(1-CDS.RecoveryRate))</f>
        <v>6000000</v>
      </c>
      <c r="S14" s="154" cm="1">
        <f t="array" ref="S14">IF($F14&gt;CDS.Tenor,"-",Interpolate(Q14,Calibration.Times,Calibration.HazardRates))</f>
        <v>3.5506598576896019E-3</v>
      </c>
      <c r="T14" s="152">
        <f>IF($F14&gt;CDS.Tenor,"-",EXP(-S14*YearFraction)*T13)</f>
        <v>0.99423045910145602</v>
      </c>
      <c r="U14" s="152">
        <f>IF($F14&gt;CDS.Tenor,"-",T13-T14)</f>
        <v>8.829353625239289E-4</v>
      </c>
      <c r="V14" s="135">
        <f>IF($F14&gt;CDS.Tenor,"-",EXP(-ZeroRate*Q14))</f>
        <v>0.92721453718764535</v>
      </c>
      <c r="W14" s="166">
        <f>IF($F14&gt;CDS.Tenor,"-",R14*U14*V14)</f>
        <v>4912.0230211753833</v>
      </c>
    </row>
    <row r="15" spans="2:24" x14ac:dyDescent="0.3">
      <c r="B15" s="1" t="s">
        <v>136</v>
      </c>
      <c r="F15" s="181">
        <f>F14+YearFraction</f>
        <v>2.75</v>
      </c>
      <c r="G15" s="165">
        <f>IF($F15&gt;CDS.Tenor,"-",CDS.PremiumSign*CDS.Notional*CDS.YearFraction*CDS.CreditSpread)</f>
        <v>-25000</v>
      </c>
      <c r="H15" s="154" cm="1">
        <f t="array" ref="H15">IF($F15&gt;CDS.Tenor,"-",Interpolate(F15,Calibration.Times,Calibration.HazardRates))</f>
        <v>3.5506598576896019E-3</v>
      </c>
      <c r="I15" s="152">
        <f>IF($F15&gt;CDS.Tenor,"-",EXP(-H15*YearFraction)*I14)</f>
        <v>0.99334830714196809</v>
      </c>
      <c r="J15" s="152">
        <f>IF($F15&gt;CDS.Tenor,"-",I14-I15)</f>
        <v>8.8215195948793124E-4</v>
      </c>
      <c r="K15" s="135">
        <f>IF($F15&gt;CDS.Tenor,"-",EXP(-ZeroRate*F15))</f>
        <v>0.92023395777436989</v>
      </c>
      <c r="L15" s="165">
        <f>IF($F15&gt;CDS.Tenor,"-",G15*I15*K15)</f>
        <v>-22852.821103243092</v>
      </c>
      <c r="M15" s="165">
        <f>IF($F15&gt;CDS.Tenor,"-",0.5*G15*J15*K15)</f>
        <v>-10.147327362974933</v>
      </c>
      <c r="N15" s="166">
        <f>IF($F15&gt;CDS.Tenor,"-",L15+M15)</f>
        <v>-22862.968430606066</v>
      </c>
      <c r="Q15" s="181">
        <f>Q14+YearFraction</f>
        <v>2.75</v>
      </c>
      <c r="R15" s="165">
        <f>IF($F15&gt;CDS.Tenor,"-",CDS.ProtectionSign*CDS.Notional*(1-CDS.RecoveryRate))</f>
        <v>6000000</v>
      </c>
      <c r="S15" s="154" cm="1">
        <f t="array" ref="S15">IF($F15&gt;CDS.Tenor,"-",Interpolate(Q15,Calibration.Times,Calibration.HazardRates))</f>
        <v>3.5506598576896019E-3</v>
      </c>
      <c r="T15" s="152">
        <f>IF($F15&gt;CDS.Tenor,"-",EXP(-S15*YearFraction)*T14)</f>
        <v>0.99334830714196809</v>
      </c>
      <c r="U15" s="152">
        <f>IF($F15&gt;CDS.Tenor,"-",T14-T15)</f>
        <v>8.8215195948793124E-4</v>
      </c>
      <c r="V15" s="135">
        <f>IF($F15&gt;CDS.Tenor,"-",EXP(-ZeroRate*Q15))</f>
        <v>0.92023395777436989</v>
      </c>
      <c r="W15" s="166">
        <f>IF($F15&gt;CDS.Tenor,"-",R15*U15*V15)</f>
        <v>4870.717134227968</v>
      </c>
    </row>
    <row r="16" spans="2:24" x14ac:dyDescent="0.3">
      <c r="B16" s="123" t="s">
        <v>137</v>
      </c>
      <c r="C16" s="189"/>
      <c r="D16" s="192">
        <f>SUM(D17:D18)</f>
        <v>-347458.00372642116</v>
      </c>
      <c r="F16" s="181">
        <f>F15+YearFraction</f>
        <v>3</v>
      </c>
      <c r="G16" s="165">
        <f>IF($F16&gt;CDS.Tenor,"-",CDS.PremiumSign*CDS.Notional*CDS.YearFraction*CDS.CreditSpread)</f>
        <v>-25000</v>
      </c>
      <c r="H16" s="154" cm="1">
        <f t="array" ref="H16">IF($F16&gt;CDS.Tenor,"-",Interpolate(F16,Calibration.Times,Calibration.HazardRates))</f>
        <v>3.5506598576896019E-3</v>
      </c>
      <c r="I16" s="152">
        <f>IF($F16&gt;CDS.Tenor,"-",EXP(-H16*YearFraction)*I15)</f>
        <v>0.99246693789042528</v>
      </c>
      <c r="J16" s="152">
        <f>IF($F16&gt;CDS.Tenor,"-",I15-I16)</f>
        <v>8.8136925154280732E-4</v>
      </c>
      <c r="K16" s="135">
        <f>IF($F16&gt;CDS.Tenor,"-",EXP(-ZeroRate*F16))</f>
        <v>0.913305931990261</v>
      </c>
      <c r="L16" s="165">
        <f>IF($F16&gt;CDS.Tenor,"-",G16*I16*K16)</f>
        <v>-22660.648541988383</v>
      </c>
      <c r="M16" s="165">
        <f>IF($F16&gt;CDS.Tenor,"-",0.5*G16*J16*K16)</f>
        <v>-10.06199707134828</v>
      </c>
      <c r="N16" s="166">
        <f>IF($F16&gt;CDS.Tenor,"-",L16+M16)</f>
        <v>-22670.710539059732</v>
      </c>
      <c r="Q16" s="181">
        <f>Q15+YearFraction</f>
        <v>3</v>
      </c>
      <c r="R16" s="165">
        <f>IF($F16&gt;CDS.Tenor,"-",CDS.ProtectionSign*CDS.Notional*(1-CDS.RecoveryRate))</f>
        <v>6000000</v>
      </c>
      <c r="S16" s="154" cm="1">
        <f t="array" ref="S16">IF($F16&gt;CDS.Tenor,"-",Interpolate(Q16,Calibration.Times,Calibration.HazardRates))</f>
        <v>3.5506598576896019E-3</v>
      </c>
      <c r="T16" s="152">
        <f>IF($F16&gt;CDS.Tenor,"-",EXP(-S16*YearFraction)*T15)</f>
        <v>0.99246693789042528</v>
      </c>
      <c r="U16" s="152">
        <f>IF($F16&gt;CDS.Tenor,"-",T15-T16)</f>
        <v>8.8136925154280732E-4</v>
      </c>
      <c r="V16" s="135">
        <f>IF($F16&gt;CDS.Tenor,"-",EXP(-ZeroRate*Q16))</f>
        <v>0.913305931990261</v>
      </c>
      <c r="W16" s="166">
        <f>IF($F16&gt;CDS.Tenor,"-",R16*U16*V16)</f>
        <v>4829.7585942471742</v>
      </c>
    </row>
    <row r="17" spans="2:23" x14ac:dyDescent="0.3">
      <c r="B17" s="125" t="s">
        <v>138</v>
      </c>
      <c r="C17" s="190"/>
      <c r="D17" s="185">
        <f>SUM($N$4:$N$44)</f>
        <v>-459175.37079088698</v>
      </c>
      <c r="F17" s="181">
        <f>F16+YearFraction</f>
        <v>3.25</v>
      </c>
      <c r="G17" s="165">
        <f>IF($F17&gt;CDS.Tenor,"-",CDS.PremiumSign*CDS.Notional*CDS.YearFraction*CDS.CreditSpread)</f>
        <v>-25000</v>
      </c>
      <c r="H17" s="154" cm="1">
        <f t="array" ref="H17">IF($F17&gt;CDS.Tenor,"-",Interpolate(F17,Calibration.Times,Calibration.HazardRates))</f>
        <v>3.9028100611921135E-3</v>
      </c>
      <c r="I17" s="152">
        <f>IF($F17&gt;CDS.Tenor,"-",EXP(-H17*YearFraction)*I16)</f>
        <v>0.99149905766114732</v>
      </c>
      <c r="J17" s="152">
        <f>IF($F17&gt;CDS.Tenor,"-",I16-I17)</f>
        <v>9.6788022927796202E-4</v>
      </c>
      <c r="K17" s="135">
        <f>IF($F17&gt;CDS.Tenor,"-",EXP(-ZeroRate*F17))</f>
        <v>0.90643006418278371</v>
      </c>
      <c r="L17" s="165">
        <f>IF($F17&gt;CDS.Tenor,"-",G17*I17*K17)</f>
        <v>-22468.113861824084</v>
      </c>
      <c r="M17" s="165">
        <f>IF($F17&gt;CDS.Tenor,"-",0.5*G17*J17*K17)</f>
        <v>-10.966446729320882</v>
      </c>
      <c r="N17" s="166">
        <f>IF($F17&gt;CDS.Tenor,"-",L17+M17)</f>
        <v>-22479.080308553406</v>
      </c>
      <c r="Q17" s="181">
        <f>Q16+YearFraction</f>
        <v>3.25</v>
      </c>
      <c r="R17" s="165">
        <f>IF($F17&gt;CDS.Tenor,"-",CDS.ProtectionSign*CDS.Notional*(1-CDS.RecoveryRate))</f>
        <v>6000000</v>
      </c>
      <c r="S17" s="154" cm="1">
        <f t="array" ref="S17">IF($F17&gt;CDS.Tenor,"-",Interpolate(Q17,Calibration.Times,Calibration.HazardRates))</f>
        <v>3.9028100611921135E-3</v>
      </c>
      <c r="T17" s="152">
        <f>IF($F17&gt;CDS.Tenor,"-",EXP(-S17*YearFraction)*T16)</f>
        <v>0.99149905766114732</v>
      </c>
      <c r="U17" s="152">
        <f>IF($F17&gt;CDS.Tenor,"-",T16-T17)</f>
        <v>9.6788022927796202E-4</v>
      </c>
      <c r="V17" s="135">
        <f>IF($F17&gt;CDS.Tenor,"-",EXP(-ZeroRate*Q17))</f>
        <v>0.90643006418278371</v>
      </c>
      <c r="W17" s="166">
        <f>IF($F17&gt;CDS.Tenor,"-",R17*U17*V17)</f>
        <v>5263.8944300740231</v>
      </c>
    </row>
    <row r="18" spans="2:23" x14ac:dyDescent="0.3">
      <c r="B18" s="125" t="s">
        <v>139</v>
      </c>
      <c r="C18" s="190"/>
      <c r="D18" s="185">
        <f>SUM($W$5:$W$44)</f>
        <v>111717.36706446584</v>
      </c>
      <c r="F18" s="181">
        <f>F17+YearFraction</f>
        <v>3.5</v>
      </c>
      <c r="G18" s="165">
        <f>IF($F18&gt;CDS.Tenor,"-",CDS.PremiumSign*CDS.Notional*CDS.YearFraction*CDS.CreditSpread)</f>
        <v>-25000</v>
      </c>
      <c r="H18" s="154" cm="1">
        <f t="array" ref="H18">IF($F18&gt;CDS.Tenor,"-",Interpolate(F18,Calibration.Times,Calibration.HazardRates))</f>
        <v>3.9028100611921135E-3</v>
      </c>
      <c r="I18" s="152">
        <f>IF($F18&gt;CDS.Tenor,"-",EXP(-H18*YearFraction)*I17)</f>
        <v>0.99053212133448465</v>
      </c>
      <c r="J18" s="152">
        <f>IF($F18&gt;CDS.Tenor,"-",I17-I18)</f>
        <v>9.6693632666267071E-4</v>
      </c>
      <c r="K18" s="135">
        <f>IF($F18&gt;CDS.Tenor,"-",EXP(-ZeroRate*F18))</f>
        <v>0.89960596167809259</v>
      </c>
      <c r="L18" s="165">
        <f>IF($F18&gt;CDS.Tenor,"-",G18*I18*K18)</f>
        <v>-22277.215039653755</v>
      </c>
      <c r="M18" s="165">
        <f>IF($F18&gt;CDS.Tenor,"-",0.5*G18*J18*K18)</f>
        <v>-10.873271050360676</v>
      </c>
      <c r="N18" s="166">
        <f>IF($F18&gt;CDS.Tenor,"-",L18+M18)</f>
        <v>-22288.088310704115</v>
      </c>
      <c r="Q18" s="181">
        <f>Q17+YearFraction</f>
        <v>3.5</v>
      </c>
      <c r="R18" s="165">
        <f>IF($F18&gt;CDS.Tenor,"-",CDS.ProtectionSign*CDS.Notional*(1-CDS.RecoveryRate))</f>
        <v>6000000</v>
      </c>
      <c r="S18" s="154" cm="1">
        <f t="array" ref="S18">IF($F18&gt;CDS.Tenor,"-",Interpolate(Q18,Calibration.Times,Calibration.HazardRates))</f>
        <v>3.9028100611921135E-3</v>
      </c>
      <c r="T18" s="152">
        <f>IF($F18&gt;CDS.Tenor,"-",EXP(-S18*YearFraction)*T17)</f>
        <v>0.99053212133448465</v>
      </c>
      <c r="U18" s="152">
        <f>IF($F18&gt;CDS.Tenor,"-",T17-T18)</f>
        <v>9.6693632666267071E-4</v>
      </c>
      <c r="V18" s="135">
        <f>IF($F18&gt;CDS.Tenor,"-",EXP(-ZeroRate*Q18))</f>
        <v>0.89960596167809259</v>
      </c>
      <c r="W18" s="166">
        <f>IF($F18&gt;CDS.Tenor,"-",R18*U18*V18)</f>
        <v>5219.1701041731249</v>
      </c>
    </row>
    <row r="19" spans="2:23" x14ac:dyDescent="0.3">
      <c r="B19" s="125" t="s">
        <v>58</v>
      </c>
      <c r="C19" s="190"/>
      <c r="D19" s="186">
        <f>ABS(CDS.PremiumLegPV/CDS.CreditSpread)</f>
        <v>45917537.079088695</v>
      </c>
      <c r="F19" s="181">
        <f>F18+YearFraction</f>
        <v>3.75</v>
      </c>
      <c r="G19" s="165">
        <f>IF($F19&gt;CDS.Tenor,"-",CDS.PremiumSign*CDS.Notional*CDS.YearFraction*CDS.CreditSpread)</f>
        <v>-25000</v>
      </c>
      <c r="H19" s="154" cm="1">
        <f t="array" ref="H19">IF($F19&gt;CDS.Tenor,"-",Interpolate(F19,Calibration.Times,Calibration.HazardRates))</f>
        <v>3.9028100611921135E-3</v>
      </c>
      <c r="I19" s="152">
        <f>IF($F19&gt;CDS.Tenor,"-",EXP(-H19*YearFraction)*I18)</f>
        <v>0.98956612798991817</v>
      </c>
      <c r="J19" s="152">
        <f>IF($F19&gt;CDS.Tenor,"-",I18-I19)</f>
        <v>9.6599334456648478E-4</v>
      </c>
      <c r="K19" s="135">
        <f>IF($F19&gt;CDS.Tenor,"-",EXP(-ZeroRate*F19))</f>
        <v>0.8928332347586061</v>
      </c>
      <c r="L19" s="165">
        <f>IF($F19&gt;CDS.Tenor,"-",G19*I19*K19)</f>
        <v>-22087.938176519685</v>
      </c>
      <c r="M19" s="165">
        <f>IF($F19&gt;CDS.Tenor,"-",0.5*G19*J19*K19)</f>
        <v>-10.780887032307243</v>
      </c>
      <c r="N19" s="166">
        <f>IF($F19&gt;CDS.Tenor,"-",L19+M19)</f>
        <v>-22098.719063551991</v>
      </c>
      <c r="Q19" s="181">
        <f>Q18+YearFraction</f>
        <v>3.75</v>
      </c>
      <c r="R19" s="165">
        <f>IF($F19&gt;CDS.Tenor,"-",CDS.ProtectionSign*CDS.Notional*(1-CDS.RecoveryRate))</f>
        <v>6000000</v>
      </c>
      <c r="S19" s="154" cm="1">
        <f t="array" ref="S19">IF($F19&gt;CDS.Tenor,"-",Interpolate(Q19,Calibration.Times,Calibration.HazardRates))</f>
        <v>3.9028100611921135E-3</v>
      </c>
      <c r="T19" s="152">
        <f>IF($F19&gt;CDS.Tenor,"-",EXP(-S19*YearFraction)*T18)</f>
        <v>0.98956612798991817</v>
      </c>
      <c r="U19" s="152">
        <f>IF($F19&gt;CDS.Tenor,"-",T18-T19)</f>
        <v>9.6599334456648478E-4</v>
      </c>
      <c r="V19" s="135">
        <f>IF($F19&gt;CDS.Tenor,"-",EXP(-ZeroRate*Q19))</f>
        <v>0.8928332347586061</v>
      </c>
      <c r="W19" s="166">
        <f>IF($F19&gt;CDS.Tenor,"-",R19*U19*V19)</f>
        <v>5174.8257755074765</v>
      </c>
    </row>
    <row r="20" spans="2:23" x14ac:dyDescent="0.3">
      <c r="B20" s="125" t="s">
        <v>140</v>
      </c>
      <c r="C20" s="190"/>
      <c r="D20" s="187">
        <f>D19*0.01%</f>
        <v>4591.7537079088697</v>
      </c>
      <c r="F20" s="181">
        <f>F19+YearFraction</f>
        <v>4</v>
      </c>
      <c r="G20" s="165">
        <f>IF($F20&gt;CDS.Tenor,"-",CDS.PremiumSign*CDS.Notional*CDS.YearFraction*CDS.CreditSpread)</f>
        <v>-25000</v>
      </c>
      <c r="H20" s="154" cm="1">
        <f t="array" ref="H20">IF($F20&gt;CDS.Tenor,"-",Interpolate(F20,Calibration.Times,Calibration.HazardRates))</f>
        <v>3.9028100611921135E-3</v>
      </c>
      <c r="I20" s="152">
        <f>IF($F20&gt;CDS.Tenor,"-",EXP(-H20*YearFraction)*I19)</f>
        <v>0.98860107670782671</v>
      </c>
      <c r="J20" s="152">
        <f>IF($F20&gt;CDS.Tenor,"-",I19-I20)</f>
        <v>9.6505128209145585E-4</v>
      </c>
      <c r="K20" s="135">
        <f>IF($F20&gt;CDS.Tenor,"-",EXP(-ZeroRate*F20))</f>
        <v>0.88611149664075062</v>
      </c>
      <c r="L20" s="165">
        <f>IF($F20&gt;CDS.Tenor,"-",G20*I20*K20)</f>
        <v>-21900.269491555748</v>
      </c>
      <c r="M20" s="165">
        <f>IF($F20&gt;CDS.Tenor,"-",0.5*G20*J20*K20)</f>
        <v>-10.689287948864189</v>
      </c>
      <c r="N20" s="166">
        <f>IF($F20&gt;CDS.Tenor,"-",L20+M20)</f>
        <v>-21910.958779504614</v>
      </c>
      <c r="Q20" s="181">
        <f>Q19+YearFraction</f>
        <v>4</v>
      </c>
      <c r="R20" s="165">
        <f>IF($F20&gt;CDS.Tenor,"-",CDS.ProtectionSign*CDS.Notional*(1-CDS.RecoveryRate))</f>
        <v>6000000</v>
      </c>
      <c r="S20" s="154" cm="1">
        <f t="array" ref="S20">IF($F20&gt;CDS.Tenor,"-",Interpolate(Q20,Calibration.Times,Calibration.HazardRates))</f>
        <v>3.9028100611921135E-3</v>
      </c>
      <c r="T20" s="152">
        <f>IF($F20&gt;CDS.Tenor,"-",EXP(-S20*YearFraction)*T19)</f>
        <v>0.98860107670782671</v>
      </c>
      <c r="U20" s="152">
        <f>IF($F20&gt;CDS.Tenor,"-",T19-T20)</f>
        <v>9.6505128209145585E-4</v>
      </c>
      <c r="V20" s="135">
        <f>IF($F20&gt;CDS.Tenor,"-",EXP(-ZeroRate*Q20))</f>
        <v>0.88611149664075062</v>
      </c>
      <c r="W20" s="166">
        <f>IF($F20&gt;CDS.Tenor,"-",R20*U20*V20)</f>
        <v>5130.8582154548103</v>
      </c>
    </row>
    <row r="21" spans="2:23" x14ac:dyDescent="0.3">
      <c r="B21" s="125" t="s">
        <v>124</v>
      </c>
      <c r="C21" s="190"/>
      <c r="D21" s="188">
        <f>D18/D19</f>
        <v>2.4329999858669041E-3</v>
      </c>
      <c r="F21" s="181">
        <f>F20+YearFraction</f>
        <v>4.25</v>
      </c>
      <c r="G21" s="165">
        <f>IF($F21&gt;CDS.Tenor,"-",CDS.PremiumSign*CDS.Notional*CDS.YearFraction*CDS.CreditSpread)</f>
        <v>-25000</v>
      </c>
      <c r="H21" s="154" cm="1">
        <f t="array" ref="H21">IF($F21&gt;CDS.Tenor,"-",Interpolate(F21,Calibration.Times,Calibration.HazardRates))</f>
        <v>9.3893344838053699E-3</v>
      </c>
      <c r="I21" s="152">
        <f>IF($F21&gt;CDS.Tenor,"-",EXP(-H21*YearFraction)*I20)</f>
        <v>0.98628322161663062</v>
      </c>
      <c r="J21" s="152">
        <f>IF($F21&gt;CDS.Tenor,"-",I20-I21)</f>
        <v>2.317855091196086E-3</v>
      </c>
      <c r="K21" s="135">
        <f>IF($F21&gt;CDS.Tenor,"-",EXP(-ZeroRate*F21))</f>
        <v>0.8794403634528708</v>
      </c>
      <c r="L21" s="165">
        <f>IF($F21&gt;CDS.Tenor,"-",G21*I21*K21)</f>
        <v>-21684.431872149948</v>
      </c>
      <c r="M21" s="165">
        <f>IF($F21&gt;CDS.Tenor,"-",0.5*G21*J21*K21)</f>
        <v>-25.480191547907161</v>
      </c>
      <c r="N21" s="166">
        <f>IF($F21&gt;CDS.Tenor,"-",L21+M21)</f>
        <v>-21709.912063697855</v>
      </c>
      <c r="Q21" s="181">
        <f>Q20+YearFraction</f>
        <v>4.25</v>
      </c>
      <c r="R21" s="165">
        <f>IF($F21&gt;CDS.Tenor,"-",CDS.ProtectionSign*CDS.Notional*(1-CDS.RecoveryRate))</f>
        <v>6000000</v>
      </c>
      <c r="S21" s="154" cm="1">
        <f t="array" ref="S21">IF($F21&gt;CDS.Tenor,"-",Interpolate(Q21,Calibration.Times,Calibration.HazardRates))</f>
        <v>9.3893344838053699E-3</v>
      </c>
      <c r="T21" s="152">
        <f>IF($F21&gt;CDS.Tenor,"-",EXP(-S21*YearFraction)*T20)</f>
        <v>0.98628322161663062</v>
      </c>
      <c r="U21" s="152">
        <f>IF($F21&gt;CDS.Tenor,"-",T20-T21)</f>
        <v>2.317855091196086E-3</v>
      </c>
      <c r="V21" s="135">
        <f>IF($F21&gt;CDS.Tenor,"-",EXP(-ZeroRate*Q21))</f>
        <v>0.8794403634528708</v>
      </c>
      <c r="W21" s="166">
        <f>IF($F21&gt;CDS.Tenor,"-",R21*U21*V21)</f>
        <v>12230.491942995437</v>
      </c>
    </row>
    <row r="22" spans="2:23" x14ac:dyDescent="0.3">
      <c r="B22" s="121" t="s">
        <v>77</v>
      </c>
      <c r="C22" s="191"/>
      <c r="D22" s="196">
        <f>D21*10000</f>
        <v>24.329999858669041</v>
      </c>
      <c r="F22" s="181">
        <f>F21+YearFraction</f>
        <v>4.5</v>
      </c>
      <c r="G22" s="165">
        <f>IF($F22&gt;CDS.Tenor,"-",CDS.PremiumSign*CDS.Notional*CDS.YearFraction*CDS.CreditSpread)</f>
        <v>-25000</v>
      </c>
      <c r="H22" s="154" cm="1">
        <f t="array" ref="H22">IF($F22&gt;CDS.Tenor,"-",Interpolate(F22,Calibration.Times,Calibration.HazardRates))</f>
        <v>9.3893344838053699E-3</v>
      </c>
      <c r="I22" s="152">
        <f>IF($F22&gt;CDS.Tenor,"-",EXP(-H22*YearFraction)*I21)</f>
        <v>0.98397080092395017</v>
      </c>
      <c r="J22" s="152">
        <f>IF($F22&gt;CDS.Tenor,"-",I21-I22)</f>
        <v>2.3124206926804503E-3</v>
      </c>
      <c r="K22" s="135">
        <f>IF($F22&gt;CDS.Tenor,"-",EXP(-ZeroRate*F22))</f>
        <v>0.8728194542133082</v>
      </c>
      <c r="L22" s="165">
        <f>IF($F22&gt;CDS.Tenor,"-",G22*I22*K22)</f>
        <v>-21470.721435606847</v>
      </c>
      <c r="M22" s="165">
        <f>IF($F22&gt;CDS.Tenor,"-",0.5*G22*J22*K22)</f>
        <v>-25.229072086211382</v>
      </c>
      <c r="N22" s="166">
        <f>IF($F22&gt;CDS.Tenor,"-",L22+M22)</f>
        <v>-21495.950507693058</v>
      </c>
      <c r="Q22" s="181">
        <f>Q21+YearFraction</f>
        <v>4.5</v>
      </c>
      <c r="R22" s="165">
        <f>IF($F22&gt;CDS.Tenor,"-",CDS.ProtectionSign*CDS.Notional*(1-CDS.RecoveryRate))</f>
        <v>6000000</v>
      </c>
      <c r="S22" s="154" cm="1">
        <f t="array" ref="S22">IF($F22&gt;CDS.Tenor,"-",Interpolate(Q22,Calibration.Times,Calibration.HazardRates))</f>
        <v>9.3893344838053699E-3</v>
      </c>
      <c r="T22" s="152">
        <f>IF($F22&gt;CDS.Tenor,"-",EXP(-S22*YearFraction)*T21)</f>
        <v>0.98397080092395017</v>
      </c>
      <c r="U22" s="152">
        <f>IF($F22&gt;CDS.Tenor,"-",T21-T22)</f>
        <v>2.3124206926804503E-3</v>
      </c>
      <c r="V22" s="135">
        <f>IF($F22&gt;CDS.Tenor,"-",EXP(-ZeroRate*Q22))</f>
        <v>0.8728194542133082</v>
      </c>
      <c r="W22" s="166">
        <f>IF($F22&gt;CDS.Tenor,"-",R22*U22*V22)</f>
        <v>12109.954601381463</v>
      </c>
    </row>
    <row r="23" spans="2:23" x14ac:dyDescent="0.3">
      <c r="F23" s="181">
        <f>F22+YearFraction</f>
        <v>4.75</v>
      </c>
      <c r="G23" s="165">
        <f>IF($F23&gt;CDS.Tenor,"-",CDS.PremiumSign*CDS.Notional*CDS.YearFraction*CDS.CreditSpread)</f>
        <v>-25000</v>
      </c>
      <c r="H23" s="154" cm="1">
        <f t="array" ref="H23">IF($F23&gt;CDS.Tenor,"-",Interpolate(F23,Calibration.Times,Calibration.HazardRates))</f>
        <v>9.3893344838053699E-3</v>
      </c>
      <c r="I23" s="152">
        <f>IF($F23&gt;CDS.Tenor,"-",EXP(-H23*YearFraction)*I22)</f>
        <v>0.98166380188839897</v>
      </c>
      <c r="J23" s="152">
        <f>IF($F23&gt;CDS.Tenor,"-",I22-I23)</f>
        <v>2.3069990355512049E-3</v>
      </c>
      <c r="K23" s="135">
        <f>IF($F23&gt;CDS.Tenor,"-",EXP(-ZeroRate*F23))</f>
        <v>0.86624839080864258</v>
      </c>
      <c r="L23" s="165">
        <f>IF($F23&gt;CDS.Tenor,"-",G23*I23*K23)</f>
        <v>-21259.117217522995</v>
      </c>
      <c r="M23" s="165">
        <f>IF($F23&gt;CDS.Tenor,"-",0.5*G23*J23*K23)</f>
        <v>-24.980427526791523</v>
      </c>
      <c r="N23" s="166">
        <f>IF($F23&gt;CDS.Tenor,"-",L23+M23)</f>
        <v>-21284.097645049787</v>
      </c>
      <c r="Q23" s="181">
        <f>Q22+YearFraction</f>
        <v>4.75</v>
      </c>
      <c r="R23" s="165">
        <f>IF($F23&gt;CDS.Tenor,"-",CDS.ProtectionSign*CDS.Notional*(1-CDS.RecoveryRate))</f>
        <v>6000000</v>
      </c>
      <c r="S23" s="154" cm="1">
        <f t="array" ref="S23">IF($F23&gt;CDS.Tenor,"-",Interpolate(Q23,Calibration.Times,Calibration.HazardRates))</f>
        <v>9.3893344838053699E-3</v>
      </c>
      <c r="T23" s="152">
        <f>IF($F23&gt;CDS.Tenor,"-",EXP(-S23*YearFraction)*T22)</f>
        <v>0.98166380188839897</v>
      </c>
      <c r="U23" s="152">
        <f>IF($F23&gt;CDS.Tenor,"-",T22-T23)</f>
        <v>2.3069990355512049E-3</v>
      </c>
      <c r="V23" s="135">
        <f>IF($F23&gt;CDS.Tenor,"-",EXP(-ZeroRate*Q23))</f>
        <v>0.86624839080864258</v>
      </c>
      <c r="W23" s="166">
        <f>IF($F23&gt;CDS.Tenor,"-",R23*U23*V23)</f>
        <v>11990.605212859929</v>
      </c>
    </row>
    <row r="24" spans="2:23" x14ac:dyDescent="0.3">
      <c r="F24" s="181">
        <f>F23+YearFraction</f>
        <v>5</v>
      </c>
      <c r="G24" s="165">
        <f>IF($F24&gt;CDS.Tenor,"-",CDS.PremiumSign*CDS.Notional*CDS.YearFraction*CDS.CreditSpread)</f>
        <v>-25000</v>
      </c>
      <c r="H24" s="154" cm="1">
        <f t="array" ref="H24">IF($F24&gt;CDS.Tenor,"-",Interpolate(F24,Calibration.Times,Calibration.HazardRates))</f>
        <v>9.3893344838053699E-3</v>
      </c>
      <c r="I24" s="152">
        <f>IF($F24&gt;CDS.Tenor,"-",EXP(-H24*YearFraction)*I23)</f>
        <v>0.97936221179846383</v>
      </c>
      <c r="J24" s="152">
        <f>IF($F24&gt;CDS.Tenor,"-",I23-I24)</f>
        <v>2.3015900899351349E-3</v>
      </c>
      <c r="K24" s="135">
        <f>IF($F24&gt;CDS.Tenor,"-",EXP(-ZeroRate*F24))</f>
        <v>0.85972679797209928</v>
      </c>
      <c r="L24" s="165">
        <f>IF($F24&gt;CDS.Tenor,"-",G24*I24*K24)</f>
        <v>-21049.598460109155</v>
      </c>
      <c r="M24" s="165">
        <f>IF($F24&gt;CDS.Tenor,"-",0.5*G24*J24*K24)</f>
        <v>-24.734233478303118</v>
      </c>
      <c r="N24" s="166">
        <f>IF($F24&gt;CDS.Tenor,"-",L24+M24)</f>
        <v>-21074.332693587457</v>
      </c>
      <c r="Q24" s="181">
        <f>Q23+YearFraction</f>
        <v>5</v>
      </c>
      <c r="R24" s="165">
        <f>IF($F24&gt;CDS.Tenor,"-",CDS.ProtectionSign*CDS.Notional*(1-CDS.RecoveryRate))</f>
        <v>6000000</v>
      </c>
      <c r="S24" s="154" cm="1">
        <f t="array" ref="S24">IF($F24&gt;CDS.Tenor,"-",Interpolate(Q24,Calibration.Times,Calibration.HazardRates))</f>
        <v>9.3893344838053699E-3</v>
      </c>
      <c r="T24" s="152">
        <f>IF($F24&gt;CDS.Tenor,"-",EXP(-S24*YearFraction)*T23)</f>
        <v>0.97936221179846383</v>
      </c>
      <c r="U24" s="152">
        <f>IF($F24&gt;CDS.Tenor,"-",T23-T24)</f>
        <v>2.3015900899351349E-3</v>
      </c>
      <c r="V24" s="135">
        <f>IF($F24&gt;CDS.Tenor,"-",EXP(-ZeroRate*Q24))</f>
        <v>0.85972679797209928</v>
      </c>
      <c r="W24" s="166">
        <f>IF($F24&gt;CDS.Tenor,"-",R24*U24*V24)</f>
        <v>11872.432069585497</v>
      </c>
    </row>
    <row r="25" spans="2:23" x14ac:dyDescent="0.3">
      <c r="F25" s="181">
        <f>F24+YearFraction</f>
        <v>5.25</v>
      </c>
      <c r="G25" s="165" t="str">
        <f>IF($F25&gt;CDS.Tenor,"-",CDS.PremiumSign*CDS.Notional*CDS.YearFraction*CDS.CreditSpread)</f>
        <v>-</v>
      </c>
      <c r="H25" s="154" t="str" cm="1">
        <f t="array" ref="H25">IF($F25&gt;CDS.Tenor,"-",Interpolate(F25,Calibration.Times,Calibration.HazardRates))</f>
        <v>-</v>
      </c>
      <c r="I25" s="152" t="str">
        <f>IF($F25&gt;CDS.Tenor,"-",EXP(-H25*YearFraction)*I24)</f>
        <v>-</v>
      </c>
      <c r="J25" s="152" t="str">
        <f>IF($F25&gt;CDS.Tenor,"-",I24-I25)</f>
        <v>-</v>
      </c>
      <c r="K25" s="135" t="str">
        <f>IF($F25&gt;CDS.Tenor,"-",EXP(-ZeroRate*F25))</f>
        <v>-</v>
      </c>
      <c r="L25" s="165" t="str">
        <f>IF($F25&gt;CDS.Tenor,"-",G25*I25*K25)</f>
        <v>-</v>
      </c>
      <c r="M25" s="165" t="str">
        <f>IF($F25&gt;CDS.Tenor,"-",0.5*G25*J25*K25)</f>
        <v>-</v>
      </c>
      <c r="N25" s="166" t="str">
        <f>IF($F25&gt;CDS.Tenor,"-",L25+M25)</f>
        <v>-</v>
      </c>
      <c r="Q25" s="181">
        <f>Q24+YearFraction</f>
        <v>5.25</v>
      </c>
      <c r="R25" s="165" t="str">
        <f>IF($F25&gt;CDS.Tenor,"-",CDS.ProtectionSign*CDS.Notional*(1-CDS.RecoveryRate))</f>
        <v>-</v>
      </c>
      <c r="S25" s="154" t="str" cm="1">
        <f t="array" ref="S25">IF($F25&gt;CDS.Tenor,"-",Interpolate(Q25,Calibration.Times,Calibration.HazardRates))</f>
        <v>-</v>
      </c>
      <c r="T25" s="152" t="str">
        <f>IF($F25&gt;CDS.Tenor,"-",EXP(-S25*YearFraction)*T24)</f>
        <v>-</v>
      </c>
      <c r="U25" s="152" t="str">
        <f>IF($F25&gt;CDS.Tenor,"-",T24-T25)</f>
        <v>-</v>
      </c>
      <c r="V25" s="135" t="str">
        <f>IF($F25&gt;CDS.Tenor,"-",EXP(-ZeroRate*Q25))</f>
        <v>-</v>
      </c>
      <c r="W25" s="166" t="str">
        <f>IF($F25&gt;CDS.Tenor,"-",R25*U25*V25)</f>
        <v>-</v>
      </c>
    </row>
    <row r="26" spans="2:23" x14ac:dyDescent="0.3">
      <c r="D26" s="19"/>
      <c r="F26" s="181">
        <f>F25+YearFraction</f>
        <v>5.5</v>
      </c>
      <c r="G26" s="165" t="str">
        <f>IF($F26&gt;CDS.Tenor,"-",CDS.PremiumSign*CDS.Notional*CDS.YearFraction*CDS.CreditSpread)</f>
        <v>-</v>
      </c>
      <c r="H26" s="154" t="str" cm="1">
        <f t="array" ref="H26">IF($F26&gt;CDS.Tenor,"-",Interpolate(F26,Calibration.Times,Calibration.HazardRates))</f>
        <v>-</v>
      </c>
      <c r="I26" s="152" t="str">
        <f>IF($F26&gt;CDS.Tenor,"-",EXP(-H26*YearFraction)*I25)</f>
        <v>-</v>
      </c>
      <c r="J26" s="152" t="str">
        <f>IF($F26&gt;CDS.Tenor,"-",I25-I26)</f>
        <v>-</v>
      </c>
      <c r="K26" s="135" t="str">
        <f>IF($F26&gt;CDS.Tenor,"-",EXP(-ZeroRate*F26))</f>
        <v>-</v>
      </c>
      <c r="L26" s="165" t="str">
        <f>IF($F26&gt;CDS.Tenor,"-",G26*I26*K26)</f>
        <v>-</v>
      </c>
      <c r="M26" s="165" t="str">
        <f>IF($F26&gt;CDS.Tenor,"-",0.5*G26*J26*K26)</f>
        <v>-</v>
      </c>
      <c r="N26" s="166" t="str">
        <f>IF($F26&gt;CDS.Tenor,"-",L26+M26)</f>
        <v>-</v>
      </c>
      <c r="Q26" s="181">
        <f>Q25+YearFraction</f>
        <v>5.5</v>
      </c>
      <c r="R26" s="165" t="str">
        <f>IF($F26&gt;CDS.Tenor,"-",CDS.ProtectionSign*CDS.Notional*(1-CDS.RecoveryRate))</f>
        <v>-</v>
      </c>
      <c r="S26" s="154" t="str" cm="1">
        <f t="array" ref="S26">IF($F26&gt;CDS.Tenor,"-",Interpolate(Q26,Calibration.Times,Calibration.HazardRates))</f>
        <v>-</v>
      </c>
      <c r="T26" s="152" t="str">
        <f>IF($F26&gt;CDS.Tenor,"-",EXP(-S26*YearFraction)*T25)</f>
        <v>-</v>
      </c>
      <c r="U26" s="152" t="str">
        <f>IF($F26&gt;CDS.Tenor,"-",T25-T26)</f>
        <v>-</v>
      </c>
      <c r="V26" s="135" t="str">
        <f>IF($F26&gt;CDS.Tenor,"-",EXP(-ZeroRate*Q26))</f>
        <v>-</v>
      </c>
      <c r="W26" s="166" t="str">
        <f>IF($F26&gt;CDS.Tenor,"-",R26*U26*V26)</f>
        <v>-</v>
      </c>
    </row>
    <row r="27" spans="2:23" x14ac:dyDescent="0.3">
      <c r="D27" s="144"/>
      <c r="F27" s="181">
        <f>F26+YearFraction</f>
        <v>5.75</v>
      </c>
      <c r="G27" s="165" t="str">
        <f>IF($F27&gt;CDS.Tenor,"-",CDS.PremiumSign*CDS.Notional*CDS.YearFraction*CDS.CreditSpread)</f>
        <v>-</v>
      </c>
      <c r="H27" s="154" t="str" cm="1">
        <f t="array" ref="H27">IF($F27&gt;CDS.Tenor,"-",Interpolate(F27,Calibration.Times,Calibration.HazardRates))</f>
        <v>-</v>
      </c>
      <c r="I27" s="152" t="str">
        <f>IF($F27&gt;CDS.Tenor,"-",EXP(-H27*YearFraction)*I26)</f>
        <v>-</v>
      </c>
      <c r="J27" s="152" t="str">
        <f>IF($F27&gt;CDS.Tenor,"-",I26-I27)</f>
        <v>-</v>
      </c>
      <c r="K27" s="135" t="str">
        <f>IF($F27&gt;CDS.Tenor,"-",EXP(-ZeroRate*F27))</f>
        <v>-</v>
      </c>
      <c r="L27" s="165" t="str">
        <f>IF($F27&gt;CDS.Tenor,"-",G27*I27*K27)</f>
        <v>-</v>
      </c>
      <c r="M27" s="165" t="str">
        <f>IF($F27&gt;CDS.Tenor,"-",0.5*G27*J27*K27)</f>
        <v>-</v>
      </c>
      <c r="N27" s="166" t="str">
        <f>IF($F27&gt;CDS.Tenor,"-",L27+M27)</f>
        <v>-</v>
      </c>
      <c r="Q27" s="181">
        <f>Q26+YearFraction</f>
        <v>5.75</v>
      </c>
      <c r="R27" s="165" t="str">
        <f>IF($F27&gt;CDS.Tenor,"-",CDS.ProtectionSign*CDS.Notional*(1-CDS.RecoveryRate))</f>
        <v>-</v>
      </c>
      <c r="S27" s="154" t="str" cm="1">
        <f t="array" ref="S27">IF($F27&gt;CDS.Tenor,"-",Interpolate(Q27,Calibration.Times,Calibration.HazardRates))</f>
        <v>-</v>
      </c>
      <c r="T27" s="152" t="str">
        <f>IF($F27&gt;CDS.Tenor,"-",EXP(-S27*YearFraction)*T26)</f>
        <v>-</v>
      </c>
      <c r="U27" s="152" t="str">
        <f>IF($F27&gt;CDS.Tenor,"-",T26-T27)</f>
        <v>-</v>
      </c>
      <c r="V27" s="135" t="str">
        <f>IF($F27&gt;CDS.Tenor,"-",EXP(-ZeroRate*Q27))</f>
        <v>-</v>
      </c>
      <c r="W27" s="166" t="str">
        <f>IF($F27&gt;CDS.Tenor,"-",R27*U27*V27)</f>
        <v>-</v>
      </c>
    </row>
    <row r="28" spans="2:23" x14ac:dyDescent="0.3">
      <c r="F28" s="181">
        <f>F27+YearFraction</f>
        <v>6</v>
      </c>
      <c r="G28" s="165" t="str">
        <f>IF($F28&gt;CDS.Tenor,"-",CDS.PremiumSign*CDS.Notional*CDS.YearFraction*CDS.CreditSpread)</f>
        <v>-</v>
      </c>
      <c r="H28" s="154" t="str" cm="1">
        <f t="array" ref="H28">IF($F28&gt;CDS.Tenor,"-",Interpolate(F28,Calibration.Times,Calibration.HazardRates))</f>
        <v>-</v>
      </c>
      <c r="I28" s="152" t="str">
        <f>IF($F28&gt;CDS.Tenor,"-",EXP(-H28*YearFraction)*I27)</f>
        <v>-</v>
      </c>
      <c r="J28" s="152" t="str">
        <f>IF($F28&gt;CDS.Tenor,"-",I27-I28)</f>
        <v>-</v>
      </c>
      <c r="K28" s="135" t="str">
        <f>IF($F28&gt;CDS.Tenor,"-",EXP(-ZeroRate*F28))</f>
        <v>-</v>
      </c>
      <c r="L28" s="165" t="str">
        <f>IF($F28&gt;CDS.Tenor,"-",G28*I28*K28)</f>
        <v>-</v>
      </c>
      <c r="M28" s="165" t="str">
        <f>IF($F28&gt;CDS.Tenor,"-",0.5*G28*J28*K28)</f>
        <v>-</v>
      </c>
      <c r="N28" s="166" t="str">
        <f>IF($F28&gt;CDS.Tenor,"-",L28+M28)</f>
        <v>-</v>
      </c>
      <c r="Q28" s="181">
        <f>Q27+YearFraction</f>
        <v>6</v>
      </c>
      <c r="R28" s="165" t="str">
        <f>IF($F28&gt;CDS.Tenor,"-",CDS.ProtectionSign*CDS.Notional*(1-CDS.RecoveryRate))</f>
        <v>-</v>
      </c>
      <c r="S28" s="154" t="str" cm="1">
        <f t="array" ref="S28">IF($F28&gt;CDS.Tenor,"-",Interpolate(Q28,Calibration.Times,Calibration.HazardRates))</f>
        <v>-</v>
      </c>
      <c r="T28" s="152" t="str">
        <f>IF($F28&gt;CDS.Tenor,"-",EXP(-S28*YearFraction)*T27)</f>
        <v>-</v>
      </c>
      <c r="U28" s="152" t="str">
        <f>IF($F28&gt;CDS.Tenor,"-",T27-T28)</f>
        <v>-</v>
      </c>
      <c r="V28" s="135" t="str">
        <f>IF($F28&gt;CDS.Tenor,"-",EXP(-ZeroRate*Q28))</f>
        <v>-</v>
      </c>
      <c r="W28" s="166" t="str">
        <f>IF($F28&gt;CDS.Tenor,"-",R28*U28*V28)</f>
        <v>-</v>
      </c>
    </row>
    <row r="29" spans="2:23" x14ac:dyDescent="0.3">
      <c r="F29" s="181">
        <f>F28+YearFraction</f>
        <v>6.25</v>
      </c>
      <c r="G29" s="165" t="str">
        <f>IF($F29&gt;CDS.Tenor,"-",CDS.PremiumSign*CDS.Notional*CDS.YearFraction*CDS.CreditSpread)</f>
        <v>-</v>
      </c>
      <c r="H29" s="154" t="str" cm="1">
        <f t="array" ref="H29">IF($F29&gt;CDS.Tenor,"-",Interpolate(F29,Calibration.Times,Calibration.HazardRates))</f>
        <v>-</v>
      </c>
      <c r="I29" s="152" t="str">
        <f>IF($F29&gt;CDS.Tenor,"-",EXP(-H29*YearFraction)*I28)</f>
        <v>-</v>
      </c>
      <c r="J29" s="152" t="str">
        <f>IF($F29&gt;CDS.Tenor,"-",I28-I29)</f>
        <v>-</v>
      </c>
      <c r="K29" s="135" t="str">
        <f>IF($F29&gt;CDS.Tenor,"-",EXP(-ZeroRate*F29))</f>
        <v>-</v>
      </c>
      <c r="L29" s="165" t="str">
        <f>IF($F29&gt;CDS.Tenor,"-",G29*I29*K29)</f>
        <v>-</v>
      </c>
      <c r="M29" s="165" t="str">
        <f>IF($F29&gt;CDS.Tenor,"-",0.5*G29*J29*K29)</f>
        <v>-</v>
      </c>
      <c r="N29" s="166" t="str">
        <f>IF($F29&gt;CDS.Tenor,"-",L29+M29)</f>
        <v>-</v>
      </c>
      <c r="Q29" s="181">
        <f>Q28+YearFraction</f>
        <v>6.25</v>
      </c>
      <c r="R29" s="165" t="str">
        <f>IF($F29&gt;CDS.Tenor,"-",CDS.ProtectionSign*CDS.Notional*(1-CDS.RecoveryRate))</f>
        <v>-</v>
      </c>
      <c r="S29" s="154" t="str" cm="1">
        <f t="array" ref="S29">IF($F29&gt;CDS.Tenor,"-",Interpolate(Q29,Calibration.Times,Calibration.HazardRates))</f>
        <v>-</v>
      </c>
      <c r="T29" s="152" t="str">
        <f>IF($F29&gt;CDS.Tenor,"-",EXP(-S29*YearFraction)*T28)</f>
        <v>-</v>
      </c>
      <c r="U29" s="152" t="str">
        <f>IF($F29&gt;CDS.Tenor,"-",T28-T29)</f>
        <v>-</v>
      </c>
      <c r="V29" s="135" t="str">
        <f>IF($F29&gt;CDS.Tenor,"-",EXP(-ZeroRate*Q29))</f>
        <v>-</v>
      </c>
      <c r="W29" s="166" t="str">
        <f>IF($F29&gt;CDS.Tenor,"-",R29*U29*V29)</f>
        <v>-</v>
      </c>
    </row>
    <row r="30" spans="2:23" x14ac:dyDescent="0.3">
      <c r="F30" s="181">
        <f>F29+YearFraction</f>
        <v>6.5</v>
      </c>
      <c r="G30" s="165" t="str">
        <f>IF($F30&gt;CDS.Tenor,"-",CDS.PremiumSign*CDS.Notional*CDS.YearFraction*CDS.CreditSpread)</f>
        <v>-</v>
      </c>
      <c r="H30" s="154" t="str" cm="1">
        <f t="array" ref="H30">IF($F30&gt;CDS.Tenor,"-",Interpolate(F30,Calibration.Times,Calibration.HazardRates))</f>
        <v>-</v>
      </c>
      <c r="I30" s="152" t="str">
        <f>IF($F30&gt;CDS.Tenor,"-",EXP(-H30*YearFraction)*I29)</f>
        <v>-</v>
      </c>
      <c r="J30" s="152" t="str">
        <f>IF($F30&gt;CDS.Tenor,"-",I29-I30)</f>
        <v>-</v>
      </c>
      <c r="K30" s="135" t="str">
        <f>IF($F30&gt;CDS.Tenor,"-",EXP(-ZeroRate*F30))</f>
        <v>-</v>
      </c>
      <c r="L30" s="165" t="str">
        <f>IF($F30&gt;CDS.Tenor,"-",G30*I30*K30)</f>
        <v>-</v>
      </c>
      <c r="M30" s="165" t="str">
        <f>IF($F30&gt;CDS.Tenor,"-",0.5*G30*J30*K30)</f>
        <v>-</v>
      </c>
      <c r="N30" s="166" t="str">
        <f>IF($F30&gt;CDS.Tenor,"-",L30+M30)</f>
        <v>-</v>
      </c>
      <c r="Q30" s="181">
        <f>Q29+YearFraction</f>
        <v>6.5</v>
      </c>
      <c r="R30" s="165" t="str">
        <f>IF($F30&gt;CDS.Tenor,"-",CDS.ProtectionSign*CDS.Notional*(1-CDS.RecoveryRate))</f>
        <v>-</v>
      </c>
      <c r="S30" s="154" t="str" cm="1">
        <f t="array" ref="S30">IF($F30&gt;CDS.Tenor,"-",Interpolate(Q30,Calibration.Times,Calibration.HazardRates))</f>
        <v>-</v>
      </c>
      <c r="T30" s="152" t="str">
        <f>IF($F30&gt;CDS.Tenor,"-",EXP(-S30*YearFraction)*T29)</f>
        <v>-</v>
      </c>
      <c r="U30" s="152" t="str">
        <f>IF($F30&gt;CDS.Tenor,"-",T29-T30)</f>
        <v>-</v>
      </c>
      <c r="V30" s="135" t="str">
        <f>IF($F30&gt;CDS.Tenor,"-",EXP(-ZeroRate*Q30))</f>
        <v>-</v>
      </c>
      <c r="W30" s="166" t="str">
        <f>IF($F30&gt;CDS.Tenor,"-",R30*U30*V30)</f>
        <v>-</v>
      </c>
    </row>
    <row r="31" spans="2:23" x14ac:dyDescent="0.3">
      <c r="F31" s="181">
        <f>F30+YearFraction</f>
        <v>6.75</v>
      </c>
      <c r="G31" s="165" t="str">
        <f>IF($F31&gt;CDS.Tenor,"-",CDS.PremiumSign*CDS.Notional*CDS.YearFraction*CDS.CreditSpread)</f>
        <v>-</v>
      </c>
      <c r="H31" s="154" t="str" cm="1">
        <f t="array" ref="H31">IF($F31&gt;CDS.Tenor,"-",Interpolate(F31,Calibration.Times,Calibration.HazardRates))</f>
        <v>-</v>
      </c>
      <c r="I31" s="152" t="str">
        <f>IF($F31&gt;CDS.Tenor,"-",EXP(-H31*YearFraction)*I30)</f>
        <v>-</v>
      </c>
      <c r="J31" s="152" t="str">
        <f>IF($F31&gt;CDS.Tenor,"-",I30-I31)</f>
        <v>-</v>
      </c>
      <c r="K31" s="135" t="str">
        <f>IF($F31&gt;CDS.Tenor,"-",EXP(-ZeroRate*F31))</f>
        <v>-</v>
      </c>
      <c r="L31" s="165" t="str">
        <f>IF($F31&gt;CDS.Tenor,"-",G31*I31*K31)</f>
        <v>-</v>
      </c>
      <c r="M31" s="165" t="str">
        <f>IF($F31&gt;CDS.Tenor,"-",0.5*G31*J31*K31)</f>
        <v>-</v>
      </c>
      <c r="N31" s="166" t="str">
        <f>IF($F31&gt;CDS.Tenor,"-",L31+M31)</f>
        <v>-</v>
      </c>
      <c r="Q31" s="181">
        <f>Q30+YearFraction</f>
        <v>6.75</v>
      </c>
      <c r="R31" s="165" t="str">
        <f>IF($F31&gt;CDS.Tenor,"-",CDS.ProtectionSign*CDS.Notional*(1-CDS.RecoveryRate))</f>
        <v>-</v>
      </c>
      <c r="S31" s="154" t="str" cm="1">
        <f t="array" ref="S31">IF($F31&gt;CDS.Tenor,"-",Interpolate(Q31,Calibration.Times,Calibration.HazardRates))</f>
        <v>-</v>
      </c>
      <c r="T31" s="152" t="str">
        <f>IF($F31&gt;CDS.Tenor,"-",EXP(-S31*YearFraction)*T30)</f>
        <v>-</v>
      </c>
      <c r="U31" s="152" t="str">
        <f>IF($F31&gt;CDS.Tenor,"-",T30-T31)</f>
        <v>-</v>
      </c>
      <c r="V31" s="135" t="str">
        <f>IF($F31&gt;CDS.Tenor,"-",EXP(-ZeroRate*Q31))</f>
        <v>-</v>
      </c>
      <c r="W31" s="166" t="str">
        <f>IF($F31&gt;CDS.Tenor,"-",R31*U31*V31)</f>
        <v>-</v>
      </c>
    </row>
    <row r="32" spans="2:23" x14ac:dyDescent="0.3">
      <c r="F32" s="181">
        <f>F31+YearFraction</f>
        <v>7</v>
      </c>
      <c r="G32" s="165" t="str">
        <f>IF($F32&gt;CDS.Tenor,"-",CDS.PremiumSign*CDS.Notional*CDS.YearFraction*CDS.CreditSpread)</f>
        <v>-</v>
      </c>
      <c r="H32" s="154" t="str" cm="1">
        <f t="array" ref="H32">IF($F32&gt;CDS.Tenor,"-",Interpolate(F32,Calibration.Times,Calibration.HazardRates))</f>
        <v>-</v>
      </c>
      <c r="I32" s="152" t="str">
        <f>IF($F32&gt;CDS.Tenor,"-",EXP(-H32*YearFraction)*I31)</f>
        <v>-</v>
      </c>
      <c r="J32" s="152" t="str">
        <f>IF($F32&gt;CDS.Tenor,"-",I31-I32)</f>
        <v>-</v>
      </c>
      <c r="K32" s="135" t="str">
        <f>IF($F32&gt;CDS.Tenor,"-",EXP(-ZeroRate*F32))</f>
        <v>-</v>
      </c>
      <c r="L32" s="165" t="str">
        <f>IF($F32&gt;CDS.Tenor,"-",G32*I32*K32)</f>
        <v>-</v>
      </c>
      <c r="M32" s="165" t="str">
        <f>IF($F32&gt;CDS.Tenor,"-",0.5*G32*J32*K32)</f>
        <v>-</v>
      </c>
      <c r="N32" s="166" t="str">
        <f>IF($F32&gt;CDS.Tenor,"-",L32+M32)</f>
        <v>-</v>
      </c>
      <c r="Q32" s="181">
        <f>Q31+YearFraction</f>
        <v>7</v>
      </c>
      <c r="R32" s="165" t="str">
        <f>IF($F32&gt;CDS.Tenor,"-",CDS.ProtectionSign*CDS.Notional*(1-CDS.RecoveryRate))</f>
        <v>-</v>
      </c>
      <c r="S32" s="154" t="str" cm="1">
        <f t="array" ref="S32">IF($F32&gt;CDS.Tenor,"-",Interpolate(Q32,Calibration.Times,Calibration.HazardRates))</f>
        <v>-</v>
      </c>
      <c r="T32" s="152" t="str">
        <f>IF($F32&gt;CDS.Tenor,"-",EXP(-S32*YearFraction)*T31)</f>
        <v>-</v>
      </c>
      <c r="U32" s="152" t="str">
        <f>IF($F32&gt;CDS.Tenor,"-",T31-T32)</f>
        <v>-</v>
      </c>
      <c r="V32" s="135" t="str">
        <f>IF($F32&gt;CDS.Tenor,"-",EXP(-ZeroRate*Q32))</f>
        <v>-</v>
      </c>
      <c r="W32" s="166" t="str">
        <f>IF($F32&gt;CDS.Tenor,"-",R32*U32*V32)</f>
        <v>-</v>
      </c>
    </row>
    <row r="33" spans="6:23" x14ac:dyDescent="0.3">
      <c r="F33" s="181">
        <f>F32+YearFraction</f>
        <v>7.25</v>
      </c>
      <c r="G33" s="165" t="str">
        <f>IF($F33&gt;CDS.Tenor,"-",CDS.PremiumSign*CDS.Notional*CDS.YearFraction*CDS.CreditSpread)</f>
        <v>-</v>
      </c>
      <c r="H33" s="154" t="str" cm="1">
        <f t="array" ref="H33">IF($F33&gt;CDS.Tenor,"-",Interpolate(F33,Calibration.Times,Calibration.HazardRates))</f>
        <v>-</v>
      </c>
      <c r="I33" s="152" t="str">
        <f>IF($F33&gt;CDS.Tenor,"-",EXP(-H33*YearFraction)*I32)</f>
        <v>-</v>
      </c>
      <c r="J33" s="152" t="str">
        <f>IF($F33&gt;CDS.Tenor,"-",I32-I33)</f>
        <v>-</v>
      </c>
      <c r="K33" s="135" t="str">
        <f>IF($F33&gt;CDS.Tenor,"-",EXP(-ZeroRate*F33))</f>
        <v>-</v>
      </c>
      <c r="L33" s="165" t="str">
        <f>IF($F33&gt;CDS.Tenor,"-",G33*I33*K33)</f>
        <v>-</v>
      </c>
      <c r="M33" s="165" t="str">
        <f>IF($F33&gt;CDS.Tenor,"-",0.5*G33*J33*K33)</f>
        <v>-</v>
      </c>
      <c r="N33" s="166" t="str">
        <f>IF($F33&gt;CDS.Tenor,"-",L33+M33)</f>
        <v>-</v>
      </c>
      <c r="Q33" s="181">
        <f>Q32+YearFraction</f>
        <v>7.25</v>
      </c>
      <c r="R33" s="165" t="str">
        <f>IF($F33&gt;CDS.Tenor,"-",CDS.ProtectionSign*CDS.Notional*(1-CDS.RecoveryRate))</f>
        <v>-</v>
      </c>
      <c r="S33" s="154" t="str" cm="1">
        <f t="array" ref="S33">IF($F33&gt;CDS.Tenor,"-",Interpolate(Q33,Calibration.Times,Calibration.HazardRates))</f>
        <v>-</v>
      </c>
      <c r="T33" s="152" t="str">
        <f>IF($F33&gt;CDS.Tenor,"-",EXP(-S33*YearFraction)*T32)</f>
        <v>-</v>
      </c>
      <c r="U33" s="152" t="str">
        <f>IF($F33&gt;CDS.Tenor,"-",T32-T33)</f>
        <v>-</v>
      </c>
      <c r="V33" s="135" t="str">
        <f>IF($F33&gt;CDS.Tenor,"-",EXP(-ZeroRate*Q33))</f>
        <v>-</v>
      </c>
      <c r="W33" s="166" t="str">
        <f>IF($F33&gt;CDS.Tenor,"-",R33*U33*V33)</f>
        <v>-</v>
      </c>
    </row>
    <row r="34" spans="6:23" x14ac:dyDescent="0.3">
      <c r="F34" s="181">
        <f>F33+YearFraction</f>
        <v>7.5</v>
      </c>
      <c r="G34" s="165" t="str">
        <f>IF($F34&gt;CDS.Tenor,"-",CDS.PremiumSign*CDS.Notional*CDS.YearFraction*CDS.CreditSpread)</f>
        <v>-</v>
      </c>
      <c r="H34" s="154" t="str" cm="1">
        <f t="array" ref="H34">IF($F34&gt;CDS.Tenor,"-",Interpolate(F34,Calibration.Times,Calibration.HazardRates))</f>
        <v>-</v>
      </c>
      <c r="I34" s="152" t="str">
        <f>IF($F34&gt;CDS.Tenor,"-",EXP(-H34*YearFraction)*I33)</f>
        <v>-</v>
      </c>
      <c r="J34" s="152" t="str">
        <f>IF($F34&gt;CDS.Tenor,"-",I33-I34)</f>
        <v>-</v>
      </c>
      <c r="K34" s="135" t="str">
        <f>IF($F34&gt;CDS.Tenor,"-",EXP(-ZeroRate*F34))</f>
        <v>-</v>
      </c>
      <c r="L34" s="165" t="str">
        <f>IF($F34&gt;CDS.Tenor,"-",G34*I34*K34)</f>
        <v>-</v>
      </c>
      <c r="M34" s="165" t="str">
        <f>IF($F34&gt;CDS.Tenor,"-",0.5*G34*J34*K34)</f>
        <v>-</v>
      </c>
      <c r="N34" s="166" t="str">
        <f>IF($F34&gt;CDS.Tenor,"-",L34+M34)</f>
        <v>-</v>
      </c>
      <c r="Q34" s="181">
        <f>Q33+YearFraction</f>
        <v>7.5</v>
      </c>
      <c r="R34" s="165" t="str">
        <f>IF($F34&gt;CDS.Tenor,"-",CDS.ProtectionSign*CDS.Notional*(1-CDS.RecoveryRate))</f>
        <v>-</v>
      </c>
      <c r="S34" s="154" t="str" cm="1">
        <f t="array" ref="S34">IF($F34&gt;CDS.Tenor,"-",Interpolate(Q34,Calibration.Times,Calibration.HazardRates))</f>
        <v>-</v>
      </c>
      <c r="T34" s="152" t="str">
        <f>IF($F34&gt;CDS.Tenor,"-",EXP(-S34*YearFraction)*T33)</f>
        <v>-</v>
      </c>
      <c r="U34" s="152" t="str">
        <f>IF($F34&gt;CDS.Tenor,"-",T33-T34)</f>
        <v>-</v>
      </c>
      <c r="V34" s="135" t="str">
        <f>IF($F34&gt;CDS.Tenor,"-",EXP(-ZeroRate*Q34))</f>
        <v>-</v>
      </c>
      <c r="W34" s="166" t="str">
        <f>IF($F34&gt;CDS.Tenor,"-",R34*U34*V34)</f>
        <v>-</v>
      </c>
    </row>
    <row r="35" spans="6:23" x14ac:dyDescent="0.3">
      <c r="F35" s="181">
        <f>F34+YearFraction</f>
        <v>7.75</v>
      </c>
      <c r="G35" s="165" t="str">
        <f>IF($F35&gt;CDS.Tenor,"-",CDS.PremiumSign*CDS.Notional*CDS.YearFraction*CDS.CreditSpread)</f>
        <v>-</v>
      </c>
      <c r="H35" s="154" t="str" cm="1">
        <f t="array" ref="H35">IF($F35&gt;CDS.Tenor,"-",Interpolate(F35,Calibration.Times,Calibration.HazardRates))</f>
        <v>-</v>
      </c>
      <c r="I35" s="152" t="str">
        <f>IF($F35&gt;CDS.Tenor,"-",EXP(-H35*YearFraction)*I34)</f>
        <v>-</v>
      </c>
      <c r="J35" s="152" t="str">
        <f>IF($F35&gt;CDS.Tenor,"-",I34-I35)</f>
        <v>-</v>
      </c>
      <c r="K35" s="135" t="str">
        <f>IF($F35&gt;CDS.Tenor,"-",EXP(-ZeroRate*F35))</f>
        <v>-</v>
      </c>
      <c r="L35" s="165" t="str">
        <f>IF($F35&gt;CDS.Tenor,"-",G35*I35*K35)</f>
        <v>-</v>
      </c>
      <c r="M35" s="165" t="str">
        <f>IF($F35&gt;CDS.Tenor,"-",0.5*G35*J35*K35)</f>
        <v>-</v>
      </c>
      <c r="N35" s="166" t="str">
        <f>IF($F35&gt;CDS.Tenor,"-",L35+M35)</f>
        <v>-</v>
      </c>
      <c r="Q35" s="181">
        <f>Q34+YearFraction</f>
        <v>7.75</v>
      </c>
      <c r="R35" s="165" t="str">
        <f>IF($F35&gt;CDS.Tenor,"-",CDS.ProtectionSign*CDS.Notional*(1-CDS.RecoveryRate))</f>
        <v>-</v>
      </c>
      <c r="S35" s="154" t="str" cm="1">
        <f t="array" ref="S35">IF($F35&gt;CDS.Tenor,"-",Interpolate(Q35,Calibration.Times,Calibration.HazardRates))</f>
        <v>-</v>
      </c>
      <c r="T35" s="152" t="str">
        <f>IF($F35&gt;CDS.Tenor,"-",EXP(-S35*YearFraction)*T34)</f>
        <v>-</v>
      </c>
      <c r="U35" s="152" t="str">
        <f>IF($F35&gt;CDS.Tenor,"-",T34-T35)</f>
        <v>-</v>
      </c>
      <c r="V35" s="135" t="str">
        <f>IF($F35&gt;CDS.Tenor,"-",EXP(-ZeroRate*Q35))</f>
        <v>-</v>
      </c>
      <c r="W35" s="166" t="str">
        <f>IF($F35&gt;CDS.Tenor,"-",R35*U35*V35)</f>
        <v>-</v>
      </c>
    </row>
    <row r="36" spans="6:23" x14ac:dyDescent="0.3">
      <c r="F36" s="181">
        <f>F35+YearFraction</f>
        <v>8</v>
      </c>
      <c r="G36" s="165" t="str">
        <f>IF($F36&gt;CDS.Tenor,"-",CDS.PremiumSign*CDS.Notional*CDS.YearFraction*CDS.CreditSpread)</f>
        <v>-</v>
      </c>
      <c r="H36" s="154" t="str" cm="1">
        <f t="array" ref="H36">IF($F36&gt;CDS.Tenor,"-",Interpolate(F36,Calibration.Times,Calibration.HazardRates))</f>
        <v>-</v>
      </c>
      <c r="I36" s="152" t="str">
        <f>IF($F36&gt;CDS.Tenor,"-",EXP(-H36*YearFraction)*I35)</f>
        <v>-</v>
      </c>
      <c r="J36" s="152" t="str">
        <f>IF($F36&gt;CDS.Tenor,"-",I35-I36)</f>
        <v>-</v>
      </c>
      <c r="K36" s="135" t="str">
        <f>IF($F36&gt;CDS.Tenor,"-",EXP(-ZeroRate*F36))</f>
        <v>-</v>
      </c>
      <c r="L36" s="165" t="str">
        <f>IF($F36&gt;CDS.Tenor,"-",G36*I36*K36)</f>
        <v>-</v>
      </c>
      <c r="M36" s="165" t="str">
        <f>IF($F36&gt;CDS.Tenor,"-",0.5*G36*J36*K36)</f>
        <v>-</v>
      </c>
      <c r="N36" s="166" t="str">
        <f>IF($F36&gt;CDS.Tenor,"-",L36+M36)</f>
        <v>-</v>
      </c>
      <c r="Q36" s="181">
        <f>Q35+YearFraction</f>
        <v>8</v>
      </c>
      <c r="R36" s="165" t="str">
        <f>IF($F36&gt;CDS.Tenor,"-",CDS.ProtectionSign*CDS.Notional*(1-CDS.RecoveryRate))</f>
        <v>-</v>
      </c>
      <c r="S36" s="154" t="str" cm="1">
        <f t="array" ref="S36">IF($F36&gt;CDS.Tenor,"-",Interpolate(Q36,Calibration.Times,Calibration.HazardRates))</f>
        <v>-</v>
      </c>
      <c r="T36" s="152" t="str">
        <f>IF($F36&gt;CDS.Tenor,"-",EXP(-S36*YearFraction)*T35)</f>
        <v>-</v>
      </c>
      <c r="U36" s="152" t="str">
        <f>IF($F36&gt;CDS.Tenor,"-",T35-T36)</f>
        <v>-</v>
      </c>
      <c r="V36" s="135" t="str">
        <f>IF($F36&gt;CDS.Tenor,"-",EXP(-ZeroRate*Q36))</f>
        <v>-</v>
      </c>
      <c r="W36" s="166" t="str">
        <f>IF($F36&gt;CDS.Tenor,"-",R36*U36*V36)</f>
        <v>-</v>
      </c>
    </row>
    <row r="37" spans="6:23" x14ac:dyDescent="0.3">
      <c r="F37" s="181">
        <f>F36+YearFraction</f>
        <v>8.25</v>
      </c>
      <c r="G37" s="165" t="str">
        <f>IF($F37&gt;CDS.Tenor,"-",CDS.PremiumSign*CDS.Notional*CDS.YearFraction*CDS.CreditSpread)</f>
        <v>-</v>
      </c>
      <c r="H37" s="154" t="str" cm="1">
        <f t="array" ref="H37">IF($F37&gt;CDS.Tenor,"-",Interpolate(F37,Calibration.Times,Calibration.HazardRates))</f>
        <v>-</v>
      </c>
      <c r="I37" s="152" t="str">
        <f>IF($F37&gt;CDS.Tenor,"-",EXP(-H37*YearFraction)*I36)</f>
        <v>-</v>
      </c>
      <c r="J37" s="152" t="str">
        <f>IF($F37&gt;CDS.Tenor,"-",I36-I37)</f>
        <v>-</v>
      </c>
      <c r="K37" s="135" t="str">
        <f>IF($F37&gt;CDS.Tenor,"-",EXP(-ZeroRate*F37))</f>
        <v>-</v>
      </c>
      <c r="L37" s="165" t="str">
        <f>IF($F37&gt;CDS.Tenor,"-",G37*I37*K37)</f>
        <v>-</v>
      </c>
      <c r="M37" s="165" t="str">
        <f>IF($F37&gt;CDS.Tenor,"-",0.5*G37*J37*K37)</f>
        <v>-</v>
      </c>
      <c r="N37" s="166" t="str">
        <f>IF($F37&gt;CDS.Tenor,"-",L37+M37)</f>
        <v>-</v>
      </c>
      <c r="Q37" s="181">
        <f>Q36+YearFraction</f>
        <v>8.25</v>
      </c>
      <c r="R37" s="165" t="str">
        <f>IF($F37&gt;CDS.Tenor,"-",CDS.ProtectionSign*CDS.Notional*(1-CDS.RecoveryRate))</f>
        <v>-</v>
      </c>
      <c r="S37" s="154" t="str" cm="1">
        <f t="array" ref="S37">IF($F37&gt;CDS.Tenor,"-",Interpolate(Q37,Calibration.Times,Calibration.HazardRates))</f>
        <v>-</v>
      </c>
      <c r="T37" s="152" t="str">
        <f>IF($F37&gt;CDS.Tenor,"-",EXP(-S37*YearFraction)*T36)</f>
        <v>-</v>
      </c>
      <c r="U37" s="152" t="str">
        <f>IF($F37&gt;CDS.Tenor,"-",T36-T37)</f>
        <v>-</v>
      </c>
      <c r="V37" s="135" t="str">
        <f>IF($F37&gt;CDS.Tenor,"-",EXP(-ZeroRate*Q37))</f>
        <v>-</v>
      </c>
      <c r="W37" s="166" t="str">
        <f>IF($F37&gt;CDS.Tenor,"-",R37*U37*V37)</f>
        <v>-</v>
      </c>
    </row>
    <row r="38" spans="6:23" x14ac:dyDescent="0.3">
      <c r="F38" s="181">
        <f>F37+YearFraction</f>
        <v>8.5</v>
      </c>
      <c r="G38" s="165" t="str">
        <f>IF($F38&gt;CDS.Tenor,"-",CDS.PremiumSign*CDS.Notional*CDS.YearFraction*CDS.CreditSpread)</f>
        <v>-</v>
      </c>
      <c r="H38" s="154" t="str" cm="1">
        <f t="array" ref="H38">IF($F38&gt;CDS.Tenor,"-",Interpolate(F38,Calibration.Times,Calibration.HazardRates))</f>
        <v>-</v>
      </c>
      <c r="I38" s="152" t="str">
        <f>IF($F38&gt;CDS.Tenor,"-",EXP(-H38*YearFraction)*I37)</f>
        <v>-</v>
      </c>
      <c r="J38" s="152" t="str">
        <f>IF($F38&gt;CDS.Tenor,"-",I37-I38)</f>
        <v>-</v>
      </c>
      <c r="K38" s="135" t="str">
        <f>IF($F38&gt;CDS.Tenor,"-",EXP(-ZeroRate*F38))</f>
        <v>-</v>
      </c>
      <c r="L38" s="165" t="str">
        <f>IF($F38&gt;CDS.Tenor,"-",G38*I38*K38)</f>
        <v>-</v>
      </c>
      <c r="M38" s="165" t="str">
        <f>IF($F38&gt;CDS.Tenor,"-",0.5*G38*J38*K38)</f>
        <v>-</v>
      </c>
      <c r="N38" s="166" t="str">
        <f>IF($F38&gt;CDS.Tenor,"-",L38+M38)</f>
        <v>-</v>
      </c>
      <c r="Q38" s="181">
        <f>Q37+YearFraction</f>
        <v>8.5</v>
      </c>
      <c r="R38" s="165" t="str">
        <f>IF($F38&gt;CDS.Tenor,"-",CDS.ProtectionSign*CDS.Notional*(1-CDS.RecoveryRate))</f>
        <v>-</v>
      </c>
      <c r="S38" s="154" t="str" cm="1">
        <f t="array" ref="S38">IF($F38&gt;CDS.Tenor,"-",Interpolate(Q38,Calibration.Times,Calibration.HazardRates))</f>
        <v>-</v>
      </c>
      <c r="T38" s="152" t="str">
        <f>IF($F38&gt;CDS.Tenor,"-",EXP(-S38*YearFraction)*T37)</f>
        <v>-</v>
      </c>
      <c r="U38" s="152" t="str">
        <f>IF($F38&gt;CDS.Tenor,"-",T37-T38)</f>
        <v>-</v>
      </c>
      <c r="V38" s="135" t="str">
        <f>IF($F38&gt;CDS.Tenor,"-",EXP(-ZeroRate*Q38))</f>
        <v>-</v>
      </c>
      <c r="W38" s="166" t="str">
        <f>IF($F38&gt;CDS.Tenor,"-",R38*U38*V38)</f>
        <v>-</v>
      </c>
    </row>
    <row r="39" spans="6:23" x14ac:dyDescent="0.3">
      <c r="F39" s="181">
        <f>F38+YearFraction</f>
        <v>8.75</v>
      </c>
      <c r="G39" s="165" t="str">
        <f>IF($F39&gt;CDS.Tenor,"-",CDS.PremiumSign*CDS.Notional*CDS.YearFraction*CDS.CreditSpread)</f>
        <v>-</v>
      </c>
      <c r="H39" s="154" t="str" cm="1">
        <f t="array" ref="H39">IF($F39&gt;CDS.Tenor,"-",Interpolate(F39,Calibration.Times,Calibration.HazardRates))</f>
        <v>-</v>
      </c>
      <c r="I39" s="152" t="str">
        <f>IF($F39&gt;CDS.Tenor,"-",EXP(-H39*YearFraction)*I38)</f>
        <v>-</v>
      </c>
      <c r="J39" s="152" t="str">
        <f>IF($F39&gt;CDS.Tenor,"-",I38-I39)</f>
        <v>-</v>
      </c>
      <c r="K39" s="135" t="str">
        <f>IF($F39&gt;CDS.Tenor,"-",EXP(-ZeroRate*F39))</f>
        <v>-</v>
      </c>
      <c r="L39" s="165" t="str">
        <f>IF($F39&gt;CDS.Tenor,"-",G39*I39*K39)</f>
        <v>-</v>
      </c>
      <c r="M39" s="165" t="str">
        <f>IF($F39&gt;CDS.Tenor,"-",0.5*G39*J39*K39)</f>
        <v>-</v>
      </c>
      <c r="N39" s="166" t="str">
        <f>IF($F39&gt;CDS.Tenor,"-",L39+M39)</f>
        <v>-</v>
      </c>
      <c r="Q39" s="181">
        <f>Q38+YearFraction</f>
        <v>8.75</v>
      </c>
      <c r="R39" s="165" t="str">
        <f>IF($F39&gt;CDS.Tenor,"-",CDS.ProtectionSign*CDS.Notional*(1-CDS.RecoveryRate))</f>
        <v>-</v>
      </c>
      <c r="S39" s="154" t="str" cm="1">
        <f t="array" ref="S39">IF($F39&gt;CDS.Tenor,"-",Interpolate(Q39,Calibration.Times,Calibration.HazardRates))</f>
        <v>-</v>
      </c>
      <c r="T39" s="152" t="str">
        <f>IF($F39&gt;CDS.Tenor,"-",EXP(-S39*YearFraction)*T38)</f>
        <v>-</v>
      </c>
      <c r="U39" s="152" t="str">
        <f>IF($F39&gt;CDS.Tenor,"-",T38-T39)</f>
        <v>-</v>
      </c>
      <c r="V39" s="135" t="str">
        <f>IF($F39&gt;CDS.Tenor,"-",EXP(-ZeroRate*Q39))</f>
        <v>-</v>
      </c>
      <c r="W39" s="166" t="str">
        <f>IF($F39&gt;CDS.Tenor,"-",R39*U39*V39)</f>
        <v>-</v>
      </c>
    </row>
    <row r="40" spans="6:23" x14ac:dyDescent="0.3">
      <c r="F40" s="181">
        <f>F39+YearFraction</f>
        <v>9</v>
      </c>
      <c r="G40" s="165" t="str">
        <f>IF($F40&gt;CDS.Tenor,"-",CDS.PremiumSign*CDS.Notional*CDS.YearFraction*CDS.CreditSpread)</f>
        <v>-</v>
      </c>
      <c r="H40" s="154" t="str" cm="1">
        <f t="array" ref="H40">IF($F40&gt;CDS.Tenor,"-",Interpolate(F40,Calibration.Times,Calibration.HazardRates))</f>
        <v>-</v>
      </c>
      <c r="I40" s="152" t="str">
        <f>IF($F40&gt;CDS.Tenor,"-",EXP(-H40*YearFraction)*I39)</f>
        <v>-</v>
      </c>
      <c r="J40" s="152" t="str">
        <f>IF($F40&gt;CDS.Tenor,"-",I39-I40)</f>
        <v>-</v>
      </c>
      <c r="K40" s="135" t="str">
        <f>IF($F40&gt;CDS.Tenor,"-",EXP(-ZeroRate*F40))</f>
        <v>-</v>
      </c>
      <c r="L40" s="165" t="str">
        <f>IF($F40&gt;CDS.Tenor,"-",G40*I40*K40)</f>
        <v>-</v>
      </c>
      <c r="M40" s="165" t="str">
        <f>IF($F40&gt;CDS.Tenor,"-",0.5*G40*J40*K40)</f>
        <v>-</v>
      </c>
      <c r="N40" s="166" t="str">
        <f>IF($F40&gt;CDS.Tenor,"-",L40+M40)</f>
        <v>-</v>
      </c>
      <c r="Q40" s="181">
        <f>Q39+YearFraction</f>
        <v>9</v>
      </c>
      <c r="R40" s="165" t="str">
        <f>IF($F40&gt;CDS.Tenor,"-",CDS.ProtectionSign*CDS.Notional*(1-CDS.RecoveryRate))</f>
        <v>-</v>
      </c>
      <c r="S40" s="154" t="str" cm="1">
        <f t="array" ref="S40">IF($F40&gt;CDS.Tenor,"-",Interpolate(Q40,Calibration.Times,Calibration.HazardRates))</f>
        <v>-</v>
      </c>
      <c r="T40" s="152" t="str">
        <f>IF($F40&gt;CDS.Tenor,"-",EXP(-S40*YearFraction)*T39)</f>
        <v>-</v>
      </c>
      <c r="U40" s="152" t="str">
        <f>IF($F40&gt;CDS.Tenor,"-",T39-T40)</f>
        <v>-</v>
      </c>
      <c r="V40" s="135" t="str">
        <f>IF($F40&gt;CDS.Tenor,"-",EXP(-ZeroRate*Q40))</f>
        <v>-</v>
      </c>
      <c r="W40" s="166" t="str">
        <f>IF($F40&gt;CDS.Tenor,"-",R40*U40*V40)</f>
        <v>-</v>
      </c>
    </row>
    <row r="41" spans="6:23" x14ac:dyDescent="0.3">
      <c r="F41" s="181">
        <f>F40+YearFraction</f>
        <v>9.25</v>
      </c>
      <c r="G41" s="165" t="str">
        <f>IF($F41&gt;CDS.Tenor,"-",CDS.PremiumSign*CDS.Notional*CDS.YearFraction*CDS.CreditSpread)</f>
        <v>-</v>
      </c>
      <c r="H41" s="154" t="str" cm="1">
        <f t="array" ref="H41">IF($F41&gt;CDS.Tenor,"-",Interpolate(F41,Calibration.Times,Calibration.HazardRates))</f>
        <v>-</v>
      </c>
      <c r="I41" s="152" t="str">
        <f>IF($F41&gt;CDS.Tenor,"-",EXP(-H41*YearFraction)*I40)</f>
        <v>-</v>
      </c>
      <c r="J41" s="152" t="str">
        <f>IF($F41&gt;CDS.Tenor,"-",I40-I41)</f>
        <v>-</v>
      </c>
      <c r="K41" s="135" t="str">
        <f>IF($F41&gt;CDS.Tenor,"-",EXP(-ZeroRate*F41))</f>
        <v>-</v>
      </c>
      <c r="L41" s="165" t="str">
        <f>IF($F41&gt;CDS.Tenor,"-",G41*I41*K41)</f>
        <v>-</v>
      </c>
      <c r="M41" s="165" t="str">
        <f>IF($F41&gt;CDS.Tenor,"-",0.5*G41*J41*K41)</f>
        <v>-</v>
      </c>
      <c r="N41" s="166" t="str">
        <f>IF($F41&gt;CDS.Tenor,"-",L41+M41)</f>
        <v>-</v>
      </c>
      <c r="Q41" s="181">
        <f>Q40+YearFraction</f>
        <v>9.25</v>
      </c>
      <c r="R41" s="165" t="str">
        <f>IF($F41&gt;CDS.Tenor,"-",CDS.ProtectionSign*CDS.Notional*(1-CDS.RecoveryRate))</f>
        <v>-</v>
      </c>
      <c r="S41" s="154" t="str" cm="1">
        <f t="array" ref="S41">IF($F41&gt;CDS.Tenor,"-",Interpolate(Q41,Calibration.Times,Calibration.HazardRates))</f>
        <v>-</v>
      </c>
      <c r="T41" s="152" t="str">
        <f>IF($F41&gt;CDS.Tenor,"-",EXP(-S41*YearFraction)*T40)</f>
        <v>-</v>
      </c>
      <c r="U41" s="152" t="str">
        <f>IF($F41&gt;CDS.Tenor,"-",T40-T41)</f>
        <v>-</v>
      </c>
      <c r="V41" s="135" t="str">
        <f>IF($F41&gt;CDS.Tenor,"-",EXP(-ZeroRate*Q41))</f>
        <v>-</v>
      </c>
      <c r="W41" s="166" t="str">
        <f>IF($F41&gt;CDS.Tenor,"-",R41*U41*V41)</f>
        <v>-</v>
      </c>
    </row>
    <row r="42" spans="6:23" x14ac:dyDescent="0.3">
      <c r="F42" s="181">
        <f>F41+YearFraction</f>
        <v>9.5</v>
      </c>
      <c r="G42" s="165" t="str">
        <f>IF($F42&gt;CDS.Tenor,"-",CDS.PremiumSign*CDS.Notional*CDS.YearFraction*CDS.CreditSpread)</f>
        <v>-</v>
      </c>
      <c r="H42" s="154" t="str" cm="1">
        <f t="array" ref="H42">IF($F42&gt;CDS.Tenor,"-",Interpolate(F42,Calibration.Times,Calibration.HazardRates))</f>
        <v>-</v>
      </c>
      <c r="I42" s="152" t="str">
        <f>IF($F42&gt;CDS.Tenor,"-",EXP(-H42*YearFraction)*I41)</f>
        <v>-</v>
      </c>
      <c r="J42" s="152" t="str">
        <f>IF($F42&gt;CDS.Tenor,"-",I41-I42)</f>
        <v>-</v>
      </c>
      <c r="K42" s="135" t="str">
        <f>IF($F42&gt;CDS.Tenor,"-",EXP(-ZeroRate*F42))</f>
        <v>-</v>
      </c>
      <c r="L42" s="165" t="str">
        <f>IF($F42&gt;CDS.Tenor,"-",G42*I42*K42)</f>
        <v>-</v>
      </c>
      <c r="M42" s="165" t="str">
        <f>IF($F42&gt;CDS.Tenor,"-",0.5*G42*J42*K42)</f>
        <v>-</v>
      </c>
      <c r="N42" s="166" t="str">
        <f>IF($F42&gt;CDS.Tenor,"-",L42+M42)</f>
        <v>-</v>
      </c>
      <c r="Q42" s="181">
        <f>Q41+YearFraction</f>
        <v>9.5</v>
      </c>
      <c r="R42" s="165" t="str">
        <f>IF($F42&gt;CDS.Tenor,"-",CDS.ProtectionSign*CDS.Notional*(1-CDS.RecoveryRate))</f>
        <v>-</v>
      </c>
      <c r="S42" s="154" t="str" cm="1">
        <f t="array" ref="S42">IF($F42&gt;CDS.Tenor,"-",Interpolate(Q42,Calibration.Times,Calibration.HazardRates))</f>
        <v>-</v>
      </c>
      <c r="T42" s="152" t="str">
        <f>IF($F42&gt;CDS.Tenor,"-",EXP(-S42*YearFraction)*T41)</f>
        <v>-</v>
      </c>
      <c r="U42" s="152" t="str">
        <f>IF($F42&gt;CDS.Tenor,"-",T41-T42)</f>
        <v>-</v>
      </c>
      <c r="V42" s="135" t="str">
        <f>IF($F42&gt;CDS.Tenor,"-",EXP(-ZeroRate*Q42))</f>
        <v>-</v>
      </c>
      <c r="W42" s="166" t="str">
        <f>IF($F42&gt;CDS.Tenor,"-",R42*U42*V42)</f>
        <v>-</v>
      </c>
    </row>
    <row r="43" spans="6:23" x14ac:dyDescent="0.3">
      <c r="F43" s="181">
        <f>F42+YearFraction</f>
        <v>9.75</v>
      </c>
      <c r="G43" s="165" t="str">
        <f>IF($F43&gt;CDS.Tenor,"-",CDS.PremiumSign*CDS.Notional*CDS.YearFraction*CDS.CreditSpread)</f>
        <v>-</v>
      </c>
      <c r="H43" s="154" t="str" cm="1">
        <f t="array" ref="H43">IF($F43&gt;CDS.Tenor,"-",Interpolate(F43,Calibration.Times,Calibration.HazardRates))</f>
        <v>-</v>
      </c>
      <c r="I43" s="152" t="str">
        <f>IF($F43&gt;CDS.Tenor,"-",EXP(-H43*YearFraction)*I42)</f>
        <v>-</v>
      </c>
      <c r="J43" s="152" t="str">
        <f>IF($F43&gt;CDS.Tenor,"-",I42-I43)</f>
        <v>-</v>
      </c>
      <c r="K43" s="135" t="str">
        <f>IF($F43&gt;CDS.Tenor,"-",EXP(-ZeroRate*F43))</f>
        <v>-</v>
      </c>
      <c r="L43" s="165" t="str">
        <f>IF($F43&gt;CDS.Tenor,"-",G43*I43*K43)</f>
        <v>-</v>
      </c>
      <c r="M43" s="165" t="str">
        <f>IF($F43&gt;CDS.Tenor,"-",0.5*G43*J43*K43)</f>
        <v>-</v>
      </c>
      <c r="N43" s="166" t="str">
        <f>IF($F43&gt;CDS.Tenor,"-",L43+M43)</f>
        <v>-</v>
      </c>
      <c r="Q43" s="181">
        <f>Q42+YearFraction</f>
        <v>9.75</v>
      </c>
      <c r="R43" s="165" t="str">
        <f>IF($F43&gt;CDS.Tenor,"-",CDS.ProtectionSign*CDS.Notional*(1-CDS.RecoveryRate))</f>
        <v>-</v>
      </c>
      <c r="S43" s="154" t="str" cm="1">
        <f t="array" ref="S43">IF($F43&gt;CDS.Tenor,"-",Interpolate(Q43,Calibration.Times,Calibration.HazardRates))</f>
        <v>-</v>
      </c>
      <c r="T43" s="152" t="str">
        <f>IF($F43&gt;CDS.Tenor,"-",EXP(-S43*YearFraction)*T42)</f>
        <v>-</v>
      </c>
      <c r="U43" s="152" t="str">
        <f>IF($F43&gt;CDS.Tenor,"-",T42-T43)</f>
        <v>-</v>
      </c>
      <c r="V43" s="135" t="str">
        <f>IF($F43&gt;CDS.Tenor,"-",EXP(-ZeroRate*Q43))</f>
        <v>-</v>
      </c>
      <c r="W43" s="166" t="str">
        <f>IF($F43&gt;CDS.Tenor,"-",R43*U43*V43)</f>
        <v>-</v>
      </c>
    </row>
    <row r="44" spans="6:23" x14ac:dyDescent="0.3">
      <c r="F44" s="182">
        <f>F43+YearFraction</f>
        <v>10</v>
      </c>
      <c r="G44" s="41" t="str">
        <f>IF($F44&gt;CDS.Tenor,"-",CDS.PremiumSign*CDS.Notional*CDS.YearFraction*CDS.CreditSpread)</f>
        <v>-</v>
      </c>
      <c r="H44" s="39" t="str" cm="1">
        <f t="array" ref="H44">IF($F44&gt;CDS.Tenor,"-",Interpolate(F44,Calibration.Times,Calibration.HazardRates))</f>
        <v>-</v>
      </c>
      <c r="I44" s="153" t="str">
        <f>IF($F44&gt;CDS.Tenor,"-",EXP(-H44*YearFraction)*I43)</f>
        <v>-</v>
      </c>
      <c r="J44" s="153" t="str">
        <f>IF($F44&gt;CDS.Tenor,"-",I43-I44)</f>
        <v>-</v>
      </c>
      <c r="K44" s="105" t="str">
        <f>IF($F44&gt;CDS.Tenor,"-",EXP(-ZeroRate*F44))</f>
        <v>-</v>
      </c>
      <c r="L44" s="41" t="str">
        <f>IF($F44&gt;CDS.Tenor,"-",G44*I44*K44)</f>
        <v>-</v>
      </c>
      <c r="M44" s="41" t="str">
        <f>IF($F44&gt;CDS.Tenor,"-",0.5*G44*J44*K44)</f>
        <v>-</v>
      </c>
      <c r="N44" s="183" t="str">
        <f>IF($F44&gt;CDS.Tenor,"-",L44+M44)</f>
        <v>-</v>
      </c>
      <c r="Q44" s="182">
        <f>Q43+YearFraction</f>
        <v>10</v>
      </c>
      <c r="R44" s="41" t="str">
        <f>IF($F44&gt;CDS.Tenor,"-",CDS.ProtectionSign*CDS.Notional*(1-CDS.RecoveryRate))</f>
        <v>-</v>
      </c>
      <c r="S44" s="39" t="str" cm="1">
        <f t="array" ref="S44">IF($F44&gt;CDS.Tenor,"-",Interpolate(Q44,Calibration.Times,Calibration.HazardRates))</f>
        <v>-</v>
      </c>
      <c r="T44" s="153" t="str">
        <f>IF($F44&gt;CDS.Tenor,"-",EXP(-S44*YearFraction)*T43)</f>
        <v>-</v>
      </c>
      <c r="U44" s="153" t="str">
        <f>IF($F44&gt;CDS.Tenor,"-",T43-T44)</f>
        <v>-</v>
      </c>
      <c r="V44" s="105" t="str">
        <f>IF($F44&gt;CDS.Tenor,"-",EXP(-ZeroRate*Q44))</f>
        <v>-</v>
      </c>
      <c r="W44" s="183" t="str">
        <f>IF($F44&gt;CDS.Tenor,"-",R44*U44*V44)</f>
        <v>-</v>
      </c>
    </row>
  </sheetData>
  <dataValidations disablePrompts="1" count="1">
    <dataValidation type="list" allowBlank="1" showInputMessage="1" showErrorMessage="1" sqref="D3" xr:uid="{81AFAF33-EA2B-4038-A6BA-61682DDB7E32}">
      <formula1>"BUY,SELL"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Yield Curve</vt:lpstr>
      <vt:lpstr>Credit Curve</vt:lpstr>
      <vt:lpstr>CDS Price</vt:lpstr>
      <vt:lpstr>Calibration.HazardRates</vt:lpstr>
      <vt:lpstr>Calibration.Times</vt:lpstr>
      <vt:lpstr>CDS.BuySell</vt:lpstr>
      <vt:lpstr>CDS.CreditSpread</vt:lpstr>
      <vt:lpstr>CDS.Notional</vt:lpstr>
      <vt:lpstr>CDS.PremiumLegPV</vt:lpstr>
      <vt:lpstr>CDS.PremiumSign</vt:lpstr>
      <vt:lpstr>CDS.ProtectionSign</vt:lpstr>
      <vt:lpstr>CDS.RecoveryRate</vt:lpstr>
      <vt:lpstr>CDS.Spread</vt:lpstr>
      <vt:lpstr>CDS.Tenor</vt:lpstr>
      <vt:lpstr>CDS.YearFraction</vt:lpstr>
      <vt:lpstr>CreditName</vt:lpstr>
      <vt:lpstr>Currency</vt:lpstr>
      <vt:lpstr>DiscFactors10Y</vt:lpstr>
      <vt:lpstr>DiscFactors1Y</vt:lpstr>
      <vt:lpstr>DiscFactors2Y</vt:lpstr>
      <vt:lpstr>DiscFactors3Y</vt:lpstr>
      <vt:lpstr>DiscFactors4Y</vt:lpstr>
      <vt:lpstr>DiscFactors5Y</vt:lpstr>
      <vt:lpstr>Epsilon</vt:lpstr>
      <vt:lpstr>Frequency</vt:lpstr>
      <vt:lpstr>HazardRate10Y</vt:lpstr>
      <vt:lpstr>HazardRate1Y</vt:lpstr>
      <vt:lpstr>HazardRate2Y</vt:lpstr>
      <vt:lpstr>HazardRate3Y</vt:lpstr>
      <vt:lpstr>HazardRate4Y</vt:lpstr>
      <vt:lpstr>HazardRate5Y</vt:lpstr>
      <vt:lpstr>InterationResults</vt:lpstr>
      <vt:lpstr>InterationResults1</vt:lpstr>
      <vt:lpstr>IterationCount</vt:lpstr>
      <vt:lpstr>LGD</vt:lpstr>
      <vt:lpstr>Notional</vt:lpstr>
      <vt:lpstr>PDefault10Y</vt:lpstr>
      <vt:lpstr>PDefault1Y</vt:lpstr>
      <vt:lpstr>PDefault2Y</vt:lpstr>
      <vt:lpstr>PDefault3Y</vt:lpstr>
      <vt:lpstr>PDefault4Y</vt:lpstr>
      <vt:lpstr>PDefault5Y</vt:lpstr>
      <vt:lpstr>Protection10Y</vt:lpstr>
      <vt:lpstr>Protection1Y</vt:lpstr>
      <vt:lpstr>Protection2Y</vt:lpstr>
      <vt:lpstr>Protection3Y</vt:lpstr>
      <vt:lpstr>Protection4Y</vt:lpstr>
      <vt:lpstr>Protection5Y</vt:lpstr>
      <vt:lpstr>PSurvival10Y</vt:lpstr>
      <vt:lpstr>PSurvival1Y</vt:lpstr>
      <vt:lpstr>PSurvival2Y</vt:lpstr>
      <vt:lpstr>PSurvival3Y</vt:lpstr>
      <vt:lpstr>PSurvival4Y</vt:lpstr>
      <vt:lpstr>PSurvival5Y</vt:lpstr>
      <vt:lpstr>RecoveryRate</vt:lpstr>
      <vt:lpstr>RiskyAnnuity10Y</vt:lpstr>
      <vt:lpstr>RiskyAnnuity1Y</vt:lpstr>
      <vt:lpstr>RiskyAnnuity2Y</vt:lpstr>
      <vt:lpstr>RiskyAnnuity3Y</vt:lpstr>
      <vt:lpstr>RiskyAnnuity4Y</vt:lpstr>
      <vt:lpstr>RiskyAnnuity5Y</vt:lpstr>
      <vt:lpstr>ShiftSize</vt:lpstr>
      <vt:lpstr>ShowIterations</vt:lpstr>
      <vt:lpstr>Tolerance</vt:lpstr>
      <vt:lpstr>X0</vt:lpstr>
      <vt:lpstr>Xn</vt:lpstr>
      <vt:lpstr>XnPlus1</vt:lpstr>
      <vt:lpstr>YearFraction</vt:lpstr>
      <vt:lpstr>ZeroRate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2025-10-30T16:17:06Z</dcterms:created>
  <dcterms:modified xsi:type="dcterms:W3CDTF">2025-11-02T02:37:48Z</dcterms:modified>
</cp:coreProperties>
</file>