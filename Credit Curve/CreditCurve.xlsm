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las Burgess\Desktop\Credit Curve\"/>
    </mc:Choice>
  </mc:AlternateContent>
  <xr:revisionPtr revIDLastSave="0" documentId="13_ncr:1_{28D61FFD-9CF9-4B96-B612-C6CFF9D7B0BF}" xr6:coauthVersionLast="47" xr6:coauthVersionMax="47" xr10:uidLastSave="{00000000-0000-0000-0000-000000000000}"/>
  <bookViews>
    <workbookView xWindow="-108" yWindow="-108" windowWidth="23256" windowHeight="12456" activeTab="1" xr2:uid="{240FB811-79B9-4413-B467-37154B088B69}"/>
  </bookViews>
  <sheets>
    <sheet name="Yield Curve" sheetId="2" r:id="rId1"/>
    <sheet name="Credit Curve" sheetId="1" r:id="rId2"/>
    <sheet name="CDS Price" sheetId="3" r:id="rId3"/>
  </sheets>
  <functionGroups builtInGroupCount="19"/>
  <definedNames>
    <definedName name="Calibration.HazardRates">'Credit Curve'!$T$4:$T$9</definedName>
    <definedName name="Calibration.Times">'Credit Curve'!$S$4:$S$9</definedName>
    <definedName name="CDS.BuySell">'CDS Price'!$D$3</definedName>
    <definedName name="CDS.CreditSpread">'CDS Price'!$D$12</definedName>
    <definedName name="CDS.Notional">'CDS Price'!$D$4</definedName>
    <definedName name="CDS.PremiumLegPV">'CDS Price'!$D$17</definedName>
    <definedName name="CDS.PremiumSign">'CDS Price'!$D$10</definedName>
    <definedName name="CDS.ProtectionSign">'CDS Price'!$D$11</definedName>
    <definedName name="CDS.RecoveryRate">'CDS Price'!$D$7</definedName>
    <definedName name="CDS.Spread">'CDS Price'!$D$5</definedName>
    <definedName name="CDS.Tenor">'CDS Price'!$D$6</definedName>
    <definedName name="CDS.YearFraction">'CDS Price'!$D$13</definedName>
    <definedName name="CreditName">'Credit Curve'!$M$3</definedName>
    <definedName name="Currency">'Credit Curve'!$M$4</definedName>
    <definedName name="DiscFactors10Y">'Credit Curve'!$AB$5:$AB$44</definedName>
    <definedName name="DiscFactors1Y">'Credit Curve'!$AB$5:$AB$8</definedName>
    <definedName name="DiscFactors2Y">'Credit Curve'!$AB$5:$AB$12</definedName>
    <definedName name="DiscFactors3Y">'Credit Curve'!$AB$5:$AB$16</definedName>
    <definedName name="DiscFactors4Y">'Credit Curve'!$AB$5:$AB$20</definedName>
    <definedName name="DiscFactors5Y">'Credit Curve'!$AB$5:$AB$24</definedName>
    <definedName name="Epsilon">'Credit Curve'!$Q$23</definedName>
    <definedName name="Frequency">'Credit Curve'!$M$5</definedName>
    <definedName name="HazardRate10Y">'Credit Curve'!$T$9</definedName>
    <definedName name="HazardRate1Y">'Credit Curve'!$T$4</definedName>
    <definedName name="HazardRate2Y">'Credit Curve'!$T$5</definedName>
    <definedName name="HazardRate3Y">'Credit Curve'!$T$6</definedName>
    <definedName name="HazardRate4Y">'Credit Curve'!$T$7</definedName>
    <definedName name="HazardRate5Y">'Credit Curve'!$T$8</definedName>
    <definedName name="InterationResults">'Credit Curve'!$K$42:$U$47</definedName>
    <definedName name="InterationResults1">'Credit Curve'!$K$42:$K$47</definedName>
    <definedName name="IterationCount">'Credit Curve'!$K$25</definedName>
    <definedName name="LGD">'Credit Curve'!$M$9</definedName>
    <definedName name="Notional">'Credit Curve'!$M$8</definedName>
    <definedName name="PDefault10Y">'Credit Curve'!$AA$5:$AA$44</definedName>
    <definedName name="PDefault1Y">'Credit Curve'!$AA$5:$AA$8</definedName>
    <definedName name="PDefault2Y">'Credit Curve'!$AA$5:$AA$12</definedName>
    <definedName name="PDefault3Y">'Credit Curve'!$AA$5:$AA$16</definedName>
    <definedName name="PDefault4Y">'Credit Curve'!$AA$5:$AA$20</definedName>
    <definedName name="PDefault5Y">'Credit Curve'!$AA$5:$AA$24</definedName>
    <definedName name="Protection10Y">'Credit Curve'!$P$19</definedName>
    <definedName name="Protection1Y">'Credit Curve'!$P$14</definedName>
    <definedName name="Protection2Y">'Credit Curve'!$P$15</definedName>
    <definedName name="Protection3Y">'Credit Curve'!$P$16</definedName>
    <definedName name="Protection4Y">'Credit Curve'!$P$17</definedName>
    <definedName name="Protection5Y">'Credit Curve'!$P$18</definedName>
    <definedName name="PSurvival10Y">'Credit Curve'!$Z$5:$Z$44</definedName>
    <definedName name="PSurvival1Y">'Credit Curve'!$Z$5:$Z$8</definedName>
    <definedName name="PSurvival2Y">'Credit Curve'!$Z$5:$Z$12</definedName>
    <definedName name="PSurvival3Y">'Credit Curve'!$Z$5:$Z$16</definedName>
    <definedName name="PSurvival4Y">'Credit Curve'!$Z$5:$Z$20</definedName>
    <definedName name="PSurvival5Y">'Credit Curve'!$Z$5:$Z$24</definedName>
    <definedName name="RecoveryRate">'Credit Curve'!$M$6</definedName>
    <definedName name="RiskyAnnuity10Y">'Credit Curve'!$S$19</definedName>
    <definedName name="RiskyAnnuity1Y">'Credit Curve'!$S$14</definedName>
    <definedName name="RiskyAnnuity2Y">'Credit Curve'!$S$15</definedName>
    <definedName name="RiskyAnnuity3Y">'Credit Curve'!$S$16</definedName>
    <definedName name="RiskyAnnuity4Y">'Credit Curve'!$S$17</definedName>
    <definedName name="RiskyAnnuity5Y">'Credit Curve'!$S$18</definedName>
    <definedName name="ShiftSize">'Credit Curve'!$AH$48</definedName>
    <definedName name="ShowIterations">'Credit Curve'!$O$37</definedName>
    <definedName name="Tolerance">'Credit Curve'!$O$23</definedName>
    <definedName name="X0">'Credit Curve'!$O$27:$O$32</definedName>
    <definedName name="Xn">'Credit Curve'!$N$27:$N$32</definedName>
    <definedName name="XnPlus1">'Credit Curve'!$M$27:$M$32</definedName>
    <definedName name="YearFraction">'Credit Curve'!$M$7</definedName>
    <definedName name="ZeroRate">'Yield Curve'!$C$7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1" l="1"/>
  <c r="O28" i="1"/>
  <c r="O29" i="1"/>
  <c r="O30" i="1"/>
  <c r="O31" i="1"/>
  <c r="O32" i="1"/>
  <c r="S26" i="1"/>
  <c r="S35" i="1"/>
  <c r="S33" i="1"/>
  <c r="S34" i="1" s="1"/>
  <c r="S31" i="1"/>
  <c r="S32" i="1" s="1"/>
  <c r="S29" i="1"/>
  <c r="S30" i="1" s="1"/>
  <c r="S27" i="1"/>
  <c r="S28" i="1" s="1"/>
  <c r="F14" i="2"/>
  <c r="D10" i="3"/>
  <c r="W4" i="3"/>
  <c r="S4" i="3"/>
  <c r="R4" i="3"/>
  <c r="Q5" i="3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F5" i="3"/>
  <c r="D12" i="3"/>
  <c r="L53" i="1"/>
  <c r="M53" i="1"/>
  <c r="N53" i="1"/>
  <c r="O53" i="1"/>
  <c r="P53" i="1"/>
  <c r="M54" i="1"/>
  <c r="N54" i="1"/>
  <c r="O54" i="1"/>
  <c r="P54" i="1"/>
  <c r="N55" i="1"/>
  <c r="O55" i="1"/>
  <c r="P55" i="1"/>
  <c r="O56" i="1"/>
  <c r="P56" i="1"/>
  <c r="P57" i="1"/>
  <c r="AG5" i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T4" i="1"/>
  <c r="AH5" i="1" s="1"/>
  <c r="T5" i="1"/>
  <c r="AL6" i="1" s="1"/>
  <c r="T6" i="1"/>
  <c r="BB7" i="1" s="1"/>
  <c r="T7" i="1"/>
  <c r="AL8" i="1" s="1"/>
  <c r="T8" i="1"/>
  <c r="AT9" i="1" s="1"/>
  <c r="T9" i="1"/>
  <c r="BB10" i="1" s="1"/>
  <c r="Q4" i="1"/>
  <c r="Q5" i="1"/>
  <c r="Q6" i="1"/>
  <c r="Q7" i="1"/>
  <c r="Q8" i="1"/>
  <c r="Q9" i="1"/>
  <c r="M9" i="1"/>
  <c r="T24" i="1" a="1"/>
  <c r="T33" i="1" a="1"/>
  <c r="T25" i="1" a="1"/>
  <c r="T26" i="1" a="1"/>
  <c r="T34" i="1" a="1"/>
  <c r="T27" i="1" a="1"/>
  <c r="T28" i="1" a="1"/>
  <c r="T29" i="1" a="1"/>
  <c r="T30" i="1" a="1"/>
  <c r="T32" i="1" a="1"/>
  <c r="T35" i="1" a="1"/>
  <c r="T31" i="1" a="1"/>
  <c r="BC27" i="1" a="1"/>
  <c r="BC31" i="1" a="1"/>
  <c r="BC34" i="1" a="1"/>
  <c r="AM20" i="1" a="1"/>
  <c r="BC41" i="1" a="1"/>
  <c r="BC14" i="1" a="1"/>
  <c r="BC37" i="1" a="1"/>
  <c r="BC39" i="1" a="1"/>
  <c r="BC40" i="1" a="1"/>
  <c r="BC36" i="1" a="1"/>
  <c r="BC16" i="1" a="1"/>
  <c r="BC28" i="1" a="1"/>
  <c r="BC43" i="1" a="1"/>
  <c r="BC26" i="1" a="1"/>
  <c r="AM19" i="1" a="1"/>
  <c r="BC42" i="1" a="1"/>
  <c r="AM17" i="1" a="1"/>
  <c r="AI5" i="1" a="1"/>
  <c r="AM18" i="1" a="1"/>
  <c r="Y4" i="1" a="1"/>
  <c r="BC38" i="1" a="1"/>
  <c r="BC25" i="1" a="1"/>
  <c r="BC13" i="1" a="1"/>
  <c r="AU22" i="1" a="1"/>
  <c r="BC32" i="1" a="1"/>
  <c r="BC44" i="1" a="1"/>
  <c r="AU24" i="1" a="1"/>
  <c r="BC15" i="1" a="1"/>
  <c r="BC35" i="1" a="1"/>
  <c r="BC33" i="1" a="1"/>
  <c r="BC29" i="1" a="1"/>
  <c r="BC30" i="1" a="1"/>
  <c r="AU21" i="1" a="1"/>
  <c r="AU23" i="1" a="1"/>
  <c r="T31" i="1" l="1"/>
  <c r="T35" i="1"/>
  <c r="T32" i="1"/>
  <c r="T30" i="1"/>
  <c r="T29" i="1"/>
  <c r="T28" i="1"/>
  <c r="T27" i="1"/>
  <c r="T34" i="1"/>
  <c r="T26" i="1"/>
  <c r="T25" i="1"/>
  <c r="T33" i="1"/>
  <c r="T24" i="1"/>
  <c r="F11" i="2"/>
  <c r="F13" i="2"/>
  <c r="F12" i="2"/>
  <c r="F10" i="2"/>
  <c r="F8" i="2"/>
  <c r="F9" i="2"/>
  <c r="F7" i="2"/>
  <c r="F16" i="2"/>
  <c r="F15" i="2"/>
  <c r="K5" i="3"/>
  <c r="V5" i="3"/>
  <c r="G5" i="3"/>
  <c r="F6" i="3"/>
  <c r="D11" i="3"/>
  <c r="R5" i="3" s="1"/>
  <c r="AI5" i="1"/>
  <c r="AP7" i="1"/>
  <c r="AT8" i="1"/>
  <c r="AH7" i="1"/>
  <c r="AX7" i="1"/>
  <c r="AX9" i="1"/>
  <c r="BC31" i="1"/>
  <c r="AU23" i="1"/>
  <c r="BC15" i="1"/>
  <c r="AU24" i="1"/>
  <c r="BC16" i="1"/>
  <c r="BC32" i="1"/>
  <c r="BC40" i="1"/>
  <c r="AU22" i="1"/>
  <c r="BC30" i="1"/>
  <c r="BC39" i="1"/>
  <c r="BC25" i="1"/>
  <c r="BC33" i="1"/>
  <c r="BC41" i="1"/>
  <c r="BC42" i="1"/>
  <c r="BC26" i="1"/>
  <c r="BC34" i="1"/>
  <c r="BC27" i="1"/>
  <c r="BC35" i="1"/>
  <c r="BC43" i="1"/>
  <c r="BC28" i="1"/>
  <c r="BC44" i="1"/>
  <c r="BC36" i="1"/>
  <c r="AU21" i="1"/>
  <c r="BC13" i="1"/>
  <c r="BC29" i="1"/>
  <c r="BC37" i="1"/>
  <c r="BC38" i="1"/>
  <c r="BC14" i="1"/>
  <c r="AH10" i="1"/>
  <c r="AL7" i="1"/>
  <c r="AL9" i="1"/>
  <c r="BB5" i="1"/>
  <c r="AM18" i="1"/>
  <c r="AM17" i="1"/>
  <c r="AM19" i="1"/>
  <c r="AM20" i="1"/>
  <c r="AP6" i="1"/>
  <c r="BB6" i="1"/>
  <c r="AX6" i="1"/>
  <c r="AH6" i="1"/>
  <c r="AT6" i="1"/>
  <c r="AP5" i="1"/>
  <c r="AX5" i="1"/>
  <c r="AT5" i="1"/>
  <c r="AL5" i="1"/>
  <c r="AP10" i="1"/>
  <c r="AX10" i="1"/>
  <c r="AT10" i="1"/>
  <c r="AL10" i="1"/>
  <c r="AT7" i="1"/>
  <c r="AP9" i="1"/>
  <c r="BB9" i="1"/>
  <c r="BB8" i="1"/>
  <c r="AP8" i="1"/>
  <c r="AH8" i="1"/>
  <c r="AX8" i="1"/>
  <c r="AH9" i="1"/>
  <c r="Y4" i="1"/>
  <c r="L19" i="1"/>
  <c r="M19" i="1" s="1"/>
  <c r="L16" i="1"/>
  <c r="M16" i="1" s="1"/>
  <c r="L15" i="1"/>
  <c r="M15" i="1" s="1"/>
  <c r="L18" i="1"/>
  <c r="M18" i="1" s="1"/>
  <c r="L17" i="1"/>
  <c r="M17" i="1" s="1"/>
  <c r="L14" i="1"/>
  <c r="M14" i="1" s="1"/>
  <c r="X5" i="1"/>
  <c r="S5" i="3" a="1"/>
  <c r="H5" i="3" a="1"/>
  <c r="AU8" i="1" a="1"/>
  <c r="AI42" i="1" a="1"/>
  <c r="AI43" i="1" a="1"/>
  <c r="AQ43" i="1" a="1"/>
  <c r="AU34" i="1" a="1"/>
  <c r="AM38" i="1" a="1"/>
  <c r="AM28" i="1" a="1"/>
  <c r="AY25" i="1" a="1"/>
  <c r="BC10" i="1" a="1"/>
  <c r="AQ11" i="1" a="1"/>
  <c r="AM11" i="1" a="1"/>
  <c r="AY10" i="1" a="1"/>
  <c r="AI6" i="1" a="1"/>
  <c r="AY33" i="1" a="1"/>
  <c r="AQ10" i="1" a="1"/>
  <c r="AM12" i="1" a="1"/>
  <c r="AI8" i="1" a="1"/>
  <c r="AM33" i="1" a="1"/>
  <c r="AY41" i="1" a="1"/>
  <c r="AM9" i="1" a="1"/>
  <c r="AI9" i="1" a="1"/>
  <c r="AI36" i="1" a="1"/>
  <c r="AU7" i="1" a="1"/>
  <c r="AU26" i="1" a="1"/>
  <c r="BC9" i="1" a="1"/>
  <c r="AU6" i="1" a="1"/>
  <c r="AI31" i="1" a="1"/>
  <c r="AI35" i="1" a="1"/>
  <c r="AQ35" i="1" a="1"/>
  <c r="AU27" i="1" a="1"/>
  <c r="AM25" i="1" a="1"/>
  <c r="AM36" i="1" a="1"/>
  <c r="BC11" i="1" a="1"/>
  <c r="AY11" i="1" a="1"/>
  <c r="BC12" i="1" a="1"/>
  <c r="AY12" i="1" a="1"/>
  <c r="AI11" i="1" a="1"/>
  <c r="AM16" i="1" a="1"/>
  <c r="AY9" i="1" a="1"/>
  <c r="AU5" i="1" a="1"/>
  <c r="AI41" i="1" a="1"/>
  <c r="AI27" i="1" a="1"/>
  <c r="AQ36" i="1" a="1"/>
  <c r="AU35" i="1" a="1"/>
  <c r="AM44" i="1" a="1"/>
  <c r="AQ12" i="1" a="1"/>
  <c r="AQ21" i="1" a="1"/>
  <c r="AM5" i="1" a="1"/>
  <c r="AI40" i="1" a="1"/>
  <c r="AQ30" i="1" a="1"/>
  <c r="AQ28" i="1" a="1"/>
  <c r="AU43" i="1" a="1"/>
  <c r="AM41" i="1" a="1"/>
  <c r="AU16" i="1" a="1"/>
  <c r="AY38" i="1" a="1"/>
  <c r="AU9" i="1" a="1"/>
  <c r="AQ15" i="1" a="1"/>
  <c r="BC24" i="1" a="1"/>
  <c r="AY17" i="1" a="1"/>
  <c r="AI12" i="1" a="1"/>
  <c r="AY26" i="1" a="1"/>
  <c r="AQ16" i="1" a="1"/>
  <c r="AY18" i="1" a="1"/>
  <c r="AU42" i="1" a="1"/>
  <c r="AM8" i="1" a="1"/>
  <c r="AI30" i="1" a="1"/>
  <c r="AQ39" i="1" a="1"/>
  <c r="AQ44" i="1" a="1"/>
  <c r="AU28" i="1" a="1"/>
  <c r="AM31" i="1" a="1"/>
  <c r="AU14" i="1" a="1"/>
  <c r="AU10" i="1" a="1"/>
  <c r="BC23" i="1" a="1"/>
  <c r="AY37" i="1" a="1"/>
  <c r="AI19" i="1" a="1"/>
  <c r="AQ9" i="1" a="1"/>
  <c r="AM6" i="1" a="1"/>
  <c r="AI39" i="1" a="1"/>
  <c r="AQ32" i="1" a="1"/>
  <c r="AQ29" i="1" a="1"/>
  <c r="AU44" i="1" a="1"/>
  <c r="AM37" i="1" a="1"/>
  <c r="AU15" i="1" a="1"/>
  <c r="AY42" i="1" a="1"/>
  <c r="AU11" i="1" a="1"/>
  <c r="AQ14" i="1" a="1"/>
  <c r="BC22" i="1" a="1"/>
  <c r="AY19" i="1" a="1"/>
  <c r="AI10" i="1" a="1"/>
  <c r="AM7" i="1" a="1"/>
  <c r="AI26" i="1" a="1"/>
  <c r="AQ40" i="1" a="1"/>
  <c r="AQ37" i="1" a="1"/>
  <c r="AU30" i="1" a="1"/>
  <c r="AM26" i="1" a="1"/>
  <c r="AU13" i="1" a="1"/>
  <c r="AY34" i="1" a="1"/>
  <c r="AU12" i="1" a="1"/>
  <c r="AQ13" i="1" a="1"/>
  <c r="BC21" i="1" a="1"/>
  <c r="AY20" i="1" a="1"/>
  <c r="Y5" i="1" a="1"/>
  <c r="AI16" i="1" a="1"/>
  <c r="AQ7" i="1" a="1"/>
  <c r="AI38" i="1" a="1"/>
  <c r="AQ31" i="1" a="1"/>
  <c r="AU31" i="1" a="1"/>
  <c r="AU36" i="1" a="1"/>
  <c r="AM42" i="1" a="1"/>
  <c r="BC7" i="1" a="1"/>
  <c r="AY27" i="1" a="1"/>
  <c r="AU17" i="1" a="1"/>
  <c r="AY23" i="1" a="1"/>
  <c r="BC17" i="1" a="1"/>
  <c r="AI24" i="1" a="1"/>
  <c r="AY8" i="1" a="1"/>
  <c r="AQ26" i="1" a="1"/>
  <c r="AM14" i="1" a="1"/>
  <c r="AY39" i="1" a="1"/>
  <c r="AQ24" i="1" a="1"/>
  <c r="AM22" i="1" a="1"/>
  <c r="AI18" i="1" a="1"/>
  <c r="AY15" i="1" a="1"/>
  <c r="AQ38" i="1" a="1"/>
  <c r="AM15" i="1" a="1"/>
  <c r="AM40" i="1" a="1"/>
  <c r="AY36" i="1" a="1"/>
  <c r="AM21" i="1" a="1"/>
  <c r="AI17" i="1" a="1"/>
  <c r="AY16" i="1" a="1"/>
  <c r="AQ34" i="1" a="1"/>
  <c r="AM27" i="1" a="1"/>
  <c r="AY29" i="1" a="1"/>
  <c r="AQ19" i="1" a="1"/>
  <c r="AQ42" i="1" a="1"/>
  <c r="AM23" i="1" a="1"/>
  <c r="AI28" i="1" a="1"/>
  <c r="AM43" i="1" a="1"/>
  <c r="AI29" i="1" a="1"/>
  <c r="AI44" i="1" a="1"/>
  <c r="AM13" i="1" a="1"/>
  <c r="AQ23" i="1" a="1"/>
  <c r="AI20" i="1" a="1"/>
  <c r="AY13" i="1" a="1"/>
  <c r="AY30" i="1" a="1"/>
  <c r="AQ27" i="1" a="1"/>
  <c r="AY31" i="1" a="1"/>
  <c r="AI7" i="1" a="1"/>
  <c r="AI15" i="1" a="1"/>
  <c r="AQ8" i="1" a="1"/>
  <c r="AI25" i="1" a="1"/>
  <c r="AQ25" i="1" a="1"/>
  <c r="AU32" i="1" a="1"/>
  <c r="AU38" i="1" a="1"/>
  <c r="AM39" i="1" a="1"/>
  <c r="BC8" i="1" a="1"/>
  <c r="AY35" i="1" a="1"/>
  <c r="AU18" i="1" a="1"/>
  <c r="AY24" i="1" a="1"/>
  <c r="BC18" i="1" a="1"/>
  <c r="AI23" i="1" a="1"/>
  <c r="AI14" i="1" a="1"/>
  <c r="AQ6" i="1" a="1"/>
  <c r="AI34" i="1" a="1"/>
  <c r="AQ33" i="1" a="1"/>
  <c r="AU40" i="1" a="1"/>
  <c r="AU29" i="1" a="1"/>
  <c r="AM32" i="1" a="1"/>
  <c r="BC6" i="1" a="1"/>
  <c r="AY43" i="1" a="1"/>
  <c r="AU19" i="1" a="1"/>
  <c r="AY22" i="1" a="1"/>
  <c r="BC19" i="1" a="1"/>
  <c r="AI22" i="1" a="1"/>
  <c r="AI13" i="1" a="1"/>
  <c r="AQ5" i="1" a="1"/>
  <c r="AI32" i="1" a="1"/>
  <c r="AQ41" i="1" a="1"/>
  <c r="AU39" i="1" a="1"/>
  <c r="AU37" i="1" a="1"/>
  <c r="AM34" i="1" a="1"/>
  <c r="BC5" i="1" a="1"/>
  <c r="AY28" i="1" a="1"/>
  <c r="AU20" i="1" a="1"/>
  <c r="AY21" i="1" a="1"/>
  <c r="BC20" i="1" a="1"/>
  <c r="AI21" i="1" a="1"/>
  <c r="AY14" i="1" a="1"/>
  <c r="AI37" i="1" a="1"/>
  <c r="AU25" i="1" a="1"/>
  <c r="AM29" i="1" a="1"/>
  <c r="AY44" i="1" a="1"/>
  <c r="AQ17" i="1" a="1"/>
  <c r="AY7" i="1" a="1"/>
  <c r="AU33" i="1" a="1"/>
  <c r="AY32" i="1" a="1"/>
  <c r="AQ22" i="1" a="1"/>
  <c r="AQ18" i="1" a="1"/>
  <c r="AY6" i="1" a="1"/>
  <c r="AU41" i="1" a="1"/>
  <c r="AY40" i="1" a="1"/>
  <c r="AM24" i="1" a="1"/>
  <c r="AY5" i="1" a="1"/>
  <c r="AM35" i="1" a="1"/>
  <c r="AQ20" i="1" a="1"/>
  <c r="AI33" i="1" a="1"/>
  <c r="AM30" i="1" a="1"/>
  <c r="AM10" i="1" a="1"/>
  <c r="S5" i="3" l="1"/>
  <c r="H5" i="3"/>
  <c r="K6" i="3"/>
  <c r="G6" i="3"/>
  <c r="V6" i="3"/>
  <c r="R6" i="3"/>
  <c r="F7" i="3"/>
  <c r="AY13" i="1"/>
  <c r="AY16" i="1"/>
  <c r="AY15" i="1"/>
  <c r="AY14" i="1"/>
  <c r="AI13" i="1"/>
  <c r="AI14" i="1"/>
  <c r="AI15" i="1"/>
  <c r="AI16" i="1"/>
  <c r="AY20" i="1"/>
  <c r="AY19" i="1"/>
  <c r="AY18" i="1"/>
  <c r="AY17" i="1"/>
  <c r="AY12" i="1"/>
  <c r="AY11" i="1"/>
  <c r="AY10" i="1"/>
  <c r="AY9" i="1"/>
  <c r="AQ20" i="1"/>
  <c r="AQ19" i="1"/>
  <c r="AQ18" i="1"/>
  <c r="AQ17" i="1"/>
  <c r="BC20" i="1"/>
  <c r="BC19" i="1"/>
  <c r="BC18" i="1"/>
  <c r="BC17" i="1"/>
  <c r="BC21" i="1"/>
  <c r="BC22" i="1"/>
  <c r="BC23" i="1"/>
  <c r="BC24" i="1"/>
  <c r="AM9" i="1"/>
  <c r="AM12" i="1"/>
  <c r="AM11" i="1"/>
  <c r="AM10" i="1"/>
  <c r="AM23" i="1"/>
  <c r="AM24" i="1"/>
  <c r="AM21" i="1"/>
  <c r="AM22" i="1"/>
  <c r="AY21" i="1"/>
  <c r="AY22" i="1"/>
  <c r="AY24" i="1"/>
  <c r="AY23" i="1"/>
  <c r="AQ13" i="1"/>
  <c r="AQ14" i="1"/>
  <c r="AQ16" i="1"/>
  <c r="AQ15" i="1"/>
  <c r="AQ12" i="1"/>
  <c r="AQ10" i="1"/>
  <c r="AQ11" i="1"/>
  <c r="AQ9" i="1"/>
  <c r="AQ21" i="1"/>
  <c r="AQ23" i="1"/>
  <c r="AQ22" i="1"/>
  <c r="AQ24" i="1"/>
  <c r="AU20" i="1"/>
  <c r="AU19" i="1"/>
  <c r="AU18" i="1"/>
  <c r="AU17" i="1"/>
  <c r="AU12" i="1"/>
  <c r="AU11" i="1"/>
  <c r="AU10" i="1"/>
  <c r="AU9" i="1"/>
  <c r="BC12" i="1"/>
  <c r="BC11" i="1"/>
  <c r="BC10" i="1"/>
  <c r="BC9" i="1"/>
  <c r="AY37" i="1"/>
  <c r="AY29" i="1"/>
  <c r="AY36" i="1"/>
  <c r="AY44" i="1"/>
  <c r="AY28" i="1"/>
  <c r="AY43" i="1"/>
  <c r="AY35" i="1"/>
  <c r="AY27" i="1"/>
  <c r="AY34" i="1"/>
  <c r="AY42" i="1"/>
  <c r="AY26" i="1"/>
  <c r="AY38" i="1"/>
  <c r="AY41" i="1"/>
  <c r="AY33" i="1"/>
  <c r="AY25" i="1"/>
  <c r="AY31" i="1"/>
  <c r="AY30" i="1"/>
  <c r="AY40" i="1"/>
  <c r="AY32" i="1"/>
  <c r="AY39" i="1"/>
  <c r="BC5" i="1"/>
  <c r="BD5" i="1" s="1"/>
  <c r="BC6" i="1"/>
  <c r="BC8" i="1"/>
  <c r="BC7" i="1"/>
  <c r="AU13" i="1"/>
  <c r="AU15" i="1"/>
  <c r="AU14" i="1"/>
  <c r="AU16" i="1"/>
  <c r="AM44" i="1"/>
  <c r="AM36" i="1"/>
  <c r="AM28" i="1"/>
  <c r="AM43" i="1"/>
  <c r="AM35" i="1"/>
  <c r="AM27" i="1"/>
  <c r="AM40" i="1"/>
  <c r="AM29" i="1"/>
  <c r="AM34" i="1"/>
  <c r="AM32" i="1"/>
  <c r="AM39" i="1"/>
  <c r="AM42" i="1"/>
  <c r="AM26" i="1"/>
  <c r="AM37" i="1"/>
  <c r="AM31" i="1"/>
  <c r="AM41" i="1"/>
  <c r="AM33" i="1"/>
  <c r="AM25" i="1"/>
  <c r="AM38" i="1"/>
  <c r="AM30" i="1"/>
  <c r="AM16" i="1"/>
  <c r="AM13" i="1"/>
  <c r="AM15" i="1"/>
  <c r="AM14" i="1"/>
  <c r="AU37" i="1"/>
  <c r="AU29" i="1"/>
  <c r="AU38" i="1"/>
  <c r="AU36" i="1"/>
  <c r="AU30" i="1"/>
  <c r="AU44" i="1"/>
  <c r="AU28" i="1"/>
  <c r="AU43" i="1"/>
  <c r="AU35" i="1"/>
  <c r="AU27" i="1"/>
  <c r="AU34" i="1"/>
  <c r="AU26" i="1"/>
  <c r="AU42" i="1"/>
  <c r="AU41" i="1"/>
  <c r="AU33" i="1"/>
  <c r="AU25" i="1"/>
  <c r="AU39" i="1"/>
  <c r="AU40" i="1"/>
  <c r="AU32" i="1"/>
  <c r="AU31" i="1"/>
  <c r="AQ37" i="1"/>
  <c r="AQ29" i="1"/>
  <c r="AQ44" i="1"/>
  <c r="AQ28" i="1"/>
  <c r="AQ36" i="1"/>
  <c r="AQ35" i="1"/>
  <c r="AQ43" i="1"/>
  <c r="AQ27" i="1"/>
  <c r="AQ42" i="1"/>
  <c r="AQ34" i="1"/>
  <c r="AQ38" i="1"/>
  <c r="AQ26" i="1"/>
  <c r="AQ41" i="1"/>
  <c r="AQ33" i="1"/>
  <c r="AQ25" i="1"/>
  <c r="AQ31" i="1"/>
  <c r="AQ40" i="1"/>
  <c r="AQ32" i="1"/>
  <c r="AQ39" i="1"/>
  <c r="AQ30" i="1"/>
  <c r="AI27" i="1"/>
  <c r="AI35" i="1"/>
  <c r="AI43" i="1"/>
  <c r="AI28" i="1"/>
  <c r="AI36" i="1"/>
  <c r="AI44" i="1"/>
  <c r="AI29" i="1"/>
  <c r="AI37" i="1"/>
  <c r="AI32" i="1"/>
  <c r="AI34" i="1"/>
  <c r="AI25" i="1"/>
  <c r="AI38" i="1"/>
  <c r="AI26" i="1"/>
  <c r="AI39" i="1"/>
  <c r="AI30" i="1"/>
  <c r="AI40" i="1"/>
  <c r="AI41" i="1"/>
  <c r="AI31" i="1"/>
  <c r="AI42" i="1"/>
  <c r="AI33" i="1"/>
  <c r="AY5" i="1"/>
  <c r="AZ5" i="1" s="1"/>
  <c r="AY6" i="1"/>
  <c r="AY7" i="1"/>
  <c r="AY8" i="1"/>
  <c r="AQ5" i="1"/>
  <c r="AR5" i="1" s="1"/>
  <c r="AQ6" i="1"/>
  <c r="AQ8" i="1"/>
  <c r="AQ7" i="1"/>
  <c r="AM7" i="1"/>
  <c r="AM6" i="1"/>
  <c r="AM8" i="1"/>
  <c r="AM5" i="1"/>
  <c r="AN5" i="1" s="1"/>
  <c r="AU5" i="1"/>
  <c r="AV5" i="1" s="1"/>
  <c r="AU6" i="1"/>
  <c r="AU8" i="1"/>
  <c r="AU7" i="1"/>
  <c r="AI10" i="1"/>
  <c r="AI11" i="1"/>
  <c r="AI12" i="1"/>
  <c r="AI9" i="1"/>
  <c r="AJ5" i="1"/>
  <c r="AI8" i="1"/>
  <c r="AI6" i="1"/>
  <c r="AI7" i="1"/>
  <c r="AI19" i="1"/>
  <c r="AI20" i="1"/>
  <c r="AI17" i="1"/>
  <c r="AI18" i="1"/>
  <c r="AI21" i="1"/>
  <c r="AI22" i="1"/>
  <c r="AI23" i="1"/>
  <c r="AI24" i="1"/>
  <c r="Y5" i="1"/>
  <c r="AB5" i="1"/>
  <c r="X6" i="1"/>
  <c r="S6" i="3" a="1"/>
  <c r="H6" i="3" a="1"/>
  <c r="Y6" i="1" a="1"/>
  <c r="T5" i="3" l="1"/>
  <c r="U5" i="3" s="1"/>
  <c r="W5" i="3" s="1"/>
  <c r="I5" i="3"/>
  <c r="J5" i="3" s="1"/>
  <c r="M5" i="3" s="1"/>
  <c r="H6" i="3"/>
  <c r="S6" i="3"/>
  <c r="V7" i="3"/>
  <c r="K7" i="3"/>
  <c r="R7" i="3"/>
  <c r="G7" i="3"/>
  <c r="F8" i="3"/>
  <c r="BD6" i="1"/>
  <c r="BE6" i="1" s="1"/>
  <c r="AR6" i="1"/>
  <c r="AR7" i="1" s="1"/>
  <c r="AN6" i="1"/>
  <c r="BE5" i="1"/>
  <c r="AZ6" i="1"/>
  <c r="BA6" i="1" s="1"/>
  <c r="AS5" i="1"/>
  <c r="BA5" i="1"/>
  <c r="AJ6" i="1"/>
  <c r="AK6" i="1" s="1"/>
  <c r="AV6" i="1"/>
  <c r="AW6" i="1" s="1"/>
  <c r="AK5" i="1"/>
  <c r="AW5" i="1"/>
  <c r="AO5" i="1"/>
  <c r="Y6" i="1"/>
  <c r="AB6" i="1"/>
  <c r="X7" i="1"/>
  <c r="H7" i="3" a="1"/>
  <c r="S7" i="3" a="1"/>
  <c r="Y7" i="1" a="1"/>
  <c r="L5" i="3" l="1"/>
  <c r="N5" i="3" s="1"/>
  <c r="T6" i="3"/>
  <c r="U6" i="3" s="1"/>
  <c r="W6" i="3" s="1"/>
  <c r="I6" i="3"/>
  <c r="L6" i="3" s="1"/>
  <c r="H7" i="3"/>
  <c r="S7" i="3"/>
  <c r="G8" i="3"/>
  <c r="R8" i="3"/>
  <c r="V8" i="3"/>
  <c r="K8" i="3"/>
  <c r="F9" i="3"/>
  <c r="AZ7" i="1"/>
  <c r="BA7" i="1" s="1"/>
  <c r="BD7" i="1"/>
  <c r="BD8" i="1" s="1"/>
  <c r="BD9" i="1" s="1"/>
  <c r="BE9" i="1" s="1"/>
  <c r="AR8" i="1"/>
  <c r="AN7" i="1"/>
  <c r="AS7" i="1"/>
  <c r="AS6" i="1"/>
  <c r="AV7" i="1"/>
  <c r="AW7" i="1" s="1"/>
  <c r="AO6" i="1"/>
  <c r="AJ7" i="1"/>
  <c r="AK7" i="1" s="1"/>
  <c r="Y7" i="1"/>
  <c r="AB7" i="1"/>
  <c r="X8" i="1"/>
  <c r="H8" i="3" a="1"/>
  <c r="S8" i="3" a="1"/>
  <c r="Y8" i="1" a="1"/>
  <c r="T7" i="3" l="1"/>
  <c r="U7" i="3" s="1"/>
  <c r="W7" i="3" s="1"/>
  <c r="J6" i="3"/>
  <c r="M6" i="3" s="1"/>
  <c r="N6" i="3" s="1"/>
  <c r="I7" i="3"/>
  <c r="J7" i="3" s="1"/>
  <c r="M7" i="3" s="1"/>
  <c r="S8" i="3"/>
  <c r="H8" i="3"/>
  <c r="K9" i="3"/>
  <c r="V9" i="3"/>
  <c r="G9" i="3"/>
  <c r="R9" i="3"/>
  <c r="F10" i="3"/>
  <c r="AZ8" i="1"/>
  <c r="AZ9" i="1" s="1"/>
  <c r="BE7" i="1"/>
  <c r="BE8" i="1"/>
  <c r="AR9" i="1"/>
  <c r="AS9" i="1" s="1"/>
  <c r="AN8" i="1"/>
  <c r="AO7" i="1"/>
  <c r="AV8" i="1"/>
  <c r="AV9" i="1" s="1"/>
  <c r="AS8" i="1"/>
  <c r="BD10" i="1"/>
  <c r="AJ8" i="1"/>
  <c r="Y8" i="1"/>
  <c r="AB8" i="1"/>
  <c r="X9" i="1"/>
  <c r="S9" i="3" a="1"/>
  <c r="H9" i="3" a="1"/>
  <c r="Y9" i="1" a="1"/>
  <c r="T8" i="3" l="1"/>
  <c r="U8" i="3" s="1"/>
  <c r="W8" i="3" s="1"/>
  <c r="L7" i="3"/>
  <c r="N7" i="3" s="1"/>
  <c r="I8" i="3"/>
  <c r="L8" i="3" s="1"/>
  <c r="S9" i="3"/>
  <c r="H9" i="3"/>
  <c r="V10" i="3"/>
  <c r="R10" i="3"/>
  <c r="K10" i="3"/>
  <c r="G10" i="3"/>
  <c r="F11" i="3"/>
  <c r="BA8" i="1"/>
  <c r="AR10" i="1"/>
  <c r="AS10" i="1" s="1"/>
  <c r="AO8" i="1"/>
  <c r="AN9" i="1"/>
  <c r="AO9" i="1" s="1"/>
  <c r="AW8" i="1"/>
  <c r="AZ10" i="1"/>
  <c r="BA10" i="1" s="1"/>
  <c r="BA9" i="1"/>
  <c r="AJ9" i="1"/>
  <c r="AK8" i="1"/>
  <c r="BD11" i="1"/>
  <c r="AV10" i="1"/>
  <c r="BE10" i="1"/>
  <c r="AW9" i="1"/>
  <c r="Y9" i="1"/>
  <c r="AB9" i="1"/>
  <c r="X10" i="1"/>
  <c r="H10" i="3" a="1"/>
  <c r="S10" i="3" a="1"/>
  <c r="Y10" i="1" a="1"/>
  <c r="I9" i="3" l="1"/>
  <c r="L9" i="3" s="1"/>
  <c r="T9" i="3"/>
  <c r="J8" i="3"/>
  <c r="M8" i="3" s="1"/>
  <c r="N8" i="3" s="1"/>
  <c r="S10" i="3"/>
  <c r="H10" i="3"/>
  <c r="R11" i="3"/>
  <c r="K11" i="3"/>
  <c r="G11" i="3"/>
  <c r="V11" i="3"/>
  <c r="F12" i="3"/>
  <c r="AH86" i="1"/>
  <c r="AH75" i="1"/>
  <c r="AN10" i="1"/>
  <c r="AN11" i="1" s="1"/>
  <c r="AN12" i="1" s="1"/>
  <c r="AR11" i="1"/>
  <c r="AZ11" i="1"/>
  <c r="BA11" i="1" s="1"/>
  <c r="BD12" i="1"/>
  <c r="BE12" i="1" s="1"/>
  <c r="AJ10" i="1"/>
  <c r="AK9" i="1"/>
  <c r="AV11" i="1"/>
  <c r="BE11" i="1"/>
  <c r="AW10" i="1"/>
  <c r="Y10" i="1"/>
  <c r="AB10" i="1"/>
  <c r="X11" i="1"/>
  <c r="S11" i="3" a="1"/>
  <c r="H11" i="3" a="1"/>
  <c r="Y11" i="1" a="1"/>
  <c r="J9" i="3" l="1"/>
  <c r="M9" i="3" s="1"/>
  <c r="N9" i="3" s="1"/>
  <c r="T10" i="3"/>
  <c r="U9" i="3"/>
  <c r="W9" i="3" s="1"/>
  <c r="I10" i="3"/>
  <c r="J10" i="3" s="1"/>
  <c r="M10" i="3" s="1"/>
  <c r="H11" i="3"/>
  <c r="S11" i="3"/>
  <c r="R12" i="3"/>
  <c r="V12" i="3"/>
  <c r="K12" i="3"/>
  <c r="G12" i="3"/>
  <c r="F13" i="3"/>
  <c r="AH64" i="1"/>
  <c r="AO10" i="1"/>
  <c r="AR12" i="1"/>
  <c r="AS12" i="1" s="1"/>
  <c r="AS11" i="1"/>
  <c r="AO11" i="1"/>
  <c r="AK10" i="1"/>
  <c r="AV12" i="1"/>
  <c r="AW11" i="1"/>
  <c r="AN13" i="1"/>
  <c r="AZ12" i="1"/>
  <c r="AO12" i="1"/>
  <c r="AJ11" i="1"/>
  <c r="BD13" i="1"/>
  <c r="Y11" i="1"/>
  <c r="AB11" i="1"/>
  <c r="X12" i="1"/>
  <c r="H12" i="3" a="1"/>
  <c r="S12" i="3" a="1"/>
  <c r="Y12" i="1" a="1"/>
  <c r="L10" i="3" l="1"/>
  <c r="N10" i="3" s="1"/>
  <c r="T11" i="3"/>
  <c r="U10" i="3"/>
  <c r="W10" i="3" s="1"/>
  <c r="I11" i="3"/>
  <c r="J11" i="3" s="1"/>
  <c r="M11" i="3" s="1"/>
  <c r="S12" i="3"/>
  <c r="H12" i="3"/>
  <c r="K13" i="3"/>
  <c r="R13" i="3"/>
  <c r="V13" i="3"/>
  <c r="G13" i="3"/>
  <c r="F14" i="3"/>
  <c r="AR13" i="1"/>
  <c r="BA12" i="1"/>
  <c r="AO13" i="1"/>
  <c r="BD14" i="1"/>
  <c r="AV13" i="1"/>
  <c r="AN14" i="1"/>
  <c r="BE13" i="1"/>
  <c r="AJ12" i="1"/>
  <c r="AK11" i="1"/>
  <c r="AW12" i="1"/>
  <c r="AZ13" i="1"/>
  <c r="Y12" i="1"/>
  <c r="AB12" i="1"/>
  <c r="X13" i="1"/>
  <c r="H13" i="3" a="1"/>
  <c r="S13" i="3" a="1"/>
  <c r="Y13" i="1" a="1"/>
  <c r="T12" i="3" l="1"/>
  <c r="U11" i="3"/>
  <c r="W11" i="3" s="1"/>
  <c r="I12" i="3"/>
  <c r="L12" i="3" s="1"/>
  <c r="L11" i="3"/>
  <c r="N11" i="3" s="1"/>
  <c r="S13" i="3"/>
  <c r="H13" i="3"/>
  <c r="R14" i="3"/>
  <c r="K14" i="3"/>
  <c r="V14" i="3"/>
  <c r="G14" i="3"/>
  <c r="F15" i="3"/>
  <c r="AK12" i="1"/>
  <c r="AH87" i="1" s="1"/>
  <c r="AR14" i="1"/>
  <c r="AS13" i="1"/>
  <c r="AI87" i="1"/>
  <c r="AI76" i="1"/>
  <c r="AN15" i="1"/>
  <c r="AO14" i="1"/>
  <c r="AV14" i="1"/>
  <c r="AW14" i="1" s="1"/>
  <c r="AW13" i="1"/>
  <c r="BD15" i="1"/>
  <c r="BE15" i="1" s="1"/>
  <c r="AJ13" i="1"/>
  <c r="AZ14" i="1"/>
  <c r="BA13" i="1"/>
  <c r="BE14" i="1"/>
  <c r="Y13" i="1"/>
  <c r="AB13" i="1"/>
  <c r="X14" i="1"/>
  <c r="H14" i="3" a="1"/>
  <c r="S14" i="3" a="1"/>
  <c r="Y14" i="1" a="1"/>
  <c r="I13" i="3" l="1"/>
  <c r="L13" i="3" s="1"/>
  <c r="T13" i="3"/>
  <c r="U12" i="3"/>
  <c r="W12" i="3" s="1"/>
  <c r="J12" i="3"/>
  <c r="M12" i="3" s="1"/>
  <c r="N12" i="3" s="1"/>
  <c r="H14" i="3"/>
  <c r="S14" i="3"/>
  <c r="V15" i="3"/>
  <c r="R15" i="3"/>
  <c r="G15" i="3"/>
  <c r="K15" i="3"/>
  <c r="F16" i="3"/>
  <c r="AH76" i="1"/>
  <c r="AH65" i="1" s="1"/>
  <c r="AI65" i="1"/>
  <c r="AS14" i="1"/>
  <c r="AR15" i="1"/>
  <c r="AS15" i="1" s="1"/>
  <c r="AN16" i="1"/>
  <c r="AJ14" i="1"/>
  <c r="AK14" i="1" s="1"/>
  <c r="AK13" i="1"/>
  <c r="AZ15" i="1"/>
  <c r="BA15" i="1" s="1"/>
  <c r="AO15" i="1"/>
  <c r="BA14" i="1"/>
  <c r="BD16" i="1"/>
  <c r="BE16" i="1" s="1"/>
  <c r="AV15" i="1"/>
  <c r="Y14" i="1"/>
  <c r="AB14" i="1"/>
  <c r="X15" i="1"/>
  <c r="S15" i="3" a="1"/>
  <c r="H15" i="3" a="1"/>
  <c r="Y15" i="1" a="1"/>
  <c r="J13" i="3" l="1"/>
  <c r="M13" i="3" s="1"/>
  <c r="N13" i="3" s="1"/>
  <c r="I14" i="3"/>
  <c r="J14" i="3" s="1"/>
  <c r="M14" i="3" s="1"/>
  <c r="T14" i="3"/>
  <c r="U13" i="3"/>
  <c r="W13" i="3" s="1"/>
  <c r="S15" i="3"/>
  <c r="H15" i="3"/>
  <c r="R16" i="3"/>
  <c r="K16" i="3"/>
  <c r="G16" i="3"/>
  <c r="V16" i="3"/>
  <c r="F17" i="3"/>
  <c r="AR16" i="1"/>
  <c r="AS16" i="1" s="1"/>
  <c r="AV16" i="1"/>
  <c r="AW15" i="1"/>
  <c r="BD17" i="1"/>
  <c r="AZ16" i="1"/>
  <c r="AJ15" i="1"/>
  <c r="AK15" i="1" s="1"/>
  <c r="AN17" i="1"/>
  <c r="AO16" i="1"/>
  <c r="Y15" i="1"/>
  <c r="AB15" i="1"/>
  <c r="X16" i="1"/>
  <c r="S16" i="3" a="1"/>
  <c r="H16" i="3" a="1"/>
  <c r="Y16" i="1" a="1"/>
  <c r="L14" i="3" l="1"/>
  <c r="N14" i="3" s="1"/>
  <c r="T15" i="3"/>
  <c r="U14" i="3"/>
  <c r="W14" i="3" s="1"/>
  <c r="I15" i="3"/>
  <c r="L15" i="3" s="1"/>
  <c r="H16" i="3"/>
  <c r="S16" i="3"/>
  <c r="G17" i="3"/>
  <c r="R17" i="3"/>
  <c r="V17" i="3"/>
  <c r="K17" i="3"/>
  <c r="F18" i="3"/>
  <c r="AR17" i="1"/>
  <c r="AS17" i="1" s="1"/>
  <c r="AZ17" i="1"/>
  <c r="AN18" i="1"/>
  <c r="AO17" i="1"/>
  <c r="BA16" i="1"/>
  <c r="AV17" i="1"/>
  <c r="AW17" i="1" s="1"/>
  <c r="AJ16" i="1"/>
  <c r="BD18" i="1"/>
  <c r="BE17" i="1"/>
  <c r="AW16" i="1"/>
  <c r="Y16" i="1"/>
  <c r="AB16" i="1"/>
  <c r="AI88" i="1" s="1"/>
  <c r="X17" i="1"/>
  <c r="H17" i="3" a="1"/>
  <c r="S17" i="3" a="1"/>
  <c r="Y17" i="1" a="1"/>
  <c r="T16" i="3" l="1"/>
  <c r="U15" i="3"/>
  <c r="W15" i="3" s="1"/>
  <c r="I16" i="3"/>
  <c r="J16" i="3" s="1"/>
  <c r="M16" i="3" s="1"/>
  <c r="J15" i="3"/>
  <c r="M15" i="3" s="1"/>
  <c r="N15" i="3" s="1"/>
  <c r="S17" i="3"/>
  <c r="H17" i="3"/>
  <c r="V18" i="3"/>
  <c r="K18" i="3"/>
  <c r="R18" i="3"/>
  <c r="G18" i="3"/>
  <c r="F19" i="3"/>
  <c r="AJ88" i="1"/>
  <c r="AI77" i="1"/>
  <c r="AI66" i="1" s="1"/>
  <c r="AR18" i="1"/>
  <c r="AR19" i="1" s="1"/>
  <c r="AJ77" i="1"/>
  <c r="BD19" i="1"/>
  <c r="AN19" i="1"/>
  <c r="AO18" i="1"/>
  <c r="BE18" i="1"/>
  <c r="AJ17" i="1"/>
  <c r="AK16" i="1"/>
  <c r="AH88" i="1" s="1"/>
  <c r="AV18" i="1"/>
  <c r="AW18" i="1" s="1"/>
  <c r="AZ18" i="1"/>
  <c r="BA17" i="1"/>
  <c r="Y17" i="1"/>
  <c r="AB17" i="1"/>
  <c r="X18" i="1"/>
  <c r="S18" i="3" a="1"/>
  <c r="H18" i="3" a="1"/>
  <c r="Y18" i="1" a="1"/>
  <c r="L16" i="3" l="1"/>
  <c r="N16" i="3" s="1"/>
  <c r="T17" i="3"/>
  <c r="U16" i="3"/>
  <c r="W16" i="3" s="1"/>
  <c r="I17" i="3"/>
  <c r="L17" i="3" s="1"/>
  <c r="AJ66" i="1"/>
  <c r="H18" i="3"/>
  <c r="S18" i="3"/>
  <c r="G19" i="3"/>
  <c r="R19" i="3"/>
  <c r="V19" i="3"/>
  <c r="K19" i="3"/>
  <c r="F20" i="3"/>
  <c r="AS18" i="1"/>
  <c r="AS19" i="1"/>
  <c r="AR20" i="1"/>
  <c r="AZ19" i="1"/>
  <c r="BA18" i="1"/>
  <c r="AJ18" i="1"/>
  <c r="AK17" i="1"/>
  <c r="AV19" i="1"/>
  <c r="AW19" i="1" s="1"/>
  <c r="AH77" i="1"/>
  <c r="AH66" i="1" s="1"/>
  <c r="AN20" i="1"/>
  <c r="AO19" i="1"/>
  <c r="BD20" i="1"/>
  <c r="BE19" i="1"/>
  <c r="Y18" i="1"/>
  <c r="AB18" i="1"/>
  <c r="X19" i="1"/>
  <c r="H19" i="3" a="1"/>
  <c r="S19" i="3" a="1"/>
  <c r="Y19" i="1" a="1"/>
  <c r="J17" i="3" l="1"/>
  <c r="M17" i="3" s="1"/>
  <c r="N17" i="3" s="1"/>
  <c r="I18" i="3"/>
  <c r="L18" i="3" s="1"/>
  <c r="T18" i="3"/>
  <c r="U18" i="3" s="1"/>
  <c r="W18" i="3" s="1"/>
  <c r="U17" i="3"/>
  <c r="W17" i="3" s="1"/>
  <c r="S19" i="3"/>
  <c r="H19" i="3"/>
  <c r="K20" i="3"/>
  <c r="V20" i="3"/>
  <c r="G20" i="3"/>
  <c r="R20" i="3"/>
  <c r="F21" i="3"/>
  <c r="AS20" i="1"/>
  <c r="AR21" i="1"/>
  <c r="AO20" i="1"/>
  <c r="AN21" i="1"/>
  <c r="AV20" i="1"/>
  <c r="AJ19" i="1"/>
  <c r="AK18" i="1"/>
  <c r="BD21" i="1"/>
  <c r="AZ20" i="1"/>
  <c r="BE20" i="1"/>
  <c r="BA19" i="1"/>
  <c r="Y19" i="1"/>
  <c r="AB19" i="1"/>
  <c r="X20" i="1"/>
  <c r="S20" i="3" a="1"/>
  <c r="H20" i="3" a="1"/>
  <c r="Y20" i="1" a="1"/>
  <c r="I19" i="3" l="1"/>
  <c r="J19" i="3" s="1"/>
  <c r="M19" i="3" s="1"/>
  <c r="J18" i="3"/>
  <c r="M18" i="3" s="1"/>
  <c r="N18" i="3" s="1"/>
  <c r="T19" i="3"/>
  <c r="H20" i="3"/>
  <c r="S20" i="3"/>
  <c r="K21" i="3"/>
  <c r="R21" i="3"/>
  <c r="G21" i="3"/>
  <c r="V21" i="3"/>
  <c r="F22" i="3"/>
  <c r="AR22" i="1"/>
  <c r="AS21" i="1"/>
  <c r="AJ20" i="1"/>
  <c r="AZ21" i="1"/>
  <c r="BA20" i="1"/>
  <c r="AN22" i="1"/>
  <c r="BD22" i="1"/>
  <c r="BE21" i="1"/>
  <c r="AK19" i="1"/>
  <c r="AV21" i="1"/>
  <c r="AW20" i="1"/>
  <c r="AO21" i="1"/>
  <c r="Y20" i="1"/>
  <c r="AB20" i="1"/>
  <c r="AI89" i="1" s="1"/>
  <c r="X21" i="1"/>
  <c r="H21" i="3" a="1"/>
  <c r="S21" i="3" a="1"/>
  <c r="Y21" i="1" a="1"/>
  <c r="L19" i="3" l="1"/>
  <c r="N19" i="3" s="1"/>
  <c r="T20" i="3"/>
  <c r="U20" i="3" s="1"/>
  <c r="W20" i="3" s="1"/>
  <c r="U19" i="3"/>
  <c r="W19" i="3" s="1"/>
  <c r="I20" i="3"/>
  <c r="J20" i="3" s="1"/>
  <c r="M20" i="3" s="1"/>
  <c r="H21" i="3"/>
  <c r="S21" i="3"/>
  <c r="K22" i="3"/>
  <c r="G22" i="3"/>
  <c r="V22" i="3"/>
  <c r="R22" i="3"/>
  <c r="F23" i="3"/>
  <c r="AJ89" i="1"/>
  <c r="AI78" i="1"/>
  <c r="AI67" i="1" s="1"/>
  <c r="AK78" i="1"/>
  <c r="AK89" i="1"/>
  <c r="AR23" i="1"/>
  <c r="AS22" i="1"/>
  <c r="AJ78" i="1"/>
  <c r="AK20" i="1"/>
  <c r="AH89" i="1" s="1"/>
  <c r="AZ22" i="1"/>
  <c r="BA22" i="1" s="1"/>
  <c r="AV22" i="1"/>
  <c r="AW21" i="1"/>
  <c r="BD23" i="1"/>
  <c r="BE23" i="1" s="1"/>
  <c r="BE22" i="1"/>
  <c r="AN23" i="1"/>
  <c r="AO23" i="1" s="1"/>
  <c r="AO22" i="1"/>
  <c r="BA21" i="1"/>
  <c r="AJ21" i="1"/>
  <c r="Y21" i="1"/>
  <c r="AB21" i="1"/>
  <c r="X22" i="1"/>
  <c r="H22" i="3" a="1"/>
  <c r="S22" i="3" a="1"/>
  <c r="Y22" i="1" a="1"/>
  <c r="L20" i="3" l="1"/>
  <c r="N20" i="3" s="1"/>
  <c r="I21" i="3"/>
  <c r="J21" i="3" s="1"/>
  <c r="M21" i="3" s="1"/>
  <c r="T21" i="3"/>
  <c r="AJ67" i="1"/>
  <c r="H22" i="3"/>
  <c r="S22" i="3"/>
  <c r="V23" i="3"/>
  <c r="K23" i="3"/>
  <c r="R23" i="3"/>
  <c r="G23" i="3"/>
  <c r="F24" i="3"/>
  <c r="AH78" i="1"/>
  <c r="AH67" i="1" s="1"/>
  <c r="AS23" i="1"/>
  <c r="AR24" i="1"/>
  <c r="AK67" i="1"/>
  <c r="AN24" i="1"/>
  <c r="AJ22" i="1"/>
  <c r="AV23" i="1"/>
  <c r="BD24" i="1"/>
  <c r="AW22" i="1"/>
  <c r="AK21" i="1"/>
  <c r="AZ23" i="1"/>
  <c r="BA23" i="1" s="1"/>
  <c r="Y22" i="1"/>
  <c r="AB22" i="1"/>
  <c r="X23" i="1"/>
  <c r="H23" i="3" a="1"/>
  <c r="S23" i="3" a="1"/>
  <c r="Y23" i="1" a="1"/>
  <c r="L21" i="3" l="1"/>
  <c r="N21" i="3" s="1"/>
  <c r="T22" i="3"/>
  <c r="U22" i="3" s="1"/>
  <c r="W22" i="3" s="1"/>
  <c r="U21" i="3"/>
  <c r="W21" i="3" s="1"/>
  <c r="I22" i="3"/>
  <c r="L22" i="3" s="1"/>
  <c r="S23" i="3"/>
  <c r="H23" i="3"/>
  <c r="G24" i="3"/>
  <c r="R24" i="3"/>
  <c r="V24" i="3"/>
  <c r="K24" i="3"/>
  <c r="F25" i="3"/>
  <c r="AS24" i="1"/>
  <c r="AR25" i="1"/>
  <c r="AV24" i="1"/>
  <c r="AZ24" i="1"/>
  <c r="BD25" i="1"/>
  <c r="BE24" i="1"/>
  <c r="AW23" i="1"/>
  <c r="AJ23" i="1"/>
  <c r="AK22" i="1"/>
  <c r="AN25" i="1"/>
  <c r="AO24" i="1"/>
  <c r="Y23" i="1"/>
  <c r="AB23" i="1"/>
  <c r="X24" i="1"/>
  <c r="S24" i="3" a="1"/>
  <c r="H24" i="3" a="1"/>
  <c r="Y24" i="1" a="1"/>
  <c r="I23" i="3" l="1"/>
  <c r="J23" i="3" s="1"/>
  <c r="M23" i="3" s="1"/>
  <c r="T23" i="3"/>
  <c r="J22" i="3"/>
  <c r="M22" i="3" s="1"/>
  <c r="N22" i="3" s="1"/>
  <c r="S24" i="3"/>
  <c r="H24" i="3"/>
  <c r="K25" i="3"/>
  <c r="V25" i="3"/>
  <c r="G25" i="3"/>
  <c r="R25" i="3"/>
  <c r="F26" i="3"/>
  <c r="AW24" i="1"/>
  <c r="AS25" i="1"/>
  <c r="AR26" i="1"/>
  <c r="AN26" i="1"/>
  <c r="BD26" i="1"/>
  <c r="AJ24" i="1"/>
  <c r="AK23" i="1"/>
  <c r="AZ25" i="1"/>
  <c r="BA24" i="1"/>
  <c r="AO25" i="1"/>
  <c r="BE25" i="1"/>
  <c r="AV25" i="1"/>
  <c r="AW25" i="1" s="1"/>
  <c r="Y24" i="1"/>
  <c r="AB24" i="1"/>
  <c r="AJ90" i="1" s="1"/>
  <c r="X25" i="1"/>
  <c r="S25" i="3" a="1"/>
  <c r="H25" i="3" a="1"/>
  <c r="Y25" i="1" a="1"/>
  <c r="L23" i="3" l="1"/>
  <c r="N23" i="3" s="1"/>
  <c r="H25" i="3"/>
  <c r="S25" i="3"/>
  <c r="T24" i="3"/>
  <c r="U24" i="3" s="1"/>
  <c r="W24" i="3" s="1"/>
  <c r="U23" i="3"/>
  <c r="W23" i="3" s="1"/>
  <c r="I26" i="3"/>
  <c r="T26" i="3"/>
  <c r="I24" i="3"/>
  <c r="M26" i="3"/>
  <c r="W26" i="3"/>
  <c r="V26" i="3"/>
  <c r="G26" i="3"/>
  <c r="U26" i="3"/>
  <c r="S26" i="3" a="1"/>
  <c r="S26" i="3" s="1"/>
  <c r="N26" i="3"/>
  <c r="J26" i="3"/>
  <c r="H26" i="3" a="1"/>
  <c r="H26" i="3" s="1"/>
  <c r="R26" i="3"/>
  <c r="L26" i="3"/>
  <c r="K26" i="3"/>
  <c r="F27" i="3"/>
  <c r="AL79" i="1"/>
  <c r="AK90" i="1"/>
  <c r="AK79" i="1"/>
  <c r="AJ79" i="1"/>
  <c r="AJ68" i="1" s="1"/>
  <c r="AI79" i="1"/>
  <c r="AR27" i="1"/>
  <c r="AS26" i="1"/>
  <c r="AI90" i="1"/>
  <c r="AL90" i="1"/>
  <c r="AL68" i="1" s="1"/>
  <c r="AZ26" i="1"/>
  <c r="BD27" i="1"/>
  <c r="AN27" i="1"/>
  <c r="AO27" i="1" s="1"/>
  <c r="BA25" i="1"/>
  <c r="AJ25" i="1"/>
  <c r="AK24" i="1"/>
  <c r="AH90" i="1" s="1"/>
  <c r="BE26" i="1"/>
  <c r="AV26" i="1"/>
  <c r="AW26" i="1" s="1"/>
  <c r="AO26" i="1"/>
  <c r="Y25" i="1"/>
  <c r="AB25" i="1"/>
  <c r="X26" i="1"/>
  <c r="Y26" i="1" a="1"/>
  <c r="T25" i="3" l="1"/>
  <c r="L24" i="3"/>
  <c r="U25" i="3"/>
  <c r="W25" i="3" s="1"/>
  <c r="I25" i="3"/>
  <c r="L25" i="3" s="1"/>
  <c r="I27" i="3"/>
  <c r="T27" i="3"/>
  <c r="J24" i="3"/>
  <c r="M24" i="3" s="1"/>
  <c r="R27" i="3"/>
  <c r="N27" i="3"/>
  <c r="M27" i="3"/>
  <c r="L27" i="3"/>
  <c r="K27" i="3"/>
  <c r="J27" i="3"/>
  <c r="G27" i="3"/>
  <c r="W27" i="3"/>
  <c r="S27" i="3" a="1"/>
  <c r="S27" i="3" s="1"/>
  <c r="H27" i="3" a="1"/>
  <c r="H27" i="3" s="1"/>
  <c r="V27" i="3"/>
  <c r="U27" i="3"/>
  <c r="F28" i="3"/>
  <c r="AK68" i="1"/>
  <c r="AS27" i="1"/>
  <c r="AR28" i="1"/>
  <c r="AI68" i="1"/>
  <c r="AJ26" i="1"/>
  <c r="AH79" i="1"/>
  <c r="AH68" i="1" s="1"/>
  <c r="AN28" i="1"/>
  <c r="BD28" i="1"/>
  <c r="BE27" i="1"/>
  <c r="AV27" i="1"/>
  <c r="AK25" i="1"/>
  <c r="AZ27" i="1"/>
  <c r="BA26" i="1"/>
  <c r="Y26" i="1"/>
  <c r="AB26" i="1"/>
  <c r="X27" i="1"/>
  <c r="Y27" i="1" a="1"/>
  <c r="N24" i="3" l="1"/>
  <c r="J25" i="3"/>
  <c r="M25" i="3" s="1"/>
  <c r="N25" i="3" s="1"/>
  <c r="I28" i="3"/>
  <c r="T28" i="3"/>
  <c r="R28" i="3"/>
  <c r="W28" i="3"/>
  <c r="V28" i="3"/>
  <c r="N28" i="3"/>
  <c r="S28" i="3" a="1"/>
  <c r="S28" i="3" s="1"/>
  <c r="M28" i="3"/>
  <c r="L28" i="3"/>
  <c r="K28" i="3"/>
  <c r="G28" i="3"/>
  <c r="J28" i="3"/>
  <c r="U28" i="3"/>
  <c r="H28" i="3" a="1"/>
  <c r="H28" i="3" s="1"/>
  <c r="F29" i="3"/>
  <c r="AS28" i="1"/>
  <c r="AR29" i="1"/>
  <c r="AZ28" i="1"/>
  <c r="AV28" i="1"/>
  <c r="AW27" i="1"/>
  <c r="BD29" i="1"/>
  <c r="BE28" i="1"/>
  <c r="AN29" i="1"/>
  <c r="AO28" i="1"/>
  <c r="BA27" i="1"/>
  <c r="AJ27" i="1"/>
  <c r="AK27" i="1" s="1"/>
  <c r="AK26" i="1"/>
  <c r="Y27" i="1"/>
  <c r="AB27" i="1"/>
  <c r="X28" i="1"/>
  <c r="Y28" i="1" a="1"/>
  <c r="I29" i="3" l="1"/>
  <c r="T29" i="3"/>
  <c r="U29" i="3"/>
  <c r="L29" i="3"/>
  <c r="K29" i="3"/>
  <c r="R29" i="3"/>
  <c r="S29" i="3" a="1"/>
  <c r="S29" i="3" s="1"/>
  <c r="J29" i="3"/>
  <c r="H29" i="3" a="1"/>
  <c r="H29" i="3" s="1"/>
  <c r="M29" i="3"/>
  <c r="W29" i="3"/>
  <c r="G29" i="3"/>
  <c r="V29" i="3"/>
  <c r="N29" i="3"/>
  <c r="F30" i="3"/>
  <c r="AR30" i="1"/>
  <c r="AS29" i="1"/>
  <c r="AN30" i="1"/>
  <c r="AV29" i="1"/>
  <c r="AO29" i="1"/>
  <c r="AJ28" i="1"/>
  <c r="BD30" i="1"/>
  <c r="BE29" i="1"/>
  <c r="AW28" i="1"/>
  <c r="AZ29" i="1"/>
  <c r="BA28" i="1"/>
  <c r="Y28" i="1"/>
  <c r="AB28" i="1"/>
  <c r="X29" i="1"/>
  <c r="Y29" i="1" a="1"/>
  <c r="I30" i="3" l="1"/>
  <c r="T30" i="3"/>
  <c r="R30" i="3"/>
  <c r="N30" i="3"/>
  <c r="L30" i="3"/>
  <c r="W30" i="3"/>
  <c r="K30" i="3"/>
  <c r="V30" i="3"/>
  <c r="J30" i="3"/>
  <c r="U30" i="3"/>
  <c r="M30" i="3"/>
  <c r="H30" i="3" a="1"/>
  <c r="H30" i="3" s="1"/>
  <c r="G30" i="3"/>
  <c r="S30" i="3" a="1"/>
  <c r="S30" i="3" s="1"/>
  <c r="F31" i="3"/>
  <c r="AS30" i="1"/>
  <c r="AR31" i="1"/>
  <c r="AR32" i="1" s="1"/>
  <c r="AR33" i="1" s="1"/>
  <c r="AZ30" i="1"/>
  <c r="BA29" i="1"/>
  <c r="BD31" i="1"/>
  <c r="BE30" i="1"/>
  <c r="AJ29" i="1"/>
  <c r="AK28" i="1"/>
  <c r="AV30" i="1"/>
  <c r="AW29" i="1"/>
  <c r="AN31" i="1"/>
  <c r="AO31" i="1" s="1"/>
  <c r="AO30" i="1"/>
  <c r="Y29" i="1"/>
  <c r="AB29" i="1"/>
  <c r="X30" i="1"/>
  <c r="Y30" i="1" a="1"/>
  <c r="I31" i="3" l="1"/>
  <c r="T31" i="3"/>
  <c r="J31" i="3"/>
  <c r="W31" i="3"/>
  <c r="H31" i="3" a="1"/>
  <c r="H31" i="3" s="1"/>
  <c r="V31" i="3"/>
  <c r="R31" i="3"/>
  <c r="U31" i="3"/>
  <c r="G31" i="3"/>
  <c r="N31" i="3"/>
  <c r="M31" i="3"/>
  <c r="L31" i="3"/>
  <c r="S31" i="3" a="1"/>
  <c r="S31" i="3" s="1"/>
  <c r="K31" i="3"/>
  <c r="F32" i="3"/>
  <c r="AS32" i="1"/>
  <c r="AS31" i="1"/>
  <c r="AZ31" i="1"/>
  <c r="AN32" i="1"/>
  <c r="BA30" i="1"/>
  <c r="AV31" i="1"/>
  <c r="AW31" i="1" s="1"/>
  <c r="AW30" i="1"/>
  <c r="AR34" i="1"/>
  <c r="AS33" i="1"/>
  <c r="AJ30" i="1"/>
  <c r="AK30" i="1" s="1"/>
  <c r="AK29" i="1"/>
  <c r="BD32" i="1"/>
  <c r="BE31" i="1"/>
  <c r="Y30" i="1"/>
  <c r="AB30" i="1"/>
  <c r="X31" i="1"/>
  <c r="Y31" i="1" a="1"/>
  <c r="I32" i="3" l="1"/>
  <c r="T32" i="3"/>
  <c r="S32" i="3" a="1"/>
  <c r="S32" i="3" s="1"/>
  <c r="N32" i="3"/>
  <c r="M32" i="3"/>
  <c r="R32" i="3"/>
  <c r="L32" i="3"/>
  <c r="J32" i="3"/>
  <c r="H32" i="3" a="1"/>
  <c r="H32" i="3" s="1"/>
  <c r="G32" i="3"/>
  <c r="W32" i="3"/>
  <c r="U32" i="3"/>
  <c r="V32" i="3"/>
  <c r="K32" i="3"/>
  <c r="F33" i="3"/>
  <c r="AR35" i="1"/>
  <c r="AS35" i="1" s="1"/>
  <c r="BD33" i="1"/>
  <c r="BE33" i="1" s="1"/>
  <c r="BE32" i="1"/>
  <c r="AS34" i="1"/>
  <c r="AN33" i="1"/>
  <c r="AZ32" i="1"/>
  <c r="AJ31" i="1"/>
  <c r="AV32" i="1"/>
  <c r="AO32" i="1"/>
  <c r="BA31" i="1"/>
  <c r="Y31" i="1"/>
  <c r="AB31" i="1"/>
  <c r="X32" i="1"/>
  <c r="Y32" i="1" a="1"/>
  <c r="I33" i="3" l="1"/>
  <c r="T33" i="3"/>
  <c r="H33" i="3" a="1"/>
  <c r="H33" i="3" s="1"/>
  <c r="G33" i="3"/>
  <c r="R33" i="3"/>
  <c r="V33" i="3"/>
  <c r="U33" i="3"/>
  <c r="S33" i="3" a="1"/>
  <c r="S33" i="3" s="1"/>
  <c r="N33" i="3"/>
  <c r="W33" i="3"/>
  <c r="M33" i="3"/>
  <c r="L33" i="3"/>
  <c r="K33" i="3"/>
  <c r="J33" i="3"/>
  <c r="F34" i="3"/>
  <c r="AV33" i="1"/>
  <c r="AJ32" i="1"/>
  <c r="AK31" i="1"/>
  <c r="AN34" i="1"/>
  <c r="AW32" i="1"/>
  <c r="AZ33" i="1"/>
  <c r="BA32" i="1"/>
  <c r="AO33" i="1"/>
  <c r="BD34" i="1"/>
  <c r="AR36" i="1"/>
  <c r="AS36" i="1" s="1"/>
  <c r="Y32" i="1"/>
  <c r="AB32" i="1"/>
  <c r="X33" i="1"/>
  <c r="Y33" i="1" a="1"/>
  <c r="I34" i="3" l="1"/>
  <c r="T34" i="3"/>
  <c r="W34" i="3"/>
  <c r="V34" i="3"/>
  <c r="N34" i="3"/>
  <c r="U34" i="3"/>
  <c r="M34" i="3"/>
  <c r="L34" i="3"/>
  <c r="S34" i="3" a="1"/>
  <c r="S34" i="3" s="1"/>
  <c r="K34" i="3"/>
  <c r="J34" i="3"/>
  <c r="R34" i="3"/>
  <c r="H34" i="3" a="1"/>
  <c r="H34" i="3" s="1"/>
  <c r="G34" i="3"/>
  <c r="F35" i="3"/>
  <c r="AJ33" i="1"/>
  <c r="BD35" i="1"/>
  <c r="AN35" i="1"/>
  <c r="AO34" i="1"/>
  <c r="AK32" i="1"/>
  <c r="AZ34" i="1"/>
  <c r="BA34" i="1" s="1"/>
  <c r="AR37" i="1"/>
  <c r="AS37" i="1" s="1"/>
  <c r="BE34" i="1"/>
  <c r="BA33" i="1"/>
  <c r="AV34" i="1"/>
  <c r="AW33" i="1"/>
  <c r="Y33" i="1"/>
  <c r="AB33" i="1"/>
  <c r="X34" i="1"/>
  <c r="Y34" i="1" a="1"/>
  <c r="I35" i="3" l="1"/>
  <c r="T35" i="3"/>
  <c r="G35" i="3"/>
  <c r="R35" i="3"/>
  <c r="N35" i="3"/>
  <c r="M35" i="3"/>
  <c r="W35" i="3"/>
  <c r="L35" i="3"/>
  <c r="J35" i="3"/>
  <c r="U35" i="3"/>
  <c r="H35" i="3" a="1"/>
  <c r="H35" i="3" s="1"/>
  <c r="V35" i="3"/>
  <c r="S35" i="3" a="1"/>
  <c r="S35" i="3" s="1"/>
  <c r="K35" i="3"/>
  <c r="F36" i="3"/>
  <c r="BD36" i="1"/>
  <c r="BE35" i="1"/>
  <c r="AV35" i="1"/>
  <c r="AW35" i="1" s="1"/>
  <c r="AW34" i="1"/>
  <c r="AR38" i="1"/>
  <c r="AZ35" i="1"/>
  <c r="AN36" i="1"/>
  <c r="AO36" i="1" s="1"/>
  <c r="AO35" i="1"/>
  <c r="AJ34" i="1"/>
  <c r="AK33" i="1"/>
  <c r="Y34" i="1"/>
  <c r="AB34" i="1"/>
  <c r="X35" i="1"/>
  <c r="Y35" i="1" a="1"/>
  <c r="I36" i="3" l="1"/>
  <c r="T36" i="3"/>
  <c r="M36" i="3"/>
  <c r="L36" i="3"/>
  <c r="K36" i="3"/>
  <c r="J36" i="3"/>
  <c r="W36" i="3"/>
  <c r="V36" i="3"/>
  <c r="H36" i="3" a="1"/>
  <c r="H36" i="3" s="1"/>
  <c r="G36" i="3"/>
  <c r="S36" i="3" a="1"/>
  <c r="S36" i="3" s="1"/>
  <c r="R36" i="3"/>
  <c r="N36" i="3"/>
  <c r="U36" i="3"/>
  <c r="F37" i="3"/>
  <c r="AJ35" i="1"/>
  <c r="AK34" i="1"/>
  <c r="AR39" i="1"/>
  <c r="AN37" i="1"/>
  <c r="AO37" i="1" s="1"/>
  <c r="AZ36" i="1"/>
  <c r="BA36" i="1" s="1"/>
  <c r="BA35" i="1"/>
  <c r="AS38" i="1"/>
  <c r="AV36" i="1"/>
  <c r="AW36" i="1" s="1"/>
  <c r="BD37" i="1"/>
  <c r="BE37" i="1" s="1"/>
  <c r="BE36" i="1"/>
  <c r="Y35" i="1"/>
  <c r="AB35" i="1"/>
  <c r="X36" i="1"/>
  <c r="Y36" i="1" a="1"/>
  <c r="I37" i="3" l="1"/>
  <c r="T37" i="3"/>
  <c r="U37" i="3"/>
  <c r="S37" i="3" a="1"/>
  <c r="S37" i="3" s="1"/>
  <c r="M37" i="3"/>
  <c r="L37" i="3"/>
  <c r="K37" i="3"/>
  <c r="R37" i="3"/>
  <c r="J37" i="3"/>
  <c r="G37" i="3"/>
  <c r="W37" i="3"/>
  <c r="V37" i="3"/>
  <c r="N37" i="3"/>
  <c r="H37" i="3" a="1"/>
  <c r="H37" i="3" s="1"/>
  <c r="F38" i="3"/>
  <c r="BD38" i="1"/>
  <c r="AZ37" i="1"/>
  <c r="AV37" i="1"/>
  <c r="AN38" i="1"/>
  <c r="AR40" i="1"/>
  <c r="AS39" i="1"/>
  <c r="AJ36" i="1"/>
  <c r="AK35" i="1"/>
  <c r="Y36" i="1"/>
  <c r="AB36" i="1"/>
  <c r="X37" i="1"/>
  <c r="Y37" i="1" a="1"/>
  <c r="I38" i="3" l="1"/>
  <c r="T38" i="3"/>
  <c r="K38" i="3"/>
  <c r="J38" i="3"/>
  <c r="H38" i="3" a="1"/>
  <c r="H38" i="3" s="1"/>
  <c r="G38" i="3"/>
  <c r="W38" i="3"/>
  <c r="V38" i="3"/>
  <c r="U38" i="3"/>
  <c r="R38" i="3"/>
  <c r="M38" i="3"/>
  <c r="L38" i="3"/>
  <c r="S38" i="3" a="1"/>
  <c r="S38" i="3" s="1"/>
  <c r="N38" i="3"/>
  <c r="F39" i="3"/>
  <c r="AJ37" i="1"/>
  <c r="AK37" i="1" s="1"/>
  <c r="AK36" i="1"/>
  <c r="AR41" i="1"/>
  <c r="AS40" i="1"/>
  <c r="AN39" i="1"/>
  <c r="AO38" i="1"/>
  <c r="AV38" i="1"/>
  <c r="AW37" i="1"/>
  <c r="AZ38" i="1"/>
  <c r="BA37" i="1"/>
  <c r="BD39" i="1"/>
  <c r="BE39" i="1" s="1"/>
  <c r="BE38" i="1"/>
  <c r="Y37" i="1"/>
  <c r="AB37" i="1"/>
  <c r="X38" i="1"/>
  <c r="Y38" i="1" a="1"/>
  <c r="I39" i="3" l="1"/>
  <c r="T39" i="3"/>
  <c r="W39" i="3"/>
  <c r="V39" i="3"/>
  <c r="U39" i="3"/>
  <c r="N39" i="3"/>
  <c r="M39" i="3"/>
  <c r="K39" i="3"/>
  <c r="J39" i="3"/>
  <c r="H39" i="3" a="1"/>
  <c r="H39" i="3" s="1"/>
  <c r="S39" i="3" a="1"/>
  <c r="S39" i="3" s="1"/>
  <c r="L39" i="3"/>
  <c r="R39" i="3"/>
  <c r="G39" i="3"/>
  <c r="F40" i="3"/>
  <c r="AZ39" i="1"/>
  <c r="AV39" i="1"/>
  <c r="AW39" i="1" s="1"/>
  <c r="BA38" i="1"/>
  <c r="AW38" i="1"/>
  <c r="AN40" i="1"/>
  <c r="AO39" i="1"/>
  <c r="AR42" i="1"/>
  <c r="AS41" i="1"/>
  <c r="AJ38" i="1"/>
  <c r="AK38" i="1" s="1"/>
  <c r="BD40" i="1"/>
  <c r="Y38" i="1"/>
  <c r="AB38" i="1"/>
  <c r="X39" i="1"/>
  <c r="Y39" i="1" a="1"/>
  <c r="I40" i="3" l="1"/>
  <c r="T40" i="3"/>
  <c r="S40" i="3" a="1"/>
  <c r="S40" i="3" s="1"/>
  <c r="H40" i="3" a="1"/>
  <c r="H40" i="3" s="1"/>
  <c r="G40" i="3"/>
  <c r="W40" i="3"/>
  <c r="N40" i="3"/>
  <c r="M40" i="3"/>
  <c r="U40" i="3"/>
  <c r="L40" i="3"/>
  <c r="K40" i="3"/>
  <c r="J40" i="3"/>
  <c r="R40" i="3"/>
  <c r="V40" i="3"/>
  <c r="F41" i="3"/>
  <c r="BD41" i="1"/>
  <c r="BE41" i="1" s="1"/>
  <c r="AJ39" i="1"/>
  <c r="AK39" i="1" s="1"/>
  <c r="AN41" i="1"/>
  <c r="AO40" i="1"/>
  <c r="BE40" i="1"/>
  <c r="AR43" i="1"/>
  <c r="AS43" i="1" s="1"/>
  <c r="AS42" i="1"/>
  <c r="AV40" i="1"/>
  <c r="AZ40" i="1"/>
  <c r="BA39" i="1"/>
  <c r="Y39" i="1"/>
  <c r="AB39" i="1"/>
  <c r="X40" i="1"/>
  <c r="Y40" i="1" a="1"/>
  <c r="I41" i="3" l="1"/>
  <c r="T41" i="3"/>
  <c r="S41" i="3" a="1"/>
  <c r="S41" i="3" s="1"/>
  <c r="N41" i="3"/>
  <c r="M41" i="3"/>
  <c r="W41" i="3"/>
  <c r="L41" i="3"/>
  <c r="K41" i="3"/>
  <c r="V41" i="3"/>
  <c r="U41" i="3"/>
  <c r="H41" i="3" a="1"/>
  <c r="H41" i="3" s="1"/>
  <c r="G41" i="3"/>
  <c r="J41" i="3"/>
  <c r="R41" i="3"/>
  <c r="F42" i="3"/>
  <c r="AZ41" i="1"/>
  <c r="BA41" i="1" s="1"/>
  <c r="BA40" i="1"/>
  <c r="AN42" i="1"/>
  <c r="AV41" i="1"/>
  <c r="AW40" i="1"/>
  <c r="AJ40" i="1"/>
  <c r="AK40" i="1" s="1"/>
  <c r="BD42" i="1"/>
  <c r="AR44" i="1"/>
  <c r="AO41" i="1"/>
  <c r="Y40" i="1"/>
  <c r="AB40" i="1"/>
  <c r="X41" i="1"/>
  <c r="Y41" i="1" a="1"/>
  <c r="I42" i="3" l="1"/>
  <c r="T42" i="3"/>
  <c r="W42" i="3"/>
  <c r="V42" i="3"/>
  <c r="G42" i="3"/>
  <c r="U42" i="3"/>
  <c r="S42" i="3" a="1"/>
  <c r="S42" i="3" s="1"/>
  <c r="N42" i="3"/>
  <c r="M42" i="3"/>
  <c r="H42" i="3" a="1"/>
  <c r="H42" i="3" s="1"/>
  <c r="R42" i="3"/>
  <c r="K42" i="3"/>
  <c r="L42" i="3"/>
  <c r="J42" i="3"/>
  <c r="F43" i="3"/>
  <c r="AS44" i="1"/>
  <c r="BD43" i="1"/>
  <c r="BE42" i="1"/>
  <c r="AN43" i="1"/>
  <c r="AJ41" i="1"/>
  <c r="AV42" i="1"/>
  <c r="AW42" i="1" s="1"/>
  <c r="AW41" i="1"/>
  <c r="AO42" i="1"/>
  <c r="AZ42" i="1"/>
  <c r="BA42" i="1" s="1"/>
  <c r="Y41" i="1"/>
  <c r="AB41" i="1"/>
  <c r="X42" i="1"/>
  <c r="Y42" i="1" a="1"/>
  <c r="I43" i="3" l="1"/>
  <c r="T43" i="3"/>
  <c r="R43" i="3"/>
  <c r="N43" i="3"/>
  <c r="M43" i="3"/>
  <c r="L43" i="3"/>
  <c r="K43" i="3"/>
  <c r="J43" i="3"/>
  <c r="G43" i="3"/>
  <c r="W43" i="3"/>
  <c r="V43" i="3"/>
  <c r="S43" i="3" a="1"/>
  <c r="S43" i="3" s="1"/>
  <c r="H43" i="3" a="1"/>
  <c r="H43" i="3" s="1"/>
  <c r="U43" i="3"/>
  <c r="F44" i="3"/>
  <c r="AN44" i="1"/>
  <c r="AZ43" i="1"/>
  <c r="AV43" i="1"/>
  <c r="AW43" i="1" s="1"/>
  <c r="AJ42" i="1"/>
  <c r="AK41" i="1"/>
  <c r="AO43" i="1"/>
  <c r="BD44" i="1"/>
  <c r="BE43" i="1"/>
  <c r="Y42" i="1"/>
  <c r="AB42" i="1"/>
  <c r="X43" i="1"/>
  <c r="Y43" i="1" a="1"/>
  <c r="I44" i="3" l="1"/>
  <c r="T44" i="3"/>
  <c r="R44" i="3"/>
  <c r="W44" i="3"/>
  <c r="D18" i="3" s="1"/>
  <c r="V44" i="3"/>
  <c r="N44" i="3"/>
  <c r="D17" i="3" s="1"/>
  <c r="S44" i="3" a="1"/>
  <c r="S44" i="3" s="1"/>
  <c r="M44" i="3"/>
  <c r="L44" i="3"/>
  <c r="K44" i="3"/>
  <c r="J44" i="3"/>
  <c r="U44" i="3"/>
  <c r="H44" i="3" a="1"/>
  <c r="H44" i="3" s="1"/>
  <c r="G44" i="3"/>
  <c r="BE44" i="1"/>
  <c r="AO44" i="1"/>
  <c r="AJ43" i="1"/>
  <c r="AK43" i="1" s="1"/>
  <c r="AK42" i="1"/>
  <c r="AV44" i="1"/>
  <c r="AZ44" i="1"/>
  <c r="BA43" i="1"/>
  <c r="Y43" i="1"/>
  <c r="AB43" i="1"/>
  <c r="X44" i="1"/>
  <c r="Y44" i="1" a="1"/>
  <c r="D16" i="3" l="1"/>
  <c r="D19" i="3"/>
  <c r="D21" i="3" s="1"/>
  <c r="BA44" i="1"/>
  <c r="AW44" i="1"/>
  <c r="AJ44" i="1"/>
  <c r="Y44" i="1"/>
  <c r="AB44" i="1"/>
  <c r="D22" i="3" l="1"/>
  <c r="D20" i="3"/>
  <c r="AI91" i="1"/>
  <c r="AJ80" i="1"/>
  <c r="AJ91" i="1"/>
  <c r="AL80" i="1"/>
  <c r="AM80" i="1"/>
  <c r="AK91" i="1"/>
  <c r="AK80" i="1"/>
  <c r="AL91" i="1"/>
  <c r="AI80" i="1"/>
  <c r="AM91" i="1"/>
  <c r="AK44" i="1"/>
  <c r="AH80" i="1" s="1"/>
  <c r="Z5" i="1"/>
  <c r="AH91" i="1" l="1"/>
  <c r="AH69" i="1" s="1"/>
  <c r="AI69" i="1"/>
  <c r="AK69" i="1"/>
  <c r="AM69" i="1"/>
  <c r="AL69" i="1"/>
  <c r="AJ69" i="1"/>
  <c r="AA5" i="1"/>
  <c r="Z6" i="1"/>
  <c r="AA6" i="1" s="1"/>
  <c r="Z7" i="1" l="1"/>
  <c r="AA7" i="1" l="1"/>
  <c r="Z8" i="1"/>
  <c r="Y75" i="1" s="1"/>
  <c r="Y64" i="1" l="1"/>
  <c r="N14" i="1"/>
  <c r="AA8" i="1"/>
  <c r="S14" i="1" s="1"/>
  <c r="Z9" i="1"/>
  <c r="AA9" i="1" l="1"/>
  <c r="Z10" i="1"/>
  <c r="P14" i="1"/>
  <c r="T14" i="1" s="1"/>
  <c r="O14" i="1"/>
  <c r="U14" i="1" l="1"/>
  <c r="Y53" i="1"/>
  <c r="Q14" i="1"/>
  <c r="AA10" i="1"/>
  <c r="Z11" i="1"/>
  <c r="V14" i="1" l="1"/>
  <c r="P27" i="1" s="1"/>
  <c r="AH53" i="1"/>
  <c r="K53" i="1" s="1"/>
  <c r="Z12" i="1"/>
  <c r="AA11" i="1"/>
  <c r="Z65" i="1" l="1"/>
  <c r="Z76" i="1"/>
  <c r="Z13" i="1"/>
  <c r="AA12" i="1"/>
  <c r="Y76" i="1" s="1"/>
  <c r="N15" i="1"/>
  <c r="Y65" i="1" l="1"/>
  <c r="S15" i="1"/>
  <c r="P15" i="1"/>
  <c r="O15" i="1"/>
  <c r="AA13" i="1"/>
  <c r="Z14" i="1"/>
  <c r="Y54" i="1" l="1"/>
  <c r="Z54" i="1"/>
  <c r="T15" i="1"/>
  <c r="U15" i="1" s="1"/>
  <c r="Q15" i="1"/>
  <c r="AA14" i="1"/>
  <c r="Z15" i="1"/>
  <c r="V15" i="1" l="1"/>
  <c r="P28" i="1" s="1"/>
  <c r="AI54" i="1"/>
  <c r="L54" i="1" s="1"/>
  <c r="AH54" i="1"/>
  <c r="K54" i="1" s="1"/>
  <c r="Z16" i="1"/>
  <c r="AA15" i="1"/>
  <c r="AA66" i="1" l="1"/>
  <c r="Z17" i="1"/>
  <c r="N16" i="1"/>
  <c r="AA77" i="1"/>
  <c r="AA16" i="1"/>
  <c r="Z77" i="1" s="1"/>
  <c r="Y77" i="1" l="1"/>
  <c r="AA17" i="1"/>
  <c r="Z18" i="1"/>
  <c r="Y66" i="1"/>
  <c r="Z66" i="1"/>
  <c r="O16" i="1"/>
  <c r="S16" i="1"/>
  <c r="P16" i="1"/>
  <c r="Z19" i="1" l="1"/>
  <c r="AA19" i="1" s="1"/>
  <c r="AA18" i="1"/>
  <c r="Z55" i="1"/>
  <c r="Y55" i="1"/>
  <c r="AA55" i="1"/>
  <c r="T16" i="1"/>
  <c r="U16" i="1" s="1"/>
  <c r="Q16" i="1"/>
  <c r="V16" i="1" l="1"/>
  <c r="P29" i="1" s="1"/>
  <c r="AI55" i="1"/>
  <c r="L55" i="1" s="1"/>
  <c r="AJ55" i="1"/>
  <c r="M55" i="1" s="1"/>
  <c r="AH55" i="1"/>
  <c r="K55" i="1" s="1"/>
  <c r="Z20" i="1"/>
  <c r="AB67" i="1" s="1"/>
  <c r="AB78" i="1" l="1"/>
  <c r="AA20" i="1"/>
  <c r="Z78" i="1" s="1"/>
  <c r="N17" i="1"/>
  <c r="Z21" i="1"/>
  <c r="Z22" i="1" s="1"/>
  <c r="AA67" i="1" l="1"/>
  <c r="Y78" i="1"/>
  <c r="Z67" i="1"/>
  <c r="O17" i="1"/>
  <c r="Y67" i="1"/>
  <c r="P17" i="1"/>
  <c r="S17" i="1"/>
  <c r="AA21" i="1"/>
  <c r="AA78" i="1"/>
  <c r="AA22" i="1"/>
  <c r="Z23" i="1"/>
  <c r="Z24" i="1" s="1"/>
  <c r="T17" i="1" l="1"/>
  <c r="U17" i="1" s="1"/>
  <c r="AB56" i="1"/>
  <c r="AA56" i="1"/>
  <c r="Y56" i="1"/>
  <c r="Z56" i="1"/>
  <c r="Q17" i="1"/>
  <c r="AA23" i="1"/>
  <c r="AC68" i="1"/>
  <c r="AC79" i="1"/>
  <c r="Z25" i="1"/>
  <c r="N18" i="1"/>
  <c r="AA24" i="1"/>
  <c r="V17" i="1" l="1"/>
  <c r="P30" i="1" s="1"/>
  <c r="AJ56" i="1"/>
  <c r="M56" i="1" s="1"/>
  <c r="AI56" i="1"/>
  <c r="L56" i="1" s="1"/>
  <c r="AH56" i="1"/>
  <c r="K56" i="1" s="1"/>
  <c r="AK56" i="1"/>
  <c r="N56" i="1" s="1"/>
  <c r="Y79" i="1"/>
  <c r="Z79" i="1"/>
  <c r="AB68" i="1"/>
  <c r="AB79" i="1"/>
  <c r="AA79" i="1"/>
  <c r="Y68" i="1"/>
  <c r="Z68" i="1"/>
  <c r="AA68" i="1"/>
  <c r="S18" i="1"/>
  <c r="O18" i="1"/>
  <c r="P18" i="1"/>
  <c r="Z26" i="1"/>
  <c r="AA25" i="1"/>
  <c r="Y57" i="1" l="1"/>
  <c r="Z57" i="1"/>
  <c r="AA57" i="1"/>
  <c r="AB57" i="1"/>
  <c r="AC57" i="1"/>
  <c r="T18" i="1"/>
  <c r="U18" i="1" s="1"/>
  <c r="AA26" i="1"/>
  <c r="Z27" i="1"/>
  <c r="Q18" i="1"/>
  <c r="V18" i="1" l="1"/>
  <c r="P31" i="1" s="1"/>
  <c r="AL57" i="1"/>
  <c r="O57" i="1" s="1"/>
  <c r="AJ57" i="1"/>
  <c r="M57" i="1" s="1"/>
  <c r="AH57" i="1"/>
  <c r="K57" i="1" s="1"/>
  <c r="AI57" i="1"/>
  <c r="L57" i="1" s="1"/>
  <c r="AK57" i="1"/>
  <c r="N57" i="1" s="1"/>
  <c r="Z28" i="1"/>
  <c r="AA27" i="1"/>
  <c r="Z29" i="1" l="1"/>
  <c r="AA28" i="1"/>
  <c r="Z30" i="1" l="1"/>
  <c r="AA29" i="1"/>
  <c r="Z31" i="1" l="1"/>
  <c r="AA30" i="1"/>
  <c r="Z32" i="1" l="1"/>
  <c r="AA31" i="1"/>
  <c r="Z33" i="1" l="1"/>
  <c r="AA32" i="1"/>
  <c r="Z34" i="1" l="1"/>
  <c r="AA33" i="1"/>
  <c r="Z35" i="1" l="1"/>
  <c r="AA34" i="1"/>
  <c r="Z36" i="1" l="1"/>
  <c r="AA35" i="1"/>
  <c r="Z37" i="1" l="1"/>
  <c r="AA36" i="1"/>
  <c r="Z38" i="1" l="1"/>
  <c r="AA37" i="1"/>
  <c r="Z39" i="1" l="1"/>
  <c r="AA38" i="1"/>
  <c r="Z40" i="1" l="1"/>
  <c r="AA39" i="1"/>
  <c r="Z41" i="1" l="1"/>
  <c r="AA40" i="1"/>
  <c r="Z42" i="1" l="1"/>
  <c r="AA41" i="1"/>
  <c r="Z43" i="1" l="1"/>
  <c r="AA42" i="1"/>
  <c r="AA43" i="1" l="1"/>
  <c r="Z44" i="1"/>
  <c r="AD69" i="1" l="1"/>
  <c r="AD80" i="1"/>
  <c r="N19" i="1"/>
  <c r="AA44" i="1"/>
  <c r="Y80" i="1" s="1"/>
  <c r="AC80" i="1" l="1"/>
  <c r="Z80" i="1"/>
  <c r="AB80" i="1"/>
  <c r="AA80" i="1"/>
  <c r="Y69" i="1"/>
  <c r="Z69" i="1"/>
  <c r="AA69" i="1"/>
  <c r="AB69" i="1"/>
  <c r="AC69" i="1"/>
  <c r="S19" i="1"/>
  <c r="O19" i="1"/>
  <c r="P19" i="1"/>
  <c r="T19" i="1" l="1"/>
  <c r="U19" i="1" s="1"/>
  <c r="AA58" i="1"/>
  <c r="AB58" i="1"/>
  <c r="AC58" i="1"/>
  <c r="AD58" i="1"/>
  <c r="Z58" i="1"/>
  <c r="Y58" i="1"/>
  <c r="Q19" i="1"/>
  <c r="V19" i="1" l="1"/>
  <c r="P32" i="1" s="1"/>
  <c r="AI58" i="1"/>
  <c r="L58" i="1" s="1"/>
  <c r="AL58" i="1"/>
  <c r="O58" i="1" s="1"/>
  <c r="AJ58" i="1"/>
  <c r="M58" i="1" s="1"/>
  <c r="AM58" i="1"/>
  <c r="AK58" i="1"/>
  <c r="N58" i="1" s="1"/>
  <c r="AH58" i="1"/>
  <c r="K58" i="1" s="1"/>
  <c r="P58" i="1"/>
  <c r="K64" i="1" l="1" a="1"/>
  <c r="K64" i="1" s="1"/>
  <c r="M27" i="1" s="1" a="1"/>
  <c r="Q32" i="1" s="1"/>
  <c r="M27" i="1" l="1"/>
  <c r="Q27" i="1" s="1"/>
  <c r="Q31" i="1"/>
  <c r="Q29" i="1"/>
  <c r="Q28" i="1"/>
  <c r="Q30" i="1"/>
  <c r="Q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<sst xmlns="http://schemas.openxmlformats.org/spreadsheetml/2006/main" count="332" uniqueCount="170">
  <si>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</si>
  <si>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</si>
  <si>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</si>
  <si>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</si>
  <si>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</si>
  <si>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</si>
  <si>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USA_SOV</t>
  </si>
  <si>
    <t>Time, T</t>
  </si>
  <si>
    <t>Coupon</t>
  </si>
  <si>
    <t>P(Survive), Q(T)</t>
  </si>
  <si>
    <t>LossGivenDefault, LGD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</si>
  <si>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</si>
  <si>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</si>
  <si>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</si>
  <si>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</si>
  <si>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</si>
  <si>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</si>
  <si>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</si>
  <si>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</si>
  <si>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</si>
  <si>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</si>
  <si>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</si>
  <si>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</si>
  <si>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</si>
  <si>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Yield Curve</t>
  </si>
  <si>
    <t>Discount Factors</t>
  </si>
  <si>
    <t>ZeroRate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</si>
  <si>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</si>
  <si>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</si>
  <si>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</si>
  <si>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</si>
  <si>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</si>
  <si>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</si>
  <si>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</si>
  <si>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</si>
  <si>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</si>
  <si>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</si>
  <si>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</si>
  <si>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</si>
  <si>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</si>
  <si>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</si>
  <si>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</si>
  <si>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</si>
  <si>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</si>
  <si>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</si>
  <si>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Solver Iteration Results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</si>
  <si>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</si>
  <si>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</si>
  <si>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</si>
  <si>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</si>
  <si>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</si>
  <si>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Time (Years)</t>
  </si>
  <si>
    <t>Risky Annuity</t>
  </si>
  <si>
    <t>CDS PVs</t>
  </si>
  <si>
    <t>Inverse Jacobian, dH/dP</t>
  </si>
  <si>
    <t>Jacobian, dP/dH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</si>
  <si>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</si>
  <si>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</si>
  <si>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</si>
  <si>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</si>
  <si>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</si>
  <si>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</si>
  <si>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</si>
  <si>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</si>
  <si>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</si>
  <si>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</si>
  <si>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</si>
  <si>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</si>
  <si>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</si>
  <si>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</si>
  <si>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</si>
  <si>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</si>
  <si>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</si>
  <si>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Simple Yield Curve for Demo Purposes</t>
  </si>
  <si>
    <t>Iteration: 3</t>
  </si>
  <si>
    <t>+/-</t>
  </si>
  <si>
    <t>dProtection/dH</t>
  </si>
  <si>
    <t>dRiskyAnnuity/dH</t>
  </si>
  <si>
    <r>
      <t>dPROT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</si>
  <si>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</si>
  <si>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</si>
  <si>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</si>
  <si>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</si>
  <si>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</si>
  <si>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</si>
  <si>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2Y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</si>
  <si>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3Y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</si>
  <si>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4Y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</si>
  <si>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5Y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</si>
  <si>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10Y</t>
    </r>
  </si>
  <si>
    <t>dPROT/dH</t>
  </si>
  <si>
    <t>dRA/dH</t>
  </si>
  <si>
    <r>
      <rPr>
        <b/>
        <sz val="11"/>
        <color rgb="FF0000FF"/>
        <rFont val="Calibri"/>
        <family val="2"/>
        <scheme val="minor"/>
      </rPr>
      <t>Numerical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</si>
  <si>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r>
      <rPr>
        <b/>
        <sz val="11"/>
        <color rgb="FF0000FF"/>
        <rFont val="Calibri"/>
        <family val="2"/>
        <scheme val="minor"/>
      </rPr>
      <t>Analytical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</si>
  <si>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t>Bump 1Y</t>
  </si>
  <si>
    <t>Bump 2Y</t>
  </si>
  <si>
    <t>Bump 4Y</t>
  </si>
  <si>
    <t>Bump 5Y</t>
  </si>
  <si>
    <t>Bump 3 Y</t>
  </si>
  <si>
    <t>Hazard Rates &amp; Probabilities</t>
  </si>
  <si>
    <t>Shifted-Hazard</t>
  </si>
  <si>
    <t>Bump 10Y</t>
  </si>
  <si>
    <t>Rate</t>
  </si>
  <si>
    <t>Shifted Protection PV</t>
  </si>
  <si>
    <t>Shifted Risky Annuity</t>
  </si>
  <si>
    <r>
      <t>ParRate</t>
    </r>
    <r>
      <rPr>
        <vertAlign val="subscript"/>
        <sz val="11"/>
        <color theme="1"/>
        <rFont val="Calibri"/>
        <family val="2"/>
        <scheme val="minor"/>
      </rPr>
      <t>1Y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</si>
  <si>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2Y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</si>
  <si>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3Y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</si>
  <si>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4Y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</si>
  <si>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5Y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</si>
  <si>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10Y</t>
    </r>
  </si>
  <si>
    <t>Par Rate</t>
  </si>
  <si>
    <t>Shifted Par Rate %</t>
  </si>
  <si>
    <t>Shift Size</t>
  </si>
  <si>
    <t>NUMERICAL</t>
  </si>
  <si>
    <t>&lt;--- Can be computed numerically or analytically</t>
  </si>
  <si>
    <t>Par Spread (%)</t>
  </si>
  <si>
    <t>Premium Leg</t>
  </si>
  <si>
    <t>CreditSpread (bps)</t>
  </si>
  <si>
    <t>Buy/Sell Protection</t>
  </si>
  <si>
    <t>BUY</t>
  </si>
  <si>
    <t>RecoveryRate</t>
  </si>
  <si>
    <t>Parameters</t>
  </si>
  <si>
    <t>CreditSpread (in %)</t>
  </si>
  <si>
    <t>YearFraction</t>
  </si>
  <si>
    <t>PremiumSign</t>
  </si>
  <si>
    <t>ProtectionSign</t>
  </si>
  <si>
    <t>-</t>
  </si>
  <si>
    <t>Results</t>
  </si>
  <si>
    <t>PV( CDS )</t>
  </si>
  <si>
    <t>PV( Premium Leg )</t>
  </si>
  <si>
    <t>PV( Protection Leg)</t>
  </si>
  <si>
    <t>PV01</t>
  </si>
  <si>
    <t>HazardRate</t>
  </si>
  <si>
    <t>Premium PV</t>
  </si>
  <si>
    <t>Accrued PV</t>
  </si>
  <si>
    <t>Protection Leg</t>
  </si>
  <si>
    <t>LGD</t>
  </si>
  <si>
    <t>Credit Default Swap (CDS)</t>
  </si>
  <si>
    <t>Tenor (years)</t>
  </si>
  <si>
    <t>DiscFact, P(0,T)</t>
  </si>
  <si>
    <t>Bloomberg CDSW Example</t>
  </si>
  <si>
    <t>Instructions</t>
  </si>
  <si>
    <t>Assumptions</t>
  </si>
  <si>
    <t>Inputs:</t>
  </si>
  <si>
    <t>Outputs:</t>
  </si>
  <si>
    <t>Credit Model</t>
  </si>
  <si>
    <t>Hazard Rates are Deterministic &amp; Piecewise Contant</t>
  </si>
  <si>
    <t xml:space="preserve">CDS Par Spread Quotes </t>
  </si>
  <si>
    <t>Hazard Rates (Instantaneous Probability of Default)</t>
  </si>
  <si>
    <t>1.CDS Curve Specification</t>
  </si>
  <si>
    <t xml:space="preserve">2. CDS Market Data </t>
  </si>
  <si>
    <t>3. Tolerance</t>
  </si>
  <si>
    <t>4. Initial Guess: H = S / ( 1 - R)</t>
  </si>
  <si>
    <t>5. Show Iterations</t>
  </si>
  <si>
    <t>1. Specify the CDS Recovery Rate ( 40% for Senior Bonds, 20% for Subordinated Bonds)</t>
  </si>
  <si>
    <t>2. Input the CDS Market Data i.e. Market Par Spreads</t>
  </si>
  <si>
    <t>In this workbook we demonstrate how to calibrate a credit curve to CDS instruments.</t>
  </si>
  <si>
    <t>We can calibrate to Corporate Bonds or CDS, here we calibrate to CDS.</t>
  </si>
  <si>
    <t>3. Enter the solver tolerance</t>
  </si>
  <si>
    <t>4. Enter an initial guess for the hazard rate, we use H = S / (1-R), which is a reasonable</t>
  </si>
  <si>
    <t>5. To show each solver iteration, set show iterations to True</t>
  </si>
  <si>
    <r>
      <t xml:space="preserve">7. </t>
    </r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>: For the solver we can choose to use a Numerical or Analytical Risk Jacobian</t>
    </r>
  </si>
  <si>
    <r>
      <t>6. Press the</t>
    </r>
    <r>
      <rPr>
        <b/>
        <sz val="11"/>
        <color theme="1"/>
        <rFont val="Calibri"/>
        <family val="2"/>
        <scheme val="minor"/>
      </rPr>
      <t xml:space="preserve"> Run Solver Macro button </t>
    </r>
    <r>
      <rPr>
        <sz val="11"/>
        <color theme="1"/>
        <rFont val="Calibri"/>
        <family val="2"/>
        <scheme val="minor"/>
      </rPr>
      <t>to run the solver, which is a simple loop in VBA.</t>
    </r>
  </si>
  <si>
    <t>Chart Data</t>
  </si>
  <si>
    <t>Time</t>
  </si>
  <si>
    <t>Multi-Dimensional Newton-Raphson Solver Algorithm</t>
  </si>
  <si>
    <t>Hazard Rates</t>
  </si>
  <si>
    <t>Shifted-Hazard Rates</t>
  </si>
  <si>
    <t>(This is standard industry practice)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</si>
</sst>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#,##0.000000"/>
    <numFmt numFmtId="166" formatCode="#,##0.0000"/>
    <numFmt numFmtId="167" formatCode="0.00000%"/>
    <numFmt numFmtId="168" formatCode="0.0000000%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</borders>
  <cellStyleXfs count="1">
    <xf numFmtId="0" fontId="0" fillId="0" borderId="0"/>
  </cellStyleXfs>
  <cellXfs count="190">
    <xf numFmtId="0" fontId="0" fillId="0" borderId="0" xfId="0"/>
    <xf numFmtId="0" fontId="2" fillId="0" borderId="0" xfId="0" applyFont="1"/>
    <xf numFmtId="0" fontId="0" fillId="2" borderId="3" xfId="0" applyFill="1" applyBorder="1"/>
    <xf numFmtId="0" fontId="0" fillId="0" borderId="1" xfId="0" applyBorder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7" fontId="5" fillId="0" borderId="0" xfId="0" applyNumberFormat="1" applyFont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7" fontId="5" fillId="0" borderId="22" xfId="0" applyNumberFormat="1" applyFon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7" fontId="5" fillId="0" borderId="27" xfId="0" applyNumberFormat="1" applyFont="1" applyBorder="1" applyAlignment="1">
      <alignment horizontal="center" vertical="center"/>
    </xf>
    <xf numFmtId="167" fontId="0" fillId="0" borderId="27" xfId="0" applyNumberFormat="1" applyBorder="1" applyAlignment="1">
      <alignment horizontal="center" vertical="center"/>
    </xf>
    <xf numFmtId="167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7" fontId="0" fillId="0" borderId="23" xfId="0" applyNumberFormat="1" applyBorder="1" applyAlignment="1">
      <alignment horizontal="center" vertical="center"/>
    </xf>
    <xf numFmtId="167" fontId="0" fillId="0" borderId="25" xfId="0" applyNumberFormat="1" applyBorder="1" applyAlignment="1">
      <alignment horizontal="center" vertical="center"/>
    </xf>
    <xf numFmtId="167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6" fontId="10" fillId="3" borderId="9" xfId="0" applyNumberFormat="1" applyFont="1" applyFill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10" fillId="3" borderId="12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2" fillId="3" borderId="14" xfId="0" applyNumberFormat="1" applyFont="1" applyFill="1" applyBorder="1" applyAlignment="1">
      <alignment horizontal="center" vertical="center"/>
    </xf>
    <xf numFmtId="166" fontId="2" fillId="3" borderId="4" xfId="0" applyNumberFormat="1" applyFont="1" applyFill="1" applyBorder="1" applyAlignment="1">
      <alignment horizontal="center" vertical="center"/>
    </xf>
    <xf numFmtId="166" fontId="10" fillId="3" borderId="15" xfId="0" applyNumberFormat="1" applyFont="1" applyFill="1" applyBorder="1" applyAlignment="1">
      <alignment horizontal="center" vertical="center"/>
    </xf>
    <xf numFmtId="166" fontId="4" fillId="0" borderId="12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4" fontId="0" fillId="0" borderId="29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33" xfId="0" applyNumberFormat="1" applyBorder="1" applyAlignment="1">
      <alignment horizontal="center" vertical="center"/>
    </xf>
    <xf numFmtId="168" fontId="0" fillId="0" borderId="34" xfId="0" applyNumberFormat="1" applyBorder="1" applyAlignment="1">
      <alignment horizontal="center" vertical="center"/>
    </xf>
    <xf numFmtId="168" fontId="0" fillId="0" borderId="35" xfId="0" applyNumberFormat="1" applyBorder="1" applyAlignment="1">
      <alignment horizontal="center" vertical="center"/>
    </xf>
    <xf numFmtId="168" fontId="0" fillId="0" borderId="36" xfId="0" applyNumberFormat="1" applyBorder="1" applyAlignment="1">
      <alignment horizontal="center" vertical="center"/>
    </xf>
    <xf numFmtId="168" fontId="0" fillId="0" borderId="37" xfId="0" applyNumberFormat="1" applyBorder="1" applyAlignment="1">
      <alignment horizontal="center" vertical="center"/>
    </xf>
    <xf numFmtId="168" fontId="0" fillId="0" borderId="38" xfId="0" applyNumberFormat="1" applyBorder="1" applyAlignment="1">
      <alignment horizontal="center" vertical="center"/>
    </xf>
    <xf numFmtId="168" fontId="0" fillId="0" borderId="39" xfId="0" applyNumberFormat="1" applyBorder="1" applyAlignment="1">
      <alignment horizontal="center" vertical="center"/>
    </xf>
    <xf numFmtId="168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 quotePrefix="1" applyAlignment="1">
      <alignment horizontal="center" vertical="center"/>
    </xf>
    <xf numFmtId="166" fontId="10" fillId="3" borderId="14" xfId="0" applyNumberFormat="1" applyFont="1" applyFill="1" applyBorder="1" applyAlignment="1">
      <alignment horizontal="center" vertical="center"/>
    </xf>
    <xf numFmtId="166" fontId="10" fillId="3" borderId="4" xfId="0" applyNumberFormat="1" applyFont="1" applyFill="1" applyBorder="1" applyAlignment="1">
      <alignment horizontal="center" vertical="center"/>
    </xf>
    <xf numFmtId="166" fontId="0" fillId="0" borderId="0" xfId="0" applyNumberFormat="1"/>
    <xf numFmtId="10" fontId="0" fillId="0" borderId="11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164" fontId="5" fillId="0" borderId="9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  <xf numFmtId="164" fontId="5" fillId="5" borderId="12" xfId="0" applyNumberFormat="1" applyFont="1" applyFill="1" applyBorder="1" applyAlignment="1">
      <alignment horizontal="center" vertical="center"/>
    </xf>
    <xf numFmtId="164" fontId="5" fillId="5" borderId="10" xfId="0" applyNumberFormat="1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64" fontId="10" fillId="3" borderId="9" xfId="0" applyNumberFormat="1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0" fillId="3" borderId="12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3" fontId="10" fillId="3" borderId="12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3" fontId="2" fillId="3" borderId="4" xfId="0" applyNumberFormat="1" applyFont="1" applyFill="1" applyBorder="1" applyAlignment="1">
      <alignment horizontal="center" vertical="center"/>
    </xf>
    <xf numFmtId="3" fontId="2" fillId="3" borderId="15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4" fontId="0" fillId="4" borderId="2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/>
    </xf>
    <xf numFmtId="4" fontId="0" fillId="0" borderId="9" xfId="0" applyNumberFormat="1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5" xfId="0" applyBorder="1"/>
    <xf numFmtId="3" fontId="2" fillId="0" borderId="1" xfId="0" applyNumberFormat="1" applyFont="1" applyBorder="1" applyAlignment="1">
      <alignment horizontal="center" vertical="center"/>
    </xf>
    <xf numFmtId="4" fontId="0" fillId="4" borderId="2" xfId="0" applyNumberFormat="1" applyFill="1" applyBorder="1" applyAlignment="1">
      <alignment horizontal="center" vertical="center"/>
    </xf>
    <xf numFmtId="10" fontId="0" fillId="4" borderId="3" xfId="0" applyNumberFormat="1" applyFill="1" applyBorder="1" applyAlignment="1">
      <alignment horizontal="center"/>
    </xf>
    <xf numFmtId="164" fontId="0" fillId="4" borderId="15" xfId="0" applyNumberFormat="1" applyFill="1" applyBorder="1" applyAlignment="1">
      <alignment horizontal="center"/>
    </xf>
    <xf numFmtId="4" fontId="0" fillId="0" borderId="3" xfId="0" applyNumberForma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3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Curve'!$T$24:$T$35</c:f>
              <c:numCache>
                <c:formatCode>0.0000%</c:formatCode>
                <c:ptCount val="12"/>
                <c:pt idx="0">
                  <c:v>1.666666690779446E-3</c:v>
                </c:pt>
                <c:pt idx="1">
                  <c:v>1.666666690779446E-3</c:v>
                </c:pt>
                <c:pt idx="2">
                  <c:v>2.3442523763698223E-3</c:v>
                </c:pt>
                <c:pt idx="3">
                  <c:v>2.3442523763698223E-3</c:v>
                </c:pt>
                <c:pt idx="4">
                  <c:v>3.5506598573163228E-3</c:v>
                </c:pt>
                <c:pt idx="5">
                  <c:v>3.5506598573163228E-3</c:v>
                </c:pt>
                <c:pt idx="6">
                  <c:v>3.902810059679798E-3</c:v>
                </c:pt>
                <c:pt idx="7">
                  <c:v>3.902810059679798E-3</c:v>
                </c:pt>
                <c:pt idx="8">
                  <c:v>9.3893342974379363E-3</c:v>
                </c:pt>
                <c:pt idx="9">
                  <c:v>9.3893342974379363E-3</c:v>
                </c:pt>
                <c:pt idx="10">
                  <c:v>6.1315102339601062E-3</c:v>
                </c:pt>
                <c:pt idx="11">
                  <c:v>6.1315102339601062E-3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7-4DBB-A6A3-4D1A7CF2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125730</xdr:rowOff>
    </xdr:from>
    <xdr:to>
      <xdr:col>21</xdr:col>
      <xdr:colOff>998220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9660F-40C2-2E7A-CD7D-6BD850C3B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7620</xdr:colOff>
      <xdr:row>2</xdr:row>
      <xdr:rowOff>53340</xdr:rowOff>
    </xdr:from>
    <xdr:to>
      <xdr:col>41</xdr:col>
      <xdr:colOff>304298</xdr:colOff>
      <xdr:row>29</xdr:row>
      <xdr:rowOff>141713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F522D6-0205-4C75-AB40-87B025242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90460" y="419100"/>
          <a:ext cx="10050278" cy="5026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4356-B9C1-4D7C-BA2F-5EA36A9DD27E}">
  <sheetPr codeName="Sheet2"/>
  <dimension ref="B2:F16"/>
  <sheetViews>
    <sheetView showGridLines="0" workbookViewId="0"/>
  </sheetViews>
  <sheetFormatPr defaultRowHeight="14.4" x14ac:dyDescent="0.3"/>
  <cols>
    <col min="2" max="3" width="12.77734375" customWidth="1"/>
    <col min="5" max="6" width="12.77734375" customWidth="1"/>
  </cols>
  <sheetData>
    <row r="2" spans="2:6" x14ac:dyDescent="0.3">
      <c r="B2" t="s">
        <v>73</v>
      </c>
    </row>
    <row r="4" spans="2:6" x14ac:dyDescent="0.3">
      <c r="B4" s="1" t="s">
        <v>24</v>
      </c>
      <c r="E4" s="1" t="s">
        <v>25</v>
      </c>
    </row>
    <row r="6" spans="2:6" x14ac:dyDescent="0.3">
      <c r="B6" s="3" t="s">
        <v>18</v>
      </c>
      <c r="C6" s="13" t="s">
        <v>20</v>
      </c>
      <c r="E6" s="4" t="s">
        <v>22</v>
      </c>
      <c r="F6" s="4" t="s">
        <v>23</v>
      </c>
    </row>
    <row r="7" spans="2:6" x14ac:dyDescent="0.3">
      <c r="B7" s="2" t="s">
        <v>26</v>
      </c>
      <c r="C7" s="179">
        <v>3.0228123396233719E-2</v>
      </c>
      <c r="E7" s="106">
        <v>1</v>
      </c>
      <c r="F7" s="107">
        <f t="shared" ref="F7:F16" si="0">EXP(-ZeroRate*E7)</f>
        <v>0.97022417746674583</v>
      </c>
    </row>
    <row r="8" spans="2:6" x14ac:dyDescent="0.3">
      <c r="E8" s="108">
        <v>2</v>
      </c>
      <c r="F8" s="109">
        <f t="shared" si="0"/>
        <v>0.94133495454102345</v>
      </c>
    </row>
    <row r="9" spans="2:6" x14ac:dyDescent="0.3">
      <c r="E9" s="108">
        <v>3</v>
      </c>
      <c r="F9" s="109">
        <f t="shared" si="0"/>
        <v>0.913305931990261</v>
      </c>
    </row>
    <row r="10" spans="2:6" x14ac:dyDescent="0.3">
      <c r="E10" s="108">
        <v>4</v>
      </c>
      <c r="F10" s="109">
        <f t="shared" si="0"/>
        <v>0.88611149664075062</v>
      </c>
    </row>
    <row r="11" spans="2:6" x14ac:dyDescent="0.3">
      <c r="E11" s="108">
        <v>5</v>
      </c>
      <c r="F11" s="109">
        <f t="shared" si="0"/>
        <v>0.85972679797209928</v>
      </c>
    </row>
    <row r="12" spans="2:6" x14ac:dyDescent="0.3">
      <c r="E12" s="108">
        <v>6</v>
      </c>
      <c r="F12" s="109">
        <f t="shared" si="0"/>
        <v>0.83412772540859914</v>
      </c>
    </row>
    <row r="13" spans="2:6" x14ac:dyDescent="0.3">
      <c r="E13" s="108">
        <v>7</v>
      </c>
      <c r="F13" s="109">
        <f t="shared" si="0"/>
        <v>0.80929088628676571</v>
      </c>
    </row>
    <row r="14" spans="2:6" x14ac:dyDescent="0.3">
      <c r="E14" s="108">
        <v>8</v>
      </c>
      <c r="F14" s="109">
        <f t="shared" si="0"/>
        <v>0.78519358447891097</v>
      </c>
    </row>
    <row r="15" spans="2:6" x14ac:dyDescent="0.3">
      <c r="E15" s="108">
        <v>9</v>
      </c>
      <c r="F15" s="109">
        <f t="shared" si="0"/>
        <v>0.76181379965321716</v>
      </c>
    </row>
    <row r="16" spans="2:6" x14ac:dyDescent="0.3">
      <c r="E16" s="110">
        <v>10</v>
      </c>
      <c r="F16" s="111">
        <f t="shared" si="0"/>
        <v>0.73913016715135882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/>
  <dimension ref="B1:BF9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RowHeight="14.4" outlineLevelCol="2" x14ac:dyDescent="0.3"/>
  <cols>
    <col min="1" max="1" width="4.77734375" customWidth="1"/>
    <col min="2" max="2" width="9.21875" customWidth="1" outlineLevel="1"/>
    <col min="3" max="8" width="12.6640625" customWidth="1" outlineLevel="1"/>
    <col min="9" max="9" width="12.6640625" customWidth="1"/>
    <col min="10" max="10" width="9.21875" customWidth="1"/>
    <col min="11" max="15" width="12.6640625" customWidth="1"/>
    <col min="16" max="16" width="15.6640625" customWidth="1"/>
    <col min="17" max="19" width="12.6640625" customWidth="1"/>
    <col min="20" max="22" width="15.6640625" customWidth="1"/>
    <col min="23" max="28" width="15.6640625" hidden="1" customWidth="1" outlineLevel="1"/>
    <col min="29" max="30" width="15.77734375" hidden="1" customWidth="1" outlineLevel="1"/>
    <col min="31" max="31" width="15.77734375" customWidth="1" collapsed="1"/>
    <col min="32" max="56" width="15.77734375" hidden="1" customWidth="1" outlineLevel="1"/>
    <col min="57" max="57" width="15.77734375" hidden="1" customWidth="1" outlineLevel="2"/>
    <col min="58" max="58" width="20.77734375" customWidth="1" collapsed="1"/>
  </cols>
  <sheetData>
    <row r="1" spans="3:58" x14ac:dyDescent="0.3">
      <c r="I1" s="133" t="s">
        <v>142</v>
      </c>
      <c r="J1" s="133"/>
      <c r="AE1" s="133" t="s">
        <v>167</v>
      </c>
      <c r="BF1" s="133" t="s">
        <v>168</v>
      </c>
    </row>
    <row r="2" spans="3:58" x14ac:dyDescent="0.3">
      <c r="C2" s="1" t="s">
        <v>146</v>
      </c>
      <c r="K2" s="58" t="s">
        <v>150</v>
      </c>
      <c r="O2" s="58" t="s">
        <v>151</v>
      </c>
      <c r="S2" s="1" t="s">
        <v>70</v>
      </c>
      <c r="X2" s="1" t="s">
        <v>99</v>
      </c>
      <c r="Y2" s="1"/>
      <c r="AE2" s="133"/>
      <c r="AH2" s="1" t="s">
        <v>94</v>
      </c>
      <c r="AJ2" s="1"/>
      <c r="AL2" s="1" t="s">
        <v>95</v>
      </c>
      <c r="AN2" s="1"/>
      <c r="AP2" s="1" t="s">
        <v>98</v>
      </c>
      <c r="AT2" s="1" t="s">
        <v>96</v>
      </c>
      <c r="AX2" s="1" t="s">
        <v>97</v>
      </c>
      <c r="BB2" s="1" t="s">
        <v>101</v>
      </c>
      <c r="BF2" s="133"/>
    </row>
    <row r="3" spans="3:58" x14ac:dyDescent="0.3">
      <c r="C3" t="s">
        <v>157</v>
      </c>
      <c r="K3" s="186" t="s">
        <v>0</v>
      </c>
      <c r="L3" s="187"/>
      <c r="M3" s="50" t="s">
        <v>6</v>
      </c>
      <c r="O3" s="43" t="s">
        <v>11</v>
      </c>
      <c r="P3" s="43" t="s">
        <v>71</v>
      </c>
      <c r="Q3" s="4" t="s">
        <v>116</v>
      </c>
      <c r="S3" s="43" t="s">
        <v>51</v>
      </c>
      <c r="T3" s="43" t="s">
        <v>21</v>
      </c>
      <c r="X3" s="44" t="s">
        <v>7</v>
      </c>
      <c r="Y3" s="44" t="s">
        <v>21</v>
      </c>
      <c r="Z3" s="44" t="s">
        <v>9</v>
      </c>
      <c r="AA3" s="44" t="s">
        <v>27</v>
      </c>
      <c r="AB3" s="44" t="s">
        <v>140</v>
      </c>
      <c r="AC3" s="44"/>
      <c r="AD3" s="44"/>
      <c r="AE3" s="44"/>
      <c r="AF3" s="44"/>
      <c r="AG3" s="44" t="s">
        <v>7</v>
      </c>
      <c r="AH3" s="4" t="s">
        <v>21</v>
      </c>
      <c r="AI3" s="44" t="s">
        <v>100</v>
      </c>
      <c r="AJ3" s="44" t="s">
        <v>9</v>
      </c>
      <c r="AK3" s="44" t="s">
        <v>27</v>
      </c>
      <c r="AL3" s="4" t="s">
        <v>21</v>
      </c>
      <c r="AM3" s="44" t="s">
        <v>100</v>
      </c>
      <c r="AN3" s="44" t="s">
        <v>9</v>
      </c>
      <c r="AO3" s="44" t="s">
        <v>27</v>
      </c>
      <c r="AP3" s="4" t="s">
        <v>21</v>
      </c>
      <c r="AQ3" s="44" t="s">
        <v>100</v>
      </c>
      <c r="AR3" s="44" t="s">
        <v>9</v>
      </c>
      <c r="AS3" s="44" t="s">
        <v>27</v>
      </c>
      <c r="AT3" s="4" t="s">
        <v>21</v>
      </c>
      <c r="AU3" s="44" t="s">
        <v>100</v>
      </c>
      <c r="AV3" s="44" t="s">
        <v>9</v>
      </c>
      <c r="AW3" s="44" t="s">
        <v>27</v>
      </c>
      <c r="AX3" s="4" t="s">
        <v>21</v>
      </c>
      <c r="AY3" s="44" t="s">
        <v>100</v>
      </c>
      <c r="AZ3" s="44" t="s">
        <v>9</v>
      </c>
      <c r="BA3" s="44" t="s">
        <v>27</v>
      </c>
      <c r="BB3" s="4" t="s">
        <v>21</v>
      </c>
      <c r="BC3" s="44" t="s">
        <v>100</v>
      </c>
      <c r="BD3" s="44" t="s">
        <v>9</v>
      </c>
      <c r="BE3" s="44" t="s">
        <v>27</v>
      </c>
    </row>
    <row r="4" spans="3:58" x14ac:dyDescent="0.3">
      <c r="C4" t="s">
        <v>158</v>
      </c>
      <c r="K4" s="188" t="s">
        <v>18</v>
      </c>
      <c r="L4" s="189"/>
      <c r="M4" s="51" t="s">
        <v>20</v>
      </c>
      <c r="O4" s="76" t="s">
        <v>12</v>
      </c>
      <c r="P4" s="77">
        <v>10</v>
      </c>
      <c r="Q4" s="21">
        <f t="shared" ref="Q4:Q9" si="0">P4/10000</f>
        <v>1E-3</v>
      </c>
      <c r="S4" s="14">
        <v>1</v>
      </c>
      <c r="T4" s="89">
        <f t="shared" ref="T4:T9" si="1">N27</f>
        <v>1.666666690779446E-3</v>
      </c>
      <c r="W4" s="21"/>
      <c r="X4" s="20">
        <v>0</v>
      </c>
      <c r="Y4" s="21" cm="1">
        <f t="array" ref="Y4">Interpolate(X4,$S$4:$S$9,$T$4:$T$9)</f>
        <v>1.666666690779446E-3</v>
      </c>
      <c r="Z4" s="12">
        <v>1</v>
      </c>
      <c r="AA4" s="12">
        <v>0</v>
      </c>
      <c r="AB4" s="45">
        <v>1</v>
      </c>
      <c r="AG4" s="20">
        <v>0</v>
      </c>
      <c r="AI4" s="12" t="s">
        <v>102</v>
      </c>
      <c r="AJ4" s="12">
        <v>1</v>
      </c>
      <c r="AK4" s="12">
        <v>0</v>
      </c>
      <c r="AM4" s="12" t="s">
        <v>102</v>
      </c>
      <c r="AN4" s="12">
        <v>1</v>
      </c>
      <c r="AO4" s="12">
        <v>0</v>
      </c>
      <c r="AQ4" s="12" t="s">
        <v>102</v>
      </c>
      <c r="AR4" s="12">
        <v>1</v>
      </c>
      <c r="AS4" s="12">
        <v>0</v>
      </c>
      <c r="AU4" s="12" t="s">
        <v>102</v>
      </c>
      <c r="AV4" s="12">
        <v>1</v>
      </c>
      <c r="AW4" s="12">
        <v>0</v>
      </c>
      <c r="AY4" s="12" t="s">
        <v>102</v>
      </c>
      <c r="AZ4" s="12">
        <v>1</v>
      </c>
      <c r="BA4" s="12">
        <v>0</v>
      </c>
      <c r="BC4" s="12" t="s">
        <v>102</v>
      </c>
      <c r="BD4" s="12">
        <v>1</v>
      </c>
      <c r="BE4" s="12">
        <v>0</v>
      </c>
    </row>
    <row r="5" spans="3:58" x14ac:dyDescent="0.3">
      <c r="K5" s="188" t="s">
        <v>3</v>
      </c>
      <c r="L5" s="189"/>
      <c r="M5" s="52" t="s">
        <v>4</v>
      </c>
      <c r="O5" s="78" t="s">
        <v>13</v>
      </c>
      <c r="P5" s="79">
        <v>12</v>
      </c>
      <c r="Q5" s="21">
        <f t="shared" si="0"/>
        <v>1.1999999999999999E-3</v>
      </c>
      <c r="S5" s="15">
        <v>2</v>
      </c>
      <c r="T5" s="90">
        <f t="shared" si="1"/>
        <v>2.3442523763698223E-3</v>
      </c>
      <c r="W5" s="21"/>
      <c r="X5" s="23">
        <f>YearFraction</f>
        <v>0.25</v>
      </c>
      <c r="Y5" s="24" cm="1">
        <f t="array" ref="Y5">Interpolate(X5,$S$4:$S$9,$T$4:$T$9)</f>
        <v>1.666666690779446E-3</v>
      </c>
      <c r="Z5" s="25">
        <f t="shared" ref="Z5:Z44" si="2">EXP(-Y5*YearFraction)*Z4</f>
        <v>0.99958342012080814</v>
      </c>
      <c r="AA5" s="25">
        <f t="shared" ref="AA5:AA44" si="3">Z4-Z5</f>
        <v>4.1657987919185846E-4</v>
      </c>
      <c r="AB5" s="26">
        <f t="shared" ref="AB5:AB44" si="4">EXP(-ZeroRate*$X5)</f>
        <v>0.99247145171553464</v>
      </c>
      <c r="AG5" s="23">
        <f>YearFraction</f>
        <v>0.25</v>
      </c>
      <c r="AH5" s="138">
        <f>HazardRate1Y+ShiftSize</f>
        <v>1.6667666907794461E-3</v>
      </c>
      <c r="AI5" s="33" cm="1">
        <f t="array" ref="AI5">Interpolate($AG5,$S$4:$S$9,AH$5:AH$10)</f>
        <v>1.6667666907794461E-3</v>
      </c>
      <c r="AJ5" s="25">
        <f t="shared" ref="AJ5:AJ44" si="5">EXP(-AI5*YearFraction)*AJ4</f>
        <v>0.99958339513122296</v>
      </c>
      <c r="AK5" s="130">
        <f t="shared" ref="AK5:AK44" si="6">AJ4-AJ5</f>
        <v>4.166048687770374E-4</v>
      </c>
      <c r="AL5" s="135">
        <f>HazardRate1Y</f>
        <v>1.666666690779446E-3</v>
      </c>
      <c r="AM5" s="33" cm="1">
        <f t="array" ref="AM5">Interpolate($AG5,$S$4:$S$9,AL$5:AL$10)</f>
        <v>1.666666690779446E-3</v>
      </c>
      <c r="AN5" s="25">
        <f t="shared" ref="AN5:AN44" si="7">EXP(-AM5*YearFraction)*AN4</f>
        <v>0.99958342012080814</v>
      </c>
      <c r="AO5" s="130">
        <f t="shared" ref="AO5:AO44" si="8">AN4-AN5</f>
        <v>4.1657987919185846E-4</v>
      </c>
      <c r="AP5" s="135">
        <f>HazardRate1Y</f>
        <v>1.666666690779446E-3</v>
      </c>
      <c r="AQ5" s="33" cm="1">
        <f t="array" ref="AQ5">Interpolate($AG5,$S$4:$S$9,AP$5:AP$10)</f>
        <v>1.666666690779446E-3</v>
      </c>
      <c r="AR5" s="25">
        <f t="shared" ref="AR5:AR44" si="9">EXP(-AQ5*YearFraction)*AR4</f>
        <v>0.99958342012080814</v>
      </c>
      <c r="AS5" s="130">
        <f t="shared" ref="AS5:AS44" si="10">AR4-AR5</f>
        <v>4.1657987919185846E-4</v>
      </c>
      <c r="AT5" s="135">
        <f>HazardRate1Y</f>
        <v>1.666666690779446E-3</v>
      </c>
      <c r="AU5" s="33" cm="1">
        <f t="array" ref="AU5">Interpolate($AG5,$S$4:$S$9,AT$5:AT$10)</f>
        <v>1.666666690779446E-3</v>
      </c>
      <c r="AV5" s="25">
        <f t="shared" ref="AV5:AV44" si="11">EXP(-AU5*YearFraction)*AV4</f>
        <v>0.99958342012080814</v>
      </c>
      <c r="AW5" s="130">
        <f t="shared" ref="AW5:AW44" si="12">AV4-AV5</f>
        <v>4.1657987919185846E-4</v>
      </c>
      <c r="AX5" s="135">
        <f>HazardRate1Y</f>
        <v>1.666666690779446E-3</v>
      </c>
      <c r="AY5" s="33" cm="1">
        <f t="array" ref="AY5">Interpolate($AG5,$S$4:$S$9,AX$5:AX$10)</f>
        <v>1.666666690779446E-3</v>
      </c>
      <c r="AZ5" s="25">
        <f t="shared" ref="AZ5:AZ44" si="13">EXP(-AY5*YearFraction)*AZ4</f>
        <v>0.99958342012080814</v>
      </c>
      <c r="BA5" s="130">
        <f t="shared" ref="BA5:BA44" si="14">AZ4-AZ5</f>
        <v>4.1657987919185846E-4</v>
      </c>
      <c r="BB5" s="135">
        <f>HazardRate1Y</f>
        <v>1.666666690779446E-3</v>
      </c>
      <c r="BC5" s="33" cm="1">
        <f t="array" ref="BC5">Interpolate($AG5,$S$4:$S$9,BB$5:BB$10)</f>
        <v>1.666666690779446E-3</v>
      </c>
      <c r="BD5" s="25">
        <f t="shared" ref="BD5:BD44" si="15">EXP(-BC5*YearFraction)*BD4</f>
        <v>0.99958342012080814</v>
      </c>
      <c r="BE5" s="130">
        <f t="shared" ref="BE5:BE44" si="16">BD4-BD5</f>
        <v>4.1657987919185846E-4</v>
      </c>
    </row>
    <row r="6" spans="3:58" x14ac:dyDescent="0.3">
      <c r="C6" s="1" t="s">
        <v>144</v>
      </c>
      <c r="D6" t="s">
        <v>148</v>
      </c>
      <c r="K6" s="188" t="s">
        <v>1</v>
      </c>
      <c r="L6" s="189"/>
      <c r="M6" s="54">
        <v>0.4</v>
      </c>
      <c r="O6" s="78" t="s">
        <v>14</v>
      </c>
      <c r="P6" s="79">
        <v>15</v>
      </c>
      <c r="Q6" s="21">
        <f t="shared" si="0"/>
        <v>1.5E-3</v>
      </c>
      <c r="S6" s="15">
        <v>3</v>
      </c>
      <c r="T6" s="90">
        <f t="shared" si="1"/>
        <v>3.5506598573163228E-3</v>
      </c>
      <c r="W6" s="21"/>
      <c r="X6" s="27">
        <f t="shared" ref="X6:X44" si="17">X5+YearFraction</f>
        <v>0.5</v>
      </c>
      <c r="Y6" s="28" cm="1">
        <f t="array" ref="Y6">Interpolate(X6,$S$4:$S$9,$T$4:$T$9)</f>
        <v>1.666666690779446E-3</v>
      </c>
      <c r="Z6" s="29">
        <f t="shared" si="2"/>
        <v>0.99916701378041206</v>
      </c>
      <c r="AA6" s="29">
        <f t="shared" si="3"/>
        <v>4.1640634039608049E-4</v>
      </c>
      <c r="AB6" s="30">
        <f t="shared" si="4"/>
        <v>0.98499958247034081</v>
      </c>
      <c r="AG6" s="27">
        <f t="shared" ref="AG6:AG44" si="18">AG5+YearFraction</f>
        <v>0.5</v>
      </c>
      <c r="AH6" s="139">
        <f>HazardRate2Y</f>
        <v>2.3442523763698223E-3</v>
      </c>
      <c r="AI6" s="21" cm="1">
        <f t="array" ref="AI6">Interpolate($AG6,$S$4:$S$9,AH$5:AH$10)</f>
        <v>1.6667666907794461E-3</v>
      </c>
      <c r="AJ6" s="29">
        <f t="shared" si="5"/>
        <v>0.9991669638220626</v>
      </c>
      <c r="AK6" s="131">
        <f t="shared" si="6"/>
        <v>4.1643130916035886E-4</v>
      </c>
      <c r="AL6" s="137">
        <f>HazardRate2Y+ShiftSize</f>
        <v>2.3443523763698221E-3</v>
      </c>
      <c r="AM6" s="21" cm="1">
        <f t="array" ref="AM6">Interpolate($AG6,$S$4:$S$9,AL$5:AL$10)</f>
        <v>1.666666690779446E-3</v>
      </c>
      <c r="AN6" s="29">
        <f t="shared" si="7"/>
        <v>0.99916701378041206</v>
      </c>
      <c r="AO6" s="131">
        <f t="shared" si="8"/>
        <v>4.1640634039608049E-4</v>
      </c>
      <c r="AP6" s="136">
        <f>HazardRate2Y</f>
        <v>2.3442523763698223E-3</v>
      </c>
      <c r="AQ6" s="21" cm="1">
        <f t="array" ref="AQ6">Interpolate($AG6,$S$4:$S$9,AP$5:AP$10)</f>
        <v>1.666666690779446E-3</v>
      </c>
      <c r="AR6" s="29">
        <f t="shared" si="9"/>
        <v>0.99916701378041206</v>
      </c>
      <c r="AS6" s="131">
        <f t="shared" si="10"/>
        <v>4.1640634039608049E-4</v>
      </c>
      <c r="AT6" s="136">
        <f>HazardRate2Y</f>
        <v>2.3442523763698223E-3</v>
      </c>
      <c r="AU6" s="21" cm="1">
        <f t="array" ref="AU6">Interpolate($AG6,$S$4:$S$9,AT$5:AT$10)</f>
        <v>1.666666690779446E-3</v>
      </c>
      <c r="AV6" s="29">
        <f t="shared" si="11"/>
        <v>0.99916701378041206</v>
      </c>
      <c r="AW6" s="131">
        <f t="shared" si="12"/>
        <v>4.1640634039608049E-4</v>
      </c>
      <c r="AX6" s="136">
        <f>HazardRate2Y</f>
        <v>2.3442523763698223E-3</v>
      </c>
      <c r="AY6" s="21" cm="1">
        <f t="array" ref="AY6">Interpolate($AG6,$S$4:$S$9,AX$5:AX$10)</f>
        <v>1.666666690779446E-3</v>
      </c>
      <c r="AZ6" s="29">
        <f t="shared" si="13"/>
        <v>0.99916701378041206</v>
      </c>
      <c r="BA6" s="131">
        <f t="shared" si="14"/>
        <v>4.1640634039608049E-4</v>
      </c>
      <c r="BB6" s="136">
        <f>HazardRate2Y</f>
        <v>2.3442523763698223E-3</v>
      </c>
      <c r="BC6" s="21" cm="1">
        <f t="array" ref="BC6">Interpolate($AG6,$S$4:$S$9,BB$5:BB$10)</f>
        <v>1.666666690779446E-3</v>
      </c>
      <c r="BD6" s="29">
        <f t="shared" si="15"/>
        <v>0.99916701378041206</v>
      </c>
      <c r="BE6" s="131">
        <f t="shared" si="16"/>
        <v>4.1640634039608049E-4</v>
      </c>
    </row>
    <row r="7" spans="3:58" x14ac:dyDescent="0.3">
      <c r="C7" s="1" t="s">
        <v>145</v>
      </c>
      <c r="D7" t="s">
        <v>149</v>
      </c>
      <c r="K7" s="188" t="s">
        <v>5</v>
      </c>
      <c r="L7" s="189"/>
      <c r="M7" s="55">
        <v>0.25</v>
      </c>
      <c r="O7" s="78" t="s">
        <v>15</v>
      </c>
      <c r="P7" s="79">
        <v>17</v>
      </c>
      <c r="Q7" s="21">
        <f t="shared" si="0"/>
        <v>1.6999999999999999E-3</v>
      </c>
      <c r="S7" s="15">
        <v>4</v>
      </c>
      <c r="T7" s="90">
        <f t="shared" si="1"/>
        <v>3.902810059679798E-3</v>
      </c>
      <c r="W7" s="21"/>
      <c r="X7" s="27">
        <f t="shared" si="17"/>
        <v>0.75</v>
      </c>
      <c r="Y7" s="28" cm="1">
        <f t="array" ref="Y7">Interpolate(X7,$S$4:$S$9,$T$4:$T$9)</f>
        <v>1.666666690779446E-3</v>
      </c>
      <c r="Z7" s="29">
        <f t="shared" si="2"/>
        <v>0.99875078090651892</v>
      </c>
      <c r="AA7" s="29">
        <f t="shared" si="3"/>
        <v>4.162328738931409E-4</v>
      </c>
      <c r="AB7" s="30">
        <f t="shared" si="4"/>
        <v>0.97758396555353466</v>
      </c>
      <c r="AG7" s="27">
        <f t="shared" si="18"/>
        <v>0.75</v>
      </c>
      <c r="AH7" s="139">
        <f>HazardRate3Y</f>
        <v>3.5506598573163228E-3</v>
      </c>
      <c r="AI7" s="21" cm="1">
        <f t="array" ref="AI7">Interpolate($AG7,$S$4:$S$9,AH$5:AH$10)</f>
        <v>1.6667666907794461E-3</v>
      </c>
      <c r="AJ7" s="29">
        <f t="shared" si="5"/>
        <v>0.99875070600021321</v>
      </c>
      <c r="AK7" s="131">
        <f t="shared" si="6"/>
        <v>4.162578218493973E-4</v>
      </c>
      <c r="AL7" s="136">
        <f>HazardRate3Y</f>
        <v>3.5506598573163228E-3</v>
      </c>
      <c r="AM7" s="21" cm="1">
        <f t="array" ref="AM7">Interpolate($AG7,$S$4:$S$9,AL$5:AL$10)</f>
        <v>1.666666690779446E-3</v>
      </c>
      <c r="AN7" s="29">
        <f t="shared" si="7"/>
        <v>0.99875078090651892</v>
      </c>
      <c r="AO7" s="131">
        <f t="shared" si="8"/>
        <v>4.162328738931409E-4</v>
      </c>
      <c r="AP7" s="137">
        <f>HazardRate3Y+ShiftSize</f>
        <v>3.5507598573163227E-3</v>
      </c>
      <c r="AQ7" s="21" cm="1">
        <f t="array" ref="AQ7">Interpolate($AG7,$S$4:$S$9,AP$5:AP$10)</f>
        <v>1.666666690779446E-3</v>
      </c>
      <c r="AR7" s="29">
        <f t="shared" si="9"/>
        <v>0.99875078090651892</v>
      </c>
      <c r="AS7" s="131">
        <f t="shared" si="10"/>
        <v>4.162328738931409E-4</v>
      </c>
      <c r="AT7" s="136">
        <f>HazardRate3Y</f>
        <v>3.5506598573163228E-3</v>
      </c>
      <c r="AU7" s="21" cm="1">
        <f t="array" ref="AU7">Interpolate($AG7,$S$4:$S$9,AT$5:AT$10)</f>
        <v>1.666666690779446E-3</v>
      </c>
      <c r="AV7" s="29">
        <f t="shared" si="11"/>
        <v>0.99875078090651892</v>
      </c>
      <c r="AW7" s="131">
        <f t="shared" si="12"/>
        <v>4.162328738931409E-4</v>
      </c>
      <c r="AX7" s="136">
        <f>HazardRate3Y</f>
        <v>3.5506598573163228E-3</v>
      </c>
      <c r="AY7" s="21" cm="1">
        <f t="array" ref="AY7">Interpolate($AG7,$S$4:$S$9,AX$5:AX$10)</f>
        <v>1.666666690779446E-3</v>
      </c>
      <c r="AZ7" s="29">
        <f t="shared" si="13"/>
        <v>0.99875078090651892</v>
      </c>
      <c r="BA7" s="131">
        <f t="shared" si="14"/>
        <v>4.162328738931409E-4</v>
      </c>
      <c r="BB7" s="136">
        <f>HazardRate3Y</f>
        <v>3.5506598573163228E-3</v>
      </c>
      <c r="BC7" s="21" cm="1">
        <f t="array" ref="BC7">Interpolate($AG7,$S$4:$S$9,BB$5:BB$10)</f>
        <v>1.666666690779446E-3</v>
      </c>
      <c r="BD7" s="29">
        <f t="shared" si="15"/>
        <v>0.99875078090651892</v>
      </c>
      <c r="BE7" s="131">
        <f t="shared" si="16"/>
        <v>4.162328738931409E-4</v>
      </c>
    </row>
    <row r="8" spans="3:58" x14ac:dyDescent="0.3">
      <c r="K8" s="188" t="s">
        <v>19</v>
      </c>
      <c r="L8" s="189"/>
      <c r="M8" s="182">
        <v>1000000</v>
      </c>
      <c r="O8" s="78" t="s">
        <v>16</v>
      </c>
      <c r="P8" s="79">
        <v>24.33</v>
      </c>
      <c r="Q8" s="21">
        <f t="shared" si="0"/>
        <v>2.4329999999999998E-3</v>
      </c>
      <c r="S8" s="15">
        <v>5</v>
      </c>
      <c r="T8" s="90">
        <f t="shared" si="1"/>
        <v>9.3893342974379363E-3</v>
      </c>
      <c r="W8" s="21"/>
      <c r="X8" s="27">
        <f t="shared" si="17"/>
        <v>1</v>
      </c>
      <c r="Y8" s="28" cm="1">
        <f t="array" ref="Y8">Interpolate(X8,$S$4:$S$9,$T$4:$T$9)</f>
        <v>1.666666690779446E-3</v>
      </c>
      <c r="Z8" s="29">
        <f t="shared" si="2"/>
        <v>0.99833472142686608</v>
      </c>
      <c r="AA8" s="29">
        <f t="shared" si="3"/>
        <v>4.1605947965284162E-4</v>
      </c>
      <c r="AB8" s="30">
        <f t="shared" si="4"/>
        <v>0.97022417746674583</v>
      </c>
      <c r="AG8" s="27">
        <f t="shared" si="18"/>
        <v>1</v>
      </c>
      <c r="AH8" s="139">
        <f>HazardRate4Y</f>
        <v>3.902810059679798E-3</v>
      </c>
      <c r="AI8" s="21" cm="1">
        <f t="array" ref="AI8">Interpolate($AG8,$S$4:$S$9,AH$5:AH$10)</f>
        <v>1.6667666907794461E-3</v>
      </c>
      <c r="AJ8" s="29">
        <f t="shared" si="5"/>
        <v>0.99833462159339903</v>
      </c>
      <c r="AK8" s="131">
        <f t="shared" si="6"/>
        <v>4.1608440681417669E-4</v>
      </c>
      <c r="AL8" s="136">
        <f>HazardRate4Y</f>
        <v>3.902810059679798E-3</v>
      </c>
      <c r="AM8" s="21" cm="1">
        <f t="array" ref="AM8">Interpolate($AG8,$S$4:$S$9,AL$5:AL$10)</f>
        <v>1.666666690779446E-3</v>
      </c>
      <c r="AN8" s="29">
        <f t="shared" si="7"/>
        <v>0.99833472142686608</v>
      </c>
      <c r="AO8" s="131">
        <f t="shared" si="8"/>
        <v>4.1605947965284162E-4</v>
      </c>
      <c r="AP8" s="136">
        <f>HazardRate4Y</f>
        <v>3.902810059679798E-3</v>
      </c>
      <c r="AQ8" s="21" cm="1">
        <f t="array" ref="AQ8">Interpolate($AG8,$S$4:$S$9,AP$5:AP$10)</f>
        <v>1.666666690779446E-3</v>
      </c>
      <c r="AR8" s="29">
        <f t="shared" si="9"/>
        <v>0.99833472142686608</v>
      </c>
      <c r="AS8" s="131">
        <f t="shared" si="10"/>
        <v>4.1605947965284162E-4</v>
      </c>
      <c r="AT8" s="137">
        <f>HazardRate4Y+ShiftSize</f>
        <v>3.9029100596797979E-3</v>
      </c>
      <c r="AU8" s="21" cm="1">
        <f t="array" ref="AU8">Interpolate($AG8,$S$4:$S$9,AT$5:AT$10)</f>
        <v>1.666666690779446E-3</v>
      </c>
      <c r="AV8" s="29">
        <f t="shared" si="11"/>
        <v>0.99833472142686608</v>
      </c>
      <c r="AW8" s="131">
        <f t="shared" si="12"/>
        <v>4.1605947965284162E-4</v>
      </c>
      <c r="AX8" s="136">
        <f>HazardRate4Y</f>
        <v>3.902810059679798E-3</v>
      </c>
      <c r="AY8" s="21" cm="1">
        <f t="array" ref="AY8">Interpolate($AG8,$S$4:$S$9,AX$5:AX$10)</f>
        <v>1.666666690779446E-3</v>
      </c>
      <c r="AZ8" s="29">
        <f t="shared" si="13"/>
        <v>0.99833472142686608</v>
      </c>
      <c r="BA8" s="131">
        <f t="shared" si="14"/>
        <v>4.1605947965284162E-4</v>
      </c>
      <c r="BB8" s="136">
        <f>HazardRate4Y</f>
        <v>3.902810059679798E-3</v>
      </c>
      <c r="BC8" s="21" cm="1">
        <f t="array" ref="BC8">Interpolate($AG8,$S$4:$S$9,BB$5:BB$10)</f>
        <v>1.666666690779446E-3</v>
      </c>
      <c r="BD8" s="29">
        <f t="shared" si="15"/>
        <v>0.99833472142686608</v>
      </c>
      <c r="BE8" s="131">
        <f t="shared" si="16"/>
        <v>4.1605947965284162E-4</v>
      </c>
    </row>
    <row r="9" spans="3:58" x14ac:dyDescent="0.3">
      <c r="C9" s="1" t="s">
        <v>143</v>
      </c>
      <c r="K9" s="184" t="s">
        <v>10</v>
      </c>
      <c r="L9" s="185"/>
      <c r="M9" s="56">
        <f>Notional*(1-RecoveryRate)</f>
        <v>600000</v>
      </c>
      <c r="O9" s="80" t="s">
        <v>17</v>
      </c>
      <c r="P9" s="81">
        <v>30</v>
      </c>
      <c r="Q9" s="21">
        <f t="shared" si="0"/>
        <v>3.0000000000000001E-3</v>
      </c>
      <c r="S9" s="16">
        <v>10</v>
      </c>
      <c r="T9" s="91">
        <f t="shared" si="1"/>
        <v>6.1315102339601062E-3</v>
      </c>
      <c r="W9" s="21"/>
      <c r="X9" s="27">
        <f t="shared" si="17"/>
        <v>1.25</v>
      </c>
      <c r="Y9" s="28" cm="1">
        <f t="array" ref="Y9">Interpolate(X9,$S$4:$S$9,$T$4:$T$9)</f>
        <v>2.3442523763698223E-3</v>
      </c>
      <c r="Z9" s="29">
        <f t="shared" si="2"/>
        <v>0.99774980570658678</v>
      </c>
      <c r="AA9" s="29">
        <f t="shared" si="3"/>
        <v>5.8491572027929983E-4</v>
      </c>
      <c r="AB9" s="30">
        <f t="shared" si="4"/>
        <v>0.96291979789993165</v>
      </c>
      <c r="AG9" s="27">
        <f t="shared" si="18"/>
        <v>1.25</v>
      </c>
      <c r="AH9" s="139">
        <f>HazardRate5Y</f>
        <v>9.3893342974379363E-3</v>
      </c>
      <c r="AI9" s="21" cm="1">
        <f t="array" ref="AI9">Interpolate($AG9,$S$4:$S$9,AH$5:AH$10)</f>
        <v>2.3442523763698223E-3</v>
      </c>
      <c r="AJ9" s="29">
        <f t="shared" si="5"/>
        <v>0.99774970593161139</v>
      </c>
      <c r="AK9" s="131">
        <f t="shared" si="6"/>
        <v>5.8491566178764387E-4</v>
      </c>
      <c r="AL9" s="136">
        <f>HazardRate5Y</f>
        <v>9.3893342974379363E-3</v>
      </c>
      <c r="AM9" s="21" cm="1">
        <f t="array" ref="AM9">Interpolate($AG9,$S$4:$S$9,AL$5:AL$10)</f>
        <v>2.3443523763698221E-3</v>
      </c>
      <c r="AN9" s="29">
        <f t="shared" si="7"/>
        <v>0.99774978076284204</v>
      </c>
      <c r="AO9" s="131">
        <f t="shared" si="8"/>
        <v>5.8494066402403622E-4</v>
      </c>
      <c r="AP9" s="136">
        <f>HazardRate5Y</f>
        <v>9.3893342974379363E-3</v>
      </c>
      <c r="AQ9" s="21" cm="1">
        <f t="array" ref="AQ9">Interpolate($AG9,$S$4:$S$9,AP$5:AP$10)</f>
        <v>2.3442523763698223E-3</v>
      </c>
      <c r="AR9" s="29">
        <f t="shared" si="9"/>
        <v>0.99774980570658678</v>
      </c>
      <c r="AS9" s="131">
        <f t="shared" si="10"/>
        <v>5.8491572027929983E-4</v>
      </c>
      <c r="AT9" s="136">
        <f>HazardRate5Y</f>
        <v>9.3893342974379363E-3</v>
      </c>
      <c r="AU9" s="21" cm="1">
        <f t="array" ref="AU9">Interpolate($AG9,$S$4:$S$9,AT$5:AT$10)</f>
        <v>2.3442523763698223E-3</v>
      </c>
      <c r="AV9" s="29">
        <f t="shared" si="11"/>
        <v>0.99774980570658678</v>
      </c>
      <c r="AW9" s="131">
        <f t="shared" si="12"/>
        <v>5.8491572027929983E-4</v>
      </c>
      <c r="AX9" s="137">
        <f>HazardRate5Y+ShiftSize</f>
        <v>9.3894342974379357E-3</v>
      </c>
      <c r="AY9" s="21" cm="1">
        <f t="array" ref="AY9">Interpolate($AG9,$S$4:$S$9,AX$5:AX$10)</f>
        <v>2.3442523763698223E-3</v>
      </c>
      <c r="AZ9" s="29">
        <f t="shared" si="13"/>
        <v>0.99774980570658678</v>
      </c>
      <c r="BA9" s="131">
        <f t="shared" si="14"/>
        <v>5.8491572027929983E-4</v>
      </c>
      <c r="BB9" s="136">
        <f>HazardRate5Y</f>
        <v>9.3893342974379363E-3</v>
      </c>
      <c r="BC9" s="21" cm="1">
        <f t="array" ref="BC9">Interpolate($AG9,$S$4:$S$9,BB$5:BB$10)</f>
        <v>2.3442523763698223E-3</v>
      </c>
      <c r="BD9" s="29">
        <f t="shared" si="15"/>
        <v>0.99774980570658678</v>
      </c>
      <c r="BE9" s="131">
        <f t="shared" si="16"/>
        <v>5.8491572027929983E-4</v>
      </c>
    </row>
    <row r="10" spans="3:58" x14ac:dyDescent="0.3">
      <c r="C10" t="s">
        <v>147</v>
      </c>
      <c r="X10" s="27">
        <f t="shared" si="17"/>
        <v>1.5</v>
      </c>
      <c r="Y10" s="28" cm="1">
        <f t="array" ref="Y10">Interpolate(X10,$S$4:$S$9,$T$4:$T$9)</f>
        <v>2.3442523763698223E-3</v>
      </c>
      <c r="Z10" s="29">
        <f t="shared" si="2"/>
        <v>0.99716523268339352</v>
      </c>
      <c r="AA10" s="29">
        <f t="shared" si="3"/>
        <v>5.8457302319325777E-4</v>
      </c>
      <c r="AB10" s="30">
        <f t="shared" si="4"/>
        <v>0.95567040970737449</v>
      </c>
      <c r="AG10" s="27">
        <f t="shared" si="18"/>
        <v>1.5</v>
      </c>
      <c r="AH10" s="139">
        <f>HazardRate10Y</f>
        <v>6.1315102339601062E-3</v>
      </c>
      <c r="AI10" s="21" cm="1">
        <f t="array" ref="AI10">Interpolate($AG10,$S$4:$S$9,AH$5:AH$10)</f>
        <v>2.3442523763698223E-3</v>
      </c>
      <c r="AJ10" s="29">
        <f t="shared" si="5"/>
        <v>0.99716513296687537</v>
      </c>
      <c r="AK10" s="131">
        <f t="shared" si="6"/>
        <v>5.8457296473601872E-4</v>
      </c>
      <c r="AL10" s="136">
        <f>HazardRate10Y</f>
        <v>6.1315102339601062E-3</v>
      </c>
      <c r="AM10" s="21" cm="1">
        <f t="array" ref="AM10">Interpolate($AG10,$S$4:$S$9,AL$5:AL$10)</f>
        <v>2.3443523763698221E-3</v>
      </c>
      <c r="AN10" s="29">
        <f t="shared" si="7"/>
        <v>0.99716518282513322</v>
      </c>
      <c r="AO10" s="131">
        <f t="shared" si="8"/>
        <v>5.8459793770881952E-4</v>
      </c>
      <c r="AP10" s="136">
        <f>HazardRate10Y</f>
        <v>6.1315102339601062E-3</v>
      </c>
      <c r="AQ10" s="21" cm="1">
        <f t="array" ref="AQ10">Interpolate($AG10,$S$4:$S$9,AP$5:AP$10)</f>
        <v>2.3442523763698223E-3</v>
      </c>
      <c r="AR10" s="29">
        <f t="shared" si="9"/>
        <v>0.99716523268339352</v>
      </c>
      <c r="AS10" s="131">
        <f t="shared" si="10"/>
        <v>5.8457302319325777E-4</v>
      </c>
      <c r="AT10" s="136">
        <f>HazardRate10Y</f>
        <v>6.1315102339601062E-3</v>
      </c>
      <c r="AU10" s="21" cm="1">
        <f t="array" ref="AU10">Interpolate($AG10,$S$4:$S$9,AT$5:AT$10)</f>
        <v>2.3442523763698223E-3</v>
      </c>
      <c r="AV10" s="29">
        <f t="shared" si="11"/>
        <v>0.99716523268339352</v>
      </c>
      <c r="AW10" s="131">
        <f t="shared" si="12"/>
        <v>5.8457302319325777E-4</v>
      </c>
      <c r="AX10" s="136">
        <f>HazardRate10Y</f>
        <v>6.1315102339601062E-3</v>
      </c>
      <c r="AY10" s="21" cm="1">
        <f t="array" ref="AY10">Interpolate($AG10,$S$4:$S$9,AX$5:AX$10)</f>
        <v>2.3442523763698223E-3</v>
      </c>
      <c r="AZ10" s="29">
        <f t="shared" si="13"/>
        <v>0.99716523268339352</v>
      </c>
      <c r="BA10" s="131">
        <f t="shared" si="14"/>
        <v>5.8457302319325777E-4</v>
      </c>
      <c r="BB10" s="137">
        <f>HazardRate10Y+ShiftSize</f>
        <v>6.1316102339601065E-3</v>
      </c>
      <c r="BC10" s="21" cm="1">
        <f t="array" ref="BC10">Interpolate($AG10,$S$4:$S$9,BB$5:BB$10)</f>
        <v>2.3442523763698223E-3</v>
      </c>
      <c r="BD10" s="29">
        <f t="shared" si="15"/>
        <v>0.99716523268339352</v>
      </c>
      <c r="BE10" s="131">
        <f t="shared" si="16"/>
        <v>5.8457302319325777E-4</v>
      </c>
    </row>
    <row r="11" spans="3:58" x14ac:dyDescent="0.3">
      <c r="C11" t="s">
        <v>169</v>
      </c>
      <c r="X11" s="27">
        <f t="shared" si="17"/>
        <v>1.75</v>
      </c>
      <c r="Y11" s="28" cm="1">
        <f t="array" ref="Y11">Interpolate(X11,$S$4:$S$9,$T$4:$T$9)</f>
        <v>2.3442523763698223E-3</v>
      </c>
      <c r="Z11" s="29">
        <f t="shared" si="2"/>
        <v>0.99658100215650292</v>
      </c>
      <c r="AA11" s="29">
        <f t="shared" si="3"/>
        <v>5.8423052689060562E-4</v>
      </c>
      <c r="AB11" s="30">
        <f t="shared" si="4"/>
        <v>0.94847559888385768</v>
      </c>
      <c r="AG11" s="27">
        <f t="shared" si="18"/>
        <v>1.75</v>
      </c>
      <c r="AI11" s="21" cm="1">
        <f t="array" ref="AI11">Interpolate($AG11,$S$4:$S$9,AH$5:AH$10)</f>
        <v>2.3442523763698223E-3</v>
      </c>
      <c r="AJ11" s="29">
        <f t="shared" si="5"/>
        <v>0.99658090249840781</v>
      </c>
      <c r="AK11" s="131">
        <f t="shared" si="6"/>
        <v>5.8423046846756144E-4</v>
      </c>
      <c r="AL11" s="125"/>
      <c r="AM11" s="21" cm="1">
        <f t="array" ref="AM11">Interpolate($AG11,$S$4:$S$9,AL$5:AL$10)</f>
        <v>2.3443523763698221E-3</v>
      </c>
      <c r="AN11" s="29">
        <f t="shared" si="7"/>
        <v>0.99658092741293069</v>
      </c>
      <c r="AO11" s="131">
        <f t="shared" si="8"/>
        <v>5.8425541220252786E-4</v>
      </c>
      <c r="AP11" s="125"/>
      <c r="AQ11" s="21" cm="1">
        <f t="array" ref="AQ11">Interpolate($AG11,$S$4:$S$9,AP$5:AP$10)</f>
        <v>2.3442523763698223E-3</v>
      </c>
      <c r="AR11" s="29">
        <f t="shared" si="9"/>
        <v>0.99658100215650292</v>
      </c>
      <c r="AS11" s="131">
        <f t="shared" si="10"/>
        <v>5.8423052689060562E-4</v>
      </c>
      <c r="AT11" s="125"/>
      <c r="AU11" s="21" cm="1">
        <f t="array" ref="AU11">Interpolate($AG11,$S$4:$S$9,AT$5:AT$10)</f>
        <v>2.3442523763698223E-3</v>
      </c>
      <c r="AV11" s="29">
        <f t="shared" si="11"/>
        <v>0.99658100215650292</v>
      </c>
      <c r="AW11" s="131">
        <f t="shared" si="12"/>
        <v>5.8423052689060562E-4</v>
      </c>
      <c r="AX11" s="125"/>
      <c r="AY11" s="21" cm="1">
        <f t="array" ref="AY11">Interpolate($AG11,$S$4:$S$9,AX$5:AX$10)</f>
        <v>2.3442523763698223E-3</v>
      </c>
      <c r="AZ11" s="29">
        <f t="shared" si="13"/>
        <v>0.99658100215650292</v>
      </c>
      <c r="BA11" s="131">
        <f t="shared" si="14"/>
        <v>5.8423052689060562E-4</v>
      </c>
      <c r="BB11" s="125"/>
      <c r="BC11" s="21" cm="1">
        <f t="array" ref="BC11">Interpolate($AG11,$S$4:$S$9,BB$5:BB$10)</f>
        <v>2.3442523763698223E-3</v>
      </c>
      <c r="BD11" s="29">
        <f t="shared" si="15"/>
        <v>0.99658100215650292</v>
      </c>
      <c r="BE11" s="131">
        <f t="shared" si="16"/>
        <v>5.8423052689060562E-4</v>
      </c>
    </row>
    <row r="12" spans="3:58" x14ac:dyDescent="0.3">
      <c r="K12" s="1" t="s">
        <v>53</v>
      </c>
      <c r="S12" s="1" t="s">
        <v>72</v>
      </c>
      <c r="X12" s="27">
        <f t="shared" si="17"/>
        <v>2</v>
      </c>
      <c r="Y12" s="28" cm="1">
        <f t="array" ref="Y12">Interpolate(X12,$S$4:$S$9,$T$4:$T$9)</f>
        <v>2.3442523763698223E-3</v>
      </c>
      <c r="Z12" s="29">
        <f t="shared" si="2"/>
        <v>0.99599711392524937</v>
      </c>
      <c r="AA12" s="29">
        <f t="shared" si="3"/>
        <v>5.8388823125354872E-4</v>
      </c>
      <c r="AB12" s="30">
        <f t="shared" si="4"/>
        <v>0.94133495454102345</v>
      </c>
      <c r="AG12" s="27">
        <f t="shared" si="18"/>
        <v>2</v>
      </c>
      <c r="AI12" s="21" cm="1">
        <f t="array" ref="AI12">Interpolate($AG12,$S$4:$S$9,AH$5:AH$10)</f>
        <v>2.3442523763698223E-3</v>
      </c>
      <c r="AJ12" s="29">
        <f t="shared" si="5"/>
        <v>0.995997014325543</v>
      </c>
      <c r="AK12" s="131">
        <f t="shared" si="6"/>
        <v>5.8388817286481043E-4</v>
      </c>
      <c r="AL12" s="125"/>
      <c r="AM12" s="21" cm="1">
        <f t="array" ref="AM12">Interpolate($AG12,$S$4:$S$9,AL$5:AL$10)</f>
        <v>2.3443523763698221E-3</v>
      </c>
      <c r="AN12" s="29">
        <f t="shared" si="7"/>
        <v>0.99599701432554311</v>
      </c>
      <c r="AO12" s="131">
        <f t="shared" si="8"/>
        <v>5.8391308738758863E-4</v>
      </c>
      <c r="AP12" s="125"/>
      <c r="AQ12" s="21" cm="1">
        <f t="array" ref="AQ12">Interpolate($AG12,$S$4:$S$9,AP$5:AP$10)</f>
        <v>2.3442523763698223E-3</v>
      </c>
      <c r="AR12" s="29">
        <f t="shared" si="9"/>
        <v>0.99599711392524937</v>
      </c>
      <c r="AS12" s="131">
        <f t="shared" si="10"/>
        <v>5.8388823125354872E-4</v>
      </c>
      <c r="AT12" s="125"/>
      <c r="AU12" s="21" cm="1">
        <f t="array" ref="AU12">Interpolate($AG12,$S$4:$S$9,AT$5:AT$10)</f>
        <v>2.3442523763698223E-3</v>
      </c>
      <c r="AV12" s="29">
        <f t="shared" si="11"/>
        <v>0.99599711392524937</v>
      </c>
      <c r="AW12" s="131">
        <f t="shared" si="12"/>
        <v>5.8388823125354872E-4</v>
      </c>
      <c r="AX12" s="125"/>
      <c r="AY12" s="21" cm="1">
        <f t="array" ref="AY12">Interpolate($AG12,$S$4:$S$9,AX$5:AX$10)</f>
        <v>2.3442523763698223E-3</v>
      </c>
      <c r="AZ12" s="29">
        <f t="shared" si="13"/>
        <v>0.99599711392524937</v>
      </c>
      <c r="BA12" s="131">
        <f t="shared" si="14"/>
        <v>5.8388823125354872E-4</v>
      </c>
      <c r="BB12" s="125"/>
      <c r="BC12" s="21" cm="1">
        <f t="array" ref="BC12">Interpolate($AG12,$S$4:$S$9,BB$5:BB$10)</f>
        <v>2.3442523763698223E-3</v>
      </c>
      <c r="BD12" s="29">
        <f t="shared" si="15"/>
        <v>0.99599711392524937</v>
      </c>
      <c r="BE12" s="131">
        <f t="shared" si="16"/>
        <v>5.8388823125354872E-4</v>
      </c>
    </row>
    <row r="13" spans="3:58" x14ac:dyDescent="0.3">
      <c r="C13" s="1" t="s">
        <v>142</v>
      </c>
      <c r="K13" s="4" t="s">
        <v>11</v>
      </c>
      <c r="L13" s="4" t="s">
        <v>30</v>
      </c>
      <c r="M13" s="4" t="s">
        <v>8</v>
      </c>
      <c r="N13" s="4" t="s">
        <v>2</v>
      </c>
      <c r="O13" s="4" t="s">
        <v>28</v>
      </c>
      <c r="P13" s="4" t="s">
        <v>29</v>
      </c>
      <c r="Q13" s="4" t="s">
        <v>31</v>
      </c>
      <c r="S13" s="4" t="s">
        <v>52</v>
      </c>
      <c r="T13" s="4" t="s">
        <v>71</v>
      </c>
      <c r="U13" s="4" t="s">
        <v>116</v>
      </c>
      <c r="V13" s="126" t="s">
        <v>75</v>
      </c>
      <c r="W13" s="126"/>
      <c r="X13" s="27">
        <f t="shared" si="17"/>
        <v>2.25</v>
      </c>
      <c r="Y13" s="28" cm="1">
        <f t="array" ref="Y13">Interpolate(X13,$S$4:$S$9,$T$4:$T$9)</f>
        <v>3.5506598573163228E-3</v>
      </c>
      <c r="Z13" s="29">
        <f t="shared" si="2"/>
        <v>0.99511339446407421</v>
      </c>
      <c r="AA13" s="29">
        <f t="shared" si="3"/>
        <v>8.8371946117515865E-4</v>
      </c>
      <c r="AB13" s="30">
        <f t="shared" si="4"/>
        <v>0.93424806888390632</v>
      </c>
      <c r="AG13" s="27">
        <f t="shared" si="18"/>
        <v>2.25</v>
      </c>
      <c r="AI13" s="21" cm="1">
        <f t="array" ref="AI13">Interpolate($AG13,$S$4:$S$9,AH$5:AH$10)</f>
        <v>3.5506598573163228E-3</v>
      </c>
      <c r="AJ13" s="29">
        <f t="shared" si="5"/>
        <v>0.9951132949527397</v>
      </c>
      <c r="AK13" s="131">
        <f t="shared" si="6"/>
        <v>8.8371937280329327E-4</v>
      </c>
      <c r="AL13" s="125"/>
      <c r="AM13" s="21" cm="1">
        <f t="array" ref="AM13">Interpolate($AG13,$S$4:$S$9,AL$5:AL$10)</f>
        <v>3.5506598573163228E-3</v>
      </c>
      <c r="AN13" s="29">
        <f t="shared" si="7"/>
        <v>0.99511329495273981</v>
      </c>
      <c r="AO13" s="131">
        <f t="shared" si="8"/>
        <v>8.8371937280329327E-4</v>
      </c>
      <c r="AP13" s="125"/>
      <c r="AQ13" s="21" cm="1">
        <f t="array" ref="AQ13">Interpolate($AG13,$S$4:$S$9,AP$5:AP$10)</f>
        <v>3.5507598573163227E-3</v>
      </c>
      <c r="AR13" s="29">
        <f t="shared" si="9"/>
        <v>0.99511336958623964</v>
      </c>
      <c r="AS13" s="131">
        <f t="shared" si="10"/>
        <v>8.8374433900972882E-4</v>
      </c>
      <c r="AT13" s="125"/>
      <c r="AU13" s="21" cm="1">
        <f t="array" ref="AU13">Interpolate($AG13,$S$4:$S$9,AT$5:AT$10)</f>
        <v>3.5506598573163228E-3</v>
      </c>
      <c r="AV13" s="29">
        <f t="shared" si="11"/>
        <v>0.99511339446407421</v>
      </c>
      <c r="AW13" s="131">
        <f t="shared" si="12"/>
        <v>8.8371946117515865E-4</v>
      </c>
      <c r="AX13" s="125"/>
      <c r="AY13" s="21" cm="1">
        <f t="array" ref="AY13">Interpolate($AG13,$S$4:$S$9,AX$5:AX$10)</f>
        <v>3.5506598573163228E-3</v>
      </c>
      <c r="AZ13" s="29">
        <f t="shared" si="13"/>
        <v>0.99511339446407421</v>
      </c>
      <c r="BA13" s="131">
        <f t="shared" si="14"/>
        <v>8.8371946117515865E-4</v>
      </c>
      <c r="BB13" s="125"/>
      <c r="BC13" s="21" cm="1">
        <f t="array" ref="BC13">Interpolate($AG13,$S$4:$S$9,BB$5:BB$10)</f>
        <v>3.5506598573163228E-3</v>
      </c>
      <c r="BD13" s="29">
        <f t="shared" si="15"/>
        <v>0.99511339446407421</v>
      </c>
      <c r="BE13" s="131">
        <f t="shared" si="16"/>
        <v>8.8371946117515865E-4</v>
      </c>
    </row>
    <row r="14" spans="3:58" x14ac:dyDescent="0.3">
      <c r="C14" t="s">
        <v>155</v>
      </c>
      <c r="K14" s="32" t="s">
        <v>12</v>
      </c>
      <c r="L14" s="33">
        <f t="shared" ref="L14:L19" si="19">Q4</f>
        <v>1E-3</v>
      </c>
      <c r="M14" s="34">
        <f t="shared" ref="M14:M19" si="20">-Notional*L14*YearFraction</f>
        <v>-250</v>
      </c>
      <c r="N14" s="35">
        <f>M14*SUMPRODUCT(PSurvival1Y,DiscFactors1Y)</f>
        <v>-980.30208310026978</v>
      </c>
      <c r="O14" s="35">
        <f>M14*0.5*SUMPRODUCT(PDefault1Y,DiscFactors1Y)</f>
        <v>-0.20427215734534865</v>
      </c>
      <c r="P14" s="35">
        <f>LGD*SUMPRODUCT(PDefault1Y,DiscFactors1Y)</f>
        <v>980.50635525767348</v>
      </c>
      <c r="Q14" s="36">
        <f t="shared" ref="Q14:Q19" si="21">SUM(N14:P14)</f>
        <v>5.8321347751189023E-11</v>
      </c>
      <c r="S14" s="82">
        <f>Notional*YearFraction*(SUMPRODUCT(PSurvival1Y,DiscFactors1Y)+0.5*SUMPRODUCT(PDefault1Y,DiscFactors1Y))</f>
        <v>980506.3552576151</v>
      </c>
      <c r="T14" s="83">
        <f t="shared" ref="T14:T19" si="22">P14/S14*10000</f>
        <v>10.000000000000595</v>
      </c>
      <c r="U14" s="21">
        <f t="shared" ref="U14:U19" si="23">T14/10000</f>
        <v>1.0000000000000594E-3</v>
      </c>
      <c r="V14" s="21">
        <f t="shared" ref="V14:V19" si="24">U14-Q4</f>
        <v>5.9414279052205643E-17</v>
      </c>
      <c r="W14" s="20"/>
      <c r="X14" s="27">
        <f t="shared" si="17"/>
        <v>2.5</v>
      </c>
      <c r="Y14" s="28" cm="1">
        <f t="array" ref="Y14">Interpolate(X14,$S$4:$S$9,$T$4:$T$9)</f>
        <v>3.5506598573163228E-3</v>
      </c>
      <c r="Z14" s="29">
        <f t="shared" si="2"/>
        <v>0.99423045910164298</v>
      </c>
      <c r="AA14" s="29">
        <f t="shared" si="3"/>
        <v>8.8293536243122528E-4</v>
      </c>
      <c r="AB14" s="30">
        <f t="shared" si="4"/>
        <v>0.92721453718764535</v>
      </c>
      <c r="AG14" s="27">
        <f t="shared" si="18"/>
        <v>2.5</v>
      </c>
      <c r="AI14" s="21" cm="1">
        <f t="array" ref="AI14">Interpolate($AG14,$S$4:$S$9,AH$5:AH$10)</f>
        <v>3.5506598573163228E-3</v>
      </c>
      <c r="AJ14" s="29">
        <f t="shared" si="5"/>
        <v>0.99423035967860207</v>
      </c>
      <c r="AK14" s="131">
        <f t="shared" si="6"/>
        <v>8.8293527413763062E-4</v>
      </c>
      <c r="AL14" s="125"/>
      <c r="AM14" s="21" cm="1">
        <f t="array" ref="AM14">Interpolate($AG14,$S$4:$S$9,AL$5:AL$10)</f>
        <v>3.5506598573163228E-3</v>
      </c>
      <c r="AN14" s="29">
        <f t="shared" si="7"/>
        <v>0.99423035967860218</v>
      </c>
      <c r="AO14" s="131">
        <f t="shared" si="8"/>
        <v>8.8293527413763062E-4</v>
      </c>
      <c r="AP14" s="125"/>
      <c r="AQ14" s="21" cm="1">
        <f t="array" ref="AQ14">Interpolate($AG14,$S$4:$S$9,AP$5:AP$10)</f>
        <v>3.5507598573163227E-3</v>
      </c>
      <c r="AR14" s="29">
        <f t="shared" si="9"/>
        <v>0.99423040939012131</v>
      </c>
      <c r="AS14" s="131">
        <f t="shared" si="10"/>
        <v>8.8296019611833199E-4</v>
      </c>
      <c r="AT14" s="125"/>
      <c r="AU14" s="21" cm="1">
        <f t="array" ref="AU14">Interpolate($AG14,$S$4:$S$9,AT$5:AT$10)</f>
        <v>3.5506598573163228E-3</v>
      </c>
      <c r="AV14" s="29">
        <f t="shared" si="11"/>
        <v>0.99423045910164298</v>
      </c>
      <c r="AW14" s="131">
        <f t="shared" si="12"/>
        <v>8.8293536243122528E-4</v>
      </c>
      <c r="AX14" s="125"/>
      <c r="AY14" s="21" cm="1">
        <f t="array" ref="AY14">Interpolate($AG14,$S$4:$S$9,AX$5:AX$10)</f>
        <v>3.5506598573163228E-3</v>
      </c>
      <c r="AZ14" s="29">
        <f t="shared" si="13"/>
        <v>0.99423045910164298</v>
      </c>
      <c r="BA14" s="131">
        <f t="shared" si="14"/>
        <v>8.8293536243122528E-4</v>
      </c>
      <c r="BB14" s="125"/>
      <c r="BC14" s="21" cm="1">
        <f t="array" ref="BC14">Interpolate($AG14,$S$4:$S$9,BB$5:BB$10)</f>
        <v>3.5506598573163228E-3</v>
      </c>
      <c r="BD14" s="29">
        <f t="shared" si="15"/>
        <v>0.99423045910164298</v>
      </c>
      <c r="BE14" s="131">
        <f t="shared" si="16"/>
        <v>8.8293536243122528E-4</v>
      </c>
    </row>
    <row r="15" spans="3:58" x14ac:dyDescent="0.3">
      <c r="C15" t="s">
        <v>156</v>
      </c>
      <c r="K15" s="37" t="s">
        <v>13</v>
      </c>
      <c r="L15" s="21">
        <f t="shared" si="19"/>
        <v>1.1999999999999999E-3</v>
      </c>
      <c r="M15" s="4">
        <f t="shared" si="20"/>
        <v>-300</v>
      </c>
      <c r="N15" s="31">
        <f>M15*SUMPRODUCT(PSurvival2Y,DiscFactors2Y)</f>
        <v>-2315.3167022843186</v>
      </c>
      <c r="O15" s="6">
        <f>M15*0.5*SUMPRODUCT(PDefault2Y,DiscFactors2Y)</f>
        <v>-0.5789739190506753</v>
      </c>
      <c r="P15" s="6">
        <f>LGD*SUMPRODUCT(PDefault2Y,DiscFactors2Y)</f>
        <v>2315.895676202701</v>
      </c>
      <c r="Q15" s="7">
        <f t="shared" si="21"/>
        <v>-6.6847860580310225E-10</v>
      </c>
      <c r="S15" s="5">
        <f>Notional*YearFraction*(SUMPRODUCT(PSurvival2Y,DiscFactors2Y)+0.5*SUMPRODUCT(PDefault2Y,DiscFactors2Y))</f>
        <v>1929913.0635028079</v>
      </c>
      <c r="T15" s="84">
        <f t="shared" si="22"/>
        <v>11.999999999996536</v>
      </c>
      <c r="U15" s="21">
        <f t="shared" si="23"/>
        <v>1.1999999999996536E-3</v>
      </c>
      <c r="V15" s="21">
        <f t="shared" si="24"/>
        <v>-3.4629417389187012E-16</v>
      </c>
      <c r="W15" s="20"/>
      <c r="X15" s="27">
        <f t="shared" si="17"/>
        <v>2.75</v>
      </c>
      <c r="Y15" s="28" cm="1">
        <f t="array" ref="Y15">Interpolate(X15,$S$4:$S$9,$T$4:$T$9)</f>
        <v>3.5506598573163228E-3</v>
      </c>
      <c r="Z15" s="29">
        <f t="shared" si="2"/>
        <v>0.99334830714224764</v>
      </c>
      <c r="AA15" s="29">
        <f t="shared" si="3"/>
        <v>8.8215195939533864E-4</v>
      </c>
      <c r="AB15" s="30">
        <f t="shared" si="4"/>
        <v>0.92023395777436989</v>
      </c>
      <c r="AG15" s="27">
        <f t="shared" si="18"/>
        <v>2.75</v>
      </c>
      <c r="AI15" s="21" cm="1">
        <f t="array" ref="AI15">Interpolate($AG15,$S$4:$S$9,AH$5:AH$10)</f>
        <v>3.5506598573163228E-3</v>
      </c>
      <c r="AJ15" s="29">
        <f t="shared" si="5"/>
        <v>0.99334820780742195</v>
      </c>
      <c r="AK15" s="131">
        <f t="shared" si="6"/>
        <v>8.8215187118012572E-4</v>
      </c>
      <c r="AL15" s="125"/>
      <c r="AM15" s="21" cm="1">
        <f t="array" ref="AM15">Interpolate($AG15,$S$4:$S$9,AL$5:AL$10)</f>
        <v>3.5506598573163228E-3</v>
      </c>
      <c r="AN15" s="29">
        <f t="shared" si="7"/>
        <v>0.99334820780742206</v>
      </c>
      <c r="AO15" s="131">
        <f t="shared" si="8"/>
        <v>8.8215187118012572E-4</v>
      </c>
      <c r="AP15" s="125"/>
      <c r="AQ15" s="21" cm="1">
        <f t="array" ref="AQ15">Interpolate($AG15,$S$4:$S$9,AP$5:AP$10)</f>
        <v>3.5507598573163227E-3</v>
      </c>
      <c r="AR15" s="29">
        <f t="shared" si="9"/>
        <v>0.99334823264112737</v>
      </c>
      <c r="AS15" s="131">
        <f t="shared" si="10"/>
        <v>8.8217674899393472E-4</v>
      </c>
      <c r="AT15" s="125"/>
      <c r="AU15" s="21" cm="1">
        <f t="array" ref="AU15">Interpolate($AG15,$S$4:$S$9,AT$5:AT$10)</f>
        <v>3.5506598573163228E-3</v>
      </c>
      <c r="AV15" s="29">
        <f t="shared" si="11"/>
        <v>0.99334830714224764</v>
      </c>
      <c r="AW15" s="131">
        <f t="shared" si="12"/>
        <v>8.8215195939533864E-4</v>
      </c>
      <c r="AX15" s="125"/>
      <c r="AY15" s="21" cm="1">
        <f t="array" ref="AY15">Interpolate($AG15,$S$4:$S$9,AX$5:AX$10)</f>
        <v>3.5506598573163228E-3</v>
      </c>
      <c r="AZ15" s="29">
        <f t="shared" si="13"/>
        <v>0.99334830714224764</v>
      </c>
      <c r="BA15" s="131">
        <f t="shared" si="14"/>
        <v>8.8215195939533864E-4</v>
      </c>
      <c r="BB15" s="125"/>
      <c r="BC15" s="21" cm="1">
        <f t="array" ref="BC15">Interpolate($AG15,$S$4:$S$9,BB$5:BB$10)</f>
        <v>3.5506598573163228E-3</v>
      </c>
      <c r="BD15" s="29">
        <f t="shared" si="15"/>
        <v>0.99334830714224764</v>
      </c>
      <c r="BE15" s="131">
        <f t="shared" si="16"/>
        <v>8.8215195939533864E-4</v>
      </c>
    </row>
    <row r="16" spans="3:58" x14ac:dyDescent="0.3">
      <c r="C16" t="s">
        <v>159</v>
      </c>
      <c r="K16" s="37" t="s">
        <v>14</v>
      </c>
      <c r="L16" s="21">
        <f t="shared" si="19"/>
        <v>1.5E-3</v>
      </c>
      <c r="M16" s="4">
        <f t="shared" si="20"/>
        <v>-375</v>
      </c>
      <c r="N16" s="31">
        <f>M16*SUMPRODUCT(PSurvival3Y,DiscFactors3Y)</f>
        <v>-4271.1783108187301</v>
      </c>
      <c r="O16" s="6">
        <f>M16*0.5*SUMPRODUCT(PDefault3Y,DiscFactors3Y)</f>
        <v>-1.3351604596991213</v>
      </c>
      <c r="P16" s="6">
        <f>LGD*SUMPRODUCT(PDefault3Y,DiscFactors3Y)</f>
        <v>4272.5134710371885</v>
      </c>
      <c r="Q16" s="7">
        <f t="shared" si="21"/>
        <v>-2.412407411611639E-7</v>
      </c>
      <c r="S16" s="5">
        <f>Notional*YearFraction*(SUMPRODUCT(PSurvival3Y,DiscFactors3Y)+0.5*SUMPRODUCT(PDefault3Y,DiscFactors3Y))</f>
        <v>2848342.3141856194</v>
      </c>
      <c r="T16" s="84">
        <f t="shared" si="22"/>
        <v>14.999999999153049</v>
      </c>
      <c r="U16" s="21">
        <f t="shared" si="23"/>
        <v>1.499999999915305E-3</v>
      </c>
      <c r="V16" s="21">
        <f t="shared" si="24"/>
        <v>-8.4695054788919144E-14</v>
      </c>
      <c r="W16" s="20"/>
      <c r="X16" s="27">
        <f t="shared" si="17"/>
        <v>3</v>
      </c>
      <c r="Y16" s="28" cm="1">
        <f t="array" ref="Y16">Interpolate(X16,$S$4:$S$9,$T$4:$T$9)</f>
        <v>3.5506598573163228E-3</v>
      </c>
      <c r="Z16" s="29">
        <f t="shared" si="2"/>
        <v>0.99246693789079732</v>
      </c>
      <c r="AA16" s="29">
        <f t="shared" si="3"/>
        <v>8.8136925145032574E-4</v>
      </c>
      <c r="AB16" s="30">
        <f t="shared" si="4"/>
        <v>0.913305931990261</v>
      </c>
      <c r="AG16" s="27">
        <f t="shared" si="18"/>
        <v>3</v>
      </c>
      <c r="AI16" s="21" cm="1">
        <f t="array" ref="AI16">Interpolate($AG16,$S$4:$S$9,AH$5:AH$10)</f>
        <v>3.5506598573163228E-3</v>
      </c>
      <c r="AJ16" s="29">
        <f t="shared" si="5"/>
        <v>0.99246683864410845</v>
      </c>
      <c r="AK16" s="131">
        <f t="shared" si="6"/>
        <v>8.8136916331349457E-4</v>
      </c>
      <c r="AL16" s="125"/>
      <c r="AM16" s="21" cm="1">
        <f t="array" ref="AM16">Interpolate($AG16,$S$4:$S$9,AL$5:AL$10)</f>
        <v>3.5506598573163228E-3</v>
      </c>
      <c r="AN16" s="29">
        <f t="shared" si="7"/>
        <v>0.99246683864410856</v>
      </c>
      <c r="AO16" s="131">
        <f t="shared" si="8"/>
        <v>8.8136916331349457E-4</v>
      </c>
      <c r="AP16" s="125"/>
      <c r="AQ16" s="21" cm="1">
        <f t="array" ref="AQ16">Interpolate($AG16,$S$4:$S$9,AP$5:AP$10)</f>
        <v>3.5507598573163227E-3</v>
      </c>
      <c r="AR16" s="29">
        <f t="shared" si="9"/>
        <v>0.99246683864410845</v>
      </c>
      <c r="AS16" s="131">
        <f t="shared" si="10"/>
        <v>8.8139399701891996E-4</v>
      </c>
      <c r="AT16" s="125"/>
      <c r="AU16" s="21" cm="1">
        <f t="array" ref="AU16">Interpolate($AG16,$S$4:$S$9,AT$5:AT$10)</f>
        <v>3.5506598573163228E-3</v>
      </c>
      <c r="AV16" s="29">
        <f t="shared" si="11"/>
        <v>0.99246693789079732</v>
      </c>
      <c r="AW16" s="131">
        <f t="shared" si="12"/>
        <v>8.8136925145032574E-4</v>
      </c>
      <c r="AX16" s="125"/>
      <c r="AY16" s="21" cm="1">
        <f t="array" ref="AY16">Interpolate($AG16,$S$4:$S$9,AX$5:AX$10)</f>
        <v>3.5506598573163228E-3</v>
      </c>
      <c r="AZ16" s="29">
        <f t="shared" si="13"/>
        <v>0.99246693789079732</v>
      </c>
      <c r="BA16" s="131">
        <f t="shared" si="14"/>
        <v>8.8136925145032574E-4</v>
      </c>
      <c r="BB16" s="125"/>
      <c r="BC16" s="21" cm="1">
        <f t="array" ref="BC16">Interpolate($AG16,$S$4:$S$9,BB$5:BB$10)</f>
        <v>3.5506598573163228E-3</v>
      </c>
      <c r="BD16" s="29">
        <f t="shared" si="15"/>
        <v>0.99246693789079732</v>
      </c>
      <c r="BE16" s="131">
        <f t="shared" si="16"/>
        <v>8.8136925145032574E-4</v>
      </c>
    </row>
    <row r="17" spans="3:57" x14ac:dyDescent="0.3">
      <c r="C17" t="s">
        <v>160</v>
      </c>
      <c r="K17" s="37" t="s">
        <v>15</v>
      </c>
      <c r="L17" s="21">
        <f t="shared" si="19"/>
        <v>1.6999999999999999E-3</v>
      </c>
      <c r="M17" s="4">
        <f t="shared" si="20"/>
        <v>-425</v>
      </c>
      <c r="N17" s="31">
        <f>M17*SUMPRODUCT(PSurvival4Y,DiscFactors4Y)</f>
        <v>-6349.1388739456188</v>
      </c>
      <c r="O17" s="6">
        <f>M17*0.5*SUMPRODUCT(PDefault4Y,DiscFactors4Y)</f>
        <v>-2.2494500309757313</v>
      </c>
      <c r="P17" s="6">
        <f>LGD*SUMPRODUCT(PDefault4Y,DiscFactors4Y)</f>
        <v>6351.3883227550059</v>
      </c>
      <c r="Q17" s="7">
        <f t="shared" si="21"/>
        <v>-1.2215887181810103E-6</v>
      </c>
      <c r="S17" s="5">
        <f>Notional*YearFraction*(SUMPRODUCT(PSurvival4Y,DiscFactors4Y)+0.5*SUMPRODUCT(PDefault4Y,DiscFactors4Y))</f>
        <v>3736110.7788097616</v>
      </c>
      <c r="T17" s="84">
        <f t="shared" si="22"/>
        <v>16.999999996730317</v>
      </c>
      <c r="U17" s="21">
        <f t="shared" si="23"/>
        <v>1.6999999996730316E-3</v>
      </c>
      <c r="V17" s="21">
        <f t="shared" si="24"/>
        <v>-3.26968270167316E-13</v>
      </c>
      <c r="W17" s="20"/>
      <c r="X17" s="27">
        <f t="shared" si="17"/>
        <v>3.25</v>
      </c>
      <c r="Y17" s="28" cm="1">
        <f t="array" ref="Y17">Interpolate(X17,$S$4:$S$9,$T$4:$T$9)</f>
        <v>3.902810059679798E-3</v>
      </c>
      <c r="Z17" s="29">
        <f t="shared" si="2"/>
        <v>0.99149905766189383</v>
      </c>
      <c r="AA17" s="29">
        <f t="shared" si="3"/>
        <v>9.678802289034838E-4</v>
      </c>
      <c r="AB17" s="30">
        <f t="shared" si="4"/>
        <v>0.90643006418278371</v>
      </c>
      <c r="AG17" s="27">
        <f t="shared" si="18"/>
        <v>3.25</v>
      </c>
      <c r="AI17" s="21" cm="1">
        <f t="array" ref="AI17">Interpolate($AG17,$S$4:$S$9,AH$5:AH$10)</f>
        <v>3.902810059679798E-3</v>
      </c>
      <c r="AJ17" s="29">
        <f t="shared" si="5"/>
        <v>0.99149895851199299</v>
      </c>
      <c r="AK17" s="131">
        <f t="shared" si="6"/>
        <v>9.6788013211546176E-4</v>
      </c>
      <c r="AL17" s="125"/>
      <c r="AM17" s="21" cm="1">
        <f t="array" ref="AM17">Interpolate($AG17,$S$4:$S$9,AL$5:AL$10)</f>
        <v>3.902810059679798E-3</v>
      </c>
      <c r="AN17" s="29">
        <f t="shared" si="7"/>
        <v>0.9914989585119931</v>
      </c>
      <c r="AO17" s="131">
        <f t="shared" si="8"/>
        <v>9.6788013211546176E-4</v>
      </c>
      <c r="AP17" s="125"/>
      <c r="AQ17" s="21" cm="1">
        <f t="array" ref="AQ17">Interpolate($AG17,$S$4:$S$9,AP$5:AP$10)</f>
        <v>3.902810059679798E-3</v>
      </c>
      <c r="AR17" s="29">
        <f t="shared" si="9"/>
        <v>0.99149895851199299</v>
      </c>
      <c r="AS17" s="131">
        <f t="shared" si="10"/>
        <v>9.6788013211546176E-4</v>
      </c>
      <c r="AT17" s="125"/>
      <c r="AU17" s="21" cm="1">
        <f t="array" ref="AU17">Interpolate($AG17,$S$4:$S$9,AT$5:AT$10)</f>
        <v>3.9029100596797979E-3</v>
      </c>
      <c r="AV17" s="29">
        <f t="shared" si="11"/>
        <v>0.99149903287441776</v>
      </c>
      <c r="AW17" s="131">
        <f t="shared" si="12"/>
        <v>9.6790501637955551E-4</v>
      </c>
      <c r="AX17" s="125"/>
      <c r="AY17" s="21" cm="1">
        <f t="array" ref="AY17">Interpolate($AG17,$S$4:$S$9,AX$5:AX$10)</f>
        <v>3.902810059679798E-3</v>
      </c>
      <c r="AZ17" s="29">
        <f t="shared" si="13"/>
        <v>0.99149905766189383</v>
      </c>
      <c r="BA17" s="131">
        <f t="shared" si="14"/>
        <v>9.678802289034838E-4</v>
      </c>
      <c r="BB17" s="125"/>
      <c r="BC17" s="21" cm="1">
        <f t="array" ref="BC17">Interpolate($AG17,$S$4:$S$9,BB$5:BB$10)</f>
        <v>3.902810059679798E-3</v>
      </c>
      <c r="BD17" s="29">
        <f t="shared" si="15"/>
        <v>0.99149905766189383</v>
      </c>
      <c r="BE17" s="131">
        <f t="shared" si="16"/>
        <v>9.678802289034838E-4</v>
      </c>
    </row>
    <row r="18" spans="3:57" x14ac:dyDescent="0.3">
      <c r="C18" t="s">
        <v>161</v>
      </c>
      <c r="K18" s="37" t="s">
        <v>16</v>
      </c>
      <c r="L18" s="21">
        <f t="shared" si="19"/>
        <v>2.4329999999999998E-3</v>
      </c>
      <c r="M18" s="4">
        <f t="shared" si="20"/>
        <v>-608.25</v>
      </c>
      <c r="N18" s="31">
        <f>M18*SUMPRODUCT(PSurvival5Y,DiscFactors5Y)</f>
        <v>-11166.074097547491</v>
      </c>
      <c r="O18" s="6">
        <f>M18*0.5*SUMPRODUCT(PDefault5Y,DiscFactors5Y)</f>
        <v>-5.6626739943024553</v>
      </c>
      <c r="P18" s="6">
        <f>LGD*SUMPRODUCT(PDefault5Y,DiscFactors5Y)</f>
        <v>11171.736610214462</v>
      </c>
      <c r="Q18" s="7">
        <f t="shared" si="21"/>
        <v>-1.6132733071572147E-4</v>
      </c>
      <c r="S18" s="5">
        <f>Notional*YearFraction*(SUMPRODUCT(PSurvival5Y,DiscFactors5Y)+0.5*SUMPRODUCT(PDefault5Y,DiscFactors5Y))</f>
        <v>4591753.7079908727</v>
      </c>
      <c r="T18" s="84">
        <f t="shared" si="22"/>
        <v>24.329999648658571</v>
      </c>
      <c r="U18" s="21">
        <f t="shared" si="23"/>
        <v>2.4329999648658573E-3</v>
      </c>
      <c r="V18" s="21">
        <f t="shared" si="24"/>
        <v>-3.5134142557097237E-11</v>
      </c>
      <c r="W18" s="20"/>
      <c r="X18" s="27">
        <f t="shared" si="17"/>
        <v>3.5</v>
      </c>
      <c r="Y18" s="28" cm="1">
        <f t="array" ref="Y18">Interpolate(X18,$S$4:$S$9,$T$4:$T$9)</f>
        <v>3.902810059679798E-3</v>
      </c>
      <c r="Z18" s="29">
        <f t="shared" si="2"/>
        <v>0.99053212133560486</v>
      </c>
      <c r="AA18" s="29">
        <f t="shared" si="3"/>
        <v>9.6693632628896964E-4</v>
      </c>
      <c r="AB18" s="30">
        <f t="shared" si="4"/>
        <v>0.89960596167809259</v>
      </c>
      <c r="AG18" s="27">
        <f t="shared" si="18"/>
        <v>3.5</v>
      </c>
      <c r="AI18" s="21" cm="1">
        <f t="array" ref="AI18">Interpolate($AG18,$S$4:$S$9,AH$5:AH$10)</f>
        <v>3.902810059679798E-3</v>
      </c>
      <c r="AJ18" s="29">
        <f t="shared" si="5"/>
        <v>0.99053202228239767</v>
      </c>
      <c r="AK18" s="131">
        <f t="shared" si="6"/>
        <v>9.6693622959531655E-4</v>
      </c>
      <c r="AL18" s="125"/>
      <c r="AM18" s="21" cm="1">
        <f t="array" ref="AM18">Interpolate($AG18,$S$4:$S$9,AL$5:AL$10)</f>
        <v>3.902810059679798E-3</v>
      </c>
      <c r="AN18" s="29">
        <f t="shared" si="7"/>
        <v>0.99053202228239778</v>
      </c>
      <c r="AO18" s="131">
        <f t="shared" si="8"/>
        <v>9.6693622959531655E-4</v>
      </c>
      <c r="AP18" s="125"/>
      <c r="AQ18" s="21" cm="1">
        <f t="array" ref="AQ18">Interpolate($AG18,$S$4:$S$9,AP$5:AP$10)</f>
        <v>3.902810059679798E-3</v>
      </c>
      <c r="AR18" s="29">
        <f t="shared" si="9"/>
        <v>0.99053202228239767</v>
      </c>
      <c r="AS18" s="131">
        <f t="shared" si="10"/>
        <v>9.6693622959531655E-4</v>
      </c>
      <c r="AT18" s="125"/>
      <c r="AU18" s="21" cm="1">
        <f t="array" ref="AU18">Interpolate($AG18,$S$4:$S$9,AT$5:AT$10)</f>
        <v>3.9029100596797979E-3</v>
      </c>
      <c r="AV18" s="29">
        <f t="shared" si="11"/>
        <v>0.99053207180900016</v>
      </c>
      <c r="AW18" s="131">
        <f t="shared" si="12"/>
        <v>9.6696106541760418E-4</v>
      </c>
      <c r="AX18" s="125"/>
      <c r="AY18" s="21" cm="1">
        <f t="array" ref="AY18">Interpolate($AG18,$S$4:$S$9,AX$5:AX$10)</f>
        <v>3.902810059679798E-3</v>
      </c>
      <c r="AZ18" s="29">
        <f t="shared" si="13"/>
        <v>0.99053212133560486</v>
      </c>
      <c r="BA18" s="131">
        <f t="shared" si="14"/>
        <v>9.6693632628896964E-4</v>
      </c>
      <c r="BB18" s="125"/>
      <c r="BC18" s="21" cm="1">
        <f t="array" ref="BC18">Interpolate($AG18,$S$4:$S$9,BB$5:BB$10)</f>
        <v>3.902810059679798E-3</v>
      </c>
      <c r="BD18" s="29">
        <f t="shared" si="15"/>
        <v>0.99053212133560486</v>
      </c>
      <c r="BE18" s="131">
        <f t="shared" si="16"/>
        <v>9.6693632628896964E-4</v>
      </c>
    </row>
    <row r="19" spans="3:57" x14ac:dyDescent="0.3">
      <c r="C19" t="s">
        <v>163</v>
      </c>
      <c r="K19" s="38" t="s">
        <v>17</v>
      </c>
      <c r="L19" s="39">
        <f t="shared" si="19"/>
        <v>3.0000000000000001E-3</v>
      </c>
      <c r="M19" s="40">
        <f t="shared" si="20"/>
        <v>-750</v>
      </c>
      <c r="N19" s="41">
        <f>M19*SUMPRODUCT(PSurvival10Y,DiscFactors10Y)</f>
        <v>-25264.117376450031</v>
      </c>
      <c r="O19" s="9">
        <f>M19*0.5*SUMPRODUCT(PDefault10Y,DiscFactors10Y)</f>
        <v>-15.799948308976056</v>
      </c>
      <c r="P19" s="9">
        <f>LGD*SUMPRODUCT(PDefault10Y,DiscFactors10Y)</f>
        <v>25279.917294361687</v>
      </c>
      <c r="Q19" s="10">
        <f t="shared" si="21"/>
        <v>-3.0397321097552776E-5</v>
      </c>
      <c r="S19" s="8">
        <f>Notional*YearFraction*(SUMPRODUCT(PSurvival10Y,DiscFactors10Y)+0.5*SUMPRODUCT(PDefault10Y,DiscFactors10Y))</f>
        <v>8426639.1082530022</v>
      </c>
      <c r="T19" s="85">
        <f t="shared" si="22"/>
        <v>29.999999963927117</v>
      </c>
      <c r="U19" s="21">
        <f t="shared" si="23"/>
        <v>2.9999999963927115E-3</v>
      </c>
      <c r="V19" s="21">
        <f t="shared" si="24"/>
        <v>-3.6072885130356003E-12</v>
      </c>
      <c r="W19" s="20"/>
      <c r="X19" s="27">
        <f t="shared" si="17"/>
        <v>3.75</v>
      </c>
      <c r="Y19" s="28" cm="1">
        <f t="array" ref="Y19">Interpolate(X19,$S$4:$S$9,$T$4:$T$9)</f>
        <v>3.902810059679798E-3</v>
      </c>
      <c r="Z19" s="29">
        <f t="shared" si="2"/>
        <v>0.98956612799141142</v>
      </c>
      <c r="AA19" s="29">
        <f t="shared" si="3"/>
        <v>9.6599334419344984E-4</v>
      </c>
      <c r="AB19" s="30">
        <f t="shared" si="4"/>
        <v>0.8928332347586061</v>
      </c>
      <c r="AG19" s="27">
        <f t="shared" si="18"/>
        <v>3.75</v>
      </c>
      <c r="AI19" s="21" cm="1">
        <f t="array" ref="AI19">Interpolate($AG19,$S$4:$S$9,AH$5:AH$10)</f>
        <v>3.902810059679798E-3</v>
      </c>
      <c r="AJ19" s="29">
        <f t="shared" si="5"/>
        <v>0.98956602903480362</v>
      </c>
      <c r="AK19" s="131">
        <f t="shared" si="6"/>
        <v>9.6599324759405469E-4</v>
      </c>
      <c r="AL19" s="125"/>
      <c r="AM19" s="21" cm="1">
        <f t="array" ref="AM19">Interpolate($AG19,$S$4:$S$9,AL$5:AL$10)</f>
        <v>3.902810059679798E-3</v>
      </c>
      <c r="AN19" s="29">
        <f t="shared" si="7"/>
        <v>0.98956602903480373</v>
      </c>
      <c r="AO19" s="131">
        <f t="shared" si="8"/>
        <v>9.6599324759405469E-4</v>
      </c>
      <c r="AP19" s="125"/>
      <c r="AQ19" s="21" cm="1">
        <f t="array" ref="AQ19">Interpolate($AG19,$S$4:$S$9,AP$5:AP$10)</f>
        <v>3.902810059679798E-3</v>
      </c>
      <c r="AR19" s="29">
        <f t="shared" si="9"/>
        <v>0.98956602903480362</v>
      </c>
      <c r="AS19" s="131">
        <f t="shared" si="10"/>
        <v>9.6599324759405469E-4</v>
      </c>
      <c r="AT19" s="125"/>
      <c r="AU19" s="21" cm="1">
        <f t="array" ref="AU19">Interpolate($AG19,$S$4:$S$9,AT$5:AT$10)</f>
        <v>3.9029100596797979E-3</v>
      </c>
      <c r="AV19" s="29">
        <f t="shared" si="11"/>
        <v>0.98956605377395479</v>
      </c>
      <c r="AW19" s="131">
        <f t="shared" si="12"/>
        <v>9.6601803504536843E-4</v>
      </c>
      <c r="AX19" s="125"/>
      <c r="AY19" s="21" cm="1">
        <f t="array" ref="AY19">Interpolate($AG19,$S$4:$S$9,AX$5:AX$10)</f>
        <v>3.902810059679798E-3</v>
      </c>
      <c r="AZ19" s="29">
        <f t="shared" si="13"/>
        <v>0.98956612799141142</v>
      </c>
      <c r="BA19" s="131">
        <f t="shared" si="14"/>
        <v>9.6599334419344984E-4</v>
      </c>
      <c r="BB19" s="125"/>
      <c r="BC19" s="21" cm="1">
        <f t="array" ref="BC19">Interpolate($AG19,$S$4:$S$9,BB$5:BB$10)</f>
        <v>3.902810059679798E-3</v>
      </c>
      <c r="BD19" s="29">
        <f t="shared" si="15"/>
        <v>0.98956612799141142</v>
      </c>
      <c r="BE19" s="131">
        <f t="shared" si="16"/>
        <v>9.6599334419344984E-4</v>
      </c>
    </row>
    <row r="20" spans="3:57" x14ac:dyDescent="0.3">
      <c r="C20" t="s">
        <v>162</v>
      </c>
      <c r="X20" s="27">
        <f t="shared" si="17"/>
        <v>4</v>
      </c>
      <c r="Y20" s="28" cm="1">
        <f t="array" ref="Y20">Interpolate(X20,$S$4:$S$9,$T$4:$T$9)</f>
        <v>3.902810059679798E-3</v>
      </c>
      <c r="Z20" s="29">
        <f t="shared" si="2"/>
        <v>0.98860107670969222</v>
      </c>
      <c r="AA20" s="29">
        <f t="shared" si="3"/>
        <v>9.6505128171919807E-4</v>
      </c>
      <c r="AB20" s="30">
        <f t="shared" si="4"/>
        <v>0.88611149664075062</v>
      </c>
      <c r="AG20" s="27">
        <f t="shared" si="18"/>
        <v>4</v>
      </c>
      <c r="AI20" s="21" cm="1">
        <f t="array" ref="AI20">Interpolate($AG20,$S$4:$S$9,AH$5:AH$10)</f>
        <v>3.902810059679798E-3</v>
      </c>
      <c r="AJ20" s="29">
        <f t="shared" si="5"/>
        <v>0.98860097784958956</v>
      </c>
      <c r="AK20" s="131">
        <f t="shared" si="6"/>
        <v>9.6505118521406086E-4</v>
      </c>
      <c r="AL20" s="125"/>
      <c r="AM20" s="21" cm="1">
        <f t="array" ref="AM20">Interpolate($AG20,$S$4:$S$9,AL$5:AL$10)</f>
        <v>3.902810059679798E-3</v>
      </c>
      <c r="AN20" s="29">
        <f t="shared" si="7"/>
        <v>0.98860097784958967</v>
      </c>
      <c r="AO20" s="131">
        <f t="shared" si="8"/>
        <v>9.6505118521406086E-4</v>
      </c>
      <c r="AP20" s="125"/>
      <c r="AQ20" s="21" cm="1">
        <f t="array" ref="AQ20">Interpolate($AG20,$S$4:$S$9,AP$5:AP$10)</f>
        <v>3.902810059679798E-3</v>
      </c>
      <c r="AR20" s="29">
        <f t="shared" si="9"/>
        <v>0.98860097784958956</v>
      </c>
      <c r="AS20" s="131">
        <f t="shared" si="10"/>
        <v>9.6505118521406086E-4</v>
      </c>
      <c r="AT20" s="125"/>
      <c r="AU20" s="21" cm="1">
        <f t="array" ref="AU20">Interpolate($AG20,$S$4:$S$9,AT$5:AT$10)</f>
        <v>3.9029100596797979E-3</v>
      </c>
      <c r="AV20" s="29">
        <f t="shared" si="11"/>
        <v>0.98860097784958967</v>
      </c>
      <c r="AW20" s="131">
        <f t="shared" si="12"/>
        <v>9.6507592436512191E-4</v>
      </c>
      <c r="AX20" s="125"/>
      <c r="AY20" s="21" cm="1">
        <f t="array" ref="AY20">Interpolate($AG20,$S$4:$S$9,AX$5:AX$10)</f>
        <v>3.902810059679798E-3</v>
      </c>
      <c r="AZ20" s="29">
        <f t="shared" si="13"/>
        <v>0.98860107670969222</v>
      </c>
      <c r="BA20" s="131">
        <f t="shared" si="14"/>
        <v>9.6505128171919807E-4</v>
      </c>
      <c r="BB20" s="125"/>
      <c r="BC20" s="21" cm="1">
        <f t="array" ref="BC20">Interpolate($AG20,$S$4:$S$9,BB$5:BB$10)</f>
        <v>3.902810059679798E-3</v>
      </c>
      <c r="BD20" s="29">
        <f t="shared" si="15"/>
        <v>0.98860107670969222</v>
      </c>
      <c r="BE20" s="131">
        <f t="shared" si="16"/>
        <v>9.6505128171919807E-4</v>
      </c>
    </row>
    <row r="21" spans="3:57" x14ac:dyDescent="0.3">
      <c r="X21" s="27">
        <f t="shared" si="17"/>
        <v>4.25</v>
      </c>
      <c r="Y21" s="28" cm="1">
        <f t="array" ref="Y21">Interpolate(X21,$S$4:$S$9,$T$4:$T$9)</f>
        <v>9.3893342974379363E-3</v>
      </c>
      <c r="Z21" s="29">
        <f t="shared" si="2"/>
        <v>0.98628322166444449</v>
      </c>
      <c r="AA21" s="29">
        <f t="shared" si="3"/>
        <v>2.3178550452477298E-3</v>
      </c>
      <c r="AB21" s="30">
        <f t="shared" si="4"/>
        <v>0.8794403634528708</v>
      </c>
      <c r="AG21" s="27">
        <f t="shared" si="18"/>
        <v>4.25</v>
      </c>
      <c r="AI21" s="21" cm="1">
        <f t="array" ref="AI21">Interpolate($AG21,$S$4:$S$9,AH$5:AH$10)</f>
        <v>9.3893342974379363E-3</v>
      </c>
      <c r="AJ21" s="29">
        <f t="shared" si="5"/>
        <v>0.98628312303612731</v>
      </c>
      <c r="AK21" s="131">
        <f t="shared" si="6"/>
        <v>2.3178548134622501E-3</v>
      </c>
      <c r="AL21" s="125"/>
      <c r="AM21" s="21" cm="1">
        <f t="array" ref="AM21">Interpolate($AG21,$S$4:$S$9,AL$5:AL$10)</f>
        <v>9.3893342974379363E-3</v>
      </c>
      <c r="AN21" s="29">
        <f t="shared" si="7"/>
        <v>0.98628312303612742</v>
      </c>
      <c r="AO21" s="131">
        <f t="shared" si="8"/>
        <v>2.3178548134622501E-3</v>
      </c>
      <c r="AP21" s="125"/>
      <c r="AQ21" s="21" cm="1">
        <f t="array" ref="AQ21">Interpolate($AG21,$S$4:$S$9,AP$5:AP$10)</f>
        <v>9.3893342974379363E-3</v>
      </c>
      <c r="AR21" s="29">
        <f t="shared" si="9"/>
        <v>0.98628312303612731</v>
      </c>
      <c r="AS21" s="131">
        <f t="shared" si="10"/>
        <v>2.3178548134622501E-3</v>
      </c>
      <c r="AT21" s="125"/>
      <c r="AU21" s="21" cm="1">
        <f t="array" ref="AU21">Interpolate($AG21,$S$4:$S$9,AT$5:AT$10)</f>
        <v>9.3893342974379363E-3</v>
      </c>
      <c r="AV21" s="29">
        <f t="shared" si="11"/>
        <v>0.98628312303612742</v>
      </c>
      <c r="AW21" s="131">
        <f t="shared" si="12"/>
        <v>2.3178548134622501E-3</v>
      </c>
      <c r="AX21" s="125"/>
      <c r="AY21" s="21" cm="1">
        <f t="array" ref="AY21">Interpolate($AG21,$S$4:$S$9,AX$5:AX$10)</f>
        <v>9.3894342974379357E-3</v>
      </c>
      <c r="AZ21" s="29">
        <f t="shared" si="13"/>
        <v>0.98628319700736433</v>
      </c>
      <c r="BA21" s="131">
        <f t="shared" si="14"/>
        <v>2.3178797023278852E-3</v>
      </c>
      <c r="BB21" s="125"/>
      <c r="BC21" s="21" cm="1">
        <f t="array" ref="BC21">Interpolate($AG21,$S$4:$S$9,BB$5:BB$10)</f>
        <v>9.3893342974379363E-3</v>
      </c>
      <c r="BD21" s="29">
        <f t="shared" si="15"/>
        <v>0.98628322166444449</v>
      </c>
      <c r="BE21" s="131">
        <f t="shared" si="16"/>
        <v>2.3178550452477298E-3</v>
      </c>
    </row>
    <row r="22" spans="3:57" x14ac:dyDescent="0.3">
      <c r="K22" s="1" t="s">
        <v>166</v>
      </c>
      <c r="M22" s="1"/>
      <c r="N22" s="1"/>
      <c r="O22" s="59" t="s">
        <v>152</v>
      </c>
      <c r="Q22" s="4" t="s">
        <v>46</v>
      </c>
      <c r="S22" s="1" t="s">
        <v>164</v>
      </c>
      <c r="X22" s="27">
        <f t="shared" si="17"/>
        <v>4.5</v>
      </c>
      <c r="Y22" s="28" cm="1">
        <f t="array" ref="Y22">Interpolate(X22,$S$4:$S$9,$T$4:$T$9)</f>
        <v>9.3893342974379363E-3</v>
      </c>
      <c r="Z22" s="29">
        <f t="shared" si="2"/>
        <v>0.9839708010174969</v>
      </c>
      <c r="AA22" s="29">
        <f t="shared" si="3"/>
        <v>2.3124206469475883E-3</v>
      </c>
      <c r="AB22" s="30">
        <f t="shared" si="4"/>
        <v>0.8728194542133082</v>
      </c>
      <c r="AG22" s="27">
        <f t="shared" si="18"/>
        <v>4.5</v>
      </c>
      <c r="AI22" s="21" cm="1">
        <f t="array" ref="AI22">Interpolate($AG22,$S$4:$S$9,AH$5:AH$10)</f>
        <v>9.3893342974379363E-3</v>
      </c>
      <c r="AJ22" s="29">
        <f t="shared" si="5"/>
        <v>0.98397070262042174</v>
      </c>
      <c r="AK22" s="131">
        <f t="shared" si="6"/>
        <v>2.3124204157055628E-3</v>
      </c>
      <c r="AL22" s="125"/>
      <c r="AM22" s="21" cm="1">
        <f t="array" ref="AM22">Interpolate($AG22,$S$4:$S$9,AL$5:AL$10)</f>
        <v>9.3893342974379363E-3</v>
      </c>
      <c r="AN22" s="29">
        <f t="shared" si="7"/>
        <v>0.98397070262042186</v>
      </c>
      <c r="AO22" s="131">
        <f t="shared" si="8"/>
        <v>2.3124204157055628E-3</v>
      </c>
      <c r="AP22" s="125"/>
      <c r="AQ22" s="21" cm="1">
        <f t="array" ref="AQ22">Interpolate($AG22,$S$4:$S$9,AP$5:AP$10)</f>
        <v>9.3893342974379363E-3</v>
      </c>
      <c r="AR22" s="29">
        <f t="shared" si="9"/>
        <v>0.98397070262042174</v>
      </c>
      <c r="AS22" s="131">
        <f t="shared" si="10"/>
        <v>2.3124204157055628E-3</v>
      </c>
      <c r="AT22" s="125"/>
      <c r="AU22" s="21" cm="1">
        <f t="array" ref="AU22">Interpolate($AG22,$S$4:$S$9,AT$5:AT$10)</f>
        <v>9.3893342974379363E-3</v>
      </c>
      <c r="AV22" s="29">
        <f t="shared" si="11"/>
        <v>0.98397070262042186</v>
      </c>
      <c r="AW22" s="131">
        <f t="shared" si="12"/>
        <v>2.3124204157055628E-3</v>
      </c>
      <c r="AX22" s="125"/>
      <c r="AY22" s="21" cm="1">
        <f t="array" ref="AY22">Interpolate($AG22,$S$4:$S$9,AX$5:AX$10)</f>
        <v>9.3894342974379357E-3</v>
      </c>
      <c r="AZ22" s="29">
        <f t="shared" si="13"/>
        <v>0.98397075181895821</v>
      </c>
      <c r="BA22" s="131">
        <f t="shared" si="14"/>
        <v>2.3124451884061203E-3</v>
      </c>
      <c r="BB22" s="125"/>
      <c r="BC22" s="21" cm="1">
        <f t="array" ref="BC22">Interpolate($AG22,$S$4:$S$9,BB$5:BB$10)</f>
        <v>9.3893342974379363E-3</v>
      </c>
      <c r="BD22" s="29">
        <f t="shared" si="15"/>
        <v>0.9839708010174969</v>
      </c>
      <c r="BE22" s="131">
        <f t="shared" si="16"/>
        <v>2.3124206469475883E-3</v>
      </c>
    </row>
    <row r="23" spans="3:57" ht="16.8" x14ac:dyDescent="0.35">
      <c r="K23" t="s">
        <v>47</v>
      </c>
      <c r="N23" s="1"/>
      <c r="O23" s="60">
        <v>9.9999999999999995E-7</v>
      </c>
      <c r="Q23" s="61">
        <f>SQRT(SUMPRODUCT(Q27:Q32,Q27:Q32))</f>
        <v>3.1781265093829793E-10</v>
      </c>
      <c r="S23" s="4" t="s">
        <v>165</v>
      </c>
      <c r="T23" s="4" t="s">
        <v>21</v>
      </c>
      <c r="X23" s="27">
        <f t="shared" si="17"/>
        <v>4.75</v>
      </c>
      <c r="Y23" s="28" cm="1">
        <f t="array" ref="Y23">Interpolate(X23,$S$4:$S$9,$T$4:$T$9)</f>
        <v>9.3893342974379363E-3</v>
      </c>
      <c r="Z23" s="29">
        <f t="shared" si="2"/>
        <v>0.98166380202746384</v>
      </c>
      <c r="AA23" s="29">
        <f t="shared" si="3"/>
        <v>2.3069989900330601E-3</v>
      </c>
      <c r="AB23" s="30">
        <f t="shared" si="4"/>
        <v>0.86624839080864258</v>
      </c>
      <c r="AG23" s="27">
        <f t="shared" si="18"/>
        <v>4.75</v>
      </c>
      <c r="AI23" s="21" cm="1">
        <f t="array" ref="AI23">Interpolate($AG23,$S$4:$S$9,AH$5:AH$10)</f>
        <v>9.3893342974379363E-3</v>
      </c>
      <c r="AJ23" s="29">
        <f t="shared" si="5"/>
        <v>0.98166370386108859</v>
      </c>
      <c r="AK23" s="131">
        <f t="shared" si="6"/>
        <v>2.3069987593331565E-3</v>
      </c>
      <c r="AL23" s="125"/>
      <c r="AM23" s="21" cm="1">
        <f t="array" ref="AM23">Interpolate($AG23,$S$4:$S$9,AL$5:AL$10)</f>
        <v>9.3893342974379363E-3</v>
      </c>
      <c r="AN23" s="29">
        <f t="shared" si="7"/>
        <v>0.9816637038610887</v>
      </c>
      <c r="AO23" s="131">
        <f t="shared" si="8"/>
        <v>2.3069987593331565E-3</v>
      </c>
      <c r="AP23" s="125"/>
      <c r="AQ23" s="21" cm="1">
        <f t="array" ref="AQ23">Interpolate($AG23,$S$4:$S$9,AP$5:AP$10)</f>
        <v>9.3893342974379363E-3</v>
      </c>
      <c r="AR23" s="29">
        <f t="shared" si="9"/>
        <v>0.98166370386108859</v>
      </c>
      <c r="AS23" s="131">
        <f t="shared" si="10"/>
        <v>2.3069987593331565E-3</v>
      </c>
      <c r="AT23" s="125"/>
      <c r="AU23" s="21" cm="1">
        <f t="array" ref="AU23">Interpolate($AG23,$S$4:$S$9,AT$5:AT$10)</f>
        <v>9.3893342974379363E-3</v>
      </c>
      <c r="AV23" s="29">
        <f t="shared" si="11"/>
        <v>0.9816637038610887</v>
      </c>
      <c r="AW23" s="131">
        <f t="shared" si="12"/>
        <v>2.3069987593331565E-3</v>
      </c>
      <c r="AX23" s="125"/>
      <c r="AY23" s="21" cm="1">
        <f t="array" ref="AY23">Interpolate($AG23,$S$4:$S$9,AX$5:AX$10)</f>
        <v>9.3894342974379357E-3</v>
      </c>
      <c r="AZ23" s="29">
        <f t="shared" si="13"/>
        <v>0.98166372840268157</v>
      </c>
      <c r="BA23" s="131">
        <f t="shared" si="14"/>
        <v>2.3070234162766434E-3</v>
      </c>
      <c r="BB23" s="125"/>
      <c r="BC23" s="21" cm="1">
        <f t="array" ref="BC23">Interpolate($AG23,$S$4:$S$9,BB$5:BB$10)</f>
        <v>9.3893342974379363E-3</v>
      </c>
      <c r="BD23" s="29">
        <f t="shared" si="15"/>
        <v>0.98166380202746384</v>
      </c>
      <c r="BE23" s="131">
        <f t="shared" si="16"/>
        <v>2.3069989900330601E-3</v>
      </c>
    </row>
    <row r="24" spans="3:57" x14ac:dyDescent="0.3">
      <c r="S24" s="20">
        <v>0</v>
      </c>
      <c r="T24" s="21" cm="1">
        <f t="array" ref="T24">Interpolate(S24,Calibration.Times,Calibration.HazardRates)</f>
        <v>1.666666690779446E-3</v>
      </c>
      <c r="X24" s="27">
        <f t="shared" si="17"/>
        <v>5</v>
      </c>
      <c r="Y24" s="28" cm="1">
        <f t="array" ref="Y24">Interpolate(X24,$S$4:$S$9,$T$4:$T$9)</f>
        <v>9.3893342974379363E-3</v>
      </c>
      <c r="Z24" s="29">
        <f t="shared" si="2"/>
        <v>0.97936221198283291</v>
      </c>
      <c r="AA24" s="29">
        <f t="shared" si="3"/>
        <v>2.3015900446309301E-3</v>
      </c>
      <c r="AB24" s="30">
        <f t="shared" si="4"/>
        <v>0.85972679797209928</v>
      </c>
      <c r="AG24" s="27">
        <f t="shared" si="18"/>
        <v>5</v>
      </c>
      <c r="AI24" s="21" cm="1">
        <f t="array" ref="AI24">Interpolate($AG24,$S$4:$S$9,AH$5:AH$10)</f>
        <v>9.3893342974379363E-3</v>
      </c>
      <c r="AJ24" s="29">
        <f t="shared" si="5"/>
        <v>0.97936211404661666</v>
      </c>
      <c r="AK24" s="131">
        <f t="shared" si="6"/>
        <v>2.3015898144719271E-3</v>
      </c>
      <c r="AL24" s="125"/>
      <c r="AM24" s="21" cm="1">
        <f t="array" ref="AM24">Interpolate($AG24,$S$4:$S$9,AL$5:AL$10)</f>
        <v>9.3893342974379363E-3</v>
      </c>
      <c r="AN24" s="29">
        <f t="shared" si="7"/>
        <v>0.97936211404661677</v>
      </c>
      <c r="AO24" s="131">
        <f t="shared" si="8"/>
        <v>2.3015898144719271E-3</v>
      </c>
      <c r="AP24" s="125"/>
      <c r="AQ24" s="21" cm="1">
        <f t="array" ref="AQ24">Interpolate($AG24,$S$4:$S$9,AP$5:AP$10)</f>
        <v>9.3893342974379363E-3</v>
      </c>
      <c r="AR24" s="29">
        <f t="shared" si="9"/>
        <v>0.97936211404661666</v>
      </c>
      <c r="AS24" s="131">
        <f t="shared" si="10"/>
        <v>2.3015898144719271E-3</v>
      </c>
      <c r="AT24" s="125"/>
      <c r="AU24" s="21" cm="1">
        <f t="array" ref="AU24">Interpolate($AG24,$S$4:$S$9,AT$5:AT$10)</f>
        <v>9.3893342974379363E-3</v>
      </c>
      <c r="AV24" s="29">
        <f t="shared" si="11"/>
        <v>0.97936211404661677</v>
      </c>
      <c r="AW24" s="131">
        <f t="shared" si="12"/>
        <v>2.3015898144719271E-3</v>
      </c>
      <c r="AX24" s="125"/>
      <c r="AY24" s="21" cm="1">
        <f t="array" ref="AY24">Interpolate($AG24,$S$4:$S$9,AX$5:AX$10)</f>
        <v>9.3894342974379357E-3</v>
      </c>
      <c r="AZ24" s="29">
        <f t="shared" si="13"/>
        <v>0.97936211404661677</v>
      </c>
      <c r="BA24" s="131">
        <f t="shared" si="14"/>
        <v>2.3016143560647961E-3</v>
      </c>
      <c r="BB24" s="125"/>
      <c r="BC24" s="21" cm="1">
        <f t="array" ref="BC24">Interpolate($AG24,$S$4:$S$9,BB$5:BB$10)</f>
        <v>9.3893342974379363E-3</v>
      </c>
      <c r="BD24" s="29">
        <f t="shared" si="15"/>
        <v>0.97936221198283291</v>
      </c>
      <c r="BE24" s="131">
        <f t="shared" si="16"/>
        <v>2.3015900446309301E-3</v>
      </c>
    </row>
    <row r="25" spans="3:57" x14ac:dyDescent="0.3">
      <c r="K25" s="46" t="s">
        <v>74</v>
      </c>
      <c r="M25" s="1"/>
      <c r="O25" s="181" t="s">
        <v>153</v>
      </c>
      <c r="R25" s="4"/>
      <c r="S25" s="20">
        <v>1</v>
      </c>
      <c r="T25" s="21" cm="1">
        <f t="array" ref="T25">Interpolate(S25,Calibration.Times,Calibration.HazardRates)</f>
        <v>1.666666690779446E-3</v>
      </c>
      <c r="X25" s="27">
        <f t="shared" si="17"/>
        <v>5.25</v>
      </c>
      <c r="Y25" s="28" cm="1">
        <f t="array" ref="Y25">Interpolate(X25,$S$4:$S$9,$T$4:$T$9)</f>
        <v>6.1315102339601062E-3</v>
      </c>
      <c r="Z25" s="29">
        <f t="shared" si="2"/>
        <v>0.97786211964912062</v>
      </c>
      <c r="AA25" s="29">
        <f t="shared" si="3"/>
        <v>1.5000923337122885E-3</v>
      </c>
      <c r="AB25" s="30">
        <f t="shared" si="4"/>
        <v>0.8532543032621176</v>
      </c>
      <c r="AG25" s="27">
        <f t="shared" si="18"/>
        <v>5.25</v>
      </c>
      <c r="AI25" s="21" cm="1">
        <f t="array" ref="AI25">Interpolate($AG25,$S$4:$S$9,AH$5:AH$10)</f>
        <v>6.1315102339601062E-3</v>
      </c>
      <c r="AJ25" s="29">
        <f t="shared" si="5"/>
        <v>0.9778620218629136</v>
      </c>
      <c r="AK25" s="131">
        <f t="shared" si="6"/>
        <v>1.5000921837030612E-3</v>
      </c>
      <c r="AL25" s="125"/>
      <c r="AM25" s="21" cm="1">
        <f t="array" ref="AM25">Interpolate($AG25,$S$4:$S$9,AL$5:AL$10)</f>
        <v>6.1315102339601062E-3</v>
      </c>
      <c r="AN25" s="29">
        <f t="shared" si="7"/>
        <v>0.97786202186291371</v>
      </c>
      <c r="AO25" s="131">
        <f t="shared" si="8"/>
        <v>1.5000921837030612E-3</v>
      </c>
      <c r="AP25" s="125"/>
      <c r="AQ25" s="21" cm="1">
        <f t="array" ref="AQ25">Interpolate($AG25,$S$4:$S$9,AP$5:AP$10)</f>
        <v>6.1315102339601062E-3</v>
      </c>
      <c r="AR25" s="29">
        <f t="shared" si="9"/>
        <v>0.9778620218629136</v>
      </c>
      <c r="AS25" s="131">
        <f t="shared" si="10"/>
        <v>1.5000921837030612E-3</v>
      </c>
      <c r="AT25" s="125"/>
      <c r="AU25" s="21" cm="1">
        <f t="array" ref="AU25">Interpolate($AG25,$S$4:$S$9,AT$5:AT$10)</f>
        <v>6.1315102339601062E-3</v>
      </c>
      <c r="AV25" s="29">
        <f t="shared" si="11"/>
        <v>0.97786202186291371</v>
      </c>
      <c r="AW25" s="131">
        <f t="shared" si="12"/>
        <v>1.5000921837030612E-3</v>
      </c>
      <c r="AX25" s="125"/>
      <c r="AY25" s="21" cm="1">
        <f t="array" ref="AY25">Interpolate($AG25,$S$4:$S$9,AX$5:AX$10)</f>
        <v>6.1315102339601062E-3</v>
      </c>
      <c r="AZ25" s="29">
        <f t="shared" si="13"/>
        <v>0.97786202186291371</v>
      </c>
      <c r="BA25" s="131">
        <f t="shared" si="14"/>
        <v>1.5000921837030612E-3</v>
      </c>
      <c r="BB25" s="125"/>
      <c r="BC25" s="21" cm="1">
        <f t="array" ref="BC25">Interpolate($AG25,$S$4:$S$9,BB$5:BB$10)</f>
        <v>6.1316102339601065E-3</v>
      </c>
      <c r="BD25" s="29">
        <f t="shared" si="15"/>
        <v>0.97786209520256784</v>
      </c>
      <c r="BE25" s="131">
        <f t="shared" si="16"/>
        <v>1.5001167802650706E-3</v>
      </c>
    </row>
    <row r="26" spans="3:57" ht="15.6" x14ac:dyDescent="0.3">
      <c r="K26" s="57" t="s">
        <v>11</v>
      </c>
      <c r="L26" s="57" t="s">
        <v>22</v>
      </c>
      <c r="M26" s="57" t="s">
        <v>48</v>
      </c>
      <c r="N26" s="57" t="s">
        <v>49</v>
      </c>
      <c r="O26" s="4" t="s">
        <v>34</v>
      </c>
      <c r="P26" s="57" t="s">
        <v>50</v>
      </c>
      <c r="Q26" s="62" t="s">
        <v>32</v>
      </c>
      <c r="S26" s="20">
        <f>S25+0.01</f>
        <v>1.01</v>
      </c>
      <c r="T26" s="21" cm="1">
        <f t="array" ref="T26">Interpolate(S26,Calibration.Times,Calibration.HazardRates)</f>
        <v>2.3442523763698223E-3</v>
      </c>
      <c r="X26" s="27">
        <f t="shared" si="17"/>
        <v>5.5</v>
      </c>
      <c r="Y26" s="28" cm="1">
        <f t="array" ref="Y26">Interpolate(X26,$S$4:$S$9,$T$4:$T$9)</f>
        <v>6.1315102339601062E-3</v>
      </c>
      <c r="Z26" s="29">
        <f t="shared" si="2"/>
        <v>0.97636432501178883</v>
      </c>
      <c r="AA26" s="29">
        <f t="shared" si="3"/>
        <v>1.4977946373317952E-3</v>
      </c>
      <c r="AB26" s="30">
        <f t="shared" si="4"/>
        <v>0.84683053704108091</v>
      </c>
      <c r="AG26" s="27">
        <f t="shared" si="18"/>
        <v>5.5</v>
      </c>
      <c r="AI26" s="21" cm="1">
        <f t="array" ref="AI26">Interpolate($AG26,$S$4:$S$9,AH$5:AH$10)</f>
        <v>6.1315102339601062E-3</v>
      </c>
      <c r="AJ26" s="29">
        <f t="shared" si="5"/>
        <v>0.97636422737536122</v>
      </c>
      <c r="AK26" s="131">
        <f t="shared" si="6"/>
        <v>1.4977944875523841E-3</v>
      </c>
      <c r="AL26" s="125"/>
      <c r="AM26" s="21" cm="1">
        <f t="array" ref="AM26">Interpolate($AG26,$S$4:$S$9,AL$5:AL$10)</f>
        <v>6.1315102339601062E-3</v>
      </c>
      <c r="AN26" s="29">
        <f t="shared" si="7"/>
        <v>0.97636422737536133</v>
      </c>
      <c r="AO26" s="131">
        <f t="shared" si="8"/>
        <v>1.4977944875523841E-3</v>
      </c>
      <c r="AP26" s="125"/>
      <c r="AQ26" s="21" cm="1">
        <f t="array" ref="AQ26">Interpolate($AG26,$S$4:$S$9,AP$5:AP$10)</f>
        <v>6.1315102339601062E-3</v>
      </c>
      <c r="AR26" s="29">
        <f t="shared" si="9"/>
        <v>0.97636422737536122</v>
      </c>
      <c r="AS26" s="131">
        <f t="shared" si="10"/>
        <v>1.4977944875523841E-3</v>
      </c>
      <c r="AT26" s="125"/>
      <c r="AU26" s="21" cm="1">
        <f t="array" ref="AU26">Interpolate($AG26,$S$4:$S$9,AT$5:AT$10)</f>
        <v>6.1315102339601062E-3</v>
      </c>
      <c r="AV26" s="29">
        <f t="shared" si="11"/>
        <v>0.97636422737536133</v>
      </c>
      <c r="AW26" s="131">
        <f t="shared" si="12"/>
        <v>1.4977944875523841E-3</v>
      </c>
      <c r="AX26" s="125"/>
      <c r="AY26" s="21" cm="1">
        <f t="array" ref="AY26">Interpolate($AG26,$S$4:$S$9,AX$5:AX$10)</f>
        <v>6.1315102339601062E-3</v>
      </c>
      <c r="AZ26" s="29">
        <f t="shared" si="13"/>
        <v>0.97636422737536133</v>
      </c>
      <c r="BA26" s="131">
        <f t="shared" si="14"/>
        <v>1.4977944875523841E-3</v>
      </c>
      <c r="BB26" s="125"/>
      <c r="BC26" s="21" cm="1">
        <f t="array" ref="BC26">Interpolate($AG26,$S$4:$S$9,BB$5:BB$10)</f>
        <v>6.1316102339601065E-3</v>
      </c>
      <c r="BD26" s="29">
        <f t="shared" si="15"/>
        <v>0.97636427619357358</v>
      </c>
      <c r="BE26" s="131">
        <f t="shared" si="16"/>
        <v>1.4978190089942611E-3</v>
      </c>
    </row>
    <row r="27" spans="3:57" x14ac:dyDescent="0.3">
      <c r="K27" s="65" t="s">
        <v>12</v>
      </c>
      <c r="L27" s="66">
        <v>1</v>
      </c>
      <c r="M27" s="67" cm="1">
        <f t="array" ref="M27:M32">N27:N32-MMULT(K64:P69,P27:P32)</f>
        <v>1.6666666907793469E-3</v>
      </c>
      <c r="N27" s="68">
        <v>1.666666690779446E-3</v>
      </c>
      <c r="O27" s="69">
        <f t="shared" ref="O27:O32" si="25">Q4/(1-RecoveryRate)</f>
        <v>1.6666666666666668E-3</v>
      </c>
      <c r="P27" s="68">
        <f t="shared" ref="P27:P32" si="26">V14</f>
        <v>5.9414279052205643E-17</v>
      </c>
      <c r="Q27" s="86">
        <f t="shared" ref="Q27:Q32" si="27">M27-N27</f>
        <v>-9.9096078565175105E-17</v>
      </c>
      <c r="S27" s="20">
        <f>S5</f>
        <v>2</v>
      </c>
      <c r="T27" s="21" cm="1">
        <f t="array" ref="T27">Interpolate(S27,Calibration.Times,Calibration.HazardRates)</f>
        <v>2.3442523763698223E-3</v>
      </c>
      <c r="X27" s="27">
        <f t="shared" si="17"/>
        <v>5.75</v>
      </c>
      <c r="Y27" s="28" cm="1">
        <f t="array" ref="Y27">Interpolate(X27,$S$4:$S$9,$T$4:$T$9)</f>
        <v>6.1315102339601062E-3</v>
      </c>
      <c r="Z27" s="29">
        <f t="shared" si="2"/>
        <v>0.9748688245514483</v>
      </c>
      <c r="AA27" s="29">
        <f t="shared" si="3"/>
        <v>1.4955004603405264E-3</v>
      </c>
      <c r="AB27" s="30">
        <f t="shared" si="4"/>
        <v>0.84045513245420744</v>
      </c>
      <c r="AG27" s="27">
        <f t="shared" si="18"/>
        <v>5.75</v>
      </c>
      <c r="AI27" s="21" cm="1">
        <f t="array" ref="AI27">Interpolate($AG27,$S$4:$S$9,AH$5:AH$10)</f>
        <v>6.1315102339601062E-3</v>
      </c>
      <c r="AJ27" s="29">
        <f t="shared" si="5"/>
        <v>0.97486872706457073</v>
      </c>
      <c r="AK27" s="131">
        <f t="shared" si="6"/>
        <v>1.4955003107904874E-3</v>
      </c>
      <c r="AL27" s="125"/>
      <c r="AM27" s="21" cm="1">
        <f t="array" ref="AM27">Interpolate($AG27,$S$4:$S$9,AL$5:AL$10)</f>
        <v>6.1315102339601062E-3</v>
      </c>
      <c r="AN27" s="29">
        <f t="shared" si="7"/>
        <v>0.97486872706457084</v>
      </c>
      <c r="AO27" s="131">
        <f t="shared" si="8"/>
        <v>1.4955003107904874E-3</v>
      </c>
      <c r="AP27" s="125"/>
      <c r="AQ27" s="21" cm="1">
        <f t="array" ref="AQ27">Interpolate($AG27,$S$4:$S$9,AP$5:AP$10)</f>
        <v>6.1315102339601062E-3</v>
      </c>
      <c r="AR27" s="29">
        <f t="shared" si="9"/>
        <v>0.97486872706457073</v>
      </c>
      <c r="AS27" s="131">
        <f t="shared" si="10"/>
        <v>1.4955003107904874E-3</v>
      </c>
      <c r="AT27" s="125"/>
      <c r="AU27" s="21" cm="1">
        <f t="array" ref="AU27">Interpolate($AG27,$S$4:$S$9,AT$5:AT$10)</f>
        <v>6.1315102339601062E-3</v>
      </c>
      <c r="AV27" s="29">
        <f t="shared" si="11"/>
        <v>0.97486872706457084</v>
      </c>
      <c r="AW27" s="131">
        <f t="shared" si="12"/>
        <v>1.4955003107904874E-3</v>
      </c>
      <c r="AX27" s="125"/>
      <c r="AY27" s="21" cm="1">
        <f t="array" ref="AY27">Interpolate($AG27,$S$4:$S$9,AX$5:AX$10)</f>
        <v>6.1315102339601062E-3</v>
      </c>
      <c r="AZ27" s="29">
        <f t="shared" si="13"/>
        <v>0.97486872706457084</v>
      </c>
      <c r="BA27" s="131">
        <f t="shared" si="14"/>
        <v>1.4955003107904874E-3</v>
      </c>
      <c r="BB27" s="125"/>
      <c r="BC27" s="21" cm="1">
        <f t="array" ref="BC27">Interpolate($AG27,$S$4:$S$9,BB$5:BB$10)</f>
        <v>6.1316102339601065E-3</v>
      </c>
      <c r="BD27" s="29">
        <f t="shared" si="15"/>
        <v>0.97486875143628904</v>
      </c>
      <c r="BE27" s="131">
        <f t="shared" si="16"/>
        <v>1.4955247572845387E-3</v>
      </c>
    </row>
    <row r="28" spans="3:57" x14ac:dyDescent="0.3">
      <c r="K28" s="70" t="s">
        <v>13</v>
      </c>
      <c r="L28" s="20">
        <v>2</v>
      </c>
      <c r="M28" s="63">
        <v>2.3442523763710981E-3</v>
      </c>
      <c r="N28" s="48">
        <v>2.3442523763698223E-3</v>
      </c>
      <c r="O28" s="64">
        <f t="shared" si="25"/>
        <v>2E-3</v>
      </c>
      <c r="P28" s="48">
        <f t="shared" si="26"/>
        <v>-3.4629417389187012E-16</v>
      </c>
      <c r="Q28" s="87">
        <f t="shared" si="27"/>
        <v>1.2758891165809416E-15</v>
      </c>
      <c r="S28" s="20">
        <f>S27+0.01</f>
        <v>2.0099999999999998</v>
      </c>
      <c r="T28" s="21" cm="1">
        <f t="array" ref="T28">Interpolate(S28,Calibration.Times,Calibration.HazardRates)</f>
        <v>3.5506598573163228E-3</v>
      </c>
      <c r="X28" s="27">
        <f t="shared" si="17"/>
        <v>6</v>
      </c>
      <c r="Y28" s="28" cm="1">
        <f t="array" ref="Y28">Interpolate(X28,$S$4:$S$9,$T$4:$T$9)</f>
        <v>6.1315102339601062E-3</v>
      </c>
      <c r="Z28" s="29">
        <f t="shared" si="2"/>
        <v>0.97337561475410073</v>
      </c>
      <c r="AA28" s="29">
        <f t="shared" si="3"/>
        <v>1.4932097973475722E-3</v>
      </c>
      <c r="AB28" s="30">
        <f t="shared" si="4"/>
        <v>0.83412772540859914</v>
      </c>
      <c r="AG28" s="27">
        <f t="shared" si="18"/>
        <v>6</v>
      </c>
      <c r="AI28" s="21" cm="1">
        <f t="array" ref="AI28">Interpolate($AG28,$S$4:$S$9,AH$5:AH$10)</f>
        <v>6.1315102339601062E-3</v>
      </c>
      <c r="AJ28" s="29">
        <f t="shared" si="5"/>
        <v>0.97337551741654416</v>
      </c>
      <c r="AK28" s="131">
        <f t="shared" si="6"/>
        <v>1.4932096480265722E-3</v>
      </c>
      <c r="AL28" s="125"/>
      <c r="AM28" s="21" cm="1">
        <f t="array" ref="AM28">Interpolate($AG28,$S$4:$S$9,AL$5:AL$10)</f>
        <v>6.1315102339601062E-3</v>
      </c>
      <c r="AN28" s="29">
        <f t="shared" si="7"/>
        <v>0.97337551741654427</v>
      </c>
      <c r="AO28" s="131">
        <f t="shared" si="8"/>
        <v>1.4932096480265722E-3</v>
      </c>
      <c r="AP28" s="125"/>
      <c r="AQ28" s="21" cm="1">
        <f t="array" ref="AQ28">Interpolate($AG28,$S$4:$S$9,AP$5:AP$10)</f>
        <v>6.1315102339601062E-3</v>
      </c>
      <c r="AR28" s="29">
        <f t="shared" si="9"/>
        <v>0.97337551741654416</v>
      </c>
      <c r="AS28" s="131">
        <f t="shared" si="10"/>
        <v>1.4932096480265722E-3</v>
      </c>
      <c r="AT28" s="125"/>
      <c r="AU28" s="21" cm="1">
        <f t="array" ref="AU28">Interpolate($AG28,$S$4:$S$9,AT$5:AT$10)</f>
        <v>6.1315102339601062E-3</v>
      </c>
      <c r="AV28" s="29">
        <f t="shared" si="11"/>
        <v>0.97337551741654427</v>
      </c>
      <c r="AW28" s="131">
        <f t="shared" si="12"/>
        <v>1.4932096480265722E-3</v>
      </c>
      <c r="AX28" s="125"/>
      <c r="AY28" s="21" cm="1">
        <f t="array" ref="AY28">Interpolate($AG28,$S$4:$S$9,AX$5:AX$10)</f>
        <v>6.1315102339601062E-3</v>
      </c>
      <c r="AZ28" s="29">
        <f t="shared" si="13"/>
        <v>0.97337551741654427</v>
      </c>
      <c r="BA28" s="131">
        <f t="shared" si="14"/>
        <v>1.4932096480265722E-3</v>
      </c>
      <c r="BB28" s="125"/>
      <c r="BC28" s="21" cm="1">
        <f t="array" ref="BC28">Interpolate($AG28,$S$4:$S$9,BB$5:BB$10)</f>
        <v>6.1316102339601065E-3</v>
      </c>
      <c r="BD28" s="29">
        <f t="shared" si="15"/>
        <v>0.97337551741654393</v>
      </c>
      <c r="BE28" s="131">
        <f t="shared" si="16"/>
        <v>1.4932340197451044E-3</v>
      </c>
    </row>
    <row r="29" spans="3:57" x14ac:dyDescent="0.3">
      <c r="K29" s="70" t="s">
        <v>14</v>
      </c>
      <c r="L29" s="20">
        <v>3</v>
      </c>
      <c r="M29" s="63">
        <v>3.5506598577531166E-3</v>
      </c>
      <c r="N29" s="48">
        <v>3.5506598573163228E-3</v>
      </c>
      <c r="O29" s="64">
        <f t="shared" si="25"/>
        <v>2.5000000000000001E-3</v>
      </c>
      <c r="P29" s="48">
        <f t="shared" si="26"/>
        <v>-8.4695054788919144E-14</v>
      </c>
      <c r="Q29" s="87">
        <f t="shared" si="27"/>
        <v>4.3679383027184215E-13</v>
      </c>
      <c r="S29" s="20">
        <f>S6</f>
        <v>3</v>
      </c>
      <c r="T29" s="21" cm="1">
        <f t="array" ref="T29">Interpolate(S29,Calibration.Times,Calibration.HazardRates)</f>
        <v>3.5506598573163228E-3</v>
      </c>
      <c r="X29" s="27">
        <f t="shared" si="17"/>
        <v>6.25</v>
      </c>
      <c r="Y29" s="28" cm="1">
        <f t="array" ref="Y29">Interpolate(X29,$S$4:$S$9,$T$4:$T$9)</f>
        <v>6.1315102339601062E-3</v>
      </c>
      <c r="Z29" s="29">
        <f t="shared" si="2"/>
        <v>0.97188469211112993</v>
      </c>
      <c r="AA29" s="29">
        <f t="shared" si="3"/>
        <v>1.4909226429707934E-3</v>
      </c>
      <c r="AB29" s="30">
        <f t="shared" si="4"/>
        <v>0.82784795455244931</v>
      </c>
      <c r="AG29" s="27">
        <f t="shared" si="18"/>
        <v>6.25</v>
      </c>
      <c r="AI29" s="21" cm="1">
        <f t="array" ref="AI29">Interpolate($AG29,$S$4:$S$9,AH$5:AH$10)</f>
        <v>6.1315102339601062E-3</v>
      </c>
      <c r="AJ29" s="29">
        <f t="shared" si="5"/>
        <v>0.97188459492266566</v>
      </c>
      <c r="AK29" s="131">
        <f t="shared" si="6"/>
        <v>1.4909224938784993E-3</v>
      </c>
      <c r="AL29" s="125"/>
      <c r="AM29" s="21" cm="1">
        <f t="array" ref="AM29">Interpolate($AG29,$S$4:$S$9,AL$5:AL$10)</f>
        <v>6.1315102339601062E-3</v>
      </c>
      <c r="AN29" s="29">
        <f t="shared" si="7"/>
        <v>0.97188459492266577</v>
      </c>
      <c r="AO29" s="131">
        <f t="shared" si="8"/>
        <v>1.4909224938784993E-3</v>
      </c>
      <c r="AP29" s="125"/>
      <c r="AQ29" s="21" cm="1">
        <f t="array" ref="AQ29">Interpolate($AG29,$S$4:$S$9,AP$5:AP$10)</f>
        <v>6.1315102339601062E-3</v>
      </c>
      <c r="AR29" s="29">
        <f t="shared" si="9"/>
        <v>0.97188459492266566</v>
      </c>
      <c r="AS29" s="131">
        <f t="shared" si="10"/>
        <v>1.4909224938784993E-3</v>
      </c>
      <c r="AT29" s="125"/>
      <c r="AU29" s="21" cm="1">
        <f t="array" ref="AU29">Interpolate($AG29,$S$4:$S$9,AT$5:AT$10)</f>
        <v>6.1315102339601062E-3</v>
      </c>
      <c r="AV29" s="29">
        <f t="shared" si="11"/>
        <v>0.97188459492266577</v>
      </c>
      <c r="AW29" s="131">
        <f t="shared" si="12"/>
        <v>1.4909224938784993E-3</v>
      </c>
      <c r="AX29" s="125"/>
      <c r="AY29" s="21" cm="1">
        <f t="array" ref="AY29">Interpolate($AG29,$S$4:$S$9,AX$5:AX$10)</f>
        <v>6.1315102339601062E-3</v>
      </c>
      <c r="AZ29" s="29">
        <f t="shared" si="13"/>
        <v>0.97188459492266577</v>
      </c>
      <c r="BA29" s="131">
        <f t="shared" si="14"/>
        <v>1.4909224938784993E-3</v>
      </c>
      <c r="BB29" s="125"/>
      <c r="BC29" s="21" cm="1">
        <f t="array" ref="BC29">Interpolate($AG29,$S$4:$S$9,BB$5:BB$10)</f>
        <v>6.1316102339601065E-3</v>
      </c>
      <c r="BD29" s="29">
        <f t="shared" si="15"/>
        <v>0.97188457062555078</v>
      </c>
      <c r="BE29" s="131">
        <f t="shared" si="16"/>
        <v>1.4909467909931529E-3</v>
      </c>
    </row>
    <row r="30" spans="3:57" x14ac:dyDescent="0.3">
      <c r="K30" s="70" t="s">
        <v>15</v>
      </c>
      <c r="L30" s="20">
        <v>4</v>
      </c>
      <c r="M30" s="63">
        <v>3.9028100615216455E-3</v>
      </c>
      <c r="N30" s="48">
        <v>3.902810059679798E-3</v>
      </c>
      <c r="O30" s="64">
        <f t="shared" si="25"/>
        <v>2.8333333333333331E-3</v>
      </c>
      <c r="P30" s="48">
        <f t="shared" si="26"/>
        <v>-3.26968270167316E-13</v>
      </c>
      <c r="Q30" s="87">
        <f t="shared" si="27"/>
        <v>1.8418474211079339E-12</v>
      </c>
      <c r="S30" s="20">
        <f>S29+0.01</f>
        <v>3.01</v>
      </c>
      <c r="T30" s="21" cm="1">
        <f t="array" ref="T30">Interpolate(S30,Calibration.Times,Calibration.HazardRates)</f>
        <v>3.902810059679798E-3</v>
      </c>
      <c r="X30" s="27">
        <f t="shared" si="17"/>
        <v>6.5</v>
      </c>
      <c r="Y30" s="28" cm="1">
        <f t="array" ref="Y30">Interpolate(X30,$S$4:$S$9,$T$4:$T$9)</f>
        <v>6.1315102339601062E-3</v>
      </c>
      <c r="Z30" s="29">
        <f t="shared" si="2"/>
        <v>0.97039605311929411</v>
      </c>
      <c r="AA30" s="29">
        <f t="shared" si="3"/>
        <v>1.4886389918358223E-3</v>
      </c>
      <c r="AB30" s="30">
        <f t="shared" si="4"/>
        <v>0.82161546125440532</v>
      </c>
      <c r="AG30" s="27">
        <f t="shared" si="18"/>
        <v>6.5</v>
      </c>
      <c r="AI30" s="21" cm="1">
        <f t="array" ref="AI30">Interpolate($AG30,$S$4:$S$9,AH$5:AH$10)</f>
        <v>6.1315102339601062E-3</v>
      </c>
      <c r="AJ30" s="29">
        <f t="shared" si="5"/>
        <v>0.97039595607969364</v>
      </c>
      <c r="AK30" s="131">
        <f t="shared" si="6"/>
        <v>1.4886388429720121E-3</v>
      </c>
      <c r="AL30" s="125"/>
      <c r="AM30" s="21" cm="1">
        <f t="array" ref="AM30">Interpolate($AG30,$S$4:$S$9,AL$5:AL$10)</f>
        <v>6.1315102339601062E-3</v>
      </c>
      <c r="AN30" s="29">
        <f t="shared" si="7"/>
        <v>0.97039595607969376</v>
      </c>
      <c r="AO30" s="131">
        <f t="shared" si="8"/>
        <v>1.4886388429720121E-3</v>
      </c>
      <c r="AP30" s="125"/>
      <c r="AQ30" s="21" cm="1">
        <f t="array" ref="AQ30">Interpolate($AG30,$S$4:$S$9,AP$5:AP$10)</f>
        <v>6.1315102339601062E-3</v>
      </c>
      <c r="AR30" s="29">
        <f t="shared" si="9"/>
        <v>0.97039595607969364</v>
      </c>
      <c r="AS30" s="131">
        <f t="shared" si="10"/>
        <v>1.4886388429720121E-3</v>
      </c>
      <c r="AT30" s="125"/>
      <c r="AU30" s="21" cm="1">
        <f t="array" ref="AU30">Interpolate($AG30,$S$4:$S$9,AT$5:AT$10)</f>
        <v>6.1315102339601062E-3</v>
      </c>
      <c r="AV30" s="29">
        <f t="shared" si="11"/>
        <v>0.97039595607969376</v>
      </c>
      <c r="AW30" s="131">
        <f t="shared" si="12"/>
        <v>1.4886388429720121E-3</v>
      </c>
      <c r="AX30" s="125"/>
      <c r="AY30" s="21" cm="1">
        <f t="array" ref="AY30">Interpolate($AG30,$S$4:$S$9,AX$5:AX$10)</f>
        <v>6.1315102339601062E-3</v>
      </c>
      <c r="AZ30" s="29">
        <f t="shared" si="13"/>
        <v>0.97039595607969376</v>
      </c>
      <c r="BA30" s="131">
        <f t="shared" si="14"/>
        <v>1.4886388429720121E-3</v>
      </c>
      <c r="BB30" s="125"/>
      <c r="BC30" s="21" cm="1">
        <f t="array" ref="BC30">Interpolate($AG30,$S$4:$S$9,BB$5:BB$10)</f>
        <v>6.1316102339601065E-3</v>
      </c>
      <c r="BD30" s="29">
        <f t="shared" si="15"/>
        <v>0.9703959075598968</v>
      </c>
      <c r="BE30" s="131">
        <f t="shared" si="16"/>
        <v>1.4886630656539834E-3</v>
      </c>
    </row>
    <row r="31" spans="3:57" x14ac:dyDescent="0.3">
      <c r="K31" s="70" t="s">
        <v>16</v>
      </c>
      <c r="L31" s="20">
        <v>5</v>
      </c>
      <c r="M31" s="63">
        <v>9.3893346101396064E-3</v>
      </c>
      <c r="N31" s="48">
        <v>9.3893342974379363E-3</v>
      </c>
      <c r="O31" s="64">
        <f t="shared" si="25"/>
        <v>4.0549999999999996E-3</v>
      </c>
      <c r="P31" s="48">
        <f t="shared" si="26"/>
        <v>-3.5134142557097237E-11</v>
      </c>
      <c r="Q31" s="87">
        <f t="shared" si="27"/>
        <v>3.1270167011321348E-10</v>
      </c>
      <c r="S31" s="20">
        <f>S7</f>
        <v>4</v>
      </c>
      <c r="T31" s="21" cm="1">
        <f t="array" ref="T31">Interpolate(S31,Calibration.Times,Calibration.HazardRates)</f>
        <v>3.902810059679798E-3</v>
      </c>
      <c r="X31" s="27">
        <f t="shared" si="17"/>
        <v>6.75</v>
      </c>
      <c r="Y31" s="28" cm="1">
        <f t="array" ref="Y31">Interpolate(X31,$S$4:$S$9,$T$4:$T$9)</f>
        <v>6.1315102339601062E-3</v>
      </c>
      <c r="Z31" s="29">
        <f t="shared" si="2"/>
        <v>0.96890969428071716</v>
      </c>
      <c r="AA31" s="29">
        <f t="shared" si="3"/>
        <v>1.4863588385769511E-3</v>
      </c>
      <c r="AB31" s="30">
        <f t="shared" si="4"/>
        <v>0.81542988958308826</v>
      </c>
      <c r="AG31" s="27">
        <f t="shared" si="18"/>
        <v>6.75</v>
      </c>
      <c r="AI31" s="21" cm="1">
        <f t="array" ref="AI31">Interpolate($AG31,$S$4:$S$9,AH$5:AH$10)</f>
        <v>6.1315102339601062E-3</v>
      </c>
      <c r="AJ31" s="29">
        <f t="shared" si="5"/>
        <v>0.96890959738975257</v>
      </c>
      <c r="AK31" s="131">
        <f t="shared" si="6"/>
        <v>1.4863586899410697E-3</v>
      </c>
      <c r="AL31" s="125"/>
      <c r="AM31" s="21" cm="1">
        <f t="array" ref="AM31">Interpolate($AG31,$S$4:$S$9,AL$5:AL$10)</f>
        <v>6.1315102339601062E-3</v>
      </c>
      <c r="AN31" s="29">
        <f t="shared" si="7"/>
        <v>0.96890959738975269</v>
      </c>
      <c r="AO31" s="131">
        <f t="shared" si="8"/>
        <v>1.4863586899410697E-3</v>
      </c>
      <c r="AP31" s="125"/>
      <c r="AQ31" s="21" cm="1">
        <f t="array" ref="AQ31">Interpolate($AG31,$S$4:$S$9,AP$5:AP$10)</f>
        <v>6.1315102339601062E-3</v>
      </c>
      <c r="AR31" s="29">
        <f t="shared" si="9"/>
        <v>0.96890959738975257</v>
      </c>
      <c r="AS31" s="131">
        <f t="shared" si="10"/>
        <v>1.4863586899410697E-3</v>
      </c>
      <c r="AT31" s="125"/>
      <c r="AU31" s="21" cm="1">
        <f t="array" ref="AU31">Interpolate($AG31,$S$4:$S$9,AT$5:AT$10)</f>
        <v>6.1315102339601062E-3</v>
      </c>
      <c r="AV31" s="29">
        <f t="shared" si="11"/>
        <v>0.96890959738975269</v>
      </c>
      <c r="AW31" s="131">
        <f t="shared" si="12"/>
        <v>1.4863586899410697E-3</v>
      </c>
      <c r="AX31" s="125"/>
      <c r="AY31" s="21" cm="1">
        <f t="array" ref="AY31">Interpolate($AG31,$S$4:$S$9,AX$5:AX$10)</f>
        <v>6.1315102339601062E-3</v>
      </c>
      <c r="AZ31" s="29">
        <f t="shared" si="13"/>
        <v>0.96890959738975269</v>
      </c>
      <c r="BA31" s="131">
        <f t="shared" si="14"/>
        <v>1.4863586899410697E-3</v>
      </c>
      <c r="BB31" s="125"/>
      <c r="BC31" s="21" cm="1">
        <f t="array" ref="BC31">Interpolate($AG31,$S$4:$S$9,BB$5:BB$10)</f>
        <v>6.1316102339601065E-3</v>
      </c>
      <c r="BD31" s="29">
        <f t="shared" si="15"/>
        <v>0.96890952472153524</v>
      </c>
      <c r="BE31" s="131">
        <f t="shared" si="16"/>
        <v>1.4863828383615552E-3</v>
      </c>
    </row>
    <row r="32" spans="3:57" x14ac:dyDescent="0.3">
      <c r="K32" s="71" t="s">
        <v>17</v>
      </c>
      <c r="L32" s="72">
        <v>10</v>
      </c>
      <c r="M32" s="73">
        <v>6.1315101772241969E-3</v>
      </c>
      <c r="N32" s="74">
        <v>6.1315102339601062E-3</v>
      </c>
      <c r="O32" s="75">
        <f t="shared" si="25"/>
        <v>5.0000000000000001E-3</v>
      </c>
      <c r="P32" s="74">
        <f t="shared" si="26"/>
        <v>-3.6072885130356003E-12</v>
      </c>
      <c r="Q32" s="88">
        <f t="shared" si="27"/>
        <v>-5.6735909373384352E-11</v>
      </c>
      <c r="S32" s="20">
        <f>S31+0.01</f>
        <v>4.01</v>
      </c>
      <c r="T32" s="21" cm="1">
        <f t="array" ref="T32">Interpolate(S32,Calibration.Times,Calibration.HazardRates)</f>
        <v>9.3893342974379363E-3</v>
      </c>
      <c r="X32" s="27">
        <f t="shared" si="17"/>
        <v>7</v>
      </c>
      <c r="Y32" s="28" cm="1">
        <f t="array" ref="Y32">Interpolate(X32,$S$4:$S$9,$T$4:$T$9)</f>
        <v>6.1315102339601062E-3</v>
      </c>
      <c r="Z32" s="29">
        <f t="shared" si="2"/>
        <v>0.96742561210288092</v>
      </c>
      <c r="AA32" s="29">
        <f t="shared" si="3"/>
        <v>1.4840821778362434E-3</v>
      </c>
      <c r="AB32" s="30">
        <f t="shared" si="4"/>
        <v>0.80929088628676571</v>
      </c>
      <c r="AG32" s="27">
        <f t="shared" si="18"/>
        <v>7</v>
      </c>
      <c r="AI32" s="21" cm="1">
        <f t="array" ref="AI32">Interpolate($AG32,$S$4:$S$9,AH$5:AH$10)</f>
        <v>6.1315102339601062E-3</v>
      </c>
      <c r="AJ32" s="29">
        <f t="shared" si="5"/>
        <v>0.96742551536032451</v>
      </c>
      <c r="AK32" s="131">
        <f t="shared" si="6"/>
        <v>1.4840820294280688E-3</v>
      </c>
      <c r="AL32" s="125"/>
      <c r="AM32" s="21" cm="1">
        <f t="array" ref="AM32">Interpolate($AG32,$S$4:$S$9,AL$5:AL$10)</f>
        <v>6.1315102339601062E-3</v>
      </c>
      <c r="AN32" s="29">
        <f t="shared" si="7"/>
        <v>0.96742551536032462</v>
      </c>
      <c r="AO32" s="131">
        <f t="shared" si="8"/>
        <v>1.4840820294280688E-3</v>
      </c>
      <c r="AP32" s="125"/>
      <c r="AQ32" s="21" cm="1">
        <f t="array" ref="AQ32">Interpolate($AG32,$S$4:$S$9,AP$5:AP$10)</f>
        <v>6.1315102339601062E-3</v>
      </c>
      <c r="AR32" s="29">
        <f t="shared" si="9"/>
        <v>0.96742551536032451</v>
      </c>
      <c r="AS32" s="131">
        <f t="shared" si="10"/>
        <v>1.4840820294280688E-3</v>
      </c>
      <c r="AT32" s="125"/>
      <c r="AU32" s="21" cm="1">
        <f t="array" ref="AU32">Interpolate($AG32,$S$4:$S$9,AT$5:AT$10)</f>
        <v>6.1315102339601062E-3</v>
      </c>
      <c r="AV32" s="29">
        <f t="shared" si="11"/>
        <v>0.96742551536032462</v>
      </c>
      <c r="AW32" s="131">
        <f t="shared" si="12"/>
        <v>1.4840820294280688E-3</v>
      </c>
      <c r="AX32" s="125"/>
      <c r="AY32" s="21" cm="1">
        <f t="array" ref="AY32">Interpolate($AG32,$S$4:$S$9,AX$5:AX$10)</f>
        <v>6.1315102339601062E-3</v>
      </c>
      <c r="AZ32" s="29">
        <f t="shared" si="13"/>
        <v>0.96742551536032462</v>
      </c>
      <c r="BA32" s="131">
        <f t="shared" si="14"/>
        <v>1.4840820294280688E-3</v>
      </c>
      <c r="BB32" s="125"/>
      <c r="BC32" s="21" cm="1">
        <f t="array" ref="BC32">Interpolate($AG32,$S$4:$S$9,BB$5:BB$10)</f>
        <v>6.1316102339601065E-3</v>
      </c>
      <c r="BD32" s="29">
        <f t="shared" si="15"/>
        <v>0.96742541861777753</v>
      </c>
      <c r="BE32" s="131">
        <f t="shared" si="16"/>
        <v>1.4841061037577097E-3</v>
      </c>
    </row>
    <row r="33" spans="3:57" x14ac:dyDescent="0.3">
      <c r="S33" s="20">
        <f>S8</f>
        <v>5</v>
      </c>
      <c r="T33" s="21" cm="1">
        <f t="array" ref="T33">Interpolate(S33,Calibration.Times,Calibration.HazardRates)</f>
        <v>9.3893342974379363E-3</v>
      </c>
      <c r="X33" s="27">
        <f t="shared" si="17"/>
        <v>7.25</v>
      </c>
      <c r="Y33" s="28" cm="1">
        <f t="array" ref="Y33">Interpolate(X33,$S$4:$S$9,$T$4:$T$9)</f>
        <v>6.1315102339601062E-3</v>
      </c>
      <c r="Z33" s="29">
        <f t="shared" si="2"/>
        <v>0.96594380309861649</v>
      </c>
      <c r="AA33" s="29">
        <f t="shared" si="3"/>
        <v>1.4818090042644227E-3</v>
      </c>
      <c r="AB33" s="30">
        <f t="shared" si="4"/>
        <v>0.80319810077317799</v>
      </c>
      <c r="AG33" s="27">
        <f t="shared" si="18"/>
        <v>7.25</v>
      </c>
      <c r="AI33" s="21" cm="1">
        <f t="array" ref="AI33">Interpolate($AG33,$S$4:$S$9,AH$5:AH$10)</f>
        <v>6.1315102339601062E-3</v>
      </c>
      <c r="AJ33" s="29">
        <f t="shared" si="5"/>
        <v>0.965943706504241</v>
      </c>
      <c r="AK33" s="131">
        <f t="shared" si="6"/>
        <v>1.4818088560835108E-3</v>
      </c>
      <c r="AL33" s="125"/>
      <c r="AM33" s="21" cm="1">
        <f t="array" ref="AM33">Interpolate($AG33,$S$4:$S$9,AL$5:AL$10)</f>
        <v>6.1315102339601062E-3</v>
      </c>
      <c r="AN33" s="29">
        <f t="shared" si="7"/>
        <v>0.96594370650424111</v>
      </c>
      <c r="AO33" s="131">
        <f t="shared" si="8"/>
        <v>1.4818088560835108E-3</v>
      </c>
      <c r="AP33" s="125"/>
      <c r="AQ33" s="21" cm="1">
        <f t="array" ref="AQ33">Interpolate($AG33,$S$4:$S$9,AP$5:AP$10)</f>
        <v>6.1315102339601062E-3</v>
      </c>
      <c r="AR33" s="29">
        <f t="shared" si="9"/>
        <v>0.965943706504241</v>
      </c>
      <c r="AS33" s="131">
        <f t="shared" si="10"/>
        <v>1.4818088560835108E-3</v>
      </c>
      <c r="AT33" s="125"/>
      <c r="AU33" s="21" cm="1">
        <f t="array" ref="AU33">Interpolate($AG33,$S$4:$S$9,AT$5:AT$10)</f>
        <v>6.1315102339601062E-3</v>
      </c>
      <c r="AV33" s="29">
        <f t="shared" si="11"/>
        <v>0.96594370650424111</v>
      </c>
      <c r="AW33" s="131">
        <f t="shared" si="12"/>
        <v>1.4818088560835108E-3</v>
      </c>
      <c r="AX33" s="125"/>
      <c r="AY33" s="21" cm="1">
        <f t="array" ref="AY33">Interpolate($AG33,$S$4:$S$9,AX$5:AX$10)</f>
        <v>6.1315102339601062E-3</v>
      </c>
      <c r="AZ33" s="29">
        <f t="shared" si="13"/>
        <v>0.96594370650424111</v>
      </c>
      <c r="BA33" s="131">
        <f t="shared" si="14"/>
        <v>1.4818088560835108E-3</v>
      </c>
      <c r="BB33" s="125"/>
      <c r="BC33" s="21" cm="1">
        <f t="array" ref="BC33">Interpolate($AG33,$S$4:$S$9,BB$5:BB$10)</f>
        <v>6.1316102339601065E-3</v>
      </c>
      <c r="BD33" s="29">
        <f t="shared" si="15"/>
        <v>0.96594358576128492</v>
      </c>
      <c r="BE33" s="131">
        <f t="shared" si="16"/>
        <v>1.4818328564926153E-3</v>
      </c>
    </row>
    <row r="34" spans="3:57" x14ac:dyDescent="0.3">
      <c r="S34" s="20">
        <f>S33+0.01</f>
        <v>5.01</v>
      </c>
      <c r="T34" s="21" cm="1">
        <f t="array" ref="T34">Interpolate(S34,Calibration.Times,Calibration.HazardRates)</f>
        <v>6.1315102339601062E-3</v>
      </c>
      <c r="X34" s="27">
        <f t="shared" si="17"/>
        <v>7.5</v>
      </c>
      <c r="Y34" s="28" cm="1">
        <f t="array" ref="Y34">Interpolate(X34,$S$4:$S$9,$T$4:$T$9)</f>
        <v>6.1315102339601062E-3</v>
      </c>
      <c r="Z34" s="29">
        <f t="shared" si="2"/>
        <v>0.96446426378609651</v>
      </c>
      <c r="AA34" s="29">
        <f t="shared" si="3"/>
        <v>1.4795393125199841E-3</v>
      </c>
      <c r="AB34" s="30">
        <f t="shared" si="4"/>
        <v>0.79715118508951632</v>
      </c>
      <c r="AG34" s="27">
        <f t="shared" si="18"/>
        <v>7.5</v>
      </c>
      <c r="AI34" s="21" cm="1">
        <f t="array" ref="AI34">Interpolate($AG34,$S$4:$S$9,AH$5:AH$10)</f>
        <v>6.1315102339601062E-3</v>
      </c>
      <c r="AJ34" s="29">
        <f t="shared" si="5"/>
        <v>0.96446416733967488</v>
      </c>
      <c r="AK34" s="131">
        <f t="shared" si="6"/>
        <v>1.4795391645661127E-3</v>
      </c>
      <c r="AL34" s="125"/>
      <c r="AM34" s="21" cm="1">
        <f t="array" ref="AM34">Interpolate($AG34,$S$4:$S$9,AL$5:AL$10)</f>
        <v>6.1315102339601062E-3</v>
      </c>
      <c r="AN34" s="29">
        <f t="shared" si="7"/>
        <v>0.96446416733967499</v>
      </c>
      <c r="AO34" s="131">
        <f t="shared" si="8"/>
        <v>1.4795391645661127E-3</v>
      </c>
      <c r="AP34" s="125"/>
      <c r="AQ34" s="21" cm="1">
        <f t="array" ref="AQ34">Interpolate($AG34,$S$4:$S$9,AP$5:AP$10)</f>
        <v>6.1315102339601062E-3</v>
      </c>
      <c r="AR34" s="29">
        <f t="shared" si="9"/>
        <v>0.96446416733967488</v>
      </c>
      <c r="AS34" s="131">
        <f t="shared" si="10"/>
        <v>1.4795391645661127E-3</v>
      </c>
      <c r="AT34" s="125"/>
      <c r="AU34" s="21" cm="1">
        <f t="array" ref="AU34">Interpolate($AG34,$S$4:$S$9,AT$5:AT$10)</f>
        <v>6.1315102339601062E-3</v>
      </c>
      <c r="AV34" s="29">
        <f t="shared" si="11"/>
        <v>0.96446416733967499</v>
      </c>
      <c r="AW34" s="131">
        <f t="shared" si="12"/>
        <v>1.4795391645661127E-3</v>
      </c>
      <c r="AX34" s="125"/>
      <c r="AY34" s="21" cm="1">
        <f t="array" ref="AY34">Interpolate($AG34,$S$4:$S$9,AX$5:AX$10)</f>
        <v>6.1315102339601062E-3</v>
      </c>
      <c r="AZ34" s="29">
        <f t="shared" si="13"/>
        <v>0.96446416733967499</v>
      </c>
      <c r="BA34" s="131">
        <f t="shared" si="14"/>
        <v>1.4795391645661127E-3</v>
      </c>
      <c r="BB34" s="125"/>
      <c r="BC34" s="21" cm="1">
        <f t="array" ref="BC34">Interpolate($AG34,$S$4:$S$9,BB$5:BB$10)</f>
        <v>6.1316102339601065E-3</v>
      </c>
      <c r="BD34" s="29">
        <f t="shared" si="15"/>
        <v>0.96446402267006026</v>
      </c>
      <c r="BE34" s="131">
        <f t="shared" si="16"/>
        <v>1.479563091224656E-3</v>
      </c>
    </row>
    <row r="35" spans="3:57" x14ac:dyDescent="0.3">
      <c r="S35" s="20">
        <f>S9</f>
        <v>10</v>
      </c>
      <c r="T35" s="21" cm="1">
        <f t="array" ref="T35">Interpolate(S35,Calibration.Times,Calibration.HazardRates)</f>
        <v>6.1315102339601062E-3</v>
      </c>
      <c r="X35" s="27">
        <f t="shared" si="17"/>
        <v>7.75</v>
      </c>
      <c r="Y35" s="28" cm="1">
        <f t="array" ref="Y35">Interpolate(X35,$S$4:$S$9,$T$4:$T$9)</f>
        <v>6.1315102339601062E-3</v>
      </c>
      <c r="Z35" s="29">
        <f t="shared" si="2"/>
        <v>0.96298699068882654</v>
      </c>
      <c r="AA35" s="29">
        <f t="shared" si="3"/>
        <v>1.477273097269971E-3</v>
      </c>
      <c r="AB35" s="30">
        <f t="shared" si="4"/>
        <v>0.79114979390255114</v>
      </c>
      <c r="AG35" s="27">
        <f t="shared" si="18"/>
        <v>7.75</v>
      </c>
      <c r="AI35" s="21" cm="1">
        <f t="array" ref="AI35">Interpolate($AG35,$S$4:$S$9,AH$5:AH$10)</f>
        <v>6.1315102339601062E-3</v>
      </c>
      <c r="AJ35" s="29">
        <f t="shared" si="5"/>
        <v>0.96298689439013219</v>
      </c>
      <c r="AK35" s="131">
        <f t="shared" si="6"/>
        <v>1.4772729495426962E-3</v>
      </c>
      <c r="AL35" s="125"/>
      <c r="AM35" s="21" cm="1">
        <f t="array" ref="AM35">Interpolate($AG35,$S$4:$S$9,AL$5:AL$10)</f>
        <v>6.1315102339601062E-3</v>
      </c>
      <c r="AN35" s="29">
        <f t="shared" si="7"/>
        <v>0.9629868943901323</v>
      </c>
      <c r="AO35" s="131">
        <f t="shared" si="8"/>
        <v>1.4772729495426962E-3</v>
      </c>
      <c r="AP35" s="125"/>
      <c r="AQ35" s="21" cm="1">
        <f t="array" ref="AQ35">Interpolate($AG35,$S$4:$S$9,AP$5:AP$10)</f>
        <v>6.1315102339601062E-3</v>
      </c>
      <c r="AR35" s="29">
        <f t="shared" si="9"/>
        <v>0.96298689439013219</v>
      </c>
      <c r="AS35" s="131">
        <f t="shared" si="10"/>
        <v>1.4772729495426962E-3</v>
      </c>
      <c r="AT35" s="125"/>
      <c r="AU35" s="21" cm="1">
        <f t="array" ref="AU35">Interpolate($AG35,$S$4:$S$9,AT$5:AT$10)</f>
        <v>6.1315102339601062E-3</v>
      </c>
      <c r="AV35" s="29">
        <f t="shared" si="11"/>
        <v>0.9629868943901323</v>
      </c>
      <c r="AW35" s="131">
        <f t="shared" si="12"/>
        <v>1.4772729495426962E-3</v>
      </c>
      <c r="AX35" s="125"/>
      <c r="AY35" s="21" cm="1">
        <f t="array" ref="AY35">Interpolate($AG35,$S$4:$S$9,AX$5:AX$10)</f>
        <v>6.1315102339601062E-3</v>
      </c>
      <c r="AZ35" s="29">
        <f t="shared" si="13"/>
        <v>0.9629868943901323</v>
      </c>
      <c r="BA35" s="131">
        <f t="shared" si="14"/>
        <v>1.4772729495426962E-3</v>
      </c>
      <c r="BB35" s="125"/>
      <c r="BC35" s="21" cm="1">
        <f t="array" ref="BC35">Interpolate($AG35,$S$4:$S$9,BB$5:BB$10)</f>
        <v>6.1316102339601065E-3</v>
      </c>
      <c r="BD35" s="29">
        <f t="shared" si="15"/>
        <v>0.96298672586744005</v>
      </c>
      <c r="BE35" s="131">
        <f t="shared" si="16"/>
        <v>1.4772968026202093E-3</v>
      </c>
    </row>
    <row r="36" spans="3:57" x14ac:dyDescent="0.3">
      <c r="O36" s="58" t="s">
        <v>154</v>
      </c>
      <c r="T36" s="4"/>
      <c r="X36" s="27">
        <f t="shared" si="17"/>
        <v>8</v>
      </c>
      <c r="Y36" s="28" cm="1">
        <f t="array" ref="Y36">Interpolate(X36,$S$4:$S$9,$T$4:$T$9)</f>
        <v>6.1315102339601062E-3</v>
      </c>
      <c r="Z36" s="29">
        <f t="shared" si="2"/>
        <v>0.96151198033563723</v>
      </c>
      <c r="AA36" s="29">
        <f t="shared" si="3"/>
        <v>1.47501035318931E-3</v>
      </c>
      <c r="AB36" s="30">
        <f t="shared" si="4"/>
        <v>0.78519358447891097</v>
      </c>
      <c r="AG36" s="27">
        <f t="shared" si="18"/>
        <v>8</v>
      </c>
      <c r="AI36" s="21" cm="1">
        <f t="array" ref="AI36">Interpolate($AG36,$S$4:$S$9,AH$5:AH$10)</f>
        <v>6.1315102339601062E-3</v>
      </c>
      <c r="AJ36" s="29">
        <f t="shared" si="5"/>
        <v>0.961511884184444</v>
      </c>
      <c r="AK36" s="131">
        <f t="shared" si="6"/>
        <v>1.4750102056881875E-3</v>
      </c>
      <c r="AL36" s="125"/>
      <c r="AM36" s="21" cm="1">
        <f t="array" ref="AM36">Interpolate($AG36,$S$4:$S$9,AL$5:AL$10)</f>
        <v>6.1315102339601062E-3</v>
      </c>
      <c r="AN36" s="29">
        <f t="shared" si="7"/>
        <v>0.96151188418444411</v>
      </c>
      <c r="AO36" s="131">
        <f t="shared" si="8"/>
        <v>1.4750102056881875E-3</v>
      </c>
      <c r="AP36" s="125"/>
      <c r="AQ36" s="21" cm="1">
        <f t="array" ref="AQ36">Interpolate($AG36,$S$4:$S$9,AP$5:AP$10)</f>
        <v>6.1315102339601062E-3</v>
      </c>
      <c r="AR36" s="29">
        <f t="shared" si="9"/>
        <v>0.961511884184444</v>
      </c>
      <c r="AS36" s="131">
        <f t="shared" si="10"/>
        <v>1.4750102056881875E-3</v>
      </c>
      <c r="AT36" s="125"/>
      <c r="AU36" s="21" cm="1">
        <f t="array" ref="AU36">Interpolate($AG36,$S$4:$S$9,AT$5:AT$10)</f>
        <v>6.1315102339601062E-3</v>
      </c>
      <c r="AV36" s="29">
        <f t="shared" si="11"/>
        <v>0.96151188418444411</v>
      </c>
      <c r="AW36" s="131">
        <f t="shared" si="12"/>
        <v>1.4750102056881875E-3</v>
      </c>
      <c r="AX36" s="125"/>
      <c r="AY36" s="21" cm="1">
        <f t="array" ref="AY36">Interpolate($AG36,$S$4:$S$9,AX$5:AX$10)</f>
        <v>6.1315102339601062E-3</v>
      </c>
      <c r="AZ36" s="29">
        <f t="shared" si="13"/>
        <v>0.96151188418444411</v>
      </c>
      <c r="BA36" s="131">
        <f t="shared" si="14"/>
        <v>1.4750102056881875E-3</v>
      </c>
      <c r="BB36" s="125"/>
      <c r="BC36" s="21" cm="1">
        <f t="array" ref="BC36">Interpolate($AG36,$S$4:$S$9,BB$5:BB$10)</f>
        <v>6.1316102339601065E-3</v>
      </c>
      <c r="BD36" s="29">
        <f t="shared" si="15"/>
        <v>0.96151169188208596</v>
      </c>
      <c r="BE36" s="131">
        <f t="shared" si="16"/>
        <v>1.4750339853540906E-3</v>
      </c>
    </row>
    <row r="37" spans="3:57" x14ac:dyDescent="0.3">
      <c r="O37" s="49" t="b">
        <v>0</v>
      </c>
      <c r="X37" s="27">
        <f t="shared" si="17"/>
        <v>8.25</v>
      </c>
      <c r="Y37" s="28" cm="1">
        <f t="array" ref="Y37">Interpolate(X37,$S$4:$S$9,$T$4:$T$9)</f>
        <v>6.1315102339601062E-3</v>
      </c>
      <c r="Z37" s="29">
        <f t="shared" si="2"/>
        <v>0.96003922926067609</v>
      </c>
      <c r="AA37" s="29">
        <f t="shared" si="3"/>
        <v>1.4727510749611428E-3</v>
      </c>
      <c r="AB37" s="30">
        <f t="shared" si="4"/>
        <v>0.77928221666550901</v>
      </c>
      <c r="AG37" s="27">
        <f t="shared" si="18"/>
        <v>8.25</v>
      </c>
      <c r="AI37" s="21" cm="1">
        <f t="array" ref="AI37">Interpolate($AG37,$S$4:$S$9,AH$5:AH$10)</f>
        <v>6.1315102339601062E-3</v>
      </c>
      <c r="AJ37" s="29">
        <f t="shared" si="5"/>
        <v>0.96003913325675794</v>
      </c>
      <c r="AK37" s="131">
        <f t="shared" si="6"/>
        <v>1.4727509276860618E-3</v>
      </c>
      <c r="AL37" s="125"/>
      <c r="AM37" s="21" cm="1">
        <f t="array" ref="AM37">Interpolate($AG37,$S$4:$S$9,AL$5:AL$10)</f>
        <v>6.1315102339601062E-3</v>
      </c>
      <c r="AN37" s="29">
        <f t="shared" si="7"/>
        <v>0.96003913325675805</v>
      </c>
      <c r="AO37" s="131">
        <f t="shared" si="8"/>
        <v>1.4727509276860618E-3</v>
      </c>
      <c r="AP37" s="125"/>
      <c r="AQ37" s="21" cm="1">
        <f t="array" ref="AQ37">Interpolate($AG37,$S$4:$S$9,AP$5:AP$10)</f>
        <v>6.1315102339601062E-3</v>
      </c>
      <c r="AR37" s="29">
        <f t="shared" si="9"/>
        <v>0.96003913325675794</v>
      </c>
      <c r="AS37" s="131">
        <f t="shared" si="10"/>
        <v>1.4727509276860618E-3</v>
      </c>
      <c r="AT37" s="125"/>
      <c r="AU37" s="21" cm="1">
        <f t="array" ref="AU37">Interpolate($AG37,$S$4:$S$9,AT$5:AT$10)</f>
        <v>6.1315102339601062E-3</v>
      </c>
      <c r="AV37" s="29">
        <f t="shared" si="11"/>
        <v>0.96003913325675805</v>
      </c>
      <c r="AW37" s="131">
        <f t="shared" si="12"/>
        <v>1.4727509276860618E-3</v>
      </c>
      <c r="AX37" s="125"/>
      <c r="AY37" s="21" cm="1">
        <f t="array" ref="AY37">Interpolate($AG37,$S$4:$S$9,AX$5:AX$10)</f>
        <v>6.1315102339601062E-3</v>
      </c>
      <c r="AZ37" s="29">
        <f t="shared" si="13"/>
        <v>0.96003913325675805</v>
      </c>
      <c r="BA37" s="131">
        <f t="shared" si="14"/>
        <v>1.4727509276860618E-3</v>
      </c>
      <c r="BB37" s="125"/>
      <c r="BC37" s="21" cm="1">
        <f t="array" ref="BC37">Interpolate($AG37,$S$4:$S$9,BB$5:BB$10)</f>
        <v>6.1316102339601065E-3</v>
      </c>
      <c r="BD37" s="29">
        <f t="shared" si="15"/>
        <v>0.96003891724797685</v>
      </c>
      <c r="BE37" s="131">
        <f t="shared" si="16"/>
        <v>1.4727746341091086E-3</v>
      </c>
    </row>
    <row r="38" spans="3:57" x14ac:dyDescent="0.3">
      <c r="X38" s="27">
        <f t="shared" si="17"/>
        <v>8.5</v>
      </c>
      <c r="Y38" s="28" cm="1">
        <f t="array" ref="Y38">Interpolate(X38,$S$4:$S$9,$T$4:$T$9)</f>
        <v>6.1315102339601062E-3</v>
      </c>
      <c r="Z38" s="29">
        <f t="shared" si="2"/>
        <v>0.95856873400339915</v>
      </c>
      <c r="AA38" s="29">
        <f t="shared" si="3"/>
        <v>1.4704952572769381E-3</v>
      </c>
      <c r="AB38" s="30">
        <f t="shared" si="4"/>
        <v>0.77341535287011753</v>
      </c>
      <c r="AG38" s="27">
        <f t="shared" si="18"/>
        <v>8.5</v>
      </c>
      <c r="AI38" s="21" cm="1">
        <f t="array" ref="AI38">Interpolate($AG38,$S$4:$S$9,AH$5:AH$10)</f>
        <v>6.1315102339601062E-3</v>
      </c>
      <c r="AJ38" s="29">
        <f t="shared" si="5"/>
        <v>0.95856863814653048</v>
      </c>
      <c r="AK38" s="131">
        <f t="shared" si="6"/>
        <v>1.4704951102274544E-3</v>
      </c>
      <c r="AL38" s="125"/>
      <c r="AM38" s="21" cm="1">
        <f t="array" ref="AM38">Interpolate($AG38,$S$4:$S$9,AL$5:AL$10)</f>
        <v>6.1315102339601062E-3</v>
      </c>
      <c r="AN38" s="29">
        <f t="shared" si="7"/>
        <v>0.95856863814653059</v>
      </c>
      <c r="AO38" s="131">
        <f t="shared" si="8"/>
        <v>1.4704951102274544E-3</v>
      </c>
      <c r="AP38" s="125"/>
      <c r="AQ38" s="21" cm="1">
        <f t="array" ref="AQ38">Interpolate($AG38,$S$4:$S$9,AP$5:AP$10)</f>
        <v>6.1315102339601062E-3</v>
      </c>
      <c r="AR38" s="29">
        <f t="shared" si="9"/>
        <v>0.95856863814653048</v>
      </c>
      <c r="AS38" s="131">
        <f t="shared" si="10"/>
        <v>1.4704951102274544E-3</v>
      </c>
      <c r="AT38" s="125"/>
      <c r="AU38" s="21" cm="1">
        <f t="array" ref="AU38">Interpolate($AG38,$S$4:$S$9,AT$5:AT$10)</f>
        <v>6.1315102339601062E-3</v>
      </c>
      <c r="AV38" s="29">
        <f t="shared" si="11"/>
        <v>0.95856863814653059</v>
      </c>
      <c r="AW38" s="131">
        <f t="shared" si="12"/>
        <v>1.4704951102274544E-3</v>
      </c>
      <c r="AX38" s="125"/>
      <c r="AY38" s="21" cm="1">
        <f t="array" ref="AY38">Interpolate($AG38,$S$4:$S$9,AX$5:AX$10)</f>
        <v>6.1315102339601062E-3</v>
      </c>
      <c r="AZ38" s="29">
        <f t="shared" si="13"/>
        <v>0.95856863814653059</v>
      </c>
      <c r="BA38" s="131">
        <f t="shared" si="14"/>
        <v>1.4704951102274544E-3</v>
      </c>
      <c r="BB38" s="125"/>
      <c r="BC38" s="21" cm="1">
        <f t="array" ref="BC38">Interpolate($AG38,$S$4:$S$9,BB$5:BB$10)</f>
        <v>6.1316102339601065E-3</v>
      </c>
      <c r="BD38" s="29">
        <f t="shared" si="15"/>
        <v>0.95856839850440045</v>
      </c>
      <c r="BE38" s="131">
        <f t="shared" si="16"/>
        <v>1.4705187435763989E-3</v>
      </c>
    </row>
    <row r="39" spans="3:57" x14ac:dyDescent="0.3">
      <c r="U39" s="4"/>
      <c r="V39" s="4"/>
      <c r="W39" s="4"/>
      <c r="X39" s="27">
        <f t="shared" si="17"/>
        <v>8.75</v>
      </c>
      <c r="Y39" s="28" cm="1">
        <f t="array" ref="Y39">Interpolate(X39,$S$4:$S$9,$T$4:$T$9)</f>
        <v>6.1315102339601062E-3</v>
      </c>
      <c r="Z39" s="29">
        <f t="shared" si="2"/>
        <v>0.95710049110856299</v>
      </c>
      <c r="AA39" s="29">
        <f t="shared" si="3"/>
        <v>1.4682428948361581E-3</v>
      </c>
      <c r="AB39" s="30">
        <f t="shared" si="4"/>
        <v>0.76759265804208809</v>
      </c>
      <c r="AG39" s="27">
        <f t="shared" si="18"/>
        <v>8.75</v>
      </c>
      <c r="AI39" s="21" cm="1">
        <f t="array" ref="AI39">Interpolate($AG39,$S$4:$S$9,AH$5:AH$10)</f>
        <v>6.1315102339601062E-3</v>
      </c>
      <c r="AJ39" s="29">
        <f t="shared" si="5"/>
        <v>0.95710039539851854</v>
      </c>
      <c r="AK39" s="131">
        <f t="shared" si="6"/>
        <v>1.4682427480119387E-3</v>
      </c>
      <c r="AL39" s="125"/>
      <c r="AM39" s="21" cm="1">
        <f t="array" ref="AM39">Interpolate($AG39,$S$4:$S$9,AL$5:AL$10)</f>
        <v>6.1315102339601062E-3</v>
      </c>
      <c r="AN39" s="29">
        <f t="shared" si="7"/>
        <v>0.95710039539851866</v>
      </c>
      <c r="AO39" s="131">
        <f t="shared" si="8"/>
        <v>1.4682427480119387E-3</v>
      </c>
      <c r="AP39" s="125"/>
      <c r="AQ39" s="21" cm="1">
        <f t="array" ref="AQ39">Interpolate($AG39,$S$4:$S$9,AP$5:AP$10)</f>
        <v>6.1315102339601062E-3</v>
      </c>
      <c r="AR39" s="29">
        <f t="shared" si="9"/>
        <v>0.95710039539851854</v>
      </c>
      <c r="AS39" s="131">
        <f t="shared" si="10"/>
        <v>1.4682427480119387E-3</v>
      </c>
      <c r="AT39" s="125"/>
      <c r="AU39" s="21" cm="1">
        <f t="array" ref="AU39">Interpolate($AG39,$S$4:$S$9,AT$5:AT$10)</f>
        <v>6.1315102339601062E-3</v>
      </c>
      <c r="AV39" s="29">
        <f t="shared" si="11"/>
        <v>0.95710039539851866</v>
      </c>
      <c r="AW39" s="131">
        <f t="shared" si="12"/>
        <v>1.4682427480119387E-3</v>
      </c>
      <c r="AX39" s="125"/>
      <c r="AY39" s="21" cm="1">
        <f t="array" ref="AY39">Interpolate($AG39,$S$4:$S$9,AX$5:AX$10)</f>
        <v>6.1315102339601062E-3</v>
      </c>
      <c r="AZ39" s="29">
        <f t="shared" si="13"/>
        <v>0.95710039539851866</v>
      </c>
      <c r="BA39" s="131">
        <f t="shared" si="14"/>
        <v>1.4682427480119387E-3</v>
      </c>
      <c r="BB39" s="125"/>
      <c r="BC39" s="21" cm="1">
        <f t="array" ref="BC39">Interpolate($AG39,$S$4:$S$9,BB$5:BB$10)</f>
        <v>6.1316102339601065E-3</v>
      </c>
      <c r="BD39" s="29">
        <f t="shared" si="15"/>
        <v>0.95710013219594559</v>
      </c>
      <c r="BE39" s="131">
        <f t="shared" si="16"/>
        <v>1.4682663084548686E-3</v>
      </c>
    </row>
    <row r="40" spans="3:57" x14ac:dyDescent="0.3">
      <c r="K40" s="47" t="s">
        <v>45</v>
      </c>
      <c r="L40" s="4"/>
      <c r="M40" s="4"/>
      <c r="N40" s="4"/>
      <c r="O40" s="4"/>
      <c r="P40" s="48"/>
      <c r="Q40" s="4"/>
      <c r="R40" s="4"/>
      <c r="X40" s="27">
        <f t="shared" si="17"/>
        <v>9</v>
      </c>
      <c r="Y40" s="28" cm="1">
        <f t="array" ref="Y40">Interpolate(X40,$S$4:$S$9,$T$4:$T$9)</f>
        <v>6.1315102339601062E-3</v>
      </c>
      <c r="Z40" s="29">
        <f t="shared" si="2"/>
        <v>0.95563449712621662</v>
      </c>
      <c r="AA40" s="29">
        <f t="shared" si="3"/>
        <v>1.4659939823463697E-3</v>
      </c>
      <c r="AB40" s="30">
        <f t="shared" si="4"/>
        <v>0.76181379965321716</v>
      </c>
      <c r="AG40" s="27">
        <f t="shared" si="18"/>
        <v>9</v>
      </c>
      <c r="AI40" s="21" cm="1">
        <f t="array" ref="AI40">Interpolate($AG40,$S$4:$S$9,AH$5:AH$10)</f>
        <v>6.1315102339601062E-3</v>
      </c>
      <c r="AJ40" s="29">
        <f t="shared" si="5"/>
        <v>0.95563440156277157</v>
      </c>
      <c r="AK40" s="131">
        <f t="shared" si="6"/>
        <v>1.4659938357469704E-3</v>
      </c>
      <c r="AL40" s="125"/>
      <c r="AM40" s="21" cm="1">
        <f t="array" ref="AM40">Interpolate($AG40,$S$4:$S$9,AL$5:AL$10)</f>
        <v>6.1315102339601062E-3</v>
      </c>
      <c r="AN40" s="29">
        <f t="shared" si="7"/>
        <v>0.95563440156277168</v>
      </c>
      <c r="AO40" s="131">
        <f t="shared" si="8"/>
        <v>1.4659938357469704E-3</v>
      </c>
      <c r="AP40" s="125"/>
      <c r="AQ40" s="21" cm="1">
        <f t="array" ref="AQ40">Interpolate($AG40,$S$4:$S$9,AP$5:AP$10)</f>
        <v>6.1315102339601062E-3</v>
      </c>
      <c r="AR40" s="29">
        <f t="shared" si="9"/>
        <v>0.95563440156277157</v>
      </c>
      <c r="AS40" s="131">
        <f t="shared" si="10"/>
        <v>1.4659938357469704E-3</v>
      </c>
      <c r="AT40" s="125"/>
      <c r="AU40" s="21" cm="1">
        <f t="array" ref="AU40">Interpolate($AG40,$S$4:$S$9,AT$5:AT$10)</f>
        <v>6.1315102339601062E-3</v>
      </c>
      <c r="AV40" s="29">
        <f t="shared" si="11"/>
        <v>0.95563440156277168</v>
      </c>
      <c r="AW40" s="131">
        <f t="shared" si="12"/>
        <v>1.4659938357469704E-3</v>
      </c>
      <c r="AX40" s="125"/>
      <c r="AY40" s="21" cm="1">
        <f t="array" ref="AY40">Interpolate($AG40,$S$4:$S$9,AX$5:AX$10)</f>
        <v>6.1315102339601062E-3</v>
      </c>
      <c r="AZ40" s="29">
        <f t="shared" si="13"/>
        <v>0.95563440156277168</v>
      </c>
      <c r="BA40" s="131">
        <f t="shared" si="14"/>
        <v>1.4659938357469704E-3</v>
      </c>
      <c r="BB40" s="125"/>
      <c r="BC40" s="21" cm="1">
        <f t="array" ref="BC40">Interpolate($AG40,$S$4:$S$9,BB$5:BB$10)</f>
        <v>6.1316102339601065E-3</v>
      </c>
      <c r="BD40" s="29">
        <f t="shared" si="15"/>
        <v>0.95563411487249361</v>
      </c>
      <c r="BE40" s="131">
        <f t="shared" si="16"/>
        <v>1.4660173234519736E-3</v>
      </c>
    </row>
    <row r="41" spans="3:57" ht="15.6" x14ac:dyDescent="0.3">
      <c r="C41" s="57"/>
      <c r="D41" s="57"/>
      <c r="E41" s="57"/>
      <c r="F41" s="57"/>
      <c r="G41" s="57"/>
      <c r="H41" s="57"/>
      <c r="J41" s="57" t="s">
        <v>33</v>
      </c>
      <c r="K41" s="4" t="s">
        <v>34</v>
      </c>
      <c r="L41" s="4" t="s">
        <v>35</v>
      </c>
      <c r="M41" s="4" t="s">
        <v>36</v>
      </c>
      <c r="N41" s="4" t="s">
        <v>37</v>
      </c>
      <c r="O41" s="4" t="s">
        <v>38</v>
      </c>
      <c r="P41" s="4" t="s">
        <v>39</v>
      </c>
      <c r="Q41" s="4" t="s">
        <v>40</v>
      </c>
      <c r="R41" s="4" t="s">
        <v>41</v>
      </c>
      <c r="S41" s="4" t="s">
        <v>42</v>
      </c>
      <c r="T41" s="4" t="s">
        <v>43</v>
      </c>
      <c r="U41" s="4" t="s">
        <v>44</v>
      </c>
      <c r="V41" s="4"/>
      <c r="W41" s="4"/>
      <c r="X41" s="27">
        <f t="shared" si="17"/>
        <v>9.25</v>
      </c>
      <c r="Y41" s="28" cm="1">
        <f t="array" ref="Y41">Interpolate(X41,$S$4:$S$9,$T$4:$T$9)</f>
        <v>6.1315102339601062E-3</v>
      </c>
      <c r="Z41" s="29">
        <f t="shared" si="2"/>
        <v>0.95417074861169338</v>
      </c>
      <c r="AA41" s="29">
        <f t="shared" si="3"/>
        <v>1.4637485145232443E-3</v>
      </c>
      <c r="AB41" s="30">
        <f t="shared" si="4"/>
        <v>0.75607844767875587</v>
      </c>
      <c r="AG41" s="27">
        <f t="shared" si="18"/>
        <v>9.25</v>
      </c>
      <c r="AI41" s="21" cm="1">
        <f t="array" ref="AI41">Interpolate($AG41,$S$4:$S$9,AH$5:AH$10)</f>
        <v>6.1315102339601062E-3</v>
      </c>
      <c r="AJ41" s="29">
        <f t="shared" si="5"/>
        <v>0.95417065319462313</v>
      </c>
      <c r="AK41" s="131">
        <f t="shared" si="6"/>
        <v>1.4637483681484431E-3</v>
      </c>
      <c r="AL41" s="125"/>
      <c r="AM41" s="21" cm="1">
        <f t="array" ref="AM41">Interpolate($AG41,$S$4:$S$9,AL$5:AL$10)</f>
        <v>6.1315102339601062E-3</v>
      </c>
      <c r="AN41" s="29">
        <f t="shared" si="7"/>
        <v>0.95417065319462324</v>
      </c>
      <c r="AO41" s="131">
        <f t="shared" si="8"/>
        <v>1.4637483681484431E-3</v>
      </c>
      <c r="AP41" s="125"/>
      <c r="AQ41" s="21" cm="1">
        <f t="array" ref="AQ41">Interpolate($AG41,$S$4:$S$9,AP$5:AP$10)</f>
        <v>6.1315102339601062E-3</v>
      </c>
      <c r="AR41" s="29">
        <f t="shared" si="9"/>
        <v>0.95417065319462313</v>
      </c>
      <c r="AS41" s="131">
        <f t="shared" si="10"/>
        <v>1.4637483681484431E-3</v>
      </c>
      <c r="AT41" s="125"/>
      <c r="AU41" s="21" cm="1">
        <f t="array" ref="AU41">Interpolate($AG41,$S$4:$S$9,AT$5:AT$10)</f>
        <v>6.1315102339601062E-3</v>
      </c>
      <c r="AV41" s="29">
        <f t="shared" si="11"/>
        <v>0.95417065319462324</v>
      </c>
      <c r="AW41" s="131">
        <f t="shared" si="12"/>
        <v>1.4637483681484431E-3</v>
      </c>
      <c r="AX41" s="125"/>
      <c r="AY41" s="21" cm="1">
        <f t="array" ref="AY41">Interpolate($AG41,$S$4:$S$9,AX$5:AX$10)</f>
        <v>6.1315102339601062E-3</v>
      </c>
      <c r="AZ41" s="29">
        <f t="shared" si="13"/>
        <v>0.95417065319462324</v>
      </c>
      <c r="BA41" s="131">
        <f t="shared" si="14"/>
        <v>1.4637483681484431E-3</v>
      </c>
      <c r="BB41" s="125"/>
      <c r="BC41" s="21" cm="1">
        <f t="array" ref="BC41">Interpolate($AG41,$S$4:$S$9,BB$5:BB$10)</f>
        <v>6.1316102339601065E-3</v>
      </c>
      <c r="BD41" s="29">
        <f t="shared" si="15"/>
        <v>0.95417034308921078</v>
      </c>
      <c r="BE41" s="131">
        <f t="shared" si="16"/>
        <v>1.4637717832828301E-3</v>
      </c>
    </row>
    <row r="42" spans="3:57" x14ac:dyDescent="0.3">
      <c r="C42" s="4"/>
      <c r="D42" s="4"/>
      <c r="E42" s="4"/>
      <c r="F42" s="4"/>
      <c r="G42" s="4"/>
      <c r="H42" s="4"/>
      <c r="J42" s="4" t="s">
        <v>12</v>
      </c>
      <c r="K42" s="116">
        <v>1.25E-3</v>
      </c>
      <c r="L42" s="117">
        <v>1.6666666870044956E-3</v>
      </c>
      <c r="M42" s="117">
        <v>1.666666690779446E-3</v>
      </c>
      <c r="N42" s="117">
        <v>1.6666666907793469E-3</v>
      </c>
      <c r="O42" s="117"/>
      <c r="P42" s="117"/>
      <c r="Q42" s="117"/>
      <c r="R42" s="117"/>
      <c r="S42" s="117"/>
      <c r="T42" s="117"/>
      <c r="U42" s="118"/>
      <c r="V42" s="112"/>
      <c r="W42" s="112"/>
      <c r="X42" s="27">
        <f t="shared" si="17"/>
        <v>9.5</v>
      </c>
      <c r="Y42" s="28" cm="1">
        <f t="array" ref="Y42">Interpolate(X42,$S$4:$S$9,$T$4:$T$9)</f>
        <v>6.1315102339601062E-3</v>
      </c>
      <c r="Z42" s="29">
        <f t="shared" si="2"/>
        <v>0.95270924212560282</v>
      </c>
      <c r="AA42" s="29">
        <f t="shared" si="3"/>
        <v>1.461506486090558E-3</v>
      </c>
      <c r="AB42" s="30">
        <f t="shared" si="4"/>
        <v>0.75038627457856277</v>
      </c>
      <c r="AG42" s="27">
        <f t="shared" si="18"/>
        <v>9.5</v>
      </c>
      <c r="AI42" s="21" cm="1">
        <f t="array" ref="AI42">Interpolate($AG42,$S$4:$S$9,AH$5:AH$10)</f>
        <v>6.1315102339601062E-3</v>
      </c>
      <c r="AJ42" s="29">
        <f t="shared" si="5"/>
        <v>0.95270914685468322</v>
      </c>
      <c r="AK42" s="131">
        <f t="shared" si="6"/>
        <v>1.4615063399399109E-3</v>
      </c>
      <c r="AL42" s="125"/>
      <c r="AM42" s="21" cm="1">
        <f t="array" ref="AM42">Interpolate($AG42,$S$4:$S$9,AL$5:AL$10)</f>
        <v>6.1315102339601062E-3</v>
      </c>
      <c r="AN42" s="29">
        <f t="shared" si="7"/>
        <v>0.95270914685468333</v>
      </c>
      <c r="AO42" s="131">
        <f t="shared" si="8"/>
        <v>1.4615063399399109E-3</v>
      </c>
      <c r="AP42" s="125"/>
      <c r="AQ42" s="21" cm="1">
        <f t="array" ref="AQ42">Interpolate($AG42,$S$4:$S$9,AP$5:AP$10)</f>
        <v>6.1315102339601062E-3</v>
      </c>
      <c r="AR42" s="29">
        <f t="shared" si="9"/>
        <v>0.95270914685468322</v>
      </c>
      <c r="AS42" s="131">
        <f t="shared" si="10"/>
        <v>1.4615063399399109E-3</v>
      </c>
      <c r="AT42" s="125"/>
      <c r="AU42" s="21" cm="1">
        <f t="array" ref="AU42">Interpolate($AG42,$S$4:$S$9,AT$5:AT$10)</f>
        <v>6.1315102339601062E-3</v>
      </c>
      <c r="AV42" s="29">
        <f t="shared" si="11"/>
        <v>0.95270914685468333</v>
      </c>
      <c r="AW42" s="131">
        <f t="shared" si="12"/>
        <v>1.4615063399399109E-3</v>
      </c>
      <c r="AX42" s="125"/>
      <c r="AY42" s="21" cm="1">
        <f t="array" ref="AY42">Interpolate($AG42,$S$4:$S$9,AX$5:AX$10)</f>
        <v>6.1315102339601062E-3</v>
      </c>
      <c r="AZ42" s="29">
        <f t="shared" si="13"/>
        <v>0.95270914685468333</v>
      </c>
      <c r="BA42" s="131">
        <f t="shared" si="14"/>
        <v>1.4615063399399109E-3</v>
      </c>
      <c r="BB42" s="125"/>
      <c r="BC42" s="21" cm="1">
        <f t="array" ref="BC42">Interpolate($AG42,$S$4:$S$9,BB$5:BB$10)</f>
        <v>6.1316102339601065E-3</v>
      </c>
      <c r="BD42" s="29">
        <f t="shared" si="15"/>
        <v>0.95270881340653968</v>
      </c>
      <c r="BE42" s="131">
        <f t="shared" si="16"/>
        <v>1.4615296826711033E-3</v>
      </c>
    </row>
    <row r="43" spans="3:57" x14ac:dyDescent="0.3">
      <c r="C43" s="4"/>
      <c r="D43" s="4"/>
      <c r="E43" s="4"/>
      <c r="F43" s="4"/>
      <c r="G43" s="4"/>
      <c r="H43" s="4"/>
      <c r="J43" s="4" t="s">
        <v>13</v>
      </c>
      <c r="K43" s="119">
        <v>1.4999999999999998E-3</v>
      </c>
      <c r="L43" s="112">
        <v>2.3441156847842023E-3</v>
      </c>
      <c r="M43" s="112">
        <v>2.3442523763698223E-3</v>
      </c>
      <c r="N43" s="112">
        <v>2.3442523763710981E-3</v>
      </c>
      <c r="O43" s="112"/>
      <c r="P43" s="112"/>
      <c r="Q43" s="112"/>
      <c r="R43" s="112"/>
      <c r="S43" s="112"/>
      <c r="T43" s="112"/>
      <c r="U43" s="113"/>
      <c r="V43" s="112"/>
      <c r="W43" s="112"/>
      <c r="X43" s="27">
        <f t="shared" si="17"/>
        <v>9.75</v>
      </c>
      <c r="Y43" s="28" cm="1">
        <f t="array" ref="Y43">Interpolate(X43,$S$4:$S$9,$T$4:$T$9)</f>
        <v>6.1315102339601062E-3</v>
      </c>
      <c r="Z43" s="29">
        <f t="shared" si="2"/>
        <v>0.95124997423382252</v>
      </c>
      <c r="AA43" s="29">
        <f t="shared" si="3"/>
        <v>1.4592678917803026E-3</v>
      </c>
      <c r="AB43" s="30">
        <f t="shared" si="4"/>
        <v>0.74473695527839801</v>
      </c>
      <c r="AG43" s="27">
        <f t="shared" si="18"/>
        <v>9.75</v>
      </c>
      <c r="AI43" s="21" cm="1">
        <f t="array" ref="AI43">Interpolate($AG43,$S$4:$S$9,AH$5:AH$10)</f>
        <v>6.1315102339601062E-3</v>
      </c>
      <c r="AJ43" s="29">
        <f t="shared" si="5"/>
        <v>0.95124987910882974</v>
      </c>
      <c r="AK43" s="131">
        <f t="shared" si="6"/>
        <v>1.4592677458534764E-3</v>
      </c>
      <c r="AL43" s="125"/>
      <c r="AM43" s="21" cm="1">
        <f t="array" ref="AM43">Interpolate($AG43,$S$4:$S$9,AL$5:AL$10)</f>
        <v>6.1315102339601062E-3</v>
      </c>
      <c r="AN43" s="29">
        <f t="shared" si="7"/>
        <v>0.95124987910882974</v>
      </c>
      <c r="AO43" s="131">
        <f t="shared" si="8"/>
        <v>1.4592677458535874E-3</v>
      </c>
      <c r="AP43" s="125"/>
      <c r="AQ43" s="21" cm="1">
        <f t="array" ref="AQ43">Interpolate($AG43,$S$4:$S$9,AP$5:AP$10)</f>
        <v>6.1315102339601062E-3</v>
      </c>
      <c r="AR43" s="29">
        <f t="shared" si="9"/>
        <v>0.95124987910882974</v>
      </c>
      <c r="AS43" s="131">
        <f t="shared" si="10"/>
        <v>1.4592677458534764E-3</v>
      </c>
      <c r="AT43" s="125"/>
      <c r="AU43" s="21" cm="1">
        <f t="array" ref="AU43">Interpolate($AG43,$S$4:$S$9,AT$5:AT$10)</f>
        <v>6.1315102339601062E-3</v>
      </c>
      <c r="AV43" s="29">
        <f t="shared" si="11"/>
        <v>0.95124987910882974</v>
      </c>
      <c r="AW43" s="131">
        <f t="shared" si="12"/>
        <v>1.4592677458535874E-3</v>
      </c>
      <c r="AX43" s="125"/>
      <c r="AY43" s="21" cm="1">
        <f t="array" ref="AY43">Interpolate($AG43,$S$4:$S$9,AX$5:AX$10)</f>
        <v>6.1315102339601062E-3</v>
      </c>
      <c r="AZ43" s="29">
        <f t="shared" si="13"/>
        <v>0.95124987910882974</v>
      </c>
      <c r="BA43" s="131">
        <f t="shared" si="14"/>
        <v>1.4592677458535874E-3</v>
      </c>
      <c r="BB43" s="125"/>
      <c r="BC43" s="21" cm="1">
        <f t="array" ref="BC43">Interpolate($AG43,$S$4:$S$9,BB$5:BB$10)</f>
        <v>6.1316102339601065E-3</v>
      </c>
      <c r="BD43" s="29">
        <f t="shared" si="15"/>
        <v>0.95124952239019134</v>
      </c>
      <c r="BE43" s="131">
        <f t="shared" si="16"/>
        <v>1.4592910163483408E-3</v>
      </c>
    </row>
    <row r="44" spans="3:57" x14ac:dyDescent="0.3">
      <c r="C44" s="4"/>
      <c r="D44" s="4"/>
      <c r="E44" s="4"/>
      <c r="F44" s="4"/>
      <c r="G44" s="4"/>
      <c r="H44" s="4"/>
      <c r="J44" s="4" t="s">
        <v>14</v>
      </c>
      <c r="K44" s="119">
        <v>1.8749999999999999E-3</v>
      </c>
      <c r="L44" s="112">
        <v>3.5495397924050825E-3</v>
      </c>
      <c r="M44" s="112">
        <v>3.5506598573163228E-3</v>
      </c>
      <c r="N44" s="112">
        <v>3.5506598577531166E-3</v>
      </c>
      <c r="O44" s="112"/>
      <c r="P44" s="112"/>
      <c r="Q44" s="112"/>
      <c r="R44" s="112"/>
      <c r="S44" s="112"/>
      <c r="T44" s="112"/>
      <c r="U44" s="113"/>
      <c r="V44" s="112"/>
      <c r="W44" s="112"/>
      <c r="X44" s="11">
        <f t="shared" si="17"/>
        <v>10</v>
      </c>
      <c r="Y44" s="22" cm="1">
        <f t="array" ref="Y44">Interpolate(X44,$S$4:$S$9,$T$4:$T$9)</f>
        <v>6.1315102339601062E-3</v>
      </c>
      <c r="Z44" s="17">
        <f t="shared" si="2"/>
        <v>0.94979294150749016</v>
      </c>
      <c r="AA44" s="17">
        <f t="shared" si="3"/>
        <v>1.4570327263323524E-3</v>
      </c>
      <c r="AB44" s="18">
        <f t="shared" si="4"/>
        <v>0.73913016715135882</v>
      </c>
      <c r="AG44" s="11">
        <f t="shared" si="18"/>
        <v>10</v>
      </c>
      <c r="AH44" s="122"/>
      <c r="AI44" s="39" cm="1">
        <f t="array" ref="AI44">Interpolate($AG44,$S$4:$S$9,AH$5:AH$10)</f>
        <v>6.1315102339601062E-3</v>
      </c>
      <c r="AJ44" s="17">
        <f t="shared" si="5"/>
        <v>0.94979284652820073</v>
      </c>
      <c r="AK44" s="132">
        <f t="shared" si="6"/>
        <v>1.4570325806290141E-3</v>
      </c>
      <c r="AL44" s="121"/>
      <c r="AM44" s="39" cm="1">
        <f t="array" ref="AM44">Interpolate($AG44,$S$4:$S$9,AL$5:AL$10)</f>
        <v>6.1315102339601062E-3</v>
      </c>
      <c r="AN44" s="17">
        <f t="shared" si="7"/>
        <v>0.94979284652820073</v>
      </c>
      <c r="AO44" s="132">
        <f t="shared" si="8"/>
        <v>1.4570325806290141E-3</v>
      </c>
      <c r="AP44" s="121"/>
      <c r="AQ44" s="39" cm="1">
        <f t="array" ref="AQ44">Interpolate($AG44,$S$4:$S$9,AP$5:AP$10)</f>
        <v>6.1315102339601062E-3</v>
      </c>
      <c r="AR44" s="17">
        <f t="shared" si="9"/>
        <v>0.94979284652820073</v>
      </c>
      <c r="AS44" s="132">
        <f t="shared" si="10"/>
        <v>1.4570325806290141E-3</v>
      </c>
      <c r="AT44" s="121"/>
      <c r="AU44" s="39" cm="1">
        <f t="array" ref="AU44">Interpolate($AG44,$S$4:$S$9,AT$5:AT$10)</f>
        <v>6.1315102339601062E-3</v>
      </c>
      <c r="AV44" s="17">
        <f t="shared" si="11"/>
        <v>0.94979284652820073</v>
      </c>
      <c r="AW44" s="132">
        <f t="shared" si="12"/>
        <v>1.4570325806290141E-3</v>
      </c>
      <c r="AX44" s="121"/>
      <c r="AY44" s="39" cm="1">
        <f t="array" ref="AY44">Interpolate($AG44,$S$4:$S$9,AX$5:AX$10)</f>
        <v>6.1315102339601062E-3</v>
      </c>
      <c r="AZ44" s="17">
        <f t="shared" si="13"/>
        <v>0.94979284652820073</v>
      </c>
      <c r="BA44" s="132">
        <f t="shared" si="14"/>
        <v>1.4570325806290141E-3</v>
      </c>
      <c r="BB44" s="121"/>
      <c r="BC44" s="39" cm="1">
        <f t="array" ref="BC44">Interpolate($AG44,$S$4:$S$9,BB$5:BB$10)</f>
        <v>6.1316102339601065E-3</v>
      </c>
      <c r="BD44" s="17">
        <f t="shared" si="15"/>
        <v>0.94979246661113736</v>
      </c>
      <c r="BE44" s="132">
        <f t="shared" si="16"/>
        <v>1.4570557790539729E-3</v>
      </c>
    </row>
    <row r="45" spans="3:57" x14ac:dyDescent="0.3">
      <c r="C45" s="4"/>
      <c r="D45" s="4"/>
      <c r="E45" s="4"/>
      <c r="F45" s="4"/>
      <c r="G45" s="4"/>
      <c r="H45" s="4"/>
      <c r="J45" s="4" t="s">
        <v>15</v>
      </c>
      <c r="K45" s="119">
        <v>2.1249999999999997E-3</v>
      </c>
      <c r="L45" s="112">
        <v>3.9010802887769159E-3</v>
      </c>
      <c r="M45" s="112">
        <v>3.902810059679798E-3</v>
      </c>
      <c r="N45" s="112">
        <v>3.9028100615216455E-3</v>
      </c>
      <c r="O45" s="112"/>
      <c r="P45" s="112"/>
      <c r="Q45" s="112"/>
      <c r="R45" s="112"/>
      <c r="S45" s="112"/>
      <c r="T45" s="112"/>
      <c r="U45" s="113"/>
      <c r="V45" s="112"/>
      <c r="W45" s="112"/>
    </row>
    <row r="46" spans="3:57" x14ac:dyDescent="0.3">
      <c r="C46" s="4"/>
      <c r="D46" s="4"/>
      <c r="E46" s="4"/>
      <c r="F46" s="4"/>
      <c r="G46" s="4"/>
      <c r="H46" s="4"/>
      <c r="J46" s="4" t="s">
        <v>16</v>
      </c>
      <c r="K46" s="119">
        <v>3.0412499999999997E-3</v>
      </c>
      <c r="L46" s="112">
        <v>9.3633144693426873E-3</v>
      </c>
      <c r="M46" s="112">
        <v>9.3893342974379363E-3</v>
      </c>
      <c r="N46" s="112">
        <v>9.3893346101396064E-3</v>
      </c>
      <c r="O46" s="112"/>
      <c r="P46" s="112"/>
      <c r="Q46" s="112"/>
      <c r="R46" s="112"/>
      <c r="S46" s="112"/>
      <c r="T46" s="112"/>
      <c r="U46" s="113"/>
      <c r="V46" s="112"/>
      <c r="W46" s="112"/>
    </row>
    <row r="47" spans="3:57" x14ac:dyDescent="0.3">
      <c r="C47" s="4"/>
      <c r="D47" s="4"/>
      <c r="E47" s="4"/>
      <c r="F47" s="4"/>
      <c r="G47" s="4"/>
      <c r="H47" s="4"/>
      <c r="J47" s="4" t="s">
        <v>17</v>
      </c>
      <c r="K47" s="120">
        <v>3.7499999999999999E-3</v>
      </c>
      <c r="L47" s="114">
        <v>6.1295375104951175E-3</v>
      </c>
      <c r="M47" s="114">
        <v>6.1315102339601062E-3</v>
      </c>
      <c r="N47" s="114">
        <v>6.1315101772241969E-3</v>
      </c>
      <c r="O47" s="114"/>
      <c r="P47" s="114"/>
      <c r="Q47" s="114"/>
      <c r="R47" s="114"/>
      <c r="S47" s="114"/>
      <c r="T47" s="114"/>
      <c r="U47" s="115"/>
      <c r="V47" s="112"/>
      <c r="W47" s="112"/>
      <c r="AH47" s="42" t="s">
        <v>113</v>
      </c>
    </row>
    <row r="48" spans="3:57" x14ac:dyDescent="0.3">
      <c r="AH48" s="157">
        <v>9.9999999999999995E-8</v>
      </c>
    </row>
    <row r="50" spans="3:49" x14ac:dyDescent="0.3">
      <c r="K50" s="1" t="s">
        <v>55</v>
      </c>
      <c r="Y50" s="1" t="s">
        <v>93</v>
      </c>
      <c r="AH50" s="1" t="s">
        <v>92</v>
      </c>
    </row>
    <row r="51" spans="3:49" x14ac:dyDescent="0.3">
      <c r="K51" s="183" t="s">
        <v>114</v>
      </c>
      <c r="L51" s="46" t="s">
        <v>115</v>
      </c>
    </row>
    <row r="52" spans="3:49" ht="15.6" x14ac:dyDescent="0.3">
      <c r="C52" s="42"/>
      <c r="D52" s="42"/>
      <c r="E52" s="42"/>
      <c r="F52" s="42"/>
      <c r="G52" s="42"/>
      <c r="H52" s="42"/>
      <c r="I52" s="42"/>
      <c r="J52" s="42" t="s">
        <v>56</v>
      </c>
      <c r="K52" s="4" t="s">
        <v>58</v>
      </c>
      <c r="L52" s="4" t="s">
        <v>59</v>
      </c>
      <c r="M52" s="4" t="s">
        <v>60</v>
      </c>
      <c r="N52" s="4" t="s">
        <v>61</v>
      </c>
      <c r="O52" s="4" t="s">
        <v>62</v>
      </c>
      <c r="P52" s="4" t="s">
        <v>63</v>
      </c>
      <c r="X52" s="42" t="s">
        <v>56</v>
      </c>
      <c r="Y52" s="4" t="s">
        <v>58</v>
      </c>
      <c r="Z52" s="4" t="s">
        <v>59</v>
      </c>
      <c r="AA52" s="4" t="s">
        <v>60</v>
      </c>
      <c r="AB52" s="4" t="s">
        <v>61</v>
      </c>
      <c r="AC52" s="4" t="s">
        <v>62</v>
      </c>
      <c r="AD52" s="4" t="s">
        <v>63</v>
      </c>
      <c r="AG52" s="42" t="s">
        <v>56</v>
      </c>
      <c r="AH52" s="4" t="s">
        <v>58</v>
      </c>
      <c r="AI52" s="4" t="s">
        <v>59</v>
      </c>
      <c r="AJ52" s="4" t="s">
        <v>60</v>
      </c>
      <c r="AK52" s="4" t="s">
        <v>61</v>
      </c>
      <c r="AL52" s="4" t="s">
        <v>62</v>
      </c>
      <c r="AM52" s="4" t="s">
        <v>63</v>
      </c>
    </row>
    <row r="53" spans="3:49" ht="15.6" x14ac:dyDescent="0.3">
      <c r="C53" s="4"/>
      <c r="D53" s="4"/>
      <c r="E53" s="4"/>
      <c r="F53" s="4"/>
      <c r="G53" s="4"/>
      <c r="H53" s="4"/>
      <c r="I53" s="4"/>
      <c r="J53" s="4" t="s">
        <v>64</v>
      </c>
      <c r="K53" s="92">
        <f t="shared" ref="K53:P58" si="28">IF($K$51="ANALYTICAL",Y53,AH53)</f>
        <v>0.59999997335108413</v>
      </c>
      <c r="L53" s="93">
        <f t="shared" si="28"/>
        <v>0</v>
      </c>
      <c r="M53" s="93">
        <f t="shared" si="28"/>
        <v>0</v>
      </c>
      <c r="N53" s="93">
        <f t="shared" si="28"/>
        <v>0</v>
      </c>
      <c r="O53" s="93">
        <f t="shared" si="28"/>
        <v>0</v>
      </c>
      <c r="P53" s="94">
        <f t="shared" si="28"/>
        <v>0</v>
      </c>
      <c r="X53" s="4" t="s">
        <v>64</v>
      </c>
      <c r="Y53" s="92">
        <f>(Y64*RiskyAnnuity1Y-Protection1Y*Y75)/RiskyAnnuity1Y^2*Notional</f>
        <v>0.59999997395833338</v>
      </c>
      <c r="Z53" s="93">
        <v>0</v>
      </c>
      <c r="AA53" s="93">
        <v>0</v>
      </c>
      <c r="AB53" s="93">
        <v>0</v>
      </c>
      <c r="AC53" s="93">
        <v>0</v>
      </c>
      <c r="AD53" s="94">
        <v>0</v>
      </c>
      <c r="AG53" s="4" t="s">
        <v>64</v>
      </c>
      <c r="AH53" s="92">
        <f t="shared" ref="AH53:AH58" si="29">(AH64-$U14)/ShiftSize</f>
        <v>0.59999997335108413</v>
      </c>
      <c r="AI53" s="93">
        <v>0</v>
      </c>
      <c r="AJ53" s="93">
        <v>0</v>
      </c>
      <c r="AK53" s="93">
        <v>0</v>
      </c>
      <c r="AL53" s="93">
        <v>0</v>
      </c>
      <c r="AM53" s="94">
        <v>0</v>
      </c>
      <c r="AO53" s="129"/>
      <c r="AP53" s="129"/>
      <c r="AQ53" s="129"/>
      <c r="AR53" s="129"/>
      <c r="AS53" s="129"/>
      <c r="AT53" s="129"/>
      <c r="AU53" s="129"/>
      <c r="AV53" s="129"/>
      <c r="AW53" s="129"/>
    </row>
    <row r="54" spans="3:49" ht="15.6" x14ac:dyDescent="0.3">
      <c r="C54" s="4"/>
      <c r="D54" s="4"/>
      <c r="E54" s="4"/>
      <c r="F54" s="4"/>
      <c r="G54" s="4"/>
      <c r="H54" s="4"/>
      <c r="I54" s="4"/>
      <c r="J54" s="4" t="s">
        <v>65</v>
      </c>
      <c r="K54" s="95">
        <f t="shared" si="28"/>
        <v>0.30478329239320284</v>
      </c>
      <c r="L54" s="96">
        <f t="shared" si="28"/>
        <v>0.2951150635194591</v>
      </c>
      <c r="M54" s="97">
        <f t="shared" si="28"/>
        <v>0</v>
      </c>
      <c r="N54" s="97">
        <f t="shared" si="28"/>
        <v>0</v>
      </c>
      <c r="O54" s="97">
        <f t="shared" si="28"/>
        <v>0</v>
      </c>
      <c r="P54" s="98">
        <f t="shared" si="28"/>
        <v>0</v>
      </c>
      <c r="X54" s="4" t="s">
        <v>65</v>
      </c>
      <c r="Y54" s="95">
        <f>(Y65*RiskyAnnuity2Y-Protection2Y*Y76)/RiskyAnnuity2Y^2*Notional</f>
        <v>0.30526438766930636</v>
      </c>
      <c r="Z54" s="96">
        <f>(Z65*RiskyAnnuity2Y-Protection2Y*Z76)/RiskyAnnuity2Y^2*Notional</f>
        <v>0.29515291715962266</v>
      </c>
      <c r="AA54" s="97">
        <v>0</v>
      </c>
      <c r="AB54" s="97">
        <v>0</v>
      </c>
      <c r="AC54" s="97">
        <v>0</v>
      </c>
      <c r="AD54" s="98">
        <v>0</v>
      </c>
      <c r="AG54" s="4" t="s">
        <v>65</v>
      </c>
      <c r="AH54" s="95">
        <f t="shared" si="29"/>
        <v>0.30478329239320284</v>
      </c>
      <c r="AI54" s="96">
        <f>(AI65-$U15)/ShiftSize</f>
        <v>0.2951150635194591</v>
      </c>
      <c r="AJ54" s="97">
        <v>0</v>
      </c>
      <c r="AK54" s="97">
        <v>0</v>
      </c>
      <c r="AL54" s="97">
        <v>0</v>
      </c>
      <c r="AM54" s="98">
        <v>0</v>
      </c>
      <c r="AO54" s="129"/>
      <c r="AP54" s="129"/>
      <c r="AQ54" s="129"/>
      <c r="AR54" s="129"/>
      <c r="AS54" s="129"/>
      <c r="AT54" s="129"/>
      <c r="AU54" s="129"/>
      <c r="AV54" s="129"/>
      <c r="AW54" s="129"/>
    </row>
    <row r="55" spans="3:49" ht="15.6" x14ac:dyDescent="0.3">
      <c r="C55" s="4"/>
      <c r="D55" s="4"/>
      <c r="E55" s="4"/>
      <c r="F55" s="4"/>
      <c r="G55" s="4"/>
      <c r="H55" s="4"/>
      <c r="I55" s="4"/>
      <c r="J55" s="4" t="s">
        <v>66</v>
      </c>
      <c r="K55" s="95">
        <f t="shared" si="28"/>
        <v>0.20645602999760926</v>
      </c>
      <c r="L55" s="96">
        <f t="shared" si="28"/>
        <v>0.19980362953335093</v>
      </c>
      <c r="M55" s="96">
        <f t="shared" si="28"/>
        <v>0.19336492450413786</v>
      </c>
      <c r="N55" s="97">
        <f t="shared" si="28"/>
        <v>0</v>
      </c>
      <c r="O55" s="97">
        <f t="shared" si="28"/>
        <v>0</v>
      </c>
      <c r="P55" s="98">
        <f t="shared" si="28"/>
        <v>0</v>
      </c>
      <c r="X55" s="4" t="s">
        <v>66</v>
      </c>
      <c r="Y55" s="95">
        <f>(Y66*RiskyAnnuity3Y-Protection3Y*Y77)/RiskyAnnuity3Y^2*Notional</f>
        <v>0.20824231553498407</v>
      </c>
      <c r="Z55" s="96">
        <f>(Z66*RiskyAnnuity3Y-Protection3Y*Z77)/RiskyAnnuity3Y^2*Notional</f>
        <v>0.20030722357717637</v>
      </c>
      <c r="AA55" s="96">
        <f>(AA66*RiskyAnnuity3Y-Protection3Y*AA77)/RiskyAnnuity3Y^2*Notional</f>
        <v>0.19344061965283038</v>
      </c>
      <c r="AB55" s="97">
        <v>0</v>
      </c>
      <c r="AC55" s="97">
        <v>0</v>
      </c>
      <c r="AD55" s="98">
        <v>0</v>
      </c>
      <c r="AG55" s="4" t="s">
        <v>66</v>
      </c>
      <c r="AH55" s="95">
        <f t="shared" si="29"/>
        <v>0.20645602999760926</v>
      </c>
      <c r="AI55" s="96">
        <f>(AI66-$U16)/ShiftSize</f>
        <v>0.19980362953335093</v>
      </c>
      <c r="AJ55" s="96">
        <f>(AJ66-$U16)/ShiftSize</f>
        <v>0.19336492450413786</v>
      </c>
      <c r="AK55" s="97">
        <v>0</v>
      </c>
      <c r="AL55" s="97">
        <v>0</v>
      </c>
      <c r="AM55" s="98">
        <v>0</v>
      </c>
      <c r="AO55" s="129"/>
      <c r="AP55" s="129"/>
      <c r="AQ55" s="129"/>
      <c r="AR55" s="129"/>
      <c r="AS55" s="129"/>
      <c r="AT55" s="129"/>
      <c r="AU55" s="129"/>
      <c r="AV55" s="129"/>
      <c r="AW55" s="129"/>
    </row>
    <row r="56" spans="3:49" ht="15.6" x14ac:dyDescent="0.3">
      <c r="C56" s="4"/>
      <c r="D56" s="4"/>
      <c r="E56" s="4"/>
      <c r="F56" s="4"/>
      <c r="G56" s="4"/>
      <c r="H56" s="4"/>
      <c r="I56" s="4"/>
      <c r="J56" s="4" t="s">
        <v>67</v>
      </c>
      <c r="K56" s="95">
        <f t="shared" si="28"/>
        <v>0.15737191388573435</v>
      </c>
      <c r="L56" s="96">
        <f t="shared" si="28"/>
        <v>0.15224859231839638</v>
      </c>
      <c r="M56" s="96">
        <f t="shared" si="28"/>
        <v>0.14728984741498724</v>
      </c>
      <c r="N56" s="96">
        <f t="shared" si="28"/>
        <v>0.14249514585428988</v>
      </c>
      <c r="O56" s="97">
        <f t="shared" si="28"/>
        <v>0</v>
      </c>
      <c r="P56" s="98">
        <f t="shared" si="28"/>
        <v>0</v>
      </c>
      <c r="X56" s="4" t="s">
        <v>67</v>
      </c>
      <c r="Y56" s="95">
        <f>(Y67*RiskyAnnuity4Y-Protection4Y*Y78)/RiskyAnnuity4Y^2*Notional</f>
        <v>0.16088906613124462</v>
      </c>
      <c r="Z56" s="96">
        <f>(Z67*RiskyAnnuity4Y-Protection4Y*Z78)/RiskyAnnuity4Y^2*Notional</f>
        <v>0.15385270867489884</v>
      </c>
      <c r="AA56" s="96">
        <f>(AA67*RiskyAnnuity4Y-Protection4Y*AA78)/RiskyAnnuity4Y^2*Notional</f>
        <v>0.14774656299746866</v>
      </c>
      <c r="AB56" s="96">
        <f>(AB67*RiskyAnnuity4Y-Protection4Y*AB78)/RiskyAnnuity4Y^2*Notional</f>
        <v>0.14255192356819382</v>
      </c>
      <c r="AC56" s="97">
        <v>0</v>
      </c>
      <c r="AD56" s="98">
        <v>0</v>
      </c>
      <c r="AG56" s="4" t="s">
        <v>67</v>
      </c>
      <c r="AH56" s="95">
        <f t="shared" si="29"/>
        <v>0.15737191388573435</v>
      </c>
      <c r="AI56" s="96">
        <f>(AI67-$U17)/ShiftSize</f>
        <v>0.15224859231839638</v>
      </c>
      <c r="AJ56" s="96">
        <f>(AJ67-$U17)/ShiftSize</f>
        <v>0.14728984741498724</v>
      </c>
      <c r="AK56" s="96">
        <f>(AK67-$U17)/ShiftSize</f>
        <v>0.14249514585428988</v>
      </c>
      <c r="AL56" s="97">
        <v>0</v>
      </c>
      <c r="AM56" s="98">
        <v>0</v>
      </c>
      <c r="AO56" s="129"/>
      <c r="AP56" s="129"/>
      <c r="AQ56" s="129"/>
      <c r="AR56" s="129"/>
      <c r="AS56" s="129"/>
      <c r="AT56" s="129"/>
      <c r="AU56" s="129"/>
      <c r="AV56" s="129"/>
      <c r="AW56" s="129"/>
    </row>
    <row r="57" spans="3:49" ht="15.6" x14ac:dyDescent="0.3">
      <c r="C57" s="4"/>
      <c r="D57" s="4"/>
      <c r="E57" s="4"/>
      <c r="F57" s="4"/>
      <c r="G57" s="4"/>
      <c r="H57" s="4"/>
      <c r="I57" s="4"/>
      <c r="J57" s="4" t="s">
        <v>68</v>
      </c>
      <c r="K57" s="95">
        <f t="shared" si="28"/>
        <v>0.12796804390886179</v>
      </c>
      <c r="L57" s="96">
        <f t="shared" si="28"/>
        <v>0.12364538301209982</v>
      </c>
      <c r="M57" s="96">
        <f t="shared" si="28"/>
        <v>0.11946157908813287</v>
      </c>
      <c r="N57" s="96">
        <f t="shared" si="28"/>
        <v>0.11541618216703853</v>
      </c>
      <c r="O57" s="96">
        <f t="shared" si="28"/>
        <v>0.11150960057670217</v>
      </c>
      <c r="P57" s="98">
        <f t="shared" si="28"/>
        <v>0</v>
      </c>
      <c r="X57" s="4" t="s">
        <v>68</v>
      </c>
      <c r="Y57" s="95">
        <f>(Y68*RiskyAnnuity5Y-Protection5Y*Y79)/RiskyAnnuity5Y^2*Notional</f>
        <v>0.13525770462584641</v>
      </c>
      <c r="Z57" s="96">
        <f>(Z68*RiskyAnnuity5Y-Protection5Y*Z79)/RiskyAnnuity5Y^2*Notional</f>
        <v>0.12783313886282416</v>
      </c>
      <c r="AA57" s="96">
        <f>(AA68*RiskyAnnuity5Y-Protection5Y*AA79)/RiskyAnnuity5Y^2*Notional</f>
        <v>0.12148958284569822</v>
      </c>
      <c r="AB57" s="96">
        <f>(AB68*RiskyAnnuity5Y-Protection5Y*AB79)/RiskyAnnuity5Y^2*Notional</f>
        <v>0.11619693916501453</v>
      </c>
      <c r="AC57" s="96">
        <f>(AC68*RiskyAnnuity5Y-Protection5Y*AC79)/RiskyAnnuity5Y^2*Notional</f>
        <v>0.11173141322186589</v>
      </c>
      <c r="AD57" s="98">
        <v>0</v>
      </c>
      <c r="AG57" s="4" t="s">
        <v>68</v>
      </c>
      <c r="AH57" s="95">
        <f t="shared" si="29"/>
        <v>0.12796804390886179</v>
      </c>
      <c r="AI57" s="96">
        <f>(AI68-$U18)/ShiftSize</f>
        <v>0.12364538301209982</v>
      </c>
      <c r="AJ57" s="96">
        <f>(AJ68-$U18)/ShiftSize</f>
        <v>0.11946157908813287</v>
      </c>
      <c r="AK57" s="96">
        <f>(AK68-$U18)/ShiftSize</f>
        <v>0.11541618216703853</v>
      </c>
      <c r="AL57" s="96">
        <f>(AL68-$U18)/ShiftSize</f>
        <v>0.11150960057670217</v>
      </c>
      <c r="AM57" s="98">
        <v>0</v>
      </c>
      <c r="AO57" s="129"/>
      <c r="AP57" s="129"/>
      <c r="AQ57" s="129"/>
      <c r="AR57" s="129"/>
      <c r="AS57" s="129"/>
      <c r="AT57" s="129"/>
      <c r="AU57" s="129"/>
      <c r="AV57" s="129"/>
      <c r="AW57" s="129"/>
    </row>
    <row r="58" spans="3:49" ht="15.6" x14ac:dyDescent="0.3">
      <c r="C58" s="4"/>
      <c r="D58" s="4"/>
      <c r="E58" s="4"/>
      <c r="F58" s="4"/>
      <c r="G58" s="4"/>
      <c r="H58" s="4"/>
      <c r="I58" s="4"/>
      <c r="J58" s="4" t="s">
        <v>69</v>
      </c>
      <c r="K58" s="99">
        <f t="shared" si="28"/>
        <v>6.9697819304187503E-2</v>
      </c>
      <c r="L58" s="100">
        <f t="shared" si="28"/>
        <v>6.7277434586884843E-2</v>
      </c>
      <c r="M58" s="100">
        <f t="shared" si="28"/>
        <v>6.4934799789799491E-2</v>
      </c>
      <c r="N58" s="100">
        <f t="shared" si="28"/>
        <v>6.2669663226239125E-2</v>
      </c>
      <c r="O58" s="100">
        <f t="shared" si="28"/>
        <v>6.0482253346275106E-2</v>
      </c>
      <c r="P58" s="101">
        <f t="shared" si="28"/>
        <v>0.27230519909250683</v>
      </c>
      <c r="X58" s="4" t="s">
        <v>69</v>
      </c>
      <c r="Y58" s="127">
        <f t="shared" ref="Y58:AD58" si="30">(Y69*RiskyAnnuity10Y-Protection10Y*Y80)/RiskyAnnuity10Y^2*Notional</f>
        <v>9.2952322406244736E-2</v>
      </c>
      <c r="Z58" s="100">
        <f t="shared" si="30"/>
        <v>8.5426210594925098E-2</v>
      </c>
      <c r="AA58" s="100">
        <f t="shared" si="30"/>
        <v>7.8673850098995343E-2</v>
      </c>
      <c r="AB58" s="100">
        <f t="shared" si="30"/>
        <v>7.2672227025052036E-2</v>
      </c>
      <c r="AC58" s="100">
        <f t="shared" si="30"/>
        <v>6.729584493399543E-2</v>
      </c>
      <c r="AD58" s="101">
        <f t="shared" si="30"/>
        <v>0.27301569081560839</v>
      </c>
      <c r="AG58" s="4" t="s">
        <v>69</v>
      </c>
      <c r="AH58" s="127">
        <f t="shared" si="29"/>
        <v>6.9697819304187503E-2</v>
      </c>
      <c r="AI58" s="128">
        <f>(AI69-$U19)/ShiftSize</f>
        <v>6.7277434586884843E-2</v>
      </c>
      <c r="AJ58" s="128">
        <f>(AJ69-$U19)/ShiftSize</f>
        <v>6.4934799789799491E-2</v>
      </c>
      <c r="AK58" s="128">
        <f>(AK69-$U19)/ShiftSize</f>
        <v>6.2669663226239125E-2</v>
      </c>
      <c r="AL58" s="128">
        <f>(AL69-$U19)/ShiftSize</f>
        <v>6.0482253346275106E-2</v>
      </c>
      <c r="AM58" s="101">
        <f>(AM69-$U19)/ShiftSize</f>
        <v>0.27230519909250683</v>
      </c>
      <c r="AO58" s="129"/>
      <c r="AP58" s="129"/>
      <c r="AQ58" s="129"/>
      <c r="AR58" s="129"/>
      <c r="AS58" s="129"/>
      <c r="AT58" s="129"/>
      <c r="AU58" s="129"/>
      <c r="AV58" s="129"/>
      <c r="AW58" s="129"/>
    </row>
    <row r="61" spans="3:49" x14ac:dyDescent="0.3">
      <c r="K61" s="1" t="s">
        <v>54</v>
      </c>
      <c r="Y61" s="1" t="s">
        <v>76</v>
      </c>
      <c r="AH61" s="1" t="s">
        <v>112</v>
      </c>
    </row>
    <row r="63" spans="3:49" ht="15.6" x14ac:dyDescent="0.3">
      <c r="C63" s="42"/>
      <c r="D63" s="42"/>
      <c r="E63" s="42"/>
      <c r="F63" s="42"/>
      <c r="G63" s="42"/>
      <c r="H63" s="42"/>
      <c r="I63" s="42"/>
      <c r="J63" s="42" t="s">
        <v>57</v>
      </c>
      <c r="K63" s="4" t="s">
        <v>64</v>
      </c>
      <c r="L63" s="4" t="s">
        <v>65</v>
      </c>
      <c r="M63" s="4" t="s">
        <v>66</v>
      </c>
      <c r="N63" s="4" t="s">
        <v>67</v>
      </c>
      <c r="O63" s="4" t="s">
        <v>68</v>
      </c>
      <c r="P63" s="4" t="s">
        <v>69</v>
      </c>
      <c r="X63" s="42" t="s">
        <v>90</v>
      </c>
      <c r="Y63" s="4" t="s">
        <v>58</v>
      </c>
      <c r="Z63" s="4" t="s">
        <v>59</v>
      </c>
      <c r="AA63" s="4" t="s">
        <v>60</v>
      </c>
      <c r="AB63" s="4" t="s">
        <v>61</v>
      </c>
      <c r="AC63" s="4" t="s">
        <v>62</v>
      </c>
      <c r="AD63" s="4" t="s">
        <v>63</v>
      </c>
      <c r="AG63" s="42" t="s">
        <v>111</v>
      </c>
      <c r="AH63" s="4" t="s">
        <v>58</v>
      </c>
      <c r="AI63" s="4" t="s">
        <v>59</v>
      </c>
      <c r="AJ63" s="4" t="s">
        <v>60</v>
      </c>
      <c r="AK63" s="4" t="s">
        <v>61</v>
      </c>
      <c r="AL63" s="4" t="s">
        <v>62</v>
      </c>
      <c r="AM63" s="4" t="s">
        <v>63</v>
      </c>
    </row>
    <row r="64" spans="3:49" ht="15.6" x14ac:dyDescent="0.3">
      <c r="C64" s="4"/>
      <c r="D64" s="4"/>
      <c r="E64" s="4"/>
      <c r="F64" s="4"/>
      <c r="G64" s="4"/>
      <c r="H64" s="4"/>
      <c r="I64" s="4"/>
      <c r="J64" s="4" t="s">
        <v>58</v>
      </c>
      <c r="K64" s="92" cm="1">
        <f t="array" ref="K64:P69">MINVERSE(K53:P58)</f>
        <v>1.6666667406914362</v>
      </c>
      <c r="L64" s="93">
        <v>0</v>
      </c>
      <c r="M64" s="93">
        <v>0</v>
      </c>
      <c r="N64" s="93">
        <v>0</v>
      </c>
      <c r="O64" s="93">
        <v>0</v>
      </c>
      <c r="P64" s="94">
        <v>0</v>
      </c>
      <c r="X64" s="4" t="s">
        <v>78</v>
      </c>
      <c r="Y64" s="92">
        <f>(1-RecoveryRate)*YearFraction*(SUMPRODUCT($Z$5:$Z$8,$AB$5:$AB$8))</f>
        <v>0.58818124986016185</v>
      </c>
      <c r="Z64" s="93">
        <v>0</v>
      </c>
      <c r="AA64" s="93">
        <v>0</v>
      </c>
      <c r="AB64" s="93">
        <v>0</v>
      </c>
      <c r="AC64" s="93">
        <v>0</v>
      </c>
      <c r="AD64" s="94">
        <v>0</v>
      </c>
      <c r="AG64" s="4" t="s">
        <v>105</v>
      </c>
      <c r="AH64" s="142">
        <f t="shared" ref="AH64:AI69" si="31">AH75/AH86</f>
        <v>1.0000599999973945E-3</v>
      </c>
      <c r="AI64" s="33">
        <v>0</v>
      </c>
      <c r="AJ64" s="33">
        <v>0</v>
      </c>
      <c r="AK64" s="33">
        <v>0</v>
      </c>
      <c r="AL64" s="33">
        <v>0</v>
      </c>
      <c r="AM64" s="143">
        <v>0</v>
      </c>
    </row>
    <row r="65" spans="3:39" ht="15.6" x14ac:dyDescent="0.3">
      <c r="C65" s="4"/>
      <c r="D65" s="4"/>
      <c r="E65" s="4"/>
      <c r="F65" s="4"/>
      <c r="G65" s="4"/>
      <c r="H65" s="4"/>
      <c r="I65" s="4"/>
      <c r="J65" s="4" t="s">
        <v>59</v>
      </c>
      <c r="K65" s="95">
        <v>-1.7212682080414716</v>
      </c>
      <c r="L65" s="96">
        <v>3.3885088347381584</v>
      </c>
      <c r="M65" s="97">
        <v>0</v>
      </c>
      <c r="N65" s="97">
        <v>0</v>
      </c>
      <c r="O65" s="97">
        <v>0</v>
      </c>
      <c r="P65" s="98">
        <v>0</v>
      </c>
      <c r="X65" s="4" t="s">
        <v>79</v>
      </c>
      <c r="Y65" s="95">
        <f>(1-RecoveryRate)*YearFraction*(SUMPRODUCT($Z$5:$Z$8,$AB$5:$AB$8)-SUMPRODUCT($AA$9:$AA$12,$AB$9:$AB$12))</f>
        <v>0.58784740252992562</v>
      </c>
      <c r="Z65" s="96">
        <f>(1-RecoveryRate)*YearFraction*(SUMPRODUCT($Z$9:$Z$12,$AB$9:$AB$12))</f>
        <v>0.56947710128199747</v>
      </c>
      <c r="AA65" s="97">
        <v>0</v>
      </c>
      <c r="AB65" s="97">
        <v>0</v>
      </c>
      <c r="AC65" s="97">
        <v>0</v>
      </c>
      <c r="AD65" s="98">
        <v>0</v>
      </c>
      <c r="AG65" s="4" t="s">
        <v>106</v>
      </c>
      <c r="AH65" s="144">
        <f t="shared" si="31"/>
        <v>1.2000304783288929E-3</v>
      </c>
      <c r="AI65" s="145">
        <f t="shared" si="31"/>
        <v>1.2000295115060055E-3</v>
      </c>
      <c r="AJ65" s="21">
        <v>0</v>
      </c>
      <c r="AK65" s="21">
        <v>0</v>
      </c>
      <c r="AL65" s="21">
        <v>0</v>
      </c>
      <c r="AM65" s="146">
        <v>0</v>
      </c>
    </row>
    <row r="66" spans="3:39" ht="15.6" x14ac:dyDescent="0.3">
      <c r="C66" s="4"/>
      <c r="D66" s="4"/>
      <c r="E66" s="4"/>
      <c r="F66" s="4"/>
      <c r="G66" s="4"/>
      <c r="H66" s="4"/>
      <c r="I66" s="4"/>
      <c r="J66" s="4" t="s">
        <v>60</v>
      </c>
      <c r="K66" s="102">
        <v>-9.1931484270837093E-4</v>
      </c>
      <c r="L66" s="96">
        <v>-3.5013400988968999</v>
      </c>
      <c r="M66" s="96">
        <v>5.1715687452850361</v>
      </c>
      <c r="N66" s="97">
        <v>0</v>
      </c>
      <c r="O66" s="97">
        <v>0</v>
      </c>
      <c r="P66" s="98">
        <v>0</v>
      </c>
      <c r="X66" s="4" t="s">
        <v>80</v>
      </c>
      <c r="Y66" s="95">
        <f>(1-RecoveryRate)*YearFraction*(SUMPRODUCT($Z$5:$Z$8,$AB$5:$AB$8)-SUMPRODUCT($AA$9:$AA$16,$AB$9:$AB$16))</f>
        <v>0.58735824808121695</v>
      </c>
      <c r="Z66" s="96">
        <f>(1-RecoveryRate)*YearFraction*(SUMPRODUCT($Z$9:$Z$12,$AB$9:$AB$12)-SUMPRODUCT($AA$13:$AA$16,$AB$13:$AB$16))</f>
        <v>0.56898794683328879</v>
      </c>
      <c r="AA66" s="96">
        <f>(1-RecoveryRate)*YearFraction*(SUMPRODUCT($Z$13:$Z$16,$AB$13:$AB$16))</f>
        <v>0.5508129731853324</v>
      </c>
      <c r="AB66" s="97">
        <v>0</v>
      </c>
      <c r="AC66" s="97">
        <v>0</v>
      </c>
      <c r="AD66" s="98">
        <v>0</v>
      </c>
      <c r="AG66" s="4" t="s">
        <v>107</v>
      </c>
      <c r="AH66" s="144">
        <f t="shared" si="31"/>
        <v>1.5000206455183047E-3</v>
      </c>
      <c r="AI66" s="145">
        <f t="shared" si="31"/>
        <v>1.5000199802782583E-3</v>
      </c>
      <c r="AJ66" s="145">
        <f t="shared" ref="AJ66" si="32">AJ77/AJ88</f>
        <v>1.5000193364077554E-3</v>
      </c>
      <c r="AK66" s="21">
        <v>0</v>
      </c>
      <c r="AL66" s="21">
        <v>0</v>
      </c>
      <c r="AM66" s="146">
        <v>0</v>
      </c>
    </row>
    <row r="67" spans="3:39" ht="15.6" x14ac:dyDescent="0.3">
      <c r="C67" s="4"/>
      <c r="D67" s="4"/>
      <c r="E67" s="4"/>
      <c r="F67" s="4"/>
      <c r="G67" s="4"/>
      <c r="H67" s="4"/>
      <c r="I67" s="4"/>
      <c r="J67" s="4" t="s">
        <v>61</v>
      </c>
      <c r="K67" s="102">
        <v>-6.348803823197363E-4</v>
      </c>
      <c r="L67" s="103">
        <v>-1.2902280406211007E-3</v>
      </c>
      <c r="M67" s="96">
        <v>-5.3455825938664292</v>
      </c>
      <c r="N67" s="96">
        <v>7.0177829146724902</v>
      </c>
      <c r="O67" s="97">
        <v>0</v>
      </c>
      <c r="P67" s="98">
        <v>0</v>
      </c>
      <c r="X67" s="4" t="s">
        <v>81</v>
      </c>
      <c r="Y67" s="95">
        <f>(1-RecoveryRate)*YearFraction*(SUMPRODUCT($Z$5:$Z$8,$AB$5:$AB$8)-SUMPRODUCT($AA$9:$AA$20,$AB$9:$AB$20))</f>
        <v>0.58683852936828751</v>
      </c>
      <c r="Z67" s="96">
        <f>(1-RecoveryRate)*YearFraction*(SUMPRODUCT($Z$9:$Z$12,$AB$9:$AB$12)-SUMPRODUCT($AA$13:$AA$20,$AB$13:$AB$20))</f>
        <v>0.56846822812035935</v>
      </c>
      <c r="AA67" s="96">
        <f>(1-RecoveryRate)*YearFraction*(SUMPRODUCT($Z$13:$Z$16,$AB$13:$AB$16)-SUMPRODUCT($AA$17:$AA$20,$AB$17:$AB$20))</f>
        <v>0.55029325447240296</v>
      </c>
      <c r="AB67" s="96">
        <f>(1-RecoveryRate)*YearFraction*(SUMPRODUCT($Z$17:$Z$20,$AB$17:$AB$20))</f>
        <v>0.5324012194180201</v>
      </c>
      <c r="AC67" s="97">
        <v>0</v>
      </c>
      <c r="AD67" s="98">
        <v>0</v>
      </c>
      <c r="AG67" s="4" t="s">
        <v>108</v>
      </c>
      <c r="AH67" s="144">
        <f t="shared" si="31"/>
        <v>1.7000157368644202E-3</v>
      </c>
      <c r="AI67" s="145">
        <f t="shared" si="31"/>
        <v>1.7000152245322635E-3</v>
      </c>
      <c r="AJ67" s="145">
        <f t="shared" ref="AJ67:AK67" si="33">AJ78/AJ89</f>
        <v>1.7000147286577731E-3</v>
      </c>
      <c r="AK67" s="145">
        <f t="shared" si="33"/>
        <v>1.7000142491876171E-3</v>
      </c>
      <c r="AL67" s="21">
        <v>0</v>
      </c>
      <c r="AM67" s="146">
        <v>0</v>
      </c>
    </row>
    <row r="68" spans="3:39" ht="15.6" x14ac:dyDescent="0.3">
      <c r="C68" s="4"/>
      <c r="D68" s="4"/>
      <c r="E68" s="4"/>
      <c r="F68" s="4"/>
      <c r="G68" s="4"/>
      <c r="H68" s="4"/>
      <c r="I68" s="4"/>
      <c r="J68" s="4" t="s">
        <v>62</v>
      </c>
      <c r="K68" s="102">
        <v>-2.4223701847788958E-3</v>
      </c>
      <c r="L68" s="103">
        <v>-4.9228261499306078E-3</v>
      </c>
      <c r="M68" s="103">
        <v>-7.5063871417107089E-3</v>
      </c>
      <c r="N68" s="96">
        <v>-7.2636410416646928</v>
      </c>
      <c r="O68" s="96">
        <v>8.9678377003256085</v>
      </c>
      <c r="P68" s="98">
        <v>0</v>
      </c>
      <c r="X68" s="4" t="s">
        <v>82</v>
      </c>
      <c r="Y68" s="95">
        <f>(1-RecoveryRate)*YearFraction*(SUMPRODUCT($Z$5:$Z$8,$AB$5:$AB$8)-SUMPRODUCT($AA$9:$AA$24,$AB$9:$AB$24))</f>
        <v>0.58563344229642267</v>
      </c>
      <c r="Z68" s="96">
        <f>(1-RecoveryRate)*YearFraction*(SUMPRODUCT($Z$9:$Z$12,$AB$9:$AB$12)-SUMPRODUCT($AA$13:$AA$24,$AB$13:$AB$24))</f>
        <v>0.56726314104849451</v>
      </c>
      <c r="AA68" s="96">
        <f>(1-RecoveryRate)*YearFraction*(SUMPRODUCT($Z$13:$Z$16,$AB$13:$AB$16)-SUMPRODUCT($AA$17:$AA$24,$AB$17:$AB$24))</f>
        <v>0.54908816740053812</v>
      </c>
      <c r="AB68" s="96">
        <f>(1-RecoveryRate)*YearFraction*(SUMPRODUCT($Z$17:$Z$20,$AB$17:$AB$20)-SUMPRODUCT($AA$21:$AA$24,$AB$21:$AB$24))</f>
        <v>0.53119613234615526</v>
      </c>
      <c r="AC68" s="96">
        <f>(1-RecoveryRate)*YearFraction*(SUMPRODUCT($Z$21:$Z$24,$AB$21:$AB$24))</f>
        <v>0.51278321397273419</v>
      </c>
      <c r="AD68" s="98">
        <v>0</v>
      </c>
      <c r="AG68" s="4" t="s">
        <v>109</v>
      </c>
      <c r="AH68" s="144">
        <f t="shared" si="31"/>
        <v>2.4330127616702482E-3</v>
      </c>
      <c r="AI68" s="145">
        <f t="shared" si="31"/>
        <v>2.4330123294041585E-3</v>
      </c>
      <c r="AJ68" s="145">
        <f t="shared" ref="AJ68:AK68" si="34">AJ79/AJ90</f>
        <v>2.4330119110237661E-3</v>
      </c>
      <c r="AK68" s="145">
        <f t="shared" si="34"/>
        <v>2.433011506484074E-3</v>
      </c>
      <c r="AL68" s="145">
        <f t="shared" ref="AL68" si="35">AL79/AL90</f>
        <v>2.4330111158259149E-3</v>
      </c>
      <c r="AM68" s="146">
        <v>0</v>
      </c>
    </row>
    <row r="69" spans="3:39" ht="15.6" x14ac:dyDescent="0.3">
      <c r="C69" s="4"/>
      <c r="D69" s="4"/>
      <c r="E69" s="4"/>
      <c r="F69" s="4"/>
      <c r="G69" s="4"/>
      <c r="H69" s="4"/>
      <c r="I69" s="4"/>
      <c r="J69" s="4" t="s">
        <v>63</v>
      </c>
      <c r="K69" s="104">
        <v>-4.2061035991862222E-4</v>
      </c>
      <c r="L69" s="105">
        <v>-8.5478126718130289E-4</v>
      </c>
      <c r="M69" s="105">
        <v>-1.3033793000504072E-3</v>
      </c>
      <c r="N69" s="105">
        <v>-1.7653506455852755E-3</v>
      </c>
      <c r="O69" s="100">
        <v>-1.9918643990896023</v>
      </c>
      <c r="P69" s="101">
        <v>3.6723500077583262</v>
      </c>
      <c r="X69" s="4" t="s">
        <v>83</v>
      </c>
      <c r="Y69" s="99">
        <f>(1-RecoveryRate)*YearFraction*(SUMPRODUCT($Z$5:$Z$8,$AB$5:$AB$8)-SUMPRODUCT($AA$9:$AA$44,$AB$9:$AB$44))</f>
        <v>0.58210639712538581</v>
      </c>
      <c r="Z69" s="128">
        <f>(1-RecoveryRate)*YearFraction*(SUMPRODUCT($Z$9:$Z$12,$AB$9:$AB$12)-SUMPRODUCT($AA$13:$AA$44,$AB$13:$AB$44))</f>
        <v>0.56373609587745777</v>
      </c>
      <c r="AA69" s="128">
        <f>(1-RecoveryRate)*YearFraction*(SUMPRODUCT($Z$13:$Z$16,$AB$13:$AB$16)-SUMPRODUCT($AA$17:$AA$44,$AB$17:$AB$44))</f>
        <v>0.54556112222950126</v>
      </c>
      <c r="AB69" s="128">
        <f>(1-RecoveryRate)*YearFraction*(SUMPRODUCT($Z$17:$Z$20,$AB$17:$AB$20)-SUMPRODUCT($AA$21:$AA$44,$AB$21:$AB$44))</f>
        <v>0.52766908717511851</v>
      </c>
      <c r="AC69" s="128">
        <f>(1-RecoveryRate)*YearFraction*(SUMPRODUCT($Z$21:$Z$24,$AB$21:$AB$24)-SUMPRODUCT($AA$25:$AA$44,$AB$25:$AB$44))</f>
        <v>0.50925616880169733</v>
      </c>
      <c r="AD69" s="101">
        <f>(1-RecoveryRate)*YearFraction*(SUMPRODUCT($Z$25:$Z$44,$AB$25:$AB$44))</f>
        <v>2.2991677175717609</v>
      </c>
      <c r="AG69" s="4" t="s">
        <v>110</v>
      </c>
      <c r="AH69" s="147">
        <f t="shared" si="31"/>
        <v>3.000006966174642E-3</v>
      </c>
      <c r="AI69" s="155">
        <f t="shared" si="31"/>
        <v>3.0000067241361702E-3</v>
      </c>
      <c r="AJ69" s="155">
        <f t="shared" ref="AJ69:AK69" si="36">AJ80/AJ91</f>
        <v>3.0000064898726905E-3</v>
      </c>
      <c r="AK69" s="155">
        <f t="shared" si="36"/>
        <v>3.0000062633590342E-3</v>
      </c>
      <c r="AL69" s="155">
        <f t="shared" ref="AL69:AM69" si="37">AL80/AL91</f>
        <v>3.0000060446180462E-3</v>
      </c>
      <c r="AM69" s="156">
        <f t="shared" si="37"/>
        <v>3.0000272269126208E-3</v>
      </c>
    </row>
    <row r="72" spans="3:39" x14ac:dyDescent="0.3">
      <c r="Y72" s="1" t="s">
        <v>77</v>
      </c>
      <c r="AH72" s="1" t="s">
        <v>103</v>
      </c>
    </row>
    <row r="74" spans="3:39" ht="15.6" x14ac:dyDescent="0.3">
      <c r="X74" s="42" t="s">
        <v>91</v>
      </c>
      <c r="Y74" s="4" t="s">
        <v>58</v>
      </c>
      <c r="Z74" s="4" t="s">
        <v>59</v>
      </c>
      <c r="AA74" s="4" t="s">
        <v>60</v>
      </c>
      <c r="AB74" s="4" t="s">
        <v>61</v>
      </c>
      <c r="AC74" s="4" t="s">
        <v>62</v>
      </c>
      <c r="AD74" s="4" t="s">
        <v>63</v>
      </c>
      <c r="AG74" s="42" t="s">
        <v>90</v>
      </c>
      <c r="AH74" s="4" t="s">
        <v>58</v>
      </c>
      <c r="AI74" s="4" t="s">
        <v>59</v>
      </c>
      <c r="AJ74" s="4" t="s">
        <v>60</v>
      </c>
      <c r="AK74" s="4" t="s">
        <v>61</v>
      </c>
      <c r="AL74" s="4" t="s">
        <v>62</v>
      </c>
      <c r="AM74" s="4" t="s">
        <v>63</v>
      </c>
    </row>
    <row r="75" spans="3:39" ht="15.6" x14ac:dyDescent="0.3">
      <c r="X75" s="4" t="s">
        <v>84</v>
      </c>
      <c r="Y75" s="92">
        <f>-YearFraction*(0.5*YearFraction*SUMPRODUCT($Z$5:$Z$8,$AB$5:$AB$8))</f>
        <v>-0.12253776038753372</v>
      </c>
      <c r="Z75" s="93">
        <v>0</v>
      </c>
      <c r="AA75" s="93">
        <v>0</v>
      </c>
      <c r="AB75" s="93">
        <v>0</v>
      </c>
      <c r="AC75" s="93">
        <v>0</v>
      </c>
      <c r="AD75" s="94">
        <v>0</v>
      </c>
      <c r="AG75" s="4" t="s">
        <v>78</v>
      </c>
      <c r="AH75" s="148">
        <f>LGD*SUMPRODUCT($AK$5:$AK$8,DiscFactors1Y)</f>
        <v>980.56513685500272</v>
      </c>
      <c r="AI75" s="35">
        <v>0</v>
      </c>
      <c r="AJ75" s="35">
        <v>0</v>
      </c>
      <c r="AK75" s="35">
        <v>0</v>
      </c>
      <c r="AL75" s="35">
        <v>0</v>
      </c>
      <c r="AM75" s="36">
        <v>0</v>
      </c>
    </row>
    <row r="76" spans="3:39" ht="15.6" x14ac:dyDescent="0.3">
      <c r="X76" s="4" t="s">
        <v>85</v>
      </c>
      <c r="Y76" s="95">
        <f>-YearFraction*(0.5*YearFraction*SUMPRODUCT($Z$5:$Z$8,$AB$5:$AB$8)+SUM($AB$9:$AB$12)*(YearFraction*SUM($Z$9:$Z$12)+0.5*YearFraction*SUM($AA$9:$AA$12)))</f>
        <v>-1.0719392127122123</v>
      </c>
      <c r="Z76" s="96">
        <f>-YearFraction*(0.5*YearFraction*SUMPRODUCT($Z$9:$Z$12,$AB$9:$AB$12))</f>
        <v>-0.11864106276708281</v>
      </c>
      <c r="AA76" s="97">
        <v>0</v>
      </c>
      <c r="AB76" s="97">
        <v>0</v>
      </c>
      <c r="AC76" s="97">
        <v>0</v>
      </c>
      <c r="AD76" s="98">
        <v>0</v>
      </c>
      <c r="AG76" s="4" t="s">
        <v>79</v>
      </c>
      <c r="AH76" s="149">
        <f>LGD*SUMPRODUCT($AK$5:$AK$12,DiscFactors2Y)</f>
        <v>2315.9543242611385</v>
      </c>
      <c r="AI76" s="150">
        <f>LGD*SUMPRODUCT($AO$5:$AO$12,DiscFactors2Y)</f>
        <v>2315.9525741726229</v>
      </c>
      <c r="AJ76" s="31">
        <v>0</v>
      </c>
      <c r="AK76" s="31">
        <v>0</v>
      </c>
      <c r="AL76" s="31">
        <v>0</v>
      </c>
      <c r="AM76" s="151">
        <v>0</v>
      </c>
    </row>
    <row r="77" spans="3:39" ht="15.6" x14ac:dyDescent="0.3">
      <c r="X77" s="4" t="s">
        <v>86</v>
      </c>
      <c r="Y77" s="95">
        <f>-YearFraction*(0.5*YearFraction*SUMPRODUCT($Z$5:$Z$8,$AB$5:$AB$8)+SUM($AB$9:$AB$16)*(YearFraction*SUM($Z$9:$Z$16)+0.5*YearFraction*SUM($AA$9:$AA$16)))</f>
        <v>-3.8581005742654702</v>
      </c>
      <c r="Z77" s="96">
        <f>-YearFraction*(0.5*YearFraction*SUMPRODUCT($Z$9:$Z$12,$AB$9:$AB$12)+SUM($AB$13:$AB$16)*(YearFraction*SUM($Z$13:$Z$16)+0.5*YearFraction*SUM($AA$13:$AA$16)))</f>
        <v>-1.0370626124731677</v>
      </c>
      <c r="AA77" s="96">
        <f>-YearFraction*(0.5*YearFraction*SUMPRODUCT($Z$13:$Z$16,$AB$13:$AB$16))</f>
        <v>-0.11475270274694425</v>
      </c>
      <c r="AB77" s="97">
        <v>0</v>
      </c>
      <c r="AC77" s="97">
        <v>0</v>
      </c>
      <c r="AD77" s="98">
        <v>0</v>
      </c>
      <c r="AG77" s="4" t="s">
        <v>80</v>
      </c>
      <c r="AH77" s="149">
        <f>LGD*SUMPRODUCT($AK$5:$AK$16,DiscFactors3Y)</f>
        <v>4272.5719234339022</v>
      </c>
      <c r="AI77" s="150">
        <f>LGD*SUMPRODUCT($AO$5:$AO$16,DiscFactors3Y)</f>
        <v>4272.5701733453861</v>
      </c>
      <c r="AJ77" s="150">
        <f>LGD*SUMPRODUCT($AS$5:$AS$16,DiscFactors3Y)</f>
        <v>4272.5684794749595</v>
      </c>
      <c r="AK77" s="31">
        <v>0</v>
      </c>
      <c r="AL77" s="31">
        <v>0</v>
      </c>
      <c r="AM77" s="151">
        <v>0</v>
      </c>
    </row>
    <row r="78" spans="3:39" ht="15.6" x14ac:dyDescent="0.3">
      <c r="X78" s="4" t="s">
        <v>87</v>
      </c>
      <c r="Y78" s="95">
        <f>-YearFraction*(0.5*YearFraction*SUMPRODUCT($Z$5:$Z$8,$AB$5:$AB$8)+SUM($AB$9:$AB$20)*(YearFraction*SUM($Z$9:$Z$20)+0.5*YearFraction*SUM($AA$9:$AA$20)))</f>
        <v>-8.3887322353146629</v>
      </c>
      <c r="Z78" s="96">
        <f>-YearFraction*(0.5*YearFraction*SUMPRODUCT($Z$9:$Z$12,$AB$9:$AB$12)+SUM($AB$13:$AB$20)*(YearFraction*SUM($Z$13:$Z$20)+0.5*YearFraction*SUM($AA$13:$AA$20)))</f>
        <v>-3.7309030060166082</v>
      </c>
      <c r="AA78" s="96">
        <f>-YearFraction*(0.5*YearFraction*SUMPRODUCT($Z$13:$Z$16,$AB$13:$AB$16)+SUM($AB$17:$AB$20)*(YearFraction*SUM($Z$17:$Z$20)+0.5*YearFraction*SUM($AA$17:$AA$20)))</f>
        <v>-1.0025129852134951</v>
      </c>
      <c r="AB78" s="96">
        <f>-YearFraction*(0.5*YearFraction*SUMPRODUCT($Z$17:$Z$20,$AB$17:$AB$20))</f>
        <v>-0.11091692071208753</v>
      </c>
      <c r="AC78" s="97">
        <v>0</v>
      </c>
      <c r="AD78" s="98">
        <v>0</v>
      </c>
      <c r="AG78" s="4" t="s">
        <v>81</v>
      </c>
      <c r="AH78" s="149">
        <f>LGD*SUMPRODUCT($AK$5:$AK$20,DiscFactors4Y)</f>
        <v>6351.4465672641873</v>
      </c>
      <c r="AI78" s="150">
        <f>LGD*SUMPRODUCT($AO$5:$AO$20,DiscFactors4Y)</f>
        <v>6351.4448171756721</v>
      </c>
      <c r="AJ78" s="150">
        <f>LGD*SUMPRODUCT($AS$5:$AS$20,DiscFactors4Y)</f>
        <v>6351.4431233052446</v>
      </c>
      <c r="AK78" s="150">
        <f>LGD*SUMPRODUCT($AW$5:$AW$20,DiscFactors4Y)</f>
        <v>6351.4414854707165</v>
      </c>
      <c r="AL78" s="31">
        <v>0</v>
      </c>
      <c r="AM78" s="151">
        <v>0</v>
      </c>
    </row>
    <row r="79" spans="3:39" ht="15.6" x14ac:dyDescent="0.3">
      <c r="X79" s="4" t="s">
        <v>88</v>
      </c>
      <c r="Y79" s="95">
        <f>-YearFraction*(0.5*YearFraction*SUMPRODUCT($Z$5:$Z$8,$AB$5:$AB$8)+SUM($AB$9:$AB$24)*(YearFraction*SUM($Z$9:$Z$24)+0.5*YearFraction*SUM($AA$9:$AA$24)))</f>
        <v>-14.564991765462505</v>
      </c>
      <c r="Z79" s="96">
        <f>-YearFraction*(0.5*YearFraction*SUMPRODUCT($Z$9:$Z$12,$AB$9:$AB$12)+SUM($AB$13:$AB$24)*(YearFraction*SUM($Z$13:$Z$24)+0.5*YearFraction*SUM($AA$13:$AA$24)))</f>
        <v>-8.1032258995850395</v>
      </c>
      <c r="AA79" s="96">
        <f>-YearFraction*(0.5*YearFraction*SUMPRODUCT($Z$13:$Z$16,$AB$13:$AB$16)+SUM($AB$17:$AB$24)*(YearFraction*SUM($Z$17:$Z$24)+0.5*YearFraction*SUM($AA$17:$AA$24)))</f>
        <v>-3.6013461734447896</v>
      </c>
      <c r="AB79" s="96">
        <f>-YearFraction*(0.5*YearFraction*SUMPRODUCT($Z$17:$Z$20,$AB$17:$AB$20)+SUM($AB$21:$AB$24)*(YearFraction*SUM($Z$21:$Z$24)+0.5*YearFraction*SUM($AA$21:$AA$24)))</f>
        <v>-0.96654087790741694</v>
      </c>
      <c r="AC79" s="96">
        <f>-YearFraction*(0.5*YearFraction*SUMPRODUCT($Z$21:$Z$24,$AB$21:$AB$24))</f>
        <v>-0.10682983624431963</v>
      </c>
      <c r="AD79" s="98">
        <v>0</v>
      </c>
      <c r="AG79" s="4" t="s">
        <v>82</v>
      </c>
      <c r="AH79" s="149">
        <f>LGD*SUMPRODUCT($AK$5:$AK$24,DiscFactors5Y)</f>
        <v>11171.794372688846</v>
      </c>
      <c r="AI79" s="150">
        <f>LGD*SUMPRODUCT($AO$5:$AO$24,DiscFactors5Y)</f>
        <v>11171.792622600329</v>
      </c>
      <c r="AJ79" s="150">
        <f>LGD*SUMPRODUCT($AS$5:$AS$24,DiscFactors5Y)</f>
        <v>11171.790928729903</v>
      </c>
      <c r="AK79" s="150">
        <f>LGD*SUMPRODUCT($AW$5:$AW$24,DiscFactors5Y)</f>
        <v>11171.789290895375</v>
      </c>
      <c r="AL79" s="150">
        <f>LGD*SUMPRODUCT($BA$5:$BA$24,DiscFactors5Y)</f>
        <v>11171.78770926208</v>
      </c>
      <c r="AM79" s="151">
        <v>0</v>
      </c>
    </row>
    <row r="80" spans="3:39" ht="15.6" x14ac:dyDescent="0.3">
      <c r="X80" s="4" t="s">
        <v>89</v>
      </c>
      <c r="Y80" s="99">
        <f>-YearFraction*(0.5*YearFraction*SUMPRODUCT($Z$5:$Z$8,$AB$5:$AB$8)+SUM($AB$9:$AB$44)*(YearFraction*SUM($Z$9:$Z$44)+0.5*YearFraction*SUM($AA$9:$AA$44)))</f>
        <v>-67.056426102636564</v>
      </c>
      <c r="Z80" s="100">
        <f>-YearFraction*(0.5*YearFraction*SUMPRODUCT($Z$9:$Z$12,$AB$9:$AB$12)+SUM($AB$13:$AB$44)*(YearFraction*SUM($Z$13:$Z$44)+0.5*YearFraction*SUM($AA$13:$AA$44)))</f>
        <v>-52.03991712643937</v>
      </c>
      <c r="AA80" s="100">
        <f>-YearFraction*(0.5*YearFraction*SUMPRODUCT($Z$13:$Z$16,$AB$13:$AB$16)+SUM($AB$17:$AB$44)*(YearFraction*SUM($Z$17:$Z$44)+0.5*YearFraction*SUM($AA$17:$AA$44)))</f>
        <v>-39.131673317562147</v>
      </c>
      <c r="AB80" s="100">
        <f>-YearFraction*(0.5*YearFraction*SUMPRODUCT($Z$17:$Z$20,$AB$17:$AB$20)+SUM($AB$21:$AB$44)*(YearFraction*SUM($Z$21:$Z$44)+0.5*YearFraction*SUM($AA$21:$AA$44)))</f>
        <v>-28.23784775329597</v>
      </c>
      <c r="AC80" s="100">
        <f>-YearFraction*(0.5*YearFraction*SUMPRODUCT($Z$21:$Z$24,$AB$21:$AB$24)+SUM($AB$25:$AB$44)*(YearFraction*SUM($Z$25:$Z$44)+0.5*YearFraction*SUM($AA$25:$AA$44)))</f>
        <v>-19.273876670521599</v>
      </c>
      <c r="AD80" s="101">
        <f>-YearFraction*(0.5*YearFraction*SUMPRODUCT($Z$25:$Z$44,$AB$25:$AB$44))</f>
        <v>-0.47899327449411688</v>
      </c>
      <c r="AG80" s="4" t="s">
        <v>83</v>
      </c>
      <c r="AH80" s="152">
        <f>LGD*SUMPRODUCT($AK$5:$AK$44,DiscFactors10Y)</f>
        <v>25279.973646018112</v>
      </c>
      <c r="AI80" s="153">
        <f>LGD*SUMPRODUCT($AO$5:$AO$44,DiscFactors10Y)</f>
        <v>25279.971895929648</v>
      </c>
      <c r="AJ80" s="153">
        <f>LGD*SUMPRODUCT($AS$5:$AS$44,DiscFactors10Y)</f>
        <v>25279.970202059169</v>
      </c>
      <c r="AK80" s="153">
        <f>LGD*SUMPRODUCT($AW$5:$AW$44,DiscFactors10Y)</f>
        <v>25279.968564224695</v>
      </c>
      <c r="AL80" s="153">
        <f>LGD*SUMPRODUCT($BA$5:$BA$44,DiscFactors10Y)</f>
        <v>25279.966982591402</v>
      </c>
      <c r="AM80" s="154">
        <f>LGD*SUMPRODUCT($BE$5:$BE$44,DiscFactors10Y)</f>
        <v>25280.143966928073</v>
      </c>
    </row>
    <row r="83" spans="33:39" x14ac:dyDescent="0.3">
      <c r="AH83" s="1" t="s">
        <v>104</v>
      </c>
    </row>
    <row r="85" spans="33:39" ht="15.6" x14ac:dyDescent="0.3">
      <c r="AG85" s="42" t="s">
        <v>91</v>
      </c>
      <c r="AH85" s="4" t="s">
        <v>58</v>
      </c>
      <c r="AI85" s="4" t="s">
        <v>59</v>
      </c>
      <c r="AJ85" s="4" t="s">
        <v>60</v>
      </c>
      <c r="AK85" s="4" t="s">
        <v>61</v>
      </c>
      <c r="AL85" s="4" t="s">
        <v>62</v>
      </c>
      <c r="AM85" s="4" t="s">
        <v>63</v>
      </c>
    </row>
    <row r="86" spans="33:39" ht="15.6" x14ac:dyDescent="0.3">
      <c r="AG86" s="4" t="s">
        <v>84</v>
      </c>
      <c r="AH86" s="148">
        <f>Notional*YearFraction*(SUMPRODUCT($AJ$5:$AJ$8,DiscFactors1Y)+0.5*SUMPRODUCT($AK$5:$AK$8,DiscFactors1Y))</f>
        <v>980506.30647916871</v>
      </c>
      <c r="AI86" s="35">
        <v>0</v>
      </c>
      <c r="AJ86" s="35">
        <v>0</v>
      </c>
      <c r="AK86" s="35">
        <v>0</v>
      </c>
      <c r="AL86" s="35">
        <v>0</v>
      </c>
      <c r="AM86" s="36">
        <v>0</v>
      </c>
    </row>
    <row r="87" spans="33:39" ht="15.6" x14ac:dyDescent="0.3">
      <c r="AG87" s="4" t="s">
        <v>85</v>
      </c>
      <c r="AH87" s="149">
        <f>Notional*YearFraction*(SUMPRODUCT($AJ$5:$AJ$12,DiscFactors2Y)+0.5*SUMPRODUCT($AK$5:$AK$12,DiscFactors2Y))</f>
        <v>1929912.9197836956</v>
      </c>
      <c r="AI87" s="150">
        <f>Notional*YearFraction*(SUMPRODUCT($AN$5:$AN$12,DiscFactors2Y)+0.5*SUMPRODUCT($AO$5:$AO$12,DiscFactors2Y))</f>
        <v>1929913.0162775442</v>
      </c>
      <c r="AJ87" s="31">
        <v>0</v>
      </c>
      <c r="AK87" s="31">
        <v>0</v>
      </c>
      <c r="AL87" s="31">
        <v>0</v>
      </c>
      <c r="AM87" s="151">
        <v>0</v>
      </c>
    </row>
    <row r="88" spans="33:39" ht="15.6" x14ac:dyDescent="0.3">
      <c r="AG88" s="4" t="s">
        <v>86</v>
      </c>
      <c r="AH88" s="149">
        <f>Notional*YearFraction*(SUMPRODUCT($AJ$5:$AJ$16,DiscFactors3Y)+0.5*SUMPRODUCT($AK$5:$AK$16,DiscFactors3Y))</f>
        <v>2848342.0786235863</v>
      </c>
      <c r="AI88" s="150">
        <f>Notional*YearFraction*(SUMPRODUCT($AN$5:$AN$16,DiscFactors3Y)+0.5*SUMPRODUCT($AO$5:$AO$16,DiscFactors3Y))</f>
        <v>2848342.1751174349</v>
      </c>
      <c r="AJ88" s="150">
        <f>Notional*YearFraction*(SUMPRODUCT($AR$5:$AR$16,DiscFactors3Y)+0.5*SUMPRODUCT($AS$5:$AS$16,DiscFactors3Y))</f>
        <v>2848342.268511619</v>
      </c>
      <c r="AK88" s="31">
        <v>0</v>
      </c>
      <c r="AL88" s="31">
        <v>0</v>
      </c>
      <c r="AM88" s="151">
        <v>0</v>
      </c>
    </row>
    <row r="89" spans="33:39" ht="15.6" x14ac:dyDescent="0.3">
      <c r="AG89" s="4" t="s">
        <v>87</v>
      </c>
      <c r="AH89" s="149">
        <f>Notional*YearFraction*(SUMPRODUCT($AJ$5:$AJ$20,DiscFactors4Y)+0.5*SUMPRODUCT($AK$5:$AK$20,DiscFactors4Y))</f>
        <v>3736110.4544708859</v>
      </c>
      <c r="AI89" s="150">
        <f>Notional*YearFraction*(SUMPRODUCT($AN$5:$AN$20,DiscFactors4Y)+0.5*SUMPRODUCT($AO$5:$AO$20,DiscFactors4Y))</f>
        <v>3736110.550964735</v>
      </c>
      <c r="AJ89" s="150">
        <f>Notional*YearFraction*(SUMPRODUCT($AR$5:$AR$20,DiscFactors4Y)+0.5*SUMPRODUCT($AS$5:$AS$20,DiscFactors4Y))</f>
        <v>3736110.6443589185</v>
      </c>
      <c r="AK89" s="150">
        <f>Notional*YearFraction*(SUMPRODUCT($AV$5:$AV$20,DiscFactors4Y)+0.5*SUMPRODUCT($AW$5:$AW$20,DiscFactors4Y))</f>
        <v>3736110.7346634706</v>
      </c>
      <c r="AL89" s="31">
        <v>0</v>
      </c>
      <c r="AM89" s="151">
        <v>0</v>
      </c>
    </row>
    <row r="90" spans="33:39" ht="15.6" x14ac:dyDescent="0.3">
      <c r="AG90" s="4" t="s">
        <v>88</v>
      </c>
      <c r="AH90" s="149">
        <f>Notional*YearFraction*(SUMPRODUCT($AJ$5:$AJ$24,DiscFactors5Y)+0.5*SUMPRODUCT($AK$5:$AK$24,DiscFactors5Y))</f>
        <v>4591753.2980877087</v>
      </c>
      <c r="AI90" s="150">
        <f>Notional*YearFraction*(SUMPRODUCT($AN$5:$AN$24,DiscFactors5Y)+0.5*SUMPRODUCT($AO$5:$AO$24,DiscFactors5Y))</f>
        <v>4591753.3945815582</v>
      </c>
      <c r="AJ90" s="150">
        <f>Notional*YearFraction*(SUMPRODUCT($AR$5:$AR$24,DiscFactors5Y)+0.5*SUMPRODUCT($AS$5:$AS$24,DiscFactors5Y))</f>
        <v>4591753.4879757417</v>
      </c>
      <c r="AK90" s="150">
        <f>Notional*YearFraction*(SUMPRODUCT($AV$5:$AV$24,DiscFactors5Y)+0.5*SUMPRODUCT($AW$5:$AW$24,DiscFactors5Y))</f>
        <v>4591753.5782802934</v>
      </c>
      <c r="AL90" s="150">
        <f>Notional*YearFraction*(SUMPRODUCT($AZ$5:$AZ$24,DiscFactors5Y)+0.5*SUMPRODUCT($BA$5:$BA$24,DiscFactors5Y))</f>
        <v>4591753.6654861039</v>
      </c>
      <c r="AM90" s="151">
        <v>0</v>
      </c>
    </row>
    <row r="91" spans="33:39" ht="15.6" x14ac:dyDescent="0.3">
      <c r="AG91" s="4" t="s">
        <v>89</v>
      </c>
      <c r="AH91" s="152">
        <f>Notional*YearFraction*(SUMPRODUCT($AJ$5:$AJ$44,DiscFactors10Y)+0.5*SUMPRODUCT($AK$5:$AK$44,DiscFactors10Y))</f>
        <v>8426638.3148613218</v>
      </c>
      <c r="AI91" s="153">
        <f>Notional*YearFraction*(SUMPRODUCT($AN$5:$AN$44,DiscFactors10Y)+0.5*SUMPRODUCT($AO$5:$AO$44,DiscFactors10Y))</f>
        <v>8426638.4113551714</v>
      </c>
      <c r="AJ91" s="153">
        <f>Notional*YearFraction*(SUMPRODUCT($AR$5:$AR$44,DiscFactors10Y)+0.5*SUMPRODUCT($AS$5:$AS$44,DiscFactors10Y))</f>
        <v>8426638.504749354</v>
      </c>
      <c r="AK91" s="153">
        <f>Notional*YearFraction*(SUMPRODUCT($AV$5:$AV$44,DiscFactors10Y)+0.5*SUMPRODUCT($AW$5:$AW$44,DiscFactors10Y))</f>
        <v>8426638.5950539075</v>
      </c>
      <c r="AL91" s="153">
        <f>Notional*YearFraction*(SUMPRODUCT($AZ$5:$AZ$44,DiscFactors10Y)+0.5*SUMPRODUCT($BA$5:$BA$44,DiscFactors10Y))</f>
        <v>8426638.682259718</v>
      </c>
      <c r="AM91" s="154">
        <f>Notional*YearFraction*(SUMPRODUCT($BD$5:$BD$44,DiscFactors10Y)+0.5*SUMPRODUCT($BE$5:$BE$44,DiscFactors10Y))</f>
        <v>8426638.1785288993</v>
      </c>
    </row>
  </sheetData>
  <mergeCells count="7">
    <mergeCell ref="K9:L9"/>
    <mergeCell ref="K3:L3"/>
    <mergeCell ref="K4:L4"/>
    <mergeCell ref="K5:L5"/>
    <mergeCell ref="K8:L8"/>
    <mergeCell ref="K6:L6"/>
    <mergeCell ref="K7:L7"/>
  </mergeCells>
  <dataValidations count="2">
    <dataValidation type="list" allowBlank="1" showInputMessage="1" showErrorMessage="1" sqref="O37" xr:uid="{ED6D3334-3C12-4598-9B8E-3E8C11E28705}">
      <formula1>"TRUE,FALSE"</formula1>
    </dataValidation>
    <dataValidation type="list" allowBlank="1" showInputMessage="1" showErrorMessage="1" sqref="K51" xr:uid="{ABA15CA1-E0CD-4204-8952-CA2BCA25F43C}">
      <formula1>"ANALYTICAL,NUMERICAL"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UpdateSolverIteration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B312-6E25-473F-916F-85E156F5AFA0}">
  <sheetPr codeName="Sheet3"/>
  <dimension ref="B1:Z44"/>
  <sheetViews>
    <sheetView showGridLines="0" zoomScaleNormal="100" workbookViewId="0"/>
  </sheetViews>
  <sheetFormatPr defaultRowHeight="14.4" outlineLevelCol="1" x14ac:dyDescent="0.3"/>
  <cols>
    <col min="1" max="1" width="5.33203125" customWidth="1"/>
    <col min="2" max="3" width="12.77734375" customWidth="1"/>
    <col min="4" max="4" width="15.77734375" customWidth="1"/>
    <col min="5" max="5" width="5.33203125" customWidth="1"/>
    <col min="6" max="14" width="12.77734375" customWidth="1" outlineLevel="1"/>
    <col min="15" max="15" width="15.77734375" customWidth="1"/>
    <col min="16" max="16" width="5.33203125" customWidth="1"/>
    <col min="17" max="23" width="12.77734375" customWidth="1" outlineLevel="1"/>
    <col min="24" max="24" width="15.77734375" customWidth="1"/>
  </cols>
  <sheetData>
    <row r="1" spans="2:26" x14ac:dyDescent="0.3">
      <c r="O1" s="133" t="s">
        <v>117</v>
      </c>
      <c r="P1" s="133"/>
      <c r="X1" s="133" t="s">
        <v>136</v>
      </c>
    </row>
    <row r="2" spans="2:26" x14ac:dyDescent="0.3">
      <c r="B2" s="1" t="s">
        <v>138</v>
      </c>
      <c r="F2" s="1" t="s">
        <v>117</v>
      </c>
      <c r="Q2" s="1" t="s">
        <v>136</v>
      </c>
      <c r="Z2" s="1" t="s">
        <v>141</v>
      </c>
    </row>
    <row r="3" spans="2:26" x14ac:dyDescent="0.3">
      <c r="B3" s="123" t="s">
        <v>119</v>
      </c>
      <c r="C3" s="124"/>
      <c r="D3" s="163" t="s">
        <v>120</v>
      </c>
      <c r="F3" s="44" t="s">
        <v>7</v>
      </c>
      <c r="G3" s="4" t="s">
        <v>2</v>
      </c>
      <c r="H3" s="4" t="s">
        <v>133</v>
      </c>
      <c r="I3" s="44" t="s">
        <v>9</v>
      </c>
      <c r="J3" s="44" t="s">
        <v>27</v>
      </c>
      <c r="K3" s="44" t="s">
        <v>140</v>
      </c>
      <c r="L3" s="44" t="s">
        <v>134</v>
      </c>
      <c r="M3" s="44" t="s">
        <v>135</v>
      </c>
      <c r="N3" s="44" t="s">
        <v>31</v>
      </c>
      <c r="Q3" s="44" t="s">
        <v>7</v>
      </c>
      <c r="R3" s="4" t="s">
        <v>137</v>
      </c>
      <c r="S3" s="4" t="s">
        <v>133</v>
      </c>
      <c r="T3" s="44" t="s">
        <v>9</v>
      </c>
      <c r="U3" s="44" t="s">
        <v>27</v>
      </c>
      <c r="V3" s="44" t="s">
        <v>140</v>
      </c>
      <c r="W3" s="44" t="s">
        <v>31</v>
      </c>
    </row>
    <row r="4" spans="2:26" x14ac:dyDescent="0.3">
      <c r="B4" s="125" t="s">
        <v>19</v>
      </c>
      <c r="D4" s="53">
        <v>10000000</v>
      </c>
      <c r="F4" s="20">
        <v>0</v>
      </c>
      <c r="G4" s="126" t="s">
        <v>127</v>
      </c>
      <c r="H4" s="126" t="s">
        <v>127</v>
      </c>
      <c r="I4" s="12">
        <v>1</v>
      </c>
      <c r="J4" s="12">
        <v>0</v>
      </c>
      <c r="K4" s="97">
        <v>1</v>
      </c>
      <c r="L4" s="168" t="s">
        <v>127</v>
      </c>
      <c r="M4" s="168" t="s">
        <v>127</v>
      </c>
      <c r="N4" s="126" t="s">
        <v>127</v>
      </c>
      <c r="Q4" s="20">
        <v>0</v>
      </c>
      <c r="R4" s="126" t="str">
        <f>"-"</f>
        <v>-</v>
      </c>
      <c r="S4" s="4" t="str">
        <f>"-"</f>
        <v>-</v>
      </c>
      <c r="T4" s="12">
        <v>1</v>
      </c>
      <c r="U4" s="12">
        <v>0</v>
      </c>
      <c r="V4" s="97">
        <v>1</v>
      </c>
      <c r="W4" s="4" t="str">
        <f>"-"</f>
        <v>-</v>
      </c>
    </row>
    <row r="5" spans="2:26" x14ac:dyDescent="0.3">
      <c r="B5" s="125" t="s">
        <v>118</v>
      </c>
      <c r="D5" s="158">
        <v>100</v>
      </c>
      <c r="F5" s="164">
        <f t="shared" ref="F5:F44" si="0">F4+YearFraction</f>
        <v>0.25</v>
      </c>
      <c r="G5" s="35">
        <f t="shared" ref="G5:G44" si="1">IF($F5&gt;CDS.Tenor,"-",CDS.PremiumSign*CDS.Notional*CDS.YearFraction*CDS.CreditSpread)</f>
        <v>-25000</v>
      </c>
      <c r="H5" s="33" cm="1">
        <f t="array" ref="H5">IF($F5&gt;CDS.Tenor,"-",Interpolate(F5,Calibration.Times,Calibration.HazardRates))</f>
        <v>1.666666690779446E-3</v>
      </c>
      <c r="I5" s="141">
        <f t="shared" ref="I5:I44" si="2">IF($F5&gt;CDS.Tenor,"-",EXP(-H5*YearFraction)*I4)</f>
        <v>0.99958342012080814</v>
      </c>
      <c r="J5" s="141">
        <f t="shared" ref="J5:J44" si="3">IF($F5&gt;CDS.Tenor,"-",I4-I5)</f>
        <v>4.1657987919185846E-4</v>
      </c>
      <c r="K5" s="93">
        <f t="shared" ref="K5:K44" si="4">IF($F5&gt;CDS.Tenor,"-",EXP(-ZeroRate*F5))</f>
        <v>0.99247145171553464</v>
      </c>
      <c r="L5" s="35">
        <f t="shared" ref="L5:L44" si="5">IF($F5&gt;CDS.Tenor,"-",G5*I5*K5)</f>
        <v>-24801.450201951942</v>
      </c>
      <c r="M5" s="35">
        <f t="shared" ref="M5:M44" si="6">IF($F5&gt;CDS.Tenor,"-",0.5*G5*J5*K5)</f>
        <v>-5.1680454682128225</v>
      </c>
      <c r="N5" s="36">
        <f t="shared" ref="N5:N44" si="7">IF($F5&gt;CDS.Tenor,"-",L5+M5)</f>
        <v>-24806.618247420156</v>
      </c>
      <c r="Q5" s="164">
        <f t="shared" ref="Q5:Q44" si="8">Q4+YearFraction</f>
        <v>0.25</v>
      </c>
      <c r="R5" s="35">
        <f t="shared" ref="R5:R44" si="9">IF($F5&gt;CDS.Tenor,"-",CDS.ProtectionSign*CDS.Notional*(1-CDS.RecoveryRate))</f>
        <v>6000000</v>
      </c>
      <c r="S5" s="33" cm="1">
        <f t="array" ref="S5">IF($F5&gt;CDS.Tenor,"-",Interpolate(Q5,Calibration.Times,Calibration.HazardRates))</f>
        <v>1.666666690779446E-3</v>
      </c>
      <c r="T5" s="141">
        <f t="shared" ref="T5:T44" si="10">IF($F5&gt;CDS.Tenor,"-",EXP(-S5*YearFraction)*T4)</f>
        <v>0.99958342012080814</v>
      </c>
      <c r="U5" s="141">
        <f t="shared" ref="U5:U44" si="11">IF($F5&gt;CDS.Tenor,"-",T4-T5)</f>
        <v>4.1657987919185846E-4</v>
      </c>
      <c r="V5" s="93">
        <f t="shared" ref="V5:V44" si="12">IF($F5&gt;CDS.Tenor,"-",EXP(-ZeroRate*Q5))</f>
        <v>0.99247145171553464</v>
      </c>
      <c r="W5" s="36">
        <f t="shared" ref="W5:W44" si="13">IF($F5&gt;CDS.Tenor,"-",R5*U5*V5)</f>
        <v>2480.6618247421547</v>
      </c>
    </row>
    <row r="6" spans="2:26" x14ac:dyDescent="0.3">
      <c r="B6" s="125" t="s">
        <v>139</v>
      </c>
      <c r="C6" s="174"/>
      <c r="D6" s="177">
        <v>5</v>
      </c>
      <c r="F6" s="165">
        <f t="shared" si="0"/>
        <v>0.5</v>
      </c>
      <c r="G6" s="31">
        <f t="shared" si="1"/>
        <v>-25000</v>
      </c>
      <c r="H6" s="21" cm="1">
        <f t="array" ref="H6">IF($F6&gt;CDS.Tenor,"-",Interpolate(F6,Calibration.Times,Calibration.HazardRates))</f>
        <v>1.666666690779446E-3</v>
      </c>
      <c r="I6" s="12">
        <f t="shared" si="2"/>
        <v>0.99916701378041206</v>
      </c>
      <c r="J6" s="12">
        <f t="shared" si="3"/>
        <v>4.1640634039608049E-4</v>
      </c>
      <c r="K6" s="97">
        <f t="shared" si="4"/>
        <v>0.98499958247034081</v>
      </c>
      <c r="L6" s="31">
        <f t="shared" si="5"/>
        <v>-24604.477284796078</v>
      </c>
      <c r="M6" s="31">
        <f t="shared" si="6"/>
        <v>-5.1270008928517727</v>
      </c>
      <c r="N6" s="151">
        <f t="shared" si="7"/>
        <v>-24609.604285688929</v>
      </c>
      <c r="Q6" s="165">
        <f t="shared" si="8"/>
        <v>0.5</v>
      </c>
      <c r="R6" s="31">
        <f t="shared" si="9"/>
        <v>6000000</v>
      </c>
      <c r="S6" s="21" cm="1">
        <f t="array" ref="S6">IF($F6&gt;CDS.Tenor,"-",Interpolate(Q6,Calibration.Times,Calibration.HazardRates))</f>
        <v>1.666666690779446E-3</v>
      </c>
      <c r="T6" s="12">
        <f t="shared" si="10"/>
        <v>0.99916701378041206</v>
      </c>
      <c r="U6" s="12">
        <f t="shared" si="11"/>
        <v>4.1640634039608049E-4</v>
      </c>
      <c r="V6" s="97">
        <f t="shared" si="12"/>
        <v>0.98499958247034081</v>
      </c>
      <c r="W6" s="151">
        <f t="shared" si="13"/>
        <v>2460.9604285688511</v>
      </c>
    </row>
    <row r="7" spans="2:26" x14ac:dyDescent="0.3">
      <c r="B7" s="121" t="s">
        <v>121</v>
      </c>
      <c r="C7" s="175"/>
      <c r="D7" s="178">
        <v>0.4</v>
      </c>
      <c r="F7" s="165">
        <f t="shared" si="0"/>
        <v>0.75</v>
      </c>
      <c r="G7" s="31">
        <f t="shared" si="1"/>
        <v>-25000</v>
      </c>
      <c r="H7" s="21" cm="1">
        <f t="array" ref="H7">IF($F7&gt;CDS.Tenor,"-",Interpolate(F7,Calibration.Times,Calibration.HazardRates))</f>
        <v>1.666666690779446E-3</v>
      </c>
      <c r="I7" s="12">
        <f t="shared" si="2"/>
        <v>0.99875078090651892</v>
      </c>
      <c r="J7" s="12">
        <f t="shared" si="3"/>
        <v>4.162328738931409E-4</v>
      </c>
      <c r="K7" s="97">
        <f t="shared" si="4"/>
        <v>0.97758396555353466</v>
      </c>
      <c r="L7" s="31">
        <f t="shared" si="5"/>
        <v>-24409.068724957106</v>
      </c>
      <c r="M7" s="31">
        <f t="shared" si="6"/>
        <v>-5.0862822931775122</v>
      </c>
      <c r="N7" s="151">
        <f t="shared" si="7"/>
        <v>-24414.155007250283</v>
      </c>
      <c r="Q7" s="165">
        <f t="shared" si="8"/>
        <v>0.75</v>
      </c>
      <c r="R7" s="31">
        <f t="shared" si="9"/>
        <v>6000000</v>
      </c>
      <c r="S7" s="21" cm="1">
        <f t="array" ref="S7">IF($F7&gt;CDS.Tenor,"-",Interpolate(Q7,Calibration.Times,Calibration.HazardRates))</f>
        <v>1.666666690779446E-3</v>
      </c>
      <c r="T7" s="12">
        <f t="shared" si="10"/>
        <v>0.99875078090651892</v>
      </c>
      <c r="U7" s="12">
        <f t="shared" si="11"/>
        <v>4.162328738931409E-4</v>
      </c>
      <c r="V7" s="97">
        <f t="shared" si="12"/>
        <v>0.97758396555353466</v>
      </c>
      <c r="W7" s="151">
        <f t="shared" si="13"/>
        <v>2441.4155007252061</v>
      </c>
    </row>
    <row r="8" spans="2:26" x14ac:dyDescent="0.3">
      <c r="F8" s="165">
        <f t="shared" si="0"/>
        <v>1</v>
      </c>
      <c r="G8" s="31">
        <f t="shared" si="1"/>
        <v>-25000</v>
      </c>
      <c r="H8" s="21" cm="1">
        <f t="array" ref="H8">IF($F8&gt;CDS.Tenor,"-",Interpolate(F8,Calibration.Times,Calibration.HazardRates))</f>
        <v>1.666666690779446E-3</v>
      </c>
      <c r="I8" s="12">
        <f t="shared" si="2"/>
        <v>0.99833472142686608</v>
      </c>
      <c r="J8" s="12">
        <f t="shared" si="3"/>
        <v>4.1605947965284162E-4</v>
      </c>
      <c r="K8" s="97">
        <f t="shared" si="4"/>
        <v>0.97022417746674583</v>
      </c>
      <c r="L8" s="31">
        <f t="shared" si="5"/>
        <v>-24215.212098321848</v>
      </c>
      <c r="M8" s="31">
        <f t="shared" si="6"/>
        <v>-5.045887080292756</v>
      </c>
      <c r="N8" s="151">
        <f t="shared" si="7"/>
        <v>-24220.257985402142</v>
      </c>
      <c r="Q8" s="165">
        <f t="shared" si="8"/>
        <v>1</v>
      </c>
      <c r="R8" s="31">
        <f t="shared" si="9"/>
        <v>6000000</v>
      </c>
      <c r="S8" s="21" cm="1">
        <f t="array" ref="S8">IF($F8&gt;CDS.Tenor,"-",Interpolate(Q8,Calibration.Times,Calibration.HazardRates))</f>
        <v>1.666666690779446E-3</v>
      </c>
      <c r="T8" s="12">
        <f t="shared" si="10"/>
        <v>0.99833472142686608</v>
      </c>
      <c r="U8" s="12">
        <f t="shared" si="11"/>
        <v>4.1605947965284162E-4</v>
      </c>
      <c r="V8" s="97">
        <f t="shared" si="12"/>
        <v>0.97022417746674583</v>
      </c>
      <c r="W8" s="151">
        <f t="shared" si="13"/>
        <v>2422.0257985405233</v>
      </c>
    </row>
    <row r="9" spans="2:26" x14ac:dyDescent="0.3">
      <c r="B9" s="1" t="s">
        <v>122</v>
      </c>
      <c r="F9" s="165">
        <f t="shared" si="0"/>
        <v>1.25</v>
      </c>
      <c r="G9" s="31">
        <f t="shared" si="1"/>
        <v>-25000</v>
      </c>
      <c r="H9" s="21" cm="1">
        <f t="array" ref="H9">IF($F9&gt;CDS.Tenor,"-",Interpolate(F9,Calibration.Times,Calibration.HazardRates))</f>
        <v>2.3442523763698223E-3</v>
      </c>
      <c r="I9" s="12">
        <f t="shared" si="2"/>
        <v>0.99774980570658678</v>
      </c>
      <c r="J9" s="12">
        <f t="shared" si="3"/>
        <v>5.8491572027929983E-4</v>
      </c>
      <c r="K9" s="97">
        <f t="shared" si="4"/>
        <v>0.96291979789993165</v>
      </c>
      <c r="L9" s="31">
        <f t="shared" si="5"/>
        <v>-24018.826031642064</v>
      </c>
      <c r="M9" s="31">
        <f t="shared" si="6"/>
        <v>-7.0403365894979544</v>
      </c>
      <c r="N9" s="151">
        <f t="shared" si="7"/>
        <v>-24025.86636823156</v>
      </c>
      <c r="Q9" s="165">
        <f t="shared" si="8"/>
        <v>1.25</v>
      </c>
      <c r="R9" s="31">
        <f t="shared" si="9"/>
        <v>6000000</v>
      </c>
      <c r="S9" s="21" cm="1">
        <f t="array" ref="S9">IF($F9&gt;CDS.Tenor,"-",Interpolate(Q9,Calibration.Times,Calibration.HazardRates))</f>
        <v>2.3442523763698223E-3</v>
      </c>
      <c r="T9" s="12">
        <f t="shared" si="10"/>
        <v>0.99774980570658678</v>
      </c>
      <c r="U9" s="12">
        <f t="shared" si="11"/>
        <v>5.8491572027929983E-4</v>
      </c>
      <c r="V9" s="97">
        <f t="shared" si="12"/>
        <v>0.96291979789993165</v>
      </c>
      <c r="W9" s="151">
        <f t="shared" si="13"/>
        <v>3379.3615629590181</v>
      </c>
    </row>
    <row r="10" spans="2:26" x14ac:dyDescent="0.3">
      <c r="B10" s="123" t="s">
        <v>125</v>
      </c>
      <c r="C10" s="124"/>
      <c r="D10" s="159">
        <f>IF(D3="BUY",-1,1)</f>
        <v>-1</v>
      </c>
      <c r="F10" s="165">
        <f t="shared" si="0"/>
        <v>1.5</v>
      </c>
      <c r="G10" s="31">
        <f t="shared" si="1"/>
        <v>-25000</v>
      </c>
      <c r="H10" s="21" cm="1">
        <f t="array" ref="H10">IF($F10&gt;CDS.Tenor,"-",Interpolate(F10,Calibration.Times,Calibration.HazardRates))</f>
        <v>2.3442523763698223E-3</v>
      </c>
      <c r="I10" s="12">
        <f t="shared" si="2"/>
        <v>0.99716523268339352</v>
      </c>
      <c r="J10" s="12">
        <f t="shared" si="3"/>
        <v>5.8457302319325777E-4</v>
      </c>
      <c r="K10" s="97">
        <f t="shared" si="4"/>
        <v>0.95567040970737449</v>
      </c>
      <c r="L10" s="31">
        <f t="shared" si="5"/>
        <v>-23824.032661612204</v>
      </c>
      <c r="M10" s="31">
        <f t="shared" si="6"/>
        <v>-6.9832392572372397</v>
      </c>
      <c r="N10" s="151">
        <f t="shared" si="7"/>
        <v>-23831.015900869443</v>
      </c>
      <c r="Q10" s="165">
        <f t="shared" si="8"/>
        <v>1.5</v>
      </c>
      <c r="R10" s="31">
        <f t="shared" si="9"/>
        <v>6000000</v>
      </c>
      <c r="S10" s="21" cm="1">
        <f t="array" ref="S10">IF($F10&gt;CDS.Tenor,"-",Interpolate(Q10,Calibration.Times,Calibration.HazardRates))</f>
        <v>2.3442523763698223E-3</v>
      </c>
      <c r="T10" s="12">
        <f t="shared" si="10"/>
        <v>0.99716523268339352</v>
      </c>
      <c r="U10" s="12">
        <f t="shared" si="11"/>
        <v>5.8457302319325777E-4</v>
      </c>
      <c r="V10" s="97">
        <f t="shared" si="12"/>
        <v>0.95567040970737449</v>
      </c>
      <c r="W10" s="151">
        <f t="shared" si="13"/>
        <v>3351.9548434738749</v>
      </c>
    </row>
    <row r="11" spans="2:26" x14ac:dyDescent="0.3">
      <c r="B11" s="125" t="s">
        <v>126</v>
      </c>
      <c r="D11" s="160">
        <f>-D10</f>
        <v>1</v>
      </c>
      <c r="F11" s="165">
        <f t="shared" si="0"/>
        <v>1.75</v>
      </c>
      <c r="G11" s="31">
        <f t="shared" si="1"/>
        <v>-25000</v>
      </c>
      <c r="H11" s="21" cm="1">
        <f t="array" ref="H11">IF($F11&gt;CDS.Tenor,"-",Interpolate(F11,Calibration.Times,Calibration.HazardRates))</f>
        <v>2.3442523763698223E-3</v>
      </c>
      <c r="I11" s="12">
        <f t="shared" si="2"/>
        <v>0.99658100215650292</v>
      </c>
      <c r="J11" s="12">
        <f t="shared" si="3"/>
        <v>5.8423052689060562E-4</v>
      </c>
      <c r="K11" s="97">
        <f t="shared" si="4"/>
        <v>0.94847559888385768</v>
      </c>
      <c r="L11" s="31">
        <f t="shared" si="5"/>
        <v>-23630.819071416605</v>
      </c>
      <c r="M11" s="31">
        <f t="shared" si="6"/>
        <v>-6.9266049859849863</v>
      </c>
      <c r="N11" s="151">
        <f t="shared" si="7"/>
        <v>-23637.745676402588</v>
      </c>
      <c r="Q11" s="165">
        <f t="shared" si="8"/>
        <v>1.75</v>
      </c>
      <c r="R11" s="31">
        <f t="shared" si="9"/>
        <v>6000000</v>
      </c>
      <c r="S11" s="21" cm="1">
        <f t="array" ref="S11">IF($F11&gt;CDS.Tenor,"-",Interpolate(Q11,Calibration.Times,Calibration.HazardRates))</f>
        <v>2.3442523763698223E-3</v>
      </c>
      <c r="T11" s="12">
        <f t="shared" si="10"/>
        <v>0.99658100215650292</v>
      </c>
      <c r="U11" s="12">
        <f t="shared" si="11"/>
        <v>5.8423052689060562E-4</v>
      </c>
      <c r="V11" s="97">
        <f t="shared" si="12"/>
        <v>0.94847559888385768</v>
      </c>
      <c r="W11" s="151">
        <f t="shared" si="13"/>
        <v>3324.7703932727932</v>
      </c>
    </row>
    <row r="12" spans="2:26" x14ac:dyDescent="0.3">
      <c r="B12" s="125" t="s">
        <v>123</v>
      </c>
      <c r="D12" s="161">
        <f>D5/10000</f>
        <v>0.01</v>
      </c>
      <c r="F12" s="165">
        <f t="shared" si="0"/>
        <v>2</v>
      </c>
      <c r="G12" s="31">
        <f t="shared" si="1"/>
        <v>-25000</v>
      </c>
      <c r="H12" s="21" cm="1">
        <f t="array" ref="H12">IF($F12&gt;CDS.Tenor,"-",Interpolate(F12,Calibration.Times,Calibration.HazardRates))</f>
        <v>2.3442523763698223E-3</v>
      </c>
      <c r="I12" s="12">
        <f t="shared" si="2"/>
        <v>0.99599711392524937</v>
      </c>
      <c r="J12" s="12">
        <f t="shared" si="3"/>
        <v>5.8388823125354872E-4</v>
      </c>
      <c r="K12" s="97">
        <f t="shared" si="4"/>
        <v>0.94133495454102345</v>
      </c>
      <c r="L12" s="31">
        <f t="shared" si="5"/>
        <v>-23439.172448995381</v>
      </c>
      <c r="M12" s="31">
        <f t="shared" si="6"/>
        <v>-6.8704300203012236</v>
      </c>
      <c r="N12" s="151">
        <f t="shared" si="7"/>
        <v>-23446.042879015684</v>
      </c>
      <c r="Q12" s="165">
        <f t="shared" si="8"/>
        <v>2</v>
      </c>
      <c r="R12" s="31">
        <f t="shared" si="9"/>
        <v>6000000</v>
      </c>
      <c r="S12" s="21" cm="1">
        <f t="array" ref="S12">IF($F12&gt;CDS.Tenor,"-",Interpolate(Q12,Calibration.Times,Calibration.HazardRates))</f>
        <v>2.3442523763698223E-3</v>
      </c>
      <c r="T12" s="12">
        <f t="shared" si="10"/>
        <v>0.99599711392524937</v>
      </c>
      <c r="U12" s="12">
        <f t="shared" si="11"/>
        <v>5.8388823125354872E-4</v>
      </c>
      <c r="V12" s="97">
        <f t="shared" si="12"/>
        <v>0.94133495454102345</v>
      </c>
      <c r="W12" s="151">
        <f t="shared" si="13"/>
        <v>3297.8064097445872</v>
      </c>
    </row>
    <row r="13" spans="2:26" x14ac:dyDescent="0.3">
      <c r="B13" s="121" t="s">
        <v>124</v>
      </c>
      <c r="C13" s="122"/>
      <c r="D13" s="162">
        <v>0.25</v>
      </c>
      <c r="F13" s="165">
        <f t="shared" si="0"/>
        <v>2.25</v>
      </c>
      <c r="G13" s="31">
        <f t="shared" si="1"/>
        <v>-25000</v>
      </c>
      <c r="H13" s="21" cm="1">
        <f t="array" ref="H13">IF($F13&gt;CDS.Tenor,"-",Interpolate(F13,Calibration.Times,Calibration.HazardRates))</f>
        <v>3.5506598573163228E-3</v>
      </c>
      <c r="I13" s="12">
        <f t="shared" si="2"/>
        <v>0.99511339446407421</v>
      </c>
      <c r="J13" s="12">
        <f t="shared" si="3"/>
        <v>8.8371946117515865E-4</v>
      </c>
      <c r="K13" s="97">
        <f t="shared" si="4"/>
        <v>0.93424806888390632</v>
      </c>
      <c r="L13" s="31">
        <f t="shared" si="5"/>
        <v>-23242.069177464258</v>
      </c>
      <c r="M13" s="31">
        <f t="shared" si="6"/>
        <v>-10.320165000475226</v>
      </c>
      <c r="N13" s="151">
        <f t="shared" si="7"/>
        <v>-23252.389342464732</v>
      </c>
      <c r="Q13" s="165">
        <f t="shared" si="8"/>
        <v>2.25</v>
      </c>
      <c r="R13" s="31">
        <f t="shared" si="9"/>
        <v>6000000</v>
      </c>
      <c r="S13" s="21" cm="1">
        <f t="array" ref="S13">IF($F13&gt;CDS.Tenor,"-",Interpolate(Q13,Calibration.Times,Calibration.HazardRates))</f>
        <v>3.5506598573163228E-3</v>
      </c>
      <c r="T13" s="12">
        <f t="shared" si="10"/>
        <v>0.99511339446407421</v>
      </c>
      <c r="U13" s="12">
        <f t="shared" si="11"/>
        <v>8.8371946117515865E-4</v>
      </c>
      <c r="V13" s="97">
        <f t="shared" si="12"/>
        <v>0.93424806888390632</v>
      </c>
      <c r="W13" s="151">
        <f t="shared" si="13"/>
        <v>4953.679200228109</v>
      </c>
    </row>
    <row r="14" spans="2:26" x14ac:dyDescent="0.3">
      <c r="F14" s="165">
        <f t="shared" si="0"/>
        <v>2.5</v>
      </c>
      <c r="G14" s="31">
        <f t="shared" si="1"/>
        <v>-25000</v>
      </c>
      <c r="H14" s="21" cm="1">
        <f t="array" ref="H14">IF($F14&gt;CDS.Tenor,"-",Interpolate(F14,Calibration.Times,Calibration.HazardRates))</f>
        <v>3.5506598573163228E-3</v>
      </c>
      <c r="I14" s="12">
        <f t="shared" si="2"/>
        <v>0.99423045910164298</v>
      </c>
      <c r="J14" s="12">
        <f t="shared" si="3"/>
        <v>8.8293536243122528E-4</v>
      </c>
      <c r="K14" s="97">
        <f t="shared" si="4"/>
        <v>0.92721453718764535</v>
      </c>
      <c r="L14" s="31">
        <f t="shared" si="5"/>
        <v>-23046.623374844748</v>
      </c>
      <c r="M14" s="31">
        <f t="shared" si="6"/>
        <v>-10.233381293040932</v>
      </c>
      <c r="N14" s="151">
        <f t="shared" si="7"/>
        <v>-23056.856756137789</v>
      </c>
      <c r="Q14" s="165">
        <f t="shared" si="8"/>
        <v>2.5</v>
      </c>
      <c r="R14" s="31">
        <f t="shared" si="9"/>
        <v>6000000</v>
      </c>
      <c r="S14" s="21" cm="1">
        <f t="array" ref="S14">IF($F14&gt;CDS.Tenor,"-",Interpolate(Q14,Calibration.Times,Calibration.HazardRates))</f>
        <v>3.5506598573163228E-3</v>
      </c>
      <c r="T14" s="12">
        <f t="shared" si="10"/>
        <v>0.99423045910164298</v>
      </c>
      <c r="U14" s="12">
        <f t="shared" si="11"/>
        <v>8.8293536243122528E-4</v>
      </c>
      <c r="V14" s="97">
        <f t="shared" si="12"/>
        <v>0.92721453718764535</v>
      </c>
      <c r="W14" s="151">
        <f t="shared" si="13"/>
        <v>4912.023020659647</v>
      </c>
    </row>
    <row r="15" spans="2:26" x14ac:dyDescent="0.3">
      <c r="B15" s="1" t="s">
        <v>128</v>
      </c>
      <c r="F15" s="165">
        <f t="shared" si="0"/>
        <v>2.75</v>
      </c>
      <c r="G15" s="31">
        <f t="shared" si="1"/>
        <v>-25000</v>
      </c>
      <c r="H15" s="21" cm="1">
        <f t="array" ref="H15">IF($F15&gt;CDS.Tenor,"-",Interpolate(F15,Calibration.Times,Calibration.HazardRates))</f>
        <v>3.5506598573163228E-3</v>
      </c>
      <c r="I15" s="12">
        <f t="shared" si="2"/>
        <v>0.99334830714224764</v>
      </c>
      <c r="J15" s="12">
        <f t="shared" si="3"/>
        <v>8.8215195939533864E-4</v>
      </c>
      <c r="K15" s="97">
        <f t="shared" si="4"/>
        <v>0.92023395777436989</v>
      </c>
      <c r="L15" s="31">
        <f t="shared" si="5"/>
        <v>-22852.821103249524</v>
      </c>
      <c r="M15" s="31">
        <f t="shared" si="6"/>
        <v>-10.147327361909845</v>
      </c>
      <c r="N15" s="151">
        <f t="shared" si="7"/>
        <v>-22862.968430611432</v>
      </c>
      <c r="Q15" s="165">
        <f t="shared" si="8"/>
        <v>2.75</v>
      </c>
      <c r="R15" s="31">
        <f t="shared" si="9"/>
        <v>6000000</v>
      </c>
      <c r="S15" s="21" cm="1">
        <f t="array" ref="S15">IF($F15&gt;CDS.Tenor,"-",Interpolate(Q15,Calibration.Times,Calibration.HazardRates))</f>
        <v>3.5506598573163228E-3</v>
      </c>
      <c r="T15" s="12">
        <f t="shared" si="10"/>
        <v>0.99334830714224764</v>
      </c>
      <c r="U15" s="12">
        <f t="shared" si="11"/>
        <v>8.8215195939533864E-4</v>
      </c>
      <c r="V15" s="97">
        <f t="shared" si="12"/>
        <v>0.92023395777436989</v>
      </c>
      <c r="W15" s="151">
        <f t="shared" si="13"/>
        <v>4870.7171337167265</v>
      </c>
    </row>
    <row r="16" spans="2:26" x14ac:dyDescent="0.3">
      <c r="B16" s="123" t="s">
        <v>129</v>
      </c>
      <c r="C16" s="173"/>
      <c r="D16" s="176">
        <f>SUM(D17:D18)</f>
        <v>-347458.00469694263</v>
      </c>
      <c r="F16" s="165">
        <f t="shared" si="0"/>
        <v>3</v>
      </c>
      <c r="G16" s="31">
        <f t="shared" si="1"/>
        <v>-25000</v>
      </c>
      <c r="H16" s="21" cm="1">
        <f t="array" ref="H16">IF($F16&gt;CDS.Tenor,"-",Interpolate(F16,Calibration.Times,Calibration.HazardRates))</f>
        <v>3.5506598573163228E-3</v>
      </c>
      <c r="I16" s="12">
        <f t="shared" si="2"/>
        <v>0.99246693789079732</v>
      </c>
      <c r="J16" s="12">
        <f t="shared" si="3"/>
        <v>8.8136925145032574E-4</v>
      </c>
      <c r="K16" s="97">
        <f t="shared" si="4"/>
        <v>0.913305931990261</v>
      </c>
      <c r="L16" s="31">
        <f t="shared" si="5"/>
        <v>-22660.648541996878</v>
      </c>
      <c r="M16" s="31">
        <f t="shared" si="6"/>
        <v>-10.061997070292481</v>
      </c>
      <c r="N16" s="151">
        <f t="shared" si="7"/>
        <v>-22670.710539067171</v>
      </c>
      <c r="Q16" s="165">
        <f t="shared" si="8"/>
        <v>3</v>
      </c>
      <c r="R16" s="31">
        <f t="shared" si="9"/>
        <v>6000000</v>
      </c>
      <c r="S16" s="21" cm="1">
        <f t="array" ref="S16">IF($F16&gt;CDS.Tenor,"-",Interpolate(Q16,Calibration.Times,Calibration.HazardRates))</f>
        <v>3.5506598573163228E-3</v>
      </c>
      <c r="T16" s="12">
        <f t="shared" si="10"/>
        <v>0.99246693789079732</v>
      </c>
      <c r="U16" s="12">
        <f t="shared" si="11"/>
        <v>8.8136925145032574E-4</v>
      </c>
      <c r="V16" s="97">
        <f t="shared" si="12"/>
        <v>0.913305931990261</v>
      </c>
      <c r="W16" s="151">
        <f t="shared" si="13"/>
        <v>4829.758593740391</v>
      </c>
    </row>
    <row r="17" spans="2:23" x14ac:dyDescent="0.3">
      <c r="B17" s="125" t="s">
        <v>130</v>
      </c>
      <c r="C17" s="174"/>
      <c r="D17" s="169">
        <f>SUM($N$4:$N$44)</f>
        <v>-459175.37079908722</v>
      </c>
      <c r="F17" s="165">
        <f t="shared" si="0"/>
        <v>3.25</v>
      </c>
      <c r="G17" s="31">
        <f t="shared" si="1"/>
        <v>-25000</v>
      </c>
      <c r="H17" s="21" cm="1">
        <f t="array" ref="H17">IF($F17&gt;CDS.Tenor,"-",Interpolate(F17,Calibration.Times,Calibration.HazardRates))</f>
        <v>3.902810059679798E-3</v>
      </c>
      <c r="I17" s="12">
        <f t="shared" si="2"/>
        <v>0.99149905766189383</v>
      </c>
      <c r="J17" s="12">
        <f t="shared" si="3"/>
        <v>9.678802289034838E-4</v>
      </c>
      <c r="K17" s="97">
        <f t="shared" si="4"/>
        <v>0.90643006418278371</v>
      </c>
      <c r="L17" s="31">
        <f t="shared" si="5"/>
        <v>-22468.113861841</v>
      </c>
      <c r="M17" s="31">
        <f t="shared" si="6"/>
        <v>-10.966446725077901</v>
      </c>
      <c r="N17" s="151">
        <f t="shared" si="7"/>
        <v>-22479.080308566077</v>
      </c>
      <c r="Q17" s="165">
        <f t="shared" si="8"/>
        <v>3.25</v>
      </c>
      <c r="R17" s="31">
        <f t="shared" si="9"/>
        <v>6000000</v>
      </c>
      <c r="S17" s="21" cm="1">
        <f t="array" ref="S17">IF($F17&gt;CDS.Tenor,"-",Interpolate(Q17,Calibration.Times,Calibration.HazardRates))</f>
        <v>3.902810059679798E-3</v>
      </c>
      <c r="T17" s="12">
        <f t="shared" si="10"/>
        <v>0.99149905766189383</v>
      </c>
      <c r="U17" s="12">
        <f t="shared" si="11"/>
        <v>9.678802289034838E-4</v>
      </c>
      <c r="V17" s="97">
        <f t="shared" si="12"/>
        <v>0.90643006418278371</v>
      </c>
      <c r="W17" s="151">
        <f t="shared" si="13"/>
        <v>5263.8944280373935</v>
      </c>
    </row>
    <row r="18" spans="2:23" x14ac:dyDescent="0.3">
      <c r="B18" s="125" t="s">
        <v>131</v>
      </c>
      <c r="C18" s="174"/>
      <c r="D18" s="169">
        <f>SUM($W$5:$W$44)</f>
        <v>111717.36610214462</v>
      </c>
      <c r="F18" s="165">
        <f t="shared" si="0"/>
        <v>3.5</v>
      </c>
      <c r="G18" s="31">
        <f t="shared" si="1"/>
        <v>-25000</v>
      </c>
      <c r="H18" s="21" cm="1">
        <f t="array" ref="H18">IF($F18&gt;CDS.Tenor,"-",Interpolate(F18,Calibration.Times,Calibration.HazardRates))</f>
        <v>3.902810059679798E-3</v>
      </c>
      <c r="I18" s="12">
        <f t="shared" si="2"/>
        <v>0.99053212133560486</v>
      </c>
      <c r="J18" s="12">
        <f t="shared" si="3"/>
        <v>9.6693632628896964E-4</v>
      </c>
      <c r="K18" s="97">
        <f t="shared" si="4"/>
        <v>0.89960596167809259</v>
      </c>
      <c r="L18" s="31">
        <f t="shared" si="5"/>
        <v>-22277.215039678948</v>
      </c>
      <c r="M18" s="31">
        <f t="shared" si="6"/>
        <v>-10.873271046158381</v>
      </c>
      <c r="N18" s="151">
        <f t="shared" si="7"/>
        <v>-22288.088310725107</v>
      </c>
      <c r="Q18" s="165">
        <f t="shared" si="8"/>
        <v>3.5</v>
      </c>
      <c r="R18" s="31">
        <f t="shared" si="9"/>
        <v>6000000</v>
      </c>
      <c r="S18" s="21" cm="1">
        <f t="array" ref="S18">IF($F18&gt;CDS.Tenor,"-",Interpolate(Q18,Calibration.Times,Calibration.HazardRates))</f>
        <v>3.902810059679798E-3</v>
      </c>
      <c r="T18" s="12">
        <f t="shared" si="10"/>
        <v>0.99053212133560486</v>
      </c>
      <c r="U18" s="12">
        <f t="shared" si="11"/>
        <v>9.6693632628896964E-4</v>
      </c>
      <c r="V18" s="97">
        <f t="shared" si="12"/>
        <v>0.89960596167809259</v>
      </c>
      <c r="W18" s="151">
        <f t="shared" si="13"/>
        <v>5219.1701021560229</v>
      </c>
    </row>
    <row r="19" spans="2:23" x14ac:dyDescent="0.3">
      <c r="B19" s="125" t="s">
        <v>52</v>
      </c>
      <c r="C19" s="174"/>
      <c r="D19" s="170">
        <f>ABS(CDS.PremiumLegPV/CDS.CreditSpread)</f>
        <v>45917537.079908721</v>
      </c>
      <c r="F19" s="165">
        <f t="shared" si="0"/>
        <v>3.75</v>
      </c>
      <c r="G19" s="31">
        <f t="shared" si="1"/>
        <v>-25000</v>
      </c>
      <c r="H19" s="21" cm="1">
        <f t="array" ref="H19">IF($F19&gt;CDS.Tenor,"-",Interpolate(F19,Calibration.Times,Calibration.HazardRates))</f>
        <v>3.902810059679798E-3</v>
      </c>
      <c r="I19" s="12">
        <f t="shared" si="2"/>
        <v>0.98956612799141142</v>
      </c>
      <c r="J19" s="12">
        <f t="shared" si="3"/>
        <v>9.6599334419344984E-4</v>
      </c>
      <c r="K19" s="97">
        <f t="shared" si="4"/>
        <v>0.8928332347586061</v>
      </c>
      <c r="L19" s="31">
        <f t="shared" si="5"/>
        <v>-22087.93817655302</v>
      </c>
      <c r="M19" s="31">
        <f t="shared" si="6"/>
        <v>-10.780887028144017</v>
      </c>
      <c r="N19" s="151">
        <f t="shared" si="7"/>
        <v>-22098.719063581164</v>
      </c>
      <c r="Q19" s="165">
        <f t="shared" si="8"/>
        <v>3.75</v>
      </c>
      <c r="R19" s="31">
        <f t="shared" si="9"/>
        <v>6000000</v>
      </c>
      <c r="S19" s="21" cm="1">
        <f t="array" ref="S19">IF($F19&gt;CDS.Tenor,"-",Interpolate(Q19,Calibration.Times,Calibration.HazardRates))</f>
        <v>3.902810059679798E-3</v>
      </c>
      <c r="T19" s="12">
        <f t="shared" si="10"/>
        <v>0.98956612799141142</v>
      </c>
      <c r="U19" s="12">
        <f t="shared" si="11"/>
        <v>9.6599334419344984E-4</v>
      </c>
      <c r="V19" s="97">
        <f t="shared" si="12"/>
        <v>0.8928332347586061</v>
      </c>
      <c r="W19" s="151">
        <f t="shared" si="13"/>
        <v>5174.8257735091283</v>
      </c>
    </row>
    <row r="20" spans="2:23" x14ac:dyDescent="0.3">
      <c r="B20" s="125" t="s">
        <v>132</v>
      </c>
      <c r="C20" s="174"/>
      <c r="D20" s="171">
        <f>D19*0.01%</f>
        <v>4591.7537079908725</v>
      </c>
      <c r="F20" s="165">
        <f t="shared" si="0"/>
        <v>4</v>
      </c>
      <c r="G20" s="31">
        <f t="shared" si="1"/>
        <v>-25000</v>
      </c>
      <c r="H20" s="21" cm="1">
        <f t="array" ref="H20">IF($F20&gt;CDS.Tenor,"-",Interpolate(F20,Calibration.Times,Calibration.HazardRates))</f>
        <v>3.902810059679798E-3</v>
      </c>
      <c r="I20" s="12">
        <f t="shared" si="2"/>
        <v>0.98860107670969222</v>
      </c>
      <c r="J20" s="12">
        <f t="shared" si="3"/>
        <v>9.6505128171919807E-4</v>
      </c>
      <c r="K20" s="97">
        <f t="shared" si="4"/>
        <v>0.88611149664075062</v>
      </c>
      <c r="L20" s="31">
        <f t="shared" si="5"/>
        <v>-21900.269491597075</v>
      </c>
      <c r="M20" s="31">
        <f t="shared" si="6"/>
        <v>-10.689287944740915</v>
      </c>
      <c r="N20" s="151">
        <f t="shared" si="7"/>
        <v>-21910.958779541816</v>
      </c>
      <c r="Q20" s="165">
        <f t="shared" si="8"/>
        <v>4</v>
      </c>
      <c r="R20" s="31">
        <f t="shared" si="9"/>
        <v>6000000</v>
      </c>
      <c r="S20" s="21" cm="1">
        <f t="array" ref="S20">IF($F20&gt;CDS.Tenor,"-",Interpolate(Q20,Calibration.Times,Calibration.HazardRates))</f>
        <v>3.902810059679798E-3</v>
      </c>
      <c r="T20" s="12">
        <f t="shared" si="10"/>
        <v>0.98860107670969222</v>
      </c>
      <c r="U20" s="12">
        <f t="shared" si="11"/>
        <v>9.6505128171919807E-4</v>
      </c>
      <c r="V20" s="97">
        <f t="shared" si="12"/>
        <v>0.88611149664075062</v>
      </c>
      <c r="W20" s="151">
        <f t="shared" si="13"/>
        <v>5130.8582134756398</v>
      </c>
    </row>
    <row r="21" spans="2:23" x14ac:dyDescent="0.3">
      <c r="B21" s="125" t="s">
        <v>116</v>
      </c>
      <c r="C21" s="174"/>
      <c r="D21" s="172">
        <f>ABS(D18/D19)</f>
        <v>2.4329999648658573E-3</v>
      </c>
      <c r="F21" s="165">
        <f t="shared" si="0"/>
        <v>4.25</v>
      </c>
      <c r="G21" s="31">
        <f t="shared" si="1"/>
        <v>-25000</v>
      </c>
      <c r="H21" s="21" cm="1">
        <f t="array" ref="H21">IF($F21&gt;CDS.Tenor,"-",Interpolate(F21,Calibration.Times,Calibration.HazardRates))</f>
        <v>9.3893342974379363E-3</v>
      </c>
      <c r="I21" s="12">
        <f t="shared" si="2"/>
        <v>0.98628322166444449</v>
      </c>
      <c r="J21" s="12">
        <f t="shared" si="3"/>
        <v>2.3178550452477298E-3</v>
      </c>
      <c r="K21" s="97">
        <f t="shared" si="4"/>
        <v>0.8794403634528708</v>
      </c>
      <c r="L21" s="31">
        <f t="shared" si="5"/>
        <v>-21684.431873201185</v>
      </c>
      <c r="M21" s="31">
        <f t="shared" si="6"/>
        <v>-25.480191042796672</v>
      </c>
      <c r="N21" s="151">
        <f t="shared" si="7"/>
        <v>-21709.912064243981</v>
      </c>
      <c r="Q21" s="165">
        <f t="shared" si="8"/>
        <v>4.25</v>
      </c>
      <c r="R21" s="31">
        <f t="shared" si="9"/>
        <v>6000000</v>
      </c>
      <c r="S21" s="21" cm="1">
        <f t="array" ref="S21">IF($F21&gt;CDS.Tenor,"-",Interpolate(Q21,Calibration.Times,Calibration.HazardRates))</f>
        <v>9.3893342974379363E-3</v>
      </c>
      <c r="T21" s="12">
        <f t="shared" si="10"/>
        <v>0.98628322166444449</v>
      </c>
      <c r="U21" s="12">
        <f t="shared" si="11"/>
        <v>2.3178550452477298E-3</v>
      </c>
      <c r="V21" s="97">
        <f t="shared" si="12"/>
        <v>0.8794403634528708</v>
      </c>
      <c r="W21" s="151">
        <f t="shared" si="13"/>
        <v>12230.491700542403</v>
      </c>
    </row>
    <row r="22" spans="2:23" x14ac:dyDescent="0.3">
      <c r="B22" s="121" t="s">
        <v>71</v>
      </c>
      <c r="C22" s="175"/>
      <c r="D22" s="180">
        <f>D21*10000</f>
        <v>24.329999648658571</v>
      </c>
      <c r="F22" s="165">
        <f t="shared" si="0"/>
        <v>4.5</v>
      </c>
      <c r="G22" s="31">
        <f t="shared" si="1"/>
        <v>-25000</v>
      </c>
      <c r="H22" s="21" cm="1">
        <f t="array" ref="H22">IF($F22&gt;CDS.Tenor,"-",Interpolate(F22,Calibration.Times,Calibration.HazardRates))</f>
        <v>9.3893342974379363E-3</v>
      </c>
      <c r="I22" s="12">
        <f t="shared" si="2"/>
        <v>0.9839708010174969</v>
      </c>
      <c r="J22" s="12">
        <f t="shared" si="3"/>
        <v>2.3124206469475883E-3</v>
      </c>
      <c r="K22" s="97">
        <f t="shared" si="4"/>
        <v>0.8728194542133082</v>
      </c>
      <c r="L22" s="31">
        <f t="shared" si="5"/>
        <v>-21470.721437648081</v>
      </c>
      <c r="M22" s="31">
        <f t="shared" si="6"/>
        <v>-25.229071587254737</v>
      </c>
      <c r="N22" s="151">
        <f t="shared" si="7"/>
        <v>-21495.950509235336</v>
      </c>
      <c r="Q22" s="165">
        <f t="shared" si="8"/>
        <v>4.5</v>
      </c>
      <c r="R22" s="31">
        <f t="shared" si="9"/>
        <v>6000000</v>
      </c>
      <c r="S22" s="21" cm="1">
        <f t="array" ref="S22">IF($F22&gt;CDS.Tenor,"-",Interpolate(Q22,Calibration.Times,Calibration.HazardRates))</f>
        <v>9.3893342974379363E-3</v>
      </c>
      <c r="T22" s="12">
        <f t="shared" si="10"/>
        <v>0.9839708010174969</v>
      </c>
      <c r="U22" s="12">
        <f t="shared" si="11"/>
        <v>2.3124206469475883E-3</v>
      </c>
      <c r="V22" s="97">
        <f t="shared" si="12"/>
        <v>0.8728194542133082</v>
      </c>
      <c r="W22" s="151">
        <f t="shared" si="13"/>
        <v>12109.954361882274</v>
      </c>
    </row>
    <row r="23" spans="2:23" x14ac:dyDescent="0.3">
      <c r="F23" s="165">
        <f t="shared" si="0"/>
        <v>4.75</v>
      </c>
      <c r="G23" s="31">
        <f t="shared" si="1"/>
        <v>-25000</v>
      </c>
      <c r="H23" s="21" cm="1">
        <f t="array" ref="H23">IF($F23&gt;CDS.Tenor,"-",Interpolate(F23,Calibration.Times,Calibration.HazardRates))</f>
        <v>9.3893342974379363E-3</v>
      </c>
      <c r="I23" s="12">
        <f t="shared" si="2"/>
        <v>0.98166380202746384</v>
      </c>
      <c r="J23" s="12">
        <f t="shared" si="3"/>
        <v>2.3069989900330601E-3</v>
      </c>
      <c r="K23" s="97">
        <f t="shared" si="4"/>
        <v>0.86624839080864258</v>
      </c>
      <c r="L23" s="31">
        <f t="shared" si="5"/>
        <v>-21259.117220534612</v>
      </c>
      <c r="M23" s="31">
        <f t="shared" si="6"/>
        <v>-24.980427033916275</v>
      </c>
      <c r="N23" s="151">
        <f t="shared" si="7"/>
        <v>-21284.097647568527</v>
      </c>
      <c r="Q23" s="165">
        <f t="shared" si="8"/>
        <v>4.75</v>
      </c>
      <c r="R23" s="31">
        <f t="shared" si="9"/>
        <v>6000000</v>
      </c>
      <c r="S23" s="21" cm="1">
        <f t="array" ref="S23">IF($F23&gt;CDS.Tenor,"-",Interpolate(Q23,Calibration.Times,Calibration.HazardRates))</f>
        <v>9.3893342974379363E-3</v>
      </c>
      <c r="T23" s="12">
        <f t="shared" si="10"/>
        <v>0.98166380202746384</v>
      </c>
      <c r="U23" s="12">
        <f t="shared" si="11"/>
        <v>2.3069989900330601E-3</v>
      </c>
      <c r="V23" s="97">
        <f t="shared" si="12"/>
        <v>0.86624839080864258</v>
      </c>
      <c r="W23" s="151">
        <f t="shared" si="13"/>
        <v>11990.604976279812</v>
      </c>
    </row>
    <row r="24" spans="2:23" x14ac:dyDescent="0.3">
      <c r="F24" s="165">
        <f t="shared" si="0"/>
        <v>5</v>
      </c>
      <c r="G24" s="31">
        <f t="shared" si="1"/>
        <v>-25000</v>
      </c>
      <c r="H24" s="21" cm="1">
        <f t="array" ref="H24">IF($F24&gt;CDS.Tenor,"-",Interpolate(F24,Calibration.Times,Calibration.HazardRates))</f>
        <v>9.3893342974379363E-3</v>
      </c>
      <c r="I24" s="12">
        <f t="shared" si="2"/>
        <v>0.97936221198283291</v>
      </c>
      <c r="J24" s="12">
        <f t="shared" si="3"/>
        <v>2.3015900446309301E-3</v>
      </c>
      <c r="K24" s="97">
        <f t="shared" si="4"/>
        <v>0.85972679797209928</v>
      </c>
      <c r="L24" s="31">
        <f t="shared" si="5"/>
        <v>-21049.598464071831</v>
      </c>
      <c r="M24" s="31">
        <f t="shared" si="6"/>
        <v>-24.734232991437633</v>
      </c>
      <c r="N24" s="151">
        <f t="shared" si="7"/>
        <v>-21074.33269706327</v>
      </c>
      <c r="Q24" s="165">
        <f t="shared" si="8"/>
        <v>5</v>
      </c>
      <c r="R24" s="31">
        <f t="shared" si="9"/>
        <v>6000000</v>
      </c>
      <c r="S24" s="21" cm="1">
        <f t="array" ref="S24">IF($F24&gt;CDS.Tenor,"-",Interpolate(Q24,Calibration.Times,Calibration.HazardRates))</f>
        <v>9.3893342974379363E-3</v>
      </c>
      <c r="T24" s="12">
        <f t="shared" si="10"/>
        <v>0.97936221198283291</v>
      </c>
      <c r="U24" s="12">
        <f t="shared" si="11"/>
        <v>2.3015900446309301E-3</v>
      </c>
      <c r="V24" s="97">
        <f t="shared" si="12"/>
        <v>0.85972679797209928</v>
      </c>
      <c r="W24" s="151">
        <f t="shared" si="13"/>
        <v>11872.431835890064</v>
      </c>
    </row>
    <row r="25" spans="2:23" x14ac:dyDescent="0.3">
      <c r="F25" s="165">
        <f t="shared" si="0"/>
        <v>5.25</v>
      </c>
      <c r="G25" s="31" t="str">
        <f t="shared" si="1"/>
        <v>-</v>
      </c>
      <c r="H25" s="21" t="str" cm="1">
        <f t="array" ref="H25">IF($F25&gt;CDS.Tenor,"-",Interpolate(F25,Calibration.Times,Calibration.HazardRates))</f>
        <v>-</v>
      </c>
      <c r="I25" s="12" t="str">
        <f t="shared" si="2"/>
        <v>-</v>
      </c>
      <c r="J25" s="12" t="str">
        <f t="shared" si="3"/>
        <v>-</v>
      </c>
      <c r="K25" s="97" t="str">
        <f t="shared" si="4"/>
        <v>-</v>
      </c>
      <c r="L25" s="31" t="str">
        <f t="shared" si="5"/>
        <v>-</v>
      </c>
      <c r="M25" s="31" t="str">
        <f t="shared" si="6"/>
        <v>-</v>
      </c>
      <c r="N25" s="151" t="str">
        <f t="shared" si="7"/>
        <v>-</v>
      </c>
      <c r="Q25" s="165">
        <f t="shared" si="8"/>
        <v>5.25</v>
      </c>
      <c r="R25" s="31" t="str">
        <f t="shared" si="9"/>
        <v>-</v>
      </c>
      <c r="S25" s="21" t="str" cm="1">
        <f t="array" ref="S25">IF($F25&gt;CDS.Tenor,"-",Interpolate(Q25,Calibration.Times,Calibration.HazardRates))</f>
        <v>-</v>
      </c>
      <c r="T25" s="12" t="str">
        <f t="shared" si="10"/>
        <v>-</v>
      </c>
      <c r="U25" s="12" t="str">
        <f t="shared" si="11"/>
        <v>-</v>
      </c>
      <c r="V25" s="97" t="str">
        <f t="shared" si="12"/>
        <v>-</v>
      </c>
      <c r="W25" s="151" t="str">
        <f t="shared" si="13"/>
        <v>-</v>
      </c>
    </row>
    <row r="26" spans="2:23" x14ac:dyDescent="0.3">
      <c r="D26" s="19"/>
      <c r="F26" s="165">
        <f t="shared" si="0"/>
        <v>5.5</v>
      </c>
      <c r="G26" s="31" t="str">
        <f t="shared" si="1"/>
        <v>-</v>
      </c>
      <c r="H26" s="21" t="str" cm="1">
        <f t="array" ref="H26">IF($F26&gt;CDS.Tenor,"-",Interpolate(F26,Calibration.Times,Calibration.HazardRates))</f>
        <v>-</v>
      </c>
      <c r="I26" s="12" t="str">
        <f t="shared" si="2"/>
        <v>-</v>
      </c>
      <c r="J26" s="12" t="str">
        <f t="shared" si="3"/>
        <v>-</v>
      </c>
      <c r="K26" s="97" t="str">
        <f t="shared" si="4"/>
        <v>-</v>
      </c>
      <c r="L26" s="31" t="str">
        <f t="shared" si="5"/>
        <v>-</v>
      </c>
      <c r="M26" s="31" t="str">
        <f t="shared" si="6"/>
        <v>-</v>
      </c>
      <c r="N26" s="151" t="str">
        <f t="shared" si="7"/>
        <v>-</v>
      </c>
      <c r="Q26" s="165">
        <f t="shared" si="8"/>
        <v>5.5</v>
      </c>
      <c r="R26" s="31" t="str">
        <f t="shared" si="9"/>
        <v>-</v>
      </c>
      <c r="S26" s="21" t="str" cm="1">
        <f t="array" ref="S26">IF($F26&gt;CDS.Tenor,"-",Interpolate(Q26,Calibration.Times,Calibration.HazardRates))</f>
        <v>-</v>
      </c>
      <c r="T26" s="12" t="str">
        <f t="shared" si="10"/>
        <v>-</v>
      </c>
      <c r="U26" s="12" t="str">
        <f t="shared" si="11"/>
        <v>-</v>
      </c>
      <c r="V26" s="97" t="str">
        <f t="shared" si="12"/>
        <v>-</v>
      </c>
      <c r="W26" s="151" t="str">
        <f t="shared" si="13"/>
        <v>-</v>
      </c>
    </row>
    <row r="27" spans="2:23" x14ac:dyDescent="0.3">
      <c r="D27" s="134"/>
      <c r="F27" s="165">
        <f t="shared" si="0"/>
        <v>5.75</v>
      </c>
      <c r="G27" s="31" t="str">
        <f t="shared" si="1"/>
        <v>-</v>
      </c>
      <c r="H27" s="21" t="str" cm="1">
        <f t="array" ref="H27">IF($F27&gt;CDS.Tenor,"-",Interpolate(F27,Calibration.Times,Calibration.HazardRates))</f>
        <v>-</v>
      </c>
      <c r="I27" s="12" t="str">
        <f t="shared" si="2"/>
        <v>-</v>
      </c>
      <c r="J27" s="12" t="str">
        <f t="shared" si="3"/>
        <v>-</v>
      </c>
      <c r="K27" s="97" t="str">
        <f t="shared" si="4"/>
        <v>-</v>
      </c>
      <c r="L27" s="31" t="str">
        <f t="shared" si="5"/>
        <v>-</v>
      </c>
      <c r="M27" s="31" t="str">
        <f t="shared" si="6"/>
        <v>-</v>
      </c>
      <c r="N27" s="151" t="str">
        <f t="shared" si="7"/>
        <v>-</v>
      </c>
      <c r="Q27" s="165">
        <f t="shared" si="8"/>
        <v>5.75</v>
      </c>
      <c r="R27" s="31" t="str">
        <f t="shared" si="9"/>
        <v>-</v>
      </c>
      <c r="S27" s="21" t="str" cm="1">
        <f t="array" ref="S27">IF($F27&gt;CDS.Tenor,"-",Interpolate(Q27,Calibration.Times,Calibration.HazardRates))</f>
        <v>-</v>
      </c>
      <c r="T27" s="12" t="str">
        <f t="shared" si="10"/>
        <v>-</v>
      </c>
      <c r="U27" s="12" t="str">
        <f t="shared" si="11"/>
        <v>-</v>
      </c>
      <c r="V27" s="97" t="str">
        <f t="shared" si="12"/>
        <v>-</v>
      </c>
      <c r="W27" s="151" t="str">
        <f t="shared" si="13"/>
        <v>-</v>
      </c>
    </row>
    <row r="28" spans="2:23" x14ac:dyDescent="0.3">
      <c r="F28" s="165">
        <f t="shared" si="0"/>
        <v>6</v>
      </c>
      <c r="G28" s="31" t="str">
        <f t="shared" si="1"/>
        <v>-</v>
      </c>
      <c r="H28" s="21" t="str" cm="1">
        <f t="array" ref="H28">IF($F28&gt;CDS.Tenor,"-",Interpolate(F28,Calibration.Times,Calibration.HazardRates))</f>
        <v>-</v>
      </c>
      <c r="I28" s="12" t="str">
        <f t="shared" si="2"/>
        <v>-</v>
      </c>
      <c r="J28" s="12" t="str">
        <f t="shared" si="3"/>
        <v>-</v>
      </c>
      <c r="K28" s="97" t="str">
        <f t="shared" si="4"/>
        <v>-</v>
      </c>
      <c r="L28" s="31" t="str">
        <f t="shared" si="5"/>
        <v>-</v>
      </c>
      <c r="M28" s="31" t="str">
        <f t="shared" si="6"/>
        <v>-</v>
      </c>
      <c r="N28" s="151" t="str">
        <f t="shared" si="7"/>
        <v>-</v>
      </c>
      <c r="Q28" s="165">
        <f t="shared" si="8"/>
        <v>6</v>
      </c>
      <c r="R28" s="31" t="str">
        <f t="shared" si="9"/>
        <v>-</v>
      </c>
      <c r="S28" s="21" t="str" cm="1">
        <f t="array" ref="S28">IF($F28&gt;CDS.Tenor,"-",Interpolate(Q28,Calibration.Times,Calibration.HazardRates))</f>
        <v>-</v>
      </c>
      <c r="T28" s="12" t="str">
        <f t="shared" si="10"/>
        <v>-</v>
      </c>
      <c r="U28" s="12" t="str">
        <f t="shared" si="11"/>
        <v>-</v>
      </c>
      <c r="V28" s="97" t="str">
        <f t="shared" si="12"/>
        <v>-</v>
      </c>
      <c r="W28" s="151" t="str">
        <f t="shared" si="13"/>
        <v>-</v>
      </c>
    </row>
    <row r="29" spans="2:23" x14ac:dyDescent="0.3">
      <c r="F29" s="165">
        <f t="shared" si="0"/>
        <v>6.25</v>
      </c>
      <c r="G29" s="31" t="str">
        <f t="shared" si="1"/>
        <v>-</v>
      </c>
      <c r="H29" s="21" t="str" cm="1">
        <f t="array" ref="H29">IF($F29&gt;CDS.Tenor,"-",Interpolate(F29,Calibration.Times,Calibration.HazardRates))</f>
        <v>-</v>
      </c>
      <c r="I29" s="12" t="str">
        <f t="shared" si="2"/>
        <v>-</v>
      </c>
      <c r="J29" s="12" t="str">
        <f t="shared" si="3"/>
        <v>-</v>
      </c>
      <c r="K29" s="97" t="str">
        <f t="shared" si="4"/>
        <v>-</v>
      </c>
      <c r="L29" s="31" t="str">
        <f t="shared" si="5"/>
        <v>-</v>
      </c>
      <c r="M29" s="31" t="str">
        <f t="shared" si="6"/>
        <v>-</v>
      </c>
      <c r="N29" s="151" t="str">
        <f t="shared" si="7"/>
        <v>-</v>
      </c>
      <c r="Q29" s="165">
        <f t="shared" si="8"/>
        <v>6.25</v>
      </c>
      <c r="R29" s="31" t="str">
        <f t="shared" si="9"/>
        <v>-</v>
      </c>
      <c r="S29" s="21" t="str" cm="1">
        <f t="array" ref="S29">IF($F29&gt;CDS.Tenor,"-",Interpolate(Q29,Calibration.Times,Calibration.HazardRates))</f>
        <v>-</v>
      </c>
      <c r="T29" s="12" t="str">
        <f t="shared" si="10"/>
        <v>-</v>
      </c>
      <c r="U29" s="12" t="str">
        <f t="shared" si="11"/>
        <v>-</v>
      </c>
      <c r="V29" s="97" t="str">
        <f t="shared" si="12"/>
        <v>-</v>
      </c>
      <c r="W29" s="151" t="str">
        <f t="shared" si="13"/>
        <v>-</v>
      </c>
    </row>
    <row r="30" spans="2:23" x14ac:dyDescent="0.3">
      <c r="F30" s="165">
        <f t="shared" si="0"/>
        <v>6.5</v>
      </c>
      <c r="G30" s="31" t="str">
        <f t="shared" si="1"/>
        <v>-</v>
      </c>
      <c r="H30" s="21" t="str" cm="1">
        <f t="array" ref="H30">IF($F30&gt;CDS.Tenor,"-",Interpolate(F30,Calibration.Times,Calibration.HazardRates))</f>
        <v>-</v>
      </c>
      <c r="I30" s="12" t="str">
        <f t="shared" si="2"/>
        <v>-</v>
      </c>
      <c r="J30" s="12" t="str">
        <f t="shared" si="3"/>
        <v>-</v>
      </c>
      <c r="K30" s="97" t="str">
        <f t="shared" si="4"/>
        <v>-</v>
      </c>
      <c r="L30" s="31" t="str">
        <f t="shared" si="5"/>
        <v>-</v>
      </c>
      <c r="M30" s="31" t="str">
        <f t="shared" si="6"/>
        <v>-</v>
      </c>
      <c r="N30" s="151" t="str">
        <f t="shared" si="7"/>
        <v>-</v>
      </c>
      <c r="Q30" s="165">
        <f t="shared" si="8"/>
        <v>6.5</v>
      </c>
      <c r="R30" s="31" t="str">
        <f t="shared" si="9"/>
        <v>-</v>
      </c>
      <c r="S30" s="21" t="str" cm="1">
        <f t="array" ref="S30">IF($F30&gt;CDS.Tenor,"-",Interpolate(Q30,Calibration.Times,Calibration.HazardRates))</f>
        <v>-</v>
      </c>
      <c r="T30" s="12" t="str">
        <f t="shared" si="10"/>
        <v>-</v>
      </c>
      <c r="U30" s="12" t="str">
        <f t="shared" si="11"/>
        <v>-</v>
      </c>
      <c r="V30" s="97" t="str">
        <f t="shared" si="12"/>
        <v>-</v>
      </c>
      <c r="W30" s="151" t="str">
        <f t="shared" si="13"/>
        <v>-</v>
      </c>
    </row>
    <row r="31" spans="2:23" x14ac:dyDescent="0.3">
      <c r="F31" s="165">
        <f t="shared" si="0"/>
        <v>6.75</v>
      </c>
      <c r="G31" s="31" t="str">
        <f t="shared" si="1"/>
        <v>-</v>
      </c>
      <c r="H31" s="21" t="str" cm="1">
        <f t="array" ref="H31">IF($F31&gt;CDS.Tenor,"-",Interpolate(F31,Calibration.Times,Calibration.HazardRates))</f>
        <v>-</v>
      </c>
      <c r="I31" s="12" t="str">
        <f t="shared" si="2"/>
        <v>-</v>
      </c>
      <c r="J31" s="12" t="str">
        <f t="shared" si="3"/>
        <v>-</v>
      </c>
      <c r="K31" s="97" t="str">
        <f t="shared" si="4"/>
        <v>-</v>
      </c>
      <c r="L31" s="31" t="str">
        <f t="shared" si="5"/>
        <v>-</v>
      </c>
      <c r="M31" s="31" t="str">
        <f t="shared" si="6"/>
        <v>-</v>
      </c>
      <c r="N31" s="151" t="str">
        <f t="shared" si="7"/>
        <v>-</v>
      </c>
      <c r="Q31" s="165">
        <f t="shared" si="8"/>
        <v>6.75</v>
      </c>
      <c r="R31" s="31" t="str">
        <f t="shared" si="9"/>
        <v>-</v>
      </c>
      <c r="S31" s="21" t="str" cm="1">
        <f t="array" ref="S31">IF($F31&gt;CDS.Tenor,"-",Interpolate(Q31,Calibration.Times,Calibration.HazardRates))</f>
        <v>-</v>
      </c>
      <c r="T31" s="12" t="str">
        <f t="shared" si="10"/>
        <v>-</v>
      </c>
      <c r="U31" s="12" t="str">
        <f t="shared" si="11"/>
        <v>-</v>
      </c>
      <c r="V31" s="97" t="str">
        <f t="shared" si="12"/>
        <v>-</v>
      </c>
      <c r="W31" s="151" t="str">
        <f t="shared" si="13"/>
        <v>-</v>
      </c>
    </row>
    <row r="32" spans="2:23" x14ac:dyDescent="0.3">
      <c r="F32" s="165">
        <f t="shared" si="0"/>
        <v>7</v>
      </c>
      <c r="G32" s="31" t="str">
        <f t="shared" si="1"/>
        <v>-</v>
      </c>
      <c r="H32" s="21" t="str" cm="1">
        <f t="array" ref="H32">IF($F32&gt;CDS.Tenor,"-",Interpolate(F32,Calibration.Times,Calibration.HazardRates))</f>
        <v>-</v>
      </c>
      <c r="I32" s="12" t="str">
        <f t="shared" si="2"/>
        <v>-</v>
      </c>
      <c r="J32" s="12" t="str">
        <f t="shared" si="3"/>
        <v>-</v>
      </c>
      <c r="K32" s="97" t="str">
        <f t="shared" si="4"/>
        <v>-</v>
      </c>
      <c r="L32" s="31" t="str">
        <f t="shared" si="5"/>
        <v>-</v>
      </c>
      <c r="M32" s="31" t="str">
        <f t="shared" si="6"/>
        <v>-</v>
      </c>
      <c r="N32" s="151" t="str">
        <f t="shared" si="7"/>
        <v>-</v>
      </c>
      <c r="Q32" s="165">
        <f t="shared" si="8"/>
        <v>7</v>
      </c>
      <c r="R32" s="31" t="str">
        <f t="shared" si="9"/>
        <v>-</v>
      </c>
      <c r="S32" s="21" t="str" cm="1">
        <f t="array" ref="S32">IF($F32&gt;CDS.Tenor,"-",Interpolate(Q32,Calibration.Times,Calibration.HazardRates))</f>
        <v>-</v>
      </c>
      <c r="T32" s="12" t="str">
        <f t="shared" si="10"/>
        <v>-</v>
      </c>
      <c r="U32" s="12" t="str">
        <f t="shared" si="11"/>
        <v>-</v>
      </c>
      <c r="V32" s="97" t="str">
        <f t="shared" si="12"/>
        <v>-</v>
      </c>
      <c r="W32" s="151" t="str">
        <f t="shared" si="13"/>
        <v>-</v>
      </c>
    </row>
    <row r="33" spans="6:23" x14ac:dyDescent="0.3">
      <c r="F33" s="165">
        <f t="shared" si="0"/>
        <v>7.25</v>
      </c>
      <c r="G33" s="31" t="str">
        <f t="shared" si="1"/>
        <v>-</v>
      </c>
      <c r="H33" s="21" t="str" cm="1">
        <f t="array" ref="H33">IF($F33&gt;CDS.Tenor,"-",Interpolate(F33,Calibration.Times,Calibration.HazardRates))</f>
        <v>-</v>
      </c>
      <c r="I33" s="12" t="str">
        <f t="shared" si="2"/>
        <v>-</v>
      </c>
      <c r="J33" s="12" t="str">
        <f t="shared" si="3"/>
        <v>-</v>
      </c>
      <c r="K33" s="97" t="str">
        <f t="shared" si="4"/>
        <v>-</v>
      </c>
      <c r="L33" s="31" t="str">
        <f t="shared" si="5"/>
        <v>-</v>
      </c>
      <c r="M33" s="31" t="str">
        <f t="shared" si="6"/>
        <v>-</v>
      </c>
      <c r="N33" s="151" t="str">
        <f t="shared" si="7"/>
        <v>-</v>
      </c>
      <c r="Q33" s="165">
        <f t="shared" si="8"/>
        <v>7.25</v>
      </c>
      <c r="R33" s="31" t="str">
        <f t="shared" si="9"/>
        <v>-</v>
      </c>
      <c r="S33" s="21" t="str" cm="1">
        <f t="array" ref="S33">IF($F33&gt;CDS.Tenor,"-",Interpolate(Q33,Calibration.Times,Calibration.HazardRates))</f>
        <v>-</v>
      </c>
      <c r="T33" s="12" t="str">
        <f t="shared" si="10"/>
        <v>-</v>
      </c>
      <c r="U33" s="12" t="str">
        <f t="shared" si="11"/>
        <v>-</v>
      </c>
      <c r="V33" s="97" t="str">
        <f t="shared" si="12"/>
        <v>-</v>
      </c>
      <c r="W33" s="151" t="str">
        <f t="shared" si="13"/>
        <v>-</v>
      </c>
    </row>
    <row r="34" spans="6:23" x14ac:dyDescent="0.3">
      <c r="F34" s="165">
        <f t="shared" si="0"/>
        <v>7.5</v>
      </c>
      <c r="G34" s="31" t="str">
        <f t="shared" si="1"/>
        <v>-</v>
      </c>
      <c r="H34" s="21" t="str" cm="1">
        <f t="array" ref="H34">IF($F34&gt;CDS.Tenor,"-",Interpolate(F34,Calibration.Times,Calibration.HazardRates))</f>
        <v>-</v>
      </c>
      <c r="I34" s="12" t="str">
        <f t="shared" si="2"/>
        <v>-</v>
      </c>
      <c r="J34" s="12" t="str">
        <f t="shared" si="3"/>
        <v>-</v>
      </c>
      <c r="K34" s="97" t="str">
        <f t="shared" si="4"/>
        <v>-</v>
      </c>
      <c r="L34" s="31" t="str">
        <f t="shared" si="5"/>
        <v>-</v>
      </c>
      <c r="M34" s="31" t="str">
        <f t="shared" si="6"/>
        <v>-</v>
      </c>
      <c r="N34" s="151" t="str">
        <f t="shared" si="7"/>
        <v>-</v>
      </c>
      <c r="Q34" s="165">
        <f t="shared" si="8"/>
        <v>7.5</v>
      </c>
      <c r="R34" s="31" t="str">
        <f t="shared" si="9"/>
        <v>-</v>
      </c>
      <c r="S34" s="21" t="str" cm="1">
        <f t="array" ref="S34">IF($F34&gt;CDS.Tenor,"-",Interpolate(Q34,Calibration.Times,Calibration.HazardRates))</f>
        <v>-</v>
      </c>
      <c r="T34" s="12" t="str">
        <f t="shared" si="10"/>
        <v>-</v>
      </c>
      <c r="U34" s="12" t="str">
        <f t="shared" si="11"/>
        <v>-</v>
      </c>
      <c r="V34" s="97" t="str">
        <f t="shared" si="12"/>
        <v>-</v>
      </c>
      <c r="W34" s="151" t="str">
        <f t="shared" si="13"/>
        <v>-</v>
      </c>
    </row>
    <row r="35" spans="6:23" x14ac:dyDescent="0.3">
      <c r="F35" s="165">
        <f t="shared" si="0"/>
        <v>7.75</v>
      </c>
      <c r="G35" s="31" t="str">
        <f t="shared" si="1"/>
        <v>-</v>
      </c>
      <c r="H35" s="21" t="str" cm="1">
        <f t="array" ref="H35">IF($F35&gt;CDS.Tenor,"-",Interpolate(F35,Calibration.Times,Calibration.HazardRates))</f>
        <v>-</v>
      </c>
      <c r="I35" s="12" t="str">
        <f t="shared" si="2"/>
        <v>-</v>
      </c>
      <c r="J35" s="12" t="str">
        <f t="shared" si="3"/>
        <v>-</v>
      </c>
      <c r="K35" s="97" t="str">
        <f t="shared" si="4"/>
        <v>-</v>
      </c>
      <c r="L35" s="31" t="str">
        <f t="shared" si="5"/>
        <v>-</v>
      </c>
      <c r="M35" s="31" t="str">
        <f t="shared" si="6"/>
        <v>-</v>
      </c>
      <c r="N35" s="151" t="str">
        <f t="shared" si="7"/>
        <v>-</v>
      </c>
      <c r="Q35" s="165">
        <f t="shared" si="8"/>
        <v>7.75</v>
      </c>
      <c r="R35" s="31" t="str">
        <f t="shared" si="9"/>
        <v>-</v>
      </c>
      <c r="S35" s="21" t="str" cm="1">
        <f t="array" ref="S35">IF($F35&gt;CDS.Tenor,"-",Interpolate(Q35,Calibration.Times,Calibration.HazardRates))</f>
        <v>-</v>
      </c>
      <c r="T35" s="12" t="str">
        <f t="shared" si="10"/>
        <v>-</v>
      </c>
      <c r="U35" s="12" t="str">
        <f t="shared" si="11"/>
        <v>-</v>
      </c>
      <c r="V35" s="97" t="str">
        <f t="shared" si="12"/>
        <v>-</v>
      </c>
      <c r="W35" s="151" t="str">
        <f t="shared" si="13"/>
        <v>-</v>
      </c>
    </row>
    <row r="36" spans="6:23" x14ac:dyDescent="0.3">
      <c r="F36" s="165">
        <f t="shared" si="0"/>
        <v>8</v>
      </c>
      <c r="G36" s="31" t="str">
        <f t="shared" si="1"/>
        <v>-</v>
      </c>
      <c r="H36" s="21" t="str" cm="1">
        <f t="array" ref="H36">IF($F36&gt;CDS.Tenor,"-",Interpolate(F36,Calibration.Times,Calibration.HazardRates))</f>
        <v>-</v>
      </c>
      <c r="I36" s="12" t="str">
        <f t="shared" si="2"/>
        <v>-</v>
      </c>
      <c r="J36" s="12" t="str">
        <f t="shared" si="3"/>
        <v>-</v>
      </c>
      <c r="K36" s="97" t="str">
        <f t="shared" si="4"/>
        <v>-</v>
      </c>
      <c r="L36" s="31" t="str">
        <f t="shared" si="5"/>
        <v>-</v>
      </c>
      <c r="M36" s="31" t="str">
        <f t="shared" si="6"/>
        <v>-</v>
      </c>
      <c r="N36" s="151" t="str">
        <f t="shared" si="7"/>
        <v>-</v>
      </c>
      <c r="Q36" s="165">
        <f t="shared" si="8"/>
        <v>8</v>
      </c>
      <c r="R36" s="31" t="str">
        <f t="shared" si="9"/>
        <v>-</v>
      </c>
      <c r="S36" s="21" t="str" cm="1">
        <f t="array" ref="S36">IF($F36&gt;CDS.Tenor,"-",Interpolate(Q36,Calibration.Times,Calibration.HazardRates))</f>
        <v>-</v>
      </c>
      <c r="T36" s="12" t="str">
        <f t="shared" si="10"/>
        <v>-</v>
      </c>
      <c r="U36" s="12" t="str">
        <f t="shared" si="11"/>
        <v>-</v>
      </c>
      <c r="V36" s="97" t="str">
        <f t="shared" si="12"/>
        <v>-</v>
      </c>
      <c r="W36" s="151" t="str">
        <f t="shared" si="13"/>
        <v>-</v>
      </c>
    </row>
    <row r="37" spans="6:23" x14ac:dyDescent="0.3">
      <c r="F37" s="165">
        <f t="shared" si="0"/>
        <v>8.25</v>
      </c>
      <c r="G37" s="31" t="str">
        <f t="shared" si="1"/>
        <v>-</v>
      </c>
      <c r="H37" s="21" t="str" cm="1">
        <f t="array" ref="H37">IF($F37&gt;CDS.Tenor,"-",Interpolate(F37,Calibration.Times,Calibration.HazardRates))</f>
        <v>-</v>
      </c>
      <c r="I37" s="12" t="str">
        <f t="shared" si="2"/>
        <v>-</v>
      </c>
      <c r="J37" s="12" t="str">
        <f t="shared" si="3"/>
        <v>-</v>
      </c>
      <c r="K37" s="97" t="str">
        <f t="shared" si="4"/>
        <v>-</v>
      </c>
      <c r="L37" s="31" t="str">
        <f t="shared" si="5"/>
        <v>-</v>
      </c>
      <c r="M37" s="31" t="str">
        <f t="shared" si="6"/>
        <v>-</v>
      </c>
      <c r="N37" s="151" t="str">
        <f t="shared" si="7"/>
        <v>-</v>
      </c>
      <c r="Q37" s="165">
        <f t="shared" si="8"/>
        <v>8.25</v>
      </c>
      <c r="R37" s="31" t="str">
        <f t="shared" si="9"/>
        <v>-</v>
      </c>
      <c r="S37" s="21" t="str" cm="1">
        <f t="array" ref="S37">IF($F37&gt;CDS.Tenor,"-",Interpolate(Q37,Calibration.Times,Calibration.HazardRates))</f>
        <v>-</v>
      </c>
      <c r="T37" s="12" t="str">
        <f t="shared" si="10"/>
        <v>-</v>
      </c>
      <c r="U37" s="12" t="str">
        <f t="shared" si="11"/>
        <v>-</v>
      </c>
      <c r="V37" s="97" t="str">
        <f t="shared" si="12"/>
        <v>-</v>
      </c>
      <c r="W37" s="151" t="str">
        <f t="shared" si="13"/>
        <v>-</v>
      </c>
    </row>
    <row r="38" spans="6:23" x14ac:dyDescent="0.3">
      <c r="F38" s="165">
        <f t="shared" si="0"/>
        <v>8.5</v>
      </c>
      <c r="G38" s="31" t="str">
        <f t="shared" si="1"/>
        <v>-</v>
      </c>
      <c r="H38" s="21" t="str" cm="1">
        <f t="array" ref="H38">IF($F38&gt;CDS.Tenor,"-",Interpolate(F38,Calibration.Times,Calibration.HazardRates))</f>
        <v>-</v>
      </c>
      <c r="I38" s="12" t="str">
        <f t="shared" si="2"/>
        <v>-</v>
      </c>
      <c r="J38" s="12" t="str">
        <f t="shared" si="3"/>
        <v>-</v>
      </c>
      <c r="K38" s="97" t="str">
        <f t="shared" si="4"/>
        <v>-</v>
      </c>
      <c r="L38" s="31" t="str">
        <f t="shared" si="5"/>
        <v>-</v>
      </c>
      <c r="M38" s="31" t="str">
        <f t="shared" si="6"/>
        <v>-</v>
      </c>
      <c r="N38" s="151" t="str">
        <f t="shared" si="7"/>
        <v>-</v>
      </c>
      <c r="Q38" s="165">
        <f t="shared" si="8"/>
        <v>8.5</v>
      </c>
      <c r="R38" s="31" t="str">
        <f t="shared" si="9"/>
        <v>-</v>
      </c>
      <c r="S38" s="21" t="str" cm="1">
        <f t="array" ref="S38">IF($F38&gt;CDS.Tenor,"-",Interpolate(Q38,Calibration.Times,Calibration.HazardRates))</f>
        <v>-</v>
      </c>
      <c r="T38" s="12" t="str">
        <f t="shared" si="10"/>
        <v>-</v>
      </c>
      <c r="U38" s="12" t="str">
        <f t="shared" si="11"/>
        <v>-</v>
      </c>
      <c r="V38" s="97" t="str">
        <f t="shared" si="12"/>
        <v>-</v>
      </c>
      <c r="W38" s="151" t="str">
        <f t="shared" si="13"/>
        <v>-</v>
      </c>
    </row>
    <row r="39" spans="6:23" x14ac:dyDescent="0.3">
      <c r="F39" s="165">
        <f t="shared" si="0"/>
        <v>8.75</v>
      </c>
      <c r="G39" s="31" t="str">
        <f t="shared" si="1"/>
        <v>-</v>
      </c>
      <c r="H39" s="21" t="str" cm="1">
        <f t="array" ref="H39">IF($F39&gt;CDS.Tenor,"-",Interpolate(F39,Calibration.Times,Calibration.HazardRates))</f>
        <v>-</v>
      </c>
      <c r="I39" s="12" t="str">
        <f t="shared" si="2"/>
        <v>-</v>
      </c>
      <c r="J39" s="12" t="str">
        <f t="shared" si="3"/>
        <v>-</v>
      </c>
      <c r="K39" s="97" t="str">
        <f t="shared" si="4"/>
        <v>-</v>
      </c>
      <c r="L39" s="31" t="str">
        <f t="shared" si="5"/>
        <v>-</v>
      </c>
      <c r="M39" s="31" t="str">
        <f t="shared" si="6"/>
        <v>-</v>
      </c>
      <c r="N39" s="151" t="str">
        <f t="shared" si="7"/>
        <v>-</v>
      </c>
      <c r="Q39" s="165">
        <f t="shared" si="8"/>
        <v>8.75</v>
      </c>
      <c r="R39" s="31" t="str">
        <f t="shared" si="9"/>
        <v>-</v>
      </c>
      <c r="S39" s="21" t="str" cm="1">
        <f t="array" ref="S39">IF($F39&gt;CDS.Tenor,"-",Interpolate(Q39,Calibration.Times,Calibration.HazardRates))</f>
        <v>-</v>
      </c>
      <c r="T39" s="12" t="str">
        <f t="shared" si="10"/>
        <v>-</v>
      </c>
      <c r="U39" s="12" t="str">
        <f t="shared" si="11"/>
        <v>-</v>
      </c>
      <c r="V39" s="97" t="str">
        <f t="shared" si="12"/>
        <v>-</v>
      </c>
      <c r="W39" s="151" t="str">
        <f t="shared" si="13"/>
        <v>-</v>
      </c>
    </row>
    <row r="40" spans="6:23" x14ac:dyDescent="0.3">
      <c r="F40" s="165">
        <f t="shared" si="0"/>
        <v>9</v>
      </c>
      <c r="G40" s="31" t="str">
        <f t="shared" si="1"/>
        <v>-</v>
      </c>
      <c r="H40" s="21" t="str" cm="1">
        <f t="array" ref="H40">IF($F40&gt;CDS.Tenor,"-",Interpolate(F40,Calibration.Times,Calibration.HazardRates))</f>
        <v>-</v>
      </c>
      <c r="I40" s="12" t="str">
        <f t="shared" si="2"/>
        <v>-</v>
      </c>
      <c r="J40" s="12" t="str">
        <f t="shared" si="3"/>
        <v>-</v>
      </c>
      <c r="K40" s="97" t="str">
        <f t="shared" si="4"/>
        <v>-</v>
      </c>
      <c r="L40" s="31" t="str">
        <f t="shared" si="5"/>
        <v>-</v>
      </c>
      <c r="M40" s="31" t="str">
        <f t="shared" si="6"/>
        <v>-</v>
      </c>
      <c r="N40" s="151" t="str">
        <f t="shared" si="7"/>
        <v>-</v>
      </c>
      <c r="Q40" s="165">
        <f t="shared" si="8"/>
        <v>9</v>
      </c>
      <c r="R40" s="31" t="str">
        <f t="shared" si="9"/>
        <v>-</v>
      </c>
      <c r="S40" s="21" t="str" cm="1">
        <f t="array" ref="S40">IF($F40&gt;CDS.Tenor,"-",Interpolate(Q40,Calibration.Times,Calibration.HazardRates))</f>
        <v>-</v>
      </c>
      <c r="T40" s="12" t="str">
        <f t="shared" si="10"/>
        <v>-</v>
      </c>
      <c r="U40" s="12" t="str">
        <f t="shared" si="11"/>
        <v>-</v>
      </c>
      <c r="V40" s="97" t="str">
        <f t="shared" si="12"/>
        <v>-</v>
      </c>
      <c r="W40" s="151" t="str">
        <f t="shared" si="13"/>
        <v>-</v>
      </c>
    </row>
    <row r="41" spans="6:23" x14ac:dyDescent="0.3">
      <c r="F41" s="165">
        <f t="shared" si="0"/>
        <v>9.25</v>
      </c>
      <c r="G41" s="31" t="str">
        <f t="shared" si="1"/>
        <v>-</v>
      </c>
      <c r="H41" s="21" t="str" cm="1">
        <f t="array" ref="H41">IF($F41&gt;CDS.Tenor,"-",Interpolate(F41,Calibration.Times,Calibration.HazardRates))</f>
        <v>-</v>
      </c>
      <c r="I41" s="12" t="str">
        <f t="shared" si="2"/>
        <v>-</v>
      </c>
      <c r="J41" s="12" t="str">
        <f t="shared" si="3"/>
        <v>-</v>
      </c>
      <c r="K41" s="97" t="str">
        <f t="shared" si="4"/>
        <v>-</v>
      </c>
      <c r="L41" s="31" t="str">
        <f t="shared" si="5"/>
        <v>-</v>
      </c>
      <c r="M41" s="31" t="str">
        <f t="shared" si="6"/>
        <v>-</v>
      </c>
      <c r="N41" s="151" t="str">
        <f t="shared" si="7"/>
        <v>-</v>
      </c>
      <c r="Q41" s="165">
        <f t="shared" si="8"/>
        <v>9.25</v>
      </c>
      <c r="R41" s="31" t="str">
        <f t="shared" si="9"/>
        <v>-</v>
      </c>
      <c r="S41" s="21" t="str" cm="1">
        <f t="array" ref="S41">IF($F41&gt;CDS.Tenor,"-",Interpolate(Q41,Calibration.Times,Calibration.HazardRates))</f>
        <v>-</v>
      </c>
      <c r="T41" s="12" t="str">
        <f t="shared" si="10"/>
        <v>-</v>
      </c>
      <c r="U41" s="12" t="str">
        <f t="shared" si="11"/>
        <v>-</v>
      </c>
      <c r="V41" s="97" t="str">
        <f t="shared" si="12"/>
        <v>-</v>
      </c>
      <c r="W41" s="151" t="str">
        <f t="shared" si="13"/>
        <v>-</v>
      </c>
    </row>
    <row r="42" spans="6:23" x14ac:dyDescent="0.3">
      <c r="F42" s="165">
        <f t="shared" si="0"/>
        <v>9.5</v>
      </c>
      <c r="G42" s="31" t="str">
        <f t="shared" si="1"/>
        <v>-</v>
      </c>
      <c r="H42" s="21" t="str" cm="1">
        <f t="array" ref="H42">IF($F42&gt;CDS.Tenor,"-",Interpolate(F42,Calibration.Times,Calibration.HazardRates))</f>
        <v>-</v>
      </c>
      <c r="I42" s="12" t="str">
        <f t="shared" si="2"/>
        <v>-</v>
      </c>
      <c r="J42" s="12" t="str">
        <f t="shared" si="3"/>
        <v>-</v>
      </c>
      <c r="K42" s="97" t="str">
        <f t="shared" si="4"/>
        <v>-</v>
      </c>
      <c r="L42" s="31" t="str">
        <f t="shared" si="5"/>
        <v>-</v>
      </c>
      <c r="M42" s="31" t="str">
        <f t="shared" si="6"/>
        <v>-</v>
      </c>
      <c r="N42" s="151" t="str">
        <f t="shared" si="7"/>
        <v>-</v>
      </c>
      <c r="Q42" s="165">
        <f t="shared" si="8"/>
        <v>9.5</v>
      </c>
      <c r="R42" s="31" t="str">
        <f t="shared" si="9"/>
        <v>-</v>
      </c>
      <c r="S42" s="21" t="str" cm="1">
        <f t="array" ref="S42">IF($F42&gt;CDS.Tenor,"-",Interpolate(Q42,Calibration.Times,Calibration.HazardRates))</f>
        <v>-</v>
      </c>
      <c r="T42" s="12" t="str">
        <f t="shared" si="10"/>
        <v>-</v>
      </c>
      <c r="U42" s="12" t="str">
        <f t="shared" si="11"/>
        <v>-</v>
      </c>
      <c r="V42" s="97" t="str">
        <f t="shared" si="12"/>
        <v>-</v>
      </c>
      <c r="W42" s="151" t="str">
        <f t="shared" si="13"/>
        <v>-</v>
      </c>
    </row>
    <row r="43" spans="6:23" x14ac:dyDescent="0.3">
      <c r="F43" s="165">
        <f t="shared" si="0"/>
        <v>9.75</v>
      </c>
      <c r="G43" s="31" t="str">
        <f t="shared" si="1"/>
        <v>-</v>
      </c>
      <c r="H43" s="21" t="str" cm="1">
        <f t="array" ref="H43">IF($F43&gt;CDS.Tenor,"-",Interpolate(F43,Calibration.Times,Calibration.HazardRates))</f>
        <v>-</v>
      </c>
      <c r="I43" s="12" t="str">
        <f t="shared" si="2"/>
        <v>-</v>
      </c>
      <c r="J43" s="12" t="str">
        <f t="shared" si="3"/>
        <v>-</v>
      </c>
      <c r="K43" s="97" t="str">
        <f t="shared" si="4"/>
        <v>-</v>
      </c>
      <c r="L43" s="31" t="str">
        <f t="shared" si="5"/>
        <v>-</v>
      </c>
      <c r="M43" s="31" t="str">
        <f t="shared" si="6"/>
        <v>-</v>
      </c>
      <c r="N43" s="151" t="str">
        <f t="shared" si="7"/>
        <v>-</v>
      </c>
      <c r="Q43" s="165">
        <f t="shared" si="8"/>
        <v>9.75</v>
      </c>
      <c r="R43" s="31" t="str">
        <f t="shared" si="9"/>
        <v>-</v>
      </c>
      <c r="S43" s="21" t="str" cm="1">
        <f t="array" ref="S43">IF($F43&gt;CDS.Tenor,"-",Interpolate(Q43,Calibration.Times,Calibration.HazardRates))</f>
        <v>-</v>
      </c>
      <c r="T43" s="12" t="str">
        <f t="shared" si="10"/>
        <v>-</v>
      </c>
      <c r="U43" s="12" t="str">
        <f t="shared" si="11"/>
        <v>-</v>
      </c>
      <c r="V43" s="97" t="str">
        <f t="shared" si="12"/>
        <v>-</v>
      </c>
      <c r="W43" s="151" t="str">
        <f t="shared" si="13"/>
        <v>-</v>
      </c>
    </row>
    <row r="44" spans="6:23" x14ac:dyDescent="0.3">
      <c r="F44" s="166">
        <f t="shared" si="0"/>
        <v>10</v>
      </c>
      <c r="G44" s="41" t="str">
        <f t="shared" si="1"/>
        <v>-</v>
      </c>
      <c r="H44" s="39" t="str" cm="1">
        <f t="array" ref="H44">IF($F44&gt;CDS.Tenor,"-",Interpolate(F44,Calibration.Times,Calibration.HazardRates))</f>
        <v>-</v>
      </c>
      <c r="I44" s="140" t="str">
        <f t="shared" si="2"/>
        <v>-</v>
      </c>
      <c r="J44" s="140" t="str">
        <f t="shared" si="3"/>
        <v>-</v>
      </c>
      <c r="K44" s="105" t="str">
        <f t="shared" si="4"/>
        <v>-</v>
      </c>
      <c r="L44" s="41" t="str">
        <f t="shared" si="5"/>
        <v>-</v>
      </c>
      <c r="M44" s="41" t="str">
        <f t="shared" si="6"/>
        <v>-</v>
      </c>
      <c r="N44" s="167" t="str">
        <f t="shared" si="7"/>
        <v>-</v>
      </c>
      <c r="Q44" s="166">
        <f t="shared" si="8"/>
        <v>10</v>
      </c>
      <c r="R44" s="41" t="str">
        <f t="shared" si="9"/>
        <v>-</v>
      </c>
      <c r="S44" s="39" t="str" cm="1">
        <f t="array" ref="S44">IF($F44&gt;CDS.Tenor,"-",Interpolate(Q44,Calibration.Times,Calibration.HazardRates))</f>
        <v>-</v>
      </c>
      <c r="T44" s="140" t="str">
        <f t="shared" si="10"/>
        <v>-</v>
      </c>
      <c r="U44" s="140" t="str">
        <f t="shared" si="11"/>
        <v>-</v>
      </c>
      <c r="V44" s="105" t="str">
        <f t="shared" si="12"/>
        <v>-</v>
      </c>
      <c r="W44" s="167" t="str">
        <f t="shared" si="13"/>
        <v>-</v>
      </c>
    </row>
  </sheetData>
  <dataValidations count="1">
    <dataValidation type="list" allowBlank="1" showInputMessage="1" showErrorMessage="1" sqref="D3" xr:uid="{81AFAF33-EA2B-4038-A6BA-61682DDB7E32}">
      <formula1>"BUY,SELL"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Yield Curve</vt:lpstr>
      <vt:lpstr>Credit Curve</vt:lpstr>
      <vt:lpstr>CDS Price</vt:lpstr>
      <vt:lpstr>Calibration.HazardRates</vt:lpstr>
      <vt:lpstr>Calibration.Times</vt:lpstr>
      <vt:lpstr>CDS.BuySell</vt:lpstr>
      <vt:lpstr>CDS.CreditSpread</vt:lpstr>
      <vt:lpstr>CDS.Notional</vt:lpstr>
      <vt:lpstr>CDS.PremiumLegPV</vt:lpstr>
      <vt:lpstr>CDS.PremiumSign</vt:lpstr>
      <vt:lpstr>CDS.ProtectionSign</vt:lpstr>
      <vt:lpstr>CDS.RecoveryRate</vt:lpstr>
      <vt:lpstr>CDS.Spread</vt:lpstr>
      <vt:lpstr>CDS.Tenor</vt:lpstr>
      <vt:lpstr>CDS.YearFraction</vt:lpstr>
      <vt:lpstr>CreditName</vt:lpstr>
      <vt:lpstr>Currency</vt:lpstr>
      <vt:lpstr>DiscFactors10Y</vt:lpstr>
      <vt:lpstr>DiscFactors1Y</vt:lpstr>
      <vt:lpstr>DiscFactors2Y</vt:lpstr>
      <vt:lpstr>DiscFactors3Y</vt:lpstr>
      <vt:lpstr>DiscFactors4Y</vt:lpstr>
      <vt:lpstr>DiscFactors5Y</vt:lpstr>
      <vt:lpstr>Epsilon</vt:lpstr>
      <vt:lpstr>Frequency</vt:lpstr>
      <vt:lpstr>HazardRate10Y</vt:lpstr>
      <vt:lpstr>HazardRate1Y</vt:lpstr>
      <vt:lpstr>HazardRate2Y</vt:lpstr>
      <vt:lpstr>HazardRate3Y</vt:lpstr>
      <vt:lpstr>HazardRate4Y</vt:lpstr>
      <vt:lpstr>HazardRate5Y</vt:lpstr>
      <vt:lpstr>InterationResults</vt:lpstr>
      <vt:lpstr>InterationResults1</vt:lpstr>
      <vt:lpstr>IterationCount</vt:lpstr>
      <vt:lpstr>LGD</vt:lpstr>
      <vt:lpstr>Notional</vt:lpstr>
      <vt:lpstr>PDefault10Y</vt:lpstr>
      <vt:lpstr>PDefault1Y</vt:lpstr>
      <vt:lpstr>PDefault2Y</vt:lpstr>
      <vt:lpstr>PDefault3Y</vt:lpstr>
      <vt:lpstr>PDefault4Y</vt:lpstr>
      <vt:lpstr>PDefault5Y</vt:lpstr>
      <vt:lpstr>Protection10Y</vt:lpstr>
      <vt:lpstr>Protection1Y</vt:lpstr>
      <vt:lpstr>Protection2Y</vt:lpstr>
      <vt:lpstr>Protection3Y</vt:lpstr>
      <vt:lpstr>Protection4Y</vt:lpstr>
      <vt:lpstr>Protection5Y</vt:lpstr>
      <vt:lpstr>PSurvival10Y</vt:lpstr>
      <vt:lpstr>PSurvival1Y</vt:lpstr>
      <vt:lpstr>PSurvival2Y</vt:lpstr>
      <vt:lpstr>PSurvival3Y</vt:lpstr>
      <vt:lpstr>PSurvival4Y</vt:lpstr>
      <vt:lpstr>PSurvival5Y</vt:lpstr>
      <vt:lpstr>RecoveryRate</vt:lpstr>
      <vt:lpstr>RiskyAnnuity10Y</vt:lpstr>
      <vt:lpstr>RiskyAnnuity1Y</vt:lpstr>
      <vt:lpstr>RiskyAnnuity2Y</vt:lpstr>
      <vt:lpstr>RiskyAnnuity3Y</vt:lpstr>
      <vt:lpstr>RiskyAnnuity4Y</vt:lpstr>
      <vt:lpstr>RiskyAnnuity5Y</vt:lpstr>
      <vt:lpstr>ShiftSize</vt:lpstr>
      <vt:lpstr>ShowIterations</vt:lpstr>
      <vt:lpstr>Tolerance</vt:lpstr>
      <vt:lpstr>X0</vt:lpstr>
      <vt:lpstr>Xn</vt:lpstr>
      <vt:lpstr>XnPlus1</vt:lpstr>
      <vt:lpstr>YearFraction</vt:lpstr>
      <vt:lpstr>ZeroRate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2025-11-02T15:42:43Z</dcterms:modified>
</cp:coreProperties>
</file>