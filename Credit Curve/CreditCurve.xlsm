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ocuments\MY_DOCUMENTS\REPO\PUBLIC\QUANT RESEARCH\Credit Curve\"/>
    </mc:Choice>
  </mc:AlternateContent>
  <xr:revisionPtr revIDLastSave="0" documentId="13_ncr:1_{DF9BEFFE-85FE-4D82-88E6-80827A751574}" xr6:coauthVersionLast="47" xr6:coauthVersionMax="47" xr10:uidLastSave="{00000000-0000-0000-0000-000000000000}"/>
  <bookViews>
    <workbookView xWindow="-108" yWindow="-108" windowWidth="23256" windowHeight="12456" activeTab="1" xr2:uid="{240FB811-79B9-4413-B467-37154B088B69}"/>
  </bookViews>
  <sheets>
    <sheet name="Yield Curve" sheetId="2" r:id="rId1"/>
    <sheet name="Credit Curve" sheetId="1" r:id="rId2"/>
  </sheets>
  <functionGroups builtInGroupCount="19"/>
  <definedNames>
    <definedName name="CreditName">'Credit Curve'!$D$3</definedName>
    <definedName name="Currency">'Credit Curve'!$D$4</definedName>
    <definedName name="DiscFactors10Y">'Credit Curve'!$R$5:$R$44</definedName>
    <definedName name="DiscFactors1Y">'Credit Curve'!$R$5:$R$8</definedName>
    <definedName name="DiscFactors2Y">'Credit Curve'!$R$5:$R$12</definedName>
    <definedName name="DiscFactors3Y">'Credit Curve'!$R$5:$R$16</definedName>
    <definedName name="DiscFactors4Y">'Credit Curve'!$R$5:$R$20</definedName>
    <definedName name="DiscFactors5Y">'Credit Curve'!$R$5:$R$24</definedName>
    <definedName name="Epsilon">'Credit Curve'!$H$23</definedName>
    <definedName name="Frequency">'Credit Curve'!$D$5</definedName>
    <definedName name="InterationResults">'Credit Curve'!$B$42:$L$47</definedName>
    <definedName name="InterationResults1">'Credit Curve'!$B$42:$B$47</definedName>
    <definedName name="IterationCount">'Credit Curve'!$B$25</definedName>
    <definedName name="LGD">'Credit Curve'!$D$9</definedName>
    <definedName name="Notional">'Credit Curve'!$D$6</definedName>
    <definedName name="PDefault10Y">'Credit Curve'!$Q$5:$Q$44</definedName>
    <definedName name="PDefault1Y">'Credit Curve'!$Q$5:$Q$8</definedName>
    <definedName name="PDefault2Y">'Credit Curve'!$Q$5:$Q$12</definedName>
    <definedName name="PDefault3Y">'Credit Curve'!$Q$5:$Q$16</definedName>
    <definedName name="PDefault4Y">'Credit Curve'!$Q$5:$Q$20</definedName>
    <definedName name="PDefault5Y">'Credit Curve'!$Q$5:$Q$24</definedName>
    <definedName name="PSurvival10Y">'Credit Curve'!$P$5:$P$44</definedName>
    <definedName name="PSurvival1Y">'Credit Curve'!$P$5:$P$8</definedName>
    <definedName name="PSurvival2Y">'Credit Curve'!$P$5:$P$12</definedName>
    <definedName name="PSurvival3Y">'Credit Curve'!$P$5:$P$16</definedName>
    <definedName name="PSurvival4Y">'Credit Curve'!$P$5:$P$20</definedName>
    <definedName name="PSurvival5Y">'Credit Curve'!$P$5:$P$24</definedName>
    <definedName name="RecoveryRate">'Credit Curve'!$D$7</definedName>
    <definedName name="ShowIterations">'Credit Curve'!$F$37</definedName>
    <definedName name="Tolerance">'Credit Curve'!$F$23</definedName>
    <definedName name="X0">'Credit Curve'!$F$27:$F$32</definedName>
    <definedName name="Xn">'Credit Curve'!$E$27:$E$32</definedName>
    <definedName name="XnPlus1">'Credit Curve'!$D$27:$D$32</definedName>
    <definedName name="YearFraction">'Credit Curve'!$D$8</definedName>
    <definedName name="ZeroRate">'Yield Curve'!$C$7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H4" i="1"/>
  <c r="H5" i="1"/>
  <c r="H6" i="1"/>
  <c r="H7" i="1"/>
  <c r="H8" i="1"/>
  <c r="H9" i="1"/>
  <c r="F7" i="2"/>
  <c r="F8" i="2"/>
  <c r="F9" i="2"/>
  <c r="F10" i="2"/>
  <c r="F11" i="2"/>
  <c r="F12" i="2"/>
  <c r="F13" i="2"/>
  <c r="F14" i="2"/>
  <c r="F15" i="2"/>
  <c r="F16" i="2"/>
  <c r="D9" i="1"/>
  <c r="C19" i="1" l="1"/>
  <c r="D19" i="1" s="1"/>
  <c r="C16" i="1"/>
  <c r="D16" i="1" s="1"/>
  <c r="C15" i="1"/>
  <c r="D15" i="1" s="1"/>
  <c r="C18" i="1"/>
  <c r="D18" i="1" s="1"/>
  <c r="C17" i="1"/>
  <c r="D17" i="1" s="1"/>
  <c r="C14" i="1"/>
  <c r="D14" i="1" s="1"/>
  <c r="N5" i="1"/>
  <c r="R5" i="1" l="1"/>
  <c r="N6" i="1"/>
  <c r="R6" i="1" l="1"/>
  <c r="N7" i="1"/>
  <c r="R7" i="1" l="1"/>
  <c r="N8" i="1"/>
  <c r="R8" i="1" l="1"/>
  <c r="N9" i="1"/>
  <c r="R9" i="1" l="1"/>
  <c r="N10" i="1"/>
  <c r="R10" i="1" l="1"/>
  <c r="N11" i="1"/>
  <c r="R11" i="1" l="1"/>
  <c r="N12" i="1"/>
  <c r="R12" i="1" l="1"/>
  <c r="N13" i="1"/>
  <c r="R13" i="1" l="1"/>
  <c r="N14" i="1"/>
  <c r="R14" i="1" l="1"/>
  <c r="N15" i="1"/>
  <c r="R15" i="1" l="1"/>
  <c r="N16" i="1"/>
  <c r="R16" i="1" l="1"/>
  <c r="N17" i="1"/>
  <c r="R17" i="1" l="1"/>
  <c r="N18" i="1"/>
  <c r="R18" i="1" l="1"/>
  <c r="N19" i="1"/>
  <c r="R19" i="1" l="1"/>
  <c r="N20" i="1"/>
  <c r="R20" i="1" l="1"/>
  <c r="N21" i="1"/>
  <c r="R21" i="1" l="1"/>
  <c r="N22" i="1"/>
  <c r="R22" i="1" l="1"/>
  <c r="N23" i="1"/>
  <c r="R23" i="1" l="1"/>
  <c r="N24" i="1"/>
  <c r="R24" i="1" l="1"/>
  <c r="N25" i="1"/>
  <c r="R25" i="1" l="1"/>
  <c r="N26" i="1"/>
  <c r="R26" i="1" l="1"/>
  <c r="N27" i="1"/>
  <c r="R27" i="1" l="1"/>
  <c r="N28" i="1"/>
  <c r="R28" i="1" l="1"/>
  <c r="N29" i="1"/>
  <c r="R29" i="1" l="1"/>
  <c r="N30" i="1"/>
  <c r="R30" i="1" l="1"/>
  <c r="N31" i="1"/>
  <c r="R31" i="1" l="1"/>
  <c r="N32" i="1"/>
  <c r="R32" i="1" l="1"/>
  <c r="N33" i="1"/>
  <c r="R33" i="1" l="1"/>
  <c r="N34" i="1"/>
  <c r="R34" i="1" l="1"/>
  <c r="N35" i="1"/>
  <c r="R35" i="1" l="1"/>
  <c r="N36" i="1"/>
  <c r="R36" i="1" l="1"/>
  <c r="N37" i="1"/>
  <c r="R37" i="1" l="1"/>
  <c r="N38" i="1"/>
  <c r="R38" i="1" l="1"/>
  <c r="N39" i="1"/>
  <c r="R39" i="1" l="1"/>
  <c r="N40" i="1"/>
  <c r="R40" i="1" l="1"/>
  <c r="N41" i="1"/>
  <c r="R41" i="1" l="1"/>
  <c r="N42" i="1"/>
  <c r="R42" i="1" l="1"/>
  <c r="N43" i="1"/>
  <c r="R43" i="1" l="1"/>
  <c r="N44" i="1"/>
  <c r="R44" i="1" l="1"/>
  <c r="O29" i="1" a="1"/>
  <c r="O13" i="1" a="1"/>
  <c r="O28" i="1" a="1"/>
  <c r="O12" i="1" a="1"/>
  <c r="O25" i="1" a="1"/>
  <c r="O43" i="1" a="1"/>
  <c r="O44" i="1" a="1"/>
  <c r="O42" i="1" a="1"/>
  <c r="O26" i="1" a="1"/>
  <c r="O41" i="1" a="1"/>
  <c r="O40" i="1" a="1"/>
  <c r="O24" i="1" a="1"/>
  <c r="O8" i="1" a="1"/>
  <c r="O23" i="1" a="1"/>
  <c r="O7" i="1" a="1"/>
  <c r="O22" i="1" a="1"/>
  <c r="O39" i="1" a="1"/>
  <c r="O38" i="1" a="1"/>
  <c r="O37" i="1" a="1"/>
  <c r="O36" i="1" a="1"/>
  <c r="O35" i="1" a="1"/>
  <c r="O19" i="1" a="1"/>
  <c r="O9" i="1" a="1"/>
  <c r="O21" i="1" a="1"/>
  <c r="O34" i="1" a="1"/>
  <c r="O18" i="1" a="1"/>
  <c r="O27" i="1" a="1"/>
  <c r="O20" i="1" a="1"/>
  <c r="O33" i="1" a="1"/>
  <c r="O17" i="1" a="1"/>
  <c r="O16" i="1" a="1"/>
  <c r="O10" i="1" a="1"/>
  <c r="O5" i="1" a="1"/>
  <c r="O32" i="1" a="1"/>
  <c r="O31" i="1" a="1"/>
  <c r="O15" i="1" a="1"/>
  <c r="O14" i="1" a="1"/>
  <c r="O11" i="1" a="1"/>
  <c r="O6" i="1" a="1"/>
  <c r="O4" i="1" a="1"/>
  <c r="O30" i="1" a="1"/>
  <c r="O4" i="1" l="1"/>
  <c r="O5" i="1"/>
  <c r="P5" i="1" s="1"/>
  <c r="Q5" i="1" s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4" i="1"/>
  <c r="O43" i="1"/>
  <c r="P6" i="1" l="1"/>
  <c r="Q6" i="1" s="1"/>
  <c r="P7" i="1" l="1"/>
  <c r="Q7" i="1" l="1"/>
  <c r="P8" i="1"/>
  <c r="E14" i="1" l="1"/>
  <c r="K14" i="1"/>
  <c r="Q8" i="1"/>
  <c r="P9" i="1"/>
  <c r="Q9" i="1" l="1"/>
  <c r="P10" i="1"/>
  <c r="G14" i="1"/>
  <c r="F14" i="1"/>
  <c r="L14" i="1" l="1"/>
  <c r="G27" i="1" s="1"/>
  <c r="H14" i="1"/>
  <c r="Q10" i="1"/>
  <c r="P11" i="1"/>
  <c r="P12" i="1" l="1"/>
  <c r="Q11" i="1"/>
  <c r="K15" i="1" l="1"/>
  <c r="P13" i="1"/>
  <c r="Q12" i="1"/>
  <c r="E15" i="1"/>
  <c r="G15" i="1" l="1"/>
  <c r="F15" i="1"/>
  <c r="H15" i="1" s="1"/>
  <c r="Q13" i="1"/>
  <c r="P14" i="1"/>
  <c r="Q14" i="1" l="1"/>
  <c r="P15" i="1"/>
  <c r="P16" i="1" s="1"/>
  <c r="K16" i="1" s="1"/>
  <c r="Q15" i="1"/>
  <c r="L15" i="1"/>
  <c r="G28" i="1" s="1"/>
  <c r="P17" i="1"/>
  <c r="E16" i="1"/>
  <c r="Q16" i="1"/>
  <c r="F16" i="1" s="1"/>
  <c r="G16" i="1" l="1"/>
  <c r="P18" i="1"/>
  <c r="Q17" i="1"/>
  <c r="L16" i="1" l="1"/>
  <c r="G29" i="1" s="1"/>
  <c r="H16" i="1"/>
  <c r="P19" i="1"/>
  <c r="Q18" i="1"/>
  <c r="P20" i="1" l="1"/>
  <c r="K17" i="1" s="1"/>
  <c r="Q19" i="1"/>
  <c r="Q20" i="1" l="1"/>
  <c r="F17" i="1" s="1"/>
  <c r="P21" i="1"/>
  <c r="E17" i="1"/>
  <c r="G17" i="1" l="1"/>
  <c r="L17" i="1" s="1"/>
  <c r="P22" i="1"/>
  <c r="Q21" i="1"/>
  <c r="H17" i="1" l="1"/>
  <c r="G30" i="1"/>
  <c r="P23" i="1"/>
  <c r="Q22" i="1"/>
  <c r="P24" i="1" l="1"/>
  <c r="K18" i="1" s="1"/>
  <c r="Q23" i="1"/>
  <c r="P25" i="1" l="1"/>
  <c r="E18" i="1"/>
  <c r="Q24" i="1"/>
  <c r="F18" i="1" l="1"/>
  <c r="G18" i="1"/>
  <c r="P26" i="1"/>
  <c r="Q25" i="1"/>
  <c r="L18" i="1" l="1"/>
  <c r="G31" i="1"/>
  <c r="Q26" i="1"/>
  <c r="P27" i="1"/>
  <c r="H18" i="1"/>
  <c r="P28" i="1" l="1"/>
  <c r="Q27" i="1"/>
  <c r="P29" i="1" l="1"/>
  <c r="Q28" i="1"/>
  <c r="P30" i="1" l="1"/>
  <c r="Q29" i="1"/>
  <c r="P31" i="1" l="1"/>
  <c r="Q30" i="1"/>
  <c r="P32" i="1" l="1"/>
  <c r="Q31" i="1"/>
  <c r="P33" i="1" l="1"/>
  <c r="Q32" i="1"/>
  <c r="P34" i="1" l="1"/>
  <c r="Q33" i="1"/>
  <c r="P35" i="1" l="1"/>
  <c r="Q34" i="1"/>
  <c r="P36" i="1" l="1"/>
  <c r="Q35" i="1"/>
  <c r="P37" i="1" l="1"/>
  <c r="Q36" i="1"/>
  <c r="P38" i="1" l="1"/>
  <c r="Q37" i="1"/>
  <c r="P39" i="1" l="1"/>
  <c r="Q38" i="1"/>
  <c r="P40" i="1" l="1"/>
  <c r="Q39" i="1"/>
  <c r="P41" i="1" l="1"/>
  <c r="Q40" i="1"/>
  <c r="P42" i="1" l="1"/>
  <c r="Q41" i="1"/>
  <c r="P43" i="1" l="1"/>
  <c r="Q43" i="1" s="1"/>
  <c r="Q42" i="1"/>
  <c r="P44" i="1" l="1"/>
  <c r="K19" i="1" s="1"/>
  <c r="E19" i="1" l="1"/>
  <c r="Q44" i="1"/>
  <c r="F19" i="1" l="1"/>
  <c r="G19" i="1"/>
  <c r="L19" i="1" l="1"/>
  <c r="G32" i="1" s="1"/>
  <c r="H19" i="1"/>
  <c r="B66" i="1" l="1" a="1"/>
  <c r="B66" i="1" s="1"/>
  <c r="D27" i="1" s="1" a="1"/>
  <c r="H32" i="1" l="1"/>
  <c r="H30" i="1"/>
  <c r="H28" i="1"/>
  <c r="H29" i="1"/>
  <c r="H31" i="1"/>
  <c r="D27" i="1"/>
  <c r="H27" i="1" s="1"/>
  <c r="H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<sst xmlns="http://schemas.openxmlformats.org/spreadsheetml/2006/main" count="125" uniqueCount="87">
  <si>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</si>
  <si>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</si>
  <si>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</si>
  <si>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</si>
  <si>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</si>
  <si>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</si>
  <si>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USA_SOV</t>
  </si>
  <si>
    <t>Time, T</t>
  </si>
  <si>
    <t>Coupon</t>
  </si>
  <si>
    <t>P(Survive), Q(T)</t>
  </si>
  <si>
    <t>DiscFact, P(t,T)</t>
  </si>
  <si>
    <t>LossGivenDefault, LGD</t>
  </si>
  <si>
    <t>CDS Schedule</t>
  </si>
  <si>
    <t>CDS Curve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</si>
  <si>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</si>
  <si>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</si>
  <si>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</si>
  <si>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</si>
  <si>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</si>
  <si>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</si>
  <si>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</si>
  <si>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</si>
  <si>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</si>
  <si>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</si>
  <si>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</si>
  <si>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</si>
  <si>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</si>
  <si>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Yield Curve</t>
  </si>
  <si>
    <t>Discount Factors</t>
  </si>
  <si>
    <t>ZeroRate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</si>
  <si>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</si>
  <si>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</si>
  <si>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</si>
  <si>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</si>
  <si>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</si>
  <si>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</si>
  <si>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</si>
  <si>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</si>
  <si>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</si>
  <si>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</si>
  <si>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</si>
  <si>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</si>
  <si>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</si>
  <si>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</si>
  <si>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</si>
  <si>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</si>
  <si>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</si>
  <si>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</si>
  <si>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4. Show Iterations</t>
  </si>
  <si>
    <t>Solver Iteration Results</t>
  </si>
  <si>
    <t>Multi-Dimensional Newton-Raphson Algorithm</t>
  </si>
  <si>
    <t>2. Tolerance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</si>
  <si>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</si>
  <si>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</si>
  <si>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3. Initial Guess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</si>
  <si>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</si>
  <si>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</si>
  <si>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</si>
  <si>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 xml:space="preserve">1. CDS Market Data </t>
  </si>
  <si>
    <t>Time (Years)</t>
  </si>
  <si>
    <t>Risky Annuity</t>
  </si>
  <si>
    <t>CDS PVs</t>
  </si>
  <si>
    <t>%</t>
  </si>
  <si>
    <t>Inverse Jacobian, dH/dP</t>
  </si>
  <si>
    <t>Jacobian, dP/dH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</si>
  <si>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</si>
  <si>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</si>
  <si>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</si>
  <si>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</si>
  <si>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</si>
  <si>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</si>
  <si>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</si>
  <si>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</si>
  <si>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</si>
  <si>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</si>
  <si>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</si>
  <si>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</si>
  <si>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</si>
  <si>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</si>
  <si>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</si>
  <si>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</si>
  <si>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</si>
  <si>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Simple Yield Curve for Demo Purposes</t>
  </si>
  <si>
    <t>Bloomberg Screenshot - CDS Example</t>
  </si>
  <si>
    <t>Store the previous market Jacobian and refresh as needed.</t>
  </si>
  <si>
    <t>We can compute this numerically or derive and implement analytically.</t>
  </si>
  <si>
    <t>Iteration: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</si>
</sst>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#,##0.000000"/>
    <numFmt numFmtId="166" formatCode="0.000%"/>
    <numFmt numFmtId="167" formatCode="#,##0.0000"/>
    <numFmt numFmtId="168" formatCode="0.00000%"/>
    <numFmt numFmtId="169" formatCode="0.0000000%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2" fillId="0" borderId="0" xfId="0" applyFont="1"/>
    <xf numFmtId="0" fontId="0" fillId="2" borderId="3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8" fontId="5" fillId="0" borderId="0" xfId="0" applyNumberFormat="1" applyFont="1" applyAlignment="1">
      <alignment horizontal="center" vertical="center"/>
    </xf>
    <xf numFmtId="168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8" fontId="5" fillId="0" borderId="22" xfId="0" applyNumberFormat="1" applyFont="1" applyBorder="1" applyAlignment="1">
      <alignment horizontal="center" vertical="center"/>
    </xf>
    <xf numFmtId="168" fontId="0" fillId="0" borderId="22" xfId="0" applyNumberFormat="1" applyBorder="1" applyAlignment="1">
      <alignment horizontal="center" vertical="center"/>
    </xf>
    <xf numFmtId="168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8" fontId="5" fillId="0" borderId="27" xfId="0" applyNumberFormat="1" applyFont="1" applyBorder="1" applyAlignment="1">
      <alignment horizontal="center" vertical="center"/>
    </xf>
    <xf numFmtId="168" fontId="0" fillId="0" borderId="27" xfId="0" applyNumberFormat="1" applyBorder="1" applyAlignment="1">
      <alignment horizontal="center" vertical="center"/>
    </xf>
    <xf numFmtId="168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8" fontId="0" fillId="0" borderId="23" xfId="0" applyNumberFormat="1" applyBorder="1" applyAlignment="1">
      <alignment horizontal="center" vertical="center"/>
    </xf>
    <xf numFmtId="168" fontId="0" fillId="0" borderId="25" xfId="0" applyNumberFormat="1" applyBorder="1" applyAlignment="1">
      <alignment horizontal="center" vertical="center"/>
    </xf>
    <xf numFmtId="168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7" fontId="10" fillId="3" borderId="9" xfId="0" applyNumberFormat="1" applyFon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7" fontId="10" fillId="3" borderId="12" xfId="0" applyNumberFormat="1" applyFont="1" applyFill="1" applyBorder="1" applyAlignment="1">
      <alignment horizontal="center" vertical="center"/>
    </xf>
    <xf numFmtId="167" fontId="10" fillId="3" borderId="0" xfId="0" applyNumberFormat="1" applyFon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167" fontId="2" fillId="3" borderId="4" xfId="0" applyNumberFormat="1" applyFont="1" applyFill="1" applyBorder="1" applyAlignment="1">
      <alignment horizontal="center" vertical="center"/>
    </xf>
    <xf numFmtId="167" fontId="10" fillId="3" borderId="15" xfId="0" applyNumberFormat="1" applyFont="1" applyFill="1" applyBorder="1" applyAlignment="1">
      <alignment horizontal="center" vertical="center"/>
    </xf>
    <xf numFmtId="167" fontId="4" fillId="0" borderId="12" xfId="0" applyNumberFormat="1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4" fontId="0" fillId="0" borderId="29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6" fontId="0" fillId="4" borderId="15" xfId="0" applyNumberFormat="1" applyFill="1" applyBorder="1" applyAlignment="1">
      <alignment horizontal="center"/>
    </xf>
    <xf numFmtId="169" fontId="0" fillId="0" borderId="0" xfId="0" applyNumberFormat="1" applyAlignment="1">
      <alignment horizontal="center" vertical="center"/>
    </xf>
    <xf numFmtId="169" fontId="0" fillId="0" borderId="33" xfId="0" applyNumberFormat="1" applyBorder="1" applyAlignment="1">
      <alignment horizontal="center" vertical="center"/>
    </xf>
    <xf numFmtId="169" fontId="0" fillId="0" borderId="34" xfId="0" applyNumberFormat="1" applyBorder="1" applyAlignment="1">
      <alignment horizontal="center" vertical="center"/>
    </xf>
    <xf numFmtId="169" fontId="0" fillId="0" borderId="35" xfId="0" applyNumberFormat="1" applyBorder="1" applyAlignment="1">
      <alignment horizontal="center" vertical="center"/>
    </xf>
    <xf numFmtId="169" fontId="0" fillId="0" borderId="36" xfId="0" applyNumberFormat="1" applyBorder="1" applyAlignment="1">
      <alignment horizontal="center" vertical="center"/>
    </xf>
    <xf numFmtId="169" fontId="0" fillId="0" borderId="37" xfId="0" applyNumberFormat="1" applyBorder="1" applyAlignment="1">
      <alignment horizontal="center" vertical="center"/>
    </xf>
    <xf numFmtId="169" fontId="0" fillId="0" borderId="38" xfId="0" applyNumberFormat="1" applyBorder="1" applyAlignment="1">
      <alignment horizontal="center" vertical="center"/>
    </xf>
    <xf numFmtId="169" fontId="0" fillId="0" borderId="39" xfId="0" applyNumberFormat="1" applyBorder="1" applyAlignment="1">
      <alignment horizontal="center" vertical="center"/>
    </xf>
    <xf numFmtId="169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9525</xdr:colOff>
      <xdr:row>3</xdr:row>
      <xdr:rowOff>171450</xdr:rowOff>
    </xdr:from>
    <xdr:to>
      <xdr:col>37</xdr:col>
      <xdr:colOff>306203</xdr:colOff>
      <xdr:row>31</xdr:row>
      <xdr:rowOff>76943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8C8870-E6B4-EC8D-3267-A5045B4E2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49825" y="742950"/>
          <a:ext cx="10050278" cy="53252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34</xdr:row>
          <xdr:rowOff>38100</xdr:rowOff>
        </xdr:from>
        <xdr:to>
          <xdr:col>3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4356-B9C1-4D7C-BA2F-5EA36A9DD27E}">
  <sheetPr codeName="Sheet2"/>
  <dimension ref="B2:F16"/>
  <sheetViews>
    <sheetView showGridLines="0" workbookViewId="0"/>
  </sheetViews>
  <sheetFormatPr defaultRowHeight="14.4" x14ac:dyDescent="0.3"/>
  <sheetData>
    <row r="2" spans="2:6" x14ac:dyDescent="0.3">
      <c r="B2" t="s">
        <v>82</v>
      </c>
    </row>
    <row r="4" spans="2:6" x14ac:dyDescent="0.3">
      <c r="B4" s="1" t="s">
        <v>27</v>
      </c>
      <c r="E4" s="1" t="s">
        <v>28</v>
      </c>
    </row>
    <row r="6" spans="2:6" x14ac:dyDescent="0.3">
      <c r="B6" s="3" t="s">
        <v>21</v>
      </c>
      <c r="C6" s="13" t="s">
        <v>23</v>
      </c>
      <c r="E6" s="4" t="s">
        <v>25</v>
      </c>
      <c r="F6" s="4" t="s">
        <v>26</v>
      </c>
    </row>
    <row r="7" spans="2:6" x14ac:dyDescent="0.3">
      <c r="B7" s="2" t="s">
        <v>29</v>
      </c>
      <c r="C7" s="112">
        <v>0.04</v>
      </c>
      <c r="E7" s="106">
        <v>1</v>
      </c>
      <c r="F7" s="107">
        <f t="shared" ref="F7:F16" ca="1" si="0">EXP(-ZeroRate*E7)</f>
        <v>0.96078943915232318</v>
      </c>
    </row>
    <row r="8" spans="2:6" x14ac:dyDescent="0.3">
      <c r="E8" s="108">
        <v>2</v>
      </c>
      <c r="F8" s="109">
        <f t="shared" ca="1" si="0"/>
        <v>0.92311634638663576</v>
      </c>
    </row>
    <row r="9" spans="2:6" x14ac:dyDescent="0.3">
      <c r="E9" s="108">
        <v>3</v>
      </c>
      <c r="F9" s="109">
        <f t="shared" ca="1" si="0"/>
        <v>0.88692043671715748</v>
      </c>
    </row>
    <row r="10" spans="2:6" x14ac:dyDescent="0.3">
      <c r="E10" s="108">
        <v>4</v>
      </c>
      <c r="F10" s="109">
        <f t="shared" ca="1" si="0"/>
        <v>0.85214378896621135</v>
      </c>
    </row>
    <row r="11" spans="2:6" x14ac:dyDescent="0.3">
      <c r="E11" s="108">
        <v>5</v>
      </c>
      <c r="F11" s="109">
        <f t="shared" ca="1" si="0"/>
        <v>0.81873075307798182</v>
      </c>
    </row>
    <row r="12" spans="2:6" x14ac:dyDescent="0.3">
      <c r="E12" s="108">
        <v>6</v>
      </c>
      <c r="F12" s="109">
        <f t="shared" ca="1" si="0"/>
        <v>0.78662786106655347</v>
      </c>
    </row>
    <row r="13" spans="2:6" x14ac:dyDescent="0.3">
      <c r="E13" s="108">
        <v>7</v>
      </c>
      <c r="F13" s="109">
        <f t="shared" ca="1" si="0"/>
        <v>0.75578374145572547</v>
      </c>
    </row>
    <row r="14" spans="2:6" x14ac:dyDescent="0.3">
      <c r="E14" s="108">
        <v>8</v>
      </c>
      <c r="F14" s="109">
        <f t="shared" ca="1" si="0"/>
        <v>0.72614903707369094</v>
      </c>
    </row>
    <row r="15" spans="2:6" x14ac:dyDescent="0.3">
      <c r="E15" s="108">
        <v>9</v>
      </c>
      <c r="F15" s="109">
        <f t="shared" ca="1" si="0"/>
        <v>0.69767632607103103</v>
      </c>
    </row>
    <row r="16" spans="2:6" x14ac:dyDescent="0.3">
      <c r="E16" s="110">
        <v>10</v>
      </c>
      <c r="F16" s="111">
        <f t="shared" ca="1" si="0"/>
        <v>0.67032004603563933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/>
  <dimension ref="A2:V71"/>
  <sheetViews>
    <sheetView showGridLines="0" tabSelected="1" workbookViewId="0"/>
  </sheetViews>
  <sheetFormatPr defaultRowHeight="14.4" x14ac:dyDescent="0.3"/>
  <cols>
    <col min="1" max="6" width="12.6640625" customWidth="1"/>
    <col min="7" max="7" width="15.6640625" customWidth="1"/>
    <col min="8" max="10" width="12.6640625" customWidth="1"/>
    <col min="11" max="12" width="15.6640625" customWidth="1"/>
    <col min="13" max="13" width="12.6640625" customWidth="1"/>
    <col min="14" max="18" width="15.6640625" customWidth="1"/>
  </cols>
  <sheetData>
    <row r="2" spans="2:22" x14ac:dyDescent="0.3">
      <c r="B2" s="1" t="s">
        <v>13</v>
      </c>
      <c r="F2" s="58" t="s">
        <v>58</v>
      </c>
      <c r="K2" s="1" t="s">
        <v>79</v>
      </c>
      <c r="N2" s="1" t="s">
        <v>12</v>
      </c>
      <c r="O2" s="1"/>
    </row>
    <row r="3" spans="2:22" x14ac:dyDescent="0.3">
      <c r="B3" s="124" t="s">
        <v>0</v>
      </c>
      <c r="C3" s="125"/>
      <c r="D3" s="50" t="s">
        <v>6</v>
      </c>
      <c r="F3" s="43" t="s">
        <v>14</v>
      </c>
      <c r="G3" s="43" t="s">
        <v>80</v>
      </c>
      <c r="H3" s="4" t="s">
        <v>62</v>
      </c>
      <c r="K3" s="43" t="s">
        <v>59</v>
      </c>
      <c r="L3" s="43" t="s">
        <v>24</v>
      </c>
      <c r="N3" s="44" t="s">
        <v>7</v>
      </c>
      <c r="O3" s="44" t="s">
        <v>24</v>
      </c>
      <c r="P3" s="44" t="s">
        <v>9</v>
      </c>
      <c r="Q3" s="44" t="s">
        <v>30</v>
      </c>
      <c r="R3" s="44" t="s">
        <v>10</v>
      </c>
      <c r="S3" s="44"/>
      <c r="V3" t="s">
        <v>83</v>
      </c>
    </row>
    <row r="4" spans="2:22" x14ac:dyDescent="0.3">
      <c r="B4" s="126" t="s">
        <v>21</v>
      </c>
      <c r="C4" s="127"/>
      <c r="D4" s="51" t="s">
        <v>23</v>
      </c>
      <c r="F4" s="76" t="s">
        <v>15</v>
      </c>
      <c r="G4" s="77">
        <v>10</v>
      </c>
      <c r="H4" s="21">
        <f t="shared" ref="H4:H9" si="0">G4/10000</f>
        <v>1E-3</v>
      </c>
      <c r="K4" s="14">
        <v>1</v>
      </c>
      <c r="L4" s="89">
        <f t="shared" ref="L4:L9" si="1">E27</f>
        <v>1.666666690677724E-3</v>
      </c>
      <c r="N4" s="20">
        <v>0</v>
      </c>
      <c r="O4" s="21" cm="1">
        <f t="array" ref="O4">HazardRate(N4,$K$4:$K$9,$L$4:$L$9)</f>
        <v>1.666666690677724E-3</v>
      </c>
      <c r="P4" s="12">
        <v>1</v>
      </c>
      <c r="Q4" s="12">
        <v>0</v>
      </c>
      <c r="R4" s="45">
        <v>1</v>
      </c>
    </row>
    <row r="5" spans="2:22" x14ac:dyDescent="0.3">
      <c r="B5" s="126" t="s">
        <v>3</v>
      </c>
      <c r="C5" s="127"/>
      <c r="D5" s="52" t="s">
        <v>4</v>
      </c>
      <c r="F5" s="78" t="s">
        <v>16</v>
      </c>
      <c r="G5" s="79">
        <v>12</v>
      </c>
      <c r="H5" s="21">
        <f t="shared" si="0"/>
        <v>1.1999999999999999E-3</v>
      </c>
      <c r="K5" s="15">
        <v>2</v>
      </c>
      <c r="L5" s="90">
        <f t="shared" si="1"/>
        <v>2.3476332615655691E-3</v>
      </c>
      <c r="N5" s="23">
        <f>YearFraction</f>
        <v>0.25</v>
      </c>
      <c r="O5" s="24" cm="1">
        <f t="array" ref="O5">HazardRate(N5,$K$4:$K$9,$L$4:$L$9)</f>
        <v>1.666666690677724E-3</v>
      </c>
      <c r="P5" s="25">
        <f t="shared" ref="P5:P44" si="2">EXP(-O5*YearFraction)*P4</f>
        <v>0.99958342012083357</v>
      </c>
      <c r="Q5" s="25">
        <f t="shared" ref="Q5:Q44" si="3">P4-P5</f>
        <v>4.1657987916643435E-4</v>
      </c>
      <c r="R5" s="26">
        <f t="shared" ref="R5:R44" si="4">EXP(-ZeroRate*$N5)</f>
        <v>0.99004983374916811</v>
      </c>
    </row>
    <row r="6" spans="2:22" x14ac:dyDescent="0.3">
      <c r="B6" s="126" t="s">
        <v>22</v>
      </c>
      <c r="C6" s="127"/>
      <c r="D6" s="53">
        <v>1000000</v>
      </c>
      <c r="F6" s="78" t="s">
        <v>17</v>
      </c>
      <c r="G6" s="79">
        <v>15</v>
      </c>
      <c r="H6" s="21">
        <f t="shared" si="0"/>
        <v>1.5E-3</v>
      </c>
      <c r="K6" s="15">
        <v>3</v>
      </c>
      <c r="L6" s="90">
        <f t="shared" si="1"/>
        <v>3.5662800613677102E-3</v>
      </c>
      <c r="N6" s="27">
        <f t="shared" ref="N6:N44" si="5">N5+YearFraction</f>
        <v>0.5</v>
      </c>
      <c r="O6" s="28" cm="1">
        <f t="array" ref="O6">HazardRate(N6,$K$4:$K$9,$L$4:$L$9)</f>
        <v>1.666666690677724E-3</v>
      </c>
      <c r="P6" s="29">
        <f t="shared" si="2"/>
        <v>0.99916701378046291</v>
      </c>
      <c r="Q6" s="29">
        <f t="shared" si="3"/>
        <v>4.1640634037065638E-4</v>
      </c>
      <c r="R6" s="30">
        <f t="shared" si="4"/>
        <v>0.98019867330675525</v>
      </c>
    </row>
    <row r="7" spans="2:22" x14ac:dyDescent="0.3">
      <c r="B7" s="126" t="s">
        <v>1</v>
      </c>
      <c r="C7" s="127"/>
      <c r="D7" s="54">
        <v>0.4</v>
      </c>
      <c r="F7" s="78" t="s">
        <v>18</v>
      </c>
      <c r="G7" s="79">
        <v>17</v>
      </c>
      <c r="H7" s="21">
        <f t="shared" si="0"/>
        <v>1.6999999999999999E-3</v>
      </c>
      <c r="K7" s="15">
        <v>4</v>
      </c>
      <c r="L7" s="90">
        <f t="shared" si="1"/>
        <v>3.9242108603462821E-3</v>
      </c>
      <c r="N7" s="27">
        <f t="shared" si="5"/>
        <v>0.75</v>
      </c>
      <c r="O7" s="28" cm="1">
        <f t="array" ref="O7">HazardRate(N7,$K$4:$K$9,$L$4:$L$9)</f>
        <v>1.666666690677724E-3</v>
      </c>
      <c r="P7" s="29">
        <f t="shared" si="2"/>
        <v>0.99875078090659519</v>
      </c>
      <c r="Q7" s="29">
        <f t="shared" si="3"/>
        <v>4.1623287386771679E-4</v>
      </c>
      <c r="R7" s="30">
        <f t="shared" si="4"/>
        <v>0.97044553354850815</v>
      </c>
    </row>
    <row r="8" spans="2:22" x14ac:dyDescent="0.3">
      <c r="B8" s="126" t="s">
        <v>5</v>
      </c>
      <c r="C8" s="127"/>
      <c r="D8" s="55">
        <v>0.25</v>
      </c>
      <c r="F8" s="78" t="s">
        <v>19</v>
      </c>
      <c r="G8" s="79">
        <v>20</v>
      </c>
      <c r="H8" s="21">
        <f t="shared" si="0"/>
        <v>2E-3</v>
      </c>
      <c r="K8" s="15">
        <v>5</v>
      </c>
      <c r="L8" s="90">
        <f t="shared" si="1"/>
        <v>5.5673987525033013E-3</v>
      </c>
      <c r="N8" s="27">
        <f t="shared" si="5"/>
        <v>1</v>
      </c>
      <c r="O8" s="28" cm="1">
        <f t="array" ref="O8">HazardRate(N8,$K$4:$K$9,$L$4:$L$9)</f>
        <v>1.666666690677724E-3</v>
      </c>
      <c r="P8" s="29">
        <f t="shared" si="2"/>
        <v>0.99833472142696777</v>
      </c>
      <c r="Q8" s="29">
        <f t="shared" si="3"/>
        <v>4.1605947962741752E-4</v>
      </c>
      <c r="R8" s="30">
        <f t="shared" si="4"/>
        <v>0.96078943915232318</v>
      </c>
    </row>
    <row r="9" spans="2:22" x14ac:dyDescent="0.3">
      <c r="B9" s="122" t="s">
        <v>11</v>
      </c>
      <c r="C9" s="123"/>
      <c r="D9" s="56">
        <f>Notional*(1-RecoveryRate)</f>
        <v>600000</v>
      </c>
      <c r="F9" s="80" t="s">
        <v>20</v>
      </c>
      <c r="G9" s="81">
        <v>30</v>
      </c>
      <c r="H9" s="21">
        <f t="shared" si="0"/>
        <v>3.0000000000000001E-3</v>
      </c>
      <c r="K9" s="16">
        <v>10</v>
      </c>
      <c r="L9" s="91">
        <f t="shared" si="1"/>
        <v>7.0930335848556824E-3</v>
      </c>
      <c r="N9" s="27">
        <f t="shared" si="5"/>
        <v>1.25</v>
      </c>
      <c r="O9" s="28" cm="1">
        <f t="array" ref="O9">HazardRate(N9,$K$4:$K$9,$L$4:$L$9)</f>
        <v>2.3476332615655691E-3</v>
      </c>
      <c r="P9" s="29">
        <f t="shared" si="2"/>
        <v>0.99774896238765809</v>
      </c>
      <c r="Q9" s="29">
        <f t="shared" si="3"/>
        <v>5.8575903930968565E-4</v>
      </c>
      <c r="R9" s="30">
        <f t="shared" si="4"/>
        <v>0.95122942450071402</v>
      </c>
    </row>
    <row r="10" spans="2:22" x14ac:dyDescent="0.3">
      <c r="N10" s="27">
        <f t="shared" si="5"/>
        <v>1.5</v>
      </c>
      <c r="O10" s="28" cm="1">
        <f t="array" ref="O10">HazardRate(N10,$K$4:$K$9,$L$4:$L$9)</f>
        <v>2.3476332615655691E-3</v>
      </c>
      <c r="P10" s="29">
        <f t="shared" si="2"/>
        <v>0.99716354703433341</v>
      </c>
      <c r="Q10" s="29">
        <f t="shared" si="3"/>
        <v>5.8541535332468086E-4</v>
      </c>
      <c r="R10" s="30">
        <f t="shared" si="4"/>
        <v>0.94176453358424872</v>
      </c>
    </row>
    <row r="11" spans="2:22" x14ac:dyDescent="0.3">
      <c r="N11" s="27">
        <f t="shared" si="5"/>
        <v>1.75</v>
      </c>
      <c r="O11" s="28" cm="1">
        <f t="array" ref="O11">HazardRate(N11,$K$4:$K$9,$L$4:$L$9)</f>
        <v>2.3476332615655691E-3</v>
      </c>
      <c r="P11" s="29">
        <f t="shared" si="2"/>
        <v>0.99657847516534082</v>
      </c>
      <c r="Q11" s="29">
        <f t="shared" si="3"/>
        <v>5.8507186899259267E-4</v>
      </c>
      <c r="R11" s="30">
        <f t="shared" si="4"/>
        <v>0.93239381990594827</v>
      </c>
    </row>
    <row r="12" spans="2:22" x14ac:dyDescent="0.3">
      <c r="B12" s="1" t="s">
        <v>61</v>
      </c>
      <c r="K12" s="1" t="s">
        <v>81</v>
      </c>
      <c r="N12" s="27">
        <f t="shared" si="5"/>
        <v>2</v>
      </c>
      <c r="O12" s="28" cm="1">
        <f t="array" ref="O12">HazardRate(N12,$K$4:$K$9,$L$4:$L$9)</f>
        <v>2.3476332615655691E-3</v>
      </c>
      <c r="P12" s="29">
        <f t="shared" si="2"/>
        <v>0.99599374657914563</v>
      </c>
      <c r="Q12" s="29">
        <f t="shared" si="3"/>
        <v>5.8472858619518231E-4</v>
      </c>
      <c r="R12" s="30">
        <f t="shared" si="4"/>
        <v>0.92311634638663576</v>
      </c>
    </row>
    <row r="13" spans="2:22" x14ac:dyDescent="0.3">
      <c r="B13" s="4" t="s">
        <v>14</v>
      </c>
      <c r="C13" s="4" t="s">
        <v>33</v>
      </c>
      <c r="D13" s="4" t="s">
        <v>8</v>
      </c>
      <c r="E13" s="4" t="s">
        <v>2</v>
      </c>
      <c r="F13" s="4" t="s">
        <v>31</v>
      </c>
      <c r="G13" s="4" t="s">
        <v>32</v>
      </c>
      <c r="H13" s="4" t="s">
        <v>34</v>
      </c>
      <c r="K13" s="4" t="s">
        <v>60</v>
      </c>
      <c r="L13" s="4" t="s">
        <v>80</v>
      </c>
      <c r="N13" s="27">
        <f t="shared" si="5"/>
        <v>2.25</v>
      </c>
      <c r="O13" s="28" cm="1">
        <f t="array" ref="O13">HazardRate(N13,$K$4:$K$9,$L$4:$L$9)</f>
        <v>3.5662800613677102E-3</v>
      </c>
      <c r="P13" s="29">
        <f t="shared" si="2"/>
        <v>0.99510614415787579</v>
      </c>
      <c r="Q13" s="29">
        <f t="shared" si="3"/>
        <v>8.8760242126983968E-4</v>
      </c>
      <c r="R13" s="30">
        <f t="shared" si="4"/>
        <v>0.91393118527122819</v>
      </c>
    </row>
    <row r="14" spans="2:22" x14ac:dyDescent="0.3">
      <c r="B14" s="32" t="s">
        <v>15</v>
      </c>
      <c r="C14" s="33">
        <f t="shared" ref="C14:C19" si="6">H4</f>
        <v>1E-3</v>
      </c>
      <c r="D14" s="34">
        <f t="shared" ref="D14:D19" si="7">-Notional*C14*YearFraction</f>
        <v>-250</v>
      </c>
      <c r="E14" s="35">
        <f>D14*SUMPRODUCT(PSurvival1Y,DiscFactors1Y)</f>
        <v>-974.3605679433839</v>
      </c>
      <c r="F14" s="35">
        <f>D14*0.5*SUMPRODUCT(PDefault1Y,DiscFactors1Y)</f>
        <v>-0.20303408374325435</v>
      </c>
      <c r="G14" s="35">
        <f>LGD*SUMPRODUCT(PDefault1Y,DiscFactors1Y)</f>
        <v>974.56360196762091</v>
      </c>
      <c r="H14" s="36">
        <f t="shared" ref="H14:H19" si="8">SUM(E14:G14)</f>
        <v>-5.9506191973923706E-8</v>
      </c>
      <c r="K14" s="82">
        <f>Notional*0.25*SUMPRODUCT(PSurvival1Y,DiscFactors1Y)</f>
        <v>974360.56794338394</v>
      </c>
      <c r="L14" s="83">
        <f t="shared" ref="L14:L19" si="9">(G14+F14)/K14*10000</f>
        <v>9.9999999993892796</v>
      </c>
      <c r="N14" s="27">
        <f t="shared" si="5"/>
        <v>2.5</v>
      </c>
      <c r="O14" s="28" cm="1">
        <f t="array" ref="O14">HazardRate(N14,$K$4:$K$9,$L$4:$L$9)</f>
        <v>3.5662800613677102E-3</v>
      </c>
      <c r="P14" s="29">
        <f t="shared" si="2"/>
        <v>0.99421933274363883</v>
      </c>
      <c r="Q14" s="29">
        <f t="shared" si="3"/>
        <v>8.8681141423696541E-4</v>
      </c>
      <c r="R14" s="30">
        <f t="shared" si="4"/>
        <v>0.90483741803595952</v>
      </c>
    </row>
    <row r="15" spans="2:22" x14ac:dyDescent="0.3">
      <c r="B15" s="37" t="s">
        <v>16</v>
      </c>
      <c r="C15" s="21">
        <f t="shared" si="6"/>
        <v>1.1999999999999999E-3</v>
      </c>
      <c r="D15" s="4">
        <f t="shared" si="7"/>
        <v>-300</v>
      </c>
      <c r="E15" s="31">
        <f>D15*SUMPRODUCT(PSurvival2Y,DiscFactors2Y)</f>
        <v>-2290.2736276509809</v>
      </c>
      <c r="F15" s="6">
        <f>D15*0.5*SUMPRODUCT(PDefault2Y,DiscFactors2Y)</f>
        <v>-0.57271158479210849</v>
      </c>
      <c r="G15" s="6">
        <f>LGD*SUMPRODUCT(PDefault2Y,DiscFactors2Y)</f>
        <v>2290.846339168434</v>
      </c>
      <c r="H15" s="7">
        <f t="shared" si="8"/>
        <v>-6.7338987719267607E-8</v>
      </c>
      <c r="K15" s="5">
        <f>Notional*0.25*SUMPRODUCT(PSurvival2Y,DiscFactors2Y)</f>
        <v>1908561.3563758174</v>
      </c>
      <c r="L15" s="84">
        <f t="shared" si="9"/>
        <v>11.999999999647173</v>
      </c>
      <c r="N15" s="27">
        <f t="shared" si="5"/>
        <v>2.75</v>
      </c>
      <c r="O15" s="28" cm="1">
        <f t="array" ref="O15">HazardRate(N15,$K$4:$K$9,$L$4:$L$9)</f>
        <v>3.5662800613677102E-3</v>
      </c>
      <c r="P15" s="29">
        <f t="shared" si="2"/>
        <v>0.99333331163151084</v>
      </c>
      <c r="Q15" s="29">
        <f t="shared" si="3"/>
        <v>8.8602111212798818E-4</v>
      </c>
      <c r="R15" s="30">
        <f t="shared" si="4"/>
        <v>0.89583413529652822</v>
      </c>
    </row>
    <row r="16" spans="2:22" x14ac:dyDescent="0.3">
      <c r="B16" s="37" t="s">
        <v>17</v>
      </c>
      <c r="C16" s="21">
        <f t="shared" si="6"/>
        <v>1.5E-3</v>
      </c>
      <c r="D16" s="4">
        <f t="shared" si="7"/>
        <v>-375</v>
      </c>
      <c r="E16" s="31">
        <f>D16*SUMPRODUCT(PSurvival3Y,DiscFactors3Y)</f>
        <v>-4205.0231963357428</v>
      </c>
      <c r="F16" s="6">
        <f>D16*0.5*SUMPRODUCT(PDefault3Y,DiscFactors3Y)</f>
        <v>-1.3144805237475956</v>
      </c>
      <c r="G16" s="6">
        <f>LGD*SUMPRODUCT(PDefault3Y,DiscFactors3Y)</f>
        <v>4206.3376759923058</v>
      </c>
      <c r="H16" s="7">
        <f t="shared" si="8"/>
        <v>-8.6718500824645162E-7</v>
      </c>
      <c r="K16" s="5">
        <f>Notional*0.25*SUMPRODUCT(PSurvival3Y,DiscFactors3Y)</f>
        <v>2803348.7975571617</v>
      </c>
      <c r="L16" s="84">
        <f t="shared" si="9"/>
        <v>14.999999996906611</v>
      </c>
      <c r="N16" s="27">
        <f t="shared" si="5"/>
        <v>3</v>
      </c>
      <c r="O16" s="28" cm="1">
        <f t="array" ref="O16">HazardRate(N16,$K$4:$K$9,$L$4:$L$9)</f>
        <v>3.5662800613677102E-3</v>
      </c>
      <c r="P16" s="29">
        <f t="shared" si="2"/>
        <v>0.99244808011719621</v>
      </c>
      <c r="Q16" s="29">
        <f t="shared" si="3"/>
        <v>8.8523151431463276E-4</v>
      </c>
      <c r="R16" s="30">
        <f t="shared" si="4"/>
        <v>0.88692043671715748</v>
      </c>
    </row>
    <row r="17" spans="2:18" x14ac:dyDescent="0.3">
      <c r="B17" s="37" t="s">
        <v>18</v>
      </c>
      <c r="C17" s="21">
        <f t="shared" si="6"/>
        <v>1.6999999999999999E-3</v>
      </c>
      <c r="D17" s="4">
        <f t="shared" si="7"/>
        <v>-425</v>
      </c>
      <c r="E17" s="31">
        <f>D17*SUMPRODUCT(PSurvival4Y,DiscFactors4Y)</f>
        <v>-6221.6601276369956</v>
      </c>
      <c r="F17" s="6">
        <f>D17*0.5*SUMPRODUCT(PDefault4Y,DiscFactors4Y)</f>
        <v>-2.2042853108066165</v>
      </c>
      <c r="G17" s="6">
        <f>LGD*SUMPRODUCT(PDefault4Y,DiscFactors4Y)</f>
        <v>6223.8644069833872</v>
      </c>
      <c r="H17" s="7">
        <f t="shared" si="8"/>
        <v>-5.9644153225235641E-6</v>
      </c>
      <c r="K17" s="5">
        <f>Notional*0.25*SUMPRODUCT(PSurvival4Y,DiscFactors4Y)</f>
        <v>3659800.0750805861</v>
      </c>
      <c r="L17" s="84">
        <f t="shared" si="9"/>
        <v>16.999999983702889</v>
      </c>
      <c r="N17" s="27">
        <f t="shared" si="5"/>
        <v>3.25</v>
      </c>
      <c r="O17" s="28" cm="1">
        <f t="array" ref="O17">HazardRate(N17,$K$4:$K$9,$L$4:$L$9)</f>
        <v>3.9242108603462821E-3</v>
      </c>
      <c r="P17" s="29">
        <f t="shared" si="2"/>
        <v>0.99147491367545793</v>
      </c>
      <c r="Q17" s="29">
        <f t="shared" si="3"/>
        <v>9.7316644173828237E-4</v>
      </c>
      <c r="R17" s="30">
        <f t="shared" si="4"/>
        <v>0.8780954309205613</v>
      </c>
    </row>
    <row r="18" spans="2:18" x14ac:dyDescent="0.3">
      <c r="B18" s="37" t="s">
        <v>19</v>
      </c>
      <c r="C18" s="21">
        <f t="shared" si="6"/>
        <v>2E-3</v>
      </c>
      <c r="D18" s="4">
        <f t="shared" si="7"/>
        <v>-500</v>
      </c>
      <c r="E18" s="31">
        <f>D18*SUMPRODUCT(PSurvival5Y,DiscFactors5Y)</f>
        <v>-8957.2199939144521</v>
      </c>
      <c r="F18" s="6">
        <f>D18*0.5*SUMPRODUCT(PDefault5Y,DiscFactors5Y)</f>
        <v>-3.7337306566769883</v>
      </c>
      <c r="G18" s="6">
        <f>LGD*SUMPRODUCT(PDefault5Y,DiscFactors5Y)</f>
        <v>8960.9535760247709</v>
      </c>
      <c r="H18" s="7">
        <f t="shared" si="8"/>
        <v>-1.4854635810479522E-4</v>
      </c>
      <c r="K18" s="5">
        <f>Notional*0.25*SUMPRODUCT(PSurvival5Y,DiscFactors5Y)</f>
        <v>4478609.9969572257</v>
      </c>
      <c r="L18" s="84">
        <f t="shared" si="9"/>
        <v>19.999999668320399</v>
      </c>
      <c r="N18" s="27">
        <f t="shared" si="5"/>
        <v>3.5</v>
      </c>
      <c r="O18" s="28" cm="1">
        <f t="array" ref="O18">HazardRate(N18,$K$4:$K$9,$L$4:$L$9)</f>
        <v>3.9242108603462821E-3</v>
      </c>
      <c r="P18" s="29">
        <f t="shared" si="2"/>
        <v>0.99050270149313357</v>
      </c>
      <c r="Q18" s="29">
        <f t="shared" si="3"/>
        <v>9.7221218232435014E-4</v>
      </c>
      <c r="R18" s="30">
        <f t="shared" si="4"/>
        <v>0.86935823539880586</v>
      </c>
    </row>
    <row r="19" spans="2:18" x14ac:dyDescent="0.3">
      <c r="B19" s="38" t="s">
        <v>20</v>
      </c>
      <c r="C19" s="39">
        <f t="shared" si="6"/>
        <v>3.0000000000000001E-3</v>
      </c>
      <c r="D19" s="40">
        <f t="shared" si="7"/>
        <v>-750</v>
      </c>
      <c r="E19" s="41">
        <f>D19*SUMPRODUCT(PSurvival10Y,DiscFactors10Y)</f>
        <v>-24129.608415481325</v>
      </c>
      <c r="F19" s="9">
        <f>D19*0.5*SUMPRODUCT(PDefault10Y,DiscFactors10Y)</f>
        <v>-15.090423645962984</v>
      </c>
      <c r="G19" s="9">
        <f>LGD*SUMPRODUCT(PDefault10Y,DiscFactors10Y)</f>
        <v>24144.677833540776</v>
      </c>
      <c r="H19" s="10">
        <f t="shared" si="8"/>
        <v>-2.1005586513638264E-2</v>
      </c>
      <c r="K19" s="8">
        <f>Notional*0.25*SUMPRODUCT(PSurvival10Y,DiscFactors10Y)</f>
        <v>8043202.8051604424</v>
      </c>
      <c r="L19" s="85">
        <f t="shared" si="9"/>
        <v>29.999973884052132</v>
      </c>
      <c r="N19" s="27">
        <f t="shared" si="5"/>
        <v>3.75</v>
      </c>
      <c r="O19" s="28" cm="1">
        <f t="array" ref="O19">HazardRate(N19,$K$4:$K$9,$L$4:$L$9)</f>
        <v>3.9242108603462821E-3</v>
      </c>
      <c r="P19" s="29">
        <f t="shared" si="2"/>
        <v>0.98953144263450343</v>
      </c>
      <c r="Q19" s="29">
        <f t="shared" si="3"/>
        <v>9.7125885863014183E-4</v>
      </c>
      <c r="R19" s="30">
        <f t="shared" si="4"/>
        <v>0.86070797642505781</v>
      </c>
    </row>
    <row r="20" spans="2:18" x14ac:dyDescent="0.3">
      <c r="N20" s="27">
        <f t="shared" si="5"/>
        <v>4</v>
      </c>
      <c r="O20" s="28" cm="1">
        <f t="array" ref="O20">HazardRate(N20,$K$4:$K$9,$L$4:$L$9)</f>
        <v>3.9242108603462821E-3</v>
      </c>
      <c r="P20" s="29">
        <f t="shared" si="2"/>
        <v>0.98856113616476537</v>
      </c>
      <c r="Q20" s="29">
        <f t="shared" si="3"/>
        <v>9.7030646973805812E-4</v>
      </c>
      <c r="R20" s="30">
        <f t="shared" si="4"/>
        <v>0.85214378896621135</v>
      </c>
    </row>
    <row r="21" spans="2:18" x14ac:dyDescent="0.3">
      <c r="N21" s="27">
        <f t="shared" si="5"/>
        <v>4.25</v>
      </c>
      <c r="O21" s="28" cm="1">
        <f t="array" ref="O21">HazardRate(N21,$K$4:$K$9,$L$4:$L$9)</f>
        <v>5.5673987525033013E-3</v>
      </c>
      <c r="P21" s="29">
        <f t="shared" si="2"/>
        <v>0.98718616475443688</v>
      </c>
      <c r="Q21" s="29">
        <f t="shared" si="3"/>
        <v>1.374971410328496E-3</v>
      </c>
      <c r="R21" s="30">
        <f t="shared" si="4"/>
        <v>0.8436648165963837</v>
      </c>
    </row>
    <row r="22" spans="2:18" x14ac:dyDescent="0.3">
      <c r="B22" s="1" t="s">
        <v>50</v>
      </c>
      <c r="D22" s="1"/>
      <c r="E22" s="1"/>
      <c r="F22" s="59" t="s">
        <v>51</v>
      </c>
      <c r="H22" s="4" t="s">
        <v>52</v>
      </c>
      <c r="N22" s="27">
        <f t="shared" si="5"/>
        <v>4.5</v>
      </c>
      <c r="O22" s="28" cm="1">
        <f t="array" ref="O22">HazardRate(N22,$K$4:$K$9,$L$4:$L$9)</f>
        <v>5.5673987525033013E-3</v>
      </c>
      <c r="P22" s="29">
        <f t="shared" si="2"/>
        <v>0.98581310576642611</v>
      </c>
      <c r="Q22" s="29">
        <f t="shared" si="3"/>
        <v>1.3730589880107669E-3</v>
      </c>
      <c r="R22" s="30">
        <f t="shared" si="4"/>
        <v>0.835270211411272</v>
      </c>
    </row>
    <row r="23" spans="2:18" ht="16.8" x14ac:dyDescent="0.35">
      <c r="B23" t="s">
        <v>53</v>
      </c>
      <c r="E23" s="1"/>
      <c r="F23" s="60">
        <v>1E-8</v>
      </c>
      <c r="H23" s="61">
        <f>SQRT(SUMPRODUCT(H27:H32,H27:H32))</f>
        <v>9.6448352489178105E-9</v>
      </c>
      <c r="N23" s="27">
        <f t="shared" si="5"/>
        <v>4.75</v>
      </c>
      <c r="O23" s="28" cm="1">
        <f t="array" ref="O23">HazardRate(N23,$K$4:$K$9,$L$4:$L$9)</f>
        <v>5.5673987525033013E-3</v>
      </c>
      <c r="P23" s="29">
        <f t="shared" si="2"/>
        <v>0.98444195654078015</v>
      </c>
      <c r="Q23" s="29">
        <f t="shared" si="3"/>
        <v>1.3711492256459623E-3</v>
      </c>
      <c r="R23" s="30">
        <f t="shared" si="4"/>
        <v>0.82695913394336229</v>
      </c>
    </row>
    <row r="24" spans="2:18" x14ac:dyDescent="0.3">
      <c r="N24" s="27">
        <f t="shared" si="5"/>
        <v>5</v>
      </c>
      <c r="O24" s="28" cm="1">
        <f t="array" ref="O24">HazardRate(N24,$K$4:$K$9,$L$4:$L$9)</f>
        <v>5.5673987525033013E-3</v>
      </c>
      <c r="P24" s="29">
        <f t="shared" si="2"/>
        <v>0.98307271442124589</v>
      </c>
      <c r="Q24" s="29">
        <f t="shared" si="3"/>
        <v>1.3692421195342641E-3</v>
      </c>
      <c r="R24" s="30">
        <f t="shared" si="4"/>
        <v>0.81873075307798182</v>
      </c>
    </row>
    <row r="25" spans="2:18" x14ac:dyDescent="0.3">
      <c r="B25" s="46" t="s">
        <v>86</v>
      </c>
      <c r="D25" s="1"/>
      <c r="F25" s="59" t="s">
        <v>54</v>
      </c>
      <c r="I25" s="4"/>
      <c r="N25" s="27">
        <f t="shared" si="5"/>
        <v>5.25</v>
      </c>
      <c r="O25" s="28" cm="1">
        <f t="array" ref="O25">HazardRate(N25,$K$4:$K$9,$L$4:$L$9)</f>
        <v>7.0930335848556824E-3</v>
      </c>
      <c r="P25" s="29">
        <f t="shared" si="2"/>
        <v>0.98133101717233406</v>
      </c>
      <c r="Q25" s="29">
        <f t="shared" si="3"/>
        <v>1.7416972489118221E-3</v>
      </c>
      <c r="R25" s="30">
        <f t="shared" si="4"/>
        <v>0.81058424597018708</v>
      </c>
    </row>
    <row r="26" spans="2:18" ht="15.6" x14ac:dyDescent="0.3">
      <c r="B26" s="57" t="s">
        <v>14</v>
      </c>
      <c r="C26" s="57" t="s">
        <v>25</v>
      </c>
      <c r="D26" s="57" t="s">
        <v>55</v>
      </c>
      <c r="E26" s="57" t="s">
        <v>56</v>
      </c>
      <c r="F26" s="4" t="s">
        <v>37</v>
      </c>
      <c r="G26" s="57" t="s">
        <v>57</v>
      </c>
      <c r="H26" s="62" t="s">
        <v>35</v>
      </c>
      <c r="N26" s="27">
        <f t="shared" si="5"/>
        <v>5.5</v>
      </c>
      <c r="O26" s="28" cm="1">
        <f t="array" ref="O26">HazardRate(N26,$K$4:$K$9,$L$4:$L$9)</f>
        <v>7.0930335848556824E-3</v>
      </c>
      <c r="P26" s="29">
        <f t="shared" si="2"/>
        <v>0.9795924056659745</v>
      </c>
      <c r="Q26" s="29">
        <f t="shared" si="3"/>
        <v>1.7386115063595664E-3</v>
      </c>
      <c r="R26" s="30">
        <f t="shared" si="4"/>
        <v>0.80251879796247849</v>
      </c>
    </row>
    <row r="27" spans="2:18" x14ac:dyDescent="0.3">
      <c r="B27" s="65" t="s">
        <v>15</v>
      </c>
      <c r="C27" s="66">
        <v>1</v>
      </c>
      <c r="D27" s="67" cm="1">
        <f t="array" ref="D27:D32">E27:E32-MMULT(B66:G71,G27:G32)</f>
        <v>1.6666666907795278E-3</v>
      </c>
      <c r="E27" s="68">
        <v>1.666666690677724E-3</v>
      </c>
      <c r="F27" s="69">
        <v>3.0000000000000001E-3</v>
      </c>
      <c r="G27" s="68">
        <f t="shared" ref="G27:G32" si="10">(L14-G4)/10000</f>
        <v>-6.1072036317000307E-14</v>
      </c>
      <c r="H27" s="86">
        <f t="shared" ref="H27:H32" si="11">D27-E27</f>
        <v>1.018037650707404E-13</v>
      </c>
      <c r="N27" s="27">
        <f t="shared" si="5"/>
        <v>5.75</v>
      </c>
      <c r="O27" s="28" cm="1">
        <f t="array" ref="O27">HazardRate(N27,$K$4:$K$9,$L$4:$L$9)</f>
        <v>7.0930335848556824E-3</v>
      </c>
      <c r="P27" s="29">
        <f t="shared" si="2"/>
        <v>0.97785687443519687</v>
      </c>
      <c r="Q27" s="29">
        <f t="shared" si="3"/>
        <v>1.7355312307776316E-3</v>
      </c>
      <c r="R27" s="30">
        <f t="shared" si="4"/>
        <v>0.79453360250333405</v>
      </c>
    </row>
    <row r="28" spans="2:18" x14ac:dyDescent="0.3">
      <c r="B28" s="70" t="s">
        <v>16</v>
      </c>
      <c r="C28" s="20">
        <v>2</v>
      </c>
      <c r="D28" s="63">
        <v>2.3476332615795644E-3</v>
      </c>
      <c r="E28" s="48">
        <v>2.3476332615655691E-3</v>
      </c>
      <c r="F28" s="64">
        <v>3.0000000000000001E-3</v>
      </c>
      <c r="G28" s="48">
        <f t="shared" si="10"/>
        <v>-3.5282710086903537E-14</v>
      </c>
      <c r="H28" s="87">
        <f t="shared" si="11"/>
        <v>1.3995315323311885E-14</v>
      </c>
      <c r="N28" s="27">
        <f t="shared" si="5"/>
        <v>6</v>
      </c>
      <c r="O28" s="28" cm="1">
        <f t="array" ref="O28">HazardRate(N28,$K$4:$K$9,$L$4:$L$9)</f>
        <v>7.0930335848556824E-3</v>
      </c>
      <c r="P28" s="29">
        <f t="shared" si="2"/>
        <v>0.97612441802271677</v>
      </c>
      <c r="Q28" s="29">
        <f t="shared" si="3"/>
        <v>1.732456412480099E-3</v>
      </c>
      <c r="R28" s="30">
        <f t="shared" si="4"/>
        <v>0.78662786106655347</v>
      </c>
    </row>
    <row r="29" spans="2:18" x14ac:dyDescent="0.3">
      <c r="B29" s="70" t="s">
        <v>17</v>
      </c>
      <c r="C29" s="20">
        <v>3</v>
      </c>
      <c r="D29" s="63">
        <v>3.5662800628561524E-3</v>
      </c>
      <c r="E29" s="48">
        <v>3.5662800613677102E-3</v>
      </c>
      <c r="F29" s="64">
        <v>3.0000000000000001E-3</v>
      </c>
      <c r="G29" s="48">
        <f t="shared" si="10"/>
        <v>-3.0933886563389025E-13</v>
      </c>
      <c r="H29" s="87">
        <f t="shared" si="11"/>
        <v>1.4884421820071658E-12</v>
      </c>
      <c r="N29" s="27">
        <f t="shared" si="5"/>
        <v>6.25</v>
      </c>
      <c r="O29" s="28" cm="1">
        <f t="array" ref="O29">HazardRate(N29,$K$4:$K$9,$L$4:$L$9)</f>
        <v>7.0930335848556824E-3</v>
      </c>
      <c r="P29" s="29">
        <f t="shared" si="2"/>
        <v>0.97439503098091818</v>
      </c>
      <c r="Q29" s="29">
        <f t="shared" si="3"/>
        <v>1.7293870417985913E-3</v>
      </c>
      <c r="R29" s="30">
        <f t="shared" si="4"/>
        <v>0.77880078307140488</v>
      </c>
    </row>
    <row r="30" spans="2:18" x14ac:dyDescent="0.3">
      <c r="B30" s="70" t="s">
        <v>18</v>
      </c>
      <c r="C30" s="20">
        <v>4</v>
      </c>
      <c r="D30" s="63">
        <v>3.9242108702466309E-3</v>
      </c>
      <c r="E30" s="48">
        <v>3.9242108603462821E-3</v>
      </c>
      <c r="F30" s="64">
        <v>3.0000000000000001E-3</v>
      </c>
      <c r="G30" s="48">
        <f t="shared" si="10"/>
        <v>-1.6297111216090342E-12</v>
      </c>
      <c r="H30" s="87">
        <f t="shared" si="11"/>
        <v>9.9003487699644843E-12</v>
      </c>
      <c r="J30" s="42"/>
      <c r="K30" s="42"/>
      <c r="N30" s="27">
        <f t="shared" si="5"/>
        <v>6.5</v>
      </c>
      <c r="O30" s="28" cm="1">
        <f t="array" ref="O30">HazardRate(N30,$K$4:$K$9,$L$4:$L$9)</f>
        <v>7.0930335848556824E-3</v>
      </c>
      <c r="P30" s="29">
        <f t="shared" si="2"/>
        <v>0.97266870787183668</v>
      </c>
      <c r="Q30" s="29">
        <f t="shared" si="3"/>
        <v>1.7263231090814957E-3</v>
      </c>
      <c r="R30" s="30">
        <f t="shared" si="4"/>
        <v>0.77105158580356625</v>
      </c>
    </row>
    <row r="31" spans="2:18" x14ac:dyDescent="0.3">
      <c r="B31" s="70" t="s">
        <v>19</v>
      </c>
      <c r="C31" s="20">
        <v>5</v>
      </c>
      <c r="D31" s="63">
        <v>5.5673990414074944E-3</v>
      </c>
      <c r="E31" s="48">
        <v>5.5673987525033013E-3</v>
      </c>
      <c r="F31" s="64">
        <v>3.0000000000000001E-3</v>
      </c>
      <c r="G31" s="48">
        <f t="shared" si="10"/>
        <v>-3.3167960111768482E-11</v>
      </c>
      <c r="H31" s="87">
        <f t="shared" si="11"/>
        <v>2.8890419310340087E-10</v>
      </c>
      <c r="J31" s="42"/>
      <c r="K31" s="42"/>
      <c r="N31" s="27">
        <f t="shared" si="5"/>
        <v>6.75</v>
      </c>
      <c r="O31" s="28" cm="1">
        <f t="array" ref="O31">HazardRate(N31,$K$4:$K$9,$L$4:$L$9)</f>
        <v>7.0930335848556824E-3</v>
      </c>
      <c r="P31" s="29">
        <f t="shared" si="2"/>
        <v>0.97094544326714227</v>
      </c>
      <c r="Q31" s="29">
        <f t="shared" si="3"/>
        <v>1.7232646046944078E-3</v>
      </c>
      <c r="R31" s="30">
        <f t="shared" si="4"/>
        <v>0.76337949433685315</v>
      </c>
    </row>
    <row r="32" spans="2:18" x14ac:dyDescent="0.3">
      <c r="B32" s="71" t="s">
        <v>20</v>
      </c>
      <c r="C32" s="72">
        <v>10</v>
      </c>
      <c r="D32" s="73">
        <v>7.0930432253578013E-3</v>
      </c>
      <c r="E32" s="74">
        <v>7.0930335848556824E-3</v>
      </c>
      <c r="F32" s="75">
        <v>3.0000000000000001E-3</v>
      </c>
      <c r="G32" s="74">
        <f t="shared" si="10"/>
        <v>-2.6115947868277091E-9</v>
      </c>
      <c r="H32" s="88">
        <f t="shared" si="11"/>
        <v>9.6405021188239459E-9</v>
      </c>
      <c r="N32" s="27">
        <f t="shared" si="5"/>
        <v>7</v>
      </c>
      <c r="O32" s="28" cm="1">
        <f t="array" ref="O32">HazardRate(N32,$K$4:$K$9,$L$4:$L$9)</f>
        <v>7.0930335848556824E-3</v>
      </c>
      <c r="P32" s="29">
        <f t="shared" si="2"/>
        <v>0.96922523174812203</v>
      </c>
      <c r="Q32" s="29">
        <f t="shared" si="3"/>
        <v>1.7202115190202427E-3</v>
      </c>
      <c r="R32" s="30">
        <f t="shared" si="4"/>
        <v>0.75578374145572547</v>
      </c>
    </row>
    <row r="33" spans="1:18" x14ac:dyDescent="0.3">
      <c r="N33" s="27">
        <f t="shared" si="5"/>
        <v>7.25</v>
      </c>
      <c r="O33" s="28" cm="1">
        <f t="array" ref="O33">HazardRate(N33,$K$4:$K$9,$L$4:$L$9)</f>
        <v>7.0930335848556824E-3</v>
      </c>
      <c r="P33" s="29">
        <f t="shared" si="2"/>
        <v>0.96750806790566357</v>
      </c>
      <c r="Q33" s="29">
        <f t="shared" si="3"/>
        <v>1.7171638424584579E-3</v>
      </c>
      <c r="R33" s="30">
        <f t="shared" si="4"/>
        <v>0.74826356757856527</v>
      </c>
    </row>
    <row r="34" spans="1:18" x14ac:dyDescent="0.3">
      <c r="N34" s="27">
        <f t="shared" si="5"/>
        <v>7.5</v>
      </c>
      <c r="O34" s="28" cm="1">
        <f t="array" ref="O34">HazardRate(N34,$K$4:$K$9,$L$4:$L$9)</f>
        <v>7.0930335848556824E-3</v>
      </c>
      <c r="P34" s="29">
        <f t="shared" si="2"/>
        <v>0.96579394634023763</v>
      </c>
      <c r="Q34" s="29">
        <f t="shared" si="3"/>
        <v>1.7141215654259412E-3</v>
      </c>
      <c r="R34" s="30">
        <f t="shared" si="4"/>
        <v>0.74081822068171788</v>
      </c>
    </row>
    <row r="35" spans="1:18" x14ac:dyDescent="0.3">
      <c r="N35" s="27">
        <f t="shared" si="5"/>
        <v>7.75</v>
      </c>
      <c r="O35" s="28" cm="1">
        <f t="array" ref="O35">HazardRate(N35,$K$4:$K$9,$L$4:$L$9)</f>
        <v>7.0930335848556824E-3</v>
      </c>
      <c r="P35" s="29">
        <f t="shared" si="2"/>
        <v>0.96408286166188117</v>
      </c>
      <c r="Q35" s="29">
        <f t="shared" si="3"/>
        <v>1.7110846783564559E-3</v>
      </c>
      <c r="R35" s="30">
        <f t="shared" si="4"/>
        <v>0.73344695622428924</v>
      </c>
    </row>
    <row r="36" spans="1:18" x14ac:dyDescent="0.3">
      <c r="F36" s="58" t="s">
        <v>48</v>
      </c>
      <c r="N36" s="27">
        <f t="shared" si="5"/>
        <v>8</v>
      </c>
      <c r="O36" s="28" cm="1">
        <f t="array" ref="O36">HazardRate(N36,$K$4:$K$9,$L$4:$L$9)</f>
        <v>7.0930335848556824E-3</v>
      </c>
      <c r="P36" s="29">
        <f t="shared" si="2"/>
        <v>0.96237480849018053</v>
      </c>
      <c r="Q36" s="29">
        <f t="shared" si="3"/>
        <v>1.7080531717006409E-3</v>
      </c>
      <c r="R36" s="30">
        <f t="shared" si="4"/>
        <v>0.72614903707369094</v>
      </c>
    </row>
    <row r="37" spans="1:18" x14ac:dyDescent="0.3">
      <c r="F37" s="49" t="b">
        <v>0</v>
      </c>
      <c r="N37" s="27">
        <f t="shared" si="5"/>
        <v>8.25</v>
      </c>
      <c r="O37" s="28" cm="1">
        <f t="array" ref="O37">HazardRate(N37,$K$4:$K$9,$L$4:$L$9)</f>
        <v>7.0930335848556824E-3</v>
      </c>
      <c r="P37" s="29">
        <f t="shared" si="2"/>
        <v>0.96066978145425452</v>
      </c>
      <c r="Q37" s="29">
        <f t="shared" si="3"/>
        <v>1.70502703592601E-3</v>
      </c>
      <c r="R37" s="30">
        <f t="shared" si="4"/>
        <v>0.71892373343192617</v>
      </c>
    </row>
    <row r="38" spans="1:18" x14ac:dyDescent="0.3">
      <c r="N38" s="27">
        <f t="shared" si="5"/>
        <v>8.5</v>
      </c>
      <c r="O38" s="28" cm="1">
        <f t="array" ref="O38">HazardRate(N38,$K$4:$K$9,$L$4:$L$9)</f>
        <v>7.0930335848556824E-3</v>
      </c>
      <c r="P38" s="29">
        <f t="shared" si="2"/>
        <v>0.95896777519273735</v>
      </c>
      <c r="Q38" s="29">
        <f t="shared" si="3"/>
        <v>1.7020062615171749E-3</v>
      </c>
      <c r="R38" s="30">
        <f t="shared" si="4"/>
        <v>0.71177032276260965</v>
      </c>
    </row>
    <row r="39" spans="1:18" x14ac:dyDescent="0.3">
      <c r="L39" s="4"/>
      <c r="M39" s="4"/>
      <c r="N39" s="27">
        <f t="shared" si="5"/>
        <v>8.75</v>
      </c>
      <c r="O39" s="28" cm="1">
        <f t="array" ref="O39">HazardRate(N39,$K$4:$K$9,$L$4:$L$9)</f>
        <v>7.0930335848556824E-3</v>
      </c>
      <c r="P39" s="29">
        <f t="shared" si="2"/>
        <v>0.95726878435376206</v>
      </c>
      <c r="Q39" s="29">
        <f t="shared" si="3"/>
        <v>1.6989908389752895E-3</v>
      </c>
      <c r="R39" s="30">
        <f t="shared" si="4"/>
        <v>0.70468808971871344</v>
      </c>
    </row>
    <row r="40" spans="1:18" x14ac:dyDescent="0.3">
      <c r="B40" s="47" t="s">
        <v>49</v>
      </c>
      <c r="C40" s="4"/>
      <c r="D40" s="4"/>
      <c r="E40" s="4"/>
      <c r="F40" s="4"/>
      <c r="G40" s="48"/>
      <c r="H40" s="4"/>
      <c r="I40" s="4"/>
      <c r="N40" s="27">
        <f t="shared" si="5"/>
        <v>9</v>
      </c>
      <c r="O40" s="28" cm="1">
        <f t="array" ref="O40">HazardRate(N40,$K$4:$K$9,$L$4:$L$9)</f>
        <v>7.0930335848556824E-3</v>
      </c>
      <c r="P40" s="29">
        <f t="shared" si="2"/>
        <v>0.95557280359494334</v>
      </c>
      <c r="Q40" s="29">
        <f t="shared" si="3"/>
        <v>1.6959807588187159E-3</v>
      </c>
      <c r="R40" s="30">
        <f t="shared" si="4"/>
        <v>0.69767632607103103</v>
      </c>
    </row>
    <row r="41" spans="1:18" ht="15.6" x14ac:dyDescent="0.3">
      <c r="A41" s="57" t="s">
        <v>36</v>
      </c>
      <c r="B41" s="4" t="s">
        <v>37</v>
      </c>
      <c r="C41" s="4" t="s">
        <v>38</v>
      </c>
      <c r="D41" s="4" t="s">
        <v>39</v>
      </c>
      <c r="E41" s="4" t="s">
        <v>40</v>
      </c>
      <c r="F41" s="4" t="s">
        <v>41</v>
      </c>
      <c r="G41" s="4" t="s">
        <v>42</v>
      </c>
      <c r="H41" s="4" t="s">
        <v>43</v>
      </c>
      <c r="I41" s="4" t="s">
        <v>44</v>
      </c>
      <c r="J41" s="4" t="s">
        <v>45</v>
      </c>
      <c r="K41" s="4" t="s">
        <v>46</v>
      </c>
      <c r="L41" s="4" t="s">
        <v>47</v>
      </c>
      <c r="M41" s="4"/>
      <c r="N41" s="27">
        <f t="shared" si="5"/>
        <v>9.25</v>
      </c>
      <c r="O41" s="28" cm="1">
        <f t="array" ref="O41">HazardRate(N41,$K$4:$K$9,$L$4:$L$9)</f>
        <v>7.0930335848556824E-3</v>
      </c>
      <c r="P41" s="29">
        <f t="shared" si="2"/>
        <v>0.95387982758336098</v>
      </c>
      <c r="Q41" s="29">
        <f t="shared" si="3"/>
        <v>1.6929760115823589E-3</v>
      </c>
      <c r="R41" s="30">
        <f t="shared" si="4"/>
        <v>0.69073433063735468</v>
      </c>
    </row>
    <row r="42" spans="1:18" x14ac:dyDescent="0.3">
      <c r="A42" s="4" t="s">
        <v>15</v>
      </c>
      <c r="B42" s="117">
        <v>3.0000000000000001E-3</v>
      </c>
      <c r="C42" s="118">
        <v>1.6659442771771956E-3</v>
      </c>
      <c r="D42" s="118">
        <v>1.6666669616640848E-3</v>
      </c>
      <c r="E42" s="118">
        <v>1.666666690677724E-3</v>
      </c>
      <c r="F42" s="118">
        <v>1.6666666907795278E-3</v>
      </c>
      <c r="G42" s="118"/>
      <c r="H42" s="118"/>
      <c r="I42" s="118"/>
      <c r="J42" s="118"/>
      <c r="K42" s="118"/>
      <c r="L42" s="119"/>
      <c r="M42" s="113"/>
      <c r="N42" s="27">
        <f t="shared" si="5"/>
        <v>9.5</v>
      </c>
      <c r="O42" s="28" cm="1">
        <f t="array" ref="O42">HazardRate(N42,$K$4:$K$9,$L$4:$L$9)</f>
        <v>7.0930335848556824E-3</v>
      </c>
      <c r="P42" s="29">
        <f t="shared" si="2"/>
        <v>0.9521898509955431</v>
      </c>
      <c r="Q42" s="29">
        <f t="shared" si="3"/>
        <v>1.6899765878178874E-3</v>
      </c>
      <c r="R42" s="30">
        <f t="shared" si="4"/>
        <v>0.68386140921235583</v>
      </c>
    </row>
    <row r="43" spans="1:18" x14ac:dyDescent="0.3">
      <c r="A43" s="4" t="s">
        <v>16</v>
      </c>
      <c r="B43" s="120">
        <v>3.0000000000000001E-3</v>
      </c>
      <c r="C43" s="113">
        <v>2.3471667086788026E-3</v>
      </c>
      <c r="D43" s="113">
        <v>2.347633322796667E-3</v>
      </c>
      <c r="E43" s="113">
        <v>2.3476332615655691E-3</v>
      </c>
      <c r="F43" s="113">
        <v>2.3476332615795644E-3</v>
      </c>
      <c r="G43" s="113"/>
      <c r="H43" s="113"/>
      <c r="I43" s="113"/>
      <c r="J43" s="113"/>
      <c r="K43" s="113"/>
      <c r="L43" s="114"/>
      <c r="M43" s="113"/>
      <c r="N43" s="27">
        <f t="shared" si="5"/>
        <v>9.75</v>
      </c>
      <c r="O43" s="28" cm="1">
        <f t="array" ref="O43">HazardRate(N43,$K$4:$K$9,$L$4:$L$9)</f>
        <v>7.0930335848556824E-3</v>
      </c>
      <c r="P43" s="29">
        <f t="shared" si="2"/>
        <v>0.95050286851744936</v>
      </c>
      <c r="Q43" s="29">
        <f t="shared" si="3"/>
        <v>1.6869824780937348E-3</v>
      </c>
      <c r="R43" s="30">
        <f t="shared" si="4"/>
        <v>0.67705687449816465</v>
      </c>
    </row>
    <row r="44" spans="1:18" x14ac:dyDescent="0.3">
      <c r="A44" s="4" t="s">
        <v>17</v>
      </c>
      <c r="B44" s="120">
        <v>3.0000000000000001E-3</v>
      </c>
      <c r="C44" s="113">
        <v>3.5650753827388883E-3</v>
      </c>
      <c r="D44" s="113">
        <v>3.5662787648859922E-3</v>
      </c>
      <c r="E44" s="113">
        <v>3.5662800613677102E-3</v>
      </c>
      <c r="F44" s="113">
        <v>3.5662800628561524E-3</v>
      </c>
      <c r="G44" s="113"/>
      <c r="H44" s="113"/>
      <c r="I44" s="113"/>
      <c r="J44" s="113"/>
      <c r="K44" s="113"/>
      <c r="L44" s="114"/>
      <c r="M44" s="113"/>
      <c r="N44" s="11">
        <f t="shared" si="5"/>
        <v>10</v>
      </c>
      <c r="O44" s="22" cm="1">
        <f t="array" ref="O44">HazardRate(N44,$K$4:$K$9,$L$4:$L$9)</f>
        <v>7.0930335848556824E-3</v>
      </c>
      <c r="P44" s="17">
        <f t="shared" si="2"/>
        <v>0.94881887484445404</v>
      </c>
      <c r="Q44" s="17">
        <f t="shared" si="3"/>
        <v>1.6839936729953209E-3</v>
      </c>
      <c r="R44" s="18">
        <f t="shared" si="4"/>
        <v>0.67032004603563933</v>
      </c>
    </row>
    <row r="45" spans="1:18" x14ac:dyDescent="0.3">
      <c r="A45" s="4" t="s">
        <v>18</v>
      </c>
      <c r="B45" s="120">
        <v>3.0000000000000001E-3</v>
      </c>
      <c r="C45" s="113">
        <v>3.9215786050187116E-3</v>
      </c>
      <c r="D45" s="113">
        <v>3.9242062042747156E-3</v>
      </c>
      <c r="E45" s="113">
        <v>3.9242108603462821E-3</v>
      </c>
      <c r="F45" s="113">
        <v>3.9242108702466309E-3</v>
      </c>
      <c r="G45" s="113"/>
      <c r="H45" s="113"/>
      <c r="I45" s="113"/>
      <c r="J45" s="113"/>
      <c r="K45" s="113"/>
      <c r="L45" s="114"/>
      <c r="M45" s="113"/>
    </row>
    <row r="46" spans="1:18" x14ac:dyDescent="0.3">
      <c r="A46" s="4" t="s">
        <v>19</v>
      </c>
      <c r="B46" s="120">
        <v>3.0000000000000001E-3</v>
      </c>
      <c r="C46" s="113">
        <v>5.5563870905322374E-3</v>
      </c>
      <c r="D46" s="113">
        <v>5.5673419935256332E-3</v>
      </c>
      <c r="E46" s="113">
        <v>5.5673987525033013E-3</v>
      </c>
      <c r="F46" s="113">
        <v>5.5673990414074944E-3</v>
      </c>
      <c r="G46" s="113"/>
      <c r="H46" s="113"/>
      <c r="I46" s="113"/>
      <c r="J46" s="113"/>
      <c r="K46" s="113"/>
      <c r="L46" s="114"/>
      <c r="M46" s="113"/>
    </row>
    <row r="47" spans="1:18" x14ac:dyDescent="0.3">
      <c r="A47" s="4" t="s">
        <v>20</v>
      </c>
      <c r="B47" s="121">
        <v>3.0000000000000001E-3</v>
      </c>
      <c r="C47" s="115">
        <v>7.0520734810707386E-3</v>
      </c>
      <c r="D47" s="115">
        <v>7.092414267806442E-3</v>
      </c>
      <c r="E47" s="115">
        <v>7.0930335848556824E-3</v>
      </c>
      <c r="F47" s="115">
        <v>7.0930432253578013E-3</v>
      </c>
      <c r="G47" s="115"/>
      <c r="H47" s="115"/>
      <c r="I47" s="115"/>
      <c r="J47" s="115"/>
      <c r="K47" s="115"/>
      <c r="L47" s="116"/>
      <c r="M47" s="113"/>
    </row>
    <row r="50" spans="1:7" x14ac:dyDescent="0.3">
      <c r="B50" s="1" t="s">
        <v>64</v>
      </c>
    </row>
    <row r="51" spans="1:7" x14ac:dyDescent="0.3">
      <c r="B51" t="s">
        <v>84</v>
      </c>
    </row>
    <row r="52" spans="1:7" x14ac:dyDescent="0.3">
      <c r="B52" t="s">
        <v>85</v>
      </c>
    </row>
    <row r="54" spans="1:7" ht="15.6" x14ac:dyDescent="0.3">
      <c r="A54" s="42" t="s">
        <v>65</v>
      </c>
      <c r="B54" s="4" t="s">
        <v>67</v>
      </c>
      <c r="C54" s="4" t="s">
        <v>68</v>
      </c>
      <c r="D54" s="4" t="s">
        <v>69</v>
      </c>
      <c r="E54" s="4" t="s">
        <v>70</v>
      </c>
      <c r="F54" s="4" t="s">
        <v>71</v>
      </c>
      <c r="G54" s="4" t="s">
        <v>72</v>
      </c>
    </row>
    <row r="55" spans="1:7" ht="15.6" x14ac:dyDescent="0.3">
      <c r="A55" s="4" t="s">
        <v>73</v>
      </c>
      <c r="B55" s="92">
        <v>0.59989999999999999</v>
      </c>
      <c r="C55" s="93">
        <v>0</v>
      </c>
      <c r="D55" s="93">
        <v>0</v>
      </c>
      <c r="E55" s="93">
        <v>0</v>
      </c>
      <c r="F55" s="93">
        <v>0</v>
      </c>
      <c r="G55" s="94">
        <v>0</v>
      </c>
    </row>
    <row r="56" spans="1:7" ht="15.6" x14ac:dyDescent="0.3">
      <c r="A56" s="4" t="s">
        <v>74</v>
      </c>
      <c r="B56" s="95">
        <v>0.30620000000000003</v>
      </c>
      <c r="C56" s="96">
        <v>0.29370000000000002</v>
      </c>
      <c r="D56" s="97">
        <v>0</v>
      </c>
      <c r="E56" s="97">
        <v>0</v>
      </c>
      <c r="F56" s="97">
        <v>0</v>
      </c>
      <c r="G56" s="98">
        <v>0</v>
      </c>
    </row>
    <row r="57" spans="1:7" ht="15.6" x14ac:dyDescent="0.3">
      <c r="A57" s="4" t="s">
        <v>75</v>
      </c>
      <c r="B57" s="95">
        <v>0.20830000000000001</v>
      </c>
      <c r="C57" s="96">
        <v>0.19997999999999999</v>
      </c>
      <c r="D57" s="96">
        <v>0.19170000000000001</v>
      </c>
      <c r="E57" s="97">
        <v>0</v>
      </c>
      <c r="F57" s="97">
        <v>0</v>
      </c>
      <c r="G57" s="98">
        <v>0</v>
      </c>
    </row>
    <row r="58" spans="1:7" ht="15.6" x14ac:dyDescent="0.3">
      <c r="A58" s="4" t="s">
        <v>76</v>
      </c>
      <c r="B58" s="95">
        <v>0.1595</v>
      </c>
      <c r="C58" s="96">
        <v>0.15290000000000001</v>
      </c>
      <c r="D58" s="96">
        <v>0.1467</v>
      </c>
      <c r="E58" s="96">
        <v>0.14069999999999999</v>
      </c>
      <c r="F58" s="97">
        <v>0</v>
      </c>
      <c r="G58" s="98">
        <v>0</v>
      </c>
    </row>
    <row r="59" spans="1:7" ht="15.6" x14ac:dyDescent="0.3">
      <c r="A59" s="4" t="s">
        <v>77</v>
      </c>
      <c r="B59" s="95">
        <v>0.13020000000000001</v>
      </c>
      <c r="C59" s="96">
        <v>0.12479999999999999</v>
      </c>
      <c r="D59" s="96">
        <v>0.1197</v>
      </c>
      <c r="E59" s="96">
        <v>0.1149</v>
      </c>
      <c r="F59" s="96">
        <v>0.11020000000000001</v>
      </c>
      <c r="G59" s="98">
        <v>0</v>
      </c>
    </row>
    <row r="60" spans="1:7" ht="15.6" x14ac:dyDescent="0.3">
      <c r="A60" s="4" t="s">
        <v>78</v>
      </c>
      <c r="B60" s="99">
        <v>7.1800000000000003E-2</v>
      </c>
      <c r="C60" s="100">
        <v>6.8900000000000003E-2</v>
      </c>
      <c r="D60" s="100">
        <v>6.6100000000000006E-2</v>
      </c>
      <c r="E60" s="100">
        <v>6.3399999999999998E-2</v>
      </c>
      <c r="F60" s="100">
        <v>6.08E-2</v>
      </c>
      <c r="G60" s="101">
        <v>0.26900000000000002</v>
      </c>
    </row>
    <row r="63" spans="1:7" x14ac:dyDescent="0.3">
      <c r="B63" s="1" t="s">
        <v>63</v>
      </c>
    </row>
    <row r="65" spans="1:9" ht="15.6" x14ac:dyDescent="0.3">
      <c r="A65" s="42" t="s">
        <v>66</v>
      </c>
      <c r="B65" s="4" t="s">
        <v>73</v>
      </c>
      <c r="C65" s="4" t="s">
        <v>74</v>
      </c>
      <c r="D65" s="4" t="s">
        <v>75</v>
      </c>
      <c r="E65" s="4" t="s">
        <v>76</v>
      </c>
      <c r="F65" s="4" t="s">
        <v>77</v>
      </c>
      <c r="G65" s="4" t="s">
        <v>78</v>
      </c>
      <c r="I65" s="19"/>
    </row>
    <row r="66" spans="1:9" ht="15.6" x14ac:dyDescent="0.3">
      <c r="A66" s="4" t="s">
        <v>67</v>
      </c>
      <c r="B66" s="92" cm="1">
        <f t="array" ref="B66:G71">MINVERSE(B55:G60)</f>
        <v>1.6669444907484581</v>
      </c>
      <c r="C66" s="93">
        <v>0</v>
      </c>
      <c r="D66" s="93">
        <v>0</v>
      </c>
      <c r="E66" s="93">
        <v>0</v>
      </c>
      <c r="F66" s="93">
        <v>0</v>
      </c>
      <c r="G66" s="94">
        <v>0</v>
      </c>
      <c r="I66" s="19"/>
    </row>
    <row r="67" spans="1:9" ht="15.6" x14ac:dyDescent="0.3">
      <c r="A67" s="4" t="s">
        <v>68</v>
      </c>
      <c r="B67" s="95">
        <v>-1.7378903747605647</v>
      </c>
      <c r="C67" s="96">
        <v>3.4048348655090228</v>
      </c>
      <c r="D67" s="97">
        <v>0</v>
      </c>
      <c r="E67" s="97">
        <v>0</v>
      </c>
      <c r="F67" s="97">
        <v>0</v>
      </c>
      <c r="G67" s="98">
        <v>0</v>
      </c>
      <c r="I67" s="19"/>
    </row>
    <row r="68" spans="1:9" ht="15.6" x14ac:dyDescent="0.3">
      <c r="A68" s="4" t="s">
        <v>69</v>
      </c>
      <c r="B68" s="102">
        <v>1.6629093464470637E-3</v>
      </c>
      <c r="C68" s="96">
        <v>-3.55189815547467</v>
      </c>
      <c r="D68" s="96">
        <v>5.2164840897235258</v>
      </c>
      <c r="E68" s="97">
        <v>0</v>
      </c>
      <c r="F68" s="97">
        <v>0</v>
      </c>
      <c r="G68" s="98">
        <v>0</v>
      </c>
      <c r="I68" s="19"/>
    </row>
    <row r="69" spans="1:9" ht="15.6" x14ac:dyDescent="0.3">
      <c r="A69" s="4" t="s">
        <v>70</v>
      </c>
      <c r="B69" s="102">
        <v>-2.8298278224056866E-3</v>
      </c>
      <c r="C69" s="103">
        <v>3.2992784065707598E-3</v>
      </c>
      <c r="D69" s="96">
        <v>-5.4389354368332716</v>
      </c>
      <c r="E69" s="96">
        <v>7.1073205401563611</v>
      </c>
      <c r="F69" s="97">
        <v>0</v>
      </c>
      <c r="G69" s="98">
        <v>0</v>
      </c>
      <c r="I69" s="19"/>
    </row>
    <row r="70" spans="1:9" ht="15.6" x14ac:dyDescent="0.3">
      <c r="A70" s="4" t="s">
        <v>71</v>
      </c>
      <c r="B70" s="102">
        <v>-1.9380179043626311E-4</v>
      </c>
      <c r="C70" s="103">
        <v>-1.2728592933117192E-3</v>
      </c>
      <c r="D70" s="103">
        <v>4.7235585502431454E-3</v>
      </c>
      <c r="E70" s="96">
        <v>-7.4104458263517774</v>
      </c>
      <c r="F70" s="96">
        <v>9.0744101633393832</v>
      </c>
      <c r="G70" s="98">
        <v>0</v>
      </c>
      <c r="I70" s="19"/>
    </row>
    <row r="71" spans="1:9" ht="15.6" x14ac:dyDescent="0.3">
      <c r="A71" s="4" t="s">
        <v>72</v>
      </c>
      <c r="B71" s="104">
        <v>5.0300487086437371E-4</v>
      </c>
      <c r="C71" s="105">
        <v>2.0654809427810225E-4</v>
      </c>
      <c r="D71" s="105">
        <v>-9.9733827267837723E-4</v>
      </c>
      <c r="E71" s="105">
        <v>-1.8221562723122546E-4</v>
      </c>
      <c r="F71" s="100">
        <v>-2.0510191001153695</v>
      </c>
      <c r="G71" s="101">
        <v>3.7174721189591078</v>
      </c>
    </row>
  </sheetData>
  <mergeCells count="7">
    <mergeCell ref="B9:C9"/>
    <mergeCell ref="B3:C3"/>
    <mergeCell ref="B4:C4"/>
    <mergeCell ref="B5:C5"/>
    <mergeCell ref="B6:C6"/>
    <mergeCell ref="B7:C7"/>
    <mergeCell ref="B8:C8"/>
  </mergeCells>
  <dataValidations count="1">
    <dataValidation type="list" allowBlank="1" showInputMessage="1" showErrorMessage="1" sqref="F37" xr:uid="{ED6D3334-3C12-4598-9B8E-3E8C11E28705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UpdateSolverIteration">
                <anchor moveWithCells="1" sizeWithCells="1">
                  <from>
                    <xdr:col>1</xdr:col>
                    <xdr:colOff>30480</xdr:colOff>
                    <xdr:row>34</xdr:row>
                    <xdr:rowOff>38100</xdr:rowOff>
                  </from>
                  <to>
                    <xdr:col>3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Yield Curve</vt:lpstr>
      <vt:lpstr>Credit Curve</vt:lpstr>
      <vt:lpstr>CreditName</vt:lpstr>
      <vt:lpstr>Currency</vt:lpstr>
      <vt:lpstr>DiscFactors10Y</vt:lpstr>
      <vt:lpstr>DiscFactors1Y</vt:lpstr>
      <vt:lpstr>DiscFactors2Y</vt:lpstr>
      <vt:lpstr>DiscFactors3Y</vt:lpstr>
      <vt:lpstr>DiscFactors4Y</vt:lpstr>
      <vt:lpstr>DiscFactors5Y</vt:lpstr>
      <vt:lpstr>Epsilon</vt:lpstr>
      <vt:lpstr>Frequency</vt:lpstr>
      <vt:lpstr>InterationResults</vt:lpstr>
      <vt:lpstr>InterationResults1</vt:lpstr>
      <vt:lpstr>IterationCount</vt:lpstr>
      <vt:lpstr>LGD</vt:lpstr>
      <vt:lpstr>Notional</vt:lpstr>
      <vt:lpstr>PDefault10Y</vt:lpstr>
      <vt:lpstr>PDefault1Y</vt:lpstr>
      <vt:lpstr>PDefault2Y</vt:lpstr>
      <vt:lpstr>PDefault3Y</vt:lpstr>
      <vt:lpstr>PDefault4Y</vt:lpstr>
      <vt:lpstr>PDefault5Y</vt:lpstr>
      <vt:lpstr>PSurvival10Y</vt:lpstr>
      <vt:lpstr>PSurvival1Y</vt:lpstr>
      <vt:lpstr>PSurvival2Y</vt:lpstr>
      <vt:lpstr>PSurvival3Y</vt:lpstr>
      <vt:lpstr>PSurvival4Y</vt:lpstr>
      <vt:lpstr>PSurvival5Y</vt:lpstr>
      <vt:lpstr>RecoveryRate</vt:lpstr>
      <vt:lpstr>ShowIterations</vt:lpstr>
      <vt:lpstr>Tolerance</vt:lpstr>
      <vt:lpstr>X0</vt:lpstr>
      <vt:lpstr>Xn</vt:lpstr>
      <vt:lpstr>XnPlus1</vt:lpstr>
      <vt:lpstr>YearFraction</vt:lpstr>
      <vt:lpstr>ZeroRate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2025-11-01T15:23:45Z</dcterms:modified>
</cp:coreProperties>
</file>