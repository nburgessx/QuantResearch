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esktop\"/>
    </mc:Choice>
  </mc:AlternateContent>
  <xr:revisionPtr revIDLastSave="0" documentId="8_{C7BBDA0D-195F-4F97-9E5A-7B56A714002E}" xr6:coauthVersionLast="47" xr6:coauthVersionMax="47" xr10:uidLastSave="{00000000-0000-0000-0000-000000000000}"/>
  <bookViews>
    <workbookView xWindow="-108" yWindow="-108" windowWidth="23256" windowHeight="12456" firstSheet="2" activeTab="6" xr2:uid="{240FB811-79B9-4413-B467-37154B088B69}"/>
  </bookViews>
  <sheets>
    <sheet name="IR Yield Curve" sheetId="4" r:id="rId1"/>
    <sheet name="IR Swap" sheetId="5" r:id="rId2"/>
    <sheet name="Credit Curve AAPL" sheetId="1" r:id="rId3"/>
    <sheet name="Credit Curve MSFT" sheetId="6" r:id="rId4"/>
    <sheet name="Credit Curve NVDA" sheetId="7" r:id="rId5"/>
    <sheet name="Credit Default Swap" sheetId="3" r:id="rId6"/>
    <sheet name="First-to-Default CDS" sheetId="8" r:id="rId7"/>
  </sheets>
  <functionGroups builtInGroupCount="19"/>
  <definedNames>
    <definedName name="_xlnm._FilterDatabase" localSheetId="6" hidden="1">'First-to-Default CDS'!$AB$1:$BZ$44</definedName>
    <definedName name="AnalyticalDV01">'IR Swap'!$AH$22</definedName>
    <definedName name="Annuity_Fixed">'IR Swap'!$AH$15</definedName>
    <definedName name="Annuity_Float">'IR Swap'!$AH$16</definedName>
    <definedName name="ApplyBump">'IR Swap'!$AH$25</definedName>
    <definedName name="AsOfDate">'IR Yield Curve'!$M$2</definedName>
    <definedName name="Calibration.HazardRates" localSheetId="3">'Credit Curve MSFT'!$T$4:$T$9</definedName>
    <definedName name="Calibration.HazardRates" localSheetId="4">'Credit Curve NVDA'!$T$4:$T$9</definedName>
    <definedName name="Calibration.HazardRates">'Credit Curve AAPL'!$T$4:$T$9</definedName>
    <definedName name="Calibration.Times" localSheetId="3">'Credit Curve MSFT'!$S$4:$S$9</definedName>
    <definedName name="Calibration.Times" localSheetId="4">'Credit Curve NVDA'!$S$4:$S$9</definedName>
    <definedName name="Calibration.Times">'Credit Curve AAPL'!$S$4:$S$9</definedName>
    <definedName name="CDS.BuySell" localSheetId="6">'First-to-Default CDS'!$D$6</definedName>
    <definedName name="CDS.BuySell">'Credit Default Swap'!$D$6</definedName>
    <definedName name="CDS.CreditSpread" localSheetId="6">'First-to-Default CDS'!$D$17</definedName>
    <definedName name="CDS.CreditSpread">'Credit Default Swap'!$D$16</definedName>
    <definedName name="CDS.Notional" localSheetId="6">'First-to-Default CDS'!$D$8</definedName>
    <definedName name="CDS.Notional">'Credit Default Swap'!$D$8</definedName>
    <definedName name="CDS.PremiumLegPV" localSheetId="6">'First-to-Default CDS'!$H$7</definedName>
    <definedName name="CDS.PremiumLegPV">'Credit Default Swap'!$D$21</definedName>
    <definedName name="CDS.PremiumSign" localSheetId="6">'First-to-Default CDS'!$D$15</definedName>
    <definedName name="CDS.PremiumSign">'Credit Default Swap'!$D$14</definedName>
    <definedName name="CDS.ProtectionSign" localSheetId="6">'First-to-Default CDS'!$D$16</definedName>
    <definedName name="CDS.ProtectionSign">'Credit Default Swap'!$D$15</definedName>
    <definedName name="CDS.RecoveryRate" localSheetId="6">'First-to-Default CDS'!$D$11</definedName>
    <definedName name="CDS.RecoveryRate">'Credit Default Swap'!$D$11</definedName>
    <definedName name="CDS.Spread" localSheetId="6">'First-to-Default CDS'!$D$9</definedName>
    <definedName name="CDS.Spread">'Credit Default Swap'!$D$9</definedName>
    <definedName name="CDS.Tenor" localSheetId="6">'First-to-Default CDS'!$D$10</definedName>
    <definedName name="CDS.Tenor">'Credit Default Swap'!$D$10</definedName>
    <definedName name="CDS.YearFraction" localSheetId="6">'First-to-Default CDS'!$D$18</definedName>
    <definedName name="CDS.YearFraction">'Credit Default Swap'!$D$17</definedName>
    <definedName name="CreditCurve" localSheetId="5">'Credit Default Swap'!$B$29</definedName>
    <definedName name="CreditName" localSheetId="3">'Credit Curve MSFT'!$M$3</definedName>
    <definedName name="CreditName" localSheetId="4">'Credit Curve NVDA'!$M$3</definedName>
    <definedName name="CreditName">'Credit Curve AAPL'!$M$3</definedName>
    <definedName name="CreditRef1" localSheetId="6">'First-to-Default CDS'!$F$17</definedName>
    <definedName name="CreditRef2" localSheetId="6">'First-to-Default CDS'!$F$18</definedName>
    <definedName name="CreditRef3" localSheetId="6">'First-to-Default CDS'!$F$19</definedName>
    <definedName name="Currency" localSheetId="3">'Credit Curve MSFT'!$M$4</definedName>
    <definedName name="Currency" localSheetId="4">'Credit Curve NVDA'!$M$4</definedName>
    <definedName name="Currency" localSheetId="1">'IR Swap'!$C$6</definedName>
    <definedName name="Currency">'Credit Curve AAPL'!$M$4</definedName>
    <definedName name="CurveResults.DF.Bumped">'IR Yield Curve'!$AL$24:$AL$34</definedName>
    <definedName name="CurveResults.DFs">'IR Yield Curve'!$AK$24:$AK$34</definedName>
    <definedName name="CurveResults.Times">'IR Yield Curve'!$AD$24:$AD$34</definedName>
    <definedName name="CurveResults.USDSOFR">'IR Yield Curve'!$AE$24:$AE$34</definedName>
    <definedName name="DiscFactors10Y" localSheetId="3">'Credit Curve MSFT'!$AB$5:$AB$44</definedName>
    <definedName name="DiscFactors10Y" localSheetId="4">'Credit Curve NVDA'!$AB$5:$AB$44</definedName>
    <definedName name="DiscFactors10Y">'Credit Curve AAPL'!$AB$5:$AB$44</definedName>
    <definedName name="DiscFactors1Y" localSheetId="3">'Credit Curve MSFT'!$AB$5:$AB$8</definedName>
    <definedName name="DiscFactors1Y" localSheetId="4">'Credit Curve NVDA'!$AB$5:$AB$8</definedName>
    <definedName name="DiscFactors1Y">'Credit Curve AAPL'!$AB$5:$AB$8</definedName>
    <definedName name="DiscFactors2Y" localSheetId="3">'Credit Curve MSFT'!$AB$5:$AB$12</definedName>
    <definedName name="DiscFactors2Y" localSheetId="4">'Credit Curve NVDA'!$AB$5:$AB$12</definedName>
    <definedName name="DiscFactors2Y">'Credit Curve AAPL'!$AB$5:$AB$12</definedName>
    <definedName name="DiscFactors3Y" localSheetId="3">'Credit Curve MSFT'!$AB$5:$AB$16</definedName>
    <definedName name="DiscFactors3Y" localSheetId="4">'Credit Curve NVDA'!$AB$5:$AB$16</definedName>
    <definedName name="DiscFactors3Y">'Credit Curve AAPL'!$AB$5:$AB$16</definedName>
    <definedName name="DiscFactors4Y" localSheetId="3">'Credit Curve MSFT'!$AB$5:$AB$20</definedName>
    <definedName name="DiscFactors4Y" localSheetId="4">'Credit Curve NVDA'!$AB$5:$AB$20</definedName>
    <definedName name="DiscFactors4Y">'Credit Curve AAPL'!$AB$5:$AB$20</definedName>
    <definedName name="DiscFactors5Y" localSheetId="3">'Credit Curve MSFT'!$AB$5:$AB$24</definedName>
    <definedName name="DiscFactors5Y" localSheetId="4">'Credit Curve NVDA'!$AB$5:$AB$24</definedName>
    <definedName name="DiscFactors5Y">'Credit Curve AAPL'!$AB$5:$AB$24</definedName>
    <definedName name="dm" localSheetId="6">'First-to-Default CDS'!$H$21</definedName>
    <definedName name="DurationFixed">'IR Swap'!$AH$19</definedName>
    <definedName name="DurationFloat">'IR Swap'!$AH$20</definedName>
    <definedName name="Epsilon" localSheetId="3">'Credit Curve MSFT'!$Q$23</definedName>
    <definedName name="Epsilon" localSheetId="4">'Credit Curve NVDA'!$Q$23</definedName>
    <definedName name="Epsilon" localSheetId="1">'IR Yield Curve'!$X$4</definedName>
    <definedName name="Epsilon" localSheetId="0">'IR Yield Curve'!$X$4</definedName>
    <definedName name="Epsilon">'Credit Curve AAPL'!$Q$23</definedName>
    <definedName name="Frequency" localSheetId="3">'Credit Curve MSFT'!$M$5</definedName>
    <definedName name="Frequency" localSheetId="4">'Credit Curve NVDA'!$M$5</definedName>
    <definedName name="Frequency">'Credit Curve AAPL'!$M$5</definedName>
    <definedName name="HazardRate10Y" localSheetId="3">'Credit Curve MSFT'!$T$9</definedName>
    <definedName name="HazardRate10Y" localSheetId="4">'Credit Curve NVDA'!$T$9</definedName>
    <definedName name="HazardRate10Y">'Credit Curve AAPL'!$T$9</definedName>
    <definedName name="HazardRate1Y" localSheetId="3">'Credit Curve MSFT'!$T$4</definedName>
    <definedName name="HazardRate1Y" localSheetId="4">'Credit Curve NVDA'!$T$4</definedName>
    <definedName name="HazardRate1Y">'Credit Curve AAPL'!$T$4</definedName>
    <definedName name="HazardRate2Y" localSheetId="3">'Credit Curve MSFT'!$T$5</definedName>
    <definedName name="HazardRate2Y" localSheetId="4">'Credit Curve NVDA'!$T$5</definedName>
    <definedName name="HazardRate2Y">'Credit Curve AAPL'!$T$5</definedName>
    <definedName name="HazardRate3Y" localSheetId="3">'Credit Curve MSFT'!$T$6</definedName>
    <definedName name="HazardRate3Y" localSheetId="4">'Credit Curve NVDA'!$T$6</definedName>
    <definedName name="HazardRate3Y">'Credit Curve AAPL'!$T$6</definedName>
    <definedName name="HazardRate4Y" localSheetId="3">'Credit Curve MSFT'!$T$7</definedName>
    <definedName name="HazardRate4Y" localSheetId="4">'Credit Curve NVDA'!$T$7</definedName>
    <definedName name="HazardRate4Y">'Credit Curve AAPL'!$T$7</definedName>
    <definedName name="HazardRate5Y" localSheetId="3">'Credit Curve MSFT'!$T$8</definedName>
    <definedName name="HazardRate5Y" localSheetId="4">'Credit Curve NVDA'!$T$8</definedName>
    <definedName name="HazardRate5Y">'Credit Curve AAPL'!$T$8</definedName>
    <definedName name="HazardRateTimes" localSheetId="5">'Credit Default Swap'!$B$30</definedName>
    <definedName name="HazardRateTimes1">'First-to-Default CDS'!$B$22</definedName>
    <definedName name="HazardRateTimes2">'First-to-Default CDS'!$B$26</definedName>
    <definedName name="HazardRateTimes3">'First-to-Default CDS'!$B$30</definedName>
    <definedName name="HazardRateValues" localSheetId="5">'Credit Default Swap'!$B$31</definedName>
    <definedName name="HazardRateValues1">'First-to-Default CDS'!$B$23</definedName>
    <definedName name="HazardRateValues2">'First-to-Default CDS'!$B$27</definedName>
    <definedName name="HazardRateValues3">'First-to-Default CDS'!$B$31</definedName>
    <definedName name="ImpliedCorrelation" localSheetId="6">'First-to-Default CDS'!$H$17</definedName>
    <definedName name="InterationResults" localSheetId="3">'Credit Curve MSFT'!$K$42:$U$47</definedName>
    <definedName name="InterationResults" localSheetId="4">'Credit Curve NVDA'!$K$42:$U$47</definedName>
    <definedName name="InterationResults" localSheetId="1">'IR Yield Curve'!$N$23:$X$32</definedName>
    <definedName name="InterationResults" localSheetId="0">'IR Yield Curve'!$N$23:$X$32</definedName>
    <definedName name="InterationResults">'Credit Curve AAPL'!$K$42:$U$47</definedName>
    <definedName name="InterationResults1" localSheetId="3">'Credit Curve MSFT'!$K$42:$K$47</definedName>
    <definedName name="InterationResults1" localSheetId="4">'Credit Curve NVDA'!$K$42:$K$47</definedName>
    <definedName name="InterationResults1" localSheetId="1">'IR Yield Curve'!$N$23:$N$32</definedName>
    <definedName name="InterationResults1" localSheetId="0">'IR Yield Curve'!$N$23:$N$32</definedName>
    <definedName name="InterationResults1">'Credit Curve AAPL'!$K$42:$K$47</definedName>
    <definedName name="IterationCount" localSheetId="3">'Credit Curve MSFT'!$K$25</definedName>
    <definedName name="IterationCount" localSheetId="4">'Credit Curve NVDA'!$K$25</definedName>
    <definedName name="IterationCount" localSheetId="1">'IR Yield Curve'!$Q$6</definedName>
    <definedName name="IterationCount" localSheetId="0">'IR Yield Curve'!$Q$6</definedName>
    <definedName name="IterationCount">'Credit Curve AAPL'!$K$25</definedName>
    <definedName name="LGD" localSheetId="3">'Credit Curve MSFT'!$M$9</definedName>
    <definedName name="LGD" localSheetId="4">'Credit Curve NVDA'!$M$9</definedName>
    <definedName name="LGD">'Credit Curve AAPL'!$M$9</definedName>
    <definedName name="N">'IR Swap'!$C$7</definedName>
    <definedName name="Notional" localSheetId="3">'Credit Curve MSFT'!$M$8</definedName>
    <definedName name="Notional" localSheetId="4">'Credit Curve NVDA'!$M$8</definedName>
    <definedName name="Notional">'Credit Curve AAPL'!$M$8</definedName>
    <definedName name="NumericalDV01">'IR Swap'!$AH$28</definedName>
    <definedName name="p">'IR Swap'!$AH$10</definedName>
    <definedName name="PAYREC">'IR Swap'!$C$5</definedName>
    <definedName name="PDefault10Y" localSheetId="3">'Credit Curve MSFT'!$AA$5:$AA$44</definedName>
    <definedName name="PDefault10Y" localSheetId="4">'Credit Curve NVDA'!$AA$5:$AA$44</definedName>
    <definedName name="PDefault10Y">'Credit Curve AAPL'!$AA$5:$AA$44</definedName>
    <definedName name="PDefault1Y" localSheetId="3">'Credit Curve MSFT'!$AA$5:$AA$8</definedName>
    <definedName name="PDefault1Y" localSheetId="4">'Credit Curve NVDA'!$AA$5:$AA$8</definedName>
    <definedName name="PDefault1Y">'Credit Curve AAPL'!$AA$5:$AA$8</definedName>
    <definedName name="PDefault2Y" localSheetId="3">'Credit Curve MSFT'!$AA$5:$AA$12</definedName>
    <definedName name="PDefault2Y" localSheetId="4">'Credit Curve NVDA'!$AA$5:$AA$12</definedName>
    <definedName name="PDefault2Y">'Credit Curve AAPL'!$AA$5:$AA$12</definedName>
    <definedName name="PDefault3Y" localSheetId="3">'Credit Curve MSFT'!$AA$5:$AA$16</definedName>
    <definedName name="PDefault3Y" localSheetId="4">'Credit Curve NVDA'!$AA$5:$AA$16</definedName>
    <definedName name="PDefault3Y">'Credit Curve AAPL'!$AA$5:$AA$16</definedName>
    <definedName name="PDefault4Y" localSheetId="3">'Credit Curve MSFT'!$AA$5:$AA$20</definedName>
    <definedName name="PDefault4Y" localSheetId="4">'Credit Curve NVDA'!$AA$5:$AA$20</definedName>
    <definedName name="PDefault4Y">'Credit Curve AAPL'!$AA$5:$AA$20</definedName>
    <definedName name="PDefault5Y" localSheetId="3">'Credit Curve MSFT'!$AA$5:$AA$24</definedName>
    <definedName name="PDefault5Y" localSheetId="4">'Credit Curve NVDA'!$AA$5:$AA$24</definedName>
    <definedName name="PDefault5Y">'Credit Curve AAPL'!$AA$5:$AA$24</definedName>
    <definedName name="Phi">'IR Swap'!$A$5</definedName>
    <definedName name="Protection10Y" localSheetId="3">'Credit Curve MSFT'!$P$19</definedName>
    <definedName name="Protection10Y" localSheetId="4">'Credit Curve NVDA'!$P$19</definedName>
    <definedName name="Protection10Y">'Credit Curve AAPL'!$P$19</definedName>
    <definedName name="Protection1Y" localSheetId="3">'Credit Curve MSFT'!$P$14</definedName>
    <definedName name="Protection1Y" localSheetId="4">'Credit Curve NVDA'!$P$14</definedName>
    <definedName name="Protection1Y">'Credit Curve AAPL'!$P$14</definedName>
    <definedName name="Protection2Y" localSheetId="3">'Credit Curve MSFT'!$P$15</definedName>
    <definedName name="Protection2Y" localSheetId="4">'Credit Curve NVDA'!$P$15</definedName>
    <definedName name="Protection2Y">'Credit Curve AAPL'!$P$15</definedName>
    <definedName name="Protection3Y" localSheetId="3">'Credit Curve MSFT'!$P$16</definedName>
    <definedName name="Protection3Y" localSheetId="4">'Credit Curve NVDA'!$P$16</definedName>
    <definedName name="Protection3Y">'Credit Curve AAPL'!$P$16</definedName>
    <definedName name="Protection4Y" localSheetId="3">'Credit Curve MSFT'!$P$17</definedName>
    <definedName name="Protection4Y" localSheetId="4">'Credit Curve NVDA'!$P$17</definedName>
    <definedName name="Protection4Y">'Credit Curve AAPL'!$P$17</definedName>
    <definedName name="Protection5Y" localSheetId="3">'Credit Curve MSFT'!$P$18</definedName>
    <definedName name="Protection5Y" localSheetId="4">'Credit Curve NVDA'!$P$18</definedName>
    <definedName name="Protection5Y">'Credit Curve AAPL'!$P$18</definedName>
    <definedName name="PSurvival10Y" localSheetId="3">'Credit Curve MSFT'!$Z$5:$Z$44</definedName>
    <definedName name="PSurvival10Y" localSheetId="4">'Credit Curve NVDA'!$Z$5:$Z$44</definedName>
    <definedName name="PSurvival10Y">'Credit Curve AAPL'!$Z$5:$Z$44</definedName>
    <definedName name="PSurvival1Y" localSheetId="3">'Credit Curve MSFT'!$Z$5:$Z$8</definedName>
    <definedName name="PSurvival1Y" localSheetId="4">'Credit Curve NVDA'!$Z$5:$Z$8</definedName>
    <definedName name="PSurvival1Y">'Credit Curve AAPL'!$Z$5:$Z$8</definedName>
    <definedName name="PSurvival2Y" localSheetId="3">'Credit Curve MSFT'!$Z$5:$Z$12</definedName>
    <definedName name="PSurvival2Y" localSheetId="4">'Credit Curve NVDA'!$Z$5:$Z$12</definedName>
    <definedName name="PSurvival2Y">'Credit Curve AAPL'!$Z$5:$Z$12</definedName>
    <definedName name="PSurvival3Y" localSheetId="3">'Credit Curve MSFT'!$Z$5:$Z$16</definedName>
    <definedName name="PSurvival3Y" localSheetId="4">'Credit Curve NVDA'!$Z$5:$Z$16</definedName>
    <definedName name="PSurvival3Y">'Credit Curve AAPL'!$Z$5:$Z$16</definedName>
    <definedName name="PSurvival4Y" localSheetId="3">'Credit Curve MSFT'!$Z$5:$Z$20</definedName>
    <definedName name="PSurvival4Y" localSheetId="4">'Credit Curve NVDA'!$Z$5:$Z$20</definedName>
    <definedName name="PSurvival4Y">'Credit Curve AAPL'!$Z$5:$Z$20</definedName>
    <definedName name="PSurvival5Y" localSheetId="3">'Credit Curve MSFT'!$Z$5:$Z$24</definedName>
    <definedName name="PSurvival5Y" localSheetId="4">'Credit Curve NVDA'!$Z$5:$Z$24</definedName>
    <definedName name="PSurvival5Y">'Credit Curve AAPL'!$Z$5:$Z$24</definedName>
    <definedName name="PV_FixedLeg">'IR Swap'!$AH$6</definedName>
    <definedName name="PV_FloatLeg">'IR Swap'!$AH$7</definedName>
    <definedName name="PV_FloatSpread">'IR Swap'!$AH$8</definedName>
    <definedName name="PV_Swap">'IR Swap'!$AH$9</definedName>
    <definedName name="PV01_">'IR Swap'!$AH$21</definedName>
    <definedName name="PVlets_Fixed">'IR Swap'!$M$6:$M$55</definedName>
    <definedName name="PVlets_Float">'IR Swap'!$AA$6:$AA$55</definedName>
    <definedName name="r_fixed">'IR Swap'!$C$8</definedName>
    <definedName name="RecoveryRate" localSheetId="3">'Credit Curve MSFT'!$M$6</definedName>
    <definedName name="RecoveryRate" localSheetId="4">'Credit Curve NVDA'!$M$6</definedName>
    <definedName name="RecoveryRate">'Credit Curve AAPL'!$M$6</definedName>
    <definedName name="RiskPV_NoBump">'IR Swap'!$AH$26</definedName>
    <definedName name="RiskPV_WithBump">'IR Swap'!$AH$27</definedName>
    <definedName name="RiskyAnnuity10Y" localSheetId="3">'Credit Curve MSFT'!$S$19</definedName>
    <definedName name="RiskyAnnuity10Y" localSheetId="4">'Credit Curve NVDA'!$S$19</definedName>
    <definedName name="RiskyAnnuity10Y">'Credit Curve AAPL'!$S$19</definedName>
    <definedName name="RiskyAnnuity1Y" localSheetId="3">'Credit Curve MSFT'!$S$14</definedName>
    <definedName name="RiskyAnnuity1Y" localSheetId="4">'Credit Curve NVDA'!$S$14</definedName>
    <definedName name="RiskyAnnuity1Y">'Credit Curve AAPL'!$S$14</definedName>
    <definedName name="RiskyAnnuity2Y" localSheetId="3">'Credit Curve MSFT'!$S$15</definedName>
    <definedName name="RiskyAnnuity2Y" localSheetId="4">'Credit Curve NVDA'!$S$15</definedName>
    <definedName name="RiskyAnnuity2Y">'Credit Curve AAPL'!$S$15</definedName>
    <definedName name="RiskyAnnuity3Y" localSheetId="3">'Credit Curve MSFT'!$S$16</definedName>
    <definedName name="RiskyAnnuity3Y" localSheetId="4">'Credit Curve NVDA'!$S$16</definedName>
    <definedName name="RiskyAnnuity3Y">'Credit Curve AAPL'!$S$16</definedName>
    <definedName name="RiskyAnnuity4Y" localSheetId="3">'Credit Curve MSFT'!$S$17</definedName>
    <definedName name="RiskyAnnuity4Y" localSheetId="4">'Credit Curve NVDA'!$S$17</definedName>
    <definedName name="RiskyAnnuity4Y">'Credit Curve AAPL'!$S$17</definedName>
    <definedName name="RiskyAnnuity5Y" localSheetId="3">'Credit Curve MSFT'!$S$18</definedName>
    <definedName name="RiskyAnnuity5Y" localSheetId="4">'Credit Curve NVDA'!$S$18</definedName>
    <definedName name="RiskyAnnuity5Y">'Credit Curve AAPL'!$S$18</definedName>
    <definedName name="s">'IR Swap'!$C$11</definedName>
    <definedName name="ShiftSize" localSheetId="3">'Credit Curve MSFT'!$AH$48</definedName>
    <definedName name="ShiftSize" localSheetId="4">'Credit Curve NVDA'!$AH$48</definedName>
    <definedName name="ShiftSize">'Credit Curve AAPL'!$AH$48</definedName>
    <definedName name="ShowIterations" localSheetId="3">'Credit Curve MSFT'!$O$37</definedName>
    <definedName name="ShowIterations" localSheetId="4">'Credit Curve NVDA'!$O$37</definedName>
    <definedName name="ShowIterations" localSheetId="1">'IR Yield Curve'!$Z$23</definedName>
    <definedName name="ShowIterations" localSheetId="0">'IR Yield Curve'!$Z$23</definedName>
    <definedName name="ShowIterations">'Credit Curve AAPL'!$O$37</definedName>
    <definedName name="T">'IR Swap'!$C$12</definedName>
    <definedName name="tau_i">'IR Swap'!$A$9</definedName>
    <definedName name="tau_j">'IR Swap'!$A$10</definedName>
    <definedName name="Tolerance" localSheetId="3">'Credit Curve MSFT'!$O$23</definedName>
    <definedName name="Tolerance" localSheetId="4">'Credit Curve NVDA'!$O$23</definedName>
    <definedName name="Tolerance" localSheetId="1">'IR Yield Curve'!$V$4</definedName>
    <definedName name="Tolerance" localSheetId="0">'IR Yield Curve'!$V$4</definedName>
    <definedName name="Tolerance">'Credit Curve AAPL'!$O$23</definedName>
    <definedName name="X0" localSheetId="3">'Credit Curve MSFT'!$O$27:$O$32</definedName>
    <definedName name="X0" localSheetId="4">'Credit Curve NVDA'!$O$27:$O$32</definedName>
    <definedName name="X0" localSheetId="1">'IR Yield Curve'!$V$8:$V$17</definedName>
    <definedName name="X0" localSheetId="0">'IR Yield Curve'!$V$8:$V$17</definedName>
    <definedName name="X0">'Credit Curve AAPL'!$O$27:$O$32</definedName>
    <definedName name="Xn" localSheetId="3">'Credit Curve MSFT'!$N$27:$N$32</definedName>
    <definedName name="Xn" localSheetId="4">'Credit Curve NVDA'!$N$27:$N$32</definedName>
    <definedName name="Xn" localSheetId="1">'IR Yield Curve'!$U$8:$U$17</definedName>
    <definedName name="Xn" localSheetId="0">'IR Yield Curve'!$U$8:$U$17</definedName>
    <definedName name="Xn">'Credit Curve AAPL'!$N$27:$N$32</definedName>
    <definedName name="XnPlus1" localSheetId="3">'Credit Curve MSFT'!$M$27:$M$32</definedName>
    <definedName name="XnPlus1" localSheetId="4">'Credit Curve NVDA'!$M$27:$M$32</definedName>
    <definedName name="XnPlus1" localSheetId="1">'IR Yield Curve'!$T$8:$T$17</definedName>
    <definedName name="XnPlus1" localSheetId="0">'IR Yield Curve'!$T$8:$T$17</definedName>
    <definedName name="XnPlus1">'Credit Curve AAPL'!$M$27:$M$32</definedName>
    <definedName name="YearFraction" localSheetId="3">'Credit Curve MSFT'!$M$7</definedName>
    <definedName name="YearFraction" localSheetId="4">'Credit Curve NVDA'!$M$7</definedName>
    <definedName name="YearFraction">'Credit Curve AAPL'!$M$7</definedName>
    <definedName name="YieldCurveDates">'IR Yield Curve'!$AD$24:$AD$34</definedName>
    <definedName name="YieldCurveForwards">'IR Yield Curve'!$AE$24:$AE$34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8" l="1"/>
  <c r="G21" i="8"/>
  <c r="EH3" i="8"/>
  <c r="EI3" i="8" s="1"/>
  <c r="EJ3" i="8" s="1"/>
  <c r="EK3" i="8" s="1"/>
  <c r="EL3" i="8" s="1"/>
  <c r="EM3" i="8" s="1"/>
  <c r="EN3" i="8" s="1"/>
  <c r="EO3" i="8" s="1"/>
  <c r="EP3" i="8" s="1"/>
  <c r="EQ3" i="8" s="1"/>
  <c r="ER3" i="8" s="1"/>
  <c r="ES3" i="8" s="1"/>
  <c r="ET3" i="8" s="1"/>
  <c r="EU3" i="8" s="1"/>
  <c r="EV3" i="8" s="1"/>
  <c r="EW3" i="8" s="1"/>
  <c r="EX3" i="8" s="1"/>
  <c r="EY3" i="8" s="1"/>
  <c r="EZ3" i="8" s="1"/>
  <c r="FA3" i="8" s="1"/>
  <c r="CI3" i="8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CV3" i="8" s="1"/>
  <c r="CW3" i="8" s="1"/>
  <c r="CX3" i="8" s="1"/>
  <c r="CY3" i="8" s="1"/>
  <c r="CZ3" i="8" s="1"/>
  <c r="DA3" i="8" s="1"/>
  <c r="DB3" i="8" s="1"/>
  <c r="AJ3" i="8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FY1" i="8"/>
  <c r="FC2" i="8"/>
  <c r="FD3" i="8"/>
  <c r="GA3" i="8" s="1"/>
  <c r="DZ1" i="8"/>
  <c r="DD2" i="8"/>
  <c r="DE3" i="8"/>
  <c r="CA1" i="8"/>
  <c r="BE2" i="8"/>
  <c r="BF3" i="8"/>
  <c r="AH2" i="8"/>
  <c r="EG2" i="8"/>
  <c r="CH2" i="8"/>
  <c r="CH4" i="8"/>
  <c r="DE4" i="8" s="1"/>
  <c r="EG4" i="8"/>
  <c r="FD4" i="8" s="1"/>
  <c r="GA4" i="8" s="1"/>
  <c r="AI4" i="8"/>
  <c r="BF4" i="8" s="1"/>
  <c r="ED2" i="8"/>
  <c r="CE2" i="8"/>
  <c r="AF2" i="8"/>
  <c r="EC2" i="8"/>
  <c r="EB2" i="8"/>
  <c r="EA2" i="8"/>
  <c r="CD2" i="8"/>
  <c r="CC2" i="8"/>
  <c r="CB2" i="8"/>
  <c r="AE2" i="8"/>
  <c r="AD2" i="8"/>
  <c r="AC2" i="8"/>
  <c r="B31" i="8"/>
  <c r="B30" i="8"/>
  <c r="B27" i="8"/>
  <c r="B26" i="8"/>
  <c r="B23" i="8"/>
  <c r="B22" i="8"/>
  <c r="B29" i="8"/>
  <c r="B25" i="8"/>
  <c r="B21" i="8"/>
  <c r="AB5" i="8"/>
  <c r="CB5" i="8" a="1"/>
  <c r="AJ4" i="8" l="1"/>
  <c r="BG4" i="8" s="1"/>
  <c r="GW5" i="8"/>
  <c r="FE3" i="8"/>
  <c r="GB3" i="8" s="1"/>
  <c r="CI4" i="8"/>
  <c r="DF4" i="8" s="1"/>
  <c r="AK4" i="8"/>
  <c r="BH4" i="8" s="1"/>
  <c r="DF3" i="8"/>
  <c r="DD5" i="8"/>
  <c r="FZ5" i="8"/>
  <c r="CG5" i="8"/>
  <c r="EF5" i="8"/>
  <c r="BE5" i="8"/>
  <c r="AH5" i="8"/>
  <c r="FC5" i="8"/>
  <c r="BG3" i="8"/>
  <c r="AB6" i="8"/>
  <c r="EH4" i="8"/>
  <c r="FE4" i="8" s="1"/>
  <c r="GB4" i="8" s="1"/>
  <c r="FF3" i="8"/>
  <c r="GC3" i="8" s="1"/>
  <c r="CB5" i="8"/>
  <c r="CC5" i="8" s="1"/>
  <c r="D17" i="8"/>
  <c r="D15" i="8"/>
  <c r="D16" i="8" s="1"/>
  <c r="T5" i="8"/>
  <c r="J5" i="8"/>
  <c r="Y4" i="8"/>
  <c r="U4" i="8"/>
  <c r="CB6" i="8" a="1"/>
  <c r="EA5" i="8" a="1"/>
  <c r="AC5" i="8" a="1"/>
  <c r="AC6" i="8" a="1"/>
  <c r="GW6" i="8" l="1"/>
  <c r="CD5" i="8"/>
  <c r="BJ3" i="8"/>
  <c r="BH3" i="8"/>
  <c r="DD6" i="8"/>
  <c r="FC6" i="8"/>
  <c r="FZ6" i="8"/>
  <c r="EF6" i="8"/>
  <c r="BE6" i="8"/>
  <c r="AH6" i="8"/>
  <c r="CG6" i="8"/>
  <c r="DH3" i="8"/>
  <c r="DG3" i="8"/>
  <c r="CJ4" i="8"/>
  <c r="DG4" i="8" s="1"/>
  <c r="DI3" i="8"/>
  <c r="CK4" i="8"/>
  <c r="DH4" i="8" s="1"/>
  <c r="CB6" i="8"/>
  <c r="CC6" i="8" s="1"/>
  <c r="FG3" i="8"/>
  <c r="GD3" i="8" s="1"/>
  <c r="EI4" i="8"/>
  <c r="FF4" i="8" s="1"/>
  <c r="GC4" i="8" s="1"/>
  <c r="AB7" i="8"/>
  <c r="AC6" i="8"/>
  <c r="AC5" i="8"/>
  <c r="AD5" i="8" s="1"/>
  <c r="AE5" i="8" s="1"/>
  <c r="AF5" i="8" s="1"/>
  <c r="AI5" i="8" s="1"/>
  <c r="EA5" i="8"/>
  <c r="EB5" i="8" s="1"/>
  <c r="EC5" i="8" s="1"/>
  <c r="ED5" i="8" s="1"/>
  <c r="J6" i="8"/>
  <c r="U5" i="8"/>
  <c r="K5" i="8"/>
  <c r="T6" i="8"/>
  <c r="AC7" i="8" a="1"/>
  <c r="CB7" i="8" a="1"/>
  <c r="EA6" i="8" a="1"/>
  <c r="EG5" i="8" l="1"/>
  <c r="FD5" i="8" s="1"/>
  <c r="EW5" i="8"/>
  <c r="EH5" i="8"/>
  <c r="FE5" i="8" s="1"/>
  <c r="EX5" i="8"/>
  <c r="EI5" i="8"/>
  <c r="FF5" i="8" s="1"/>
  <c r="EY5" i="8"/>
  <c r="EJ5" i="8"/>
  <c r="FG5" i="8" s="1"/>
  <c r="EZ5" i="8"/>
  <c r="EK5" i="8"/>
  <c r="FA5" i="8"/>
  <c r="EL5" i="8"/>
  <c r="EM5" i="8"/>
  <c r="EN5" i="8"/>
  <c r="EO5" i="8"/>
  <c r="EP5" i="8"/>
  <c r="EQ5" i="8"/>
  <c r="ER5" i="8"/>
  <c r="ET5" i="8"/>
  <c r="ES5" i="8"/>
  <c r="EU5" i="8"/>
  <c r="EV5" i="8"/>
  <c r="BF5" i="8"/>
  <c r="AY5" i="8"/>
  <c r="AJ5" i="8"/>
  <c r="AZ5" i="8"/>
  <c r="AK5" i="8"/>
  <c r="BH5" i="8" s="1"/>
  <c r="BA5" i="8"/>
  <c r="AL5" i="8"/>
  <c r="BI5" i="8" s="1"/>
  <c r="BB5" i="8"/>
  <c r="AM5" i="8"/>
  <c r="BJ5" i="8" s="1"/>
  <c r="BC5" i="8"/>
  <c r="AN5" i="8"/>
  <c r="AO5" i="8"/>
  <c r="AP5" i="8"/>
  <c r="AQ5" i="8"/>
  <c r="AR5" i="8"/>
  <c r="AU5" i="8"/>
  <c r="AS5" i="8"/>
  <c r="AT5" i="8"/>
  <c r="AV5" i="8"/>
  <c r="AW5" i="8"/>
  <c r="AX5" i="8"/>
  <c r="K6" i="8"/>
  <c r="GW7" i="8"/>
  <c r="CD6" i="8"/>
  <c r="CE5" i="8"/>
  <c r="AL4" i="8"/>
  <c r="BI4" i="8" s="1"/>
  <c r="BI3" i="8"/>
  <c r="DD7" i="8"/>
  <c r="FC7" i="8"/>
  <c r="EF7" i="8"/>
  <c r="FZ7" i="8"/>
  <c r="BE7" i="8"/>
  <c r="AH7" i="8"/>
  <c r="CG7" i="8"/>
  <c r="AM4" i="8"/>
  <c r="BJ4" i="8" s="1"/>
  <c r="BK3" i="8"/>
  <c r="DJ3" i="8"/>
  <c r="CL4" i="8"/>
  <c r="DI4" i="8" s="1"/>
  <c r="CB7" i="8"/>
  <c r="CC7" i="8" s="1"/>
  <c r="AC7" i="8"/>
  <c r="BG5" i="8"/>
  <c r="AB8" i="8"/>
  <c r="EJ4" i="8"/>
  <c r="FG4" i="8" s="1"/>
  <c r="GD4" i="8" s="1"/>
  <c r="FH3" i="8"/>
  <c r="GE3" i="8" s="1"/>
  <c r="U6" i="8"/>
  <c r="EA6" i="8"/>
  <c r="EB6" i="8" s="1"/>
  <c r="EC6" i="8" s="1"/>
  <c r="ED6" i="8" s="1"/>
  <c r="AD6" i="8"/>
  <c r="AE6" i="8" s="1"/>
  <c r="AF6" i="8" s="1"/>
  <c r="J7" i="8"/>
  <c r="T7" i="8"/>
  <c r="CB8" i="8" a="1"/>
  <c r="AC8" i="8" a="1"/>
  <c r="EA7" i="8" a="1"/>
  <c r="ER6" i="8" l="1"/>
  <c r="ES6" i="8"/>
  <c r="ET6" i="8"/>
  <c r="EU6" i="8"/>
  <c r="EV6" i="8"/>
  <c r="EG6" i="8"/>
  <c r="FD6" i="8" s="1"/>
  <c r="EW6" i="8"/>
  <c r="EH6" i="8"/>
  <c r="FE6" i="8" s="1"/>
  <c r="EX6" i="8"/>
  <c r="EI6" i="8"/>
  <c r="FF6" i="8" s="1"/>
  <c r="EY6" i="8"/>
  <c r="EJ6" i="8"/>
  <c r="FG6" i="8" s="1"/>
  <c r="EZ6" i="8"/>
  <c r="EK6" i="8"/>
  <c r="FH6" i="8" s="1"/>
  <c r="FA6" i="8"/>
  <c r="EL6" i="8"/>
  <c r="EO6" i="8"/>
  <c r="EM6" i="8"/>
  <c r="EN6" i="8"/>
  <c r="EP6" i="8"/>
  <c r="EQ6" i="8"/>
  <c r="CH5" i="8"/>
  <c r="CX5" i="8"/>
  <c r="CI5" i="8"/>
  <c r="CY5" i="8"/>
  <c r="CJ5" i="8"/>
  <c r="CZ5" i="8"/>
  <c r="CK5" i="8"/>
  <c r="DA5" i="8"/>
  <c r="CL5" i="8"/>
  <c r="DI5" i="8" s="1"/>
  <c r="DB5" i="8"/>
  <c r="CM5" i="8"/>
  <c r="CN5" i="8"/>
  <c r="CO5" i="8"/>
  <c r="CP5" i="8"/>
  <c r="CQ5" i="8"/>
  <c r="CR5" i="8"/>
  <c r="CS5" i="8"/>
  <c r="CT5" i="8"/>
  <c r="CU5" i="8"/>
  <c r="CV5" i="8"/>
  <c r="CW5" i="8"/>
  <c r="AT6" i="8"/>
  <c r="AU6" i="8"/>
  <c r="AV6" i="8"/>
  <c r="AW6" i="8"/>
  <c r="AX6" i="8"/>
  <c r="AI6" i="8"/>
  <c r="BF6" i="8" s="1"/>
  <c r="AY6" i="8"/>
  <c r="AJ6" i="8"/>
  <c r="BG6" i="8" s="1"/>
  <c r="AZ6" i="8"/>
  <c r="AK6" i="8"/>
  <c r="BH6" i="8" s="1"/>
  <c r="BA6" i="8"/>
  <c r="AL6" i="8"/>
  <c r="BI6" i="8" s="1"/>
  <c r="BB6" i="8"/>
  <c r="AP6" i="8"/>
  <c r="AM6" i="8"/>
  <c r="BJ6" i="8" s="1"/>
  <c r="BC6" i="8"/>
  <c r="AN6" i="8"/>
  <c r="BK6" i="8" s="1"/>
  <c r="AO6" i="8"/>
  <c r="BL6" i="8" s="1"/>
  <c r="AQ6" i="8"/>
  <c r="AS6" i="8"/>
  <c r="AR6" i="8"/>
  <c r="J8" i="8"/>
  <c r="J9" i="8" s="1"/>
  <c r="GW8" i="8"/>
  <c r="CE6" i="8"/>
  <c r="BK5" i="8"/>
  <c r="DD8" i="8"/>
  <c r="FZ8" i="8"/>
  <c r="FC8" i="8"/>
  <c r="EF8" i="8"/>
  <c r="BE8" i="8"/>
  <c r="CG8" i="8"/>
  <c r="AH8" i="8"/>
  <c r="AN4" i="8"/>
  <c r="BK4" i="8" s="1"/>
  <c r="K7" i="8"/>
  <c r="U7" i="8"/>
  <c r="DK3" i="8"/>
  <c r="CM4" i="8"/>
  <c r="DJ4" i="8" s="1"/>
  <c r="AC8" i="8"/>
  <c r="CB8" i="8"/>
  <c r="CC8" i="8" s="1"/>
  <c r="EK4" i="8"/>
  <c r="FH4" i="8" s="1"/>
  <c r="GE4" i="8" s="1"/>
  <c r="AB9" i="8"/>
  <c r="FH5" i="8"/>
  <c r="AD7" i="8"/>
  <c r="AE7" i="8" s="1"/>
  <c r="AF7" i="8" s="1"/>
  <c r="EA7" i="8"/>
  <c r="EB7" i="8" s="1"/>
  <c r="EC7" i="8" s="1"/>
  <c r="ED7" i="8" s="1"/>
  <c r="CD7" i="8"/>
  <c r="T8" i="8"/>
  <c r="AC9" i="8" a="1"/>
  <c r="CB9" i="8" a="1"/>
  <c r="EA8" i="8" a="1"/>
  <c r="EM7" i="8" l="1"/>
  <c r="EZ7" i="8"/>
  <c r="EN7" i="8"/>
  <c r="EO7" i="8"/>
  <c r="EP7" i="8"/>
  <c r="EQ7" i="8"/>
  <c r="ER7" i="8"/>
  <c r="ES7" i="8"/>
  <c r="EJ7" i="8"/>
  <c r="FG7" i="8" s="1"/>
  <c r="ET7" i="8"/>
  <c r="EU7" i="8"/>
  <c r="EV7" i="8"/>
  <c r="EG7" i="8"/>
  <c r="FD7" i="8" s="1"/>
  <c r="EW7" i="8"/>
  <c r="EH7" i="8"/>
  <c r="FE7" i="8" s="1"/>
  <c r="EX7" i="8"/>
  <c r="EI7" i="8"/>
  <c r="FF7" i="8" s="1"/>
  <c r="EY7" i="8"/>
  <c r="EK7" i="8"/>
  <c r="FH7" i="8" s="1"/>
  <c r="FA7" i="8"/>
  <c r="EL7" i="8"/>
  <c r="CS6" i="8"/>
  <c r="CT6" i="8"/>
  <c r="CU6" i="8"/>
  <c r="CV6" i="8"/>
  <c r="CW6" i="8"/>
  <c r="CH6" i="8"/>
  <c r="CX6" i="8"/>
  <c r="CI6" i="8"/>
  <c r="CY6" i="8"/>
  <c r="CJ6" i="8"/>
  <c r="CZ6" i="8"/>
  <c r="CK6" i="8"/>
  <c r="DA6" i="8"/>
  <c r="CL6" i="8"/>
  <c r="DB6" i="8"/>
  <c r="CM6" i="8"/>
  <c r="CN6" i="8"/>
  <c r="CO6" i="8"/>
  <c r="CP6" i="8"/>
  <c r="CQ6" i="8"/>
  <c r="CR6" i="8"/>
  <c r="AO7" i="8"/>
  <c r="BL7" i="8" s="1"/>
  <c r="AP7" i="8"/>
  <c r="BM7" i="8" s="1"/>
  <c r="AQ7" i="8"/>
  <c r="AR7" i="8"/>
  <c r="AS7" i="8"/>
  <c r="AT7" i="8"/>
  <c r="AU7" i="8"/>
  <c r="AV7" i="8"/>
  <c r="AW7" i="8"/>
  <c r="AX7" i="8"/>
  <c r="AI7" i="8"/>
  <c r="BF7" i="8" s="1"/>
  <c r="AY7" i="8"/>
  <c r="BA7" i="8"/>
  <c r="AN7" i="8"/>
  <c r="BK7" i="8" s="1"/>
  <c r="AJ7" i="8"/>
  <c r="BG7" i="8" s="1"/>
  <c r="AZ7" i="8"/>
  <c r="AK7" i="8"/>
  <c r="BH7" i="8" s="1"/>
  <c r="AL7" i="8"/>
  <c r="BI7" i="8" s="1"/>
  <c r="BB7" i="8"/>
  <c r="AM7" i="8"/>
  <c r="BJ7" i="8" s="1"/>
  <c r="BC7" i="8"/>
  <c r="K8" i="8"/>
  <c r="U8" i="8"/>
  <c r="GE5" i="8"/>
  <c r="GW9" i="8"/>
  <c r="DJ5" i="8"/>
  <c r="DE5" i="8"/>
  <c r="GA5" i="8" s="1"/>
  <c r="DH5" i="8"/>
  <c r="GD5" i="8" s="1"/>
  <c r="DF5" i="8"/>
  <c r="GB5" i="8" s="1"/>
  <c r="DG5" i="8"/>
  <c r="GC5" i="8" s="1"/>
  <c r="CE7" i="8"/>
  <c r="AO4" i="8"/>
  <c r="BL4" i="8" s="1"/>
  <c r="BL3" i="8"/>
  <c r="BL5" i="8"/>
  <c r="DD9" i="8"/>
  <c r="FZ9" i="8"/>
  <c r="FC9" i="8"/>
  <c r="EF9" i="8"/>
  <c r="BE9" i="8"/>
  <c r="AH9" i="8"/>
  <c r="CG9" i="8"/>
  <c r="FI6" i="8"/>
  <c r="FI3" i="8"/>
  <c r="GF3" i="8" s="1"/>
  <c r="BM6" i="8"/>
  <c r="BM3" i="8"/>
  <c r="DL3" i="8"/>
  <c r="CN4" i="8"/>
  <c r="DK4" i="8" s="1"/>
  <c r="CB9" i="8"/>
  <c r="CC9" i="8" s="1"/>
  <c r="AC9" i="8"/>
  <c r="FI7" i="8"/>
  <c r="AB10" i="8"/>
  <c r="AP4" i="8"/>
  <c r="BM4" i="8" s="1"/>
  <c r="BM5" i="8"/>
  <c r="EL4" i="8"/>
  <c r="FI4" i="8" s="1"/>
  <c r="GF4" i="8" s="1"/>
  <c r="FJ3" i="8"/>
  <c r="GG3" i="8" s="1"/>
  <c r="FI5" i="8"/>
  <c r="AD8" i="8"/>
  <c r="AE8" i="8" s="1"/>
  <c r="AF8" i="8" s="1"/>
  <c r="EA8" i="8"/>
  <c r="EB8" i="8" s="1"/>
  <c r="EC8" i="8" s="1"/>
  <c r="ED8" i="8" s="1"/>
  <c r="CD8" i="8"/>
  <c r="U9" i="8"/>
  <c r="K9" i="8"/>
  <c r="J10" i="8"/>
  <c r="T9" i="8"/>
  <c r="CB10" i="8" a="1"/>
  <c r="AC10" i="8" a="1"/>
  <c r="EA9" i="8" a="1"/>
  <c r="GF5" i="8" l="1"/>
  <c r="EH8" i="8"/>
  <c r="FE8" i="8" s="1"/>
  <c r="EX8" i="8"/>
  <c r="EI8" i="8"/>
  <c r="FF8" i="8" s="1"/>
  <c r="EY8" i="8"/>
  <c r="EJ8" i="8"/>
  <c r="FG8" i="8" s="1"/>
  <c r="EZ8" i="8"/>
  <c r="EK8" i="8"/>
  <c r="FH8" i="8" s="1"/>
  <c r="FA8" i="8"/>
  <c r="EL8" i="8"/>
  <c r="FI8" i="8" s="1"/>
  <c r="EM8" i="8"/>
  <c r="FJ8" i="8" s="1"/>
  <c r="EN8" i="8"/>
  <c r="EO8" i="8"/>
  <c r="EP8" i="8"/>
  <c r="EQ8" i="8"/>
  <c r="ER8" i="8"/>
  <c r="ES8" i="8"/>
  <c r="ET8" i="8"/>
  <c r="EU8" i="8"/>
  <c r="EV8" i="8"/>
  <c r="EW8" i="8"/>
  <c r="EG8" i="8"/>
  <c r="CN7" i="8"/>
  <c r="CO7" i="8"/>
  <c r="CP7" i="8"/>
  <c r="CQ7" i="8"/>
  <c r="CR7" i="8"/>
  <c r="CS7" i="8"/>
  <c r="CT7" i="8"/>
  <c r="CU7" i="8"/>
  <c r="CV7" i="8"/>
  <c r="CW7" i="8"/>
  <c r="DA7" i="8"/>
  <c r="CH7" i="8"/>
  <c r="CX7" i="8"/>
  <c r="CI7" i="8"/>
  <c r="CY7" i="8"/>
  <c r="CJ7" i="8"/>
  <c r="CZ7" i="8"/>
  <c r="CK7" i="8"/>
  <c r="CL7" i="8"/>
  <c r="DB7" i="8"/>
  <c r="CM7" i="8"/>
  <c r="AJ8" i="8"/>
  <c r="BG8" i="8" s="1"/>
  <c r="AZ8" i="8"/>
  <c r="AK8" i="8"/>
  <c r="BH8" i="8" s="1"/>
  <c r="BA8" i="8"/>
  <c r="AL8" i="8"/>
  <c r="BI8" i="8" s="1"/>
  <c r="BB8" i="8"/>
  <c r="AM8" i="8"/>
  <c r="BJ8" i="8" s="1"/>
  <c r="BC8" i="8"/>
  <c r="AN8" i="8"/>
  <c r="BK8" i="8" s="1"/>
  <c r="AO8" i="8"/>
  <c r="BL8" i="8" s="1"/>
  <c r="AP8" i="8"/>
  <c r="BM8" i="8" s="1"/>
  <c r="AQ8" i="8"/>
  <c r="BN8" i="8" s="1"/>
  <c r="AR8" i="8"/>
  <c r="AS8" i="8"/>
  <c r="AV8" i="8"/>
  <c r="AT8" i="8"/>
  <c r="AU8" i="8"/>
  <c r="AI8" i="8"/>
  <c r="BF8" i="8" s="1"/>
  <c r="AW8" i="8"/>
  <c r="AY8" i="8"/>
  <c r="AX8" i="8"/>
  <c r="GW10" i="8"/>
  <c r="CE8" i="8"/>
  <c r="DK5" i="8"/>
  <c r="DI6" i="8"/>
  <c r="GE6" i="8" s="1"/>
  <c r="DH6" i="8"/>
  <c r="GD6" i="8" s="1"/>
  <c r="DK6" i="8"/>
  <c r="DJ6" i="8"/>
  <c r="GF6" i="8" s="1"/>
  <c r="DG6" i="8"/>
  <c r="GC6" i="8" s="1"/>
  <c r="DE6" i="8"/>
  <c r="GA6" i="8" s="1"/>
  <c r="DF6" i="8"/>
  <c r="GB6" i="8" s="1"/>
  <c r="FZ10" i="8"/>
  <c r="EF10" i="8"/>
  <c r="BE10" i="8"/>
  <c r="DD10" i="8"/>
  <c r="FC10" i="8"/>
  <c r="CG10" i="8"/>
  <c r="AH10" i="8"/>
  <c r="BN7" i="8"/>
  <c r="BN3" i="8"/>
  <c r="CO4" i="8"/>
  <c r="DL4" i="8" s="1"/>
  <c r="DM3" i="8"/>
  <c r="EA9" i="8"/>
  <c r="EB9" i="8" s="1"/>
  <c r="EC9" i="8" s="1"/>
  <c r="ED9" i="8" s="1"/>
  <c r="AC10" i="8"/>
  <c r="CB10" i="8"/>
  <c r="CC10" i="8" s="1"/>
  <c r="FD8" i="8"/>
  <c r="EM4" i="8"/>
  <c r="FJ4" i="8" s="1"/>
  <c r="GG4" i="8" s="1"/>
  <c r="FJ5" i="8"/>
  <c r="FJ6" i="8"/>
  <c r="FJ7" i="8"/>
  <c r="CD9" i="8"/>
  <c r="AB11" i="8"/>
  <c r="AQ4" i="8"/>
  <c r="BN4" i="8" s="1"/>
  <c r="BN5" i="8"/>
  <c r="BN6" i="8"/>
  <c r="AD9" i="8"/>
  <c r="AE9" i="8" s="1"/>
  <c r="AF9" i="8" s="1"/>
  <c r="K10" i="8"/>
  <c r="J11" i="8"/>
  <c r="U10" i="8"/>
  <c r="T10" i="8"/>
  <c r="EA10" i="8" a="1"/>
  <c r="AC11" i="8" a="1"/>
  <c r="CB11" i="8" a="1"/>
  <c r="ES9" i="8" l="1"/>
  <c r="ET9" i="8"/>
  <c r="EU9" i="8"/>
  <c r="EV9" i="8"/>
  <c r="EG9" i="8"/>
  <c r="EW9" i="8"/>
  <c r="EH9" i="8"/>
  <c r="FE9" i="8" s="1"/>
  <c r="EX9" i="8"/>
  <c r="EI9" i="8"/>
  <c r="FF9" i="8" s="1"/>
  <c r="EY9" i="8"/>
  <c r="EJ9" i="8"/>
  <c r="FG9" i="8" s="1"/>
  <c r="EZ9" i="8"/>
  <c r="EK9" i="8"/>
  <c r="FH9" i="8" s="1"/>
  <c r="FA9" i="8"/>
  <c r="EP9" i="8"/>
  <c r="EL9" i="8"/>
  <c r="FI9" i="8" s="1"/>
  <c r="EM9" i="8"/>
  <c r="FJ9" i="8" s="1"/>
  <c r="EN9" i="8"/>
  <c r="FK9" i="8" s="1"/>
  <c r="EO9" i="8"/>
  <c r="EQ9" i="8"/>
  <c r="ER9" i="8"/>
  <c r="CI8" i="8"/>
  <c r="DF8" i="8" s="1"/>
  <c r="GB8" i="8" s="1"/>
  <c r="CY8" i="8"/>
  <c r="CJ8" i="8"/>
  <c r="DG8" i="8" s="1"/>
  <c r="GC8" i="8" s="1"/>
  <c r="CZ8" i="8"/>
  <c r="CK8" i="8"/>
  <c r="DH8" i="8" s="1"/>
  <c r="GD8" i="8" s="1"/>
  <c r="DA8" i="8"/>
  <c r="CL8" i="8"/>
  <c r="DI8" i="8" s="1"/>
  <c r="GE8" i="8" s="1"/>
  <c r="DB8" i="8"/>
  <c r="CM8" i="8"/>
  <c r="DJ8" i="8" s="1"/>
  <c r="GF8" i="8" s="1"/>
  <c r="CN8" i="8"/>
  <c r="DK8" i="8" s="1"/>
  <c r="GG8" i="8" s="1"/>
  <c r="CO8" i="8"/>
  <c r="DL8" i="8" s="1"/>
  <c r="CP8" i="8"/>
  <c r="DM8" i="8" s="1"/>
  <c r="CQ8" i="8"/>
  <c r="CV8" i="8"/>
  <c r="CR8" i="8"/>
  <c r="CS8" i="8"/>
  <c r="CT8" i="8"/>
  <c r="CU8" i="8"/>
  <c r="CW8" i="8"/>
  <c r="CH8" i="8"/>
  <c r="DE8" i="8" s="1"/>
  <c r="GA8" i="8" s="1"/>
  <c r="CX8" i="8"/>
  <c r="AU9" i="8"/>
  <c r="AV9" i="8"/>
  <c r="AI9" i="8"/>
  <c r="BF9" i="8" s="1"/>
  <c r="AW9" i="8"/>
  <c r="AX9" i="8"/>
  <c r="AJ9" i="8"/>
  <c r="BG9" i="8" s="1"/>
  <c r="AZ9" i="8"/>
  <c r="AK9" i="8"/>
  <c r="BH9" i="8" s="1"/>
  <c r="BA9" i="8"/>
  <c r="BB9" i="8"/>
  <c r="AL9" i="8"/>
  <c r="BI9" i="8" s="1"/>
  <c r="AM9" i="8"/>
  <c r="BJ9" i="8" s="1"/>
  <c r="BC9" i="8"/>
  <c r="AQ9" i="8"/>
  <c r="BN9" i="8" s="1"/>
  <c r="AT9" i="8"/>
  <c r="AN9" i="8"/>
  <c r="BK9" i="8" s="1"/>
  <c r="AO9" i="8"/>
  <c r="BL9" i="8" s="1"/>
  <c r="AP9" i="8"/>
  <c r="BM9" i="8" s="1"/>
  <c r="AY9" i="8"/>
  <c r="AR9" i="8"/>
  <c r="BO9" i="8" s="1"/>
  <c r="AS9" i="8"/>
  <c r="GG5" i="8"/>
  <c r="GW11" i="8"/>
  <c r="GG6" i="8"/>
  <c r="DF7" i="8"/>
  <c r="GB7" i="8" s="1"/>
  <c r="DL6" i="8"/>
  <c r="DL7" i="8"/>
  <c r="CE9" i="8"/>
  <c r="DI7" i="8"/>
  <c r="GE7" i="8" s="1"/>
  <c r="DJ7" i="8"/>
  <c r="GF7" i="8" s="1"/>
  <c r="DH7" i="8"/>
  <c r="GD7" i="8" s="1"/>
  <c r="DK7" i="8"/>
  <c r="GG7" i="8" s="1"/>
  <c r="DG7" i="8"/>
  <c r="GC7" i="8" s="1"/>
  <c r="DE7" i="8"/>
  <c r="GA7" i="8" s="1"/>
  <c r="DL5" i="8"/>
  <c r="FC11" i="8"/>
  <c r="DD11" i="8"/>
  <c r="EF11" i="8"/>
  <c r="BE11" i="8"/>
  <c r="CG11" i="8"/>
  <c r="AH11" i="8"/>
  <c r="FZ11" i="8"/>
  <c r="FK8" i="8"/>
  <c r="FK3" i="8"/>
  <c r="GH3" i="8" s="1"/>
  <c r="BO8" i="8"/>
  <c r="BO3" i="8"/>
  <c r="CP4" i="8"/>
  <c r="DM4" i="8" s="1"/>
  <c r="CB11" i="8"/>
  <c r="CC11" i="8" s="1"/>
  <c r="AC11" i="8"/>
  <c r="EA10" i="8"/>
  <c r="EB10" i="8" s="1"/>
  <c r="EC10" i="8" s="1"/>
  <c r="ED10" i="8" s="1"/>
  <c r="FD9" i="8"/>
  <c r="EN4" i="8"/>
  <c r="FK4" i="8" s="1"/>
  <c r="GH4" i="8" s="1"/>
  <c r="FL3" i="8"/>
  <c r="GI3" i="8" s="1"/>
  <c r="FK5" i="8"/>
  <c r="FK6" i="8"/>
  <c r="FK7" i="8"/>
  <c r="AR4" i="8"/>
  <c r="BO4" i="8" s="1"/>
  <c r="BO5" i="8"/>
  <c r="BO6" i="8"/>
  <c r="BO7" i="8"/>
  <c r="AB12" i="8"/>
  <c r="CD10" i="8"/>
  <c r="AD10" i="8"/>
  <c r="AE10" i="8" s="1"/>
  <c r="AF10" i="8" s="1"/>
  <c r="J12" i="8"/>
  <c r="U11" i="8"/>
  <c r="K11" i="8"/>
  <c r="T11" i="8"/>
  <c r="EA11" i="8" a="1"/>
  <c r="AC12" i="8" a="1"/>
  <c r="CB12" i="8" a="1"/>
  <c r="EN10" i="8" l="1"/>
  <c r="FK10" i="8" s="1"/>
  <c r="EO10" i="8"/>
  <c r="FL10" i="8" s="1"/>
  <c r="EP10" i="8"/>
  <c r="EK10" i="8"/>
  <c r="FH10" i="8" s="1"/>
  <c r="EQ10" i="8"/>
  <c r="FA10" i="8"/>
  <c r="ER10" i="8"/>
  <c r="ES10" i="8"/>
  <c r="ET10" i="8"/>
  <c r="EU10" i="8"/>
  <c r="EV10" i="8"/>
  <c r="EG10" i="8"/>
  <c r="FD10" i="8" s="1"/>
  <c r="EW10" i="8"/>
  <c r="EH10" i="8"/>
  <c r="FE10" i="8" s="1"/>
  <c r="EX10" i="8"/>
  <c r="EI10" i="8"/>
  <c r="FF10" i="8" s="1"/>
  <c r="EY10" i="8"/>
  <c r="EJ10" i="8"/>
  <c r="FG10" i="8" s="1"/>
  <c r="EZ10" i="8"/>
  <c r="EL10" i="8"/>
  <c r="FI10" i="8" s="1"/>
  <c r="EM10" i="8"/>
  <c r="FJ10" i="8" s="1"/>
  <c r="CT9" i="8"/>
  <c r="CU9" i="8"/>
  <c r="CV9" i="8"/>
  <c r="CW9" i="8"/>
  <c r="CH9" i="8"/>
  <c r="CX9" i="8"/>
  <c r="CI9" i="8"/>
  <c r="CY9" i="8"/>
  <c r="CJ9" i="8"/>
  <c r="CZ9" i="8"/>
  <c r="CK9" i="8"/>
  <c r="DA9" i="8"/>
  <c r="CQ9" i="8"/>
  <c r="CL9" i="8"/>
  <c r="DB9" i="8"/>
  <c r="CM9" i="8"/>
  <c r="CN9" i="8"/>
  <c r="CO9" i="8"/>
  <c r="DL9" i="8" s="1"/>
  <c r="GH9" i="8" s="1"/>
  <c r="CP9" i="8"/>
  <c r="CR9" i="8"/>
  <c r="CS9" i="8"/>
  <c r="AP10" i="8"/>
  <c r="BM10" i="8" s="1"/>
  <c r="AQ10" i="8"/>
  <c r="BN10" i="8" s="1"/>
  <c r="AR10" i="8"/>
  <c r="BO10" i="8" s="1"/>
  <c r="AS10" i="8"/>
  <c r="BP10" i="8" s="1"/>
  <c r="AU10" i="8"/>
  <c r="AV10" i="8"/>
  <c r="AW10" i="8"/>
  <c r="AX10" i="8"/>
  <c r="AL10" i="8"/>
  <c r="BI10" i="8" s="1"/>
  <c r="AT10" i="8"/>
  <c r="AI10" i="8"/>
  <c r="BF10" i="8" s="1"/>
  <c r="AY10" i="8"/>
  <c r="BB10" i="8"/>
  <c r="AJ10" i="8"/>
  <c r="BG10" i="8" s="1"/>
  <c r="AZ10" i="8"/>
  <c r="AK10" i="8"/>
  <c r="BH10" i="8" s="1"/>
  <c r="BA10" i="8"/>
  <c r="AM10" i="8"/>
  <c r="BJ10" i="8" s="1"/>
  <c r="BC10" i="8"/>
  <c r="AN10" i="8"/>
  <c r="BK10" i="8" s="1"/>
  <c r="AO10" i="8"/>
  <c r="BL10" i="8" s="1"/>
  <c r="GH5" i="8"/>
  <c r="GW12" i="8"/>
  <c r="GH8" i="8"/>
  <c r="GH7" i="8"/>
  <c r="GH6" i="8"/>
  <c r="DM6" i="8"/>
  <c r="CE10" i="8"/>
  <c r="DM5" i="8"/>
  <c r="DM7" i="8"/>
  <c r="FC12" i="8"/>
  <c r="FZ12" i="8"/>
  <c r="AH12" i="8"/>
  <c r="DD12" i="8"/>
  <c r="CG12" i="8"/>
  <c r="EF12" i="8"/>
  <c r="BE12" i="8"/>
  <c r="DN3" i="8"/>
  <c r="BP9" i="8"/>
  <c r="BP3" i="8"/>
  <c r="DO3" i="8"/>
  <c r="CQ4" i="8"/>
  <c r="DN4" i="8" s="1"/>
  <c r="CB12" i="8"/>
  <c r="CC12" i="8" s="1"/>
  <c r="AC12" i="8"/>
  <c r="EA11" i="8"/>
  <c r="EB11" i="8" s="1"/>
  <c r="EC11" i="8" s="1"/>
  <c r="ED11" i="8" s="1"/>
  <c r="EO4" i="8"/>
  <c r="FL4" i="8" s="1"/>
  <c r="GI4" i="8" s="1"/>
  <c r="FM3" i="8"/>
  <c r="GJ3" i="8" s="1"/>
  <c r="FL5" i="8"/>
  <c r="FL6" i="8"/>
  <c r="FL7" i="8"/>
  <c r="AB13" i="8"/>
  <c r="AS4" i="8"/>
  <c r="BP4" i="8" s="1"/>
  <c r="BP5" i="8"/>
  <c r="BP6" i="8"/>
  <c r="BP7" i="8"/>
  <c r="BP8" i="8"/>
  <c r="FL9" i="8"/>
  <c r="CD11" i="8"/>
  <c r="AD11" i="8"/>
  <c r="AE11" i="8" s="1"/>
  <c r="AF11" i="8" s="1"/>
  <c r="J13" i="8"/>
  <c r="U12" i="8"/>
  <c r="K12" i="8"/>
  <c r="T12" i="8"/>
  <c r="AC13" i="8" a="1"/>
  <c r="CB13" i="8" a="1"/>
  <c r="EA12" i="8" a="1"/>
  <c r="EI11" i="8" l="1"/>
  <c r="FF11" i="8" s="1"/>
  <c r="EY11" i="8"/>
  <c r="EJ11" i="8"/>
  <c r="FG11" i="8" s="1"/>
  <c r="EZ11" i="8"/>
  <c r="EV11" i="8"/>
  <c r="EK11" i="8"/>
  <c r="FH11" i="8" s="1"/>
  <c r="FA11" i="8"/>
  <c r="EL11" i="8"/>
  <c r="FI11" i="8" s="1"/>
  <c r="EM11" i="8"/>
  <c r="FJ11" i="8" s="1"/>
  <c r="EN11" i="8"/>
  <c r="FK11" i="8" s="1"/>
  <c r="EO11" i="8"/>
  <c r="FL11" i="8" s="1"/>
  <c r="EP11" i="8"/>
  <c r="FM11" i="8" s="1"/>
  <c r="EQ11" i="8"/>
  <c r="ER11" i="8"/>
  <c r="ES11" i="8"/>
  <c r="ET11" i="8"/>
  <c r="EU11" i="8"/>
  <c r="EG11" i="8"/>
  <c r="FD11" i="8" s="1"/>
  <c r="EW11" i="8"/>
  <c r="EH11" i="8"/>
  <c r="FE11" i="8" s="1"/>
  <c r="EX11" i="8"/>
  <c r="CO10" i="8"/>
  <c r="CP10" i="8"/>
  <c r="CQ10" i="8"/>
  <c r="CR10" i="8"/>
  <c r="DO10" i="8" s="1"/>
  <c r="CS10" i="8"/>
  <c r="CT10" i="8"/>
  <c r="CU10" i="8"/>
  <c r="CV10" i="8"/>
  <c r="CW10" i="8"/>
  <c r="CH10" i="8"/>
  <c r="DE10" i="8" s="1"/>
  <c r="GA10" i="8" s="1"/>
  <c r="CX10" i="8"/>
  <c r="CI10" i="8"/>
  <c r="CY10" i="8"/>
  <c r="DB10" i="8"/>
  <c r="CJ10" i="8"/>
  <c r="DG10" i="8" s="1"/>
  <c r="GC10" i="8" s="1"/>
  <c r="CZ10" i="8"/>
  <c r="CK10" i="8"/>
  <c r="DA10" i="8"/>
  <c r="CL10" i="8"/>
  <c r="CM10" i="8"/>
  <c r="CN10" i="8"/>
  <c r="AK11" i="8"/>
  <c r="BH11" i="8" s="1"/>
  <c r="BA11" i="8"/>
  <c r="AL11" i="8"/>
  <c r="BI11" i="8" s="1"/>
  <c r="BB11" i="8"/>
  <c r="AM11" i="8"/>
  <c r="BJ11" i="8" s="1"/>
  <c r="BC11" i="8"/>
  <c r="AN11" i="8"/>
  <c r="BK11" i="8" s="1"/>
  <c r="AO11" i="8"/>
  <c r="BL11" i="8" s="1"/>
  <c r="AP11" i="8"/>
  <c r="BM11" i="8" s="1"/>
  <c r="AQ11" i="8"/>
  <c r="BN11" i="8" s="1"/>
  <c r="AR11" i="8"/>
  <c r="BO11" i="8" s="1"/>
  <c r="AS11" i="8"/>
  <c r="BP11" i="8" s="1"/>
  <c r="AT11" i="8"/>
  <c r="BQ11" i="8" s="1"/>
  <c r="AJ11" i="8"/>
  <c r="BG11" i="8" s="1"/>
  <c r="AU11" i="8"/>
  <c r="AW11" i="8"/>
  <c r="AV11" i="8"/>
  <c r="AX11" i="8"/>
  <c r="AZ11" i="8"/>
  <c r="AI11" i="8"/>
  <c r="BF11" i="8" s="1"/>
  <c r="AY11" i="8"/>
  <c r="GI7" i="8"/>
  <c r="GI5" i="8"/>
  <c r="GW13" i="8"/>
  <c r="GI6" i="8"/>
  <c r="DH9" i="8"/>
  <c r="GD9" i="8" s="1"/>
  <c r="DK9" i="8"/>
  <c r="GG9" i="8" s="1"/>
  <c r="DI9" i="8"/>
  <c r="GE9" i="8" s="1"/>
  <c r="DM9" i="8"/>
  <c r="GI9" i="8" s="1"/>
  <c r="DN6" i="8"/>
  <c r="DN8" i="8"/>
  <c r="FL8" i="8"/>
  <c r="GI8" i="8" s="1"/>
  <c r="DF9" i="8"/>
  <c r="GB9" i="8" s="1"/>
  <c r="DN5" i="8"/>
  <c r="DE9" i="8"/>
  <c r="GA9" i="8" s="1"/>
  <c r="DJ9" i="8"/>
  <c r="GF9" i="8" s="1"/>
  <c r="DN9" i="8"/>
  <c r="DG9" i="8"/>
  <c r="GC9" i="8" s="1"/>
  <c r="DN7" i="8"/>
  <c r="CE11" i="8"/>
  <c r="FM10" i="8"/>
  <c r="FC13" i="8"/>
  <c r="FZ13" i="8"/>
  <c r="EF13" i="8"/>
  <c r="BE13" i="8"/>
  <c r="CG13" i="8"/>
  <c r="DD13" i="8"/>
  <c r="AH13" i="8"/>
  <c r="BQ10" i="8"/>
  <c r="BQ3" i="8"/>
  <c r="DP3" i="8"/>
  <c r="CR4" i="8"/>
  <c r="DO4" i="8" s="1"/>
  <c r="EA12" i="8"/>
  <c r="EB12" i="8" s="1"/>
  <c r="EC12" i="8" s="1"/>
  <c r="ED12" i="8" s="1"/>
  <c r="CB13" i="8"/>
  <c r="CC13" i="8" s="1"/>
  <c r="AC13" i="8"/>
  <c r="CD12" i="8"/>
  <c r="EP4" i="8"/>
  <c r="FM4" i="8" s="1"/>
  <c r="GJ4" i="8" s="1"/>
  <c r="FM5" i="8"/>
  <c r="FM6" i="8"/>
  <c r="FM7" i="8"/>
  <c r="FM8" i="8"/>
  <c r="FM9" i="8"/>
  <c r="AB14" i="8"/>
  <c r="AT4" i="8"/>
  <c r="BQ4" i="8" s="1"/>
  <c r="BQ5" i="8"/>
  <c r="BQ6" i="8"/>
  <c r="BQ7" i="8"/>
  <c r="BQ8" i="8"/>
  <c r="BQ9" i="8"/>
  <c r="AD12" i="8"/>
  <c r="AE12" i="8" s="1"/>
  <c r="AF12" i="8" s="1"/>
  <c r="T13" i="8"/>
  <c r="U13" i="8"/>
  <c r="K13" i="8"/>
  <c r="J14" i="8"/>
  <c r="EA13" i="8" a="1"/>
  <c r="AC14" i="8" a="1"/>
  <c r="CB14" i="8" a="1"/>
  <c r="ET12" i="8" l="1"/>
  <c r="EU12" i="8"/>
  <c r="EV12" i="8"/>
  <c r="EG12" i="8"/>
  <c r="FD12" i="8" s="1"/>
  <c r="EW12" i="8"/>
  <c r="EH12" i="8"/>
  <c r="FE12" i="8" s="1"/>
  <c r="EX12" i="8"/>
  <c r="EI12" i="8"/>
  <c r="EY12" i="8"/>
  <c r="EJ12" i="8"/>
  <c r="FG12" i="8" s="1"/>
  <c r="EZ12" i="8"/>
  <c r="EK12" i="8"/>
  <c r="FH12" i="8" s="1"/>
  <c r="FA12" i="8"/>
  <c r="EQ12" i="8"/>
  <c r="FN12" i="8" s="1"/>
  <c r="EL12" i="8"/>
  <c r="FI12" i="8" s="1"/>
  <c r="EM12" i="8"/>
  <c r="FJ12" i="8" s="1"/>
  <c r="EN12" i="8"/>
  <c r="FK12" i="8" s="1"/>
  <c r="EO12" i="8"/>
  <c r="FL12" i="8" s="1"/>
  <c r="EP12" i="8"/>
  <c r="FM12" i="8" s="1"/>
  <c r="ER12" i="8"/>
  <c r="ES12" i="8"/>
  <c r="CJ11" i="8"/>
  <c r="CZ11" i="8"/>
  <c r="CK11" i="8"/>
  <c r="DA11" i="8"/>
  <c r="CL11" i="8"/>
  <c r="DB11" i="8"/>
  <c r="CM11" i="8"/>
  <c r="CN11" i="8"/>
  <c r="CO11" i="8"/>
  <c r="CP11" i="8"/>
  <c r="CQ11" i="8"/>
  <c r="CR11" i="8"/>
  <c r="DO11" i="8" s="1"/>
  <c r="CS11" i="8"/>
  <c r="CT11" i="8"/>
  <c r="CU11" i="8"/>
  <c r="CV11" i="8"/>
  <c r="CW11" i="8"/>
  <c r="CH11" i="8"/>
  <c r="CX11" i="8"/>
  <c r="CI11" i="8"/>
  <c r="CY11" i="8"/>
  <c r="AV12" i="8"/>
  <c r="AW12" i="8"/>
  <c r="AX12" i="8"/>
  <c r="AI12" i="8"/>
  <c r="BF12" i="8" s="1"/>
  <c r="AY12" i="8"/>
  <c r="AZ12" i="8"/>
  <c r="AK12" i="8"/>
  <c r="BH12" i="8" s="1"/>
  <c r="BA12" i="8"/>
  <c r="AL12" i="8"/>
  <c r="BI12" i="8" s="1"/>
  <c r="BB12" i="8"/>
  <c r="BC12" i="8"/>
  <c r="AM12" i="8"/>
  <c r="BJ12" i="8" s="1"/>
  <c r="AN12" i="8"/>
  <c r="BK12" i="8" s="1"/>
  <c r="AO12" i="8"/>
  <c r="BL12" i="8" s="1"/>
  <c r="AP12" i="8"/>
  <c r="BM12" i="8" s="1"/>
  <c r="AQ12" i="8"/>
  <c r="BN12" i="8" s="1"/>
  <c r="AR12" i="8"/>
  <c r="BO12" i="8" s="1"/>
  <c r="AJ12" i="8"/>
  <c r="BG12" i="8" s="1"/>
  <c r="AS12" i="8"/>
  <c r="BP12" i="8" s="1"/>
  <c r="AT12" i="8"/>
  <c r="BQ12" i="8" s="1"/>
  <c r="AU12" i="8"/>
  <c r="BR12" i="8" s="1"/>
  <c r="GJ9" i="8"/>
  <c r="GW14" i="8"/>
  <c r="GJ5" i="8"/>
  <c r="GJ6" i="8"/>
  <c r="GJ7" i="8"/>
  <c r="GJ8" i="8"/>
  <c r="DN10" i="8"/>
  <c r="GJ10" i="8" s="1"/>
  <c r="DF10" i="8"/>
  <c r="GB10" i="8" s="1"/>
  <c r="DO7" i="8"/>
  <c r="DL10" i="8"/>
  <c r="GH10" i="8" s="1"/>
  <c r="DO6" i="8"/>
  <c r="DI10" i="8"/>
  <c r="GE10" i="8" s="1"/>
  <c r="DO5" i="8"/>
  <c r="DO9" i="8"/>
  <c r="DK10" i="8"/>
  <c r="GG10" i="8" s="1"/>
  <c r="DJ10" i="8"/>
  <c r="GF10" i="8" s="1"/>
  <c r="DM10" i="8"/>
  <c r="GI10" i="8" s="1"/>
  <c r="DO8" i="8"/>
  <c r="CE12" i="8"/>
  <c r="DH10" i="8"/>
  <c r="GD10" i="8" s="1"/>
  <c r="FC14" i="8"/>
  <c r="FZ14" i="8"/>
  <c r="DD14" i="8"/>
  <c r="AH14" i="8"/>
  <c r="CG14" i="8"/>
  <c r="EF14" i="8"/>
  <c r="BE14" i="8"/>
  <c r="FN11" i="8"/>
  <c r="FN3" i="8"/>
  <c r="GK3" i="8" s="1"/>
  <c r="BR11" i="8"/>
  <c r="BR3" i="8"/>
  <c r="CS4" i="8"/>
  <c r="DP4" i="8" s="1"/>
  <c r="CB14" i="8"/>
  <c r="CC14" i="8" s="1"/>
  <c r="AC14" i="8"/>
  <c r="EA13" i="8"/>
  <c r="EB13" i="8" s="1"/>
  <c r="EC13" i="8" s="1"/>
  <c r="ED13" i="8" s="1"/>
  <c r="EQ4" i="8"/>
  <c r="FN4" i="8" s="1"/>
  <c r="GK4" i="8" s="1"/>
  <c r="FO3" i="8"/>
  <c r="GL3" i="8" s="1"/>
  <c r="FN5" i="8"/>
  <c r="FN6" i="8"/>
  <c r="FN7" i="8"/>
  <c r="FN8" i="8"/>
  <c r="FN9" i="8"/>
  <c r="FF12" i="8"/>
  <c r="AU4" i="8"/>
  <c r="BR4" i="8" s="1"/>
  <c r="BR5" i="8"/>
  <c r="BR6" i="8"/>
  <c r="BR7" i="8"/>
  <c r="BR8" i="8"/>
  <c r="BR9" i="8"/>
  <c r="BR10" i="8"/>
  <c r="AB15" i="8"/>
  <c r="CD13" i="8"/>
  <c r="AD13" i="8"/>
  <c r="AE13" i="8" s="1"/>
  <c r="AF13" i="8" s="1"/>
  <c r="T14" i="8"/>
  <c r="J15" i="8"/>
  <c r="K14" i="8"/>
  <c r="U14" i="8"/>
  <c r="EA14" i="8" a="1"/>
  <c r="CB15" i="8" a="1"/>
  <c r="AC15" i="8" a="1"/>
  <c r="EO13" i="8" l="1"/>
  <c r="FL13" i="8" s="1"/>
  <c r="EP13" i="8"/>
  <c r="FM13" i="8" s="1"/>
  <c r="EQ13" i="8"/>
  <c r="FN13" i="8" s="1"/>
  <c r="ER13" i="8"/>
  <c r="FO13" i="8" s="1"/>
  <c r="ES13" i="8"/>
  <c r="ET13" i="8"/>
  <c r="EL13" i="8"/>
  <c r="FI13" i="8" s="1"/>
  <c r="EU13" i="8"/>
  <c r="EV13" i="8"/>
  <c r="EG13" i="8"/>
  <c r="FD13" i="8" s="1"/>
  <c r="EW13" i="8"/>
  <c r="EH13" i="8"/>
  <c r="FE13" i="8" s="1"/>
  <c r="EX13" i="8"/>
  <c r="EI13" i="8"/>
  <c r="FF13" i="8" s="1"/>
  <c r="EY13" i="8"/>
  <c r="EJ13" i="8"/>
  <c r="FG13" i="8" s="1"/>
  <c r="EZ13" i="8"/>
  <c r="EK13" i="8"/>
  <c r="FH13" i="8" s="1"/>
  <c r="FA13" i="8"/>
  <c r="EM13" i="8"/>
  <c r="FJ13" i="8" s="1"/>
  <c r="EN13" i="8"/>
  <c r="FK13" i="8" s="1"/>
  <c r="CU12" i="8"/>
  <c r="CV12" i="8"/>
  <c r="CW12" i="8"/>
  <c r="CH12" i="8"/>
  <c r="CX12" i="8"/>
  <c r="CI12" i="8"/>
  <c r="CY12" i="8"/>
  <c r="CR12" i="8"/>
  <c r="CJ12" i="8"/>
  <c r="CZ12" i="8"/>
  <c r="CK12" i="8"/>
  <c r="DA12" i="8"/>
  <c r="CL12" i="8"/>
  <c r="DB12" i="8"/>
  <c r="CM12" i="8"/>
  <c r="CN12" i="8"/>
  <c r="CO12" i="8"/>
  <c r="CP12" i="8"/>
  <c r="CQ12" i="8"/>
  <c r="CS12" i="8"/>
  <c r="CT12" i="8"/>
  <c r="AQ13" i="8"/>
  <c r="BN13" i="8" s="1"/>
  <c r="AR13" i="8"/>
  <c r="BO13" i="8" s="1"/>
  <c r="AS13" i="8"/>
  <c r="BP13" i="8" s="1"/>
  <c r="AT13" i="8"/>
  <c r="BQ13" i="8" s="1"/>
  <c r="AV13" i="8"/>
  <c r="BS13" i="8" s="1"/>
  <c r="AW13" i="8"/>
  <c r="AX13" i="8"/>
  <c r="AI13" i="8"/>
  <c r="BF13" i="8" s="1"/>
  <c r="AY13" i="8"/>
  <c r="AM13" i="8"/>
  <c r="BJ13" i="8" s="1"/>
  <c r="AJ13" i="8"/>
  <c r="BG13" i="8" s="1"/>
  <c r="AZ13" i="8"/>
  <c r="BC13" i="8"/>
  <c r="AU13" i="8"/>
  <c r="BR13" i="8" s="1"/>
  <c r="AK13" i="8"/>
  <c r="BH13" i="8" s="1"/>
  <c r="BA13" i="8"/>
  <c r="AL13" i="8"/>
  <c r="BI13" i="8" s="1"/>
  <c r="BB13" i="8"/>
  <c r="AN13" i="8"/>
  <c r="BK13" i="8" s="1"/>
  <c r="AP13" i="8"/>
  <c r="BM13" i="8" s="1"/>
  <c r="AO13" i="8"/>
  <c r="BL13" i="8" s="1"/>
  <c r="GK7" i="8"/>
  <c r="GW15" i="8"/>
  <c r="GK8" i="8"/>
  <c r="GK6" i="8"/>
  <c r="GK11" i="8"/>
  <c r="GK9" i="8"/>
  <c r="GK5" i="8"/>
  <c r="DE11" i="8"/>
  <c r="GA11" i="8" s="1"/>
  <c r="DL11" i="8"/>
  <c r="GH11" i="8" s="1"/>
  <c r="DP6" i="8"/>
  <c r="DP5" i="8"/>
  <c r="DP8" i="8"/>
  <c r="DP9" i="8"/>
  <c r="DK11" i="8"/>
  <c r="GG11" i="8" s="1"/>
  <c r="DH11" i="8"/>
  <c r="GD11" i="8" s="1"/>
  <c r="FN10" i="8"/>
  <c r="GK10" i="8" s="1"/>
  <c r="DN11" i="8"/>
  <c r="GJ11" i="8" s="1"/>
  <c r="DP10" i="8"/>
  <c r="DG11" i="8"/>
  <c r="GC11" i="8" s="1"/>
  <c r="DI11" i="8"/>
  <c r="GE11" i="8" s="1"/>
  <c r="DP7" i="8"/>
  <c r="CE13" i="8"/>
  <c r="DJ11" i="8"/>
  <c r="GF11" i="8" s="1"/>
  <c r="DF11" i="8"/>
  <c r="GB11" i="8" s="1"/>
  <c r="DP11" i="8"/>
  <c r="DM11" i="8"/>
  <c r="GI11" i="8" s="1"/>
  <c r="DQ3" i="8"/>
  <c r="FC15" i="8"/>
  <c r="FZ15" i="8"/>
  <c r="AH15" i="8"/>
  <c r="CG15" i="8"/>
  <c r="DD15" i="8"/>
  <c r="EF15" i="8"/>
  <c r="BE15" i="8"/>
  <c r="BS12" i="8"/>
  <c r="BS3" i="8"/>
  <c r="DR3" i="8"/>
  <c r="CT4" i="8"/>
  <c r="DQ4" i="8" s="1"/>
  <c r="AC15" i="8"/>
  <c r="CB15" i="8"/>
  <c r="CC15" i="8" s="1"/>
  <c r="EA14" i="8"/>
  <c r="EB14" i="8" s="1"/>
  <c r="EC14" i="8" s="1"/>
  <c r="ED14" i="8" s="1"/>
  <c r="BT3" i="8"/>
  <c r="AV4" i="8"/>
  <c r="BS4" i="8" s="1"/>
  <c r="BS5" i="8"/>
  <c r="BS6" i="8"/>
  <c r="BS7" i="8"/>
  <c r="BS8" i="8"/>
  <c r="BS9" i="8"/>
  <c r="BS10" i="8"/>
  <c r="BS11" i="8"/>
  <c r="ER4" i="8"/>
  <c r="FO4" i="8" s="1"/>
  <c r="GL4" i="8" s="1"/>
  <c r="FO5" i="8"/>
  <c r="FO6" i="8"/>
  <c r="FO7" i="8"/>
  <c r="FO8" i="8"/>
  <c r="FO9" i="8"/>
  <c r="FO10" i="8"/>
  <c r="FO11" i="8"/>
  <c r="FO12" i="8"/>
  <c r="AB16" i="8"/>
  <c r="CD14" i="8"/>
  <c r="AD14" i="8"/>
  <c r="AE14" i="8" s="1"/>
  <c r="AF14" i="8" s="1"/>
  <c r="U15" i="8"/>
  <c r="J16" i="8"/>
  <c r="K15" i="8"/>
  <c r="T15" i="8"/>
  <c r="EA15" i="8" a="1"/>
  <c r="AC16" i="8" a="1"/>
  <c r="CB16" i="8" a="1"/>
  <c r="EJ14" i="8" l="1"/>
  <c r="FG14" i="8" s="1"/>
  <c r="EZ14" i="8"/>
  <c r="EK14" i="8"/>
  <c r="FA14" i="8"/>
  <c r="EL14" i="8"/>
  <c r="FI14" i="8" s="1"/>
  <c r="EM14" i="8"/>
  <c r="FJ14" i="8" s="1"/>
  <c r="EN14" i="8"/>
  <c r="FK14" i="8" s="1"/>
  <c r="EO14" i="8"/>
  <c r="FL14" i="8" s="1"/>
  <c r="EP14" i="8"/>
  <c r="FM14" i="8" s="1"/>
  <c r="EQ14" i="8"/>
  <c r="FN14" i="8" s="1"/>
  <c r="ER14" i="8"/>
  <c r="FO14" i="8" s="1"/>
  <c r="ES14" i="8"/>
  <c r="FP14" i="8" s="1"/>
  <c r="ET14" i="8"/>
  <c r="EG14" i="8"/>
  <c r="FD14" i="8" s="1"/>
  <c r="EU14" i="8"/>
  <c r="EW14" i="8"/>
  <c r="EV14" i="8"/>
  <c r="EH14" i="8"/>
  <c r="EX14" i="8"/>
  <c r="EI14" i="8"/>
  <c r="FF14" i="8" s="1"/>
  <c r="EY14" i="8"/>
  <c r="CP13" i="8"/>
  <c r="DM13" i="8" s="1"/>
  <c r="GI13" i="8" s="1"/>
  <c r="CQ13" i="8"/>
  <c r="CR13" i="8"/>
  <c r="CS13" i="8"/>
  <c r="CT13" i="8"/>
  <c r="DQ13" i="8" s="1"/>
  <c r="CU13" i="8"/>
  <c r="CV13" i="8"/>
  <c r="CW13" i="8"/>
  <c r="CH13" i="8"/>
  <c r="DE13" i="8" s="1"/>
  <c r="GA13" i="8" s="1"/>
  <c r="CX13" i="8"/>
  <c r="CI13" i="8"/>
  <c r="DF13" i="8" s="1"/>
  <c r="GB13" i="8" s="1"/>
  <c r="CY13" i="8"/>
  <c r="CJ13" i="8"/>
  <c r="DG13" i="8" s="1"/>
  <c r="GC13" i="8" s="1"/>
  <c r="CZ13" i="8"/>
  <c r="CK13" i="8"/>
  <c r="DA13" i="8"/>
  <c r="CL13" i="8"/>
  <c r="DB13" i="8"/>
  <c r="CM13" i="8"/>
  <c r="DJ13" i="8" s="1"/>
  <c r="GF13" i="8" s="1"/>
  <c r="CN13" i="8"/>
  <c r="CO13" i="8"/>
  <c r="AL14" i="8"/>
  <c r="BI14" i="8" s="1"/>
  <c r="BB14" i="8"/>
  <c r="AM14" i="8"/>
  <c r="BJ14" i="8" s="1"/>
  <c r="BC14" i="8"/>
  <c r="AN14" i="8"/>
  <c r="BK14" i="8" s="1"/>
  <c r="AO14" i="8"/>
  <c r="BL14" i="8" s="1"/>
  <c r="AQ14" i="8"/>
  <c r="BN14" i="8" s="1"/>
  <c r="AR14" i="8"/>
  <c r="BO14" i="8" s="1"/>
  <c r="AS14" i="8"/>
  <c r="BP14" i="8" s="1"/>
  <c r="AT14" i="8"/>
  <c r="BQ14" i="8" s="1"/>
  <c r="AX14" i="8"/>
  <c r="AU14" i="8"/>
  <c r="BR14" i="8" s="1"/>
  <c r="AV14" i="8"/>
  <c r="BS14" i="8" s="1"/>
  <c r="AW14" i="8"/>
  <c r="BT14" i="8" s="1"/>
  <c r="AI14" i="8"/>
  <c r="BF14" i="8" s="1"/>
  <c r="AY14" i="8"/>
  <c r="BA14" i="8"/>
  <c r="AJ14" i="8"/>
  <c r="BG14" i="8" s="1"/>
  <c r="AZ14" i="8"/>
  <c r="AK14" i="8"/>
  <c r="BH14" i="8" s="1"/>
  <c r="AP14" i="8"/>
  <c r="BM14" i="8" s="1"/>
  <c r="GL8" i="8"/>
  <c r="GW16" i="8"/>
  <c r="GL9" i="8"/>
  <c r="GL5" i="8"/>
  <c r="GL7" i="8"/>
  <c r="GL6" i="8"/>
  <c r="GL10" i="8"/>
  <c r="GL11" i="8"/>
  <c r="DN13" i="8"/>
  <c r="GJ13" i="8" s="1"/>
  <c r="DI13" i="8"/>
  <c r="GE13" i="8" s="1"/>
  <c r="DF12" i="8"/>
  <c r="GB12" i="8" s="1"/>
  <c r="DP12" i="8"/>
  <c r="GL12" i="8" s="1"/>
  <c r="DQ8" i="8"/>
  <c r="DG12" i="8"/>
  <c r="GC12" i="8" s="1"/>
  <c r="DM12" i="8"/>
  <c r="GI12" i="8" s="1"/>
  <c r="DQ7" i="8"/>
  <c r="DQ6" i="8"/>
  <c r="DL12" i="8"/>
  <c r="GH12" i="8" s="1"/>
  <c r="DK12" i="8"/>
  <c r="GG12" i="8" s="1"/>
  <c r="DQ12" i="8"/>
  <c r="DJ12" i="8"/>
  <c r="GF12" i="8" s="1"/>
  <c r="DN12" i="8"/>
  <c r="GJ12" i="8" s="1"/>
  <c r="DE12" i="8"/>
  <c r="GA12" i="8" s="1"/>
  <c r="DQ5" i="8"/>
  <c r="DQ11" i="8"/>
  <c r="DO12" i="8"/>
  <c r="GK12" i="8" s="1"/>
  <c r="DH12" i="8"/>
  <c r="GD12" i="8" s="1"/>
  <c r="DI12" i="8"/>
  <c r="GE12" i="8" s="1"/>
  <c r="DQ10" i="8"/>
  <c r="CE14" i="8"/>
  <c r="DQ9" i="8"/>
  <c r="FZ16" i="8"/>
  <c r="FC16" i="8"/>
  <c r="DD16" i="8"/>
  <c r="CG16" i="8"/>
  <c r="BE16" i="8"/>
  <c r="EF16" i="8"/>
  <c r="AH16" i="8"/>
  <c r="FP13" i="8"/>
  <c r="FP3" i="8"/>
  <c r="GM3" i="8" s="1"/>
  <c r="CU4" i="8"/>
  <c r="DR4" i="8" s="1"/>
  <c r="DS3" i="8"/>
  <c r="CB16" i="8"/>
  <c r="CC16" i="8" s="1"/>
  <c r="AC16" i="8"/>
  <c r="EA15" i="8"/>
  <c r="EB15" i="8" s="1"/>
  <c r="EC15" i="8" s="1"/>
  <c r="ED15" i="8" s="1"/>
  <c r="AW4" i="8"/>
  <c r="BT4" i="8" s="1"/>
  <c r="BT5" i="8"/>
  <c r="BT6" i="8"/>
  <c r="BT7" i="8"/>
  <c r="BT8" i="8"/>
  <c r="BT9" i="8"/>
  <c r="BT10" i="8"/>
  <c r="BT11" i="8"/>
  <c r="BT12" i="8"/>
  <c r="AB17" i="8"/>
  <c r="ES4" i="8"/>
  <c r="FP4" i="8" s="1"/>
  <c r="GM4" i="8" s="1"/>
  <c r="FP5" i="8"/>
  <c r="FP6" i="8"/>
  <c r="FP7" i="8"/>
  <c r="FP8" i="8"/>
  <c r="FP9" i="8"/>
  <c r="FP10" i="8"/>
  <c r="FP11" i="8"/>
  <c r="FP12" i="8"/>
  <c r="BT13" i="8"/>
  <c r="CD15" i="8"/>
  <c r="FE14" i="8"/>
  <c r="FH14" i="8"/>
  <c r="AD15" i="8"/>
  <c r="AE15" i="8" s="1"/>
  <c r="AF15" i="8" s="1"/>
  <c r="T16" i="8"/>
  <c r="J17" i="8"/>
  <c r="U16" i="8"/>
  <c r="K16" i="8"/>
  <c r="AC17" i="8" a="1"/>
  <c r="CB17" i="8" a="1"/>
  <c r="EA16" i="8" a="1"/>
  <c r="EU15" i="8" l="1"/>
  <c r="EV15" i="8"/>
  <c r="EG15" i="8"/>
  <c r="EW15" i="8"/>
  <c r="EH15" i="8"/>
  <c r="EX15" i="8"/>
  <c r="EI15" i="8"/>
  <c r="EY15" i="8"/>
  <c r="EJ15" i="8"/>
  <c r="FG15" i="8" s="1"/>
  <c r="EZ15" i="8"/>
  <c r="EK15" i="8"/>
  <c r="FH15" i="8" s="1"/>
  <c r="FA15" i="8"/>
  <c r="EL15" i="8"/>
  <c r="FI15" i="8" s="1"/>
  <c r="EM15" i="8"/>
  <c r="FJ15" i="8" s="1"/>
  <c r="EN15" i="8"/>
  <c r="FK15" i="8" s="1"/>
  <c r="EO15" i="8"/>
  <c r="FL15" i="8" s="1"/>
  <c r="ER15" i="8"/>
  <c r="EP15" i="8"/>
  <c r="EQ15" i="8"/>
  <c r="ES15" i="8"/>
  <c r="ET15" i="8"/>
  <c r="FQ15" i="8" s="1"/>
  <c r="CK14" i="8"/>
  <c r="DH14" i="8" s="1"/>
  <c r="GD14" i="8" s="1"/>
  <c r="DA14" i="8"/>
  <c r="CL14" i="8"/>
  <c r="DI14" i="8" s="1"/>
  <c r="GE14" i="8" s="1"/>
  <c r="DB14" i="8"/>
  <c r="CX14" i="8"/>
  <c r="CM14" i="8"/>
  <c r="DJ14" i="8" s="1"/>
  <c r="GF14" i="8" s="1"/>
  <c r="CH14" i="8"/>
  <c r="DE14" i="8" s="1"/>
  <c r="GA14" i="8" s="1"/>
  <c r="CN14" i="8"/>
  <c r="DK14" i="8" s="1"/>
  <c r="GG14" i="8" s="1"/>
  <c r="CO14" i="8"/>
  <c r="DL14" i="8" s="1"/>
  <c r="GH14" i="8" s="1"/>
  <c r="CP14" i="8"/>
  <c r="DM14" i="8" s="1"/>
  <c r="GI14" i="8" s="1"/>
  <c r="CQ14" i="8"/>
  <c r="DN14" i="8" s="1"/>
  <c r="GJ14" i="8" s="1"/>
  <c r="CR14" i="8"/>
  <c r="CS14" i="8"/>
  <c r="DP14" i="8" s="1"/>
  <c r="GL14" i="8" s="1"/>
  <c r="CT14" i="8"/>
  <c r="DQ14" i="8" s="1"/>
  <c r="GM14" i="8" s="1"/>
  <c r="CU14" i="8"/>
  <c r="DR14" i="8" s="1"/>
  <c r="CV14" i="8"/>
  <c r="DS14" i="8" s="1"/>
  <c r="CW14" i="8"/>
  <c r="CI14" i="8"/>
  <c r="CY14" i="8"/>
  <c r="CJ14" i="8"/>
  <c r="DG14" i="8" s="1"/>
  <c r="GC14" i="8" s="1"/>
  <c r="CZ14" i="8"/>
  <c r="AW15" i="8"/>
  <c r="BT15" i="8" s="1"/>
  <c r="AX15" i="8"/>
  <c r="BU15" i="8" s="1"/>
  <c r="AI15" i="8"/>
  <c r="BF15" i="8" s="1"/>
  <c r="AY15" i="8"/>
  <c r="AJ15" i="8"/>
  <c r="BG15" i="8" s="1"/>
  <c r="AZ15" i="8"/>
  <c r="AL15" i="8"/>
  <c r="BI15" i="8" s="1"/>
  <c r="BB15" i="8"/>
  <c r="AM15" i="8"/>
  <c r="BJ15" i="8" s="1"/>
  <c r="BC15" i="8"/>
  <c r="AN15" i="8"/>
  <c r="BK15" i="8" s="1"/>
  <c r="AO15" i="8"/>
  <c r="BL15" i="8" s="1"/>
  <c r="AP15" i="8"/>
  <c r="BM15" i="8" s="1"/>
  <c r="AQ15" i="8"/>
  <c r="BN15" i="8" s="1"/>
  <c r="AS15" i="8"/>
  <c r="BP15" i="8" s="1"/>
  <c r="AK15" i="8"/>
  <c r="BH15" i="8" s="1"/>
  <c r="AR15" i="8"/>
  <c r="BO15" i="8" s="1"/>
  <c r="AT15" i="8"/>
  <c r="BQ15" i="8" s="1"/>
  <c r="BA15" i="8"/>
  <c r="AU15" i="8"/>
  <c r="BR15" i="8" s="1"/>
  <c r="AV15" i="8"/>
  <c r="BS15" i="8" s="1"/>
  <c r="GM5" i="8"/>
  <c r="DO14" i="8"/>
  <c r="GK14" i="8" s="1"/>
  <c r="GM12" i="8"/>
  <c r="GM13" i="8"/>
  <c r="GM6" i="8"/>
  <c r="GM9" i="8"/>
  <c r="GW17" i="8"/>
  <c r="GM11" i="8"/>
  <c r="GM10" i="8"/>
  <c r="DF14" i="8"/>
  <c r="GB14" i="8" s="1"/>
  <c r="GM7" i="8"/>
  <c r="GM8" i="8"/>
  <c r="DR9" i="8"/>
  <c r="DR8" i="8"/>
  <c r="DP13" i="8"/>
  <c r="GL13" i="8" s="1"/>
  <c r="DK13" i="8"/>
  <c r="GG13" i="8" s="1"/>
  <c r="DR5" i="8"/>
  <c r="DO13" i="8"/>
  <c r="GK13" i="8" s="1"/>
  <c r="DL13" i="8"/>
  <c r="GH13" i="8" s="1"/>
  <c r="DR6" i="8"/>
  <c r="DH13" i="8"/>
  <c r="GD13" i="8" s="1"/>
  <c r="DR10" i="8"/>
  <c r="DR12" i="8"/>
  <c r="DR7" i="8"/>
  <c r="DR11" i="8"/>
  <c r="DR13" i="8"/>
  <c r="CE15" i="8"/>
  <c r="FQ14" i="8"/>
  <c r="FQ3" i="8"/>
  <c r="GN3" i="8" s="1"/>
  <c r="FZ17" i="8"/>
  <c r="FC17" i="8"/>
  <c r="DD17" i="8"/>
  <c r="AH17" i="8"/>
  <c r="CG17" i="8"/>
  <c r="EF17" i="8"/>
  <c r="BE17" i="8"/>
  <c r="BU14" i="8"/>
  <c r="BU3" i="8"/>
  <c r="DT3" i="8"/>
  <c r="CV4" i="8"/>
  <c r="DS4" i="8" s="1"/>
  <c r="EA16" i="8"/>
  <c r="EB16" i="8" s="1"/>
  <c r="EC16" i="8" s="1"/>
  <c r="ED16" i="8" s="1"/>
  <c r="CB17" i="8"/>
  <c r="CC17" i="8" s="1"/>
  <c r="AC17" i="8"/>
  <c r="CD16" i="8"/>
  <c r="BV3" i="8"/>
  <c r="AX4" i="8"/>
  <c r="BU4" i="8" s="1"/>
  <c r="BU5" i="8"/>
  <c r="BU6" i="8"/>
  <c r="BU7" i="8"/>
  <c r="BU8" i="8"/>
  <c r="BU9" i="8"/>
  <c r="BU10" i="8"/>
  <c r="BU11" i="8"/>
  <c r="BU12" i="8"/>
  <c r="BU13" i="8"/>
  <c r="FE15" i="8"/>
  <c r="FM15" i="8"/>
  <c r="FO15" i="8"/>
  <c r="FD15" i="8"/>
  <c r="FN15" i="8"/>
  <c r="FF15" i="8"/>
  <c r="FP15" i="8"/>
  <c r="ET4" i="8"/>
  <c r="FQ4" i="8" s="1"/>
  <c r="GN4" i="8" s="1"/>
  <c r="FQ5" i="8"/>
  <c r="FQ6" i="8"/>
  <c r="FQ7" i="8"/>
  <c r="FQ8" i="8"/>
  <c r="FQ9" i="8"/>
  <c r="FQ10" i="8"/>
  <c r="FQ11" i="8"/>
  <c r="FQ12" i="8"/>
  <c r="FQ13" i="8"/>
  <c r="AB18" i="8"/>
  <c r="AD16" i="8"/>
  <c r="AE16" i="8" s="1"/>
  <c r="AF16" i="8" s="1"/>
  <c r="U17" i="8"/>
  <c r="K17" i="8"/>
  <c r="J18" i="8"/>
  <c r="T17" i="8"/>
  <c r="EA17" i="8" a="1"/>
  <c r="AC18" i="8" a="1"/>
  <c r="CB18" i="8" a="1"/>
  <c r="EP16" i="8" l="1"/>
  <c r="EQ16" i="8"/>
  <c r="ER16" i="8"/>
  <c r="FO16" i="8" s="1"/>
  <c r="ES16" i="8"/>
  <c r="ET16" i="8"/>
  <c r="FQ16" i="8" s="1"/>
  <c r="EU16" i="8"/>
  <c r="FR16" i="8" s="1"/>
  <c r="EV16" i="8"/>
  <c r="EG16" i="8"/>
  <c r="FD16" i="8" s="1"/>
  <c r="EW16" i="8"/>
  <c r="EH16" i="8"/>
  <c r="FE16" i="8" s="1"/>
  <c r="EX16" i="8"/>
  <c r="EI16" i="8"/>
  <c r="FF16" i="8" s="1"/>
  <c r="EY16" i="8"/>
  <c r="EJ16" i="8"/>
  <c r="FG16" i="8" s="1"/>
  <c r="EZ16" i="8"/>
  <c r="EM16" i="8"/>
  <c r="FJ16" i="8" s="1"/>
  <c r="EK16" i="8"/>
  <c r="FA16" i="8"/>
  <c r="EL16" i="8"/>
  <c r="EN16" i="8"/>
  <c r="FK16" i="8" s="1"/>
  <c r="EO16" i="8"/>
  <c r="FL16" i="8" s="1"/>
  <c r="CV15" i="8"/>
  <c r="CW15" i="8"/>
  <c r="CH15" i="8"/>
  <c r="CX15" i="8"/>
  <c r="CI15" i="8"/>
  <c r="DF15" i="8" s="1"/>
  <c r="GB15" i="8" s="1"/>
  <c r="CY15" i="8"/>
  <c r="CJ15" i="8"/>
  <c r="DG15" i="8" s="1"/>
  <c r="GC15" i="8" s="1"/>
  <c r="CZ15" i="8"/>
  <c r="CK15" i="8"/>
  <c r="DH15" i="8" s="1"/>
  <c r="GD15" i="8" s="1"/>
  <c r="DA15" i="8"/>
  <c r="CS15" i="8"/>
  <c r="CL15" i="8"/>
  <c r="DB15" i="8"/>
  <c r="CM15" i="8"/>
  <c r="CN15" i="8"/>
  <c r="CO15" i="8"/>
  <c r="DL15" i="8" s="1"/>
  <c r="GH15" i="8" s="1"/>
  <c r="CP15" i="8"/>
  <c r="CQ15" i="8"/>
  <c r="DN15" i="8" s="1"/>
  <c r="GJ15" i="8" s="1"/>
  <c r="CR15" i="8"/>
  <c r="DO15" i="8" s="1"/>
  <c r="GK15" i="8" s="1"/>
  <c r="CT15" i="8"/>
  <c r="DQ15" i="8" s="1"/>
  <c r="GM15" i="8" s="1"/>
  <c r="CU15" i="8"/>
  <c r="DR15" i="8" s="1"/>
  <c r="GN15" i="8" s="1"/>
  <c r="AR16" i="8"/>
  <c r="BO16" i="8" s="1"/>
  <c r="AS16" i="8"/>
  <c r="BP16" i="8" s="1"/>
  <c r="AV16" i="8"/>
  <c r="BS16" i="8" s="1"/>
  <c r="AT16" i="8"/>
  <c r="BQ16" i="8" s="1"/>
  <c r="AU16" i="8"/>
  <c r="BR16" i="8" s="1"/>
  <c r="AW16" i="8"/>
  <c r="BT16" i="8" s="1"/>
  <c r="AI16" i="8"/>
  <c r="BF16" i="8" s="1"/>
  <c r="AX16" i="8"/>
  <c r="BU16" i="8" s="1"/>
  <c r="AY16" i="8"/>
  <c r="BV16" i="8" s="1"/>
  <c r="AJ16" i="8"/>
  <c r="BG16" i="8" s="1"/>
  <c r="AZ16" i="8"/>
  <c r="AK16" i="8"/>
  <c r="BH16" i="8" s="1"/>
  <c r="BA16" i="8"/>
  <c r="AN16" i="8"/>
  <c r="BK16" i="8" s="1"/>
  <c r="AL16" i="8"/>
  <c r="BI16" i="8" s="1"/>
  <c r="BB16" i="8"/>
  <c r="AM16" i="8"/>
  <c r="BJ16" i="8" s="1"/>
  <c r="BC16" i="8"/>
  <c r="AO16" i="8"/>
  <c r="BL16" i="8" s="1"/>
  <c r="AQ16" i="8"/>
  <c r="BN16" i="8" s="1"/>
  <c r="AP16" i="8"/>
  <c r="BM16" i="8" s="1"/>
  <c r="GN11" i="8"/>
  <c r="GW18" i="8"/>
  <c r="GN14" i="8"/>
  <c r="GN5" i="8"/>
  <c r="GN13" i="8"/>
  <c r="DI15" i="8"/>
  <c r="GE15" i="8" s="1"/>
  <c r="GN7" i="8"/>
  <c r="DM15" i="8"/>
  <c r="GI15" i="8" s="1"/>
  <c r="GN9" i="8"/>
  <c r="DS15" i="8"/>
  <c r="DE15" i="8"/>
  <c r="GA15" i="8" s="1"/>
  <c r="GN6" i="8"/>
  <c r="GN12" i="8"/>
  <c r="GN10" i="8"/>
  <c r="GN8" i="8"/>
  <c r="DJ15" i="8"/>
  <c r="GF15" i="8" s="1"/>
  <c r="CE16" i="8"/>
  <c r="DS7" i="8"/>
  <c r="DS5" i="8"/>
  <c r="DS8" i="8"/>
  <c r="DS6" i="8"/>
  <c r="DS13" i="8"/>
  <c r="DS10" i="8"/>
  <c r="DS11" i="8"/>
  <c r="DS9" i="8"/>
  <c r="DS12" i="8"/>
  <c r="FR15" i="8"/>
  <c r="FR3" i="8"/>
  <c r="GO3" i="8" s="1"/>
  <c r="FC18" i="8"/>
  <c r="CG18" i="8"/>
  <c r="FZ18" i="8"/>
  <c r="DD18" i="8"/>
  <c r="EF18" i="8"/>
  <c r="BE18" i="8"/>
  <c r="AH18" i="8"/>
  <c r="DU3" i="8"/>
  <c r="CW4" i="8"/>
  <c r="DT4" i="8" s="1"/>
  <c r="CB18" i="8"/>
  <c r="CC18" i="8" s="1"/>
  <c r="AC18" i="8"/>
  <c r="EA17" i="8"/>
  <c r="EB17" i="8" s="1"/>
  <c r="EC17" i="8" s="1"/>
  <c r="ED17" i="8" s="1"/>
  <c r="FS3" i="8"/>
  <c r="GP3" i="8" s="1"/>
  <c r="EU4" i="8"/>
  <c r="FR4" i="8" s="1"/>
  <c r="GO4" i="8" s="1"/>
  <c r="FR5" i="8"/>
  <c r="FR6" i="8"/>
  <c r="FR7" i="8"/>
  <c r="FR8" i="8"/>
  <c r="FR9" i="8"/>
  <c r="FR10" i="8"/>
  <c r="FR11" i="8"/>
  <c r="FR12" i="8"/>
  <c r="FR13" i="8"/>
  <c r="BW3" i="8"/>
  <c r="AY4" i="8"/>
  <c r="BV4" i="8" s="1"/>
  <c r="BV5" i="8"/>
  <c r="BV6" i="8"/>
  <c r="BV7" i="8"/>
  <c r="BV8" i="8"/>
  <c r="BV9" i="8"/>
  <c r="BV10" i="8"/>
  <c r="BV11" i="8"/>
  <c r="BV12" i="8"/>
  <c r="BV13" i="8"/>
  <c r="BV14" i="8"/>
  <c r="AB19" i="8"/>
  <c r="FI16" i="8"/>
  <c r="FH16" i="8"/>
  <c r="FM16" i="8"/>
  <c r="FP16" i="8"/>
  <c r="FN16" i="8"/>
  <c r="BV15" i="8"/>
  <c r="CD17" i="8"/>
  <c r="AD17" i="8"/>
  <c r="AE17" i="8" s="1"/>
  <c r="AF17" i="8" s="1"/>
  <c r="T18" i="8"/>
  <c r="J19" i="8"/>
  <c r="U18" i="8"/>
  <c r="K18" i="8"/>
  <c r="EA18" i="8" a="1"/>
  <c r="AC19" i="8" a="1"/>
  <c r="CB19" i="8" a="1"/>
  <c r="EK17" i="8" l="1"/>
  <c r="FA17" i="8"/>
  <c r="EL17" i="8"/>
  <c r="EM17" i="8"/>
  <c r="EX17" i="8"/>
  <c r="EN17" i="8"/>
  <c r="FK17" i="8" s="1"/>
  <c r="EO17" i="8"/>
  <c r="FL17" i="8" s="1"/>
  <c r="EP17" i="8"/>
  <c r="EQ17" i="8"/>
  <c r="ER17" i="8"/>
  <c r="FO17" i="8" s="1"/>
  <c r="ES17" i="8"/>
  <c r="FP17" i="8" s="1"/>
  <c r="ET17" i="8"/>
  <c r="FQ17" i="8" s="1"/>
  <c r="EU17" i="8"/>
  <c r="FR17" i="8" s="1"/>
  <c r="EH17" i="8"/>
  <c r="FE17" i="8" s="1"/>
  <c r="EV17" i="8"/>
  <c r="FS17" i="8" s="1"/>
  <c r="EG17" i="8"/>
  <c r="FD17" i="8" s="1"/>
  <c r="EW17" i="8"/>
  <c r="EI17" i="8"/>
  <c r="EY17" i="8"/>
  <c r="EJ17" i="8"/>
  <c r="EZ17" i="8"/>
  <c r="CQ16" i="8"/>
  <c r="CR16" i="8"/>
  <c r="CS16" i="8"/>
  <c r="CT16" i="8"/>
  <c r="DQ16" i="8" s="1"/>
  <c r="GM16" i="8" s="1"/>
  <c r="CU16" i="8"/>
  <c r="DR16" i="8" s="1"/>
  <c r="GN16" i="8" s="1"/>
  <c r="CV16" i="8"/>
  <c r="DS16" i="8" s="1"/>
  <c r="GO16" i="8" s="1"/>
  <c r="CW16" i="8"/>
  <c r="DT16" i="8" s="1"/>
  <c r="CH16" i="8"/>
  <c r="DE16" i="8" s="1"/>
  <c r="GA16" i="8" s="1"/>
  <c r="CX16" i="8"/>
  <c r="DU16" i="8" s="1"/>
  <c r="CI16" i="8"/>
  <c r="DF16" i="8" s="1"/>
  <c r="GB16" i="8" s="1"/>
  <c r="CY16" i="8"/>
  <c r="CJ16" i="8"/>
  <c r="DG16" i="8" s="1"/>
  <c r="GC16" i="8" s="1"/>
  <c r="CZ16" i="8"/>
  <c r="CK16" i="8"/>
  <c r="DH16" i="8" s="1"/>
  <c r="GD16" i="8" s="1"/>
  <c r="DA16" i="8"/>
  <c r="CL16" i="8"/>
  <c r="DI16" i="8" s="1"/>
  <c r="GE16" i="8" s="1"/>
  <c r="DB16" i="8"/>
  <c r="CN16" i="8"/>
  <c r="DK16" i="8" s="1"/>
  <c r="GG16" i="8" s="1"/>
  <c r="CM16" i="8"/>
  <c r="DJ16" i="8" s="1"/>
  <c r="GF16" i="8" s="1"/>
  <c r="CO16" i="8"/>
  <c r="DL16" i="8" s="1"/>
  <c r="GH16" i="8" s="1"/>
  <c r="CP16" i="8"/>
  <c r="DM16" i="8" s="1"/>
  <c r="GI16" i="8" s="1"/>
  <c r="AM17" i="8"/>
  <c r="BJ17" i="8" s="1"/>
  <c r="BC17" i="8"/>
  <c r="AN17" i="8"/>
  <c r="BK17" i="8" s="1"/>
  <c r="AO17" i="8"/>
  <c r="BL17" i="8" s="1"/>
  <c r="AP17" i="8"/>
  <c r="BM17" i="8" s="1"/>
  <c r="AQ17" i="8"/>
  <c r="BN17" i="8" s="1"/>
  <c r="AR17" i="8"/>
  <c r="BO17" i="8" s="1"/>
  <c r="AS17" i="8"/>
  <c r="BP17" i="8" s="1"/>
  <c r="AT17" i="8"/>
  <c r="BQ17" i="8" s="1"/>
  <c r="AU17" i="8"/>
  <c r="BR17" i="8" s="1"/>
  <c r="AY17" i="8"/>
  <c r="BV17" i="8" s="1"/>
  <c r="AV17" i="8"/>
  <c r="AW17" i="8"/>
  <c r="BT17" i="8" s="1"/>
  <c r="AX17" i="8"/>
  <c r="BU17" i="8" s="1"/>
  <c r="AI17" i="8"/>
  <c r="BF17" i="8" s="1"/>
  <c r="AJ17" i="8"/>
  <c r="BG17" i="8" s="1"/>
  <c r="AZ17" i="8"/>
  <c r="BW17" i="8" s="1"/>
  <c r="BB17" i="8"/>
  <c r="AK17" i="8"/>
  <c r="BH17" i="8" s="1"/>
  <c r="BA17" i="8"/>
  <c r="BX17" i="8" s="1"/>
  <c r="AL17" i="8"/>
  <c r="BI17" i="8" s="1"/>
  <c r="GO15" i="8"/>
  <c r="GW19" i="8"/>
  <c r="GO9" i="8"/>
  <c r="GO12" i="8"/>
  <c r="GO10" i="8"/>
  <c r="GO11" i="8"/>
  <c r="GO6" i="8"/>
  <c r="DN16" i="8"/>
  <c r="GJ16" i="8" s="1"/>
  <c r="GO8" i="8"/>
  <c r="DO16" i="8"/>
  <c r="GK16" i="8" s="1"/>
  <c r="GO13" i="8"/>
  <c r="DP16" i="8"/>
  <c r="GL16" i="8" s="1"/>
  <c r="GO5" i="8"/>
  <c r="GO7" i="8"/>
  <c r="DT8" i="8"/>
  <c r="DT10" i="8"/>
  <c r="DT9" i="8"/>
  <c r="DT6" i="8"/>
  <c r="DT14" i="8"/>
  <c r="DT11" i="8"/>
  <c r="DT5" i="8"/>
  <c r="DK15" i="8"/>
  <c r="GG15" i="8" s="1"/>
  <c r="DP15" i="8"/>
  <c r="GL15" i="8" s="1"/>
  <c r="DT7" i="8"/>
  <c r="DT13" i="8"/>
  <c r="DT15" i="8"/>
  <c r="CE17" i="8"/>
  <c r="FR14" i="8"/>
  <c r="GO14" i="8" s="1"/>
  <c r="DT12" i="8"/>
  <c r="FZ19" i="8"/>
  <c r="DD19" i="8"/>
  <c r="CG19" i="8"/>
  <c r="FC19" i="8"/>
  <c r="EF19" i="8"/>
  <c r="BE19" i="8"/>
  <c r="AH19" i="8"/>
  <c r="BW16" i="8"/>
  <c r="AD18" i="8"/>
  <c r="AE18" i="8" s="1"/>
  <c r="AF18" i="8" s="1"/>
  <c r="DU14" i="8"/>
  <c r="DU13" i="8"/>
  <c r="DU6" i="8"/>
  <c r="DU8" i="8"/>
  <c r="DU9" i="8"/>
  <c r="DU10" i="8"/>
  <c r="DU12" i="8"/>
  <c r="DU15" i="8"/>
  <c r="DU5" i="8"/>
  <c r="DU7" i="8"/>
  <c r="CX4" i="8"/>
  <c r="DU4" i="8" s="1"/>
  <c r="DU11" i="8"/>
  <c r="CB19" i="8"/>
  <c r="CC19" i="8" s="1"/>
  <c r="AC19" i="8"/>
  <c r="EA18" i="8"/>
  <c r="EB18" i="8" s="1"/>
  <c r="EC18" i="8" s="1"/>
  <c r="ED18" i="8" s="1"/>
  <c r="FJ17" i="8"/>
  <c r="FF17" i="8"/>
  <c r="FT17" i="8"/>
  <c r="FG17" i="8"/>
  <c r="FH17" i="8"/>
  <c r="FM17" i="8"/>
  <c r="FN17" i="8"/>
  <c r="FI17" i="8"/>
  <c r="FT3" i="8"/>
  <c r="GQ3" i="8" s="1"/>
  <c r="EV4" i="8"/>
  <c r="FS4" i="8" s="1"/>
  <c r="GP4" i="8" s="1"/>
  <c r="FS5" i="8"/>
  <c r="FS6" i="8"/>
  <c r="FS7" i="8"/>
  <c r="FS8" i="8"/>
  <c r="FS9" i="8"/>
  <c r="FS10" i="8"/>
  <c r="FS11" i="8"/>
  <c r="FS12" i="8"/>
  <c r="FS13" i="8"/>
  <c r="FS14" i="8"/>
  <c r="FS15" i="8"/>
  <c r="AB20" i="8"/>
  <c r="BX3" i="8"/>
  <c r="AZ4" i="8"/>
  <c r="BW4" i="8" s="1"/>
  <c r="BW5" i="8"/>
  <c r="BW6" i="8"/>
  <c r="BW7" i="8"/>
  <c r="BW8" i="8"/>
  <c r="BW9" i="8"/>
  <c r="BW10" i="8"/>
  <c r="BW11" i="8"/>
  <c r="BW12" i="8"/>
  <c r="BW13" i="8"/>
  <c r="BW14" i="8"/>
  <c r="BW15" i="8"/>
  <c r="BS17" i="8"/>
  <c r="FS16" i="8"/>
  <c r="CD18" i="8"/>
  <c r="K19" i="8"/>
  <c r="J20" i="8"/>
  <c r="U19" i="8"/>
  <c r="T19" i="8"/>
  <c r="EA19" i="8" a="1"/>
  <c r="AC20" i="8" a="1"/>
  <c r="CB20" i="8" a="1"/>
  <c r="EV18" i="8" l="1"/>
  <c r="EG18" i="8"/>
  <c r="FD18" i="8" s="1"/>
  <c r="EW18" i="8"/>
  <c r="EH18" i="8"/>
  <c r="EX18" i="8"/>
  <c r="FU18" i="8" s="1"/>
  <c r="EI18" i="8"/>
  <c r="EY18" i="8"/>
  <c r="EJ18" i="8"/>
  <c r="EZ18" i="8"/>
  <c r="EK18" i="8"/>
  <c r="FH18" i="8" s="1"/>
  <c r="FA18" i="8"/>
  <c r="EL18" i="8"/>
  <c r="FI18" i="8" s="1"/>
  <c r="EM18" i="8"/>
  <c r="FJ18" i="8" s="1"/>
  <c r="EN18" i="8"/>
  <c r="FK18" i="8" s="1"/>
  <c r="EO18" i="8"/>
  <c r="FL18" i="8" s="1"/>
  <c r="EP18" i="8"/>
  <c r="FM18" i="8" s="1"/>
  <c r="ES18" i="8"/>
  <c r="EQ18" i="8"/>
  <c r="ER18" i="8"/>
  <c r="ET18" i="8"/>
  <c r="EU18" i="8"/>
  <c r="CL17" i="8"/>
  <c r="DI17" i="8" s="1"/>
  <c r="GE17" i="8" s="1"/>
  <c r="DB17" i="8"/>
  <c r="CM17" i="8"/>
  <c r="DJ17" i="8" s="1"/>
  <c r="GF17" i="8" s="1"/>
  <c r="CN17" i="8"/>
  <c r="DK17" i="8" s="1"/>
  <c r="GG17" i="8" s="1"/>
  <c r="CO17" i="8"/>
  <c r="CI17" i="8"/>
  <c r="DF17" i="8" s="1"/>
  <c r="GB17" i="8" s="1"/>
  <c r="CP17" i="8"/>
  <c r="CQ17" i="8"/>
  <c r="DN17" i="8" s="1"/>
  <c r="GJ17" i="8" s="1"/>
  <c r="CR17" i="8"/>
  <c r="DO17" i="8" s="1"/>
  <c r="GK17" i="8" s="1"/>
  <c r="CS17" i="8"/>
  <c r="DP17" i="8" s="1"/>
  <c r="GL17" i="8" s="1"/>
  <c r="CT17" i="8"/>
  <c r="DQ17" i="8" s="1"/>
  <c r="GM17" i="8" s="1"/>
  <c r="CU17" i="8"/>
  <c r="DR17" i="8" s="1"/>
  <c r="GN17" i="8" s="1"/>
  <c r="CV17" i="8"/>
  <c r="DS17" i="8" s="1"/>
  <c r="GO17" i="8" s="1"/>
  <c r="CW17" i="8"/>
  <c r="DT17" i="8" s="1"/>
  <c r="GP17" i="8" s="1"/>
  <c r="CH17" i="8"/>
  <c r="DE17" i="8" s="1"/>
  <c r="GA17" i="8" s="1"/>
  <c r="CX17" i="8"/>
  <c r="DU17" i="8" s="1"/>
  <c r="GQ17" i="8" s="1"/>
  <c r="CY17" i="8"/>
  <c r="CJ17" i="8"/>
  <c r="DG17" i="8" s="1"/>
  <c r="GC17" i="8" s="1"/>
  <c r="CZ17" i="8"/>
  <c r="CK17" i="8"/>
  <c r="DH17" i="8" s="1"/>
  <c r="GD17" i="8" s="1"/>
  <c r="DA17" i="8"/>
  <c r="AX18" i="8"/>
  <c r="BU18" i="8" s="1"/>
  <c r="AI18" i="8"/>
  <c r="BF18" i="8" s="1"/>
  <c r="AY18" i="8"/>
  <c r="BV18" i="8" s="1"/>
  <c r="AJ18" i="8"/>
  <c r="BG18" i="8" s="1"/>
  <c r="AZ18" i="8"/>
  <c r="BW18" i="8" s="1"/>
  <c r="AK18" i="8"/>
  <c r="BH18" i="8" s="1"/>
  <c r="BA18" i="8"/>
  <c r="BX18" i="8" s="1"/>
  <c r="AM18" i="8"/>
  <c r="BJ18" i="8" s="1"/>
  <c r="BC18" i="8"/>
  <c r="AN18" i="8"/>
  <c r="BK18" i="8" s="1"/>
  <c r="AO18" i="8"/>
  <c r="BL18" i="8" s="1"/>
  <c r="AP18" i="8"/>
  <c r="BM18" i="8" s="1"/>
  <c r="AQ18" i="8"/>
  <c r="BN18" i="8" s="1"/>
  <c r="AT18" i="8"/>
  <c r="BQ18" i="8" s="1"/>
  <c r="BB18" i="8"/>
  <c r="AR18" i="8"/>
  <c r="BO18" i="8" s="1"/>
  <c r="AS18" i="8"/>
  <c r="BP18" i="8" s="1"/>
  <c r="AU18" i="8"/>
  <c r="BR18" i="8" s="1"/>
  <c r="AL18" i="8"/>
  <c r="BI18" i="8" s="1"/>
  <c r="AV18" i="8"/>
  <c r="BS18" i="8" s="1"/>
  <c r="AW18" i="8"/>
  <c r="BT18" i="8" s="1"/>
  <c r="DM17" i="8"/>
  <c r="GI17" i="8" s="1"/>
  <c r="GP16" i="8"/>
  <c r="GP7" i="8"/>
  <c r="GP8" i="8"/>
  <c r="GW20" i="8"/>
  <c r="GP10" i="8"/>
  <c r="GP13" i="8"/>
  <c r="GP9" i="8"/>
  <c r="GP12" i="8"/>
  <c r="GP5" i="8"/>
  <c r="GP15" i="8"/>
  <c r="GP11" i="8"/>
  <c r="DL17" i="8"/>
  <c r="GH17" i="8" s="1"/>
  <c r="GP14" i="8"/>
  <c r="GP6" i="8"/>
  <c r="CE18" i="8"/>
  <c r="AD19" i="8"/>
  <c r="AE19" i="8" s="1"/>
  <c r="AF19" i="8" s="1"/>
  <c r="FC20" i="8"/>
  <c r="DD20" i="8"/>
  <c r="FZ20" i="8"/>
  <c r="AH20" i="8"/>
  <c r="CG20" i="8"/>
  <c r="BE20" i="8"/>
  <c r="EF20" i="8"/>
  <c r="DV17" i="8"/>
  <c r="DV3" i="8"/>
  <c r="CY4" i="8"/>
  <c r="DV4" i="8" s="1"/>
  <c r="DV7" i="8"/>
  <c r="DV15" i="8"/>
  <c r="DW3" i="8"/>
  <c r="DV8" i="8"/>
  <c r="DV5" i="8"/>
  <c r="DV16" i="8"/>
  <c r="DV9" i="8"/>
  <c r="DV6" i="8"/>
  <c r="DV12" i="8"/>
  <c r="DV14" i="8"/>
  <c r="DV10" i="8"/>
  <c r="DV11" i="8"/>
  <c r="DV13" i="8"/>
  <c r="CB20" i="8"/>
  <c r="CC20" i="8" s="1"/>
  <c r="AC20" i="8"/>
  <c r="EA19" i="8"/>
  <c r="EB19" i="8" s="1"/>
  <c r="EC19" i="8" s="1"/>
  <c r="ED19" i="8" s="1"/>
  <c r="EW4" i="8"/>
  <c r="FT4" i="8" s="1"/>
  <c r="GQ4" i="8" s="1"/>
  <c r="FU3" i="8"/>
  <c r="GR3" i="8" s="1"/>
  <c r="FT5" i="8"/>
  <c r="GQ5" i="8" s="1"/>
  <c r="FT6" i="8"/>
  <c r="GQ6" i="8" s="1"/>
  <c r="FT7" i="8"/>
  <c r="GQ7" i="8" s="1"/>
  <c r="FT8" i="8"/>
  <c r="GQ8" i="8" s="1"/>
  <c r="FT9" i="8"/>
  <c r="GQ9" i="8" s="1"/>
  <c r="FT10" i="8"/>
  <c r="GQ10" i="8" s="1"/>
  <c r="FT11" i="8"/>
  <c r="GQ11" i="8" s="1"/>
  <c r="FT12" i="8"/>
  <c r="GQ12" i="8" s="1"/>
  <c r="FT13" i="8"/>
  <c r="GQ13" i="8" s="1"/>
  <c r="FT14" i="8"/>
  <c r="GQ14" i="8" s="1"/>
  <c r="FT15" i="8"/>
  <c r="GQ15" i="8" s="1"/>
  <c r="FT16" i="8"/>
  <c r="GQ16" i="8" s="1"/>
  <c r="BA4" i="8"/>
  <c r="BX4" i="8" s="1"/>
  <c r="BX5" i="8"/>
  <c r="BX6" i="8"/>
  <c r="BX7" i="8"/>
  <c r="BX8" i="8"/>
  <c r="BX9" i="8"/>
  <c r="BX10" i="8"/>
  <c r="BX11" i="8"/>
  <c r="BX12" i="8"/>
  <c r="BX13" i="8"/>
  <c r="BX14" i="8"/>
  <c r="BX15" i="8"/>
  <c r="BX16" i="8"/>
  <c r="AB21" i="8"/>
  <c r="FR18" i="8"/>
  <c r="FO18" i="8"/>
  <c r="FS18" i="8"/>
  <c r="FE18" i="8"/>
  <c r="FQ18" i="8"/>
  <c r="FF18" i="8"/>
  <c r="FG18" i="8"/>
  <c r="FT18" i="8"/>
  <c r="FP18" i="8"/>
  <c r="FN18" i="8"/>
  <c r="CD19" i="8"/>
  <c r="U20" i="8"/>
  <c r="J21" i="8"/>
  <c r="K20" i="8"/>
  <c r="T20" i="8"/>
  <c r="AC21" i="8" a="1"/>
  <c r="CB21" i="8" a="1"/>
  <c r="EA20" i="8" a="1"/>
  <c r="EQ19" i="8" l="1"/>
  <c r="EN19" i="8"/>
  <c r="ER19" i="8"/>
  <c r="ES19" i="8"/>
  <c r="FP19" i="8" s="1"/>
  <c r="ET19" i="8"/>
  <c r="FQ19" i="8" s="1"/>
  <c r="EU19" i="8"/>
  <c r="FR19" i="8" s="1"/>
  <c r="EV19" i="8"/>
  <c r="FS19" i="8" s="1"/>
  <c r="EG19" i="8"/>
  <c r="FD19" i="8" s="1"/>
  <c r="EW19" i="8"/>
  <c r="FT19" i="8" s="1"/>
  <c r="EH19" i="8"/>
  <c r="FE19" i="8" s="1"/>
  <c r="EX19" i="8"/>
  <c r="FU19" i="8" s="1"/>
  <c r="EI19" i="8"/>
  <c r="FF19" i="8" s="1"/>
  <c r="EY19" i="8"/>
  <c r="EJ19" i="8"/>
  <c r="FG19" i="8" s="1"/>
  <c r="EZ19" i="8"/>
  <c r="EK19" i="8"/>
  <c r="FH19" i="8" s="1"/>
  <c r="FA19" i="8"/>
  <c r="EL19" i="8"/>
  <c r="FI19" i="8" s="1"/>
  <c r="EM19" i="8"/>
  <c r="EO19" i="8"/>
  <c r="FL19" i="8" s="1"/>
  <c r="EP19" i="8"/>
  <c r="FM19" i="8" s="1"/>
  <c r="CW18" i="8"/>
  <c r="DT18" i="8" s="1"/>
  <c r="GP18" i="8" s="1"/>
  <c r="CH18" i="8"/>
  <c r="DE18" i="8" s="1"/>
  <c r="GA18" i="8" s="1"/>
  <c r="CX18" i="8"/>
  <c r="DU18" i="8" s="1"/>
  <c r="GQ18" i="8" s="1"/>
  <c r="CI18" i="8"/>
  <c r="DF18" i="8" s="1"/>
  <c r="GB18" i="8" s="1"/>
  <c r="CY18" i="8"/>
  <c r="DV18" i="8" s="1"/>
  <c r="GR18" i="8" s="1"/>
  <c r="CJ18" i="8"/>
  <c r="DG18" i="8" s="1"/>
  <c r="GC18" i="8" s="1"/>
  <c r="CZ18" i="8"/>
  <c r="DW18" i="8" s="1"/>
  <c r="CK18" i="8"/>
  <c r="DA18" i="8"/>
  <c r="CL18" i="8"/>
  <c r="DI18" i="8" s="1"/>
  <c r="GE18" i="8" s="1"/>
  <c r="DB18" i="8"/>
  <c r="CM18" i="8"/>
  <c r="DJ18" i="8" s="1"/>
  <c r="GF18" i="8" s="1"/>
  <c r="CN18" i="8"/>
  <c r="CO18" i="8"/>
  <c r="DL18" i="8" s="1"/>
  <c r="GH18" i="8" s="1"/>
  <c r="CP18" i="8"/>
  <c r="DM18" i="8" s="1"/>
  <c r="GI18" i="8" s="1"/>
  <c r="CQ18" i="8"/>
  <c r="DN18" i="8" s="1"/>
  <c r="GJ18" i="8" s="1"/>
  <c r="CR18" i="8"/>
  <c r="DO18" i="8" s="1"/>
  <c r="GK18" i="8" s="1"/>
  <c r="CS18" i="8"/>
  <c r="DP18" i="8" s="1"/>
  <c r="GL18" i="8" s="1"/>
  <c r="CU18" i="8"/>
  <c r="DR18" i="8" s="1"/>
  <c r="GN18" i="8" s="1"/>
  <c r="CT18" i="8"/>
  <c r="CV18" i="8"/>
  <c r="AS19" i="8"/>
  <c r="BP19" i="8" s="1"/>
  <c r="AT19" i="8"/>
  <c r="BQ19" i="8" s="1"/>
  <c r="AU19" i="8"/>
  <c r="BR19" i="8" s="1"/>
  <c r="AV19" i="8"/>
  <c r="BS19" i="8" s="1"/>
  <c r="AX19" i="8"/>
  <c r="BU19" i="8" s="1"/>
  <c r="AI19" i="8"/>
  <c r="BF19" i="8" s="1"/>
  <c r="AY19" i="8"/>
  <c r="AZ19" i="8"/>
  <c r="BW19" i="8" s="1"/>
  <c r="AJ19" i="8"/>
  <c r="BG19" i="8" s="1"/>
  <c r="AK19" i="8"/>
  <c r="BH19" i="8" s="1"/>
  <c r="BA19" i="8"/>
  <c r="BX19" i="8" s="1"/>
  <c r="AL19" i="8"/>
  <c r="BI19" i="8" s="1"/>
  <c r="BB19" i="8"/>
  <c r="BY19" i="8" s="1"/>
  <c r="AM19" i="8"/>
  <c r="BJ19" i="8" s="1"/>
  <c r="BC19" i="8"/>
  <c r="AO19" i="8"/>
  <c r="BL19" i="8" s="1"/>
  <c r="AN19" i="8"/>
  <c r="BK19" i="8" s="1"/>
  <c r="AP19" i="8"/>
  <c r="BM19" i="8" s="1"/>
  <c r="AR19" i="8"/>
  <c r="BO19" i="8" s="1"/>
  <c r="AQ19" i="8"/>
  <c r="BN19" i="8" s="1"/>
  <c r="AW19" i="8"/>
  <c r="BT19" i="8" s="1"/>
  <c r="GW21" i="8"/>
  <c r="CE19" i="8"/>
  <c r="BV19" i="8"/>
  <c r="AD20" i="8"/>
  <c r="AE20" i="8" s="1"/>
  <c r="AF20" i="8" s="1"/>
  <c r="DD21" i="8"/>
  <c r="FZ21" i="8"/>
  <c r="FC21" i="8"/>
  <c r="CG21" i="8"/>
  <c r="EF21" i="8"/>
  <c r="BE21" i="8"/>
  <c r="AH21" i="8"/>
  <c r="BY3" i="8"/>
  <c r="DW16" i="8"/>
  <c r="DW9" i="8"/>
  <c r="DW10" i="8"/>
  <c r="DW12" i="8"/>
  <c r="DW6" i="8"/>
  <c r="DW13" i="8"/>
  <c r="DW14" i="8"/>
  <c r="DW11" i="8"/>
  <c r="DW7" i="8"/>
  <c r="DW15" i="8"/>
  <c r="DW8" i="8"/>
  <c r="DW17" i="8"/>
  <c r="CZ4" i="8"/>
  <c r="DW4" i="8" s="1"/>
  <c r="DX3" i="8"/>
  <c r="DW5" i="8"/>
  <c r="EA20" i="8"/>
  <c r="EB20" i="8" s="1"/>
  <c r="EC20" i="8" s="1"/>
  <c r="ED20" i="8" s="1"/>
  <c r="CB21" i="8"/>
  <c r="CC21" i="8" s="1"/>
  <c r="AC21" i="8"/>
  <c r="EX4" i="8"/>
  <c r="FU4" i="8" s="1"/>
  <c r="GR4" i="8" s="1"/>
  <c r="FU5" i="8"/>
  <c r="GR5" i="8" s="1"/>
  <c r="FU6" i="8"/>
  <c r="GR6" i="8" s="1"/>
  <c r="FU7" i="8"/>
  <c r="GR7" i="8" s="1"/>
  <c r="FU8" i="8"/>
  <c r="GR8" i="8" s="1"/>
  <c r="FU9" i="8"/>
  <c r="GR9" i="8" s="1"/>
  <c r="FU10" i="8"/>
  <c r="GR10" i="8" s="1"/>
  <c r="FU11" i="8"/>
  <c r="GR11" i="8" s="1"/>
  <c r="FU12" i="8"/>
  <c r="GR12" i="8" s="1"/>
  <c r="FU13" i="8"/>
  <c r="GR13" i="8" s="1"/>
  <c r="FU14" i="8"/>
  <c r="GR14" i="8" s="1"/>
  <c r="FU15" i="8"/>
  <c r="GR15" i="8" s="1"/>
  <c r="FU16" i="8"/>
  <c r="GR16" i="8" s="1"/>
  <c r="FU17" i="8"/>
  <c r="GR17" i="8" s="1"/>
  <c r="CD20" i="8"/>
  <c r="AB22" i="8"/>
  <c r="BZ3" i="8"/>
  <c r="BB4" i="8"/>
  <c r="BY4" i="8" s="1"/>
  <c r="BY5" i="8"/>
  <c r="BY6" i="8"/>
  <c r="BY7" i="8"/>
  <c r="BY8" i="8"/>
  <c r="BY9" i="8"/>
  <c r="BY10" i="8"/>
  <c r="BY11" i="8"/>
  <c r="BY12" i="8"/>
  <c r="BY13" i="8"/>
  <c r="BY14" i="8"/>
  <c r="BY15" i="8"/>
  <c r="BY16" i="8"/>
  <c r="BY18" i="8"/>
  <c r="BY17" i="8"/>
  <c r="FJ19" i="8"/>
  <c r="FK19" i="8"/>
  <c r="FN19" i="8"/>
  <c r="FO19" i="8"/>
  <c r="J22" i="8"/>
  <c r="K21" i="8"/>
  <c r="U21" i="8"/>
  <c r="T21" i="8"/>
  <c r="AC22" i="8" a="1"/>
  <c r="CB22" i="8" a="1"/>
  <c r="EA21" i="8" a="1"/>
  <c r="EL20" i="8" l="1"/>
  <c r="EM20" i="8"/>
  <c r="EN20" i="8"/>
  <c r="EO20" i="8"/>
  <c r="EP20" i="8"/>
  <c r="EQ20" i="8"/>
  <c r="ER20" i="8"/>
  <c r="EI20" i="8"/>
  <c r="FF20" i="8" s="1"/>
  <c r="ES20" i="8"/>
  <c r="FP20" i="8" s="1"/>
  <c r="ET20" i="8"/>
  <c r="EU20" i="8"/>
  <c r="FR20" i="8" s="1"/>
  <c r="EV20" i="8"/>
  <c r="FS20" i="8" s="1"/>
  <c r="EY20" i="8"/>
  <c r="FV20" i="8" s="1"/>
  <c r="EG20" i="8"/>
  <c r="FD20" i="8" s="1"/>
  <c r="EW20" i="8"/>
  <c r="FT20" i="8" s="1"/>
  <c r="EH20" i="8"/>
  <c r="FE20" i="8" s="1"/>
  <c r="EX20" i="8"/>
  <c r="EJ20" i="8"/>
  <c r="EZ20" i="8"/>
  <c r="EK20" i="8"/>
  <c r="FH20" i="8" s="1"/>
  <c r="FA20" i="8"/>
  <c r="CR19" i="8"/>
  <c r="CS19" i="8"/>
  <c r="CT19" i="8"/>
  <c r="DQ19" i="8" s="1"/>
  <c r="GM19" i="8" s="1"/>
  <c r="CU19" i="8"/>
  <c r="CV19" i="8"/>
  <c r="CW19" i="8"/>
  <c r="CH19" i="8"/>
  <c r="DE19" i="8" s="1"/>
  <c r="GA19" i="8" s="1"/>
  <c r="CX19" i="8"/>
  <c r="DU19" i="8" s="1"/>
  <c r="GQ19" i="8" s="1"/>
  <c r="CI19" i="8"/>
  <c r="CY19" i="8"/>
  <c r="DV19" i="8" s="1"/>
  <c r="GR19" i="8" s="1"/>
  <c r="CJ19" i="8"/>
  <c r="DG19" i="8" s="1"/>
  <c r="GC19" i="8" s="1"/>
  <c r="CZ19" i="8"/>
  <c r="CK19" i="8"/>
  <c r="DA19" i="8"/>
  <c r="DX19" i="8" s="1"/>
  <c r="CL19" i="8"/>
  <c r="DB19" i="8"/>
  <c r="CM19" i="8"/>
  <c r="CN19" i="8"/>
  <c r="CP19" i="8"/>
  <c r="CQ19" i="8"/>
  <c r="DN19" i="8" s="1"/>
  <c r="GJ19" i="8" s="1"/>
  <c r="CO19" i="8"/>
  <c r="AN20" i="8"/>
  <c r="BK20" i="8" s="1"/>
  <c r="AO20" i="8"/>
  <c r="BL20" i="8" s="1"/>
  <c r="AP20" i="8"/>
  <c r="BM20" i="8" s="1"/>
  <c r="AQ20" i="8"/>
  <c r="BN20" i="8" s="1"/>
  <c r="AS20" i="8"/>
  <c r="BP20" i="8" s="1"/>
  <c r="AT20" i="8"/>
  <c r="BQ20" i="8" s="1"/>
  <c r="AU20" i="8"/>
  <c r="AV20" i="8"/>
  <c r="BS20" i="8" s="1"/>
  <c r="AZ20" i="8"/>
  <c r="BW20" i="8" s="1"/>
  <c r="AM20" i="8"/>
  <c r="BJ20" i="8" s="1"/>
  <c r="AW20" i="8"/>
  <c r="BT20" i="8" s="1"/>
  <c r="BC20" i="8"/>
  <c r="BZ20" i="8" s="1"/>
  <c r="AX20" i="8"/>
  <c r="BU20" i="8" s="1"/>
  <c r="AR20" i="8"/>
  <c r="BO20" i="8" s="1"/>
  <c r="AI20" i="8"/>
  <c r="BF20" i="8" s="1"/>
  <c r="AY20" i="8"/>
  <c r="BV20" i="8" s="1"/>
  <c r="AJ20" i="8"/>
  <c r="BG20" i="8" s="1"/>
  <c r="AK20" i="8"/>
  <c r="BH20" i="8" s="1"/>
  <c r="BA20" i="8"/>
  <c r="BX20" i="8" s="1"/>
  <c r="AL20" i="8"/>
  <c r="BI20" i="8" s="1"/>
  <c r="BB20" i="8"/>
  <c r="BY20" i="8" s="1"/>
  <c r="BR20" i="8"/>
  <c r="GW22" i="8"/>
  <c r="AD21" i="8"/>
  <c r="AE21" i="8" s="1"/>
  <c r="AF21" i="8" s="1"/>
  <c r="DQ18" i="8"/>
  <c r="GM18" i="8" s="1"/>
  <c r="DH18" i="8"/>
  <c r="GD18" i="8" s="1"/>
  <c r="CE20" i="8"/>
  <c r="DK18" i="8"/>
  <c r="GG18" i="8" s="1"/>
  <c r="DW19" i="8"/>
  <c r="DS18" i="8"/>
  <c r="GO18" i="8" s="1"/>
  <c r="DD22" i="8"/>
  <c r="FC22" i="8"/>
  <c r="FZ22" i="8"/>
  <c r="CG22" i="8"/>
  <c r="BE22" i="8"/>
  <c r="EF22" i="8"/>
  <c r="AH22" i="8"/>
  <c r="FV19" i="8"/>
  <c r="FV3" i="8"/>
  <c r="GS3" i="8" s="1"/>
  <c r="DX17" i="8"/>
  <c r="DX16" i="8"/>
  <c r="DA4" i="8"/>
  <c r="DX4" i="8" s="1"/>
  <c r="DY3" i="8"/>
  <c r="DX9" i="8"/>
  <c r="DX12" i="8"/>
  <c r="DX18" i="8"/>
  <c r="DX5" i="8"/>
  <c r="DX8" i="8"/>
  <c r="DX11" i="8"/>
  <c r="DX13" i="8"/>
  <c r="DX14" i="8"/>
  <c r="DX15" i="8"/>
  <c r="DX6" i="8"/>
  <c r="DX7" i="8"/>
  <c r="DX10" i="8"/>
  <c r="EA21" i="8"/>
  <c r="EB21" i="8" s="1"/>
  <c r="EC21" i="8" s="1"/>
  <c r="ED21" i="8" s="1"/>
  <c r="CB22" i="8"/>
  <c r="CC22" i="8" s="1"/>
  <c r="AC22" i="8"/>
  <c r="CD21" i="8"/>
  <c r="BC4" i="8"/>
  <c r="BZ4" i="8" s="1"/>
  <c r="BZ5" i="8"/>
  <c r="BZ6" i="8"/>
  <c r="BZ7" i="8"/>
  <c r="BZ8" i="8"/>
  <c r="BZ9" i="8"/>
  <c r="BZ10" i="8"/>
  <c r="BZ11" i="8"/>
  <c r="BZ12" i="8"/>
  <c r="BZ13" i="8"/>
  <c r="BZ14" i="8"/>
  <c r="BZ15" i="8"/>
  <c r="BZ16" i="8"/>
  <c r="BZ19" i="8"/>
  <c r="BZ17" i="8"/>
  <c r="BZ18" i="8"/>
  <c r="AB23" i="8"/>
  <c r="EY4" i="8"/>
  <c r="FV4" i="8" s="1"/>
  <c r="GS4" i="8" s="1"/>
  <c r="FW3" i="8"/>
  <c r="GT3" i="8" s="1"/>
  <c r="FV5" i="8"/>
  <c r="GS5" i="8" s="1"/>
  <c r="FV6" i="8"/>
  <c r="GS6" i="8" s="1"/>
  <c r="FV7" i="8"/>
  <c r="GS7" i="8" s="1"/>
  <c r="FV8" i="8"/>
  <c r="GS8" i="8" s="1"/>
  <c r="FV9" i="8"/>
  <c r="GS9" i="8" s="1"/>
  <c r="FV10" i="8"/>
  <c r="GS10" i="8" s="1"/>
  <c r="FV11" i="8"/>
  <c r="GS11" i="8" s="1"/>
  <c r="FV12" i="8"/>
  <c r="GS12" i="8" s="1"/>
  <c r="FV13" i="8"/>
  <c r="GS13" i="8" s="1"/>
  <c r="FV14" i="8"/>
  <c r="GS14" i="8" s="1"/>
  <c r="FV15" i="8"/>
  <c r="GS15" i="8" s="1"/>
  <c r="FV16" i="8"/>
  <c r="GS16" i="8" s="1"/>
  <c r="FV17" i="8"/>
  <c r="GS17" i="8" s="1"/>
  <c r="FV18" i="8"/>
  <c r="GS18" i="8" s="1"/>
  <c r="FJ20" i="8"/>
  <c r="FK20" i="8"/>
  <c r="FL20" i="8"/>
  <c r="FU20" i="8"/>
  <c r="FN20" i="8"/>
  <c r="FG20" i="8"/>
  <c r="FO20" i="8"/>
  <c r="FQ20" i="8"/>
  <c r="FM20" i="8"/>
  <c r="FI20" i="8"/>
  <c r="K22" i="8"/>
  <c r="U22" i="8"/>
  <c r="J23" i="8"/>
  <c r="T22" i="8"/>
  <c r="EA22" i="8" a="1"/>
  <c r="AC23" i="8" a="1"/>
  <c r="CB23" i="8" a="1"/>
  <c r="EG21" i="8" l="1"/>
  <c r="EW21" i="8"/>
  <c r="EH21" i="8"/>
  <c r="EX21" i="8"/>
  <c r="FU21" i="8" s="1"/>
  <c r="EI21" i="8"/>
  <c r="FF21" i="8" s="1"/>
  <c r="EY21" i="8"/>
  <c r="FV21" i="8" s="1"/>
  <c r="EJ21" i="8"/>
  <c r="FG21" i="8" s="1"/>
  <c r="EZ21" i="8"/>
  <c r="FW21" i="8" s="1"/>
  <c r="ET21" i="8"/>
  <c r="FQ21" i="8" s="1"/>
  <c r="EK21" i="8"/>
  <c r="FH21" i="8" s="1"/>
  <c r="FA21" i="8"/>
  <c r="EL21" i="8"/>
  <c r="FI21" i="8" s="1"/>
  <c r="EM21" i="8"/>
  <c r="FJ21" i="8" s="1"/>
  <c r="EN21" i="8"/>
  <c r="FK21" i="8" s="1"/>
  <c r="EO21" i="8"/>
  <c r="FL21" i="8" s="1"/>
  <c r="EP21" i="8"/>
  <c r="FM21" i="8" s="1"/>
  <c r="EQ21" i="8"/>
  <c r="ER21" i="8"/>
  <c r="ES21" i="8"/>
  <c r="EU21" i="8"/>
  <c r="FR21" i="8" s="1"/>
  <c r="EV21" i="8"/>
  <c r="FS21" i="8" s="1"/>
  <c r="CM20" i="8"/>
  <c r="DJ20" i="8" s="1"/>
  <c r="GF20" i="8" s="1"/>
  <c r="CN20" i="8"/>
  <c r="DK20" i="8" s="1"/>
  <c r="GG20" i="8" s="1"/>
  <c r="CO20" i="8"/>
  <c r="DL20" i="8" s="1"/>
  <c r="GH20" i="8" s="1"/>
  <c r="CP20" i="8"/>
  <c r="DM20" i="8" s="1"/>
  <c r="GI20" i="8" s="1"/>
  <c r="CQ20" i="8"/>
  <c r="DN20" i="8" s="1"/>
  <c r="GJ20" i="8" s="1"/>
  <c r="CR20" i="8"/>
  <c r="DO20" i="8" s="1"/>
  <c r="GK20" i="8" s="1"/>
  <c r="CS20" i="8"/>
  <c r="DP20" i="8" s="1"/>
  <c r="GL20" i="8" s="1"/>
  <c r="CZ20" i="8"/>
  <c r="DW20" i="8" s="1"/>
  <c r="GS20" i="8" s="1"/>
  <c r="CT20" i="8"/>
  <c r="DQ20" i="8" s="1"/>
  <c r="GM20" i="8" s="1"/>
  <c r="CU20" i="8"/>
  <c r="DR20" i="8" s="1"/>
  <c r="GN20" i="8" s="1"/>
  <c r="CV20" i="8"/>
  <c r="DS20" i="8" s="1"/>
  <c r="GO20" i="8" s="1"/>
  <c r="CW20" i="8"/>
  <c r="CH20" i="8"/>
  <c r="CX20" i="8"/>
  <c r="DU20" i="8" s="1"/>
  <c r="GQ20" i="8" s="1"/>
  <c r="CI20" i="8"/>
  <c r="DF20" i="8" s="1"/>
  <c r="GB20" i="8" s="1"/>
  <c r="CY20" i="8"/>
  <c r="DV20" i="8" s="1"/>
  <c r="GR20" i="8" s="1"/>
  <c r="CJ20" i="8"/>
  <c r="DG20" i="8" s="1"/>
  <c r="GC20" i="8" s="1"/>
  <c r="CK20" i="8"/>
  <c r="DH20" i="8" s="1"/>
  <c r="GD20" i="8" s="1"/>
  <c r="DA20" i="8"/>
  <c r="DX20" i="8" s="1"/>
  <c r="CL20" i="8"/>
  <c r="DI20" i="8" s="1"/>
  <c r="GE20" i="8" s="1"/>
  <c r="DB20" i="8"/>
  <c r="DY20" i="8" s="1"/>
  <c r="AI21" i="8"/>
  <c r="BF21" i="8" s="1"/>
  <c r="AY21" i="8"/>
  <c r="BV21" i="8" s="1"/>
  <c r="AJ21" i="8"/>
  <c r="BG21" i="8" s="1"/>
  <c r="AZ21" i="8"/>
  <c r="BW21" i="8" s="1"/>
  <c r="AK21" i="8"/>
  <c r="BH21" i="8" s="1"/>
  <c r="BA21" i="8"/>
  <c r="BX21" i="8" s="1"/>
  <c r="AL21" i="8"/>
  <c r="BI21" i="8" s="1"/>
  <c r="BB21" i="8"/>
  <c r="BY21" i="8" s="1"/>
  <c r="AM21" i="8"/>
  <c r="BJ21" i="8" s="1"/>
  <c r="AN21" i="8"/>
  <c r="BK21" i="8" s="1"/>
  <c r="AO21" i="8"/>
  <c r="BL21" i="8" s="1"/>
  <c r="AP21" i="8"/>
  <c r="BM21" i="8" s="1"/>
  <c r="AQ21" i="8"/>
  <c r="BN21" i="8" s="1"/>
  <c r="AR21" i="8"/>
  <c r="BO21" i="8" s="1"/>
  <c r="AU21" i="8"/>
  <c r="BR21" i="8" s="1"/>
  <c r="AS21" i="8"/>
  <c r="BP21" i="8" s="1"/>
  <c r="AT21" i="8"/>
  <c r="BQ21" i="8" s="1"/>
  <c r="AV21" i="8"/>
  <c r="BC21" i="8"/>
  <c r="BZ21" i="8" s="1"/>
  <c r="AW21" i="8"/>
  <c r="BT21" i="8" s="1"/>
  <c r="AX21" i="8"/>
  <c r="BU21" i="8" s="1"/>
  <c r="BS21" i="8"/>
  <c r="GS19" i="8"/>
  <c r="GW23" i="8"/>
  <c r="AD22" i="8"/>
  <c r="AE22" i="8" s="1"/>
  <c r="AF22" i="8" s="1"/>
  <c r="DO19" i="8"/>
  <c r="GK19" i="8" s="1"/>
  <c r="DS19" i="8"/>
  <c r="GO19" i="8" s="1"/>
  <c r="DF19" i="8"/>
  <c r="GB19" i="8" s="1"/>
  <c r="DT20" i="8"/>
  <c r="GP20" i="8" s="1"/>
  <c r="DJ19" i="8"/>
  <c r="GF19" i="8" s="1"/>
  <c r="DK19" i="8"/>
  <c r="GG19" i="8" s="1"/>
  <c r="DE20" i="8"/>
  <c r="GA20" i="8" s="1"/>
  <c r="DH19" i="8"/>
  <c r="GD19" i="8" s="1"/>
  <c r="DM19" i="8"/>
  <c r="GI19" i="8" s="1"/>
  <c r="DR19" i="8"/>
  <c r="GN19" i="8" s="1"/>
  <c r="CE21" i="8"/>
  <c r="DP19" i="8"/>
  <c r="GL19" i="8" s="1"/>
  <c r="DL19" i="8"/>
  <c r="GH19" i="8" s="1"/>
  <c r="DI19" i="8"/>
  <c r="GE19" i="8" s="1"/>
  <c r="DT19" i="8"/>
  <c r="GP19" i="8" s="1"/>
  <c r="FZ23" i="8"/>
  <c r="DD23" i="8"/>
  <c r="FC23" i="8"/>
  <c r="EF23" i="8"/>
  <c r="AH23" i="8"/>
  <c r="CG23" i="8"/>
  <c r="BE23" i="8"/>
  <c r="DY18" i="8"/>
  <c r="DB4" i="8"/>
  <c r="DY4" i="8" s="1"/>
  <c r="DY12" i="8"/>
  <c r="DY6" i="8"/>
  <c r="DY5" i="8"/>
  <c r="DY19" i="8"/>
  <c r="DY8" i="8"/>
  <c r="DY10" i="8"/>
  <c r="DY7" i="8"/>
  <c r="DY9" i="8"/>
  <c r="DY11" i="8"/>
  <c r="DY13" i="8"/>
  <c r="DY14" i="8"/>
  <c r="DY15" i="8"/>
  <c r="DY17" i="8"/>
  <c r="DY16" i="8"/>
  <c r="CB23" i="8"/>
  <c r="CC23" i="8" s="1"/>
  <c r="AC23" i="8"/>
  <c r="EA22" i="8"/>
  <c r="EB22" i="8" s="1"/>
  <c r="EC22" i="8" s="1"/>
  <c r="ED22" i="8" s="1"/>
  <c r="AB24" i="8"/>
  <c r="EZ4" i="8"/>
  <c r="FW4" i="8" s="1"/>
  <c r="GT4" i="8" s="1"/>
  <c r="FX3" i="8"/>
  <c r="GU3" i="8" s="1"/>
  <c r="FW5" i="8"/>
  <c r="GT5" i="8" s="1"/>
  <c r="FW6" i="8"/>
  <c r="GT6" i="8" s="1"/>
  <c r="FW7" i="8"/>
  <c r="GT7" i="8" s="1"/>
  <c r="FW8" i="8"/>
  <c r="GT8" i="8" s="1"/>
  <c r="FW9" i="8"/>
  <c r="GT9" i="8" s="1"/>
  <c r="FW10" i="8"/>
  <c r="GT10" i="8" s="1"/>
  <c r="FW11" i="8"/>
  <c r="GT11" i="8" s="1"/>
  <c r="FW12" i="8"/>
  <c r="GT12" i="8" s="1"/>
  <c r="FW13" i="8"/>
  <c r="GT13" i="8" s="1"/>
  <c r="FW14" i="8"/>
  <c r="GT14" i="8" s="1"/>
  <c r="FW15" i="8"/>
  <c r="GT15" i="8" s="1"/>
  <c r="FW16" i="8"/>
  <c r="GT16" i="8" s="1"/>
  <c r="FW17" i="8"/>
  <c r="GT17" i="8" s="1"/>
  <c r="FW18" i="8"/>
  <c r="GT18" i="8" s="1"/>
  <c r="FW19" i="8"/>
  <c r="GT19" i="8" s="1"/>
  <c r="FW20" i="8"/>
  <c r="CD22" i="8"/>
  <c r="FO21" i="8"/>
  <c r="FN21" i="8"/>
  <c r="FP21" i="8"/>
  <c r="FE21" i="8"/>
  <c r="FD21" i="8"/>
  <c r="FT21" i="8"/>
  <c r="U23" i="8"/>
  <c r="K23" i="8"/>
  <c r="J24" i="8"/>
  <c r="T23" i="8"/>
  <c r="EA23" i="8" a="1"/>
  <c r="AC24" i="8" a="1"/>
  <c r="CB24" i="8" a="1"/>
  <c r="ER22" i="8" l="1"/>
  <c r="ES22" i="8"/>
  <c r="ET22" i="8"/>
  <c r="FQ22" i="8" s="1"/>
  <c r="EU22" i="8"/>
  <c r="FR22" i="8" s="1"/>
  <c r="EV22" i="8"/>
  <c r="FS22" i="8" s="1"/>
  <c r="EG22" i="8"/>
  <c r="FD22" i="8" s="1"/>
  <c r="EW22" i="8"/>
  <c r="FT22" i="8" s="1"/>
  <c r="EH22" i="8"/>
  <c r="FE22" i="8" s="1"/>
  <c r="EX22" i="8"/>
  <c r="FU22" i="8" s="1"/>
  <c r="EI22" i="8"/>
  <c r="FF22" i="8" s="1"/>
  <c r="EY22" i="8"/>
  <c r="FV22" i="8" s="1"/>
  <c r="EJ22" i="8"/>
  <c r="FG22" i="8" s="1"/>
  <c r="EZ22" i="8"/>
  <c r="FW22" i="8" s="1"/>
  <c r="EO22" i="8"/>
  <c r="FL22" i="8" s="1"/>
  <c r="EK22" i="8"/>
  <c r="FH22" i="8" s="1"/>
  <c r="FA22" i="8"/>
  <c r="FX22" i="8" s="1"/>
  <c r="EL22" i="8"/>
  <c r="EM22" i="8"/>
  <c r="FJ22" i="8" s="1"/>
  <c r="EN22" i="8"/>
  <c r="EP22" i="8"/>
  <c r="FM22" i="8" s="1"/>
  <c r="EQ22" i="8"/>
  <c r="FN22" i="8" s="1"/>
  <c r="CH21" i="8"/>
  <c r="DE21" i="8" s="1"/>
  <c r="GA21" i="8" s="1"/>
  <c r="CX21" i="8"/>
  <c r="DU21" i="8" s="1"/>
  <c r="GQ21" i="8" s="1"/>
  <c r="CU21" i="8"/>
  <c r="DR21" i="8" s="1"/>
  <c r="GN21" i="8" s="1"/>
  <c r="CI21" i="8"/>
  <c r="DF21" i="8" s="1"/>
  <c r="GB21" i="8" s="1"/>
  <c r="CY21" i="8"/>
  <c r="DV21" i="8" s="1"/>
  <c r="GR21" i="8" s="1"/>
  <c r="CJ21" i="8"/>
  <c r="DG21" i="8" s="1"/>
  <c r="GC21" i="8" s="1"/>
  <c r="CZ21" i="8"/>
  <c r="DW21" i="8" s="1"/>
  <c r="GS21" i="8" s="1"/>
  <c r="CK21" i="8"/>
  <c r="DH21" i="8" s="1"/>
  <c r="GD21" i="8" s="1"/>
  <c r="DA21" i="8"/>
  <c r="DX21" i="8" s="1"/>
  <c r="GT21" i="8" s="1"/>
  <c r="CL21" i="8"/>
  <c r="DI21" i="8" s="1"/>
  <c r="GE21" i="8" s="1"/>
  <c r="DB21" i="8"/>
  <c r="DY21" i="8" s="1"/>
  <c r="CM21" i="8"/>
  <c r="DJ21" i="8" s="1"/>
  <c r="GF21" i="8" s="1"/>
  <c r="CN21" i="8"/>
  <c r="DK21" i="8" s="1"/>
  <c r="GG21" i="8" s="1"/>
  <c r="CO21" i="8"/>
  <c r="DL21" i="8" s="1"/>
  <c r="GH21" i="8" s="1"/>
  <c r="CP21" i="8"/>
  <c r="DM21" i="8" s="1"/>
  <c r="GI21" i="8" s="1"/>
  <c r="CQ21" i="8"/>
  <c r="DN21" i="8" s="1"/>
  <c r="GJ21" i="8" s="1"/>
  <c r="CR21" i="8"/>
  <c r="DO21" i="8" s="1"/>
  <c r="GK21" i="8" s="1"/>
  <c r="CS21" i="8"/>
  <c r="DP21" i="8" s="1"/>
  <c r="GL21" i="8" s="1"/>
  <c r="CT21" i="8"/>
  <c r="DQ21" i="8" s="1"/>
  <c r="GM21" i="8" s="1"/>
  <c r="CV21" i="8"/>
  <c r="DS21" i="8" s="1"/>
  <c r="GO21" i="8" s="1"/>
  <c r="CW21" i="8"/>
  <c r="DT21" i="8" s="1"/>
  <c r="GP21" i="8" s="1"/>
  <c r="AD23" i="8"/>
  <c r="AE23" i="8" s="1"/>
  <c r="AF23" i="8" s="1"/>
  <c r="AK23" i="8" s="1"/>
  <c r="BH23" i="8" s="1"/>
  <c r="AT22" i="8"/>
  <c r="BQ22" i="8" s="1"/>
  <c r="AU22" i="8"/>
  <c r="BR22" i="8" s="1"/>
  <c r="AV22" i="8"/>
  <c r="BS22" i="8" s="1"/>
  <c r="AW22" i="8"/>
  <c r="BT22" i="8" s="1"/>
  <c r="AX22" i="8"/>
  <c r="BU22" i="8" s="1"/>
  <c r="AI22" i="8"/>
  <c r="BF22" i="8" s="1"/>
  <c r="AY22" i="8"/>
  <c r="BV22" i="8" s="1"/>
  <c r="AJ22" i="8"/>
  <c r="BG22" i="8" s="1"/>
  <c r="AZ22" i="8"/>
  <c r="BW22" i="8" s="1"/>
  <c r="AK22" i="8"/>
  <c r="BH22" i="8" s="1"/>
  <c r="BA22" i="8"/>
  <c r="BX22" i="8" s="1"/>
  <c r="AL22" i="8"/>
  <c r="BI22" i="8" s="1"/>
  <c r="BB22" i="8"/>
  <c r="BY22" i="8" s="1"/>
  <c r="AM22" i="8"/>
  <c r="BJ22" i="8" s="1"/>
  <c r="BC22" i="8"/>
  <c r="BZ22" i="8" s="1"/>
  <c r="AN22" i="8"/>
  <c r="BK22" i="8" s="1"/>
  <c r="AP22" i="8"/>
  <c r="BM22" i="8" s="1"/>
  <c r="AS22" i="8"/>
  <c r="BP22" i="8" s="1"/>
  <c r="AO22" i="8"/>
  <c r="BL22" i="8" s="1"/>
  <c r="AQ22" i="8"/>
  <c r="BN22" i="8" s="1"/>
  <c r="AR22" i="8"/>
  <c r="BO22" i="8" s="1"/>
  <c r="GT20" i="8"/>
  <c r="GW24" i="8"/>
  <c r="CE22" i="8"/>
  <c r="DD24" i="8"/>
  <c r="FZ24" i="8"/>
  <c r="FC24" i="8"/>
  <c r="EF24" i="8"/>
  <c r="BE24" i="8"/>
  <c r="AH24" i="8"/>
  <c r="CG24" i="8"/>
  <c r="CB24" i="8"/>
  <c r="CC24" i="8" s="1"/>
  <c r="AC24" i="8"/>
  <c r="EA23" i="8"/>
  <c r="EB23" i="8" s="1"/>
  <c r="EC23" i="8" s="1"/>
  <c r="ED23" i="8" s="1"/>
  <c r="AB25" i="8"/>
  <c r="CD23" i="8"/>
  <c r="FK22" i="8"/>
  <c r="FI22" i="8"/>
  <c r="FP22" i="8"/>
  <c r="FO22" i="8"/>
  <c r="FA4" i="8"/>
  <c r="FX4" i="8" s="1"/>
  <c r="GU4" i="8" s="1"/>
  <c r="FX5" i="8"/>
  <c r="GU5" i="8" s="1"/>
  <c r="FX6" i="8"/>
  <c r="GU6" i="8" s="1"/>
  <c r="FX7" i="8"/>
  <c r="GU7" i="8" s="1"/>
  <c r="FX8" i="8"/>
  <c r="GU8" i="8" s="1"/>
  <c r="FX9" i="8"/>
  <c r="GU9" i="8" s="1"/>
  <c r="FX10" i="8"/>
  <c r="GU10" i="8" s="1"/>
  <c r="FX11" i="8"/>
  <c r="GU11" i="8" s="1"/>
  <c r="FX12" i="8"/>
  <c r="GU12" i="8" s="1"/>
  <c r="FX13" i="8"/>
  <c r="GU13" i="8" s="1"/>
  <c r="FX14" i="8"/>
  <c r="GU14" i="8" s="1"/>
  <c r="FX15" i="8"/>
  <c r="GU15" i="8" s="1"/>
  <c r="FX16" i="8"/>
  <c r="GU16" i="8" s="1"/>
  <c r="FX17" i="8"/>
  <c r="GU17" i="8" s="1"/>
  <c r="FX18" i="8"/>
  <c r="GU18" i="8" s="1"/>
  <c r="FX19" i="8"/>
  <c r="GU19" i="8" s="1"/>
  <c r="GX19" i="8" s="1"/>
  <c r="FX20" i="8"/>
  <c r="GU20" i="8" s="1"/>
  <c r="FX21" i="8"/>
  <c r="T24" i="8"/>
  <c r="K24" i="8"/>
  <c r="J25" i="8"/>
  <c r="V25" i="8" s="1"/>
  <c r="U24" i="8"/>
  <c r="EA24" i="8" a="1"/>
  <c r="AU23" i="8" l="1"/>
  <c r="BR23" i="8" s="1"/>
  <c r="AT23" i="8"/>
  <c r="BQ23" i="8" s="1"/>
  <c r="AR23" i="8"/>
  <c r="BO23" i="8" s="1"/>
  <c r="AQ23" i="8"/>
  <c r="BN23" i="8" s="1"/>
  <c r="AP23" i="8"/>
  <c r="BM23" i="8" s="1"/>
  <c r="EH25" i="8"/>
  <c r="EX25" i="8"/>
  <c r="CU25" i="8"/>
  <c r="AR25" i="8"/>
  <c r="EI25" i="8"/>
  <c r="EY25" i="8"/>
  <c r="EJ25" i="8"/>
  <c r="EZ25" i="8"/>
  <c r="CW25" i="8"/>
  <c r="EL25" i="8"/>
  <c r="CI25" i="8"/>
  <c r="CY25" i="8"/>
  <c r="AV25" i="8"/>
  <c r="EM25" i="8"/>
  <c r="EN25" i="8"/>
  <c r="CK25" i="8"/>
  <c r="DA25" i="8"/>
  <c r="AX25" i="8"/>
  <c r="EO25" i="8"/>
  <c r="CL25" i="8"/>
  <c r="DB25" i="8"/>
  <c r="AI25" i="8"/>
  <c r="AY25" i="8"/>
  <c r="EP25" i="8"/>
  <c r="ER25" i="8"/>
  <c r="CO25" i="8"/>
  <c r="AL25" i="8"/>
  <c r="BB25" i="8"/>
  <c r="EV25" i="8"/>
  <c r="CS25" i="8"/>
  <c r="AP25" i="8"/>
  <c r="EG25" i="8"/>
  <c r="EW25" i="8"/>
  <c r="ET25" i="8"/>
  <c r="AZ25" i="8"/>
  <c r="EU25" i="8"/>
  <c r="BA25" i="8"/>
  <c r="FA25" i="8"/>
  <c r="BC25" i="8"/>
  <c r="CN25" i="8"/>
  <c r="AM25" i="8"/>
  <c r="CP25" i="8"/>
  <c r="AN25" i="8"/>
  <c r="CQ25" i="8"/>
  <c r="AO25" i="8"/>
  <c r="CR25" i="8"/>
  <c r="AQ25" i="8"/>
  <c r="EQ25" i="8"/>
  <c r="CT25" i="8"/>
  <c r="AS25" i="8"/>
  <c r="CX25" i="8"/>
  <c r="AU25" i="8"/>
  <c r="CZ25" i="8"/>
  <c r="AW25" i="8"/>
  <c r="AT25" i="8"/>
  <c r="CH25" i="8"/>
  <c r="CV25" i="8"/>
  <c r="CJ25" i="8"/>
  <c r="AJ25" i="8"/>
  <c r="EK25" i="8"/>
  <c r="CM25" i="8"/>
  <c r="AK25" i="8"/>
  <c r="ES25" i="8"/>
  <c r="AD24" i="8"/>
  <c r="AE24" i="8" s="1"/>
  <c r="AF24" i="8" s="1"/>
  <c r="BA24" i="8" s="1"/>
  <c r="BX24" i="8" s="1"/>
  <c r="AM23" i="8"/>
  <c r="BJ23" i="8" s="1"/>
  <c r="BB23" i="8"/>
  <c r="BY23" i="8" s="1"/>
  <c r="AL23" i="8"/>
  <c r="BI23" i="8" s="1"/>
  <c r="AX23" i="8"/>
  <c r="BU23" i="8" s="1"/>
  <c r="AS23" i="8"/>
  <c r="BP23" i="8" s="1"/>
  <c r="AN23" i="8"/>
  <c r="BK23" i="8" s="1"/>
  <c r="BC23" i="8"/>
  <c r="BZ23" i="8" s="1"/>
  <c r="AW23" i="8"/>
  <c r="BT23" i="8" s="1"/>
  <c r="EM23" i="8"/>
  <c r="FJ23" i="8" s="1"/>
  <c r="EN23" i="8"/>
  <c r="FK23" i="8" s="1"/>
  <c r="EO23" i="8"/>
  <c r="FL23" i="8" s="1"/>
  <c r="EZ23" i="8"/>
  <c r="FW23" i="8" s="1"/>
  <c r="EP23" i="8"/>
  <c r="FM23" i="8" s="1"/>
  <c r="EQ23" i="8"/>
  <c r="FN23" i="8" s="1"/>
  <c r="ER23" i="8"/>
  <c r="FO23" i="8" s="1"/>
  <c r="ES23" i="8"/>
  <c r="FP23" i="8" s="1"/>
  <c r="ET23" i="8"/>
  <c r="EU23" i="8"/>
  <c r="FR23" i="8" s="1"/>
  <c r="EV23" i="8"/>
  <c r="FS23" i="8" s="1"/>
  <c r="EG23" i="8"/>
  <c r="FD23" i="8" s="1"/>
  <c r="EW23" i="8"/>
  <c r="FT23" i="8" s="1"/>
  <c r="EJ23" i="8"/>
  <c r="FG23" i="8" s="1"/>
  <c r="EH23" i="8"/>
  <c r="FE23" i="8" s="1"/>
  <c r="EX23" i="8"/>
  <c r="FU23" i="8" s="1"/>
  <c r="EI23" i="8"/>
  <c r="FF23" i="8" s="1"/>
  <c r="EY23" i="8"/>
  <c r="FV23" i="8" s="1"/>
  <c r="EK23" i="8"/>
  <c r="FH23" i="8" s="1"/>
  <c r="FA23" i="8"/>
  <c r="FX23" i="8" s="1"/>
  <c r="EL23" i="8"/>
  <c r="FI23" i="8" s="1"/>
  <c r="BA23" i="8"/>
  <c r="BX23" i="8" s="1"/>
  <c r="AV23" i="8"/>
  <c r="BS23" i="8" s="1"/>
  <c r="AO23" i="8"/>
  <c r="BL23" i="8" s="1"/>
  <c r="CS22" i="8"/>
  <c r="CT22" i="8"/>
  <c r="CU22" i="8"/>
  <c r="DR22" i="8" s="1"/>
  <c r="GN22" i="8" s="1"/>
  <c r="CV22" i="8"/>
  <c r="DS22" i="8" s="1"/>
  <c r="GO22" i="8" s="1"/>
  <c r="CW22" i="8"/>
  <c r="DT22" i="8" s="1"/>
  <c r="GP22" i="8" s="1"/>
  <c r="CH22" i="8"/>
  <c r="DE22" i="8" s="1"/>
  <c r="GA22" i="8" s="1"/>
  <c r="CX22" i="8"/>
  <c r="DU22" i="8" s="1"/>
  <c r="GQ22" i="8" s="1"/>
  <c r="CI22" i="8"/>
  <c r="DF22" i="8" s="1"/>
  <c r="GB22" i="8" s="1"/>
  <c r="CY22" i="8"/>
  <c r="DV22" i="8" s="1"/>
  <c r="GR22" i="8" s="1"/>
  <c r="CJ22" i="8"/>
  <c r="DG22" i="8" s="1"/>
  <c r="GC22" i="8" s="1"/>
  <c r="CZ22" i="8"/>
  <c r="DW22" i="8" s="1"/>
  <c r="GS22" i="8" s="1"/>
  <c r="CK22" i="8"/>
  <c r="DH22" i="8" s="1"/>
  <c r="GD22" i="8" s="1"/>
  <c r="DA22" i="8"/>
  <c r="DX22" i="8" s="1"/>
  <c r="GT22" i="8" s="1"/>
  <c r="CL22" i="8"/>
  <c r="DI22" i="8" s="1"/>
  <c r="GE22" i="8" s="1"/>
  <c r="DB22" i="8"/>
  <c r="DY22" i="8" s="1"/>
  <c r="GU22" i="8" s="1"/>
  <c r="CM22" i="8"/>
  <c r="DJ22" i="8" s="1"/>
  <c r="GF22" i="8" s="1"/>
  <c r="CN22" i="8"/>
  <c r="CO22" i="8"/>
  <c r="DL22" i="8" s="1"/>
  <c r="GH22" i="8" s="1"/>
  <c r="CP22" i="8"/>
  <c r="DM22" i="8" s="1"/>
  <c r="GI22" i="8" s="1"/>
  <c r="CQ22" i="8"/>
  <c r="DN22" i="8" s="1"/>
  <c r="GJ22" i="8" s="1"/>
  <c r="CR22" i="8"/>
  <c r="DO22" i="8" s="1"/>
  <c r="GK22" i="8" s="1"/>
  <c r="AZ23" i="8"/>
  <c r="BW23" i="8" s="1"/>
  <c r="AJ23" i="8"/>
  <c r="BG23" i="8" s="1"/>
  <c r="AY23" i="8"/>
  <c r="BV23" i="8" s="1"/>
  <c r="AI23" i="8"/>
  <c r="BF23" i="8" s="1"/>
  <c r="AJ24" i="8"/>
  <c r="BG24" i="8" s="1"/>
  <c r="AZ24" i="8"/>
  <c r="BW24" i="8" s="1"/>
  <c r="L19" i="8"/>
  <c r="V19" i="8"/>
  <c r="GX6" i="8"/>
  <c r="GX5" i="8"/>
  <c r="GY5" i="8" s="1"/>
  <c r="GX25" i="8"/>
  <c r="L25" i="8" s="1"/>
  <c r="GY25" i="8"/>
  <c r="GX20" i="8"/>
  <c r="GX16" i="8"/>
  <c r="GX14" i="8"/>
  <c r="GX12" i="8"/>
  <c r="GX17" i="8"/>
  <c r="GX10" i="8"/>
  <c r="V10" i="8" s="1"/>
  <c r="GX15" i="8"/>
  <c r="V15" i="8" s="1"/>
  <c r="GX9" i="8"/>
  <c r="GX18" i="8"/>
  <c r="V18" i="8" s="1"/>
  <c r="GX13" i="8"/>
  <c r="V13" i="8" s="1"/>
  <c r="GU21" i="8"/>
  <c r="GX21" i="8" s="1"/>
  <c r="GX8" i="8"/>
  <c r="GX11" i="8"/>
  <c r="GX7" i="8"/>
  <c r="V7" i="8" s="1"/>
  <c r="GD25" i="8"/>
  <c r="GT25" i="8"/>
  <c r="GF25" i="8"/>
  <c r="GG25" i="8"/>
  <c r="GH25" i="8"/>
  <c r="GW25" i="8"/>
  <c r="GI25" i="8"/>
  <c r="GK25" i="8"/>
  <c r="GL25" i="8"/>
  <c r="GN25" i="8"/>
  <c r="GO25" i="8"/>
  <c r="GB25" i="8"/>
  <c r="GR25" i="8"/>
  <c r="GA25" i="8"/>
  <c r="GC25" i="8"/>
  <c r="GJ25" i="8"/>
  <c r="GQ25" i="8"/>
  <c r="GS25" i="8"/>
  <c r="GE25" i="8"/>
  <c r="GM25" i="8"/>
  <c r="GP25" i="8"/>
  <c r="GU25" i="8"/>
  <c r="DK22" i="8"/>
  <c r="GG22" i="8" s="1"/>
  <c r="DQ22" i="8"/>
  <c r="GM22" i="8" s="1"/>
  <c r="DP22" i="8"/>
  <c r="GL22" i="8" s="1"/>
  <c r="CE23" i="8"/>
  <c r="DD25" i="8"/>
  <c r="FK25" i="8"/>
  <c r="FI25" i="8"/>
  <c r="FX25" i="8"/>
  <c r="FH25" i="8"/>
  <c r="FZ25" i="8"/>
  <c r="FV25" i="8"/>
  <c r="FF25" i="8"/>
  <c r="FC25" i="8"/>
  <c r="FG25" i="8"/>
  <c r="DU25" i="8"/>
  <c r="DE25" i="8"/>
  <c r="FD25" i="8"/>
  <c r="DS25" i="8"/>
  <c r="DR25" i="8"/>
  <c r="FU25" i="8"/>
  <c r="FT25" i="8"/>
  <c r="FR25" i="8"/>
  <c r="FP25" i="8"/>
  <c r="DG25" i="8"/>
  <c r="DX25" i="8"/>
  <c r="DW25" i="8"/>
  <c r="FS25" i="8"/>
  <c r="DT25" i="8"/>
  <c r="FQ25" i="8"/>
  <c r="DQ25" i="8"/>
  <c r="FN25" i="8"/>
  <c r="DO25" i="8"/>
  <c r="FL25" i="8"/>
  <c r="DM25" i="8"/>
  <c r="FJ25" i="8"/>
  <c r="DL25" i="8"/>
  <c r="DJ25" i="8"/>
  <c r="DI25" i="8"/>
  <c r="DP25" i="8"/>
  <c r="FW25" i="8"/>
  <c r="DN25" i="8"/>
  <c r="FO25" i="8"/>
  <c r="DK25" i="8"/>
  <c r="AH25" i="8"/>
  <c r="FE25" i="8"/>
  <c r="FM25" i="8"/>
  <c r="DH25" i="8"/>
  <c r="DF25" i="8"/>
  <c r="BE25" i="8"/>
  <c r="EF25" i="8"/>
  <c r="DV25" i="8"/>
  <c r="CG25" i="8"/>
  <c r="DY25" i="8"/>
  <c r="BR25" i="8"/>
  <c r="BS25" i="8"/>
  <c r="BT25" i="8"/>
  <c r="BU25" i="8"/>
  <c r="BO25" i="8"/>
  <c r="BF25" i="8"/>
  <c r="BG25" i="8"/>
  <c r="BH25" i="8"/>
  <c r="BI25" i="8"/>
  <c r="BJ25" i="8"/>
  <c r="BX25" i="8"/>
  <c r="BK25" i="8"/>
  <c r="BL25" i="8"/>
  <c r="BQ25" i="8"/>
  <c r="BV25" i="8"/>
  <c r="BW25" i="8"/>
  <c r="BM25" i="8"/>
  <c r="BN25" i="8"/>
  <c r="BP25" i="8"/>
  <c r="BY25" i="8"/>
  <c r="BZ25" i="8"/>
  <c r="EA24" i="8"/>
  <c r="EB24" i="8" s="1"/>
  <c r="EC24" i="8" s="1"/>
  <c r="ED24" i="8" s="1"/>
  <c r="AB26" i="8"/>
  <c r="ED25" i="8"/>
  <c r="AD25" i="8"/>
  <c r="CB25" i="8" a="1"/>
  <c r="CB25" i="8" s="1"/>
  <c r="AF25" i="8"/>
  <c r="EA25" i="8" a="1"/>
  <c r="EA25" i="8" s="1"/>
  <c r="CC25" i="8"/>
  <c r="AC25" i="8" a="1"/>
  <c r="AC25" i="8" s="1"/>
  <c r="AE25" i="8"/>
  <c r="CD25" i="8"/>
  <c r="EC25" i="8"/>
  <c r="CE25" i="8"/>
  <c r="EB25" i="8"/>
  <c r="FQ23" i="8"/>
  <c r="CD24" i="8"/>
  <c r="CE24" i="8" s="1"/>
  <c r="Y25" i="8"/>
  <c r="K25" i="8"/>
  <c r="U25" i="8"/>
  <c r="P25" i="8"/>
  <c r="O25" i="8"/>
  <c r="N25" i="8" a="1"/>
  <c r="N25" i="8" s="1"/>
  <c r="J26" i="8"/>
  <c r="V26" i="8" s="1"/>
  <c r="M25" i="8"/>
  <c r="Q25" i="8"/>
  <c r="W25" i="8"/>
  <c r="T25" i="8"/>
  <c r="AX24" i="8" l="1"/>
  <c r="BU24" i="8" s="1"/>
  <c r="AW24" i="8"/>
  <c r="BT24" i="8" s="1"/>
  <c r="AI24" i="8"/>
  <c r="BF24" i="8" s="1"/>
  <c r="AU24" i="8"/>
  <c r="BR24" i="8" s="1"/>
  <c r="AT24" i="8"/>
  <c r="BQ24" i="8" s="1"/>
  <c r="AS24" i="8"/>
  <c r="BP24" i="8" s="1"/>
  <c r="AV24" i="8"/>
  <c r="BS24" i="8" s="1"/>
  <c r="GY6" i="8"/>
  <c r="AR24" i="8"/>
  <c r="BO24" i="8" s="1"/>
  <c r="AQ24" i="8"/>
  <c r="BN24" i="8" s="1"/>
  <c r="AP24" i="8"/>
  <c r="BM24" i="8" s="1"/>
  <c r="AO24" i="8"/>
  <c r="BL24" i="8" s="1"/>
  <c r="W19" i="8"/>
  <c r="BC24" i="8"/>
  <c r="BZ24" i="8" s="1"/>
  <c r="AM24" i="8"/>
  <c r="BJ24" i="8" s="1"/>
  <c r="BB24" i="8"/>
  <c r="BY24" i="8" s="1"/>
  <c r="AL24" i="8"/>
  <c r="BI24" i="8" s="1"/>
  <c r="AY24" i="8"/>
  <c r="BV24" i="8" s="1"/>
  <c r="AK24" i="8"/>
  <c r="BH24" i="8" s="1"/>
  <c r="AN24" i="8"/>
  <c r="BK24" i="8" s="1"/>
  <c r="ES26" i="8"/>
  <c r="CP26" i="8"/>
  <c r="AM26" i="8"/>
  <c r="BC26" i="8"/>
  <c r="ET26" i="8"/>
  <c r="EU26" i="8"/>
  <c r="CR26" i="8"/>
  <c r="EG26" i="8"/>
  <c r="EW26" i="8"/>
  <c r="CT26" i="8"/>
  <c r="AQ26" i="8"/>
  <c r="EH26" i="8"/>
  <c r="EX26" i="8"/>
  <c r="EI26" i="8"/>
  <c r="EY26" i="8"/>
  <c r="CV26" i="8"/>
  <c r="AS26" i="8"/>
  <c r="EK26" i="8"/>
  <c r="FA26" i="8"/>
  <c r="EJ26" i="8"/>
  <c r="EZ26" i="8"/>
  <c r="CW26" i="8"/>
  <c r="AT26" i="8"/>
  <c r="EM26" i="8"/>
  <c r="CJ26" i="8"/>
  <c r="CZ26" i="8"/>
  <c r="AW26" i="8"/>
  <c r="EQ26" i="8"/>
  <c r="CN26" i="8"/>
  <c r="AK26" i="8"/>
  <c r="BA26" i="8"/>
  <c r="CH26" i="8"/>
  <c r="CI26" i="8"/>
  <c r="CK26" i="8"/>
  <c r="EL26" i="8"/>
  <c r="CL26" i="8"/>
  <c r="AI26" i="8"/>
  <c r="EN26" i="8"/>
  <c r="CM26" i="8"/>
  <c r="AJ26" i="8"/>
  <c r="EV26" i="8"/>
  <c r="CU26" i="8"/>
  <c r="AP26" i="8"/>
  <c r="CX26" i="8"/>
  <c r="AR26" i="8"/>
  <c r="CY26" i="8"/>
  <c r="AU26" i="8"/>
  <c r="DA26" i="8"/>
  <c r="AV26" i="8"/>
  <c r="EO26" i="8"/>
  <c r="EP26" i="8"/>
  <c r="AX26" i="8"/>
  <c r="ER26" i="8"/>
  <c r="CO26" i="8"/>
  <c r="AL26" i="8"/>
  <c r="CQ26" i="8"/>
  <c r="AN26" i="8"/>
  <c r="DB26" i="8"/>
  <c r="CS26" i="8"/>
  <c r="AO26" i="8"/>
  <c r="AY26" i="8"/>
  <c r="AZ26" i="8"/>
  <c r="BB26" i="8"/>
  <c r="EH24" i="8"/>
  <c r="FE24" i="8" s="1"/>
  <c r="EX24" i="8"/>
  <c r="FU24" i="8" s="1"/>
  <c r="EI24" i="8"/>
  <c r="FF24" i="8" s="1"/>
  <c r="EY24" i="8"/>
  <c r="FV24" i="8" s="1"/>
  <c r="EU24" i="8"/>
  <c r="FR24" i="8" s="1"/>
  <c r="EJ24" i="8"/>
  <c r="FG24" i="8" s="1"/>
  <c r="EZ24" i="8"/>
  <c r="FW24" i="8" s="1"/>
  <c r="EK24" i="8"/>
  <c r="FH24" i="8" s="1"/>
  <c r="FA24" i="8"/>
  <c r="FX24" i="8" s="1"/>
  <c r="EL24" i="8"/>
  <c r="FI24" i="8" s="1"/>
  <c r="EM24" i="8"/>
  <c r="FJ24" i="8" s="1"/>
  <c r="EN24" i="8"/>
  <c r="FK24" i="8" s="1"/>
  <c r="EO24" i="8"/>
  <c r="FL24" i="8" s="1"/>
  <c r="EP24" i="8"/>
  <c r="FM24" i="8" s="1"/>
  <c r="EQ24" i="8"/>
  <c r="FN24" i="8" s="1"/>
  <c r="ER24" i="8"/>
  <c r="FO24" i="8" s="1"/>
  <c r="ES24" i="8"/>
  <c r="FP24" i="8" s="1"/>
  <c r="ET24" i="8"/>
  <c r="FQ24" i="8" s="1"/>
  <c r="EV24" i="8"/>
  <c r="FS24" i="8" s="1"/>
  <c r="EG24" i="8"/>
  <c r="FD24" i="8" s="1"/>
  <c r="EW24" i="8"/>
  <c r="FT24" i="8" s="1"/>
  <c r="CI24" i="8"/>
  <c r="DF24" i="8" s="1"/>
  <c r="CY24" i="8"/>
  <c r="DV24" i="8" s="1"/>
  <c r="CJ24" i="8"/>
  <c r="DG24" i="8" s="1"/>
  <c r="CZ24" i="8"/>
  <c r="DW24" i="8" s="1"/>
  <c r="CK24" i="8"/>
  <c r="DH24" i="8" s="1"/>
  <c r="DA24" i="8"/>
  <c r="DX24" i="8" s="1"/>
  <c r="CL24" i="8"/>
  <c r="DI24" i="8" s="1"/>
  <c r="DB24" i="8"/>
  <c r="DY24" i="8" s="1"/>
  <c r="CM24" i="8"/>
  <c r="DJ24" i="8" s="1"/>
  <c r="CN24" i="8"/>
  <c r="DK24" i="8" s="1"/>
  <c r="CO24" i="8"/>
  <c r="DL24" i="8" s="1"/>
  <c r="CP24" i="8"/>
  <c r="DM24" i="8" s="1"/>
  <c r="CV24" i="8"/>
  <c r="DS24" i="8" s="1"/>
  <c r="CQ24" i="8"/>
  <c r="DN24" i="8" s="1"/>
  <c r="CR24" i="8"/>
  <c r="DO24" i="8" s="1"/>
  <c r="CS24" i="8"/>
  <c r="DP24" i="8" s="1"/>
  <c r="CT24" i="8"/>
  <c r="DQ24" i="8" s="1"/>
  <c r="CU24" i="8"/>
  <c r="DR24" i="8" s="1"/>
  <c r="CW24" i="8"/>
  <c r="DT24" i="8" s="1"/>
  <c r="CH24" i="8"/>
  <c r="DE24" i="8" s="1"/>
  <c r="CX24" i="8"/>
  <c r="DU24" i="8" s="1"/>
  <c r="CN23" i="8"/>
  <c r="CO23" i="8"/>
  <c r="CP23" i="8"/>
  <c r="CQ23" i="8"/>
  <c r="DN23" i="8" s="1"/>
  <c r="GJ23" i="8" s="1"/>
  <c r="CR23" i="8"/>
  <c r="CS23" i="8"/>
  <c r="CT23" i="8"/>
  <c r="CU23" i="8"/>
  <c r="CV23" i="8"/>
  <c r="CK23" i="8"/>
  <c r="CW23" i="8"/>
  <c r="CH23" i="8"/>
  <c r="DE23" i="8" s="1"/>
  <c r="GA23" i="8" s="1"/>
  <c r="CX23" i="8"/>
  <c r="DU23" i="8" s="1"/>
  <c r="GQ23" i="8" s="1"/>
  <c r="CI23" i="8"/>
  <c r="CY23" i="8"/>
  <c r="DV23" i="8" s="1"/>
  <c r="GR23" i="8" s="1"/>
  <c r="CJ23" i="8"/>
  <c r="CZ23" i="8"/>
  <c r="DW23" i="8" s="1"/>
  <c r="GS23" i="8" s="1"/>
  <c r="DA23" i="8"/>
  <c r="DX23" i="8" s="1"/>
  <c r="GT23" i="8" s="1"/>
  <c r="CL23" i="8"/>
  <c r="DB23" i="8"/>
  <c r="DY23" i="8" s="1"/>
  <c r="GU23" i="8" s="1"/>
  <c r="CM23" i="8"/>
  <c r="L12" i="8"/>
  <c r="V12" i="8"/>
  <c r="W13" i="8" s="1"/>
  <c r="L20" i="8"/>
  <c r="V20" i="8"/>
  <c r="W20" i="8" s="1"/>
  <c r="L11" i="8"/>
  <c r="V11" i="8"/>
  <c r="L8" i="8"/>
  <c r="V8" i="8"/>
  <c r="L14" i="8"/>
  <c r="V14" i="8"/>
  <c r="W15" i="8" s="1"/>
  <c r="L21" i="8"/>
  <c r="V21" i="8"/>
  <c r="W14" i="8"/>
  <c r="L5" i="8"/>
  <c r="V5" i="8"/>
  <c r="L6" i="8"/>
  <c r="V6" i="8"/>
  <c r="W7" i="8" s="1"/>
  <c r="L9" i="8"/>
  <c r="V9" i="8"/>
  <c r="W10" i="8" s="1"/>
  <c r="L17" i="8"/>
  <c r="V17" i="8"/>
  <c r="W18" i="8" s="1"/>
  <c r="L16" i="8"/>
  <c r="V16" i="8"/>
  <c r="GY16" i="8"/>
  <c r="L15" i="8"/>
  <c r="GY11" i="8"/>
  <c r="L10" i="8"/>
  <c r="GY19" i="8"/>
  <c r="L18" i="8"/>
  <c r="GY7" i="8"/>
  <c r="L7" i="8"/>
  <c r="GY14" i="8"/>
  <c r="L13" i="8"/>
  <c r="GY10" i="8"/>
  <c r="GY9" i="8"/>
  <c r="GX26" i="8"/>
  <c r="L26" i="8" s="1"/>
  <c r="GY26" i="8"/>
  <c r="GY18" i="8"/>
  <c r="GY13" i="8"/>
  <c r="GY15" i="8"/>
  <c r="GY17" i="8"/>
  <c r="GY21" i="8"/>
  <c r="GY20" i="8"/>
  <c r="GY8" i="8"/>
  <c r="GY12" i="8"/>
  <c r="GX22" i="8"/>
  <c r="GO26" i="8"/>
  <c r="GA26" i="8"/>
  <c r="GQ26" i="8"/>
  <c r="GW26" i="8"/>
  <c r="GB26" i="8"/>
  <c r="GR26" i="8"/>
  <c r="GC26" i="8"/>
  <c r="GS26" i="8"/>
  <c r="GD26" i="8"/>
  <c r="GT26" i="8"/>
  <c r="GF26" i="8"/>
  <c r="GG26" i="8"/>
  <c r="GI26" i="8"/>
  <c r="GJ26" i="8"/>
  <c r="GM26" i="8"/>
  <c r="GK26" i="8"/>
  <c r="GL26" i="8"/>
  <c r="GN26" i="8"/>
  <c r="GP26" i="8"/>
  <c r="GU26" i="8"/>
  <c r="GE26" i="8"/>
  <c r="GH26" i="8"/>
  <c r="FV26" i="8"/>
  <c r="FF26" i="8"/>
  <c r="FT26" i="8"/>
  <c r="FD26" i="8"/>
  <c r="FS26" i="8"/>
  <c r="FQ26" i="8"/>
  <c r="FI26" i="8"/>
  <c r="DP26" i="8"/>
  <c r="FG26" i="8"/>
  <c r="DN26" i="8"/>
  <c r="FC26" i="8"/>
  <c r="FE26" i="8"/>
  <c r="DM26" i="8"/>
  <c r="FZ26" i="8"/>
  <c r="FX26" i="8"/>
  <c r="FW26" i="8"/>
  <c r="FR26" i="8"/>
  <c r="FO26" i="8"/>
  <c r="FL26" i="8"/>
  <c r="DX26" i="8"/>
  <c r="DE26" i="8"/>
  <c r="FJ26" i="8"/>
  <c r="DV26" i="8"/>
  <c r="FH26" i="8"/>
  <c r="DU26" i="8"/>
  <c r="EF26" i="8"/>
  <c r="BE26" i="8"/>
  <c r="DS26" i="8"/>
  <c r="DR26" i="8"/>
  <c r="DO26" i="8"/>
  <c r="DK26" i="8"/>
  <c r="DJ26" i="8"/>
  <c r="FP26" i="8"/>
  <c r="DH26" i="8"/>
  <c r="FN26" i="8"/>
  <c r="DG26" i="8"/>
  <c r="FM26" i="8"/>
  <c r="FK26" i="8"/>
  <c r="DD26" i="8"/>
  <c r="DY26" i="8"/>
  <c r="AH26" i="8"/>
  <c r="CG26" i="8"/>
  <c r="DW26" i="8"/>
  <c r="DT26" i="8"/>
  <c r="DQ26" i="8"/>
  <c r="DI26" i="8"/>
  <c r="DL26" i="8"/>
  <c r="DF26" i="8"/>
  <c r="FU26" i="8"/>
  <c r="BM26" i="8"/>
  <c r="BN26" i="8"/>
  <c r="BO26" i="8"/>
  <c r="BP26" i="8"/>
  <c r="BJ26" i="8"/>
  <c r="BZ26" i="8"/>
  <c r="BF26" i="8"/>
  <c r="BX26" i="8"/>
  <c r="BG26" i="8"/>
  <c r="BH26" i="8"/>
  <c r="BI26" i="8"/>
  <c r="BK26" i="8"/>
  <c r="BW26" i="8"/>
  <c r="BL26" i="8"/>
  <c r="BU26" i="8"/>
  <c r="BQ26" i="8"/>
  <c r="BR26" i="8"/>
  <c r="BS26" i="8"/>
  <c r="BV26" i="8"/>
  <c r="BT26" i="8"/>
  <c r="BY26" i="8"/>
  <c r="AB27" i="8"/>
  <c r="AE26" i="8"/>
  <c r="EA26" i="8" a="1"/>
  <c r="EA26" i="8" s="1"/>
  <c r="CB26" i="8" a="1"/>
  <c r="CB26" i="8" s="1"/>
  <c r="EB26" i="8"/>
  <c r="AC26" i="8" a="1"/>
  <c r="AC26" i="8" s="1"/>
  <c r="CC26" i="8"/>
  <c r="ED26" i="8"/>
  <c r="CE26" i="8"/>
  <c r="CD26" i="8"/>
  <c r="EC26" i="8"/>
  <c r="AF26" i="8"/>
  <c r="AD26" i="8"/>
  <c r="U26" i="8"/>
  <c r="O26" i="8"/>
  <c r="J27" i="8"/>
  <c r="V27" i="8" s="1"/>
  <c r="Y26" i="8"/>
  <c r="K26" i="8"/>
  <c r="W26" i="8"/>
  <c r="Q26" i="8"/>
  <c r="P26" i="8"/>
  <c r="M26" i="8"/>
  <c r="N26" i="8" a="1"/>
  <c r="N26" i="8" s="1"/>
  <c r="X25" i="8" a="1"/>
  <c r="X25" i="8" s="1"/>
  <c r="T26" i="8"/>
  <c r="W12" i="8" l="1"/>
  <c r="EN27" i="8"/>
  <c r="CK27" i="8"/>
  <c r="DA27" i="8"/>
  <c r="AX27" i="8"/>
  <c r="EO27" i="8"/>
  <c r="EP27" i="8"/>
  <c r="CM27" i="8"/>
  <c r="ER27" i="8"/>
  <c r="CO27" i="8"/>
  <c r="AL27" i="8"/>
  <c r="BB27" i="8"/>
  <c r="ES27" i="8"/>
  <c r="ET27" i="8"/>
  <c r="CQ27" i="8"/>
  <c r="AN27" i="8"/>
  <c r="EV27" i="8"/>
  <c r="EU27" i="8"/>
  <c r="CR27" i="8"/>
  <c r="AO27" i="8"/>
  <c r="EH27" i="8"/>
  <c r="EX27" i="8"/>
  <c r="CU27" i="8"/>
  <c r="AR27" i="8"/>
  <c r="EL27" i="8"/>
  <c r="CI27" i="8"/>
  <c r="CY27" i="8"/>
  <c r="AV27" i="8"/>
  <c r="EY27" i="8"/>
  <c r="CN27" i="8"/>
  <c r="AI27" i="8"/>
  <c r="EZ27" i="8"/>
  <c r="CP27" i="8"/>
  <c r="AJ27" i="8"/>
  <c r="FA27" i="8"/>
  <c r="CS27" i="8"/>
  <c r="AK27" i="8"/>
  <c r="CT27" i="8"/>
  <c r="AM27" i="8"/>
  <c r="CV27" i="8"/>
  <c r="AP27" i="8"/>
  <c r="DB27" i="8"/>
  <c r="AU27" i="8"/>
  <c r="EG27" i="8"/>
  <c r="AW27" i="8"/>
  <c r="EI27" i="8"/>
  <c r="AY27" i="8"/>
  <c r="EJ27" i="8"/>
  <c r="AZ27" i="8"/>
  <c r="EK27" i="8"/>
  <c r="EQ27" i="8"/>
  <c r="EM27" i="8"/>
  <c r="EW27" i="8"/>
  <c r="CH27" i="8"/>
  <c r="CL27" i="8"/>
  <c r="CX27" i="8"/>
  <c r="CW27" i="8"/>
  <c r="AQ27" i="8"/>
  <c r="AS27" i="8"/>
  <c r="CJ27" i="8"/>
  <c r="CZ27" i="8"/>
  <c r="AT27" i="8"/>
  <c r="BA27" i="8"/>
  <c r="BC27" i="8"/>
  <c r="W11" i="8"/>
  <c r="W17" i="8"/>
  <c r="W9" i="8"/>
  <c r="M6" i="8"/>
  <c r="M5" i="8"/>
  <c r="W5" i="8"/>
  <c r="W6" i="8"/>
  <c r="W16" i="8"/>
  <c r="W8" i="8"/>
  <c r="W21" i="8"/>
  <c r="L22" i="8"/>
  <c r="V22" i="8"/>
  <c r="W22" i="8"/>
  <c r="GM24" i="8"/>
  <c r="M8" i="8"/>
  <c r="M7" i="8"/>
  <c r="GX27" i="8"/>
  <c r="L27" i="8" s="1"/>
  <c r="GY27" i="8"/>
  <c r="GY22" i="8"/>
  <c r="GA24" i="8"/>
  <c r="GE24" i="8"/>
  <c r="GR24" i="8"/>
  <c r="GF24" i="8"/>
  <c r="GN24" i="8"/>
  <c r="GD24" i="8"/>
  <c r="GK24" i="8"/>
  <c r="GS24" i="8"/>
  <c r="GI24" i="8"/>
  <c r="GQ24" i="8"/>
  <c r="GC24" i="8"/>
  <c r="GJ24" i="8"/>
  <c r="GJ27" i="8"/>
  <c r="GL27" i="8"/>
  <c r="GW27" i="8"/>
  <c r="GM27" i="8"/>
  <c r="GN27" i="8"/>
  <c r="GO27" i="8"/>
  <c r="GA27" i="8"/>
  <c r="GQ27" i="8"/>
  <c r="GB27" i="8"/>
  <c r="GR27" i="8"/>
  <c r="GD27" i="8"/>
  <c r="GT27" i="8"/>
  <c r="GE27" i="8"/>
  <c r="GU27" i="8"/>
  <c r="GH27" i="8"/>
  <c r="GC27" i="8"/>
  <c r="GF27" i="8"/>
  <c r="GI27" i="8"/>
  <c r="GG27" i="8"/>
  <c r="GK27" i="8"/>
  <c r="GS27" i="8"/>
  <c r="GP27" i="8"/>
  <c r="GP24" i="8"/>
  <c r="GL24" i="8"/>
  <c r="GO24" i="8"/>
  <c r="GH24" i="8"/>
  <c r="GB24" i="8"/>
  <c r="GT24" i="8"/>
  <c r="GG24" i="8"/>
  <c r="GU24" i="8"/>
  <c r="DK23" i="8"/>
  <c r="GG23" i="8" s="1"/>
  <c r="DS23" i="8"/>
  <c r="GO23" i="8" s="1"/>
  <c r="DP23" i="8"/>
  <c r="GL23" i="8" s="1"/>
  <c r="DF23" i="8"/>
  <c r="GB23" i="8" s="1"/>
  <c r="DT23" i="8"/>
  <c r="GP23" i="8" s="1"/>
  <c r="DJ23" i="8"/>
  <c r="GF23" i="8" s="1"/>
  <c r="DI23" i="8"/>
  <c r="GE23" i="8" s="1"/>
  <c r="DH23" i="8"/>
  <c r="GD23" i="8" s="1"/>
  <c r="DQ23" i="8"/>
  <c r="GM23" i="8" s="1"/>
  <c r="DR23" i="8"/>
  <c r="GN23" i="8" s="1"/>
  <c r="DM23" i="8"/>
  <c r="GI23" i="8" s="1"/>
  <c r="DL23" i="8"/>
  <c r="GH23" i="8" s="1"/>
  <c r="DO23" i="8"/>
  <c r="GK23" i="8" s="1"/>
  <c r="DG23" i="8"/>
  <c r="GC23" i="8" s="1"/>
  <c r="FQ27" i="8"/>
  <c r="DD27" i="8"/>
  <c r="FO27" i="8"/>
  <c r="FZ27" i="8"/>
  <c r="FN27" i="8"/>
  <c r="FL27" i="8"/>
  <c r="FH27" i="8"/>
  <c r="DK27" i="8"/>
  <c r="FF27" i="8"/>
  <c r="DY27" i="8"/>
  <c r="DI27" i="8"/>
  <c r="FE27" i="8"/>
  <c r="DX27" i="8"/>
  <c r="DH27" i="8"/>
  <c r="FW27" i="8"/>
  <c r="DV27" i="8"/>
  <c r="DF27" i="8"/>
  <c r="FV27" i="8"/>
  <c r="FT27" i="8"/>
  <c r="FR27" i="8"/>
  <c r="FX27" i="8"/>
  <c r="DU27" i="8"/>
  <c r="EF27" i="8"/>
  <c r="BE27" i="8"/>
  <c r="FU27" i="8"/>
  <c r="DT27" i="8"/>
  <c r="FP27" i="8"/>
  <c r="DR27" i="8"/>
  <c r="FC27" i="8"/>
  <c r="FM27" i="8"/>
  <c r="DQ27" i="8"/>
  <c r="FJ27" i="8"/>
  <c r="DO27" i="8"/>
  <c r="FG27" i="8"/>
  <c r="DM27" i="8"/>
  <c r="CG27" i="8"/>
  <c r="FD27" i="8"/>
  <c r="DL27" i="8"/>
  <c r="DG27" i="8"/>
  <c r="DE27" i="8"/>
  <c r="DW27" i="8"/>
  <c r="AH27" i="8"/>
  <c r="DS27" i="8"/>
  <c r="DP27" i="8"/>
  <c r="DN27" i="8"/>
  <c r="DJ27" i="8"/>
  <c r="FK27" i="8"/>
  <c r="FS27" i="8"/>
  <c r="FI27" i="8"/>
  <c r="BH27" i="8"/>
  <c r="BX27" i="8"/>
  <c r="BI27" i="8"/>
  <c r="BY27" i="8"/>
  <c r="BK27" i="8"/>
  <c r="BU27" i="8"/>
  <c r="BG27" i="8"/>
  <c r="BL27" i="8"/>
  <c r="BJ27" i="8"/>
  <c r="BM27" i="8"/>
  <c r="BN27" i="8"/>
  <c r="BV27" i="8"/>
  <c r="BO27" i="8"/>
  <c r="BP27" i="8"/>
  <c r="BQ27" i="8"/>
  <c r="BZ27" i="8"/>
  <c r="BR27" i="8"/>
  <c r="BT27" i="8"/>
  <c r="BW27" i="8"/>
  <c r="BS27" i="8"/>
  <c r="BF27" i="8"/>
  <c r="AB28" i="8"/>
  <c r="EC27" i="8"/>
  <c r="AD27" i="8"/>
  <c r="AC27" i="8" a="1"/>
  <c r="AC27" i="8" s="1"/>
  <c r="EB27" i="8"/>
  <c r="CB27" i="8" a="1"/>
  <c r="CB27" i="8" s="1"/>
  <c r="AF27" i="8"/>
  <c r="AE27" i="8"/>
  <c r="EA27" i="8" a="1"/>
  <c r="EA27" i="8" s="1"/>
  <c r="CE27" i="8"/>
  <c r="CC27" i="8"/>
  <c r="ED27" i="8"/>
  <c r="CD27" i="8"/>
  <c r="Q27" i="8"/>
  <c r="P27" i="8"/>
  <c r="O27" i="8"/>
  <c r="J28" i="8"/>
  <c r="V28" i="8" s="1"/>
  <c r="Y27" i="8"/>
  <c r="W27" i="8"/>
  <c r="U27" i="8"/>
  <c r="N27" i="8" a="1"/>
  <c r="N27" i="8" s="1"/>
  <c r="M27" i="8"/>
  <c r="K27" i="8"/>
  <c r="X26" i="8" a="1"/>
  <c r="X26" i="8" s="1"/>
  <c r="T27" i="8"/>
  <c r="EI28" i="8" l="1"/>
  <c r="EY28" i="8"/>
  <c r="CV28" i="8"/>
  <c r="AS28" i="8"/>
  <c r="EJ28" i="8"/>
  <c r="EZ28" i="8"/>
  <c r="EK28" i="8"/>
  <c r="FA28" i="8"/>
  <c r="CH28" i="8"/>
  <c r="CX28" i="8"/>
  <c r="EM28" i="8"/>
  <c r="CJ28" i="8"/>
  <c r="CZ28" i="8"/>
  <c r="AW28" i="8"/>
  <c r="EN28" i="8"/>
  <c r="EO28" i="8"/>
  <c r="CL28" i="8"/>
  <c r="DB28" i="8"/>
  <c r="AI28" i="8"/>
  <c r="AY28" i="8"/>
  <c r="EQ28" i="8"/>
  <c r="EP28" i="8"/>
  <c r="CM28" i="8"/>
  <c r="AJ28" i="8"/>
  <c r="AZ28" i="8"/>
  <c r="ES28" i="8"/>
  <c r="CP28" i="8"/>
  <c r="AM28" i="8"/>
  <c r="BC28" i="8"/>
  <c r="EG28" i="8"/>
  <c r="EW28" i="8"/>
  <c r="CT28" i="8"/>
  <c r="AQ28" i="8"/>
  <c r="CU28" i="8"/>
  <c r="AN28" i="8"/>
  <c r="CW28" i="8"/>
  <c r="AO28" i="8"/>
  <c r="CY28" i="8"/>
  <c r="AP28" i="8"/>
  <c r="EH28" i="8"/>
  <c r="DA28" i="8"/>
  <c r="AR28" i="8"/>
  <c r="EL28" i="8"/>
  <c r="AT28" i="8"/>
  <c r="EV28" i="8"/>
  <c r="BA28" i="8"/>
  <c r="EX28" i="8"/>
  <c r="CI28" i="8"/>
  <c r="BB28" i="8"/>
  <c r="CK28" i="8"/>
  <c r="CN28" i="8"/>
  <c r="CR28" i="8"/>
  <c r="AK28" i="8"/>
  <c r="AU28" i="8"/>
  <c r="AV28" i="8"/>
  <c r="ER28" i="8"/>
  <c r="AX28" i="8"/>
  <c r="ET28" i="8"/>
  <c r="EU28" i="8"/>
  <c r="AL28" i="8"/>
  <c r="CO28" i="8"/>
  <c r="CQ28" i="8"/>
  <c r="CS28" i="8"/>
  <c r="GX28" i="8"/>
  <c r="L28" i="8" s="1"/>
  <c r="GY28" i="8"/>
  <c r="GX23" i="8"/>
  <c r="GX24" i="8"/>
  <c r="GE28" i="8"/>
  <c r="GU28" i="8"/>
  <c r="GG28" i="8"/>
  <c r="GH28" i="8"/>
  <c r="GI28" i="8"/>
  <c r="GJ28" i="8"/>
  <c r="GL28" i="8"/>
  <c r="GM28" i="8"/>
  <c r="GO28" i="8"/>
  <c r="GP28" i="8"/>
  <c r="GC28" i="8"/>
  <c r="GS28" i="8"/>
  <c r="GK28" i="8"/>
  <c r="GR28" i="8"/>
  <c r="GN28" i="8"/>
  <c r="GQ28" i="8"/>
  <c r="GW28" i="8"/>
  <c r="GT28" i="8"/>
  <c r="GA28" i="8"/>
  <c r="GB28" i="8"/>
  <c r="GD28" i="8"/>
  <c r="GF28" i="8"/>
  <c r="FN28" i="8"/>
  <c r="FM28" i="8"/>
  <c r="FZ28" i="8"/>
  <c r="FX28" i="8"/>
  <c r="FH28" i="8"/>
  <c r="FV28" i="8"/>
  <c r="FF28" i="8"/>
  <c r="FP28" i="8"/>
  <c r="FL28" i="8"/>
  <c r="DD28" i="8"/>
  <c r="FK28" i="8"/>
  <c r="FI28" i="8"/>
  <c r="FD28" i="8"/>
  <c r="FO28" i="8"/>
  <c r="DV28" i="8"/>
  <c r="DF28" i="8"/>
  <c r="FG28" i="8"/>
  <c r="DT28" i="8"/>
  <c r="FE28" i="8"/>
  <c r="DS28" i="8"/>
  <c r="FC28" i="8"/>
  <c r="DQ28" i="8"/>
  <c r="FW28" i="8"/>
  <c r="FQ28" i="8"/>
  <c r="DE28" i="8"/>
  <c r="AH28" i="8"/>
  <c r="DX28" i="8"/>
  <c r="DW28" i="8"/>
  <c r="DR28" i="8"/>
  <c r="DP28" i="8"/>
  <c r="DN28" i="8"/>
  <c r="DL28" i="8"/>
  <c r="DK28" i="8"/>
  <c r="FT28" i="8"/>
  <c r="DI28" i="8"/>
  <c r="FS28" i="8"/>
  <c r="DH28" i="8"/>
  <c r="DJ28" i="8"/>
  <c r="DG28" i="8"/>
  <c r="BE28" i="8"/>
  <c r="EF28" i="8"/>
  <c r="FU28" i="8"/>
  <c r="FR28" i="8"/>
  <c r="FJ28" i="8"/>
  <c r="CG28" i="8"/>
  <c r="DY28" i="8"/>
  <c r="DU28" i="8"/>
  <c r="DM28" i="8"/>
  <c r="DO28" i="8"/>
  <c r="BS28" i="8"/>
  <c r="BT28" i="8"/>
  <c r="BF28" i="8"/>
  <c r="BV28" i="8"/>
  <c r="BP28" i="8"/>
  <c r="BI28" i="8"/>
  <c r="BJ28" i="8"/>
  <c r="BK28" i="8"/>
  <c r="BL28" i="8"/>
  <c r="BM28" i="8"/>
  <c r="BW28" i="8"/>
  <c r="BN28" i="8"/>
  <c r="BY28" i="8"/>
  <c r="BZ28" i="8"/>
  <c r="BO28" i="8"/>
  <c r="BQ28" i="8"/>
  <c r="BR28" i="8"/>
  <c r="BU28" i="8"/>
  <c r="BX28" i="8"/>
  <c r="BG28" i="8"/>
  <c r="BH28" i="8"/>
  <c r="AB29" i="8"/>
  <c r="CB28" i="8" a="1"/>
  <c r="CB28" i="8" s="1"/>
  <c r="AD28" i="8"/>
  <c r="ED28" i="8"/>
  <c r="EA28" i="8" a="1"/>
  <c r="EA28" i="8" s="1"/>
  <c r="CD28" i="8"/>
  <c r="CC28" i="8"/>
  <c r="AE28" i="8"/>
  <c r="AC28" i="8" a="1"/>
  <c r="AC28" i="8" s="1"/>
  <c r="AF28" i="8"/>
  <c r="EB28" i="8"/>
  <c r="EC28" i="8"/>
  <c r="CE28" i="8"/>
  <c r="T28" i="8"/>
  <c r="X27" i="8" a="1"/>
  <c r="X27" i="8" s="1"/>
  <c r="N28" i="8" a="1"/>
  <c r="N28" i="8" s="1"/>
  <c r="J29" i="8"/>
  <c r="V29" i="8" s="1"/>
  <c r="M28" i="8"/>
  <c r="W28" i="8"/>
  <c r="U28" i="8"/>
  <c r="P28" i="8"/>
  <c r="O28" i="8"/>
  <c r="Y28" i="8"/>
  <c r="Q28" i="8"/>
  <c r="K28" i="8"/>
  <c r="ET29" i="8" l="1"/>
  <c r="CQ29" i="8"/>
  <c r="AN29" i="8"/>
  <c r="EV29" i="8"/>
  <c r="EH29" i="8"/>
  <c r="EX29" i="8"/>
  <c r="CU29" i="8"/>
  <c r="AR29" i="8"/>
  <c r="EI29" i="8"/>
  <c r="EJ29" i="8"/>
  <c r="EZ29" i="8"/>
  <c r="CW29" i="8"/>
  <c r="AT29" i="8"/>
  <c r="EK29" i="8"/>
  <c r="FA29" i="8"/>
  <c r="CH29" i="8"/>
  <c r="CX29" i="8"/>
  <c r="AU29" i="8"/>
  <c r="EL29" i="8"/>
  <c r="EN29" i="8"/>
  <c r="CK29" i="8"/>
  <c r="DA29" i="8"/>
  <c r="AX29" i="8"/>
  <c r="ER29" i="8"/>
  <c r="CO29" i="8"/>
  <c r="AL29" i="8"/>
  <c r="BB29" i="8"/>
  <c r="EU29" i="8"/>
  <c r="DB29" i="8"/>
  <c r="AQ29" i="8"/>
  <c r="EW29" i="8"/>
  <c r="AS29" i="8"/>
  <c r="EY29" i="8"/>
  <c r="AV29" i="8"/>
  <c r="AW29" i="8"/>
  <c r="CI29" i="8"/>
  <c r="AY29" i="8"/>
  <c r="CN29" i="8"/>
  <c r="CP29" i="8"/>
  <c r="EG29" i="8"/>
  <c r="CR29" i="8"/>
  <c r="AI29" i="8"/>
  <c r="EM29" i="8"/>
  <c r="CS29" i="8"/>
  <c r="AJ29" i="8"/>
  <c r="CJ29" i="8"/>
  <c r="CL29" i="8"/>
  <c r="CY29" i="8"/>
  <c r="CM29" i="8"/>
  <c r="CT29" i="8"/>
  <c r="AK29" i="8"/>
  <c r="AO29" i="8"/>
  <c r="AZ29" i="8"/>
  <c r="CV29" i="8"/>
  <c r="AM29" i="8"/>
  <c r="CZ29" i="8"/>
  <c r="AP29" i="8"/>
  <c r="BA29" i="8"/>
  <c r="EO29" i="8"/>
  <c r="BC29" i="8"/>
  <c r="EP29" i="8"/>
  <c r="EQ29" i="8"/>
  <c r="ES29" i="8"/>
  <c r="L24" i="8"/>
  <c r="V24" i="8"/>
  <c r="L23" i="8"/>
  <c r="V23" i="8"/>
  <c r="M9" i="8"/>
  <c r="GX29" i="8"/>
  <c r="L29" i="8" s="1"/>
  <c r="GY29" i="8"/>
  <c r="GY24" i="8"/>
  <c r="GY23" i="8"/>
  <c r="GP29" i="8"/>
  <c r="GW29" i="8"/>
  <c r="GB29" i="8"/>
  <c r="GR29" i="8"/>
  <c r="GC29" i="8"/>
  <c r="GS29" i="8"/>
  <c r="GD29" i="8"/>
  <c r="GT29" i="8"/>
  <c r="GE29" i="8"/>
  <c r="GU29" i="8"/>
  <c r="GG29" i="8"/>
  <c r="GH29" i="8"/>
  <c r="GJ29" i="8"/>
  <c r="GK29" i="8"/>
  <c r="GN29" i="8"/>
  <c r="GF29" i="8"/>
  <c r="GA29" i="8"/>
  <c r="GI29" i="8"/>
  <c r="GL29" i="8"/>
  <c r="GM29" i="8"/>
  <c r="GO29" i="8"/>
  <c r="GQ29" i="8"/>
  <c r="FC29" i="8"/>
  <c r="FI29" i="8"/>
  <c r="FZ29" i="8"/>
  <c r="FX29" i="8"/>
  <c r="FH29" i="8"/>
  <c r="FS29" i="8"/>
  <c r="FQ29" i="8"/>
  <c r="FO29" i="8"/>
  <c r="FM29" i="8"/>
  <c r="FL29" i="8"/>
  <c r="FJ29" i="8"/>
  <c r="FE29" i="8"/>
  <c r="FV29" i="8"/>
  <c r="DQ29" i="8"/>
  <c r="FT29" i="8"/>
  <c r="DO29" i="8"/>
  <c r="FR29" i="8"/>
  <c r="DN29" i="8"/>
  <c r="DD29" i="8"/>
  <c r="FN29" i="8"/>
  <c r="DL29" i="8"/>
  <c r="FK29" i="8"/>
  <c r="FF29" i="8"/>
  <c r="DY29" i="8"/>
  <c r="DE29" i="8"/>
  <c r="EF29" i="8"/>
  <c r="BE29" i="8"/>
  <c r="DW29" i="8"/>
  <c r="DV29" i="8"/>
  <c r="DT29" i="8"/>
  <c r="DS29" i="8"/>
  <c r="FU29" i="8"/>
  <c r="DP29" i="8"/>
  <c r="CG29" i="8"/>
  <c r="FG29" i="8"/>
  <c r="DK29" i="8"/>
  <c r="FD29" i="8"/>
  <c r="DJ29" i="8"/>
  <c r="DH29" i="8"/>
  <c r="DG29" i="8"/>
  <c r="FP29" i="8"/>
  <c r="DU29" i="8"/>
  <c r="AH29" i="8"/>
  <c r="FW29" i="8"/>
  <c r="DX29" i="8"/>
  <c r="DR29" i="8"/>
  <c r="DM29" i="8"/>
  <c r="DI29" i="8"/>
  <c r="DF29" i="8"/>
  <c r="BN29" i="8"/>
  <c r="BO29" i="8"/>
  <c r="BQ29" i="8"/>
  <c r="BK29" i="8"/>
  <c r="BH29" i="8"/>
  <c r="BI29" i="8"/>
  <c r="BJ29" i="8"/>
  <c r="BL29" i="8"/>
  <c r="BM29" i="8"/>
  <c r="BP29" i="8"/>
  <c r="BW29" i="8"/>
  <c r="BR29" i="8"/>
  <c r="BV29" i="8"/>
  <c r="BY29" i="8"/>
  <c r="BS29" i="8"/>
  <c r="BT29" i="8"/>
  <c r="BU29" i="8"/>
  <c r="BX29" i="8"/>
  <c r="BF29" i="8"/>
  <c r="BZ29" i="8"/>
  <c r="BG29" i="8"/>
  <c r="AB30" i="8"/>
  <c r="AC29" i="8" a="1"/>
  <c r="AC29" i="8" s="1"/>
  <c r="EA29" i="8" a="1"/>
  <c r="EA29" i="8" s="1"/>
  <c r="CC29" i="8"/>
  <c r="EB29" i="8"/>
  <c r="CD29" i="8"/>
  <c r="CB29" i="8" a="1"/>
  <c r="CB29" i="8" s="1"/>
  <c r="CE29" i="8"/>
  <c r="EC29" i="8"/>
  <c r="ED29" i="8"/>
  <c r="AF29" i="8"/>
  <c r="AE29" i="8"/>
  <c r="AD29" i="8"/>
  <c r="K29" i="8"/>
  <c r="W29" i="8"/>
  <c r="Q29" i="8"/>
  <c r="N29" i="8" a="1"/>
  <c r="N29" i="8" s="1"/>
  <c r="Y29" i="8"/>
  <c r="J30" i="8"/>
  <c r="V30" i="8" s="1"/>
  <c r="U29" i="8"/>
  <c r="P29" i="8"/>
  <c r="O29" i="8"/>
  <c r="M29" i="8"/>
  <c r="T29" i="8"/>
  <c r="X28" i="8" a="1"/>
  <c r="X28" i="8" s="1"/>
  <c r="EO30" i="8" l="1"/>
  <c r="CL30" i="8"/>
  <c r="DB30" i="8"/>
  <c r="AI30" i="8"/>
  <c r="AY30" i="8"/>
  <c r="EQ30" i="8"/>
  <c r="ES30" i="8"/>
  <c r="CP30" i="8"/>
  <c r="AM30" i="8"/>
  <c r="BC30" i="8"/>
  <c r="EU30" i="8"/>
  <c r="CR30" i="8"/>
  <c r="AO30" i="8"/>
  <c r="EV30" i="8"/>
  <c r="CS30" i="8"/>
  <c r="AP30" i="8"/>
  <c r="EI30" i="8"/>
  <c r="EY30" i="8"/>
  <c r="CV30" i="8"/>
  <c r="AS30" i="8"/>
  <c r="EM30" i="8"/>
  <c r="CJ30" i="8"/>
  <c r="CZ30" i="8"/>
  <c r="AW30" i="8"/>
  <c r="AV30" i="8"/>
  <c r="CH30" i="8"/>
  <c r="AX30" i="8"/>
  <c r="CI30" i="8"/>
  <c r="AZ30" i="8"/>
  <c r="EG30" i="8"/>
  <c r="CK30" i="8"/>
  <c r="BA30" i="8"/>
  <c r="EH30" i="8"/>
  <c r="CM30" i="8"/>
  <c r="BB30" i="8"/>
  <c r="EN30" i="8"/>
  <c r="CT30" i="8"/>
  <c r="AJ30" i="8"/>
  <c r="EP30" i="8"/>
  <c r="CU30" i="8"/>
  <c r="ER30" i="8"/>
  <c r="CW30" i="8"/>
  <c r="AL30" i="8"/>
  <c r="ET30" i="8"/>
  <c r="CX30" i="8"/>
  <c r="AN30" i="8"/>
  <c r="EJ30" i="8"/>
  <c r="AU30" i="8"/>
  <c r="EL30" i="8"/>
  <c r="EW30" i="8"/>
  <c r="CN30" i="8"/>
  <c r="EX30" i="8"/>
  <c r="EZ30" i="8"/>
  <c r="FA30" i="8"/>
  <c r="CO30" i="8"/>
  <c r="CY30" i="8"/>
  <c r="AK30" i="8"/>
  <c r="EK30" i="8"/>
  <c r="CQ30" i="8"/>
  <c r="DA30" i="8"/>
  <c r="AQ30" i="8"/>
  <c r="AT30" i="8"/>
  <c r="AR30" i="8"/>
  <c r="W24" i="8"/>
  <c r="W23" i="8"/>
  <c r="M10" i="8"/>
  <c r="GX30" i="8"/>
  <c r="L30" i="8" s="1"/>
  <c r="GY30" i="8"/>
  <c r="GK30" i="8"/>
  <c r="GM30" i="8"/>
  <c r="GN30" i="8"/>
  <c r="GO30" i="8"/>
  <c r="GP30" i="8"/>
  <c r="GB30" i="8"/>
  <c r="GR30" i="8"/>
  <c r="GC30" i="8"/>
  <c r="GS30" i="8"/>
  <c r="GE30" i="8"/>
  <c r="GU30" i="8"/>
  <c r="GF30" i="8"/>
  <c r="GI30" i="8"/>
  <c r="GJ30" i="8"/>
  <c r="GL30" i="8"/>
  <c r="GQ30" i="8"/>
  <c r="GT30" i="8"/>
  <c r="GW30" i="8"/>
  <c r="GA30" i="8"/>
  <c r="GD30" i="8"/>
  <c r="GG30" i="8"/>
  <c r="GH30" i="8"/>
  <c r="FC30" i="8"/>
  <c r="FZ30" i="8"/>
  <c r="FT30" i="8"/>
  <c r="FD30" i="8"/>
  <c r="FS30" i="8"/>
  <c r="DD30" i="8"/>
  <c r="FN30" i="8"/>
  <c r="FL30" i="8"/>
  <c r="FP30" i="8"/>
  <c r="FM30" i="8"/>
  <c r="FK30" i="8"/>
  <c r="FI30" i="8"/>
  <c r="FF30" i="8"/>
  <c r="DL30" i="8"/>
  <c r="DJ30" i="8"/>
  <c r="DY30" i="8"/>
  <c r="DI30" i="8"/>
  <c r="FW30" i="8"/>
  <c r="DW30" i="8"/>
  <c r="DG30" i="8"/>
  <c r="FV30" i="8"/>
  <c r="FR30" i="8"/>
  <c r="FO30" i="8"/>
  <c r="FX30" i="8"/>
  <c r="FQ30" i="8"/>
  <c r="DV30" i="8"/>
  <c r="AH30" i="8"/>
  <c r="FJ30" i="8"/>
  <c r="DU30" i="8"/>
  <c r="FG30" i="8"/>
  <c r="DS30" i="8"/>
  <c r="FE30" i="8"/>
  <c r="DR30" i="8"/>
  <c r="DP30" i="8"/>
  <c r="DN30" i="8"/>
  <c r="DM30" i="8"/>
  <c r="DH30" i="8"/>
  <c r="DF30" i="8"/>
  <c r="DX30" i="8"/>
  <c r="DT30" i="8"/>
  <c r="DQ30" i="8"/>
  <c r="DK30" i="8"/>
  <c r="DO30" i="8"/>
  <c r="BE30" i="8"/>
  <c r="FU30" i="8"/>
  <c r="FH30" i="8"/>
  <c r="DE30" i="8"/>
  <c r="EF30" i="8"/>
  <c r="CG30" i="8"/>
  <c r="BI30" i="8"/>
  <c r="BY30" i="8"/>
  <c r="BJ30" i="8"/>
  <c r="BZ30" i="8"/>
  <c r="BL30" i="8"/>
  <c r="BF30" i="8"/>
  <c r="BV30" i="8"/>
  <c r="BH30" i="8"/>
  <c r="BM30" i="8"/>
  <c r="BK30" i="8"/>
  <c r="BN30" i="8"/>
  <c r="BO30" i="8"/>
  <c r="BP30" i="8"/>
  <c r="BQ30" i="8"/>
  <c r="BW30" i="8"/>
  <c r="BR30" i="8"/>
  <c r="BS30" i="8"/>
  <c r="BT30" i="8"/>
  <c r="BU30" i="8"/>
  <c r="BX30" i="8"/>
  <c r="BG30" i="8"/>
  <c r="AB31" i="8"/>
  <c r="EA30" i="8" a="1"/>
  <c r="EA30" i="8" s="1"/>
  <c r="CD30" i="8"/>
  <c r="CC30" i="8"/>
  <c r="ED30" i="8"/>
  <c r="AE30" i="8"/>
  <c r="AC30" i="8" a="1"/>
  <c r="AC30" i="8" s="1"/>
  <c r="EC30" i="8"/>
  <c r="AF30" i="8"/>
  <c r="CE30" i="8"/>
  <c r="CB30" i="8" a="1"/>
  <c r="CB30" i="8" s="1"/>
  <c r="EB30" i="8"/>
  <c r="AD30" i="8"/>
  <c r="U30" i="8"/>
  <c r="Q30" i="8"/>
  <c r="N30" i="8" a="1"/>
  <c r="N30" i="8" s="1"/>
  <c r="J31" i="8"/>
  <c r="V31" i="8" s="1"/>
  <c r="M30" i="8"/>
  <c r="K30" i="8"/>
  <c r="W30" i="8"/>
  <c r="P30" i="8"/>
  <c r="O30" i="8"/>
  <c r="Y30" i="8"/>
  <c r="X29" i="8" a="1"/>
  <c r="X29" i="8" s="1"/>
  <c r="T30" i="8"/>
  <c r="EJ31" i="8" l="1"/>
  <c r="EZ31" i="8"/>
  <c r="CW31" i="8"/>
  <c r="AT31" i="8"/>
  <c r="EL31" i="8"/>
  <c r="EN31" i="8"/>
  <c r="CK31" i="8"/>
  <c r="DA31" i="8"/>
  <c r="AX31" i="8"/>
  <c r="EP31" i="8"/>
  <c r="CM31" i="8"/>
  <c r="AJ31" i="8"/>
  <c r="AZ31" i="8"/>
  <c r="EQ31" i="8"/>
  <c r="CN31" i="8"/>
  <c r="AK31" i="8"/>
  <c r="BA31" i="8"/>
  <c r="ET31" i="8"/>
  <c r="CQ31" i="8"/>
  <c r="AN31" i="8"/>
  <c r="EH31" i="8"/>
  <c r="EX31" i="8"/>
  <c r="CU31" i="8"/>
  <c r="AR31" i="8"/>
  <c r="EG31" i="8"/>
  <c r="CJ31" i="8"/>
  <c r="BB31" i="8"/>
  <c r="EI31" i="8"/>
  <c r="CL31" i="8"/>
  <c r="BC31" i="8"/>
  <c r="EK31" i="8"/>
  <c r="CO31" i="8"/>
  <c r="EM31" i="8"/>
  <c r="CP31" i="8"/>
  <c r="EO31" i="8"/>
  <c r="CR31" i="8"/>
  <c r="EV31" i="8"/>
  <c r="CX31" i="8"/>
  <c r="AO31" i="8"/>
  <c r="EW31" i="8"/>
  <c r="CY31" i="8"/>
  <c r="AP31" i="8"/>
  <c r="EY31" i="8"/>
  <c r="CZ31" i="8"/>
  <c r="AQ31" i="8"/>
  <c r="FA31" i="8"/>
  <c r="DB31" i="8"/>
  <c r="AS31" i="8"/>
  <c r="CS31" i="8"/>
  <c r="AI31" i="8"/>
  <c r="CV31" i="8"/>
  <c r="AL31" i="8"/>
  <c r="AM31" i="8"/>
  <c r="AU31" i="8"/>
  <c r="AV31" i="8"/>
  <c r="AW31" i="8"/>
  <c r="ER31" i="8"/>
  <c r="AY31" i="8"/>
  <c r="ES31" i="8"/>
  <c r="EU31" i="8"/>
  <c r="CT31" i="8"/>
  <c r="CH31" i="8"/>
  <c r="CI31" i="8"/>
  <c r="M11" i="8"/>
  <c r="GX31" i="8"/>
  <c r="L31" i="8" s="1"/>
  <c r="GY31" i="8"/>
  <c r="GF31" i="8"/>
  <c r="GH31" i="8"/>
  <c r="GI31" i="8"/>
  <c r="GJ31" i="8"/>
  <c r="GK31" i="8"/>
  <c r="GM31" i="8"/>
  <c r="GN31" i="8"/>
  <c r="GP31" i="8"/>
  <c r="GA31" i="8"/>
  <c r="GQ31" i="8"/>
  <c r="GD31" i="8"/>
  <c r="GT31" i="8"/>
  <c r="GW31" i="8"/>
  <c r="GB31" i="8"/>
  <c r="GC31" i="8"/>
  <c r="GE31" i="8"/>
  <c r="GL31" i="8"/>
  <c r="GU31" i="8"/>
  <c r="GG31" i="8"/>
  <c r="GS31" i="8"/>
  <c r="GO31" i="8"/>
  <c r="GR31" i="8"/>
  <c r="FO31" i="8"/>
  <c r="FN31" i="8"/>
  <c r="FI31" i="8"/>
  <c r="FW31" i="8"/>
  <c r="FG31" i="8"/>
  <c r="FQ31" i="8"/>
  <c r="FZ31" i="8"/>
  <c r="FM31" i="8"/>
  <c r="FL31" i="8"/>
  <c r="DD31" i="8"/>
  <c r="FJ31" i="8"/>
  <c r="FE31" i="8"/>
  <c r="FK31" i="8"/>
  <c r="DW31" i="8"/>
  <c r="DG31" i="8"/>
  <c r="FF31" i="8"/>
  <c r="DU31" i="8"/>
  <c r="DE31" i="8"/>
  <c r="FD31" i="8"/>
  <c r="DT31" i="8"/>
  <c r="DR31" i="8"/>
  <c r="FC31" i="8"/>
  <c r="FV31" i="8"/>
  <c r="DF31" i="8"/>
  <c r="DY31" i="8"/>
  <c r="DX31" i="8"/>
  <c r="AH31" i="8"/>
  <c r="DS31" i="8"/>
  <c r="DQ31" i="8"/>
  <c r="CG31" i="8"/>
  <c r="DO31" i="8"/>
  <c r="FU31" i="8"/>
  <c r="DM31" i="8"/>
  <c r="FT31" i="8"/>
  <c r="DL31" i="8"/>
  <c r="FR31" i="8"/>
  <c r="DJ31" i="8"/>
  <c r="FP31" i="8"/>
  <c r="DI31" i="8"/>
  <c r="FX31" i="8"/>
  <c r="FS31" i="8"/>
  <c r="BE31" i="8"/>
  <c r="DH31" i="8"/>
  <c r="FH31" i="8"/>
  <c r="EF31" i="8"/>
  <c r="DP31" i="8"/>
  <c r="DV31" i="8"/>
  <c r="DN31" i="8"/>
  <c r="DK31" i="8"/>
  <c r="BT31" i="8"/>
  <c r="BU31" i="8"/>
  <c r="BG31" i="8"/>
  <c r="BW31" i="8"/>
  <c r="BQ31" i="8"/>
  <c r="BJ31" i="8"/>
  <c r="BM31" i="8"/>
  <c r="BK31" i="8"/>
  <c r="BL31" i="8"/>
  <c r="BN31" i="8"/>
  <c r="BO31" i="8"/>
  <c r="BP31" i="8"/>
  <c r="BS31" i="8"/>
  <c r="BR31" i="8"/>
  <c r="BX31" i="8"/>
  <c r="BY31" i="8"/>
  <c r="BZ31" i="8"/>
  <c r="BV31" i="8"/>
  <c r="BF31" i="8"/>
  <c r="BH31" i="8"/>
  <c r="BI31" i="8"/>
  <c r="AB32" i="8"/>
  <c r="CD31" i="8"/>
  <c r="AF31" i="8"/>
  <c r="CC31" i="8"/>
  <c r="AC31" i="8" a="1"/>
  <c r="AC31" i="8" s="1"/>
  <c r="EB31" i="8"/>
  <c r="EA31" i="8" a="1"/>
  <c r="EA31" i="8" s="1"/>
  <c r="EC31" i="8"/>
  <c r="AE31" i="8"/>
  <c r="CB31" i="8" a="1"/>
  <c r="CB31" i="8" s="1"/>
  <c r="AD31" i="8"/>
  <c r="CE31" i="8"/>
  <c r="ED31" i="8"/>
  <c r="N31" i="8" a="1"/>
  <c r="N31" i="8" s="1"/>
  <c r="M31" i="8"/>
  <c r="K31" i="8"/>
  <c r="W31" i="8"/>
  <c r="U31" i="8"/>
  <c r="Q31" i="8"/>
  <c r="P31" i="8"/>
  <c r="J32" i="8"/>
  <c r="V32" i="8" s="1"/>
  <c r="Y31" i="8"/>
  <c r="O31" i="8"/>
  <c r="X30" i="8" a="1"/>
  <c r="X30" i="8" s="1"/>
  <c r="T31" i="8"/>
  <c r="EU32" i="8" l="1"/>
  <c r="CR32" i="8"/>
  <c r="AO32" i="8"/>
  <c r="EG32" i="8"/>
  <c r="EW32" i="8"/>
  <c r="EI32" i="8"/>
  <c r="EY32" i="8"/>
  <c r="CV32" i="8"/>
  <c r="AS32" i="8"/>
  <c r="EK32" i="8"/>
  <c r="FA32" i="8"/>
  <c r="CH32" i="8"/>
  <c r="CX32" i="8"/>
  <c r="AU32" i="8"/>
  <c r="EL32" i="8"/>
  <c r="CI32" i="8"/>
  <c r="CY32" i="8"/>
  <c r="AV32" i="8"/>
  <c r="EO32" i="8"/>
  <c r="CL32" i="8"/>
  <c r="DB32" i="8"/>
  <c r="AI32" i="8"/>
  <c r="AY32" i="8"/>
  <c r="ES32" i="8"/>
  <c r="CP32" i="8"/>
  <c r="AM32" i="8"/>
  <c r="BC32" i="8"/>
  <c r="EP32" i="8"/>
  <c r="CO32" i="8"/>
  <c r="EQ32" i="8"/>
  <c r="CQ32" i="8"/>
  <c r="ER32" i="8"/>
  <c r="CS32" i="8"/>
  <c r="AJ32" i="8"/>
  <c r="ET32" i="8"/>
  <c r="CT32" i="8"/>
  <c r="AK32" i="8"/>
  <c r="EV32" i="8"/>
  <c r="CU32" i="8"/>
  <c r="AL32" i="8"/>
  <c r="AR32" i="8"/>
  <c r="AT32" i="8"/>
  <c r="AW32" i="8"/>
  <c r="AX32" i="8"/>
  <c r="CJ32" i="8"/>
  <c r="AP32" i="8"/>
  <c r="CK32" i="8"/>
  <c r="CM32" i="8"/>
  <c r="DA32" i="8"/>
  <c r="CN32" i="8"/>
  <c r="CW32" i="8"/>
  <c r="AN32" i="8"/>
  <c r="CZ32" i="8"/>
  <c r="EH32" i="8"/>
  <c r="AQ32" i="8"/>
  <c r="AZ32" i="8"/>
  <c r="BA32" i="8"/>
  <c r="EJ32" i="8"/>
  <c r="EM32" i="8"/>
  <c r="EN32" i="8"/>
  <c r="BB32" i="8"/>
  <c r="EZ32" i="8"/>
  <c r="EX32" i="8"/>
  <c r="M12" i="8"/>
  <c r="GX32" i="8"/>
  <c r="L32" i="8" s="1"/>
  <c r="GY32" i="8"/>
  <c r="GA32" i="8"/>
  <c r="GQ32" i="8"/>
  <c r="GC32" i="8"/>
  <c r="GS32" i="8"/>
  <c r="GD32" i="8"/>
  <c r="GT32" i="8"/>
  <c r="GE32" i="8"/>
  <c r="GU32" i="8"/>
  <c r="GF32" i="8"/>
  <c r="GH32" i="8"/>
  <c r="GI32" i="8"/>
  <c r="GK32" i="8"/>
  <c r="GL32" i="8"/>
  <c r="GO32" i="8"/>
  <c r="GM32" i="8"/>
  <c r="GN32" i="8"/>
  <c r="GP32" i="8"/>
  <c r="GW32" i="8"/>
  <c r="GR32" i="8"/>
  <c r="GB32" i="8"/>
  <c r="GG32" i="8"/>
  <c r="GJ32" i="8"/>
  <c r="FZ32" i="8"/>
  <c r="FC32" i="8"/>
  <c r="FJ32" i="8"/>
  <c r="FI32" i="8"/>
  <c r="FT32" i="8"/>
  <c r="FD32" i="8"/>
  <c r="DD32" i="8"/>
  <c r="FR32" i="8"/>
  <c r="FP32" i="8"/>
  <c r="FN32" i="8"/>
  <c r="FM32" i="8"/>
  <c r="FK32" i="8"/>
  <c r="FF32" i="8"/>
  <c r="FV32" i="8"/>
  <c r="DR32" i="8"/>
  <c r="FS32" i="8"/>
  <c r="DP32" i="8"/>
  <c r="FQ32" i="8"/>
  <c r="DO32" i="8"/>
  <c r="FL32" i="8"/>
  <c r="DM32" i="8"/>
  <c r="FH32" i="8"/>
  <c r="FE32" i="8"/>
  <c r="DF32" i="8"/>
  <c r="DX32" i="8"/>
  <c r="DW32" i="8"/>
  <c r="FW32" i="8"/>
  <c r="DU32" i="8"/>
  <c r="CG32" i="8"/>
  <c r="FU32" i="8"/>
  <c r="DT32" i="8"/>
  <c r="FG32" i="8"/>
  <c r="DQ32" i="8"/>
  <c r="DL32" i="8"/>
  <c r="DK32" i="8"/>
  <c r="DI32" i="8"/>
  <c r="DH32" i="8"/>
  <c r="FX32" i="8"/>
  <c r="FO32" i="8"/>
  <c r="BE32" i="8"/>
  <c r="DN32" i="8"/>
  <c r="EF32" i="8"/>
  <c r="DY32" i="8"/>
  <c r="DV32" i="8"/>
  <c r="DS32" i="8"/>
  <c r="AH32" i="8"/>
  <c r="DJ32" i="8"/>
  <c r="DG32" i="8"/>
  <c r="DE32" i="8"/>
  <c r="BO32" i="8"/>
  <c r="BP32" i="8"/>
  <c r="BR32" i="8"/>
  <c r="BL32" i="8"/>
  <c r="BI32" i="8"/>
  <c r="BK32" i="8"/>
  <c r="BJ32" i="8"/>
  <c r="BM32" i="8"/>
  <c r="BN32" i="8"/>
  <c r="BX32" i="8"/>
  <c r="BZ32" i="8"/>
  <c r="BQ32" i="8"/>
  <c r="BS32" i="8"/>
  <c r="BW32" i="8"/>
  <c r="BT32" i="8"/>
  <c r="BU32" i="8"/>
  <c r="BF32" i="8"/>
  <c r="BV32" i="8"/>
  <c r="BY32" i="8"/>
  <c r="BG32" i="8"/>
  <c r="BH32" i="8"/>
  <c r="AB33" i="8"/>
  <c r="CE32" i="8"/>
  <c r="AD32" i="8"/>
  <c r="CB32" i="8" a="1"/>
  <c r="CB32" i="8" s="1"/>
  <c r="ED32" i="8"/>
  <c r="AC32" i="8" a="1"/>
  <c r="AC32" i="8" s="1"/>
  <c r="EB32" i="8"/>
  <c r="CD32" i="8"/>
  <c r="EC32" i="8"/>
  <c r="AF32" i="8"/>
  <c r="AE32" i="8"/>
  <c r="EA32" i="8" a="1"/>
  <c r="EA32" i="8" s="1"/>
  <c r="CC32" i="8"/>
  <c r="X31" i="8" a="1"/>
  <c r="X31" i="8" s="1"/>
  <c r="T32" i="8"/>
  <c r="Y32" i="8"/>
  <c r="K32" i="8"/>
  <c r="U32" i="8"/>
  <c r="P32" i="8"/>
  <c r="O32" i="8"/>
  <c r="N32" i="8" a="1"/>
  <c r="N32" i="8" s="1"/>
  <c r="M32" i="8"/>
  <c r="Q32" i="8"/>
  <c r="W32" i="8"/>
  <c r="J33" i="8"/>
  <c r="V33" i="8" s="1"/>
  <c r="EP33" i="8" l="1"/>
  <c r="CM33" i="8"/>
  <c r="AJ33" i="8"/>
  <c r="AZ33" i="8"/>
  <c r="ER33" i="8"/>
  <c r="ET33" i="8"/>
  <c r="CQ33" i="8"/>
  <c r="AN33" i="8"/>
  <c r="EV33" i="8"/>
  <c r="CS33" i="8"/>
  <c r="AP33" i="8"/>
  <c r="EG33" i="8"/>
  <c r="EW33" i="8"/>
  <c r="CT33" i="8"/>
  <c r="AQ33" i="8"/>
  <c r="EJ33" i="8"/>
  <c r="EZ33" i="8"/>
  <c r="CW33" i="8"/>
  <c r="AT33" i="8"/>
  <c r="EN33" i="8"/>
  <c r="CK33" i="8"/>
  <c r="DA33" i="8"/>
  <c r="AX33" i="8"/>
  <c r="EX33" i="8"/>
  <c r="CU33" i="8"/>
  <c r="AK33" i="8"/>
  <c r="EY33" i="8"/>
  <c r="CV33" i="8"/>
  <c r="AL33" i="8"/>
  <c r="FA33" i="8"/>
  <c r="CX33" i="8"/>
  <c r="AM33" i="8"/>
  <c r="CY33" i="8"/>
  <c r="AO33" i="8"/>
  <c r="CZ33" i="8"/>
  <c r="AR33" i="8"/>
  <c r="EI33" i="8"/>
  <c r="CH33" i="8"/>
  <c r="AW33" i="8"/>
  <c r="EK33" i="8"/>
  <c r="CI33" i="8"/>
  <c r="AY33" i="8"/>
  <c r="EL33" i="8"/>
  <c r="CJ33" i="8"/>
  <c r="BA33" i="8"/>
  <c r="EM33" i="8"/>
  <c r="CL33" i="8"/>
  <c r="BB33" i="8"/>
  <c r="EH33" i="8"/>
  <c r="AU33" i="8"/>
  <c r="EQ33" i="8"/>
  <c r="BC33" i="8"/>
  <c r="ES33" i="8"/>
  <c r="EU33" i="8"/>
  <c r="CN33" i="8"/>
  <c r="CP33" i="8"/>
  <c r="CO33" i="8"/>
  <c r="CR33" i="8"/>
  <c r="EO33" i="8"/>
  <c r="AV33" i="8"/>
  <c r="DB33" i="8"/>
  <c r="AI33" i="8"/>
  <c r="AS33" i="8"/>
  <c r="M13" i="8"/>
  <c r="GX33" i="8"/>
  <c r="L33" i="8" s="1"/>
  <c r="GY33" i="8"/>
  <c r="GL33" i="8"/>
  <c r="GN33" i="8"/>
  <c r="GO33" i="8"/>
  <c r="GP33" i="8"/>
  <c r="GA33" i="8"/>
  <c r="GQ33" i="8"/>
  <c r="GC33" i="8"/>
  <c r="GS33" i="8"/>
  <c r="GD33" i="8"/>
  <c r="GT33" i="8"/>
  <c r="GF33" i="8"/>
  <c r="GG33" i="8"/>
  <c r="GJ33" i="8"/>
  <c r="GW33" i="8"/>
  <c r="GB33" i="8"/>
  <c r="GH33" i="8"/>
  <c r="GK33" i="8"/>
  <c r="GI33" i="8"/>
  <c r="GM33" i="8"/>
  <c r="GU33" i="8"/>
  <c r="GE33" i="8"/>
  <c r="GR33" i="8"/>
  <c r="FZ33" i="8"/>
  <c r="FU33" i="8"/>
  <c r="FE33" i="8"/>
  <c r="FC33" i="8"/>
  <c r="FT33" i="8"/>
  <c r="FD33" i="8"/>
  <c r="FO33" i="8"/>
  <c r="FM33" i="8"/>
  <c r="FQ33" i="8"/>
  <c r="FN33" i="8"/>
  <c r="FL33" i="8"/>
  <c r="FJ33" i="8"/>
  <c r="DD33" i="8"/>
  <c r="FG33" i="8"/>
  <c r="DM33" i="8"/>
  <c r="DK33" i="8"/>
  <c r="DJ33" i="8"/>
  <c r="FW33" i="8"/>
  <c r="DX33" i="8"/>
  <c r="DH33" i="8"/>
  <c r="FV33" i="8"/>
  <c r="FR33" i="8"/>
  <c r="FK33" i="8"/>
  <c r="FP33" i="8"/>
  <c r="DE33" i="8"/>
  <c r="FH33" i="8"/>
  <c r="DW33" i="8"/>
  <c r="FF33" i="8"/>
  <c r="DV33" i="8"/>
  <c r="DT33" i="8"/>
  <c r="AH33" i="8"/>
  <c r="DS33" i="8"/>
  <c r="DQ33" i="8"/>
  <c r="DO33" i="8"/>
  <c r="DN33" i="8"/>
  <c r="DI33" i="8"/>
  <c r="FX33" i="8"/>
  <c r="DG33" i="8"/>
  <c r="DR33" i="8"/>
  <c r="BE33" i="8"/>
  <c r="DP33" i="8"/>
  <c r="CG33" i="8"/>
  <c r="DL33" i="8"/>
  <c r="EF33" i="8"/>
  <c r="DF33" i="8"/>
  <c r="DU33" i="8"/>
  <c r="FS33" i="8"/>
  <c r="FI33" i="8"/>
  <c r="DY33" i="8"/>
  <c r="BJ33" i="8"/>
  <c r="BZ33" i="8"/>
  <c r="BK33" i="8"/>
  <c r="BM33" i="8"/>
  <c r="BG33" i="8"/>
  <c r="BW33" i="8"/>
  <c r="BI33" i="8"/>
  <c r="BL33" i="8"/>
  <c r="BN33" i="8"/>
  <c r="BO33" i="8"/>
  <c r="BY33" i="8"/>
  <c r="BP33" i="8"/>
  <c r="BQ33" i="8"/>
  <c r="BR33" i="8"/>
  <c r="BS33" i="8"/>
  <c r="BT33" i="8"/>
  <c r="BV33" i="8"/>
  <c r="BU33" i="8"/>
  <c r="BX33" i="8"/>
  <c r="BF33" i="8"/>
  <c r="BH33" i="8"/>
  <c r="AB34" i="8"/>
  <c r="AC33" i="8" a="1"/>
  <c r="AC33" i="8" s="1"/>
  <c r="CB33" i="8" a="1"/>
  <c r="CB33" i="8" s="1"/>
  <c r="AE33" i="8"/>
  <c r="CC33" i="8"/>
  <c r="AF33" i="8"/>
  <c r="CD33" i="8"/>
  <c r="EA33" i="8" a="1"/>
  <c r="EA33" i="8" s="1"/>
  <c r="ED33" i="8"/>
  <c r="AD33" i="8"/>
  <c r="EB33" i="8"/>
  <c r="EC33" i="8"/>
  <c r="CE33" i="8"/>
  <c r="P33" i="8"/>
  <c r="O33" i="8"/>
  <c r="M33" i="8"/>
  <c r="J34" i="8"/>
  <c r="V34" i="8" s="1"/>
  <c r="K33" i="8"/>
  <c r="Y33" i="8"/>
  <c r="W33" i="8"/>
  <c r="U33" i="8"/>
  <c r="Q33" i="8"/>
  <c r="N33" i="8" a="1"/>
  <c r="N33" i="8" s="1"/>
  <c r="X32" i="8" a="1"/>
  <c r="X32" i="8" s="1"/>
  <c r="T33" i="8"/>
  <c r="EK34" i="8" l="1"/>
  <c r="FA34" i="8"/>
  <c r="CH34" i="8"/>
  <c r="CX34" i="8"/>
  <c r="AU34" i="8"/>
  <c r="EM34" i="8"/>
  <c r="EO34" i="8"/>
  <c r="CL34" i="8"/>
  <c r="DB34" i="8"/>
  <c r="AI34" i="8"/>
  <c r="AY34" i="8"/>
  <c r="EQ34" i="8"/>
  <c r="CN34" i="8"/>
  <c r="AK34" i="8"/>
  <c r="BA34" i="8"/>
  <c r="ER34" i="8"/>
  <c r="CO34" i="8"/>
  <c r="AL34" i="8"/>
  <c r="BB34" i="8"/>
  <c r="EU34" i="8"/>
  <c r="CR34" i="8"/>
  <c r="AO34" i="8"/>
  <c r="EI34" i="8"/>
  <c r="EY34" i="8"/>
  <c r="CV34" i="8"/>
  <c r="AS34" i="8"/>
  <c r="CY34" i="8"/>
  <c r="AP34" i="8"/>
  <c r="CZ34" i="8"/>
  <c r="AQ34" i="8"/>
  <c r="DA34" i="8"/>
  <c r="AR34" i="8"/>
  <c r="EG34" i="8"/>
  <c r="AT34" i="8"/>
  <c r="EH34" i="8"/>
  <c r="AV34" i="8"/>
  <c r="EP34" i="8"/>
  <c r="CK34" i="8"/>
  <c r="BC34" i="8"/>
  <c r="ES34" i="8"/>
  <c r="CM34" i="8"/>
  <c r="ET34" i="8"/>
  <c r="CP34" i="8"/>
  <c r="EV34" i="8"/>
  <c r="CQ34" i="8"/>
  <c r="CJ34" i="8"/>
  <c r="CT34" i="8"/>
  <c r="CU34" i="8"/>
  <c r="AJ34" i="8"/>
  <c r="EN34" i="8"/>
  <c r="AX34" i="8"/>
  <c r="CW34" i="8"/>
  <c r="AM34" i="8"/>
  <c r="EJ34" i="8"/>
  <c r="AN34" i="8"/>
  <c r="AZ34" i="8"/>
  <c r="EX34" i="8"/>
  <c r="EL34" i="8"/>
  <c r="AW34" i="8"/>
  <c r="EW34" i="8"/>
  <c r="EZ34" i="8"/>
  <c r="CS34" i="8"/>
  <c r="CI34" i="8"/>
  <c r="M14" i="8"/>
  <c r="M15" i="8"/>
  <c r="GX34" i="8"/>
  <c r="L34" i="8" s="1"/>
  <c r="GY34" i="8"/>
  <c r="GG34" i="8"/>
  <c r="GI34" i="8"/>
  <c r="GJ34" i="8"/>
  <c r="GK34" i="8"/>
  <c r="GL34" i="8"/>
  <c r="GN34" i="8"/>
  <c r="GO34" i="8"/>
  <c r="GA34" i="8"/>
  <c r="GQ34" i="8"/>
  <c r="GE34" i="8"/>
  <c r="GU34" i="8"/>
  <c r="GH34" i="8"/>
  <c r="GW34" i="8"/>
  <c r="GM34" i="8"/>
  <c r="GP34" i="8"/>
  <c r="GR34" i="8"/>
  <c r="GT34" i="8"/>
  <c r="GS34" i="8"/>
  <c r="GB34" i="8"/>
  <c r="GC34" i="8"/>
  <c r="GD34" i="8"/>
  <c r="GF34" i="8"/>
  <c r="FP34" i="8"/>
  <c r="FO34" i="8"/>
  <c r="FJ34" i="8"/>
  <c r="FX34" i="8"/>
  <c r="FH34" i="8"/>
  <c r="FR34" i="8"/>
  <c r="FN34" i="8"/>
  <c r="FM34" i="8"/>
  <c r="FK34" i="8"/>
  <c r="FF34" i="8"/>
  <c r="FI34" i="8"/>
  <c r="DX34" i="8"/>
  <c r="DH34" i="8"/>
  <c r="FE34" i="8"/>
  <c r="DV34" i="8"/>
  <c r="DF34" i="8"/>
  <c r="FD34" i="8"/>
  <c r="DU34" i="8"/>
  <c r="DE34" i="8"/>
  <c r="DS34" i="8"/>
  <c r="DD34" i="8"/>
  <c r="FV34" i="8"/>
  <c r="DG34" i="8"/>
  <c r="DY34" i="8"/>
  <c r="CG34" i="8"/>
  <c r="FZ34" i="8"/>
  <c r="DT34" i="8"/>
  <c r="DR34" i="8"/>
  <c r="FU34" i="8"/>
  <c r="DP34" i="8"/>
  <c r="FS34" i="8"/>
  <c r="DN34" i="8"/>
  <c r="FQ34" i="8"/>
  <c r="DM34" i="8"/>
  <c r="EF34" i="8"/>
  <c r="FG34" i="8"/>
  <c r="DK34" i="8"/>
  <c r="DJ34" i="8"/>
  <c r="FC34" i="8"/>
  <c r="AH34" i="8"/>
  <c r="DW34" i="8"/>
  <c r="BE34" i="8"/>
  <c r="FW34" i="8"/>
  <c r="DQ34" i="8"/>
  <c r="FT34" i="8"/>
  <c r="DO34" i="8"/>
  <c r="FL34" i="8"/>
  <c r="DL34" i="8"/>
  <c r="DI34" i="8"/>
  <c r="BU34" i="8"/>
  <c r="BF34" i="8"/>
  <c r="BV34" i="8"/>
  <c r="BH34" i="8"/>
  <c r="BX34" i="8"/>
  <c r="BR34" i="8"/>
  <c r="BK34" i="8"/>
  <c r="BM34" i="8"/>
  <c r="BN34" i="8"/>
  <c r="BL34" i="8"/>
  <c r="BO34" i="8"/>
  <c r="BP34" i="8"/>
  <c r="BY34" i="8"/>
  <c r="BQ34" i="8"/>
  <c r="BT34" i="8"/>
  <c r="BS34" i="8"/>
  <c r="BG34" i="8"/>
  <c r="BZ34" i="8"/>
  <c r="BW34" i="8"/>
  <c r="BI34" i="8"/>
  <c r="BJ34" i="8"/>
  <c r="AB35" i="8"/>
  <c r="AC34" i="8" a="1"/>
  <c r="AC34" i="8" s="1"/>
  <c r="CE34" i="8"/>
  <c r="EB34" i="8"/>
  <c r="CD34" i="8"/>
  <c r="AD34" i="8"/>
  <c r="AE34" i="8"/>
  <c r="ED34" i="8"/>
  <c r="CB34" i="8" a="1"/>
  <c r="CB34" i="8" s="1"/>
  <c r="CC34" i="8"/>
  <c r="EC34" i="8"/>
  <c r="EA34" i="8" a="1"/>
  <c r="EA34" i="8" s="1"/>
  <c r="AF34" i="8"/>
  <c r="Q34" i="8"/>
  <c r="P34" i="8"/>
  <c r="M34" i="8"/>
  <c r="J35" i="8"/>
  <c r="V35" i="8" s="1"/>
  <c r="K34" i="8"/>
  <c r="W34" i="8"/>
  <c r="N34" i="8" a="1"/>
  <c r="N34" i="8" s="1"/>
  <c r="Y34" i="8"/>
  <c r="U34" i="8"/>
  <c r="O34" i="8"/>
  <c r="T34" i="8"/>
  <c r="X33" i="8" a="1"/>
  <c r="X33" i="8" s="1"/>
  <c r="EV35" i="8" l="1"/>
  <c r="CS35" i="8"/>
  <c r="AP35" i="8"/>
  <c r="EH35" i="8"/>
  <c r="EX35" i="8"/>
  <c r="EJ35" i="8"/>
  <c r="EZ35" i="8"/>
  <c r="CW35" i="8"/>
  <c r="AT35" i="8"/>
  <c r="EL35" i="8"/>
  <c r="CI35" i="8"/>
  <c r="CY35" i="8"/>
  <c r="AV35" i="8"/>
  <c r="EM35" i="8"/>
  <c r="CJ35" i="8"/>
  <c r="CZ35" i="8"/>
  <c r="AW35" i="8"/>
  <c r="EP35" i="8"/>
  <c r="CM35" i="8"/>
  <c r="AJ35" i="8"/>
  <c r="AZ35" i="8"/>
  <c r="ET35" i="8"/>
  <c r="CQ35" i="8"/>
  <c r="AN35" i="8"/>
  <c r="EI35" i="8"/>
  <c r="AS35" i="8"/>
  <c r="EK35" i="8"/>
  <c r="AU35" i="8"/>
  <c r="EN35" i="8"/>
  <c r="AX35" i="8"/>
  <c r="EO35" i="8"/>
  <c r="CH35" i="8"/>
  <c r="AY35" i="8"/>
  <c r="EQ35" i="8"/>
  <c r="CK35" i="8"/>
  <c r="BA35" i="8"/>
  <c r="EW35" i="8"/>
  <c r="CP35" i="8"/>
  <c r="EY35" i="8"/>
  <c r="CR35" i="8"/>
  <c r="AI35" i="8"/>
  <c r="FA35" i="8"/>
  <c r="CT35" i="8"/>
  <c r="AK35" i="8"/>
  <c r="CU35" i="8"/>
  <c r="AL35" i="8"/>
  <c r="CL35" i="8"/>
  <c r="CO35" i="8"/>
  <c r="CN35" i="8"/>
  <c r="CX35" i="8"/>
  <c r="CV35" i="8"/>
  <c r="DA35" i="8"/>
  <c r="AO35" i="8"/>
  <c r="ER35" i="8"/>
  <c r="AR35" i="8"/>
  <c r="EG35" i="8"/>
  <c r="DB35" i="8"/>
  <c r="AQ35" i="8"/>
  <c r="ES35" i="8"/>
  <c r="BB35" i="8"/>
  <c r="EU35" i="8"/>
  <c r="BC35" i="8"/>
  <c r="AM35" i="8"/>
  <c r="M16" i="8"/>
  <c r="GX35" i="8"/>
  <c r="L35" i="8" s="1"/>
  <c r="GY35" i="8"/>
  <c r="GB35" i="8"/>
  <c r="GR35" i="8"/>
  <c r="GD35" i="8"/>
  <c r="GT35" i="8"/>
  <c r="GE35" i="8"/>
  <c r="GU35" i="8"/>
  <c r="GF35" i="8"/>
  <c r="GG35" i="8"/>
  <c r="GI35" i="8"/>
  <c r="GJ35" i="8"/>
  <c r="GL35" i="8"/>
  <c r="GW35" i="8"/>
  <c r="GP35" i="8"/>
  <c r="GA35" i="8"/>
  <c r="GC35" i="8"/>
  <c r="GH35" i="8"/>
  <c r="GK35" i="8"/>
  <c r="GM35" i="8"/>
  <c r="GN35" i="8"/>
  <c r="GO35" i="8"/>
  <c r="GQ35" i="8"/>
  <c r="GS35" i="8"/>
  <c r="FZ35" i="8"/>
  <c r="FK35" i="8"/>
  <c r="FJ35" i="8"/>
  <c r="FU35" i="8"/>
  <c r="FE35" i="8"/>
  <c r="FS35" i="8"/>
  <c r="FQ35" i="8"/>
  <c r="FO35" i="8"/>
  <c r="FN35" i="8"/>
  <c r="FL35" i="8"/>
  <c r="DD35" i="8"/>
  <c r="FG35" i="8"/>
  <c r="FV35" i="8"/>
  <c r="DS35" i="8"/>
  <c r="FR35" i="8"/>
  <c r="DQ35" i="8"/>
  <c r="FP35" i="8"/>
  <c r="DP35" i="8"/>
  <c r="FI35" i="8"/>
  <c r="DN35" i="8"/>
  <c r="FH35" i="8"/>
  <c r="FC35" i="8"/>
  <c r="FD35" i="8"/>
  <c r="DG35" i="8"/>
  <c r="FX35" i="8"/>
  <c r="DY35" i="8"/>
  <c r="DE35" i="8"/>
  <c r="CG35" i="8"/>
  <c r="FW35" i="8"/>
  <c r="DX35" i="8"/>
  <c r="FM35" i="8"/>
  <c r="DV35" i="8"/>
  <c r="FF35" i="8"/>
  <c r="DU35" i="8"/>
  <c r="DR35" i="8"/>
  <c r="DM35" i="8"/>
  <c r="EF35" i="8"/>
  <c r="DL35" i="8"/>
  <c r="DJ35" i="8"/>
  <c r="DI35" i="8"/>
  <c r="DH35" i="8"/>
  <c r="DT35" i="8"/>
  <c r="DW35" i="8"/>
  <c r="DO35" i="8"/>
  <c r="DK35" i="8"/>
  <c r="DF35" i="8"/>
  <c r="AH35" i="8"/>
  <c r="FT35" i="8"/>
  <c r="BE35" i="8"/>
  <c r="BP35" i="8"/>
  <c r="BQ35" i="8"/>
  <c r="BS35" i="8"/>
  <c r="BM35" i="8"/>
  <c r="BJ35" i="8"/>
  <c r="BF35" i="8"/>
  <c r="BK35" i="8"/>
  <c r="BL35" i="8"/>
  <c r="BN35" i="8"/>
  <c r="BG35" i="8"/>
  <c r="BZ35" i="8"/>
  <c r="BO35" i="8"/>
  <c r="BR35" i="8"/>
  <c r="BX35" i="8"/>
  <c r="BT35" i="8"/>
  <c r="BY35" i="8"/>
  <c r="BU35" i="8"/>
  <c r="BV35" i="8"/>
  <c r="BW35" i="8"/>
  <c r="BH35" i="8"/>
  <c r="BI35" i="8"/>
  <c r="AB36" i="8"/>
  <c r="AE35" i="8"/>
  <c r="ED35" i="8"/>
  <c r="AC35" i="8" a="1"/>
  <c r="AC35" i="8" s="1"/>
  <c r="EC35" i="8"/>
  <c r="EA35" i="8" a="1"/>
  <c r="EA35" i="8" s="1"/>
  <c r="EB35" i="8"/>
  <c r="AD35" i="8"/>
  <c r="AF35" i="8"/>
  <c r="CC35" i="8"/>
  <c r="CB35" i="8" a="1"/>
  <c r="CB35" i="8" s="1"/>
  <c r="CE35" i="8"/>
  <c r="CD35" i="8"/>
  <c r="X34" i="8" a="1"/>
  <c r="X34" i="8" s="1"/>
  <c r="T35" i="8"/>
  <c r="N35" i="8" a="1"/>
  <c r="N35" i="8" s="1"/>
  <c r="M35" i="8"/>
  <c r="K35" i="8"/>
  <c r="W35" i="8"/>
  <c r="U35" i="8"/>
  <c r="Q35" i="8"/>
  <c r="P35" i="8"/>
  <c r="J36" i="8"/>
  <c r="V36" i="8" s="1"/>
  <c r="Y35" i="8"/>
  <c r="O35" i="8"/>
  <c r="EQ36" i="8" l="1"/>
  <c r="CN36" i="8"/>
  <c r="AK36" i="8"/>
  <c r="BA36" i="8"/>
  <c r="ES36" i="8"/>
  <c r="EU36" i="8"/>
  <c r="CR36" i="8"/>
  <c r="AO36" i="8"/>
  <c r="EG36" i="8"/>
  <c r="EW36" i="8"/>
  <c r="CT36" i="8"/>
  <c r="AQ36" i="8"/>
  <c r="EH36" i="8"/>
  <c r="EX36" i="8"/>
  <c r="CU36" i="8"/>
  <c r="AR36" i="8"/>
  <c r="EK36" i="8"/>
  <c r="FA36" i="8"/>
  <c r="CH36" i="8"/>
  <c r="CX36" i="8"/>
  <c r="AU36" i="8"/>
  <c r="EO36" i="8"/>
  <c r="CL36" i="8"/>
  <c r="DB36" i="8"/>
  <c r="AI36" i="8"/>
  <c r="AY36" i="8"/>
  <c r="EP36" i="8"/>
  <c r="CI36" i="8"/>
  <c r="AX36" i="8"/>
  <c r="ER36" i="8"/>
  <c r="CJ36" i="8"/>
  <c r="ET36" i="8"/>
  <c r="CK36" i="8"/>
  <c r="BB36" i="8"/>
  <c r="EV36" i="8"/>
  <c r="CM36" i="8"/>
  <c r="BC36" i="8"/>
  <c r="EY36" i="8"/>
  <c r="CO36" i="8"/>
  <c r="CV36" i="8"/>
  <c r="AL36" i="8"/>
  <c r="CW36" i="8"/>
  <c r="AM36" i="8"/>
  <c r="CY36" i="8"/>
  <c r="AN36" i="8"/>
  <c r="EI36" i="8"/>
  <c r="CZ36" i="8"/>
  <c r="AP36" i="8"/>
  <c r="EL36" i="8"/>
  <c r="AS36" i="8"/>
  <c r="EN36" i="8"/>
  <c r="AV36" i="8"/>
  <c r="EZ36" i="8"/>
  <c r="AW36" i="8"/>
  <c r="AZ36" i="8"/>
  <c r="CP36" i="8"/>
  <c r="EM36" i="8"/>
  <c r="CQ36" i="8"/>
  <c r="AJ36" i="8"/>
  <c r="CS36" i="8"/>
  <c r="EJ36" i="8"/>
  <c r="DA36" i="8"/>
  <c r="AT36" i="8"/>
  <c r="M17" i="8"/>
  <c r="M18" i="8"/>
  <c r="GX36" i="8"/>
  <c r="L36" i="8" s="1"/>
  <c r="GY36" i="8"/>
  <c r="GM36" i="8"/>
  <c r="GO36" i="8"/>
  <c r="GP36" i="8"/>
  <c r="GA36" i="8"/>
  <c r="GQ36" i="8"/>
  <c r="GB36" i="8"/>
  <c r="GR36" i="8"/>
  <c r="GD36" i="8"/>
  <c r="GT36" i="8"/>
  <c r="GE36" i="8"/>
  <c r="GU36" i="8"/>
  <c r="GG36" i="8"/>
  <c r="GK36" i="8"/>
  <c r="GF36" i="8"/>
  <c r="GJ36" i="8"/>
  <c r="GH36" i="8"/>
  <c r="GI36" i="8"/>
  <c r="GL36" i="8"/>
  <c r="GS36" i="8"/>
  <c r="GC36" i="8"/>
  <c r="GW36" i="8"/>
  <c r="GN36" i="8"/>
  <c r="FV36" i="8"/>
  <c r="FF36" i="8"/>
  <c r="FU36" i="8"/>
  <c r="FE36" i="8"/>
  <c r="FP36" i="8"/>
  <c r="FN36" i="8"/>
  <c r="FZ36" i="8"/>
  <c r="FR36" i="8"/>
  <c r="FO36" i="8"/>
  <c r="FM36" i="8"/>
  <c r="FK36" i="8"/>
  <c r="FH36" i="8"/>
  <c r="DN36" i="8"/>
  <c r="DL36" i="8"/>
  <c r="DK36" i="8"/>
  <c r="FW36" i="8"/>
  <c r="DY36" i="8"/>
  <c r="DI36" i="8"/>
  <c r="FT36" i="8"/>
  <c r="FQ36" i="8"/>
  <c r="FJ36" i="8"/>
  <c r="DD36" i="8"/>
  <c r="FG36" i="8"/>
  <c r="DF36" i="8"/>
  <c r="DX36" i="8"/>
  <c r="DW36" i="8"/>
  <c r="DU36" i="8"/>
  <c r="DT36" i="8"/>
  <c r="FC36" i="8"/>
  <c r="DR36" i="8"/>
  <c r="AH36" i="8"/>
  <c r="DP36" i="8"/>
  <c r="DO36" i="8"/>
  <c r="FS36" i="8"/>
  <c r="DJ36" i="8"/>
  <c r="FL36" i="8"/>
  <c r="DH36" i="8"/>
  <c r="DQ36" i="8"/>
  <c r="DM36" i="8"/>
  <c r="DG36" i="8"/>
  <c r="EF36" i="8"/>
  <c r="DE36" i="8"/>
  <c r="FI36" i="8"/>
  <c r="FX36" i="8"/>
  <c r="FD36" i="8"/>
  <c r="CG36" i="8"/>
  <c r="DV36" i="8"/>
  <c r="BE36" i="8"/>
  <c r="DS36" i="8"/>
  <c r="BK36" i="8"/>
  <c r="BL36" i="8"/>
  <c r="BN36" i="8"/>
  <c r="BH36" i="8"/>
  <c r="BX36" i="8"/>
  <c r="BJ36" i="8"/>
  <c r="BP36" i="8"/>
  <c r="BM36" i="8"/>
  <c r="BO36" i="8"/>
  <c r="BQ36" i="8"/>
  <c r="BR36" i="8"/>
  <c r="BY36" i="8"/>
  <c r="BS36" i="8"/>
  <c r="BU36" i="8"/>
  <c r="BF36" i="8"/>
  <c r="BT36" i="8"/>
  <c r="BW36" i="8"/>
  <c r="BZ36" i="8"/>
  <c r="BV36" i="8"/>
  <c r="BG36" i="8"/>
  <c r="BI36" i="8"/>
  <c r="AB37" i="8"/>
  <c r="EA36" i="8" a="1"/>
  <c r="EA36" i="8" s="1"/>
  <c r="ED36" i="8"/>
  <c r="CD36" i="8"/>
  <c r="AE36" i="8"/>
  <c r="EC36" i="8"/>
  <c r="AD36" i="8"/>
  <c r="EB36" i="8"/>
  <c r="AF36" i="8"/>
  <c r="AC36" i="8" a="1"/>
  <c r="AC36" i="8" s="1"/>
  <c r="CE36" i="8"/>
  <c r="CC36" i="8"/>
  <c r="CB36" i="8" a="1"/>
  <c r="CB36" i="8" s="1"/>
  <c r="X35" i="8" a="1"/>
  <c r="X35" i="8" s="1"/>
  <c r="T36" i="8"/>
  <c r="Y36" i="8"/>
  <c r="K36" i="8"/>
  <c r="W36" i="8"/>
  <c r="U36" i="8"/>
  <c r="P36" i="8"/>
  <c r="O36" i="8"/>
  <c r="N36" i="8" a="1"/>
  <c r="N36" i="8" s="1"/>
  <c r="M36" i="8"/>
  <c r="J37" i="8"/>
  <c r="V37" i="8" s="1"/>
  <c r="Q36" i="8"/>
  <c r="EL37" i="8" l="1"/>
  <c r="CI37" i="8"/>
  <c r="CY37" i="8"/>
  <c r="AV37" i="8"/>
  <c r="EN37" i="8"/>
  <c r="EP37" i="8"/>
  <c r="CM37" i="8"/>
  <c r="AJ37" i="8"/>
  <c r="AZ37" i="8"/>
  <c r="ER37" i="8"/>
  <c r="CO37" i="8"/>
  <c r="AL37" i="8"/>
  <c r="BB37" i="8"/>
  <c r="ES37" i="8"/>
  <c r="CP37" i="8"/>
  <c r="AM37" i="8"/>
  <c r="BC37" i="8"/>
  <c r="EV37" i="8"/>
  <c r="CS37" i="8"/>
  <c r="AP37" i="8"/>
  <c r="EJ37" i="8"/>
  <c r="EZ37" i="8"/>
  <c r="CW37" i="8"/>
  <c r="AT37" i="8"/>
  <c r="EX37" i="8"/>
  <c r="CL37" i="8"/>
  <c r="EY37" i="8"/>
  <c r="CN37" i="8"/>
  <c r="FA37" i="8"/>
  <c r="CQ37" i="8"/>
  <c r="CR37" i="8"/>
  <c r="CT37" i="8"/>
  <c r="AI37" i="8"/>
  <c r="EI37" i="8"/>
  <c r="CZ37" i="8"/>
  <c r="AQ37" i="8"/>
  <c r="EK37" i="8"/>
  <c r="DA37" i="8"/>
  <c r="AR37" i="8"/>
  <c r="EM37" i="8"/>
  <c r="DB37" i="8"/>
  <c r="AS37" i="8"/>
  <c r="EO37" i="8"/>
  <c r="AU37" i="8"/>
  <c r="CH37" i="8"/>
  <c r="CK37" i="8"/>
  <c r="CU37" i="8"/>
  <c r="ET37" i="8"/>
  <c r="AW37" i="8"/>
  <c r="EG37" i="8"/>
  <c r="CV37" i="8"/>
  <c r="EH37" i="8"/>
  <c r="CX37" i="8"/>
  <c r="AK37" i="8"/>
  <c r="AO37" i="8"/>
  <c r="EQ37" i="8"/>
  <c r="AN37" i="8"/>
  <c r="EU37" i="8"/>
  <c r="AY37" i="8"/>
  <c r="BA37" i="8"/>
  <c r="EW37" i="8"/>
  <c r="AX37" i="8"/>
  <c r="CJ37" i="8"/>
  <c r="M19" i="8"/>
  <c r="GX37" i="8"/>
  <c r="L37" i="8" s="1"/>
  <c r="GY37" i="8"/>
  <c r="GH37" i="8"/>
  <c r="GJ37" i="8"/>
  <c r="GK37" i="8"/>
  <c r="GL37" i="8"/>
  <c r="GM37" i="8"/>
  <c r="GO37" i="8"/>
  <c r="GP37" i="8"/>
  <c r="GW37" i="8"/>
  <c r="GB37" i="8"/>
  <c r="GR37" i="8"/>
  <c r="GS37" i="8"/>
  <c r="GT37" i="8"/>
  <c r="GU37" i="8"/>
  <c r="GC37" i="8"/>
  <c r="GG37" i="8"/>
  <c r="GA37" i="8"/>
  <c r="GD37" i="8"/>
  <c r="GF37" i="8"/>
  <c r="GE37" i="8"/>
  <c r="GI37" i="8"/>
  <c r="GN37" i="8"/>
  <c r="GQ37" i="8"/>
  <c r="DD37" i="8"/>
  <c r="FS37" i="8"/>
  <c r="FQ37" i="8"/>
  <c r="FP37" i="8"/>
  <c r="FK37" i="8"/>
  <c r="FI37" i="8"/>
  <c r="FC37" i="8"/>
  <c r="FT37" i="8"/>
  <c r="FO37" i="8"/>
  <c r="FN37" i="8"/>
  <c r="FL37" i="8"/>
  <c r="FG37" i="8"/>
  <c r="FH37" i="8"/>
  <c r="DY37" i="8"/>
  <c r="DI37" i="8"/>
  <c r="FE37" i="8"/>
  <c r="DW37" i="8"/>
  <c r="DG37" i="8"/>
  <c r="FZ37" i="8"/>
  <c r="FD37" i="8"/>
  <c r="DV37" i="8"/>
  <c r="DF37" i="8"/>
  <c r="DT37" i="8"/>
  <c r="FW37" i="8"/>
  <c r="DH37" i="8"/>
  <c r="CG37" i="8"/>
  <c r="FX37" i="8"/>
  <c r="DU37" i="8"/>
  <c r="FV37" i="8"/>
  <c r="DS37" i="8"/>
  <c r="FR37" i="8"/>
  <c r="DQ37" i="8"/>
  <c r="EF37" i="8"/>
  <c r="BE37" i="8"/>
  <c r="FJ37" i="8"/>
  <c r="DO37" i="8"/>
  <c r="FF37" i="8"/>
  <c r="DN37" i="8"/>
  <c r="DL37" i="8"/>
  <c r="DK37" i="8"/>
  <c r="FU37" i="8"/>
  <c r="DX37" i="8"/>
  <c r="FM37" i="8"/>
  <c r="DR37" i="8"/>
  <c r="DP37" i="8"/>
  <c r="AH37" i="8"/>
  <c r="DM37" i="8"/>
  <c r="DE37" i="8"/>
  <c r="DJ37" i="8"/>
  <c r="BF37" i="8"/>
  <c r="BV37" i="8"/>
  <c r="BG37" i="8"/>
  <c r="BW37" i="8"/>
  <c r="BI37" i="8"/>
  <c r="BY37" i="8"/>
  <c r="BS37" i="8"/>
  <c r="BL37" i="8"/>
  <c r="BN37" i="8"/>
  <c r="BH37" i="8"/>
  <c r="BM37" i="8"/>
  <c r="BO37" i="8"/>
  <c r="BP37" i="8"/>
  <c r="BQ37" i="8"/>
  <c r="BR37" i="8"/>
  <c r="BZ37" i="8"/>
  <c r="BT37" i="8"/>
  <c r="BU37" i="8"/>
  <c r="BX37" i="8"/>
  <c r="BJ37" i="8"/>
  <c r="BK37" i="8"/>
  <c r="AB38" i="8"/>
  <c r="ED37" i="8"/>
  <c r="AF37" i="8"/>
  <c r="AC37" i="8" a="1"/>
  <c r="AC37" i="8" s="1"/>
  <c r="CC37" i="8"/>
  <c r="AE37" i="8"/>
  <c r="AD37" i="8"/>
  <c r="CD37" i="8"/>
  <c r="CB37" i="8" a="1"/>
  <c r="CB37" i="8" s="1"/>
  <c r="EB37" i="8"/>
  <c r="EA37" i="8" a="1"/>
  <c r="EA37" i="8" s="1"/>
  <c r="EC37" i="8"/>
  <c r="CE37" i="8"/>
  <c r="X36" i="8" a="1"/>
  <c r="X36" i="8" s="1"/>
  <c r="T37" i="8"/>
  <c r="U37" i="8"/>
  <c r="P37" i="8"/>
  <c r="O37" i="8"/>
  <c r="M37" i="8"/>
  <c r="J38" i="8"/>
  <c r="V38" i="8" s="1"/>
  <c r="K37" i="8"/>
  <c r="Y37" i="8"/>
  <c r="W37" i="8"/>
  <c r="Q37" i="8"/>
  <c r="N37" i="8" a="1"/>
  <c r="N37" i="8" s="1"/>
  <c r="EG38" i="8" l="1"/>
  <c r="EW38" i="8"/>
  <c r="CT38" i="8"/>
  <c r="AQ38" i="8"/>
  <c r="EI38" i="8"/>
  <c r="EY38" i="8"/>
  <c r="EK38" i="8"/>
  <c r="FA38" i="8"/>
  <c r="CH38" i="8"/>
  <c r="CX38" i="8"/>
  <c r="AU38" i="8"/>
  <c r="EM38" i="8"/>
  <c r="CJ38" i="8"/>
  <c r="CZ38" i="8"/>
  <c r="AW38" i="8"/>
  <c r="EN38" i="8"/>
  <c r="CK38" i="8"/>
  <c r="DA38" i="8"/>
  <c r="AX38" i="8"/>
  <c r="EQ38" i="8"/>
  <c r="CN38" i="8"/>
  <c r="AK38" i="8"/>
  <c r="BA38" i="8"/>
  <c r="EU38" i="8"/>
  <c r="CR38" i="8"/>
  <c r="AO38" i="8"/>
  <c r="CQ38" i="8"/>
  <c r="AI38" i="8"/>
  <c r="CS38" i="8"/>
  <c r="CU38" i="8"/>
  <c r="AL38" i="8"/>
  <c r="EH38" i="8"/>
  <c r="CV38" i="8"/>
  <c r="EJ38" i="8"/>
  <c r="CW38" i="8"/>
  <c r="AN38" i="8"/>
  <c r="ER38" i="8"/>
  <c r="AT38" i="8"/>
  <c r="ES38" i="8"/>
  <c r="AV38" i="8"/>
  <c r="ET38" i="8"/>
  <c r="AY38" i="8"/>
  <c r="EV38" i="8"/>
  <c r="CI38" i="8"/>
  <c r="AZ38" i="8"/>
  <c r="AS38" i="8"/>
  <c r="BC38" i="8"/>
  <c r="CM38" i="8"/>
  <c r="CP38" i="8"/>
  <c r="CL38" i="8"/>
  <c r="CO38" i="8"/>
  <c r="EL38" i="8"/>
  <c r="CY38" i="8"/>
  <c r="DB38" i="8"/>
  <c r="EP38" i="8"/>
  <c r="BB38" i="8"/>
  <c r="EO38" i="8"/>
  <c r="AJ38" i="8"/>
  <c r="EX38" i="8"/>
  <c r="AM38" i="8"/>
  <c r="EZ38" i="8"/>
  <c r="AP38" i="8"/>
  <c r="AR38" i="8"/>
  <c r="M20" i="8"/>
  <c r="GX38" i="8"/>
  <c r="L38" i="8" s="1"/>
  <c r="GY38" i="8"/>
  <c r="GC38" i="8"/>
  <c r="GS38" i="8"/>
  <c r="GE38" i="8"/>
  <c r="GU38" i="8"/>
  <c r="GF38" i="8"/>
  <c r="GG38" i="8"/>
  <c r="GH38" i="8"/>
  <c r="GJ38" i="8"/>
  <c r="GW38" i="8"/>
  <c r="GK38" i="8"/>
  <c r="GM38" i="8"/>
  <c r="GA38" i="8"/>
  <c r="GB38" i="8"/>
  <c r="GI38" i="8"/>
  <c r="GN38" i="8"/>
  <c r="GQ38" i="8"/>
  <c r="GL38" i="8"/>
  <c r="GD38" i="8"/>
  <c r="GO38" i="8"/>
  <c r="GR38" i="8"/>
  <c r="GP38" i="8"/>
  <c r="GT38" i="8"/>
  <c r="DD38" i="8"/>
  <c r="FN38" i="8"/>
  <c r="FL38" i="8"/>
  <c r="FK38" i="8"/>
  <c r="FC38" i="8"/>
  <c r="FV38" i="8"/>
  <c r="FF38" i="8"/>
  <c r="FZ38" i="8"/>
  <c r="FT38" i="8"/>
  <c r="FD38" i="8"/>
  <c r="FU38" i="8"/>
  <c r="FR38" i="8"/>
  <c r="FQ38" i="8"/>
  <c r="FO38" i="8"/>
  <c r="FI38" i="8"/>
  <c r="FX38" i="8"/>
  <c r="DT38" i="8"/>
  <c r="FS38" i="8"/>
  <c r="DR38" i="8"/>
  <c r="FP38" i="8"/>
  <c r="DQ38" i="8"/>
  <c r="FJ38" i="8"/>
  <c r="DO38" i="8"/>
  <c r="FH38" i="8"/>
  <c r="FE38" i="8"/>
  <c r="DH38" i="8"/>
  <c r="FW38" i="8"/>
  <c r="DF38" i="8"/>
  <c r="FM38" i="8"/>
  <c r="DY38" i="8"/>
  <c r="DE38" i="8"/>
  <c r="DW38" i="8"/>
  <c r="DV38" i="8"/>
  <c r="DS38" i="8"/>
  <c r="DN38" i="8"/>
  <c r="DM38" i="8"/>
  <c r="DK38" i="8"/>
  <c r="DJ38" i="8"/>
  <c r="EF38" i="8"/>
  <c r="DX38" i="8"/>
  <c r="DU38" i="8"/>
  <c r="FG38" i="8"/>
  <c r="DP38" i="8"/>
  <c r="DL38" i="8"/>
  <c r="CG38" i="8"/>
  <c r="DI38" i="8"/>
  <c r="BE38" i="8"/>
  <c r="DG38" i="8"/>
  <c r="AH38" i="8"/>
  <c r="BQ38" i="8"/>
  <c r="BR38" i="8"/>
  <c r="BT38" i="8"/>
  <c r="BN38" i="8"/>
  <c r="BK38" i="8"/>
  <c r="BL38" i="8"/>
  <c r="BM38" i="8"/>
  <c r="BO38" i="8"/>
  <c r="BP38" i="8"/>
  <c r="BW38" i="8"/>
  <c r="BS38" i="8"/>
  <c r="BF38" i="8"/>
  <c r="BU38" i="8"/>
  <c r="BG38" i="8"/>
  <c r="BV38" i="8"/>
  <c r="BZ38" i="8"/>
  <c r="BX38" i="8"/>
  <c r="BY38" i="8"/>
  <c r="BH38" i="8"/>
  <c r="BI38" i="8"/>
  <c r="BJ38" i="8"/>
  <c r="AB39" i="8"/>
  <c r="CB38" i="8" a="1"/>
  <c r="CB38" i="8" s="1"/>
  <c r="CD38" i="8"/>
  <c r="AE38" i="8"/>
  <c r="AF38" i="8"/>
  <c r="CC38" i="8"/>
  <c r="AC38" i="8" a="1"/>
  <c r="AC38" i="8" s="1"/>
  <c r="EC38" i="8"/>
  <c r="AD38" i="8"/>
  <c r="CE38" i="8"/>
  <c r="EA38" i="8" a="1"/>
  <c r="EA38" i="8" s="1"/>
  <c r="ED38" i="8"/>
  <c r="EB38" i="8"/>
  <c r="T38" i="8"/>
  <c r="X37" i="8" a="1"/>
  <c r="X37" i="8" s="1"/>
  <c r="Q38" i="8"/>
  <c r="P38" i="8"/>
  <c r="O38" i="8"/>
  <c r="M38" i="8"/>
  <c r="J39" i="8"/>
  <c r="V39" i="8" s="1"/>
  <c r="K38" i="8"/>
  <c r="W38" i="8"/>
  <c r="N38" i="8" a="1"/>
  <c r="N38" i="8" s="1"/>
  <c r="Y38" i="8"/>
  <c r="U38" i="8"/>
  <c r="ER39" i="8" l="1"/>
  <c r="CO39" i="8"/>
  <c r="AL39" i="8"/>
  <c r="BB39" i="8"/>
  <c r="ET39" i="8"/>
  <c r="EV39" i="8"/>
  <c r="CS39" i="8"/>
  <c r="AP39" i="8"/>
  <c r="EH39" i="8"/>
  <c r="EX39" i="8"/>
  <c r="CU39" i="8"/>
  <c r="AR39" i="8"/>
  <c r="EI39" i="8"/>
  <c r="EY39" i="8"/>
  <c r="CV39" i="8"/>
  <c r="AS39" i="8"/>
  <c r="EL39" i="8"/>
  <c r="CI39" i="8"/>
  <c r="CY39" i="8"/>
  <c r="AV39" i="8"/>
  <c r="EP39" i="8"/>
  <c r="CM39" i="8"/>
  <c r="AJ39" i="8"/>
  <c r="AZ39" i="8"/>
  <c r="EK39" i="8"/>
  <c r="CW39" i="8"/>
  <c r="AM39" i="8"/>
  <c r="EM39" i="8"/>
  <c r="CX39" i="8"/>
  <c r="EN39" i="8"/>
  <c r="CZ39" i="8"/>
  <c r="AO39" i="8"/>
  <c r="EO39" i="8"/>
  <c r="DA39" i="8"/>
  <c r="EQ39" i="8"/>
  <c r="DB39" i="8"/>
  <c r="AT39" i="8"/>
  <c r="EZ39" i="8"/>
  <c r="CJ39" i="8"/>
  <c r="AY39" i="8"/>
  <c r="FA39" i="8"/>
  <c r="CK39" i="8"/>
  <c r="CL39" i="8"/>
  <c r="BC39" i="8"/>
  <c r="CN39" i="8"/>
  <c r="EJ39" i="8"/>
  <c r="CT39" i="8"/>
  <c r="EU39" i="8"/>
  <c r="EW39" i="8"/>
  <c r="AI39" i="8"/>
  <c r="AU39" i="8"/>
  <c r="AK39" i="8"/>
  <c r="AN39" i="8"/>
  <c r="AQ39" i="8"/>
  <c r="AW39" i="8"/>
  <c r="AX39" i="8"/>
  <c r="BA39" i="8"/>
  <c r="CH39" i="8"/>
  <c r="ES39" i="8"/>
  <c r="CP39" i="8"/>
  <c r="CQ39" i="8"/>
  <c r="EG39" i="8"/>
  <c r="CR39" i="8"/>
  <c r="M21" i="8"/>
  <c r="M22" i="8"/>
  <c r="GX39" i="8"/>
  <c r="L39" i="8" s="1"/>
  <c r="GY39" i="8"/>
  <c r="GN39" i="8"/>
  <c r="GP39" i="8"/>
  <c r="GA39" i="8"/>
  <c r="GQ39" i="8"/>
  <c r="GB39" i="8"/>
  <c r="GR39" i="8"/>
  <c r="GC39" i="8"/>
  <c r="GS39" i="8"/>
  <c r="GE39" i="8"/>
  <c r="GU39" i="8"/>
  <c r="GF39" i="8"/>
  <c r="GH39" i="8"/>
  <c r="GI39" i="8"/>
  <c r="GJ39" i="8"/>
  <c r="GK39" i="8"/>
  <c r="GL39" i="8"/>
  <c r="GM39" i="8"/>
  <c r="GO39" i="8"/>
  <c r="GT39" i="8"/>
  <c r="GW39" i="8"/>
  <c r="GD39" i="8"/>
  <c r="GG39" i="8"/>
  <c r="FI39" i="8"/>
  <c r="FW39" i="8"/>
  <c r="FG39" i="8"/>
  <c r="FV39" i="8"/>
  <c r="FF39" i="8"/>
  <c r="FQ39" i="8"/>
  <c r="FZ39" i="8"/>
  <c r="FO39" i="8"/>
  <c r="FX39" i="8"/>
  <c r="DJ39" i="8"/>
  <c r="FT39" i="8"/>
  <c r="DX39" i="8"/>
  <c r="DH39" i="8"/>
  <c r="FS39" i="8"/>
  <c r="FP39" i="8"/>
  <c r="FL39" i="8"/>
  <c r="DQ39" i="8"/>
  <c r="DO39" i="8"/>
  <c r="DN39" i="8"/>
  <c r="DL39" i="8"/>
  <c r="DD39" i="8"/>
  <c r="FR39" i="8"/>
  <c r="FC39" i="8"/>
  <c r="FM39" i="8"/>
  <c r="FE39" i="8"/>
  <c r="DG39" i="8"/>
  <c r="DE39" i="8"/>
  <c r="DY39" i="8"/>
  <c r="DW39" i="8"/>
  <c r="BE39" i="8"/>
  <c r="DU39" i="8"/>
  <c r="DS39" i="8"/>
  <c r="FU39" i="8"/>
  <c r="DR39" i="8"/>
  <c r="FK39" i="8"/>
  <c r="DM39" i="8"/>
  <c r="FJ39" i="8"/>
  <c r="DK39" i="8"/>
  <c r="FN39" i="8"/>
  <c r="DF39" i="8"/>
  <c r="FH39" i="8"/>
  <c r="FD39" i="8"/>
  <c r="DI39" i="8"/>
  <c r="CG39" i="8"/>
  <c r="AH39" i="8"/>
  <c r="DV39" i="8"/>
  <c r="DT39" i="8"/>
  <c r="DP39" i="8"/>
  <c r="EF39" i="8"/>
  <c r="BL39" i="8"/>
  <c r="BM39" i="8"/>
  <c r="BO39" i="8"/>
  <c r="BI39" i="8"/>
  <c r="BY39" i="8"/>
  <c r="BK39" i="8"/>
  <c r="BP39" i="8"/>
  <c r="BQ39" i="8"/>
  <c r="BN39" i="8"/>
  <c r="BR39" i="8"/>
  <c r="BS39" i="8"/>
  <c r="BG39" i="8"/>
  <c r="BT39" i="8"/>
  <c r="BV39" i="8"/>
  <c r="BZ39" i="8"/>
  <c r="BU39" i="8"/>
  <c r="BX39" i="8"/>
  <c r="BW39" i="8"/>
  <c r="BF39" i="8"/>
  <c r="BH39" i="8"/>
  <c r="BJ39" i="8"/>
  <c r="AB40" i="8"/>
  <c r="AD39" i="8"/>
  <c r="CD39" i="8"/>
  <c r="AC39" i="8" a="1"/>
  <c r="AC39" i="8" s="1"/>
  <c r="AE39" i="8"/>
  <c r="EC39" i="8"/>
  <c r="EB39" i="8"/>
  <c r="CB39" i="8" a="1"/>
  <c r="CB39" i="8" s="1"/>
  <c r="AF39" i="8"/>
  <c r="CC39" i="8"/>
  <c r="EA39" i="8" a="1"/>
  <c r="EA39" i="8" s="1"/>
  <c r="CE39" i="8"/>
  <c r="ED39" i="8"/>
  <c r="N39" i="8" a="1"/>
  <c r="N39" i="8" s="1"/>
  <c r="M39" i="8"/>
  <c r="J40" i="8"/>
  <c r="V40" i="8" s="1"/>
  <c r="K39" i="8"/>
  <c r="W39" i="8"/>
  <c r="U39" i="8"/>
  <c r="Q39" i="8"/>
  <c r="P39" i="8"/>
  <c r="Y39" i="8"/>
  <c r="O39" i="8"/>
  <c r="X38" i="8" a="1"/>
  <c r="X38" i="8" s="1"/>
  <c r="T39" i="8"/>
  <c r="EM40" i="8" l="1"/>
  <c r="CJ40" i="8"/>
  <c r="CZ40" i="8"/>
  <c r="AW40" i="8"/>
  <c r="EO40" i="8"/>
  <c r="EQ40" i="8"/>
  <c r="CN40" i="8"/>
  <c r="AK40" i="8"/>
  <c r="BA40" i="8"/>
  <c r="ES40" i="8"/>
  <c r="CP40" i="8"/>
  <c r="AM40" i="8"/>
  <c r="BC40" i="8"/>
  <c r="ET40" i="8"/>
  <c r="CQ40" i="8"/>
  <c r="AN40" i="8"/>
  <c r="EG40" i="8"/>
  <c r="EW40" i="8"/>
  <c r="CT40" i="8"/>
  <c r="AQ40" i="8"/>
  <c r="EK40" i="8"/>
  <c r="FA40" i="8"/>
  <c r="CH40" i="8"/>
  <c r="CX40" i="8"/>
  <c r="AU40" i="8"/>
  <c r="ER40" i="8"/>
  <c r="DA40" i="8"/>
  <c r="AR40" i="8"/>
  <c r="EU40" i="8"/>
  <c r="DB40" i="8"/>
  <c r="EV40" i="8"/>
  <c r="AT40" i="8"/>
  <c r="EX40" i="8"/>
  <c r="EY40" i="8"/>
  <c r="AX40" i="8"/>
  <c r="CM40" i="8"/>
  <c r="CO40" i="8"/>
  <c r="EH40" i="8"/>
  <c r="CR40" i="8"/>
  <c r="EI40" i="8"/>
  <c r="CS40" i="8"/>
  <c r="AI40" i="8"/>
  <c r="AV40" i="8"/>
  <c r="CK40" i="8"/>
  <c r="AZ40" i="8"/>
  <c r="CL40" i="8"/>
  <c r="BB40" i="8"/>
  <c r="EJ40" i="8"/>
  <c r="CU40" i="8"/>
  <c r="EL40" i="8"/>
  <c r="CV40" i="8"/>
  <c r="EN40" i="8"/>
  <c r="CW40" i="8"/>
  <c r="EP40" i="8"/>
  <c r="CY40" i="8"/>
  <c r="EZ40" i="8"/>
  <c r="AL40" i="8"/>
  <c r="AJ40" i="8"/>
  <c r="CI40" i="8"/>
  <c r="AY40" i="8"/>
  <c r="AO40" i="8"/>
  <c r="AP40" i="8"/>
  <c r="AS40" i="8"/>
  <c r="M23" i="8"/>
  <c r="M24" i="8"/>
  <c r="GX40" i="8"/>
  <c r="L40" i="8" s="1"/>
  <c r="GY40" i="8"/>
  <c r="GI40" i="8"/>
  <c r="GK40" i="8"/>
  <c r="GL40" i="8"/>
  <c r="GM40" i="8"/>
  <c r="GN40" i="8"/>
  <c r="GW40" i="8"/>
  <c r="GP40" i="8"/>
  <c r="GA40" i="8"/>
  <c r="GQ40" i="8"/>
  <c r="GC40" i="8"/>
  <c r="GS40" i="8"/>
  <c r="GT40" i="8"/>
  <c r="GU40" i="8"/>
  <c r="GH40" i="8"/>
  <c r="GB40" i="8"/>
  <c r="GD40" i="8"/>
  <c r="GE40" i="8"/>
  <c r="GF40" i="8"/>
  <c r="GG40" i="8"/>
  <c r="GJ40" i="8"/>
  <c r="GO40" i="8"/>
  <c r="GR40" i="8"/>
  <c r="FU40" i="8"/>
  <c r="FE40" i="8"/>
  <c r="FT40" i="8"/>
  <c r="FD40" i="8"/>
  <c r="DD40" i="8"/>
  <c r="FR40" i="8"/>
  <c r="FQ40" i="8"/>
  <c r="FZ40" i="8"/>
  <c r="FL40" i="8"/>
  <c r="FC40" i="8"/>
  <c r="FJ40" i="8"/>
  <c r="DU40" i="8"/>
  <c r="DE40" i="8"/>
  <c r="DS40" i="8"/>
  <c r="FX40" i="8"/>
  <c r="FV40" i="8"/>
  <c r="FO40" i="8"/>
  <c r="FN40" i="8"/>
  <c r="DN40" i="8"/>
  <c r="FK40" i="8"/>
  <c r="DL40" i="8"/>
  <c r="FI40" i="8"/>
  <c r="DK40" i="8"/>
  <c r="FG40" i="8"/>
  <c r="DI40" i="8"/>
  <c r="FF40" i="8"/>
  <c r="DM40" i="8"/>
  <c r="DH40" i="8"/>
  <c r="DG40" i="8"/>
  <c r="EF40" i="8"/>
  <c r="BE40" i="8"/>
  <c r="FW40" i="8"/>
  <c r="FP40" i="8"/>
  <c r="DX40" i="8"/>
  <c r="FH40" i="8"/>
  <c r="DV40" i="8"/>
  <c r="DT40" i="8"/>
  <c r="DQ40" i="8"/>
  <c r="DP40" i="8"/>
  <c r="AH40" i="8"/>
  <c r="CG40" i="8"/>
  <c r="DY40" i="8"/>
  <c r="DW40" i="8"/>
  <c r="DR40" i="8"/>
  <c r="DO40" i="8"/>
  <c r="DJ40" i="8"/>
  <c r="DF40" i="8"/>
  <c r="FM40" i="8"/>
  <c r="FS40" i="8"/>
  <c r="BG40" i="8"/>
  <c r="BW40" i="8"/>
  <c r="BH40" i="8"/>
  <c r="BX40" i="8"/>
  <c r="BJ40" i="8"/>
  <c r="BZ40" i="8"/>
  <c r="BT40" i="8"/>
  <c r="BM40" i="8"/>
  <c r="BN40" i="8"/>
  <c r="BO40" i="8"/>
  <c r="BP40" i="8"/>
  <c r="BQ40" i="8"/>
  <c r="BF40" i="8"/>
  <c r="BR40" i="8"/>
  <c r="BS40" i="8"/>
  <c r="BU40" i="8"/>
  <c r="BI40" i="8"/>
  <c r="BV40" i="8"/>
  <c r="BY40" i="8"/>
  <c r="BK40" i="8"/>
  <c r="BL40" i="8"/>
  <c r="AB41" i="8"/>
  <c r="EC40" i="8"/>
  <c r="CE40" i="8"/>
  <c r="AD40" i="8"/>
  <c r="AC40" i="8" a="1"/>
  <c r="AC40" i="8" s="1"/>
  <c r="CD40" i="8"/>
  <c r="EB40" i="8"/>
  <c r="CB40" i="8" a="1"/>
  <c r="CB40" i="8" s="1"/>
  <c r="AF40" i="8"/>
  <c r="EA40" i="8" a="1"/>
  <c r="EA40" i="8" s="1"/>
  <c r="CC40" i="8"/>
  <c r="AE40" i="8"/>
  <c r="ED40" i="8"/>
  <c r="Y40" i="8"/>
  <c r="K40" i="8"/>
  <c r="W40" i="8"/>
  <c r="U40" i="8"/>
  <c r="P40" i="8"/>
  <c r="O40" i="8"/>
  <c r="N40" i="8" a="1"/>
  <c r="N40" i="8" s="1"/>
  <c r="M40" i="8"/>
  <c r="Q40" i="8"/>
  <c r="J41" i="8"/>
  <c r="V41" i="8" s="1"/>
  <c r="X39" i="8" a="1"/>
  <c r="X39" i="8" s="1"/>
  <c r="T40" i="8"/>
  <c r="EH41" i="8" l="1"/>
  <c r="EX41" i="8"/>
  <c r="CU41" i="8"/>
  <c r="AR41" i="8"/>
  <c r="EJ41" i="8"/>
  <c r="EZ41" i="8"/>
  <c r="EL41" i="8"/>
  <c r="CI41" i="8"/>
  <c r="CY41" i="8"/>
  <c r="AV41" i="8"/>
  <c r="EN41" i="8"/>
  <c r="CK41" i="8"/>
  <c r="DA41" i="8"/>
  <c r="AX41" i="8"/>
  <c r="EO41" i="8"/>
  <c r="CL41" i="8"/>
  <c r="DB41" i="8"/>
  <c r="AI41" i="8"/>
  <c r="AY41" i="8"/>
  <c r="ER41" i="8"/>
  <c r="CO41" i="8"/>
  <c r="AL41" i="8"/>
  <c r="BB41" i="8"/>
  <c r="EV41" i="8"/>
  <c r="CS41" i="8"/>
  <c r="AP41" i="8"/>
  <c r="EY41" i="8"/>
  <c r="AU41" i="8"/>
  <c r="FA41" i="8"/>
  <c r="CH41" i="8"/>
  <c r="AZ41" i="8"/>
  <c r="CJ41" i="8"/>
  <c r="CM41" i="8"/>
  <c r="BC41" i="8"/>
  <c r="EK41" i="8"/>
  <c r="CR41" i="8"/>
  <c r="AJ41" i="8"/>
  <c r="EM41" i="8"/>
  <c r="CT41" i="8"/>
  <c r="EP41" i="8"/>
  <c r="CV41" i="8"/>
  <c r="AM41" i="8"/>
  <c r="EQ41" i="8"/>
  <c r="CW41" i="8"/>
  <c r="AN41" i="8"/>
  <c r="CN41" i="8"/>
  <c r="AK41" i="8"/>
  <c r="AO41" i="8"/>
  <c r="CP41" i="8"/>
  <c r="AW41" i="8"/>
  <c r="AQ41" i="8"/>
  <c r="AS41" i="8"/>
  <c r="AT41" i="8"/>
  <c r="EI41" i="8"/>
  <c r="CQ41" i="8"/>
  <c r="BA41" i="8"/>
  <c r="ET41" i="8"/>
  <c r="CZ41" i="8"/>
  <c r="ES41" i="8"/>
  <c r="CX41" i="8"/>
  <c r="EU41" i="8"/>
  <c r="EW41" i="8"/>
  <c r="EG41" i="8"/>
  <c r="GX41" i="8"/>
  <c r="L41" i="8" s="1"/>
  <c r="GY41" i="8"/>
  <c r="GD41" i="8"/>
  <c r="GT41" i="8"/>
  <c r="GF41" i="8"/>
  <c r="GG41" i="8"/>
  <c r="GH41" i="8"/>
  <c r="GW41" i="8"/>
  <c r="GI41" i="8"/>
  <c r="GK41" i="8"/>
  <c r="GL41" i="8"/>
  <c r="GN41" i="8"/>
  <c r="GE41" i="8"/>
  <c r="GB41" i="8"/>
  <c r="GA41" i="8"/>
  <c r="GC41" i="8"/>
  <c r="GJ41" i="8"/>
  <c r="GO41" i="8"/>
  <c r="GM41" i="8"/>
  <c r="GP41" i="8"/>
  <c r="GR41" i="8"/>
  <c r="GS41" i="8"/>
  <c r="GQ41" i="8"/>
  <c r="GU41" i="8"/>
  <c r="FP41" i="8"/>
  <c r="FO41" i="8"/>
  <c r="FM41" i="8"/>
  <c r="DD41" i="8"/>
  <c r="FL41" i="8"/>
  <c r="FW41" i="8"/>
  <c r="FG41" i="8"/>
  <c r="FU41" i="8"/>
  <c r="FE41" i="8"/>
  <c r="FH41" i="8"/>
  <c r="DP41" i="8"/>
  <c r="FC41" i="8"/>
  <c r="FD41" i="8"/>
  <c r="DN41" i="8"/>
  <c r="FX41" i="8"/>
  <c r="FT41" i="8"/>
  <c r="DK41" i="8"/>
  <c r="FZ41" i="8"/>
  <c r="DI41" i="8"/>
  <c r="DH41" i="8"/>
  <c r="FS41" i="8"/>
  <c r="DX41" i="8"/>
  <c r="DF41" i="8"/>
  <c r="FR41" i="8"/>
  <c r="FN41" i="8"/>
  <c r="FJ41" i="8"/>
  <c r="DQ41" i="8"/>
  <c r="FQ41" i="8"/>
  <c r="DM41" i="8"/>
  <c r="FK41" i="8"/>
  <c r="DL41" i="8"/>
  <c r="FF41" i="8"/>
  <c r="DG41" i="8"/>
  <c r="DE41" i="8"/>
  <c r="DW41" i="8"/>
  <c r="DV41" i="8"/>
  <c r="DT41" i="8"/>
  <c r="DS41" i="8"/>
  <c r="DY41" i="8"/>
  <c r="DU41" i="8"/>
  <c r="CG41" i="8"/>
  <c r="DR41" i="8"/>
  <c r="DO41" i="8"/>
  <c r="DJ41" i="8"/>
  <c r="FV41" i="8"/>
  <c r="BE41" i="8"/>
  <c r="FI41" i="8"/>
  <c r="AH41" i="8"/>
  <c r="EF41" i="8"/>
  <c r="BR41" i="8"/>
  <c r="BS41" i="8"/>
  <c r="BU41" i="8"/>
  <c r="BO41" i="8"/>
  <c r="BL41" i="8"/>
  <c r="BN41" i="8"/>
  <c r="BP41" i="8"/>
  <c r="BM41" i="8"/>
  <c r="BQ41" i="8"/>
  <c r="BT41" i="8"/>
  <c r="BZ41" i="8"/>
  <c r="BH41" i="8"/>
  <c r="BV41" i="8"/>
  <c r="BW41" i="8"/>
  <c r="BX41" i="8"/>
  <c r="BF41" i="8"/>
  <c r="BI41" i="8"/>
  <c r="BY41" i="8"/>
  <c r="BG41" i="8"/>
  <c r="BJ41" i="8"/>
  <c r="BK41" i="8"/>
  <c r="AB42" i="8"/>
  <c r="EC41" i="8"/>
  <c r="CE41" i="8"/>
  <c r="AD41" i="8"/>
  <c r="CB41" i="8" a="1"/>
  <c r="CB41" i="8" s="1"/>
  <c r="ED41" i="8"/>
  <c r="AC41" i="8" a="1"/>
  <c r="AC41" i="8" s="1"/>
  <c r="CC41" i="8"/>
  <c r="EB41" i="8"/>
  <c r="AF41" i="8"/>
  <c r="AE41" i="8"/>
  <c r="CD41" i="8"/>
  <c r="EA41" i="8" a="1"/>
  <c r="EA41" i="8" s="1"/>
  <c r="X40" i="8" a="1"/>
  <c r="X40" i="8" s="1"/>
  <c r="T41" i="8"/>
  <c r="U41" i="8"/>
  <c r="P41" i="8"/>
  <c r="O41" i="8"/>
  <c r="M41" i="8"/>
  <c r="J42" i="8"/>
  <c r="V42" i="8" s="1"/>
  <c r="K41" i="8"/>
  <c r="Y41" i="8"/>
  <c r="W41" i="8"/>
  <c r="Q41" i="8"/>
  <c r="N41" i="8" a="1"/>
  <c r="N41" i="8" s="1"/>
  <c r="ES42" i="8" l="1"/>
  <c r="CP42" i="8"/>
  <c r="AM42" i="8"/>
  <c r="BC42" i="8"/>
  <c r="EU42" i="8"/>
  <c r="EG42" i="8"/>
  <c r="EW42" i="8"/>
  <c r="CT42" i="8"/>
  <c r="AQ42" i="8"/>
  <c r="EI42" i="8"/>
  <c r="EY42" i="8"/>
  <c r="CV42" i="8"/>
  <c r="AS42" i="8"/>
  <c r="EJ42" i="8"/>
  <c r="EZ42" i="8"/>
  <c r="CW42" i="8"/>
  <c r="AT42" i="8"/>
  <c r="EM42" i="8"/>
  <c r="CJ42" i="8"/>
  <c r="CZ42" i="8"/>
  <c r="AW42" i="8"/>
  <c r="EQ42" i="8"/>
  <c r="CN42" i="8"/>
  <c r="AK42" i="8"/>
  <c r="BA42" i="8"/>
  <c r="CK42" i="8"/>
  <c r="AZ42" i="8"/>
  <c r="CL42" i="8"/>
  <c r="EH42" i="8"/>
  <c r="CM42" i="8"/>
  <c r="EK42" i="8"/>
  <c r="CO42" i="8"/>
  <c r="EL42" i="8"/>
  <c r="CQ42" i="8"/>
  <c r="ER42" i="8"/>
  <c r="CX42" i="8"/>
  <c r="AN42" i="8"/>
  <c r="ET42" i="8"/>
  <c r="CY42" i="8"/>
  <c r="EV42" i="8"/>
  <c r="DA42" i="8"/>
  <c r="AP42" i="8"/>
  <c r="EX42" i="8"/>
  <c r="DB42" i="8"/>
  <c r="EO42" i="8"/>
  <c r="CS42" i="8"/>
  <c r="AU42" i="8"/>
  <c r="FA42" i="8"/>
  <c r="AX42" i="8"/>
  <c r="AY42" i="8"/>
  <c r="BB42" i="8"/>
  <c r="AI42" i="8"/>
  <c r="AJ42" i="8"/>
  <c r="EP42" i="8"/>
  <c r="CH42" i="8"/>
  <c r="AL42" i="8"/>
  <c r="CR42" i="8"/>
  <c r="AR42" i="8"/>
  <c r="CI42" i="8"/>
  <c r="AO42" i="8"/>
  <c r="EN42" i="8"/>
  <c r="CU42" i="8"/>
  <c r="AV42" i="8"/>
  <c r="GX42" i="8"/>
  <c r="L42" i="8" s="1"/>
  <c r="GY42" i="8"/>
  <c r="GO42" i="8"/>
  <c r="GA42" i="8"/>
  <c r="GQ42" i="8"/>
  <c r="GB42" i="8"/>
  <c r="GR42" i="8"/>
  <c r="GW42" i="8"/>
  <c r="GC42" i="8"/>
  <c r="GS42" i="8"/>
  <c r="GD42" i="8"/>
  <c r="GT42" i="8"/>
  <c r="GF42" i="8"/>
  <c r="GG42" i="8"/>
  <c r="GI42" i="8"/>
  <c r="GJ42" i="8"/>
  <c r="GK42" i="8"/>
  <c r="GL42" i="8"/>
  <c r="GM42" i="8"/>
  <c r="GN42" i="8"/>
  <c r="GU42" i="8"/>
  <c r="GP42" i="8"/>
  <c r="GE42" i="8"/>
  <c r="GH42" i="8"/>
  <c r="FK42" i="8"/>
  <c r="FJ42" i="8"/>
  <c r="FX42" i="8"/>
  <c r="FH42" i="8"/>
  <c r="FW42" i="8"/>
  <c r="FG42" i="8"/>
  <c r="FR42" i="8"/>
  <c r="FP42" i="8"/>
  <c r="FM42" i="8"/>
  <c r="DK42" i="8"/>
  <c r="FI42" i="8"/>
  <c r="DY42" i="8"/>
  <c r="DI42" i="8"/>
  <c r="FC42" i="8"/>
  <c r="FF42" i="8"/>
  <c r="FD42" i="8"/>
  <c r="FO42" i="8"/>
  <c r="DH42" i="8"/>
  <c r="FL42" i="8"/>
  <c r="DX42" i="8"/>
  <c r="DF42" i="8"/>
  <c r="FE42" i="8"/>
  <c r="DW42" i="8"/>
  <c r="DE42" i="8"/>
  <c r="DU42" i="8"/>
  <c r="FN42" i="8"/>
  <c r="DR42" i="8"/>
  <c r="DP42" i="8"/>
  <c r="DO42" i="8"/>
  <c r="EF42" i="8"/>
  <c r="BE42" i="8"/>
  <c r="DM42" i="8"/>
  <c r="DL42" i="8"/>
  <c r="DG42" i="8"/>
  <c r="FV42" i="8"/>
  <c r="FT42" i="8"/>
  <c r="DV42" i="8"/>
  <c r="FS42" i="8"/>
  <c r="DT42" i="8"/>
  <c r="DJ42" i="8"/>
  <c r="CG42" i="8"/>
  <c r="DD42" i="8"/>
  <c r="FZ42" i="8"/>
  <c r="FU42" i="8"/>
  <c r="FQ42" i="8"/>
  <c r="DN42" i="8"/>
  <c r="DS42" i="8"/>
  <c r="DQ42" i="8"/>
  <c r="AH42" i="8"/>
  <c r="BM42" i="8"/>
  <c r="BN42" i="8"/>
  <c r="BP42" i="8"/>
  <c r="BJ42" i="8"/>
  <c r="BZ42" i="8"/>
  <c r="BL42" i="8"/>
  <c r="BO42" i="8"/>
  <c r="BQ42" i="8"/>
  <c r="BR42" i="8"/>
  <c r="BS42" i="8"/>
  <c r="BT42" i="8"/>
  <c r="BH42" i="8"/>
  <c r="BU42" i="8"/>
  <c r="BW42" i="8"/>
  <c r="BV42" i="8"/>
  <c r="BY42" i="8"/>
  <c r="BF42" i="8"/>
  <c r="BX42" i="8"/>
  <c r="BG42" i="8"/>
  <c r="BI42" i="8"/>
  <c r="BK42" i="8"/>
  <c r="AB43" i="8"/>
  <c r="EB42" i="8"/>
  <c r="CC42" i="8"/>
  <c r="CE42" i="8"/>
  <c r="CB42" i="8" a="1"/>
  <c r="CB42" i="8" s="1"/>
  <c r="ED42" i="8"/>
  <c r="AE42" i="8"/>
  <c r="CD42" i="8"/>
  <c r="AC42" i="8" a="1"/>
  <c r="AC42" i="8" s="1"/>
  <c r="AF42" i="8"/>
  <c r="EC42" i="8"/>
  <c r="EA42" i="8" a="1"/>
  <c r="EA42" i="8" s="1"/>
  <c r="AD42" i="8"/>
  <c r="Q42" i="8"/>
  <c r="P42" i="8"/>
  <c r="O42" i="8"/>
  <c r="M42" i="8"/>
  <c r="J43" i="8"/>
  <c r="V43" i="8" s="1"/>
  <c r="K42" i="8"/>
  <c r="W42" i="8"/>
  <c r="U42" i="8"/>
  <c r="N42" i="8" a="1"/>
  <c r="N42" i="8" s="1"/>
  <c r="Y42" i="8"/>
  <c r="T42" i="8"/>
  <c r="X41" i="8" a="1"/>
  <c r="X41" i="8" s="1"/>
  <c r="EN43" i="8" l="1"/>
  <c r="CK43" i="8"/>
  <c r="DA43" i="8"/>
  <c r="AX43" i="8"/>
  <c r="EP43" i="8"/>
  <c r="ER43" i="8"/>
  <c r="CO43" i="8"/>
  <c r="AL43" i="8"/>
  <c r="BB43" i="8"/>
  <c r="ET43" i="8"/>
  <c r="CQ43" i="8"/>
  <c r="AN43" i="8"/>
  <c r="EU43" i="8"/>
  <c r="CR43" i="8"/>
  <c r="AO43" i="8"/>
  <c r="EH43" i="8"/>
  <c r="EX43" i="8"/>
  <c r="CU43" i="8"/>
  <c r="AR43" i="8"/>
  <c r="EL43" i="8"/>
  <c r="CI43" i="8"/>
  <c r="CY43" i="8"/>
  <c r="AV43" i="8"/>
  <c r="EK43" i="8"/>
  <c r="CN43" i="8"/>
  <c r="EM43" i="8"/>
  <c r="CP43" i="8"/>
  <c r="EO43" i="8"/>
  <c r="CS43" i="8"/>
  <c r="AI43" i="8"/>
  <c r="EQ43" i="8"/>
  <c r="CT43" i="8"/>
  <c r="ES43" i="8"/>
  <c r="CV43" i="8"/>
  <c r="AK43" i="8"/>
  <c r="EZ43" i="8"/>
  <c r="DB43" i="8"/>
  <c r="AS43" i="8"/>
  <c r="FA43" i="8"/>
  <c r="AU43" i="8"/>
  <c r="CH43" i="8"/>
  <c r="EG43" i="8"/>
  <c r="CJ43" i="8"/>
  <c r="EW43" i="8"/>
  <c r="AP43" i="8"/>
  <c r="AT43" i="8"/>
  <c r="EI43" i="8"/>
  <c r="CL43" i="8"/>
  <c r="EJ43" i="8"/>
  <c r="CM43" i="8"/>
  <c r="AJ43" i="8"/>
  <c r="CX43" i="8"/>
  <c r="AQ43" i="8"/>
  <c r="EV43" i="8"/>
  <c r="CW43" i="8"/>
  <c r="AM43" i="8"/>
  <c r="EY43" i="8"/>
  <c r="CZ43" i="8"/>
  <c r="AW43" i="8"/>
  <c r="AZ43" i="8"/>
  <c r="AY43" i="8"/>
  <c r="BA43" i="8"/>
  <c r="BC43" i="8"/>
  <c r="GX43" i="8"/>
  <c r="L43" i="8" s="1"/>
  <c r="GY43" i="8"/>
  <c r="GJ43" i="8"/>
  <c r="GL43" i="8"/>
  <c r="GW43" i="8"/>
  <c r="GM43" i="8"/>
  <c r="GN43" i="8"/>
  <c r="GO43" i="8"/>
  <c r="GA43" i="8"/>
  <c r="GQ43" i="8"/>
  <c r="GB43" i="8"/>
  <c r="GR43" i="8"/>
  <c r="GD43" i="8"/>
  <c r="GT43" i="8"/>
  <c r="GU43" i="8"/>
  <c r="GC43" i="8"/>
  <c r="GE43" i="8"/>
  <c r="GH43" i="8"/>
  <c r="GI43" i="8"/>
  <c r="GF43" i="8"/>
  <c r="GG43" i="8"/>
  <c r="GK43" i="8"/>
  <c r="GS43" i="8"/>
  <c r="GP43" i="8"/>
  <c r="FV43" i="8"/>
  <c r="FF43" i="8"/>
  <c r="FU43" i="8"/>
  <c r="FE43" i="8"/>
  <c r="FS43" i="8"/>
  <c r="FR43" i="8"/>
  <c r="FM43" i="8"/>
  <c r="FK43" i="8"/>
  <c r="FP43" i="8"/>
  <c r="DV43" i="8"/>
  <c r="DF43" i="8"/>
  <c r="FN43" i="8"/>
  <c r="DT43" i="8"/>
  <c r="FL43" i="8"/>
  <c r="FI43" i="8"/>
  <c r="FH43" i="8"/>
  <c r="FD43" i="8"/>
  <c r="FZ43" i="8"/>
  <c r="DY43" i="8"/>
  <c r="DG43" i="8"/>
  <c r="DW43" i="8"/>
  <c r="DU43" i="8"/>
  <c r="FW43" i="8"/>
  <c r="DR43" i="8"/>
  <c r="FT43" i="8"/>
  <c r="FO43" i="8"/>
  <c r="DD43" i="8"/>
  <c r="FG43" i="8"/>
  <c r="DX43" i="8"/>
  <c r="DQ43" i="8"/>
  <c r="EF43" i="8"/>
  <c r="BE43" i="8"/>
  <c r="DP43" i="8"/>
  <c r="DN43" i="8"/>
  <c r="DM43" i="8"/>
  <c r="FX43" i="8"/>
  <c r="DK43" i="8"/>
  <c r="FJ43" i="8"/>
  <c r="DI43" i="8"/>
  <c r="CG43" i="8"/>
  <c r="DH43" i="8"/>
  <c r="AH43" i="8"/>
  <c r="FC43" i="8"/>
  <c r="DS43" i="8"/>
  <c r="FQ43" i="8"/>
  <c r="DO43" i="8"/>
  <c r="DL43" i="8"/>
  <c r="DE43" i="8"/>
  <c r="DJ43" i="8"/>
  <c r="BH43" i="8"/>
  <c r="BX43" i="8"/>
  <c r="BI43" i="8"/>
  <c r="BY43" i="8"/>
  <c r="BK43" i="8"/>
  <c r="BU43" i="8"/>
  <c r="BN43" i="8"/>
  <c r="BP43" i="8"/>
  <c r="BQ43" i="8"/>
  <c r="BO43" i="8"/>
  <c r="BR43" i="8"/>
  <c r="BW43" i="8"/>
  <c r="BF43" i="8"/>
  <c r="BS43" i="8"/>
  <c r="BT43" i="8"/>
  <c r="BJ43" i="8"/>
  <c r="BV43" i="8"/>
  <c r="BG43" i="8"/>
  <c r="BZ43" i="8"/>
  <c r="BL43" i="8"/>
  <c r="BM43" i="8"/>
  <c r="AB44" i="8"/>
  <c r="ED43" i="8"/>
  <c r="CC43" i="8"/>
  <c r="CD43" i="8"/>
  <c r="CB43" i="8" a="1"/>
  <c r="CB43" i="8" s="1"/>
  <c r="EB43" i="8"/>
  <c r="AE43" i="8"/>
  <c r="EC43" i="8"/>
  <c r="AF43" i="8"/>
  <c r="EA43" i="8" a="1"/>
  <c r="EA43" i="8" s="1"/>
  <c r="CE43" i="8"/>
  <c r="AD43" i="8"/>
  <c r="AC43" i="8" a="1"/>
  <c r="AC43" i="8" s="1"/>
  <c r="X42" i="8" a="1"/>
  <c r="X42" i="8" s="1"/>
  <c r="T43" i="8"/>
  <c r="N43" i="8" a="1"/>
  <c r="N43" i="8" s="1"/>
  <c r="M43" i="8"/>
  <c r="J44" i="8"/>
  <c r="V44" i="8" s="1"/>
  <c r="K43" i="8"/>
  <c r="W43" i="8"/>
  <c r="U43" i="8"/>
  <c r="Q43" i="8"/>
  <c r="P43" i="8"/>
  <c r="Y43" i="8"/>
  <c r="O43" i="8"/>
  <c r="EI44" i="8" l="1"/>
  <c r="EY44" i="8"/>
  <c r="CV44" i="8"/>
  <c r="AS44" i="8"/>
  <c r="EK44" i="8"/>
  <c r="FA44" i="8"/>
  <c r="EM44" i="8"/>
  <c r="CJ44" i="8"/>
  <c r="CZ44" i="8"/>
  <c r="AW44" i="8"/>
  <c r="EO44" i="8"/>
  <c r="CL44" i="8"/>
  <c r="DB44" i="8"/>
  <c r="AI44" i="8"/>
  <c r="AY44" i="8"/>
  <c r="EP44" i="8"/>
  <c r="CM44" i="8"/>
  <c r="AJ44" i="8"/>
  <c r="AZ44" i="8"/>
  <c r="ES44" i="8"/>
  <c r="CP44" i="8"/>
  <c r="AM44" i="8"/>
  <c r="BC44" i="8"/>
  <c r="EG44" i="8"/>
  <c r="EW44" i="8"/>
  <c r="CT44" i="8"/>
  <c r="AQ44" i="8"/>
  <c r="ET44" i="8"/>
  <c r="CS44" i="8"/>
  <c r="AK44" i="8"/>
  <c r="EU44" i="8"/>
  <c r="CU44" i="8"/>
  <c r="EV44" i="8"/>
  <c r="CW44" i="8"/>
  <c r="AN44" i="8"/>
  <c r="EX44" i="8"/>
  <c r="CX44" i="8"/>
  <c r="EZ44" i="8"/>
  <c r="CY44" i="8"/>
  <c r="AP44" i="8"/>
  <c r="AV44" i="8"/>
  <c r="CH44" i="8"/>
  <c r="EH44" i="8"/>
  <c r="CI44" i="8"/>
  <c r="BA44" i="8"/>
  <c r="EJ44" i="8"/>
  <c r="CK44" i="8"/>
  <c r="AO44" i="8"/>
  <c r="AT44" i="8"/>
  <c r="AU44" i="8"/>
  <c r="AX44" i="8"/>
  <c r="BB44" i="8"/>
  <c r="EN44" i="8"/>
  <c r="CO44" i="8"/>
  <c r="ER44" i="8"/>
  <c r="CR44" i="8"/>
  <c r="EQ44" i="8"/>
  <c r="CQ44" i="8"/>
  <c r="DA44" i="8"/>
  <c r="AR44" i="8"/>
  <c r="EL44" i="8"/>
  <c r="CN44" i="8"/>
  <c r="AL44" i="8"/>
  <c r="GX44" i="8"/>
  <c r="L44" i="8" s="1"/>
  <c r="GY44" i="8"/>
  <c r="GE44" i="8"/>
  <c r="GU44" i="8"/>
  <c r="GG44" i="8"/>
  <c r="GH44" i="8"/>
  <c r="GI44" i="8"/>
  <c r="GJ44" i="8"/>
  <c r="GL44" i="8"/>
  <c r="GM44" i="8"/>
  <c r="GO44" i="8"/>
  <c r="GC44" i="8"/>
  <c r="GA44" i="8"/>
  <c r="GB44" i="8"/>
  <c r="GF44" i="8"/>
  <c r="GD44" i="8"/>
  <c r="GK44" i="8"/>
  <c r="GP44" i="8"/>
  <c r="GN44" i="8"/>
  <c r="GQ44" i="8"/>
  <c r="GR44" i="8"/>
  <c r="GS44" i="8"/>
  <c r="GT44" i="8"/>
  <c r="GW44" i="8"/>
  <c r="FQ44" i="8"/>
  <c r="FP44" i="8"/>
  <c r="FN44" i="8"/>
  <c r="FM44" i="8"/>
  <c r="FZ44" i="8"/>
  <c r="FX44" i="8"/>
  <c r="FH44" i="8"/>
  <c r="FV44" i="8"/>
  <c r="FF44" i="8"/>
  <c r="FU44" i="8"/>
  <c r="DQ44" i="8"/>
  <c r="FS44" i="8"/>
  <c r="DO44" i="8"/>
  <c r="FR44" i="8"/>
  <c r="FC44" i="8"/>
  <c r="FL44" i="8"/>
  <c r="FK44" i="8"/>
  <c r="FI44" i="8"/>
  <c r="FJ44" i="8"/>
  <c r="DV44" i="8"/>
  <c r="FE44" i="8"/>
  <c r="DT44" i="8"/>
  <c r="FD44" i="8"/>
  <c r="DS44" i="8"/>
  <c r="DP44" i="8"/>
  <c r="AH44" i="8"/>
  <c r="DD44" i="8"/>
  <c r="DX44" i="8"/>
  <c r="DW44" i="8"/>
  <c r="FT44" i="8"/>
  <c r="DR44" i="8"/>
  <c r="FO44" i="8"/>
  <c r="DN44" i="8"/>
  <c r="DL44" i="8"/>
  <c r="DJ44" i="8"/>
  <c r="DI44" i="8"/>
  <c r="DG44" i="8"/>
  <c r="DF44" i="8"/>
  <c r="DY44" i="8"/>
  <c r="CG44" i="8"/>
  <c r="DM44" i="8"/>
  <c r="FW44" i="8"/>
  <c r="DE44" i="8"/>
  <c r="DU44" i="8"/>
  <c r="DK44" i="8"/>
  <c r="DH44" i="8"/>
  <c r="FG44" i="8"/>
  <c r="BE44" i="8"/>
  <c r="EF44" i="8"/>
  <c r="BS44" i="8"/>
  <c r="BT44" i="8"/>
  <c r="BF44" i="8"/>
  <c r="BV44" i="8"/>
  <c r="BP44" i="8"/>
  <c r="BM44" i="8"/>
  <c r="BI44" i="8"/>
  <c r="BN44" i="8"/>
  <c r="BO44" i="8"/>
  <c r="BQ44" i="8"/>
  <c r="BJ44" i="8"/>
  <c r="BR44" i="8"/>
  <c r="BU44" i="8"/>
  <c r="BG44" i="8"/>
  <c r="BW44" i="8"/>
  <c r="BH44" i="8"/>
  <c r="BX44" i="8"/>
  <c r="BY44" i="8"/>
  <c r="BZ44" i="8"/>
  <c r="BK44" i="8"/>
  <c r="BL44" i="8"/>
  <c r="ED44" i="8"/>
  <c r="CE44" i="8"/>
  <c r="CC44" i="8"/>
  <c r="AD44" i="8"/>
  <c r="AF44" i="8"/>
  <c r="EA44" i="8" a="1"/>
  <c r="EA44" i="8" s="1"/>
  <c r="AE44" i="8"/>
  <c r="EB44" i="8"/>
  <c r="CD44" i="8"/>
  <c r="AC44" i="8" a="1"/>
  <c r="AC44" i="8" s="1"/>
  <c r="EC44" i="8"/>
  <c r="CB44" i="8" a="1"/>
  <c r="CB44" i="8" s="1"/>
  <c r="X43" i="8" a="1"/>
  <c r="X43" i="8" s="1"/>
  <c r="T44" i="8"/>
  <c r="X44" i="8" s="1" a="1"/>
  <c r="X44" i="8" s="1"/>
  <c r="Y44" i="8"/>
  <c r="K44" i="8"/>
  <c r="W44" i="8"/>
  <c r="U44" i="8"/>
  <c r="P44" i="8"/>
  <c r="O44" i="8"/>
  <c r="N44" i="8" a="1"/>
  <c r="N44" i="8" s="1"/>
  <c r="M44" i="8"/>
  <c r="Q44" i="8"/>
  <c r="B29" i="3" l="1"/>
  <c r="B31" i="3" s="1"/>
  <c r="P57" i="7"/>
  <c r="P56" i="7"/>
  <c r="O56" i="7"/>
  <c r="P55" i="7"/>
  <c r="O55" i="7"/>
  <c r="N55" i="7"/>
  <c r="P54" i="7"/>
  <c r="O54" i="7"/>
  <c r="N54" i="7"/>
  <c r="M54" i="7"/>
  <c r="P53" i="7"/>
  <c r="O53" i="7"/>
  <c r="N53" i="7"/>
  <c r="M53" i="7"/>
  <c r="L53" i="7"/>
  <c r="S35" i="7"/>
  <c r="S34" i="7"/>
  <c r="S33" i="7"/>
  <c r="S32" i="7"/>
  <c r="S31" i="7"/>
  <c r="S29" i="7"/>
  <c r="S30" i="7" s="1"/>
  <c r="S28" i="7"/>
  <c r="S27" i="7"/>
  <c r="S26" i="7"/>
  <c r="T9" i="7"/>
  <c r="AT10" i="7" s="1"/>
  <c r="Q9" i="7"/>
  <c r="O32" i="7" s="1"/>
  <c r="M9" i="7"/>
  <c r="T8" i="7"/>
  <c r="AX9" i="7" s="1"/>
  <c r="Q8" i="7"/>
  <c r="O31" i="7" s="1"/>
  <c r="T7" i="7"/>
  <c r="AH8" i="7" s="1"/>
  <c r="Q7" i="7"/>
  <c r="T6" i="7"/>
  <c r="AL7" i="7" s="1"/>
  <c r="Q6" i="7"/>
  <c r="L16" i="7" s="1"/>
  <c r="M16" i="7" s="1"/>
  <c r="AG5" i="7"/>
  <c r="AG6" i="7" s="1"/>
  <c r="AG7" i="7" s="1"/>
  <c r="AG8" i="7" s="1"/>
  <c r="AG9" i="7" s="1"/>
  <c r="AG10" i="7" s="1"/>
  <c r="AG11" i="7" s="1"/>
  <c r="AG12" i="7" s="1"/>
  <c r="AG13" i="7" s="1"/>
  <c r="AG14" i="7" s="1"/>
  <c r="AG15" i="7" s="1"/>
  <c r="AG16" i="7" s="1"/>
  <c r="AG17" i="7" s="1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X5" i="7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T5" i="7"/>
  <c r="AH6" i="7" s="1"/>
  <c r="Q5" i="7"/>
  <c r="L15" i="7" s="1"/>
  <c r="M15" i="7" s="1"/>
  <c r="T4" i="7"/>
  <c r="AL5" i="7" s="1"/>
  <c r="Q4" i="7"/>
  <c r="O27" i="7" s="1"/>
  <c r="P57" i="6"/>
  <c r="P56" i="6"/>
  <c r="O56" i="6"/>
  <c r="P55" i="6"/>
  <c r="O55" i="6"/>
  <c r="N55" i="6"/>
  <c r="P54" i="6"/>
  <c r="O54" i="6"/>
  <c r="N54" i="6"/>
  <c r="M54" i="6"/>
  <c r="P53" i="6"/>
  <c r="O53" i="6"/>
  <c r="N53" i="6"/>
  <c r="M53" i="6"/>
  <c r="L53" i="6"/>
  <c r="S35" i="6"/>
  <c r="S34" i="6"/>
  <c r="S33" i="6"/>
  <c r="S32" i="6"/>
  <c r="S31" i="6"/>
  <c r="S29" i="6"/>
  <c r="S30" i="6" s="1"/>
  <c r="S27" i="6"/>
  <c r="S28" i="6" s="1"/>
  <c r="S26" i="6"/>
  <c r="T9" i="6"/>
  <c r="AL10" i="6" s="1"/>
  <c r="Q9" i="6"/>
  <c r="M9" i="6"/>
  <c r="AX8" i="6"/>
  <c r="AP8" i="6"/>
  <c r="AH8" i="6"/>
  <c r="T8" i="6"/>
  <c r="BB9" i="6" s="1"/>
  <c r="Q8" i="6"/>
  <c r="T7" i="6"/>
  <c r="AL8" i="6" s="1"/>
  <c r="Q7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T6" i="6"/>
  <c r="AP7" i="6" s="1"/>
  <c r="Q6" i="6"/>
  <c r="AG5" i="6"/>
  <c r="AG6" i="6" s="1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X5" i="6"/>
  <c r="T5" i="6"/>
  <c r="AL6" i="6" s="1"/>
  <c r="Q5" i="6"/>
  <c r="O28" i="6" s="1"/>
  <c r="T4" i="6"/>
  <c r="AP5" i="6" s="1"/>
  <c r="Q4" i="6"/>
  <c r="A10" i="5"/>
  <c r="A9" i="5"/>
  <c r="M2" i="4"/>
  <c r="T33" i="7" a="1"/>
  <c r="Y32" i="7" a="1"/>
  <c r="Y14" i="7" a="1"/>
  <c r="Y10" i="7" a="1"/>
  <c r="T27" i="7" a="1"/>
  <c r="AI18" i="7" a="1"/>
  <c r="AM16" i="7" a="1"/>
  <c r="Y29" i="7" a="1"/>
  <c r="Y17" i="7" a="1"/>
  <c r="T32" i="7" a="1"/>
  <c r="AU31" i="7" a="1"/>
  <c r="AU26" i="7" a="1"/>
  <c r="T29" i="7" a="1"/>
  <c r="AU28" i="7" a="1"/>
  <c r="AM14" i="7" a="1"/>
  <c r="Y31" i="7" a="1"/>
  <c r="Y26" i="7" a="1"/>
  <c r="AU25" i="7" a="1"/>
  <c r="AY23" i="7" a="1"/>
  <c r="Y15" i="7" a="1"/>
  <c r="Y44" i="7" a="1"/>
  <c r="Y43" i="7" a="1"/>
  <c r="Y42" i="7" a="1"/>
  <c r="Y41" i="7" a="1"/>
  <c r="Y40" i="7" a="1"/>
  <c r="Y39" i="7" a="1"/>
  <c r="Y38" i="7" a="1"/>
  <c r="Y37" i="7" a="1"/>
  <c r="Y36" i="7" a="1"/>
  <c r="Y35" i="7" a="1"/>
  <c r="AU34" i="7" a="1"/>
  <c r="AY22" i="7" a="1"/>
  <c r="AY21" i="7" a="1"/>
  <c r="AI20" i="7" a="1"/>
  <c r="AI19" i="7" a="1"/>
  <c r="Y28" i="7" a="1"/>
  <c r="Y18" i="7" a="1"/>
  <c r="AI10" i="7" a="1"/>
  <c r="T35" i="7" a="1"/>
  <c r="Y34" i="7" a="1"/>
  <c r="AU33" i="7" a="1"/>
  <c r="Y13" i="7" a="1"/>
  <c r="T28" i="7" a="1"/>
  <c r="AU27" i="7" a="1"/>
  <c r="Y24" i="7" a="1"/>
  <c r="AI17" i="7" a="1"/>
  <c r="AM15" i="7" a="1"/>
  <c r="Y30" i="7" a="1"/>
  <c r="T25" i="7" a="1"/>
  <c r="T34" i="7" a="1"/>
  <c r="Y33" i="7" a="1"/>
  <c r="AU32" i="7" a="1"/>
  <c r="Y23" i="7" a="1"/>
  <c r="T31" i="7" a="1"/>
  <c r="AY24" i="7" a="1"/>
  <c r="AM5" i="7" a="1"/>
  <c r="Y6" i="7" a="1"/>
  <c r="Y19" i="7" a="1"/>
  <c r="Y12" i="7" a="1"/>
  <c r="Y11" i="7" a="1"/>
  <c r="AM7" i="7" a="1"/>
  <c r="AU41" i="7" a="1"/>
  <c r="AU37" i="7" a="1"/>
  <c r="T26" i="7" a="1"/>
  <c r="AU43" i="7" a="1"/>
  <c r="AU39" i="7" a="1"/>
  <c r="AU35" i="7" a="1"/>
  <c r="AU30" i="7" a="1"/>
  <c r="T24" i="7" a="1"/>
  <c r="Y22" i="7" a="1"/>
  <c r="AI9" i="7" a="1"/>
  <c r="Y4" i="7" a="1"/>
  <c r="Y20" i="7" a="1"/>
  <c r="Y8" i="7" a="1"/>
  <c r="Y27" i="7" a="1"/>
  <c r="AM8" i="7" a="1"/>
  <c r="AM6" i="7" a="1"/>
  <c r="T30" i="7" a="1"/>
  <c r="AU44" i="7" a="1"/>
  <c r="AU42" i="7" a="1"/>
  <c r="AU40" i="7" a="1"/>
  <c r="AU38" i="7" a="1"/>
  <c r="AU36" i="7" a="1"/>
  <c r="Y25" i="7" a="1"/>
  <c r="AM13" i="7" a="1"/>
  <c r="AI12" i="7" a="1"/>
  <c r="Y9" i="7" a="1"/>
  <c r="Y21" i="7" a="1"/>
  <c r="Y16" i="7" a="1"/>
  <c r="AI11" i="7" a="1"/>
  <c r="AU29" i="7" a="1"/>
  <c r="Y7" i="7" a="1"/>
  <c r="Y5" i="7" a="1"/>
  <c r="AM34" i="6" a="1"/>
  <c r="T30" i="6" a="1"/>
  <c r="AQ20" i="6" a="1"/>
  <c r="AQ19" i="6" a="1"/>
  <c r="AM12" i="6" a="1"/>
  <c r="AM11" i="6" a="1"/>
  <c r="T33" i="6" a="1"/>
  <c r="Y32" i="6" a="1"/>
  <c r="BC24" i="6" a="1"/>
  <c r="Y14" i="6" a="1"/>
  <c r="Y10" i="6" a="1"/>
  <c r="AM33" i="6" a="1"/>
  <c r="Y29" i="6" a="1"/>
  <c r="BC23" i="6" a="1"/>
  <c r="Y17" i="6" a="1"/>
  <c r="T32" i="6" a="1"/>
  <c r="AM27" i="6" a="1"/>
  <c r="BC22" i="6" a="1"/>
  <c r="BC21" i="6" a="1"/>
  <c r="AM20" i="6" a="1"/>
  <c r="AM19" i="6" a="1"/>
  <c r="AQ17" i="6" a="1"/>
  <c r="AM10" i="6" a="1"/>
  <c r="AM32" i="6" a="1"/>
  <c r="T29" i="6" a="1"/>
  <c r="Y31" i="6" a="1"/>
  <c r="Y26" i="6" a="1"/>
  <c r="Y15" i="6" a="1"/>
  <c r="Y44" i="6" a="1"/>
  <c r="Y43" i="6" a="1"/>
  <c r="Y42" i="6" a="1"/>
  <c r="Y41" i="6" a="1"/>
  <c r="Y40" i="6" a="1"/>
  <c r="Y39" i="6" a="1"/>
  <c r="Y38" i="6" a="1"/>
  <c r="Y37" i="6" a="1"/>
  <c r="Y36" i="6" a="1"/>
  <c r="Y35" i="6" a="1"/>
  <c r="AM29" i="6" a="1"/>
  <c r="AY20" i="6" a="1"/>
  <c r="AI20" i="6" a="1"/>
  <c r="AY19" i="6" a="1"/>
  <c r="AI19" i="6" a="1"/>
  <c r="AM17" i="6" a="1"/>
  <c r="AQ15" i="6" a="1"/>
  <c r="T31" i="6" a="1"/>
  <c r="T26" i="6" a="1"/>
  <c r="Y25" i="6" a="1"/>
  <c r="AQ18" i="6" a="1"/>
  <c r="AM31" i="6" a="1"/>
  <c r="T28" i="6" a="1"/>
  <c r="AM26" i="6" a="1"/>
  <c r="Y24" i="6" a="1"/>
  <c r="AY17" i="6" a="1"/>
  <c r="AI17" i="6" a="1"/>
  <c r="AQ13" i="6" a="1"/>
  <c r="AM44" i="6" a="1"/>
  <c r="AM43" i="6" a="1"/>
  <c r="AM42" i="6" a="1"/>
  <c r="AM41" i="6" a="1"/>
  <c r="AM40" i="6" a="1"/>
  <c r="AM39" i="6" a="1"/>
  <c r="AM38" i="6" a="1"/>
  <c r="AM37" i="6" a="1"/>
  <c r="AM36" i="6" a="1"/>
  <c r="AM35" i="6" a="1"/>
  <c r="Y30" i="6" a="1"/>
  <c r="T25" i="6" a="1"/>
  <c r="Y16" i="6" a="1"/>
  <c r="T34" i="6" a="1"/>
  <c r="Y33" i="6" a="1"/>
  <c r="AM28" i="6" a="1"/>
  <c r="Y23" i="6" a="1"/>
  <c r="AM18" i="6" a="1"/>
  <c r="AQ16" i="6" a="1"/>
  <c r="Y20" i="6" a="1"/>
  <c r="AQ5" i="6" a="1"/>
  <c r="AY18" i="6" a="1"/>
  <c r="AQ7" i="6" a="1"/>
  <c r="Y34" i="6" a="1"/>
  <c r="Y9" i="6" a="1"/>
  <c r="Y7" i="6" a="1"/>
  <c r="Y5" i="6" a="1"/>
  <c r="Y4" i="6" a="1"/>
  <c r="Y27" i="6" a="1"/>
  <c r="Y28" i="6" a="1"/>
  <c r="T27" i="6" a="1"/>
  <c r="AI18" i="6" a="1"/>
  <c r="Y11" i="6" a="1"/>
  <c r="AM9" i="6" a="1"/>
  <c r="Y21" i="6" a="1"/>
  <c r="Y13" i="6" a="1"/>
  <c r="Y12" i="6" a="1"/>
  <c r="T35" i="6" a="1"/>
  <c r="Y18" i="6" a="1"/>
  <c r="T24" i="6" a="1"/>
  <c r="AM25" i="6" a="1"/>
  <c r="AQ8" i="6" a="1"/>
  <c r="AQ6" i="6" a="1"/>
  <c r="Y19" i="6" a="1"/>
  <c r="AQ14" i="6" a="1"/>
  <c r="Y8" i="6" a="1"/>
  <c r="Y6" i="6" a="1"/>
  <c r="AM30" i="6" a="1"/>
  <c r="Y22" i="6" a="1"/>
  <c r="B30" i="3" l="1"/>
  <c r="BB7" i="7"/>
  <c r="AH9" i="7"/>
  <c r="AX6" i="7"/>
  <c r="AL9" i="7"/>
  <c r="BB6" i="7"/>
  <c r="AL6" i="7"/>
  <c r="AP6" i="7"/>
  <c r="AP7" i="7"/>
  <c r="AP10" i="7"/>
  <c r="AX8" i="7"/>
  <c r="AL10" i="7"/>
  <c r="BB8" i="7"/>
  <c r="AL8" i="7"/>
  <c r="AP8" i="7"/>
  <c r="AP5" i="7"/>
  <c r="Y5" i="7"/>
  <c r="Z5" i="7" s="1"/>
  <c r="Y7" i="7"/>
  <c r="AU29" i="7"/>
  <c r="AI11" i="7"/>
  <c r="Y16" i="7"/>
  <c r="Y21" i="7"/>
  <c r="Y9" i="7"/>
  <c r="AI12" i="7"/>
  <c r="AM13" i="7"/>
  <c r="Y25" i="7"/>
  <c r="AU36" i="7"/>
  <c r="AU38" i="7"/>
  <c r="AU40" i="7"/>
  <c r="AU42" i="7"/>
  <c r="AU44" i="7"/>
  <c r="T30" i="7"/>
  <c r="AM6" i="7"/>
  <c r="AM8" i="7"/>
  <c r="Y27" i="7"/>
  <c r="Y8" i="7"/>
  <c r="Y20" i="7"/>
  <c r="Y4" i="7"/>
  <c r="AI9" i="7"/>
  <c r="Y22" i="7"/>
  <c r="T24" i="7"/>
  <c r="AU30" i="7"/>
  <c r="AU35" i="7"/>
  <c r="AU39" i="7"/>
  <c r="AU43" i="7"/>
  <c r="T26" i="7"/>
  <c r="AU37" i="7"/>
  <c r="AU41" i="7"/>
  <c r="AM7" i="7"/>
  <c r="Y11" i="7"/>
  <c r="Y12" i="7"/>
  <c r="Y19" i="7"/>
  <c r="Y6" i="7"/>
  <c r="AM5" i="7"/>
  <c r="AN5" i="7" s="1"/>
  <c r="AY24" i="7"/>
  <c r="T31" i="7"/>
  <c r="Y23" i="7"/>
  <c r="AU32" i="7"/>
  <c r="Y33" i="7"/>
  <c r="T34" i="7"/>
  <c r="T25" i="7"/>
  <c r="Y30" i="7"/>
  <c r="AM15" i="7"/>
  <c r="AI17" i="7"/>
  <c r="Y24" i="7"/>
  <c r="AU27" i="7"/>
  <c r="T28" i="7"/>
  <c r="Y13" i="7"/>
  <c r="AU33" i="7"/>
  <c r="Y34" i="7"/>
  <c r="T35" i="7"/>
  <c r="AI10" i="7"/>
  <c r="Y18" i="7"/>
  <c r="Y28" i="7"/>
  <c r="AI19" i="7"/>
  <c r="AI20" i="7"/>
  <c r="AY21" i="7"/>
  <c r="AY22" i="7"/>
  <c r="AU34" i="7"/>
  <c r="Y35" i="7"/>
  <c r="Y36" i="7"/>
  <c r="Y37" i="7"/>
  <c r="Y38" i="7"/>
  <c r="Y39" i="7"/>
  <c r="Y40" i="7"/>
  <c r="Y41" i="7"/>
  <c r="Y42" i="7"/>
  <c r="Y43" i="7"/>
  <c r="Y44" i="7"/>
  <c r="Y15" i="7"/>
  <c r="AY23" i="7"/>
  <c r="AU25" i="7"/>
  <c r="Y26" i="7"/>
  <c r="Y31" i="7"/>
  <c r="AM14" i="7"/>
  <c r="AU28" i="7"/>
  <c r="T29" i="7"/>
  <c r="AU26" i="7"/>
  <c r="AU31" i="7"/>
  <c r="T32" i="7"/>
  <c r="Y17" i="7"/>
  <c r="Y29" i="7"/>
  <c r="AM16" i="7"/>
  <c r="AI18" i="7"/>
  <c r="T27" i="7"/>
  <c r="Y10" i="7"/>
  <c r="Y14" i="7"/>
  <c r="Y32" i="7"/>
  <c r="T33" i="7"/>
  <c r="BB5" i="7"/>
  <c r="AT5" i="7"/>
  <c r="AT7" i="7"/>
  <c r="AT9" i="7"/>
  <c r="AP9" i="7"/>
  <c r="BB9" i="7"/>
  <c r="AH5" i="7"/>
  <c r="AH7" i="7"/>
  <c r="O29" i="7"/>
  <c r="AX5" i="7"/>
  <c r="AX7" i="7"/>
  <c r="L14" i="7"/>
  <c r="M14" i="7" s="1"/>
  <c r="L19" i="7"/>
  <c r="M19" i="7" s="1"/>
  <c r="L18" i="7"/>
  <c r="M18" i="7" s="1"/>
  <c r="AT6" i="7"/>
  <c r="AT8" i="7"/>
  <c r="O28" i="7"/>
  <c r="O30" i="7"/>
  <c r="L17" i="7"/>
  <c r="M17" i="7" s="1"/>
  <c r="BB10" i="7"/>
  <c r="AX10" i="7"/>
  <c r="AH10" i="7"/>
  <c r="BB8" i="6"/>
  <c r="AT5" i="6"/>
  <c r="AX5" i="6"/>
  <c r="AH6" i="6"/>
  <c r="BB6" i="6"/>
  <c r="AP6" i="6"/>
  <c r="AX6" i="6"/>
  <c r="Y22" i="6"/>
  <c r="AM30" i="6"/>
  <c r="Y6" i="6"/>
  <c r="Y8" i="6"/>
  <c r="AQ14" i="6"/>
  <c r="Y19" i="6"/>
  <c r="AQ6" i="6"/>
  <c r="AQ8" i="6"/>
  <c r="AM25" i="6"/>
  <c r="T24" i="6"/>
  <c r="Y18" i="6"/>
  <c r="T35" i="6"/>
  <c r="Y12" i="6"/>
  <c r="Y13" i="6"/>
  <c r="Y21" i="6"/>
  <c r="AM9" i="6"/>
  <c r="Y11" i="6"/>
  <c r="AI18" i="6"/>
  <c r="T27" i="6"/>
  <c r="Y28" i="6"/>
  <c r="Y27" i="6"/>
  <c r="Y4" i="6"/>
  <c r="Y5" i="6"/>
  <c r="Z5" i="6" s="1"/>
  <c r="Y7" i="6"/>
  <c r="Y9" i="6"/>
  <c r="Y34" i="6"/>
  <c r="AQ7" i="6"/>
  <c r="AY18" i="6"/>
  <c r="AQ5" i="6"/>
  <c r="AR5" i="6" s="1"/>
  <c r="Y20" i="6"/>
  <c r="AQ16" i="6"/>
  <c r="AM18" i="6"/>
  <c r="Y23" i="6"/>
  <c r="AM28" i="6"/>
  <c r="Y33" i="6"/>
  <c r="T34" i="6"/>
  <c r="Y16" i="6"/>
  <c r="T25" i="6"/>
  <c r="Y30" i="6"/>
  <c r="AM35" i="6"/>
  <c r="AM36" i="6"/>
  <c r="AM37" i="6"/>
  <c r="AM38" i="6"/>
  <c r="AM39" i="6"/>
  <c r="AM40" i="6"/>
  <c r="AM41" i="6"/>
  <c r="AM42" i="6"/>
  <c r="AM43" i="6"/>
  <c r="AM44" i="6"/>
  <c r="AQ13" i="6"/>
  <c r="AI17" i="6"/>
  <c r="AY17" i="6"/>
  <c r="Y24" i="6"/>
  <c r="AM26" i="6"/>
  <c r="T28" i="6"/>
  <c r="AM31" i="6"/>
  <c r="AQ18" i="6"/>
  <c r="Y25" i="6"/>
  <c r="T26" i="6"/>
  <c r="T31" i="6"/>
  <c r="AQ15" i="6"/>
  <c r="AM17" i="6"/>
  <c r="AI19" i="6"/>
  <c r="AY19" i="6"/>
  <c r="AI20" i="6"/>
  <c r="AY20" i="6"/>
  <c r="AM29" i="6"/>
  <c r="Y35" i="6"/>
  <c r="Y36" i="6"/>
  <c r="Y37" i="6"/>
  <c r="Y38" i="6"/>
  <c r="Y39" i="6"/>
  <c r="Y40" i="6"/>
  <c r="Y41" i="6"/>
  <c r="Y42" i="6"/>
  <c r="Y43" i="6"/>
  <c r="Y44" i="6"/>
  <c r="Y15" i="6"/>
  <c r="Y26" i="6"/>
  <c r="Y31" i="6"/>
  <c r="T29" i="6"/>
  <c r="AM32" i="6"/>
  <c r="AM10" i="6"/>
  <c r="AQ17" i="6"/>
  <c r="AM19" i="6"/>
  <c r="AM20" i="6"/>
  <c r="BC21" i="6"/>
  <c r="BC22" i="6"/>
  <c r="AM27" i="6"/>
  <c r="T32" i="6"/>
  <c r="Y17" i="6"/>
  <c r="BC23" i="6"/>
  <c r="Y29" i="6"/>
  <c r="AM33" i="6"/>
  <c r="Y10" i="6"/>
  <c r="Y14" i="6"/>
  <c r="BC24" i="6"/>
  <c r="Y32" i="6"/>
  <c r="T33" i="6"/>
  <c r="AM11" i="6"/>
  <c r="AM12" i="6"/>
  <c r="AQ19" i="6"/>
  <c r="AQ20" i="6"/>
  <c r="T30" i="6"/>
  <c r="AM34" i="6"/>
  <c r="AT7" i="6"/>
  <c r="O27" i="6"/>
  <c r="L14" i="6"/>
  <c r="M14" i="6" s="1"/>
  <c r="AH5" i="6"/>
  <c r="AH7" i="6"/>
  <c r="AT9" i="6"/>
  <c r="AP9" i="6"/>
  <c r="AX9" i="6"/>
  <c r="AH9" i="6"/>
  <c r="AX7" i="6"/>
  <c r="AL9" i="6"/>
  <c r="AL7" i="6"/>
  <c r="AL5" i="6"/>
  <c r="O30" i="6"/>
  <c r="L17" i="6"/>
  <c r="M17" i="6" s="1"/>
  <c r="AT6" i="6"/>
  <c r="AT8" i="6"/>
  <c r="O32" i="6"/>
  <c r="L19" i="6"/>
  <c r="M19" i="6" s="1"/>
  <c r="L15" i="6"/>
  <c r="M15" i="6" s="1"/>
  <c r="BB5" i="6"/>
  <c r="AP10" i="6"/>
  <c r="BB10" i="6"/>
  <c r="AX10" i="6"/>
  <c r="AH10" i="6"/>
  <c r="BB7" i="6"/>
  <c r="L16" i="6"/>
  <c r="M16" i="6" s="1"/>
  <c r="O29" i="6"/>
  <c r="L18" i="6"/>
  <c r="M18" i="6" s="1"/>
  <c r="O31" i="6"/>
  <c r="AT10" i="6"/>
  <c r="BC13" i="7" a="1"/>
  <c r="BC15" i="7" a="1"/>
  <c r="BC14" i="7" a="1"/>
  <c r="BC16" i="7" a="1"/>
  <c r="AE26" i="4" a="1"/>
  <c r="AE32" i="4" a="1"/>
  <c r="AJ24" i="4" a="1"/>
  <c r="AE27" i="4" a="1"/>
  <c r="AE31" i="4" a="1"/>
  <c r="AE29" i="4" a="1"/>
  <c r="AE28" i="4" a="1"/>
  <c r="AE34" i="4" a="1"/>
  <c r="AE24" i="4" a="1"/>
  <c r="AE30" i="4" a="1"/>
  <c r="AE25" i="4" a="1"/>
  <c r="AE33" i="4" a="1"/>
  <c r="AI24" i="7" a="1"/>
  <c r="AI21" i="7" a="1"/>
  <c r="AI22" i="7" a="1"/>
  <c r="AI23" i="7" a="1"/>
  <c r="AY9" i="7" a="1"/>
  <c r="AY11" i="7" a="1"/>
  <c r="AY12" i="7" a="1"/>
  <c r="AY10" i="7" a="1"/>
  <c r="AM21" i="7" a="1"/>
  <c r="AM22" i="7" a="1"/>
  <c r="AM23" i="7" a="1"/>
  <c r="AM24" i="7" a="1"/>
  <c r="BC10" i="7" a="1"/>
  <c r="BC12" i="7" a="1"/>
  <c r="BC11" i="7" a="1"/>
  <c r="BC9" i="7" a="1"/>
  <c r="AM10" i="7" a="1"/>
  <c r="AM11" i="7" a="1"/>
  <c r="AM12" i="7" a="1"/>
  <c r="AM9" i="7" a="1"/>
  <c r="AQ9" i="7" a="1"/>
  <c r="AQ10" i="7" a="1"/>
  <c r="AQ12" i="7" a="1"/>
  <c r="AQ11" i="7" a="1"/>
  <c r="AQ13" i="7" a="1"/>
  <c r="AQ16" i="7" a="1"/>
  <c r="AQ15" i="7" a="1"/>
  <c r="AQ14" i="7" a="1"/>
  <c r="AQ28" i="7" a="1"/>
  <c r="AQ33" i="7" a="1"/>
  <c r="AQ27" i="7" a="1"/>
  <c r="AQ30" i="7" a="1"/>
  <c r="AQ34" i="7" a="1"/>
  <c r="AQ25" i="7" a="1"/>
  <c r="AQ35" i="7" a="1"/>
  <c r="AQ36" i="7" a="1"/>
  <c r="AQ37" i="7" a="1"/>
  <c r="AQ38" i="7" a="1"/>
  <c r="AQ39" i="7" a="1"/>
  <c r="AQ40" i="7" a="1"/>
  <c r="AQ41" i="7" a="1"/>
  <c r="AQ42" i="7" a="1"/>
  <c r="AQ43" i="7" a="1"/>
  <c r="AQ44" i="7" a="1"/>
  <c r="AQ26" i="7" a="1"/>
  <c r="AQ31" i="7" a="1"/>
  <c r="AQ29" i="7" a="1"/>
  <c r="AQ32" i="7" a="1"/>
  <c r="AY17" i="7" a="1"/>
  <c r="AY19" i="7" a="1"/>
  <c r="AY20" i="7" a="1"/>
  <c r="AY18" i="7" a="1"/>
  <c r="AM25" i="7" a="1"/>
  <c r="AM34" i="7" a="1"/>
  <c r="AM28" i="7" a="1"/>
  <c r="AM35" i="7" a="1"/>
  <c r="AM36" i="7" a="1"/>
  <c r="AM37" i="7" a="1"/>
  <c r="AM38" i="7" a="1"/>
  <c r="AM39" i="7" a="1"/>
  <c r="AM40" i="7" a="1"/>
  <c r="AM41" i="7" a="1"/>
  <c r="AM42" i="7" a="1"/>
  <c r="AM43" i="7" a="1"/>
  <c r="AM44" i="7" a="1"/>
  <c r="AM26" i="7" a="1"/>
  <c r="AM31" i="7" a="1"/>
  <c r="AM29" i="7" a="1"/>
  <c r="AM32" i="7" a="1"/>
  <c r="AM27" i="7" a="1"/>
  <c r="AM33" i="7" a="1"/>
  <c r="AM30" i="7" a="1"/>
  <c r="BC18" i="7" a="1"/>
  <c r="BC17" i="7" a="1"/>
  <c r="BC19" i="7" a="1"/>
  <c r="BC20" i="7" a="1"/>
  <c r="AM18" i="7" a="1"/>
  <c r="AM17" i="7" a="1"/>
  <c r="AM19" i="7" a="1"/>
  <c r="AM20" i="7" a="1"/>
  <c r="AQ19" i="7" a="1"/>
  <c r="AQ17" i="7" a="1"/>
  <c r="AQ18" i="7" a="1"/>
  <c r="AQ20" i="7" a="1"/>
  <c r="AQ7" i="7" a="1"/>
  <c r="AQ5" i="7" a="1"/>
  <c r="AQ8" i="7" a="1"/>
  <c r="AQ6" i="7" a="1"/>
  <c r="BC7" i="7" a="1"/>
  <c r="BC5" i="7" a="1"/>
  <c r="BC6" i="7" a="1"/>
  <c r="BC8" i="7" a="1"/>
  <c r="AY26" i="7" a="1"/>
  <c r="AY31" i="7" a="1"/>
  <c r="AY32" i="7" a="1"/>
  <c r="AY29" i="7" a="1"/>
  <c r="AY27" i="7" a="1"/>
  <c r="AY33" i="7" a="1"/>
  <c r="AY30" i="7" a="1"/>
  <c r="AY34" i="7" a="1"/>
  <c r="AY25" i="7" a="1"/>
  <c r="AY28" i="7" a="1"/>
  <c r="AY35" i="7" a="1"/>
  <c r="AY36" i="7" a="1"/>
  <c r="AY37" i="7" a="1"/>
  <c r="AY38" i="7" a="1"/>
  <c r="AY39" i="7" a="1"/>
  <c r="AY40" i="7" a="1"/>
  <c r="AY41" i="7" a="1"/>
  <c r="AY42" i="7" a="1"/>
  <c r="AY43" i="7" a="1"/>
  <c r="AY44" i="7" a="1"/>
  <c r="AI31" i="7" a="1"/>
  <c r="AI32" i="7" a="1"/>
  <c r="AI26" i="7" a="1"/>
  <c r="AI29" i="7" a="1"/>
  <c r="AI27" i="7" a="1"/>
  <c r="AI33" i="7" a="1"/>
  <c r="AI30" i="7" a="1"/>
  <c r="AI34" i="7" a="1"/>
  <c r="AI25" i="7" a="1"/>
  <c r="AI28" i="7" a="1"/>
  <c r="AI35" i="7" a="1"/>
  <c r="AI36" i="7" a="1"/>
  <c r="AI37" i="7" a="1"/>
  <c r="AI38" i="7" a="1"/>
  <c r="AI39" i="7" a="1"/>
  <c r="AI40" i="7" a="1"/>
  <c r="AI41" i="7" a="1"/>
  <c r="AI42" i="7" a="1"/>
  <c r="AI43" i="7" a="1"/>
  <c r="AI44" i="7" a="1"/>
  <c r="AU15" i="7" a="1"/>
  <c r="AU16" i="7" a="1"/>
  <c r="AU14" i="7" a="1"/>
  <c r="AU13" i="7" a="1"/>
  <c r="AU9" i="7" a="1"/>
  <c r="AU10" i="7" a="1"/>
  <c r="AU11" i="7" a="1"/>
  <c r="AU12" i="7" a="1"/>
  <c r="AQ21" i="7" a="1"/>
  <c r="AQ23" i="7" a="1"/>
  <c r="AQ22" i="7" a="1"/>
  <c r="AQ24" i="7" a="1"/>
  <c r="BC21" i="7" a="1"/>
  <c r="BC22" i="7" a="1"/>
  <c r="BC23" i="7" a="1"/>
  <c r="BC24" i="7" a="1"/>
  <c r="AI6" i="7" a="1"/>
  <c r="AI8" i="7" a="1"/>
  <c r="AI5" i="7" a="1"/>
  <c r="AI7" i="7" a="1"/>
  <c r="AU5" i="7" a="1"/>
  <c r="AU7" i="7" a="1"/>
  <c r="AU6" i="7" a="1"/>
  <c r="AU8" i="7" a="1"/>
  <c r="AU17" i="7" a="1"/>
  <c r="AU19" i="7" a="1"/>
  <c r="AU20" i="7" a="1"/>
  <c r="AU18" i="7" a="1"/>
  <c r="BC34" i="7" a="1"/>
  <c r="BC25" i="7" a="1"/>
  <c r="BC28" i="7" a="1"/>
  <c r="BC35" i="7" a="1"/>
  <c r="BC36" i="7" a="1"/>
  <c r="BC37" i="7" a="1"/>
  <c r="BC38" i="7" a="1"/>
  <c r="BC39" i="7" a="1"/>
  <c r="BC40" i="7" a="1"/>
  <c r="BC41" i="7" a="1"/>
  <c r="BC42" i="7" a="1"/>
  <c r="BC43" i="7" a="1"/>
  <c r="BC44" i="7" a="1"/>
  <c r="BC26" i="7" a="1"/>
  <c r="BC31" i="7" a="1"/>
  <c r="BC29" i="7" a="1"/>
  <c r="BC32" i="7" a="1"/>
  <c r="BC27" i="7" a="1"/>
  <c r="BC33" i="7" a="1"/>
  <c r="BC30" i="7" a="1"/>
  <c r="AU21" i="7" a="1"/>
  <c r="AU22" i="7" a="1"/>
  <c r="AU23" i="7" a="1"/>
  <c r="AU24" i="7" a="1"/>
  <c r="AY13" i="7" a="1"/>
  <c r="AY15" i="7" a="1"/>
  <c r="AY14" i="7" a="1"/>
  <c r="AY16" i="7" a="1"/>
  <c r="AI13" i="7" a="1"/>
  <c r="AI14" i="7" a="1"/>
  <c r="AI15" i="7" a="1"/>
  <c r="AI16" i="7" a="1"/>
  <c r="AY6" i="7" a="1"/>
  <c r="AY8" i="7" a="1"/>
  <c r="AY5" i="7" a="1"/>
  <c r="AY7" i="7" a="1"/>
  <c r="BC18" i="6" a="1"/>
  <c r="BC17" i="6" a="1"/>
  <c r="BC19" i="6" a="1"/>
  <c r="BC20" i="6" a="1"/>
  <c r="AU5" i="6" a="1"/>
  <c r="AU7" i="6" a="1"/>
  <c r="AU8" i="6" a="1"/>
  <c r="AU6" i="6" a="1"/>
  <c r="AI9" i="6" a="1"/>
  <c r="AI10" i="6" a="1"/>
  <c r="AI11" i="6" a="1"/>
  <c r="AI12" i="6" a="1"/>
  <c r="AY5" i="6" a="1"/>
  <c r="AY7" i="6" a="1"/>
  <c r="AY6" i="6" a="1"/>
  <c r="AY8" i="6" a="1"/>
  <c r="BC9" i="6" a="1"/>
  <c r="BC10" i="6" a="1"/>
  <c r="BC11" i="6" a="1"/>
  <c r="BC12" i="6" a="1"/>
  <c r="AQ9" i="6" a="1"/>
  <c r="AQ10" i="6" a="1"/>
  <c r="AQ11" i="6" a="1"/>
  <c r="AQ12" i="6" a="1"/>
  <c r="AY10" i="6" a="1"/>
  <c r="AY9" i="6" a="1"/>
  <c r="AY11" i="6" a="1"/>
  <c r="AY12" i="6" a="1"/>
  <c r="AM5" i="6" a="1"/>
  <c r="AM7" i="6" a="1"/>
  <c r="AM6" i="6" a="1"/>
  <c r="AM8" i="6" a="1"/>
  <c r="AU19" i="6" a="1"/>
  <c r="AU20" i="6" a="1"/>
  <c r="AU18" i="6" a="1"/>
  <c r="AU17" i="6" a="1"/>
  <c r="BC30" i="6" a="1"/>
  <c r="BC25" i="6" a="1"/>
  <c r="BC28" i="6" a="1"/>
  <c r="BC35" i="6" a="1"/>
  <c r="BC36" i="6" a="1"/>
  <c r="BC37" i="6" a="1"/>
  <c r="BC38" i="6" a="1"/>
  <c r="BC39" i="6" a="1"/>
  <c r="BC40" i="6" a="1"/>
  <c r="BC41" i="6" a="1"/>
  <c r="BC42" i="6" a="1"/>
  <c r="BC43" i="6" a="1"/>
  <c r="BC44" i="6" a="1"/>
  <c r="BC26" i="6" a="1"/>
  <c r="BC31" i="6" a="1"/>
  <c r="BC29" i="6" a="1"/>
  <c r="BC32" i="6" a="1"/>
  <c r="BC27" i="6" a="1"/>
  <c r="BC33" i="6" a="1"/>
  <c r="BC34" i="6" a="1"/>
  <c r="AQ23" i="6" a="1"/>
  <c r="AQ24" i="6" a="1"/>
  <c r="AQ21" i="6" a="1"/>
  <c r="AQ22" i="6" a="1"/>
  <c r="AQ43" i="6" a="1"/>
  <c r="AQ37" i="6" a="1"/>
  <c r="AQ42" i="6" a="1"/>
  <c r="AQ39" i="6" a="1"/>
  <c r="AQ25" i="6" a="1"/>
  <c r="AQ33" i="6" a="1"/>
  <c r="AQ36" i="6" a="1"/>
  <c r="AQ44" i="6" a="1"/>
  <c r="AQ41" i="6" a="1"/>
  <c r="AQ32" i="6" a="1"/>
  <c r="AQ38" i="6" a="1"/>
  <c r="AQ40" i="6" a="1"/>
  <c r="AQ35" i="6" a="1"/>
  <c r="AQ30" i="6" a="1"/>
  <c r="AQ34" i="6" a="1"/>
  <c r="AQ28" i="6" a="1"/>
  <c r="AQ26" i="6" a="1"/>
  <c r="AQ31" i="6" a="1"/>
  <c r="AQ29" i="6" a="1"/>
  <c r="AQ27" i="6" a="1"/>
  <c r="AY24" i="6" a="1"/>
  <c r="AY21" i="6" a="1"/>
  <c r="AY22" i="6" a="1"/>
  <c r="AY23" i="6" a="1"/>
  <c r="AI24" i="6" a="1"/>
  <c r="AI21" i="6" a="1"/>
  <c r="AI22" i="6" a="1"/>
  <c r="AI23" i="6" a="1"/>
  <c r="AY14" i="6" a="1"/>
  <c r="AY16" i="6" a="1"/>
  <c r="AY13" i="6" a="1"/>
  <c r="AY15" i="6" a="1"/>
  <c r="AM16" i="6" a="1"/>
  <c r="AM15" i="6" a="1"/>
  <c r="AM14" i="6" a="1"/>
  <c r="AM13" i="6" a="1"/>
  <c r="AM21" i="6" a="1"/>
  <c r="AM22" i="6" a="1"/>
  <c r="AM23" i="6" a="1"/>
  <c r="AM24" i="6" a="1"/>
  <c r="BC6" i="6" a="1"/>
  <c r="BC8" i="6" a="1"/>
  <c r="BC5" i="6" a="1"/>
  <c r="BC7" i="6" a="1"/>
  <c r="AY28" i="6" a="1"/>
  <c r="AY29" i="6" a="1"/>
  <c r="AY32" i="6" a="1"/>
  <c r="AY27" i="6" a="1"/>
  <c r="AY33" i="6" a="1"/>
  <c r="AY30" i="6" a="1"/>
  <c r="AY34" i="6" a="1"/>
  <c r="AY25" i="6" a="1"/>
  <c r="AY35" i="6" a="1"/>
  <c r="AY36" i="6" a="1"/>
  <c r="AY37" i="6" a="1"/>
  <c r="AY38" i="6" a="1"/>
  <c r="AY39" i="6" a="1"/>
  <c r="AY40" i="6" a="1"/>
  <c r="AY41" i="6" a="1"/>
  <c r="AY42" i="6" a="1"/>
  <c r="AY43" i="6" a="1"/>
  <c r="AY44" i="6" a="1"/>
  <c r="AY26" i="6" a="1"/>
  <c r="AY31" i="6" a="1"/>
  <c r="AI28" i="6" a="1"/>
  <c r="AI29" i="6" a="1"/>
  <c r="AI32" i="6" a="1"/>
  <c r="AI27" i="6" a="1"/>
  <c r="AI33" i="6" a="1"/>
  <c r="AI30" i="6" a="1"/>
  <c r="AI34" i="6" a="1"/>
  <c r="AI25" i="6" a="1"/>
  <c r="AI35" i="6" a="1"/>
  <c r="AI36" i="6" a="1"/>
  <c r="AI37" i="6" a="1"/>
  <c r="AI38" i="6" a="1"/>
  <c r="AI39" i="6" a="1"/>
  <c r="AI40" i="6" a="1"/>
  <c r="AI41" i="6" a="1"/>
  <c r="AI42" i="6" a="1"/>
  <c r="AI43" i="6" a="1"/>
  <c r="AI44" i="6" a="1"/>
  <c r="AI26" i="6" a="1"/>
  <c r="AI31" i="6" a="1"/>
  <c r="AI14" i="6" a="1"/>
  <c r="AI16" i="6" a="1"/>
  <c r="AI13" i="6" a="1"/>
  <c r="AI15" i="6" a="1"/>
  <c r="AU10" i="6" a="1"/>
  <c r="AU11" i="6" a="1"/>
  <c r="AU12" i="6" a="1"/>
  <c r="AU9" i="6" a="1"/>
  <c r="AU23" i="6" a="1"/>
  <c r="AU24" i="6" a="1"/>
  <c r="AU21" i="6" a="1"/>
  <c r="AU22" i="6" a="1"/>
  <c r="AU37" i="6" a="1"/>
  <c r="AU39" i="6" a="1"/>
  <c r="AU33" i="6" a="1"/>
  <c r="AU36" i="6" a="1"/>
  <c r="AU44" i="6" a="1"/>
  <c r="AU42" i="6" a="1"/>
  <c r="AU41" i="6" a="1"/>
  <c r="AU38" i="6" a="1"/>
  <c r="AU43" i="6" a="1"/>
  <c r="AU35" i="6" a="1"/>
  <c r="AU40" i="6" a="1"/>
  <c r="AU32" i="6" a="1"/>
  <c r="AU27" i="6" a="1"/>
  <c r="AU30" i="6" a="1"/>
  <c r="AU34" i="6" a="1"/>
  <c r="AU25" i="6" a="1"/>
  <c r="AU28" i="6" a="1"/>
  <c r="AU26" i="6" a="1"/>
  <c r="AU31" i="6" a="1"/>
  <c r="AU29" i="6" a="1"/>
  <c r="AU14" i="6" a="1"/>
  <c r="AU16" i="6" a="1"/>
  <c r="AU13" i="6" a="1"/>
  <c r="AU15" i="6" a="1"/>
  <c r="BC16" i="6" a="1"/>
  <c r="BC15" i="6" a="1"/>
  <c r="BC14" i="6" a="1"/>
  <c r="BC13" i="6" a="1"/>
  <c r="AI5" i="6" a="1"/>
  <c r="AI7" i="6" a="1"/>
  <c r="AI8" i="6" a="1"/>
  <c r="AI6" i="6" a="1"/>
  <c r="BC16" i="7" l="1"/>
  <c r="BC14" i="7"/>
  <c r="BC15" i="7"/>
  <c r="BC13" i="7"/>
  <c r="AQ14" i="7"/>
  <c r="AQ15" i="7"/>
  <c r="AQ16" i="7"/>
  <c r="AQ13" i="7"/>
  <c r="AQ11" i="7"/>
  <c r="AQ12" i="7"/>
  <c r="AQ10" i="7"/>
  <c r="AQ9" i="7"/>
  <c r="AM9" i="7"/>
  <c r="AM12" i="7"/>
  <c r="AM11" i="7"/>
  <c r="AM10" i="7"/>
  <c r="BC9" i="7"/>
  <c r="BC11" i="7"/>
  <c r="BC12" i="7"/>
  <c r="BC10" i="7"/>
  <c r="AM24" i="7"/>
  <c r="AM23" i="7"/>
  <c r="AM22" i="7"/>
  <c r="AM21" i="7"/>
  <c r="AY10" i="7"/>
  <c r="AY12" i="7"/>
  <c r="AY11" i="7"/>
  <c r="AY9" i="7"/>
  <c r="AI23" i="7"/>
  <c r="AI22" i="7"/>
  <c r="AI21" i="7"/>
  <c r="AI24" i="7"/>
  <c r="AQ6" i="7"/>
  <c r="AQ8" i="7"/>
  <c r="AQ5" i="7"/>
  <c r="AR5" i="7" s="1"/>
  <c r="AS5" i="7" s="1"/>
  <c r="AQ7" i="7"/>
  <c r="AQ20" i="7"/>
  <c r="AQ18" i="7"/>
  <c r="AQ17" i="7"/>
  <c r="AQ19" i="7"/>
  <c r="AM20" i="7"/>
  <c r="AM19" i="7"/>
  <c r="AM17" i="7"/>
  <c r="AM18" i="7"/>
  <c r="BC20" i="7"/>
  <c r="BC19" i="7"/>
  <c r="BC17" i="7"/>
  <c r="BC18" i="7"/>
  <c r="AM30" i="7"/>
  <c r="AM33" i="7"/>
  <c r="AM27" i="7"/>
  <c r="AM32" i="7"/>
  <c r="AM29" i="7"/>
  <c r="AM31" i="7"/>
  <c r="AM26" i="7"/>
  <c r="AM44" i="7"/>
  <c r="AM43" i="7"/>
  <c r="AM42" i="7"/>
  <c r="AM41" i="7"/>
  <c r="AM40" i="7"/>
  <c r="AM39" i="7"/>
  <c r="AM38" i="7"/>
  <c r="AM37" i="7"/>
  <c r="AM36" i="7"/>
  <c r="AM35" i="7"/>
  <c r="AM28" i="7"/>
  <c r="AM34" i="7"/>
  <c r="AM25" i="7"/>
  <c r="AY18" i="7"/>
  <c r="AY20" i="7"/>
  <c r="AY19" i="7"/>
  <c r="AY17" i="7"/>
  <c r="AQ32" i="7"/>
  <c r="AQ29" i="7"/>
  <c r="AQ31" i="7"/>
  <c r="AQ26" i="7"/>
  <c r="AQ44" i="7"/>
  <c r="AQ43" i="7"/>
  <c r="AQ42" i="7"/>
  <c r="AQ41" i="7"/>
  <c r="AQ40" i="7"/>
  <c r="AQ39" i="7"/>
  <c r="AQ38" i="7"/>
  <c r="AQ37" i="7"/>
  <c r="AQ36" i="7"/>
  <c r="AQ35" i="7"/>
  <c r="AQ25" i="7"/>
  <c r="AQ34" i="7"/>
  <c r="AQ30" i="7"/>
  <c r="AQ27" i="7"/>
  <c r="AQ33" i="7"/>
  <c r="AQ28" i="7"/>
  <c r="AY7" i="7"/>
  <c r="AY5" i="7"/>
  <c r="AZ5" i="7" s="1"/>
  <c r="AY8" i="7"/>
  <c r="AY6" i="7"/>
  <c r="AI16" i="7"/>
  <c r="AI15" i="7"/>
  <c r="AI14" i="7"/>
  <c r="AI13" i="7"/>
  <c r="AY16" i="7"/>
  <c r="AY14" i="7"/>
  <c r="AY15" i="7"/>
  <c r="AY13" i="7"/>
  <c r="AU24" i="7"/>
  <c r="AU23" i="7"/>
  <c r="AU22" i="7"/>
  <c r="AU21" i="7"/>
  <c r="BC30" i="7"/>
  <c r="BC33" i="7"/>
  <c r="BC27" i="7"/>
  <c r="BC32" i="7"/>
  <c r="BC29" i="7"/>
  <c r="BC31" i="7"/>
  <c r="BC26" i="7"/>
  <c r="BC44" i="7"/>
  <c r="BC43" i="7"/>
  <c r="BC42" i="7"/>
  <c r="BC41" i="7"/>
  <c r="BC40" i="7"/>
  <c r="BC39" i="7"/>
  <c r="BC38" i="7"/>
  <c r="BC37" i="7"/>
  <c r="BC36" i="7"/>
  <c r="BC35" i="7"/>
  <c r="BC28" i="7"/>
  <c r="BC25" i="7"/>
  <c r="BC34" i="7"/>
  <c r="AU18" i="7"/>
  <c r="AU20" i="7"/>
  <c r="AU19" i="7"/>
  <c r="AU17" i="7"/>
  <c r="AU8" i="7"/>
  <c r="AU6" i="7"/>
  <c r="AU7" i="7"/>
  <c r="AU5" i="7"/>
  <c r="AV5" i="7" s="1"/>
  <c r="AI7" i="7"/>
  <c r="AI5" i="7"/>
  <c r="AJ5" i="7" s="1"/>
  <c r="AI8" i="7"/>
  <c r="AI6" i="7"/>
  <c r="BC24" i="7"/>
  <c r="BC23" i="7"/>
  <c r="BC22" i="7"/>
  <c r="BC21" i="7"/>
  <c r="AQ24" i="7"/>
  <c r="AQ22" i="7"/>
  <c r="AQ23" i="7"/>
  <c r="AQ21" i="7"/>
  <c r="AU12" i="7"/>
  <c r="AU11" i="7"/>
  <c r="AU10" i="7"/>
  <c r="AU9" i="7"/>
  <c r="AU13" i="7"/>
  <c r="AU14" i="7"/>
  <c r="AU16" i="7"/>
  <c r="AU15" i="7"/>
  <c r="AI44" i="7"/>
  <c r="AI43" i="7"/>
  <c r="AI42" i="7"/>
  <c r="AI41" i="7"/>
  <c r="AI40" i="7"/>
  <c r="AI39" i="7"/>
  <c r="AI38" i="7"/>
  <c r="AI37" i="7"/>
  <c r="AI36" i="7"/>
  <c r="AI35" i="7"/>
  <c r="AI28" i="7"/>
  <c r="AI25" i="7"/>
  <c r="AI34" i="7"/>
  <c r="AI30" i="7"/>
  <c r="AI33" i="7"/>
  <c r="AI27" i="7"/>
  <c r="AI29" i="7"/>
  <c r="AI26" i="7"/>
  <c r="AI32" i="7"/>
  <c r="AI31" i="7"/>
  <c r="AY44" i="7"/>
  <c r="AY43" i="7"/>
  <c r="AY42" i="7"/>
  <c r="AY41" i="7"/>
  <c r="AY40" i="7"/>
  <c r="AY39" i="7"/>
  <c r="AY38" i="7"/>
  <c r="AY37" i="7"/>
  <c r="AY36" i="7"/>
  <c r="AY35" i="7"/>
  <c r="AY28" i="7"/>
  <c r="AY25" i="7"/>
  <c r="AY34" i="7"/>
  <c r="AY30" i="7"/>
  <c r="AY33" i="7"/>
  <c r="AY27" i="7"/>
  <c r="AY29" i="7"/>
  <c r="AY32" i="7"/>
  <c r="AY31" i="7"/>
  <c r="AY26" i="7"/>
  <c r="BC8" i="7"/>
  <c r="BC6" i="7"/>
  <c r="BC5" i="7"/>
  <c r="BD5" i="7" s="1"/>
  <c r="BC7" i="7"/>
  <c r="AO5" i="7"/>
  <c r="AN6" i="7"/>
  <c r="AN7" i="7" s="1"/>
  <c r="Z6" i="7"/>
  <c r="AA6" i="7" s="1"/>
  <c r="AA5" i="7"/>
  <c r="BC20" i="6"/>
  <c r="BC19" i="6"/>
  <c r="BC17" i="6"/>
  <c r="BC18" i="6"/>
  <c r="AY8" i="6"/>
  <c r="AY6" i="6"/>
  <c r="AY7" i="6"/>
  <c r="AY5" i="6"/>
  <c r="AZ5" i="6" s="1"/>
  <c r="BA5" i="6" s="1"/>
  <c r="AI12" i="6"/>
  <c r="AI11" i="6"/>
  <c r="AI10" i="6"/>
  <c r="AI9" i="6"/>
  <c r="AU6" i="6"/>
  <c r="AU8" i="6"/>
  <c r="AU7" i="6"/>
  <c r="AU5" i="6"/>
  <c r="AV5" i="6" s="1"/>
  <c r="AY12" i="6"/>
  <c r="AY11" i="6"/>
  <c r="AY9" i="6"/>
  <c r="AY10" i="6"/>
  <c r="AQ12" i="6"/>
  <c r="AQ11" i="6"/>
  <c r="AQ10" i="6"/>
  <c r="AQ9" i="6"/>
  <c r="BC12" i="6"/>
  <c r="BC11" i="6"/>
  <c r="BC10" i="6"/>
  <c r="BC9" i="6"/>
  <c r="Z6" i="6"/>
  <c r="AA6" i="6" s="1"/>
  <c r="AI6" i="6"/>
  <c r="AI8" i="6"/>
  <c r="AI7" i="6"/>
  <c r="AI5" i="6"/>
  <c r="AJ5" i="6" s="1"/>
  <c r="BC13" i="6"/>
  <c r="BC14" i="6"/>
  <c r="BC15" i="6"/>
  <c r="BC16" i="6"/>
  <c r="AU15" i="6"/>
  <c r="AU13" i="6"/>
  <c r="AU16" i="6"/>
  <c r="AU14" i="6"/>
  <c r="AU29" i="6"/>
  <c r="AU31" i="6"/>
  <c r="AU26" i="6"/>
  <c r="AU28" i="6"/>
  <c r="AU25" i="6"/>
  <c r="AU34" i="6"/>
  <c r="AU30" i="6"/>
  <c r="AU27" i="6"/>
  <c r="AU32" i="6"/>
  <c r="AU40" i="6"/>
  <c r="AU35" i="6"/>
  <c r="AU43" i="6"/>
  <c r="AU38" i="6"/>
  <c r="AU41" i="6"/>
  <c r="AU42" i="6"/>
  <c r="AU44" i="6"/>
  <c r="AU36" i="6"/>
  <c r="AU33" i="6"/>
  <c r="AU39" i="6"/>
  <c r="AU37" i="6"/>
  <c r="AU22" i="6"/>
  <c r="AU21" i="6"/>
  <c r="AU24" i="6"/>
  <c r="AU23" i="6"/>
  <c r="AU9" i="6"/>
  <c r="AU12" i="6"/>
  <c r="AU11" i="6"/>
  <c r="AU10" i="6"/>
  <c r="AI15" i="6"/>
  <c r="AI13" i="6"/>
  <c r="AI16" i="6"/>
  <c r="AI14" i="6"/>
  <c r="AI31" i="6"/>
  <c r="AI26" i="6"/>
  <c r="AI44" i="6"/>
  <c r="AI43" i="6"/>
  <c r="AI42" i="6"/>
  <c r="AI41" i="6"/>
  <c r="AI40" i="6"/>
  <c r="AI39" i="6"/>
  <c r="AI38" i="6"/>
  <c r="AI37" i="6"/>
  <c r="AI36" i="6"/>
  <c r="AI35" i="6"/>
  <c r="AI25" i="6"/>
  <c r="AI34" i="6"/>
  <c r="AI30" i="6"/>
  <c r="AI33" i="6"/>
  <c r="AI27" i="6"/>
  <c r="AI32" i="6"/>
  <c r="AI29" i="6"/>
  <c r="AI28" i="6"/>
  <c r="AY31" i="6"/>
  <c r="AY26" i="6"/>
  <c r="AY44" i="6"/>
  <c r="AY43" i="6"/>
  <c r="AY42" i="6"/>
  <c r="AY41" i="6"/>
  <c r="AY40" i="6"/>
  <c r="AY39" i="6"/>
  <c r="AY38" i="6"/>
  <c r="AY37" i="6"/>
  <c r="AY36" i="6"/>
  <c r="AY35" i="6"/>
  <c r="AY25" i="6"/>
  <c r="AY34" i="6"/>
  <c r="AY30" i="6"/>
  <c r="AY33" i="6"/>
  <c r="AY27" i="6"/>
  <c r="AY32" i="6"/>
  <c r="AY29" i="6"/>
  <c r="AY28" i="6"/>
  <c r="BC7" i="6"/>
  <c r="BC5" i="6"/>
  <c r="BD5" i="6" s="1"/>
  <c r="BC8" i="6"/>
  <c r="BC6" i="6"/>
  <c r="AM24" i="6"/>
  <c r="AM23" i="6"/>
  <c r="AM22" i="6"/>
  <c r="AM21" i="6"/>
  <c r="AM13" i="6"/>
  <c r="AM14" i="6"/>
  <c r="AM15" i="6"/>
  <c r="AM16" i="6"/>
  <c r="AY15" i="6"/>
  <c r="AY13" i="6"/>
  <c r="AY16" i="6"/>
  <c r="AY14" i="6"/>
  <c r="AI23" i="6"/>
  <c r="AI22" i="6"/>
  <c r="AI21" i="6"/>
  <c r="AI24" i="6"/>
  <c r="AY23" i="6"/>
  <c r="AY22" i="6"/>
  <c r="AY21" i="6"/>
  <c r="AY24" i="6"/>
  <c r="AQ27" i="6"/>
  <c r="AQ29" i="6"/>
  <c r="AQ31" i="6"/>
  <c r="AQ26" i="6"/>
  <c r="AQ28" i="6"/>
  <c r="AQ34" i="6"/>
  <c r="AQ30" i="6"/>
  <c r="AQ35" i="6"/>
  <c r="AQ40" i="6"/>
  <c r="AQ38" i="6"/>
  <c r="AQ32" i="6"/>
  <c r="AQ41" i="6"/>
  <c r="AQ44" i="6"/>
  <c r="AQ36" i="6"/>
  <c r="AQ33" i="6"/>
  <c r="AQ25" i="6"/>
  <c r="AQ39" i="6"/>
  <c r="AQ42" i="6"/>
  <c r="AQ37" i="6"/>
  <c r="AQ43" i="6"/>
  <c r="AQ22" i="6"/>
  <c r="AQ21" i="6"/>
  <c r="AQ24" i="6"/>
  <c r="AQ23" i="6"/>
  <c r="BC34" i="6"/>
  <c r="BC33" i="6"/>
  <c r="BC27" i="6"/>
  <c r="BC32" i="6"/>
  <c r="BC29" i="6"/>
  <c r="BC31" i="6"/>
  <c r="BC26" i="6"/>
  <c r="BC44" i="6"/>
  <c r="BC43" i="6"/>
  <c r="BC42" i="6"/>
  <c r="BC41" i="6"/>
  <c r="BC40" i="6"/>
  <c r="BC39" i="6"/>
  <c r="BC38" i="6"/>
  <c r="BC37" i="6"/>
  <c r="BC36" i="6"/>
  <c r="BC35" i="6"/>
  <c r="BC28" i="6"/>
  <c r="BC25" i="6"/>
  <c r="BC30" i="6"/>
  <c r="AU17" i="6"/>
  <c r="AU18" i="6"/>
  <c r="AU20" i="6"/>
  <c r="AU19" i="6"/>
  <c r="AM8" i="6"/>
  <c r="AM6" i="6"/>
  <c r="AM7" i="6"/>
  <c r="AM5" i="6"/>
  <c r="AN5" i="6" s="1"/>
  <c r="AS5" i="6"/>
  <c r="AR6" i="6"/>
  <c r="AS6" i="6" s="1"/>
  <c r="AA5" i="6"/>
  <c r="AE32" i="4"/>
  <c r="AE33" i="4"/>
  <c r="AE31" i="4"/>
  <c r="AE30" i="4"/>
  <c r="AE29" i="4"/>
  <c r="AE28" i="4"/>
  <c r="AE27" i="4"/>
  <c r="AE26" i="4"/>
  <c r="AE25" i="4"/>
  <c r="AE34" i="4"/>
  <c r="AE24" i="4"/>
  <c r="AJ24" i="4"/>
  <c r="AL24" i="4" s="1"/>
  <c r="AJ26" i="4" a="1"/>
  <c r="AJ25" i="4" a="1"/>
  <c r="AJ27" i="4" a="1"/>
  <c r="AZ6" i="6" l="1"/>
  <c r="AZ7" i="6" s="1"/>
  <c r="AZ8" i="6" s="1"/>
  <c r="BA8" i="6" s="1"/>
  <c r="AZ6" i="7"/>
  <c r="BA6" i="7" s="1"/>
  <c r="Z7" i="7"/>
  <c r="Z8" i="7" s="1"/>
  <c r="AR6" i="7"/>
  <c r="AN8" i="7"/>
  <c r="AK5" i="7"/>
  <c r="BA5" i="7"/>
  <c r="AJ6" i="7"/>
  <c r="AJ7" i="7" s="1"/>
  <c r="AJ8" i="7" s="1"/>
  <c r="AO7" i="7"/>
  <c r="AO6" i="7"/>
  <c r="BE5" i="7"/>
  <c r="AW5" i="7"/>
  <c r="BD6" i="7"/>
  <c r="BE6" i="7" s="1"/>
  <c r="AV6" i="7"/>
  <c r="AV7" i="7" s="1"/>
  <c r="AV6" i="6"/>
  <c r="AW6" i="6" s="1"/>
  <c r="AW5" i="6"/>
  <c r="Z7" i="6"/>
  <c r="AA7" i="6" s="1"/>
  <c r="AR7" i="6"/>
  <c r="AR8" i="6" s="1"/>
  <c r="AR9" i="6" s="1"/>
  <c r="Z8" i="6"/>
  <c r="AN6" i="6"/>
  <c r="AO6" i="6" s="1"/>
  <c r="AJ6" i="6"/>
  <c r="AJ7" i="6" s="1"/>
  <c r="AO5" i="6"/>
  <c r="BE5" i="6"/>
  <c r="BD6" i="6"/>
  <c r="AK5" i="6"/>
  <c r="AJ27" i="4"/>
  <c r="AL27" i="4" s="1"/>
  <c r="AJ25" i="4"/>
  <c r="AL25" i="4" s="1"/>
  <c r="AJ26" i="4"/>
  <c r="AL26" i="4" s="1"/>
  <c r="AA7" i="7" l="1"/>
  <c r="AZ7" i="7"/>
  <c r="BA7" i="7" s="1"/>
  <c r="BA7" i="6"/>
  <c r="BA6" i="6"/>
  <c r="AA8" i="7"/>
  <c r="AK6" i="7"/>
  <c r="BD7" i="7"/>
  <c r="BD8" i="7" s="1"/>
  <c r="BD9" i="7" s="1"/>
  <c r="BE9" i="7" s="1"/>
  <c r="AS6" i="7"/>
  <c r="AR7" i="7"/>
  <c r="AV8" i="7"/>
  <c r="Z9" i="7"/>
  <c r="AK7" i="7"/>
  <c r="AW6" i="7"/>
  <c r="AJ9" i="7"/>
  <c r="AK9" i="7" s="1"/>
  <c r="AN9" i="7"/>
  <c r="AO8" i="7"/>
  <c r="AK8" i="7"/>
  <c r="AW7" i="7"/>
  <c r="AS8" i="6"/>
  <c r="AV7" i="6"/>
  <c r="AS7" i="6"/>
  <c r="AN7" i="6"/>
  <c r="AN8" i="6" s="1"/>
  <c r="Z9" i="6"/>
  <c r="AA9" i="6" s="1"/>
  <c r="AA8" i="6"/>
  <c r="BE6" i="6"/>
  <c r="AK7" i="6"/>
  <c r="BD7" i="6"/>
  <c r="AK6" i="6"/>
  <c r="AR10" i="6"/>
  <c r="AS9" i="6"/>
  <c r="AZ9" i="6"/>
  <c r="AJ8" i="6"/>
  <c r="A5" i="5"/>
  <c r="AK5" i="5"/>
  <c r="AC6" i="5"/>
  <c r="AD6" i="5"/>
  <c r="D7" i="5"/>
  <c r="O7" i="5"/>
  <c r="AC7" i="5"/>
  <c r="D8" i="5"/>
  <c r="D9" i="5" s="1"/>
  <c r="AC8" i="5"/>
  <c r="H8" i="5" s="1"/>
  <c r="AJ10" i="5"/>
  <c r="AK10" i="5"/>
  <c r="AJ11" i="5"/>
  <c r="AK11" i="5"/>
  <c r="AJ12" i="5"/>
  <c r="AK12" i="5"/>
  <c r="AJ13" i="5"/>
  <c r="AK13" i="5"/>
  <c r="AJ14" i="5"/>
  <c r="AK14" i="5"/>
  <c r="AJ15" i="5"/>
  <c r="AK15" i="5"/>
  <c r="AJ16" i="5"/>
  <c r="AK16" i="5"/>
  <c r="AJ17" i="5"/>
  <c r="AK17" i="5"/>
  <c r="AJ18" i="5"/>
  <c r="AK18" i="5"/>
  <c r="AJ19" i="5"/>
  <c r="AK19" i="5"/>
  <c r="AJ20" i="5"/>
  <c r="AK20" i="5"/>
  <c r="AH28" i="5"/>
  <c r="C22" i="5" s="1"/>
  <c r="R8" i="4"/>
  <c r="R9" i="4"/>
  <c r="R10" i="4"/>
  <c r="R11" i="4"/>
  <c r="R12" i="4"/>
  <c r="R13" i="4"/>
  <c r="R14" i="4"/>
  <c r="R15" i="4"/>
  <c r="R16" i="4"/>
  <c r="R17" i="4"/>
  <c r="AK24" i="4"/>
  <c r="S26" i="1"/>
  <c r="S35" i="1"/>
  <c r="S33" i="1"/>
  <c r="S34" i="1" s="1"/>
  <c r="S31" i="1"/>
  <c r="S32" i="1" s="1"/>
  <c r="S29" i="1"/>
  <c r="S30" i="1" s="1"/>
  <c r="S27" i="1"/>
  <c r="S28" i="1" s="1"/>
  <c r="D14" i="3"/>
  <c r="W4" i="3"/>
  <c r="S4" i="3"/>
  <c r="R4" i="3"/>
  <c r="Q5" i="3"/>
  <c r="F5" i="3"/>
  <c r="D16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T5" i="1"/>
  <c r="T6" i="1"/>
  <c r="T7" i="1"/>
  <c r="T8" i="1"/>
  <c r="T9" i="1"/>
  <c r="Q4" i="1"/>
  <c r="O27" i="1" s="1"/>
  <c r="Q5" i="1"/>
  <c r="O28" i="1" s="1"/>
  <c r="Q6" i="1"/>
  <c r="O29" i="1" s="1"/>
  <c r="Q7" i="1"/>
  <c r="O30" i="1" s="1"/>
  <c r="Q8" i="1"/>
  <c r="O31" i="1" s="1"/>
  <c r="Q9" i="1"/>
  <c r="O32" i="1" s="1"/>
  <c r="M9" i="1"/>
  <c r="AB14" i="4" a="1"/>
  <c r="AB9" i="4" a="1"/>
  <c r="AB13" i="4" a="1"/>
  <c r="AB12" i="4" a="1"/>
  <c r="AB11" i="4" a="1"/>
  <c r="AB15" i="4" a="1"/>
  <c r="AB17" i="4" a="1"/>
  <c r="AB10" i="4" a="1"/>
  <c r="AB8" i="4" a="1"/>
  <c r="AB16" i="4" a="1"/>
  <c r="T31" i="1" a="1"/>
  <c r="T34" i="1" a="1"/>
  <c r="T29" i="1" a="1"/>
  <c r="T32" i="1" a="1"/>
  <c r="Y4" i="1" a="1"/>
  <c r="T33" i="1" a="1"/>
  <c r="T25" i="1" a="1"/>
  <c r="T26" i="1" a="1"/>
  <c r="T28" i="1" a="1"/>
  <c r="T27" i="1" a="1"/>
  <c r="T30" i="1" a="1"/>
  <c r="T35" i="1" a="1"/>
  <c r="T24" i="1" a="1"/>
  <c r="H5" i="3" a="1"/>
  <c r="S5" i="3" a="1"/>
  <c r="S5" i="3" l="1"/>
  <c r="H5" i="3"/>
  <c r="AZ8" i="7"/>
  <c r="BA8" i="7" s="1"/>
  <c r="BE7" i="7"/>
  <c r="BE8" i="7"/>
  <c r="AR8" i="7"/>
  <c r="AR9" i="7" s="1"/>
  <c r="AS7" i="7"/>
  <c r="Z10" i="7"/>
  <c r="AJ10" i="7"/>
  <c r="AK10" i="7" s="1"/>
  <c r="AA9" i="7"/>
  <c r="AN10" i="7"/>
  <c r="AO9" i="7"/>
  <c r="BD10" i="7"/>
  <c r="AV9" i="7"/>
  <c r="AW9" i="7" s="1"/>
  <c r="AW8" i="7"/>
  <c r="AO8" i="6"/>
  <c r="AW7" i="6"/>
  <c r="AV8" i="6"/>
  <c r="AW8" i="6"/>
  <c r="AO7" i="6"/>
  <c r="Z10" i="6"/>
  <c r="AA10" i="6" s="1"/>
  <c r="AZ10" i="6"/>
  <c r="BA10" i="6" s="1"/>
  <c r="AK8" i="6"/>
  <c r="BA9" i="6"/>
  <c r="AR11" i="6"/>
  <c r="AS11" i="6" s="1"/>
  <c r="AS10" i="6"/>
  <c r="BD8" i="6"/>
  <c r="AJ9" i="6"/>
  <c r="BE7" i="6"/>
  <c r="AN9" i="6"/>
  <c r="I7" i="5"/>
  <c r="H7" i="5"/>
  <c r="U6" i="5"/>
  <c r="T6" i="5"/>
  <c r="H6" i="5"/>
  <c r="K6" i="5"/>
  <c r="Q6" i="3"/>
  <c r="K7" i="5"/>
  <c r="W6" i="5"/>
  <c r="Q6" i="5"/>
  <c r="P6" i="5" s="1"/>
  <c r="T34" i="1"/>
  <c r="T35" i="1"/>
  <c r="T28" i="1"/>
  <c r="T29" i="1"/>
  <c r="T32" i="1"/>
  <c r="T33" i="1"/>
  <c r="T24" i="1"/>
  <c r="T25" i="1"/>
  <c r="T30" i="1"/>
  <c r="T31" i="1"/>
  <c r="T26" i="1"/>
  <c r="T27" i="1"/>
  <c r="I8" i="5"/>
  <c r="K8" i="5"/>
  <c r="J8" i="5"/>
  <c r="E6" i="5"/>
  <c r="I6" i="5"/>
  <c r="J6" i="5"/>
  <c r="J7" i="5"/>
  <c r="AC9" i="5"/>
  <c r="H9" i="5" s="1"/>
  <c r="D10" i="5"/>
  <c r="O8" i="5"/>
  <c r="AD7" i="5"/>
  <c r="T7" i="5" s="1"/>
  <c r="Y6" i="5"/>
  <c r="Y4" i="1"/>
  <c r="BB10" i="1"/>
  <c r="AT9" i="1"/>
  <c r="AH5" i="1"/>
  <c r="BB7" i="1"/>
  <c r="AL8" i="1"/>
  <c r="AL6" i="1"/>
  <c r="AB13" i="4"/>
  <c r="AA13" i="4" s="1"/>
  <c r="AB8" i="4"/>
  <c r="AA8" i="4" s="1"/>
  <c r="AB17" i="4"/>
  <c r="AA17" i="4" s="1"/>
  <c r="AB12" i="4"/>
  <c r="AA12" i="4" s="1"/>
  <c r="AB9" i="4"/>
  <c r="AA9" i="4" s="1"/>
  <c r="AB15" i="4"/>
  <c r="AA15" i="4" s="1"/>
  <c r="AB14" i="4"/>
  <c r="AA14" i="4" s="1"/>
  <c r="AB11" i="4"/>
  <c r="AA11" i="4" s="1"/>
  <c r="AB10" i="4"/>
  <c r="AA10" i="4" s="1"/>
  <c r="AB16" i="4"/>
  <c r="AA16" i="4" s="1"/>
  <c r="G5" i="3"/>
  <c r="F6" i="3"/>
  <c r="D15" i="3"/>
  <c r="R5" i="3" s="1"/>
  <c r="AP7" i="1"/>
  <c r="AT8" i="1"/>
  <c r="AH7" i="1"/>
  <c r="AX7" i="1"/>
  <c r="AX9" i="1"/>
  <c r="AH10" i="1"/>
  <c r="AL7" i="1"/>
  <c r="AL9" i="1"/>
  <c r="BB5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AJ34" i="4" a="1"/>
  <c r="V6" i="5" a="1"/>
  <c r="AJ33" i="4" a="1"/>
  <c r="AJ28" i="4" a="1"/>
  <c r="AJ29" i="4" a="1"/>
  <c r="AJ30" i="4" a="1"/>
  <c r="AJ31" i="4" a="1"/>
  <c r="AJ32" i="4" a="1"/>
  <c r="AM21" i="1" a="1"/>
  <c r="AM19" i="1" a="1"/>
  <c r="BC12" i="1" a="1"/>
  <c r="AM15" i="1" a="1"/>
  <c r="AU11" i="1" a="1"/>
  <c r="AM37" i="1" a="1"/>
  <c r="AQ42" i="1" a="1"/>
  <c r="BC40" i="1" a="1"/>
  <c r="AQ13" i="1" a="1"/>
  <c r="AQ20" i="1" a="1"/>
  <c r="AI23" i="1" a="1"/>
  <c r="AM38" i="1" a="1"/>
  <c r="AM26" i="1" a="1"/>
  <c r="AM9" i="1" a="1"/>
  <c r="BC27" i="1" a="1"/>
  <c r="AQ39" i="1" a="1"/>
  <c r="AY40" i="1" a="1"/>
  <c r="BC31" i="1" a="1"/>
  <c r="BC43" i="1" a="1"/>
  <c r="AI31" i="1" a="1"/>
  <c r="AQ5" i="1" a="1"/>
  <c r="AY43" i="1" a="1"/>
  <c r="AQ7" i="1" a="1"/>
  <c r="AU18" i="1" a="1"/>
  <c r="AM32" i="1" a="1"/>
  <c r="AI7" i="1" a="1"/>
  <c r="AM30" i="1" a="1"/>
  <c r="AI24" i="1" a="1"/>
  <c r="AI26" i="1" a="1"/>
  <c r="AI43" i="1" a="1"/>
  <c r="AQ19" i="1" a="1"/>
  <c r="AU33" i="1" a="1"/>
  <c r="AU14" i="1" a="1"/>
  <c r="AQ31" i="1" a="1"/>
  <c r="AU10" i="1" a="1"/>
  <c r="AQ27" i="1" a="1"/>
  <c r="AY29" i="1" a="1"/>
  <c r="AY12" i="1" a="1"/>
  <c r="AY36" i="1" a="1"/>
  <c r="AM36" i="1" a="1"/>
  <c r="AY21" i="1" a="1"/>
  <c r="AI37" i="1" a="1"/>
  <c r="AQ36" i="1" a="1"/>
  <c r="AY32" i="1" a="1"/>
  <c r="AM25" i="1" a="1"/>
  <c r="BC36" i="1" a="1"/>
  <c r="AQ41" i="1" a="1"/>
  <c r="AY13" i="1" a="1"/>
  <c r="BC11" i="1" a="1"/>
  <c r="AQ6" i="1" a="1"/>
  <c r="AY6" i="1" a="1"/>
  <c r="AI25" i="1" a="1"/>
  <c r="AY14" i="1" a="1"/>
  <c r="AU22" i="1" a="1"/>
  <c r="AU20" i="1" a="1"/>
  <c r="AU17" i="1" a="1"/>
  <c r="AI32" i="1" a="1"/>
  <c r="AU19" i="1" a="1"/>
  <c r="AU32" i="1" a="1"/>
  <c r="AI40" i="1" a="1"/>
  <c r="AY16" i="1" a="1"/>
  <c r="AI18" i="1" a="1"/>
  <c r="BC9" i="1" a="1"/>
  <c r="AU13" i="1" a="1"/>
  <c r="AM40" i="1" a="1"/>
  <c r="AM20" i="1" a="1"/>
  <c r="AI6" i="1" a="1"/>
  <c r="AQ38" i="1" a="1"/>
  <c r="AM44" i="1" a="1"/>
  <c r="AU21" i="1" a="1"/>
  <c r="AI11" i="1" a="1"/>
  <c r="AY44" i="1" a="1"/>
  <c r="AQ37" i="1" a="1"/>
  <c r="AU6" i="1" a="1"/>
  <c r="AU8" i="1" a="1"/>
  <c r="AY33" i="1" a="1"/>
  <c r="AI12" i="1" a="1"/>
  <c r="AY19" i="1" a="1"/>
  <c r="AM34" i="1" a="1"/>
  <c r="AY23" i="1" a="1"/>
  <c r="AQ22" i="1" a="1"/>
  <c r="AM22" i="1" a="1"/>
  <c r="AM41" i="1" a="1"/>
  <c r="AU30" i="1" a="1"/>
  <c r="AM6" i="1" a="1"/>
  <c r="BC29" i="1" a="1"/>
  <c r="AQ14" i="1" a="1"/>
  <c r="BC35" i="1" a="1"/>
  <c r="AY17" i="1" a="1"/>
  <c r="AU7" i="1" a="1"/>
  <c r="AY8" i="1" a="1"/>
  <c r="AY9" i="1" a="1"/>
  <c r="AQ23" i="1" a="1"/>
  <c r="AI30" i="1" a="1"/>
  <c r="AM5" i="1" a="1"/>
  <c r="BC32" i="1" a="1"/>
  <c r="AQ21" i="1" a="1"/>
  <c r="AM29" i="1" a="1"/>
  <c r="AY15" i="1" a="1"/>
  <c r="AY7" i="1" a="1"/>
  <c r="AI14" i="1" a="1"/>
  <c r="AM10" i="1" a="1"/>
  <c r="AM23" i="1" a="1"/>
  <c r="BC38" i="1" a="1"/>
  <c r="AY38" i="1" a="1"/>
  <c r="AI19" i="1" a="1"/>
  <c r="AY26" i="1" a="1"/>
  <c r="AU40" i="1" a="1"/>
  <c r="AM14" i="1" a="1"/>
  <c r="AQ15" i="1" a="1"/>
  <c r="BC21" i="1" a="1"/>
  <c r="AQ28" i="1" a="1"/>
  <c r="BC18" i="1" a="1"/>
  <c r="AI38" i="1" a="1"/>
  <c r="AU36" i="1" a="1"/>
  <c r="AU5" i="1" a="1"/>
  <c r="BC37" i="1" a="1"/>
  <c r="AI41" i="1" a="1"/>
  <c r="AQ26" i="1" a="1"/>
  <c r="AI44" i="1" a="1"/>
  <c r="AU34" i="1" a="1"/>
  <c r="AY34" i="1" a="1"/>
  <c r="BC41" i="1" a="1"/>
  <c r="AM28" i="1" a="1"/>
  <c r="AU42" i="1" a="1"/>
  <c r="BC30" i="1" a="1"/>
  <c r="AU43" i="1" a="1"/>
  <c r="BC15" i="1" a="1"/>
  <c r="BC42" i="1" a="1"/>
  <c r="AI5" i="1" a="1"/>
  <c r="AU15" i="1" a="1"/>
  <c r="AI42" i="1" a="1"/>
  <c r="AM33" i="1" a="1"/>
  <c r="BC28" i="1" a="1"/>
  <c r="BC22" i="1" a="1"/>
  <c r="AQ24" i="1" a="1"/>
  <c r="Y5" i="1" a="1"/>
  <c r="BC19" i="1" a="1"/>
  <c r="AI21" i="1" a="1"/>
  <c r="AY30" i="1" a="1"/>
  <c r="BC10" i="1" a="1"/>
  <c r="AI28" i="1" a="1"/>
  <c r="AM31" i="1" a="1"/>
  <c r="AM43" i="1" a="1"/>
  <c r="AI39" i="1" a="1"/>
  <c r="AQ29" i="1" a="1"/>
  <c r="AM8" i="1" a="1"/>
  <c r="BC24" i="1" a="1"/>
  <c r="BC44" i="1" a="1"/>
  <c r="AQ35" i="1" a="1"/>
  <c r="AU28" i="1" a="1"/>
  <c r="AU9" i="1" a="1"/>
  <c r="BC26" i="1" a="1"/>
  <c r="AY35" i="1" a="1"/>
  <c r="AY11" i="1" a="1"/>
  <c r="AU41" i="1" a="1"/>
  <c r="AI13" i="1" a="1"/>
  <c r="AY37" i="1" a="1"/>
  <c r="AQ8" i="1" a="1"/>
  <c r="AI35" i="1" a="1"/>
  <c r="AY42" i="1" a="1"/>
  <c r="AI17" i="1" a="1"/>
  <c r="AQ16" i="1" a="1"/>
  <c r="AM16" i="1" a="1"/>
  <c r="AM17" i="1" a="1"/>
  <c r="AQ44" i="1" a="1"/>
  <c r="AI16" i="1" a="1"/>
  <c r="AM18" i="1" a="1"/>
  <c r="AY22" i="1" a="1"/>
  <c r="BC13" i="1" a="1"/>
  <c r="AM11" i="1" a="1"/>
  <c r="AU12" i="1" a="1"/>
  <c r="AQ25" i="1" a="1"/>
  <c r="BC17" i="1" a="1"/>
  <c r="AM13" i="1" a="1"/>
  <c r="BC14" i="1" a="1"/>
  <c r="BC33" i="1" a="1"/>
  <c r="AI9" i="1" a="1"/>
  <c r="AY31" i="1" a="1"/>
  <c r="AU26" i="1" a="1"/>
  <c r="BC34" i="1" a="1"/>
  <c r="AY18" i="1" a="1"/>
  <c r="BC7" i="1" a="1"/>
  <c r="AQ33" i="1" a="1"/>
  <c r="AI10" i="1" a="1"/>
  <c r="AM39" i="1" a="1"/>
  <c r="AY41" i="1" a="1"/>
  <c r="AU39" i="1" a="1"/>
  <c r="AI36" i="1" a="1"/>
  <c r="BC23" i="1" a="1"/>
  <c r="AQ32" i="1" a="1"/>
  <c r="BC25" i="1" a="1"/>
  <c r="BC39" i="1" a="1"/>
  <c r="AQ40" i="1" a="1"/>
  <c r="AQ10" i="1" a="1"/>
  <c r="AU31" i="1" a="1"/>
  <c r="AQ17" i="1" a="1"/>
  <c r="BC6" i="1" a="1"/>
  <c r="AU35" i="1" a="1"/>
  <c r="AY25" i="1" a="1"/>
  <c r="AI20" i="1" a="1"/>
  <c r="AM27" i="1" a="1"/>
  <c r="AQ34" i="1" a="1"/>
  <c r="AQ9" i="1" a="1"/>
  <c r="BC8" i="1" a="1"/>
  <c r="AI22" i="1" a="1"/>
  <c r="AU25" i="1" a="1"/>
  <c r="AU38" i="1" a="1"/>
  <c r="AU16" i="1" a="1"/>
  <c r="AY5" i="1" a="1"/>
  <c r="AY24" i="1" a="1"/>
  <c r="AI8" i="1" a="1"/>
  <c r="AU23" i="1" a="1"/>
  <c r="AM35" i="1" a="1"/>
  <c r="AI34" i="1" a="1"/>
  <c r="AQ43" i="1" a="1"/>
  <c r="AQ30" i="1" a="1"/>
  <c r="AQ11" i="1" a="1"/>
  <c r="AI27" i="1" a="1"/>
  <c r="AU27" i="1" a="1"/>
  <c r="AY39" i="1" a="1"/>
  <c r="AQ12" i="1" a="1"/>
  <c r="AY28" i="1" a="1"/>
  <c r="AI33" i="1" a="1"/>
  <c r="AU29" i="1" a="1"/>
  <c r="BC5" i="1" a="1"/>
  <c r="AU37" i="1" a="1"/>
  <c r="AU24" i="1" a="1"/>
  <c r="AY27" i="1" a="1"/>
  <c r="AI15" i="1" a="1"/>
  <c r="AM12" i="1" a="1"/>
  <c r="AQ18" i="1" a="1"/>
  <c r="AU44" i="1" a="1"/>
  <c r="AY20" i="1" a="1"/>
  <c r="BC16" i="1" a="1"/>
  <c r="AY10" i="1" a="1"/>
  <c r="AM24" i="1" a="1"/>
  <c r="AM7" i="1" a="1"/>
  <c r="BC20" i="1" a="1"/>
  <c r="AM42" i="1" a="1"/>
  <c r="AI29" i="1" a="1"/>
  <c r="S6" i="3" a="1"/>
  <c r="S6" i="3" l="1"/>
  <c r="AZ9" i="7"/>
  <c r="AZ10" i="7" s="1"/>
  <c r="AZ11" i="7" s="1"/>
  <c r="AS8" i="7"/>
  <c r="Z11" i="6"/>
  <c r="AA11" i="6" s="1"/>
  <c r="AS9" i="7"/>
  <c r="AR10" i="7"/>
  <c r="AV10" i="7"/>
  <c r="AJ11" i="7"/>
  <c r="AK11" i="7" s="1"/>
  <c r="AN11" i="7"/>
  <c r="AO11" i="7" s="1"/>
  <c r="Z11" i="7"/>
  <c r="BD11" i="7"/>
  <c r="BE11" i="7" s="1"/>
  <c r="AO10" i="7"/>
  <c r="BE10" i="7"/>
  <c r="AA10" i="7"/>
  <c r="AV9" i="6"/>
  <c r="AW9" i="6" s="1"/>
  <c r="AR12" i="6"/>
  <c r="AS12" i="6" s="1"/>
  <c r="AJ10" i="6"/>
  <c r="AK9" i="6"/>
  <c r="AZ11" i="6"/>
  <c r="BA11" i="6" s="1"/>
  <c r="BD9" i="6"/>
  <c r="BE8" i="6"/>
  <c r="AN10" i="6"/>
  <c r="AO9" i="6"/>
  <c r="Y5" i="1"/>
  <c r="Q7" i="3"/>
  <c r="R6" i="5"/>
  <c r="S6" i="5" s="1"/>
  <c r="V6" i="5"/>
  <c r="X6" i="5" s="1"/>
  <c r="AJ34" i="4"/>
  <c r="AJ30" i="4"/>
  <c r="AJ29" i="4"/>
  <c r="AJ33" i="4"/>
  <c r="AJ31" i="4"/>
  <c r="AL31" i="4" s="1"/>
  <c r="AJ32" i="4"/>
  <c r="AL32" i="4" s="1"/>
  <c r="AJ28" i="4"/>
  <c r="F6" i="5"/>
  <c r="G6" i="5" s="1"/>
  <c r="AY5" i="1"/>
  <c r="AZ5" i="1" s="1"/>
  <c r="AY6" i="1"/>
  <c r="AY7" i="1"/>
  <c r="AY8" i="1"/>
  <c r="AQ6" i="1"/>
  <c r="AQ7" i="1"/>
  <c r="AQ8" i="1"/>
  <c r="AQ5" i="1"/>
  <c r="AR5" i="1" s="1"/>
  <c r="AM23" i="1"/>
  <c r="AM21" i="1"/>
  <c r="AM22" i="1"/>
  <c r="AM24" i="1"/>
  <c r="BC15" i="1"/>
  <c r="BC16" i="1"/>
  <c r="BC14" i="1"/>
  <c r="BC13" i="1"/>
  <c r="AQ17" i="1"/>
  <c r="AQ18" i="1"/>
  <c r="AQ19" i="1"/>
  <c r="AQ20" i="1"/>
  <c r="BC17" i="1"/>
  <c r="BC18" i="1"/>
  <c r="BC19" i="1"/>
  <c r="BC20" i="1"/>
  <c r="AI8" i="1"/>
  <c r="AI5" i="1"/>
  <c r="AJ5" i="1" s="1"/>
  <c r="AI6" i="1"/>
  <c r="AI7" i="1"/>
  <c r="AU11" i="1"/>
  <c r="AU12" i="1"/>
  <c r="AU9" i="1"/>
  <c r="AU10" i="1"/>
  <c r="AI9" i="1"/>
  <c r="AI10" i="1"/>
  <c r="AI11" i="1"/>
  <c r="AI12" i="1"/>
  <c r="AQ9" i="1"/>
  <c r="AQ10" i="1"/>
  <c r="AQ11" i="1"/>
  <c r="AQ12" i="1"/>
  <c r="BC5" i="1"/>
  <c r="BD5" i="1" s="1"/>
  <c r="BC6" i="1"/>
  <c r="BC7" i="1"/>
  <c r="BC8" i="1"/>
  <c r="AY21" i="1"/>
  <c r="AY22" i="1"/>
  <c r="AY23" i="1"/>
  <c r="AY24" i="1"/>
  <c r="AY15" i="1"/>
  <c r="AY16" i="1"/>
  <c r="AY14" i="1"/>
  <c r="AY13" i="1"/>
  <c r="AM26" i="1"/>
  <c r="AM36" i="1"/>
  <c r="AM27" i="1"/>
  <c r="AM37" i="1"/>
  <c r="AM32" i="1"/>
  <c r="AM33" i="1"/>
  <c r="AM43" i="1"/>
  <c r="AM25" i="1"/>
  <c r="AM28" i="1"/>
  <c r="AM38" i="1"/>
  <c r="AM29" i="1"/>
  <c r="AM39" i="1"/>
  <c r="AM30" i="1"/>
  <c r="AM40" i="1"/>
  <c r="AM31" i="1"/>
  <c r="AM41" i="1"/>
  <c r="AM42" i="1"/>
  <c r="AM34" i="1"/>
  <c r="AM44" i="1"/>
  <c r="AM35" i="1"/>
  <c r="AU22" i="1"/>
  <c r="AU21" i="1"/>
  <c r="AU23" i="1"/>
  <c r="AU24" i="1"/>
  <c r="AU5" i="1"/>
  <c r="AV5" i="1" s="1"/>
  <c r="AU6" i="1"/>
  <c r="AU7" i="1"/>
  <c r="AU8" i="1"/>
  <c r="AY12" i="1"/>
  <c r="AY9" i="1"/>
  <c r="AY10" i="1"/>
  <c r="AY11" i="1"/>
  <c r="BC12" i="1"/>
  <c r="BC9" i="1"/>
  <c r="BC10" i="1"/>
  <c r="BC11" i="1"/>
  <c r="AI21" i="1"/>
  <c r="AI22" i="1"/>
  <c r="AI23" i="1"/>
  <c r="AI24" i="1"/>
  <c r="AI18" i="1"/>
  <c r="AI19" i="1"/>
  <c r="AI20" i="1"/>
  <c r="AI17" i="1"/>
  <c r="AI28" i="1"/>
  <c r="AI38" i="1"/>
  <c r="AI29" i="1"/>
  <c r="AI39" i="1"/>
  <c r="AI30" i="1"/>
  <c r="AI40" i="1"/>
  <c r="AI31" i="1"/>
  <c r="AI41" i="1"/>
  <c r="AI32" i="1"/>
  <c r="AI42" i="1"/>
  <c r="AI33" i="1"/>
  <c r="AI43" i="1"/>
  <c r="AI34" i="1"/>
  <c r="AI44" i="1"/>
  <c r="AI25" i="1"/>
  <c r="AI35" i="1"/>
  <c r="AI26" i="1"/>
  <c r="AI36" i="1"/>
  <c r="AI27" i="1"/>
  <c r="AI37" i="1"/>
  <c r="AM17" i="1"/>
  <c r="AM18" i="1"/>
  <c r="AM19" i="1"/>
  <c r="AM20" i="1"/>
  <c r="AQ16" i="1"/>
  <c r="AQ13" i="1"/>
  <c r="AQ15" i="1"/>
  <c r="AQ14" i="1"/>
  <c r="BC25" i="1"/>
  <c r="BC35" i="1"/>
  <c r="BC26" i="1"/>
  <c r="BC36" i="1"/>
  <c r="BC27" i="1"/>
  <c r="BC37" i="1"/>
  <c r="BC28" i="1"/>
  <c r="BC38" i="1"/>
  <c r="BC32" i="1"/>
  <c r="BC29" i="1"/>
  <c r="BC39" i="1"/>
  <c r="BC30" i="1"/>
  <c r="BC40" i="1"/>
  <c r="BC31" i="1"/>
  <c r="BC41" i="1"/>
  <c r="BC42" i="1"/>
  <c r="BC33" i="1"/>
  <c r="BC34" i="1"/>
  <c r="BC43" i="1"/>
  <c r="BC44" i="1"/>
  <c r="AQ26" i="1"/>
  <c r="AQ36" i="1"/>
  <c r="AQ27" i="1"/>
  <c r="AQ37" i="1"/>
  <c r="AQ42" i="1"/>
  <c r="AQ33" i="1"/>
  <c r="AQ43" i="1"/>
  <c r="AQ25" i="1"/>
  <c r="AQ28" i="1"/>
  <c r="AQ38" i="1"/>
  <c r="AQ29" i="1"/>
  <c r="AQ39" i="1"/>
  <c r="AQ30" i="1"/>
  <c r="AQ40" i="1"/>
  <c r="AQ31" i="1"/>
  <c r="AQ41" i="1"/>
  <c r="AQ32" i="1"/>
  <c r="AQ34" i="1"/>
  <c r="AQ44" i="1"/>
  <c r="AQ35" i="1"/>
  <c r="AM6" i="1"/>
  <c r="AM7" i="1"/>
  <c r="AM5" i="1"/>
  <c r="AN5" i="1" s="1"/>
  <c r="AM8" i="1"/>
  <c r="AY17" i="1"/>
  <c r="AY18" i="1"/>
  <c r="AY19" i="1"/>
  <c r="AY20" i="1"/>
  <c r="AM16" i="1"/>
  <c r="AM13" i="1"/>
  <c r="AM14" i="1"/>
  <c r="AM15" i="1"/>
  <c r="AM9" i="1"/>
  <c r="AM10" i="1"/>
  <c r="AM11" i="1"/>
  <c r="AM12" i="1"/>
  <c r="BC21" i="1"/>
  <c r="BC22" i="1"/>
  <c r="BC23" i="1"/>
  <c r="BC24" i="1"/>
  <c r="AQ23" i="1"/>
  <c r="AQ21" i="1"/>
  <c r="AQ22" i="1"/>
  <c r="AQ24" i="1"/>
  <c r="AU15" i="1"/>
  <c r="AU16" i="1"/>
  <c r="AU14" i="1"/>
  <c r="AU13" i="1"/>
  <c r="AI13" i="1"/>
  <c r="AI15" i="1"/>
  <c r="AI16" i="1"/>
  <c r="AI14" i="1"/>
  <c r="AU17" i="1"/>
  <c r="AU18" i="1"/>
  <c r="AU19" i="1"/>
  <c r="AU20" i="1"/>
  <c r="AU25" i="1"/>
  <c r="AU35" i="1"/>
  <c r="AU26" i="1"/>
  <c r="AU36" i="1"/>
  <c r="AU27" i="1"/>
  <c r="AU37" i="1"/>
  <c r="AU28" i="1"/>
  <c r="AU38" i="1"/>
  <c r="AU41" i="1"/>
  <c r="AU42" i="1"/>
  <c r="AU32" i="1"/>
  <c r="AU29" i="1"/>
  <c r="AU39" i="1"/>
  <c r="AU30" i="1"/>
  <c r="AU40" i="1"/>
  <c r="AU31" i="1"/>
  <c r="AU33" i="1"/>
  <c r="AU34" i="1"/>
  <c r="AU43" i="1"/>
  <c r="AU44" i="1"/>
  <c r="AY25" i="1"/>
  <c r="AY35" i="1"/>
  <c r="AY26" i="1"/>
  <c r="AY36" i="1"/>
  <c r="AY27" i="1"/>
  <c r="AY37" i="1"/>
  <c r="AY28" i="1"/>
  <c r="AY38" i="1"/>
  <c r="AY32" i="1"/>
  <c r="AY29" i="1"/>
  <c r="AY39" i="1"/>
  <c r="AY30" i="1"/>
  <c r="AY40" i="1"/>
  <c r="AY31" i="1"/>
  <c r="AY41" i="1"/>
  <c r="AY33" i="1"/>
  <c r="AY34" i="1"/>
  <c r="AY42" i="1"/>
  <c r="AY43" i="1"/>
  <c r="AY44" i="1"/>
  <c r="W7" i="5"/>
  <c r="Y7" i="5"/>
  <c r="U7" i="5"/>
  <c r="AD8" i="5"/>
  <c r="T8" i="5" s="1"/>
  <c r="O9" i="5"/>
  <c r="AC10" i="5"/>
  <c r="H10" i="5" s="1"/>
  <c r="D11" i="5"/>
  <c r="I9" i="5"/>
  <c r="J9" i="5"/>
  <c r="K9" i="5"/>
  <c r="AK25" i="4"/>
  <c r="AK26" i="4"/>
  <c r="AK27" i="4"/>
  <c r="AX17" i="4"/>
  <c r="AX16" i="4"/>
  <c r="AW16" i="4"/>
  <c r="AW15" i="4"/>
  <c r="AW17" i="4"/>
  <c r="AR17" i="4"/>
  <c r="AR13" i="4"/>
  <c r="AR10" i="4"/>
  <c r="AR12" i="4"/>
  <c r="AR11" i="4"/>
  <c r="AR16" i="4"/>
  <c r="AR14" i="4"/>
  <c r="AR15" i="4"/>
  <c r="AV16" i="4"/>
  <c r="AV17" i="4"/>
  <c r="AV15" i="4"/>
  <c r="AV14" i="4"/>
  <c r="AY17" i="4"/>
  <c r="AU16" i="4"/>
  <c r="AU14" i="4"/>
  <c r="AU15" i="4"/>
  <c r="AU13" i="4"/>
  <c r="AU17" i="4"/>
  <c r="AS15" i="4"/>
  <c r="AS12" i="4"/>
  <c r="AS17" i="4"/>
  <c r="AS14" i="4"/>
  <c r="AS16" i="4"/>
  <c r="AS11" i="4"/>
  <c r="AS13" i="4"/>
  <c r="AQ12" i="4"/>
  <c r="AQ10" i="4"/>
  <c r="AQ11" i="4"/>
  <c r="AQ14" i="4"/>
  <c r="AQ16" i="4"/>
  <c r="AQ17" i="4"/>
  <c r="AQ9" i="4"/>
  <c r="AQ13" i="4"/>
  <c r="AQ15" i="4"/>
  <c r="AT14" i="4"/>
  <c r="AT15" i="4"/>
  <c r="AT12" i="4"/>
  <c r="AT13" i="4"/>
  <c r="AT17" i="4"/>
  <c r="AT16" i="4"/>
  <c r="AP10" i="4"/>
  <c r="AP11" i="4"/>
  <c r="AP9" i="4"/>
  <c r="AP12" i="4"/>
  <c r="W14" i="4"/>
  <c r="AP8" i="4"/>
  <c r="W15" i="4"/>
  <c r="AP15" i="4"/>
  <c r="W16" i="4"/>
  <c r="AP17" i="4"/>
  <c r="AP14" i="4"/>
  <c r="W10" i="4"/>
  <c r="W11" i="4"/>
  <c r="AP16" i="4"/>
  <c r="W9" i="4"/>
  <c r="W12" i="4"/>
  <c r="W17" i="4"/>
  <c r="W13" i="4"/>
  <c r="W8" i="4"/>
  <c r="AP13" i="4"/>
  <c r="G6" i="3"/>
  <c r="R6" i="3"/>
  <c r="F7" i="3"/>
  <c r="X6" i="1"/>
  <c r="V7" i="5" a="1"/>
  <c r="Y6" i="1" a="1"/>
  <c r="H6" i="3" a="1"/>
  <c r="S7" i="3" a="1"/>
  <c r="S7" i="3" l="1"/>
  <c r="H6" i="3"/>
  <c r="BA10" i="7"/>
  <c r="BA9" i="7"/>
  <c r="Z12" i="6"/>
  <c r="AA12" i="6" s="1"/>
  <c r="AS10" i="7"/>
  <c r="AR11" i="7"/>
  <c r="AJ12" i="7"/>
  <c r="BD12" i="7"/>
  <c r="AV11" i="7"/>
  <c r="AW11" i="7" s="1"/>
  <c r="Z12" i="7"/>
  <c r="AA12" i="7" s="1"/>
  <c r="AW10" i="7"/>
  <c r="AA11" i="7"/>
  <c r="AZ12" i="7"/>
  <c r="AN12" i="7"/>
  <c r="AO12" i="7" s="1"/>
  <c r="BA11" i="7"/>
  <c r="AV10" i="6"/>
  <c r="AW10" i="6" s="1"/>
  <c r="Z13" i="6"/>
  <c r="AA13" i="6" s="1"/>
  <c r="BD10" i="6"/>
  <c r="BE9" i="6"/>
  <c r="AR13" i="6"/>
  <c r="AS13" i="6" s="1"/>
  <c r="AK10" i="6"/>
  <c r="AJ11" i="6"/>
  <c r="AK11" i="6" s="1"/>
  <c r="AZ12" i="6"/>
  <c r="BA12" i="6" s="1"/>
  <c r="AN11" i="6"/>
  <c r="AO10" i="6"/>
  <c r="Y6" i="1"/>
  <c r="AK32" i="4"/>
  <c r="AK31" i="4"/>
  <c r="AK29" i="4"/>
  <c r="AL29" i="4"/>
  <c r="AK30" i="4"/>
  <c r="AL30" i="4"/>
  <c r="AK28" i="4"/>
  <c r="AL28" i="4"/>
  <c r="AK34" i="4"/>
  <c r="AL34" i="4"/>
  <c r="AK33" i="4"/>
  <c r="AL33" i="4"/>
  <c r="Q7" i="5"/>
  <c r="P7" i="5" s="1"/>
  <c r="Q8" i="3"/>
  <c r="V7" i="5"/>
  <c r="X7" i="5" s="1"/>
  <c r="E7" i="5"/>
  <c r="F7" i="5" s="1"/>
  <c r="G7" i="5" s="1"/>
  <c r="AC11" i="5"/>
  <c r="H11" i="5" s="1"/>
  <c r="D12" i="5"/>
  <c r="Y8" i="5"/>
  <c r="U8" i="5"/>
  <c r="W8" i="5"/>
  <c r="I10" i="5"/>
  <c r="J10" i="5"/>
  <c r="K10" i="5"/>
  <c r="O10" i="5"/>
  <c r="AD9" i="5"/>
  <c r="T9" i="5" s="1"/>
  <c r="AP25" i="4" a="1"/>
  <c r="T5" i="3"/>
  <c r="U5" i="3" s="1"/>
  <c r="I5" i="3"/>
  <c r="J5" i="3" s="1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X7" i="1"/>
  <c r="K6" i="3" a="1"/>
  <c r="K7" i="3" a="1"/>
  <c r="AB6" i="1" a="1"/>
  <c r="AB15" i="7" a="1"/>
  <c r="AB13" i="7" a="1"/>
  <c r="AB16" i="7" a="1"/>
  <c r="AB14" i="7" a="1"/>
  <c r="AB16" i="6" a="1"/>
  <c r="AB15" i="6" a="1"/>
  <c r="AB14" i="6" a="1"/>
  <c r="AB13" i="6" a="1"/>
  <c r="AB12" i="7" a="1"/>
  <c r="AB11" i="7" a="1"/>
  <c r="AB10" i="7" a="1"/>
  <c r="AB9" i="7" a="1"/>
  <c r="AB9" i="6" a="1"/>
  <c r="AB12" i="6" a="1"/>
  <c r="AB11" i="6" a="1"/>
  <c r="AB10" i="6" a="1"/>
  <c r="AB8" i="7" a="1"/>
  <c r="AB6" i="7" a="1"/>
  <c r="AB7" i="7" a="1"/>
  <c r="AB5" i="7" a="1"/>
  <c r="AB7" i="6" a="1"/>
  <c r="AB5" i="6" a="1"/>
  <c r="AB8" i="6" a="1"/>
  <c r="AB6" i="6" a="1"/>
  <c r="AB5" i="1" a="1"/>
  <c r="AB4" i="7" a="1"/>
  <c r="AB4" i="6" a="1"/>
  <c r="AB4" i="1" a="1"/>
  <c r="AB33" i="6" a="1"/>
  <c r="AB34" i="6" a="1"/>
  <c r="AB35" i="6" a="1"/>
  <c r="AB36" i="6" a="1"/>
  <c r="AB33" i="7" a="1"/>
  <c r="AB34" i="7" a="1"/>
  <c r="AB35" i="7" a="1"/>
  <c r="AB36" i="7" a="1"/>
  <c r="V7" i="3" a="1"/>
  <c r="L7" i="5"/>
  <c r="AB29" i="6" a="1"/>
  <c r="AB30" i="6" a="1"/>
  <c r="AB32" i="6" a="1"/>
  <c r="AB31" i="6" a="1"/>
  <c r="AB29" i="7" a="1"/>
  <c r="AB32" i="7" a="1"/>
  <c r="AB30" i="7" a="1"/>
  <c r="AB31" i="7" a="1"/>
  <c r="K5" i="3" a="1"/>
  <c r="L8" i="5"/>
  <c r="AB22" i="6" a="1"/>
  <c r="AB21" i="6" a="1"/>
  <c r="AB23" i="6" a="1"/>
  <c r="AB24" i="6" a="1"/>
  <c r="AB23" i="7" a="1"/>
  <c r="AB21" i="7" a="1"/>
  <c r="AB22" i="7" a="1"/>
  <c r="AB24" i="7" a="1"/>
  <c r="V6" i="3" a="1"/>
  <c r="V5" i="3" a="1"/>
  <c r="K8" i="3" a="1"/>
  <c r="L10" i="5"/>
  <c r="AB28" i="6" a="1"/>
  <c r="AB27" i="6" a="1"/>
  <c r="AB25" i="6" a="1"/>
  <c r="AB26" i="6" a="1"/>
  <c r="AB28" i="7" a="1"/>
  <c r="AB27" i="7" a="1"/>
  <c r="AB25" i="7" a="1"/>
  <c r="AB26" i="7" a="1"/>
  <c r="AB19" i="6" a="1"/>
  <c r="AB18" i="6" a="1"/>
  <c r="AB17" i="6" a="1"/>
  <c r="AB20" i="6" a="1"/>
  <c r="AB18" i="7" a="1"/>
  <c r="AB17" i="7" a="1"/>
  <c r="AB19" i="7" a="1"/>
  <c r="AB20" i="7" a="1"/>
  <c r="Z7" i="5"/>
  <c r="AB37" i="6" a="1"/>
  <c r="AB38" i="6" a="1"/>
  <c r="AB39" i="6" a="1"/>
  <c r="AB40" i="6" a="1"/>
  <c r="AB37" i="7" a="1"/>
  <c r="AB38" i="7" a="1"/>
  <c r="AB39" i="7" a="1"/>
  <c r="AB40" i="7" a="1"/>
  <c r="AB41" i="6" a="1"/>
  <c r="AB42" i="6" a="1"/>
  <c r="AB43" i="6" a="1"/>
  <c r="AB44" i="6" a="1"/>
  <c r="AB41" i="7" a="1"/>
  <c r="AB42" i="7" a="1"/>
  <c r="AB43" i="7" a="1"/>
  <c r="AB44" i="7" a="1"/>
  <c r="V8" i="5" a="1"/>
  <c r="Z8" i="5"/>
  <c r="L9" i="5"/>
  <c r="Z6" i="5"/>
  <c r="L6" i="5"/>
  <c r="V8" i="3" a="1"/>
  <c r="Y7" i="1" a="1"/>
  <c r="AB7" i="1" a="1"/>
  <c r="X17" i="8" a="1"/>
  <c r="N11" i="8" a="1"/>
  <c r="N23" i="8" a="1"/>
  <c r="N12" i="8" a="1"/>
  <c r="N21" i="8" a="1"/>
  <c r="X5" i="8" a="1"/>
  <c r="X6" i="8" a="1"/>
  <c r="X10" i="8" a="1"/>
  <c r="N18" i="8" a="1"/>
  <c r="X11" i="8" a="1"/>
  <c r="X21" i="8" a="1"/>
  <c r="N22" i="8" a="1"/>
  <c r="N6" i="8" a="1"/>
  <c r="N5" i="8" a="1"/>
  <c r="N15" i="8" a="1"/>
  <c r="X15" i="8" a="1"/>
  <c r="X19" i="8" a="1"/>
  <c r="X23" i="8" a="1"/>
  <c r="N17" i="8" a="1"/>
  <c r="N16" i="8" a="1"/>
  <c r="X16" i="8" a="1"/>
  <c r="N24" i="8" a="1"/>
  <c r="X12" i="8" a="1"/>
  <c r="X14" i="8" a="1"/>
  <c r="X18" i="8" a="1"/>
  <c r="N13" i="8" a="1"/>
  <c r="N7" i="8" a="1"/>
  <c r="X20" i="8" a="1"/>
  <c r="X24" i="8" a="1"/>
  <c r="N20" i="8" a="1"/>
  <c r="N14" i="8" a="1"/>
  <c r="X7" i="8" a="1"/>
  <c r="N9" i="8" a="1"/>
  <c r="N10" i="8" a="1"/>
  <c r="X13" i="8" a="1"/>
  <c r="X9" i="8" a="1"/>
  <c r="N8" i="8" a="1"/>
  <c r="X8" i="8" a="1"/>
  <c r="X22" i="8" a="1"/>
  <c r="N19" i="8" a="1"/>
  <c r="S8" i="3" a="1"/>
  <c r="H7" i="3" a="1"/>
  <c r="H8" i="3" a="1"/>
  <c r="N21" i="8" l="1"/>
  <c r="N22" i="8"/>
  <c r="X21" i="8"/>
  <c r="Y21" i="8" s="1"/>
  <c r="N23" i="8"/>
  <c r="X22" i="8"/>
  <c r="Y22" i="8" s="1"/>
  <c r="X23" i="8"/>
  <c r="Y23" i="8" s="1"/>
  <c r="N24" i="8"/>
  <c r="X24" i="8"/>
  <c r="Y24" i="8" s="1"/>
  <c r="X8" i="8"/>
  <c r="Y8" i="8" s="1"/>
  <c r="N8" i="8"/>
  <c r="X7" i="8"/>
  <c r="Y7" i="8" s="1"/>
  <c r="N7" i="8"/>
  <c r="X6" i="8"/>
  <c r="Y6" i="8" s="1"/>
  <c r="N5" i="8"/>
  <c r="X5" i="8"/>
  <c r="Y5" i="8" s="1"/>
  <c r="N6" i="8"/>
  <c r="X12" i="8"/>
  <c r="Y12" i="8" s="1"/>
  <c r="N12" i="8"/>
  <c r="X11" i="8"/>
  <c r="Y11" i="8" s="1"/>
  <c r="N11" i="8"/>
  <c r="X10" i="8"/>
  <c r="Y10" i="8" s="1"/>
  <c r="N10" i="8"/>
  <c r="X9" i="8"/>
  <c r="Y9" i="8" s="1"/>
  <c r="N9" i="8"/>
  <c r="X16" i="8"/>
  <c r="Y16" i="8" s="1"/>
  <c r="X15" i="8"/>
  <c r="Y15" i="8" s="1"/>
  <c r="N16" i="8"/>
  <c r="X14" i="8"/>
  <c r="Y14" i="8" s="1"/>
  <c r="N15" i="8"/>
  <c r="X13" i="8"/>
  <c r="Y13" i="8" s="1"/>
  <c r="N14" i="8"/>
  <c r="N13" i="8"/>
  <c r="K6" i="3"/>
  <c r="S8" i="3"/>
  <c r="N17" i="8"/>
  <c r="N18" i="8"/>
  <c r="X17" i="8"/>
  <c r="Y17" i="8" s="1"/>
  <c r="X18" i="8"/>
  <c r="Y18" i="8" s="1"/>
  <c r="N19" i="8"/>
  <c r="N20" i="8"/>
  <c r="X19" i="8"/>
  <c r="Y19" i="8" s="1"/>
  <c r="X20" i="8"/>
  <c r="Y20" i="8" s="1"/>
  <c r="H8" i="3"/>
  <c r="H7" i="3"/>
  <c r="K7" i="3"/>
  <c r="AB44" i="7"/>
  <c r="AB43" i="7"/>
  <c r="AB42" i="7"/>
  <c r="AB41" i="7"/>
  <c r="AB44" i="6"/>
  <c r="AB43" i="6"/>
  <c r="AB42" i="6"/>
  <c r="AB41" i="6"/>
  <c r="AB40" i="7"/>
  <c r="AB39" i="7"/>
  <c r="AB38" i="7"/>
  <c r="AB37" i="7"/>
  <c r="AB40" i="6"/>
  <c r="AB39" i="6"/>
  <c r="AB38" i="6"/>
  <c r="AB37" i="6"/>
  <c r="AB20" i="7"/>
  <c r="AB19" i="7"/>
  <c r="AB17" i="7"/>
  <c r="AB18" i="7"/>
  <c r="AB20" i="6"/>
  <c r="AB17" i="6"/>
  <c r="AB18" i="6"/>
  <c r="AB19" i="6"/>
  <c r="AB26" i="7"/>
  <c r="AB25" i="7"/>
  <c r="AB27" i="7"/>
  <c r="AB28" i="7"/>
  <c r="AB26" i="6"/>
  <c r="AB25" i="6"/>
  <c r="AB27" i="6"/>
  <c r="AB28" i="6"/>
  <c r="AB24" i="7"/>
  <c r="AB22" i="7"/>
  <c r="AB21" i="7"/>
  <c r="AB23" i="7"/>
  <c r="AB24" i="6"/>
  <c r="AB23" i="6"/>
  <c r="AB21" i="6"/>
  <c r="AB22" i="6"/>
  <c r="AB31" i="7"/>
  <c r="AB30" i="7"/>
  <c r="AB32" i="7"/>
  <c r="AB29" i="7"/>
  <c r="AB31" i="6"/>
  <c r="AB32" i="6"/>
  <c r="AB30" i="6"/>
  <c r="AB29" i="6"/>
  <c r="AB36" i="7"/>
  <c r="AB35" i="7"/>
  <c r="AB34" i="7"/>
  <c r="AB33" i="7"/>
  <c r="AB36" i="6"/>
  <c r="AB35" i="6"/>
  <c r="AB34" i="6"/>
  <c r="AB33" i="6"/>
  <c r="AB4" i="1"/>
  <c r="AB4" i="6"/>
  <c r="AB4" i="7"/>
  <c r="AB5" i="1"/>
  <c r="AB6" i="6"/>
  <c r="AB8" i="6"/>
  <c r="AB5" i="6"/>
  <c r="AB7" i="6"/>
  <c r="AB5" i="7"/>
  <c r="Y65" i="7" s="1"/>
  <c r="AB7" i="7"/>
  <c r="AB6" i="7"/>
  <c r="AB8" i="7"/>
  <c r="AB10" i="6"/>
  <c r="AB11" i="6"/>
  <c r="AB12" i="6"/>
  <c r="AB9" i="6"/>
  <c r="AB9" i="7"/>
  <c r="AB10" i="7"/>
  <c r="AB11" i="7"/>
  <c r="AB12" i="7"/>
  <c r="AB13" i="6"/>
  <c r="AB14" i="6"/>
  <c r="AB15" i="6"/>
  <c r="AB16" i="6"/>
  <c r="AB14" i="7"/>
  <c r="AB16" i="7"/>
  <c r="AB13" i="7"/>
  <c r="AB15" i="7"/>
  <c r="AB6" i="1"/>
  <c r="AR12" i="7"/>
  <c r="AS11" i="7"/>
  <c r="AV12" i="7"/>
  <c r="BD13" i="7"/>
  <c r="BE12" i="7"/>
  <c r="AZ13" i="7"/>
  <c r="AN13" i="7"/>
  <c r="BA12" i="7"/>
  <c r="AJ13" i="7"/>
  <c r="AK13" i="7" s="1"/>
  <c r="AK12" i="7"/>
  <c r="Z13" i="7"/>
  <c r="AV11" i="6"/>
  <c r="AW11" i="6" s="1"/>
  <c r="AR14" i="6"/>
  <c r="AZ13" i="6"/>
  <c r="AN12" i="6"/>
  <c r="BD11" i="6"/>
  <c r="Z14" i="6"/>
  <c r="AA14" i="6" s="1"/>
  <c r="BE10" i="6"/>
  <c r="AO11" i="6"/>
  <c r="AJ12" i="6"/>
  <c r="AB7" i="1"/>
  <c r="Y7" i="1"/>
  <c r="R7" i="5"/>
  <c r="S7" i="5" s="1"/>
  <c r="M6" i="5"/>
  <c r="V6" i="3"/>
  <c r="K5" i="3"/>
  <c r="M5" i="3" s="1"/>
  <c r="V5" i="3"/>
  <c r="W5" i="3" s="1"/>
  <c r="V7" i="3"/>
  <c r="M7" i="5"/>
  <c r="AA6" i="5"/>
  <c r="M8" i="5"/>
  <c r="M9" i="5"/>
  <c r="AA7" i="5"/>
  <c r="K8" i="3"/>
  <c r="V8" i="3"/>
  <c r="Q9" i="3"/>
  <c r="E8" i="5"/>
  <c r="F8" i="5" s="1"/>
  <c r="G8" i="5" s="1"/>
  <c r="V8" i="5"/>
  <c r="X8" i="5" s="1"/>
  <c r="AA8" i="5" s="1"/>
  <c r="M10" i="5"/>
  <c r="AC12" i="5"/>
  <c r="H12" i="5" s="1"/>
  <c r="D13" i="5"/>
  <c r="Y9" i="5"/>
  <c r="W9" i="5"/>
  <c r="U9" i="5"/>
  <c r="O11" i="5"/>
  <c r="AD10" i="5"/>
  <c r="T10" i="5" s="1"/>
  <c r="I11" i="5"/>
  <c r="J11" i="5"/>
  <c r="K11" i="5"/>
  <c r="AY25" i="4"/>
  <c r="AY28" i="4"/>
  <c r="AW29" i="4"/>
  <c r="AT30" i="4"/>
  <c r="AP31" i="4"/>
  <c r="AY33" i="4"/>
  <c r="AR34" i="4"/>
  <c r="AY30" i="4"/>
  <c r="AW31" i="4"/>
  <c r="AR32" i="4"/>
  <c r="AY34" i="4"/>
  <c r="AT32" i="4"/>
  <c r="AP26" i="4"/>
  <c r="AP25" i="4"/>
  <c r="AP28" i="4"/>
  <c r="AV32" i="4"/>
  <c r="AP33" i="4"/>
  <c r="AQ25" i="4"/>
  <c r="AQ28" i="4"/>
  <c r="AS26" i="4"/>
  <c r="AS28" i="4"/>
  <c r="AT33" i="4"/>
  <c r="AV25" i="4"/>
  <c r="AT29" i="4"/>
  <c r="AV33" i="4"/>
  <c r="AW25" i="4"/>
  <c r="AX27" i="4"/>
  <c r="AW28" i="4"/>
  <c r="AU29" i="4"/>
  <c r="AR30" i="4"/>
  <c r="AP34" i="4"/>
  <c r="AX29" i="4"/>
  <c r="AU30" i="4"/>
  <c r="AQ31" i="4"/>
  <c r="AS34" i="4"/>
  <c r="AX31" i="4"/>
  <c r="AS32" i="4"/>
  <c r="AS25" i="4"/>
  <c r="AW26" i="4"/>
  <c r="AY29" i="4"/>
  <c r="AV30" i="4"/>
  <c r="AR31" i="4"/>
  <c r="AT34" i="4"/>
  <c r="AQ27" i="4"/>
  <c r="AW32" i="4"/>
  <c r="AP29" i="4"/>
  <c r="AT26" i="4"/>
  <c r="AY32" i="4"/>
  <c r="AS33" i="4"/>
  <c r="AT25" i="4"/>
  <c r="AU27" i="4"/>
  <c r="AT28" i="4"/>
  <c r="AR29" i="4"/>
  <c r="AV26" i="4"/>
  <c r="AU28" i="4"/>
  <c r="AS29" i="4"/>
  <c r="AP30" i="4"/>
  <c r="AW27" i="4"/>
  <c r="AX26" i="4"/>
  <c r="AW33" i="4"/>
  <c r="AW30" i="4"/>
  <c r="AS31" i="4"/>
  <c r="AU34" i="4"/>
  <c r="AU31" i="4"/>
  <c r="AP32" i="4"/>
  <c r="AY31" i="4"/>
  <c r="AP27" i="4"/>
  <c r="AQ26" i="4"/>
  <c r="AV28" i="4"/>
  <c r="AX30" i="4"/>
  <c r="AT31" i="4"/>
  <c r="AV34" i="4"/>
  <c r="AW34" i="4"/>
  <c r="AS27" i="4"/>
  <c r="AV31" i="4"/>
  <c r="AQ32" i="4"/>
  <c r="AX34" i="4"/>
  <c r="AR27" i="4"/>
  <c r="AQ33" i="4"/>
  <c r="AR28" i="4"/>
  <c r="AQ29" i="4"/>
  <c r="AU32" i="4"/>
  <c r="AR26" i="4"/>
  <c r="AR25" i="4"/>
  <c r="AX32" i="4"/>
  <c r="AR33" i="4"/>
  <c r="AT27" i="4"/>
  <c r="AU26" i="4"/>
  <c r="AV27" i="4"/>
  <c r="AU33" i="4"/>
  <c r="AQ30" i="4"/>
  <c r="AU25" i="4"/>
  <c r="AX25" i="4"/>
  <c r="AY26" i="4"/>
  <c r="AY27" i="4"/>
  <c r="AX28" i="4"/>
  <c r="AV29" i="4"/>
  <c r="AS30" i="4"/>
  <c r="AX33" i="4"/>
  <c r="AQ34" i="4"/>
  <c r="T6" i="3"/>
  <c r="U6" i="3" s="1"/>
  <c r="W6" i="3" s="1"/>
  <c r="I6" i="3"/>
  <c r="G8" i="3"/>
  <c r="R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X8" i="1"/>
  <c r="L11" i="5"/>
  <c r="K9" i="3" a="1"/>
  <c r="Z9" i="5"/>
  <c r="V9" i="5" a="1"/>
  <c r="V9" i="3" a="1"/>
  <c r="Y8" i="1" a="1"/>
  <c r="AB8" i="1" a="1"/>
  <c r="H9" i="3" a="1"/>
  <c r="S9" i="3" a="1"/>
  <c r="S9" i="3" l="1"/>
  <c r="O17" i="8"/>
  <c r="P17" i="8"/>
  <c r="P12" i="8"/>
  <c r="O12" i="8"/>
  <c r="O22" i="8"/>
  <c r="P22" i="8"/>
  <c r="P21" i="8"/>
  <c r="O21" i="8"/>
  <c r="O13" i="8"/>
  <c r="P13" i="8"/>
  <c r="O6" i="8"/>
  <c r="P6" i="8"/>
  <c r="P14" i="8"/>
  <c r="O14" i="8"/>
  <c r="H8" i="8"/>
  <c r="O5" i="8"/>
  <c r="P5" i="8"/>
  <c r="O15" i="8"/>
  <c r="P15" i="8"/>
  <c r="O7" i="8"/>
  <c r="P7" i="8"/>
  <c r="O18" i="8"/>
  <c r="P18" i="8"/>
  <c r="O15" i="6"/>
  <c r="P8" i="8"/>
  <c r="O8" i="8"/>
  <c r="S15" i="7"/>
  <c r="O15" i="7"/>
  <c r="P20" i="8"/>
  <c r="O20" i="8"/>
  <c r="P9" i="8"/>
  <c r="O9" i="8"/>
  <c r="P11" i="8"/>
  <c r="O11" i="8"/>
  <c r="O16" i="8"/>
  <c r="P16" i="8"/>
  <c r="Y76" i="7"/>
  <c r="O19" i="8"/>
  <c r="P19" i="8"/>
  <c r="P24" i="8"/>
  <c r="O24" i="8"/>
  <c r="O23" i="8"/>
  <c r="P23" i="8"/>
  <c r="P10" i="8"/>
  <c r="O10" i="8"/>
  <c r="S15" i="6"/>
  <c r="H9" i="3"/>
  <c r="L5" i="3"/>
  <c r="N5" i="3" s="1"/>
  <c r="Q8" i="5"/>
  <c r="P8" i="5" s="1"/>
  <c r="Y65" i="6"/>
  <c r="Y54" i="6" s="1"/>
  <c r="Z65" i="7"/>
  <c r="Z76" i="7"/>
  <c r="Z65" i="6"/>
  <c r="Z76" i="6"/>
  <c r="Y76" i="6"/>
  <c r="AI76" i="7"/>
  <c r="Y75" i="6"/>
  <c r="N14" i="6"/>
  <c r="Y64" i="6"/>
  <c r="S14" i="6"/>
  <c r="P14" i="6"/>
  <c r="O14" i="6"/>
  <c r="AH86" i="6"/>
  <c r="AH75" i="6"/>
  <c r="N15" i="6"/>
  <c r="Q15" i="6" s="1"/>
  <c r="P15" i="6"/>
  <c r="T15" i="6" s="1"/>
  <c r="U15" i="6" s="1"/>
  <c r="V15" i="6" s="1"/>
  <c r="P28" i="6" s="1"/>
  <c r="P15" i="7"/>
  <c r="L6" i="3"/>
  <c r="AI87" i="7"/>
  <c r="Y64" i="7"/>
  <c r="P14" i="7"/>
  <c r="Y75" i="7"/>
  <c r="O14" i="7"/>
  <c r="N14" i="7"/>
  <c r="S14" i="7"/>
  <c r="AH75" i="7"/>
  <c r="AH86" i="7"/>
  <c r="N15" i="7"/>
  <c r="Q15" i="7" s="1"/>
  <c r="Z54" i="7"/>
  <c r="Y54" i="7"/>
  <c r="AR13" i="7"/>
  <c r="AR14" i="7" s="1"/>
  <c r="AR15" i="7" s="1"/>
  <c r="AS12" i="7"/>
  <c r="Z14" i="7"/>
  <c r="BD14" i="7"/>
  <c r="AH76" i="7"/>
  <c r="AH87" i="7"/>
  <c r="BE13" i="7"/>
  <c r="AJ14" i="7"/>
  <c r="AK14" i="7" s="1"/>
  <c r="AV13" i="7"/>
  <c r="AW13" i="7" s="1"/>
  <c r="AN14" i="7"/>
  <c r="AO14" i="7" s="1"/>
  <c r="AA13" i="7"/>
  <c r="AO13" i="7"/>
  <c r="AW12" i="7"/>
  <c r="AZ14" i="7"/>
  <c r="BA14" i="7" s="1"/>
  <c r="BA13" i="7"/>
  <c r="AV12" i="6"/>
  <c r="AW12" i="6" s="1"/>
  <c r="AZ14" i="6"/>
  <c r="BA13" i="6"/>
  <c r="AR15" i="6"/>
  <c r="AJ13" i="6"/>
  <c r="AK13" i="6" s="1"/>
  <c r="AS14" i="6"/>
  <c r="AK12" i="6"/>
  <c r="AH76" i="6" s="1"/>
  <c r="BD12" i="6"/>
  <c r="BE12" i="6" s="1"/>
  <c r="BE11" i="6"/>
  <c r="AI76" i="6"/>
  <c r="AN13" i="6"/>
  <c r="Z15" i="6"/>
  <c r="AA15" i="6" s="1"/>
  <c r="AO12" i="6"/>
  <c r="AI87" i="6" s="1"/>
  <c r="AB8" i="1"/>
  <c r="Y8" i="1"/>
  <c r="E9" i="5"/>
  <c r="F9" i="5" s="1"/>
  <c r="G9" i="5" s="1"/>
  <c r="K9" i="3"/>
  <c r="V9" i="3"/>
  <c r="Q10" i="3"/>
  <c r="V9" i="5"/>
  <c r="X9" i="5" s="1"/>
  <c r="AA9" i="5" s="1"/>
  <c r="M11" i="5"/>
  <c r="D14" i="5"/>
  <c r="AC13" i="5"/>
  <c r="H13" i="5" s="1"/>
  <c r="U10" i="5"/>
  <c r="W10" i="5"/>
  <c r="Y10" i="5"/>
  <c r="AD11" i="5"/>
  <c r="T11" i="5" s="1"/>
  <c r="O12" i="5"/>
  <c r="I12" i="5"/>
  <c r="K12" i="5"/>
  <c r="J12" i="5"/>
  <c r="T8" i="4" a="1"/>
  <c r="T7" i="3"/>
  <c r="U7" i="3" s="1"/>
  <c r="W7" i="3" s="1"/>
  <c r="J6" i="3"/>
  <c r="M6" i="3" s="1"/>
  <c r="I7" i="3"/>
  <c r="J7" i="3" s="1"/>
  <c r="M7" i="3" s="1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X9" i="1"/>
  <c r="L12" i="5"/>
  <c r="V10" i="3" a="1"/>
  <c r="V10" i="5" a="1"/>
  <c r="Z10" i="5"/>
  <c r="K10" i="3" a="1"/>
  <c r="AB9" i="1" a="1"/>
  <c r="Y9" i="1" a="1"/>
  <c r="S10" i="3" a="1"/>
  <c r="H10" i="3" a="1"/>
  <c r="Q21" i="8" l="1"/>
  <c r="Q24" i="8"/>
  <c r="Q12" i="8"/>
  <c r="Q11" i="8"/>
  <c r="Q8" i="8"/>
  <c r="Q10" i="8"/>
  <c r="Q23" i="8"/>
  <c r="Q15" i="8"/>
  <c r="Q9" i="8"/>
  <c r="S10" i="3"/>
  <c r="Q17" i="8"/>
  <c r="Q5" i="8"/>
  <c r="Q20" i="8"/>
  <c r="Q14" i="8"/>
  <c r="Q6" i="8"/>
  <c r="Q13" i="8"/>
  <c r="Q19" i="8"/>
  <c r="Q18" i="8"/>
  <c r="R8" i="5"/>
  <c r="S8" i="5" s="1"/>
  <c r="Z54" i="6"/>
  <c r="Q22" i="8"/>
  <c r="Q7" i="8"/>
  <c r="T15" i="7"/>
  <c r="U15" i="7" s="1"/>
  <c r="V15" i="7" s="1"/>
  <c r="P28" i="7" s="1"/>
  <c r="Q16" i="8"/>
  <c r="AI65" i="6"/>
  <c r="AI54" i="6" s="1"/>
  <c r="L54" i="6" s="1"/>
  <c r="H10" i="3"/>
  <c r="N6" i="3"/>
  <c r="AI65" i="7"/>
  <c r="AH64" i="6"/>
  <c r="AH64" i="7"/>
  <c r="T14" i="6"/>
  <c r="U14" i="6" s="1"/>
  <c r="V14" i="6" s="1"/>
  <c r="P27" i="6" s="1"/>
  <c r="Y53" i="6"/>
  <c r="Q14" i="7"/>
  <c r="Q14" i="6"/>
  <c r="T14" i="7"/>
  <c r="U14" i="7" s="1"/>
  <c r="V14" i="7" s="1"/>
  <c r="P27" i="7" s="1"/>
  <c r="Y53" i="7"/>
  <c r="AS14" i="7"/>
  <c r="AS13" i="7"/>
  <c r="Z15" i="7"/>
  <c r="AJ15" i="7"/>
  <c r="AA14" i="7"/>
  <c r="AZ15" i="7"/>
  <c r="BA15" i="7" s="1"/>
  <c r="AV14" i="7"/>
  <c r="AW14" i="7" s="1"/>
  <c r="AH65" i="7"/>
  <c r="AR16" i="7"/>
  <c r="AS16" i="7" s="1"/>
  <c r="AS15" i="7"/>
  <c r="BD15" i="7"/>
  <c r="BE15" i="7" s="1"/>
  <c r="AN15" i="7"/>
  <c r="AO15" i="7" s="1"/>
  <c r="BE14" i="7"/>
  <c r="AV13" i="6"/>
  <c r="AV14" i="6" s="1"/>
  <c r="AH87" i="6"/>
  <c r="AH65" i="6" s="1"/>
  <c r="AH54" i="6" s="1"/>
  <c r="K54" i="6" s="1"/>
  <c r="AR16" i="6"/>
  <c r="AN14" i="6"/>
  <c r="AS15" i="6"/>
  <c r="AJ14" i="6"/>
  <c r="AZ15" i="6"/>
  <c r="Z16" i="6"/>
  <c r="AA66" i="6" s="1"/>
  <c r="BA14" i="6"/>
  <c r="AO13" i="6"/>
  <c r="BD13" i="6"/>
  <c r="AB9" i="1"/>
  <c r="Y9" i="1"/>
  <c r="E10" i="5"/>
  <c r="F10" i="5" s="1"/>
  <c r="G10" i="5" s="1"/>
  <c r="K10" i="3"/>
  <c r="V10" i="3"/>
  <c r="Q11" i="3"/>
  <c r="M12" i="5"/>
  <c r="V10" i="5"/>
  <c r="X10" i="5" s="1"/>
  <c r="AA10" i="5" s="1"/>
  <c r="AC14" i="5"/>
  <c r="H14" i="5" s="1"/>
  <c r="D15" i="5"/>
  <c r="K13" i="5"/>
  <c r="J13" i="5"/>
  <c r="I13" i="5"/>
  <c r="O13" i="5"/>
  <c r="AD12" i="5"/>
  <c r="T12" i="5" s="1"/>
  <c r="W11" i="5"/>
  <c r="U11" i="5"/>
  <c r="Y11" i="5"/>
  <c r="T14" i="4"/>
  <c r="T15" i="4"/>
  <c r="T10" i="4"/>
  <c r="T11" i="4"/>
  <c r="T9" i="4"/>
  <c r="T12" i="4"/>
  <c r="T17" i="4"/>
  <c r="T16" i="4"/>
  <c r="T8" i="4"/>
  <c r="T13" i="4"/>
  <c r="T8" i="3"/>
  <c r="U8" i="3" s="1"/>
  <c r="W8" i="3" s="1"/>
  <c r="L7" i="3"/>
  <c r="N7" i="3" s="1"/>
  <c r="I8" i="3"/>
  <c r="L8" i="3" s="1"/>
  <c r="R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X10" i="1"/>
  <c r="V11" i="5" a="1"/>
  <c r="Z11" i="5"/>
  <c r="L13" i="5"/>
  <c r="V11" i="3" a="1"/>
  <c r="K11" i="3" a="1"/>
  <c r="AB10" i="1" a="1"/>
  <c r="Y10" i="1" a="1"/>
  <c r="H11" i="3" a="1"/>
  <c r="S11" i="3" a="1"/>
  <c r="S11" i="3" l="1"/>
  <c r="Q9" i="5"/>
  <c r="P9" i="5" s="1"/>
  <c r="H7" i="8"/>
  <c r="AH54" i="7"/>
  <c r="K54" i="7" s="1"/>
  <c r="AI54" i="7"/>
  <c r="L54" i="7" s="1"/>
  <c r="AH53" i="6"/>
  <c r="K53" i="6" s="1"/>
  <c r="H11" i="3"/>
  <c r="AA77" i="6"/>
  <c r="AW13" i="6"/>
  <c r="AH53" i="7"/>
  <c r="K53" i="7" s="1"/>
  <c r="AV15" i="7"/>
  <c r="AZ16" i="7"/>
  <c r="AJ16" i="7"/>
  <c r="AN16" i="7"/>
  <c r="AK15" i="7"/>
  <c r="Z16" i="7"/>
  <c r="AA16" i="7" s="1"/>
  <c r="BD16" i="7"/>
  <c r="AR17" i="7"/>
  <c r="AS17" i="7" s="1"/>
  <c r="AJ88" i="7"/>
  <c r="AA15" i="7"/>
  <c r="AJ77" i="7"/>
  <c r="AW14" i="6"/>
  <c r="AV15" i="6"/>
  <c r="AW15" i="6" s="1"/>
  <c r="AJ15" i="6"/>
  <c r="AN15" i="6"/>
  <c r="AK14" i="6"/>
  <c r="AO14" i="6"/>
  <c r="Z17" i="6"/>
  <c r="AA17" i="6" s="1"/>
  <c r="N16" i="6"/>
  <c r="BD14" i="6"/>
  <c r="AR17" i="6"/>
  <c r="AA16" i="6"/>
  <c r="Y77" i="6" s="1"/>
  <c r="BE13" i="6"/>
  <c r="AZ16" i="6"/>
  <c r="BA16" i="6" s="1"/>
  <c r="AS16" i="6"/>
  <c r="AJ77" i="6" s="1"/>
  <c r="BA15" i="6"/>
  <c r="AB10" i="1"/>
  <c r="Y10" i="1"/>
  <c r="E11" i="5"/>
  <c r="F11" i="5" s="1"/>
  <c r="K11" i="3"/>
  <c r="V11" i="3"/>
  <c r="Q12" i="3"/>
  <c r="V11" i="5"/>
  <c r="X11" i="5" s="1"/>
  <c r="AA11" i="5" s="1"/>
  <c r="M13" i="5"/>
  <c r="G11" i="5"/>
  <c r="E12" i="5"/>
  <c r="F12" i="5" s="1"/>
  <c r="W12" i="5"/>
  <c r="U12" i="5"/>
  <c r="Y12" i="5"/>
  <c r="J14" i="5"/>
  <c r="K14" i="5"/>
  <c r="I14" i="5"/>
  <c r="AC15" i="5"/>
  <c r="H15" i="5" s="1"/>
  <c r="D16" i="5"/>
  <c r="O14" i="5"/>
  <c r="AD13" i="5"/>
  <c r="T13" i="5" s="1"/>
  <c r="AF30" i="4"/>
  <c r="AG30" i="4" s="1"/>
  <c r="X13" i="4"/>
  <c r="AF25" i="4"/>
  <c r="AG25" i="4" s="1"/>
  <c r="X8" i="4"/>
  <c r="AF34" i="4"/>
  <c r="AG34" i="4" s="1"/>
  <c r="X17" i="4"/>
  <c r="X12" i="4"/>
  <c r="AF29" i="4"/>
  <c r="AG29" i="4" s="1"/>
  <c r="X11" i="4"/>
  <c r="AF28" i="4"/>
  <c r="AG28" i="4" s="1"/>
  <c r="AF32" i="4"/>
  <c r="AG32" i="4" s="1"/>
  <c r="X15" i="4"/>
  <c r="X16" i="4"/>
  <c r="AF33" i="4"/>
  <c r="AG33" i="4" s="1"/>
  <c r="X9" i="4"/>
  <c r="AF26" i="4"/>
  <c r="AG26" i="4" s="1"/>
  <c r="X10" i="4"/>
  <c r="AF27" i="4"/>
  <c r="AG27" i="4" s="1"/>
  <c r="X14" i="4"/>
  <c r="AF31" i="4"/>
  <c r="AG31" i="4" s="1"/>
  <c r="I9" i="3"/>
  <c r="L9" i="3" s="1"/>
  <c r="T9" i="3"/>
  <c r="J8" i="3"/>
  <c r="M8" i="3" s="1"/>
  <c r="N8" i="3" s="1"/>
  <c r="R11" i="3"/>
  <c r="G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X11" i="1"/>
  <c r="Z12" i="5"/>
  <c r="V12" i="5" a="1"/>
  <c r="L14" i="5"/>
  <c r="K12" i="3" a="1"/>
  <c r="V12" i="3" a="1"/>
  <c r="Y11" i="1" a="1"/>
  <c r="AB11" i="1" a="1"/>
  <c r="S12" i="3" a="1"/>
  <c r="H12" i="3" a="1"/>
  <c r="R9" i="5" l="1"/>
  <c r="S9" i="5" s="1"/>
  <c r="S12" i="3"/>
  <c r="H6" i="8"/>
  <c r="H9" i="8"/>
  <c r="H12" i="3"/>
  <c r="AJ66" i="7"/>
  <c r="Z77" i="7"/>
  <c r="Z17" i="7"/>
  <c r="N16" i="7"/>
  <c r="S16" i="7"/>
  <c r="Y77" i="7"/>
  <c r="AA66" i="7"/>
  <c r="AA77" i="7"/>
  <c r="P16" i="7"/>
  <c r="O16" i="7"/>
  <c r="AN17" i="7"/>
  <c r="AO17" i="7" s="1"/>
  <c r="AO16" i="7"/>
  <c r="AI77" i="7" s="1"/>
  <c r="AJ17" i="7"/>
  <c r="AK16" i="7"/>
  <c r="AH77" i="7" s="1"/>
  <c r="AZ17" i="7"/>
  <c r="BA17" i="7" s="1"/>
  <c r="BA16" i="7"/>
  <c r="Z66" i="7"/>
  <c r="Y66" i="7"/>
  <c r="BD17" i="7"/>
  <c r="BE17" i="7" s="1"/>
  <c r="AV16" i="7"/>
  <c r="AR18" i="7"/>
  <c r="BE16" i="7"/>
  <c r="AW15" i="7"/>
  <c r="AV16" i="6"/>
  <c r="AW16" i="6" s="1"/>
  <c r="Z18" i="6"/>
  <c r="AZ17" i="6"/>
  <c r="BA17" i="6" s="1"/>
  <c r="AN16" i="6"/>
  <c r="AO16" i="6" s="1"/>
  <c r="O16" i="6"/>
  <c r="P16" i="6"/>
  <c r="Y66" i="6"/>
  <c r="Z66" i="6"/>
  <c r="Z77" i="6"/>
  <c r="AO15" i="6"/>
  <c r="AJ88" i="6"/>
  <c r="AJ66" i="6" s="1"/>
  <c r="AR18" i="6"/>
  <c r="AS17" i="6"/>
  <c r="BD15" i="6"/>
  <c r="AJ16" i="6"/>
  <c r="AK15" i="6"/>
  <c r="BE14" i="6"/>
  <c r="S16" i="6"/>
  <c r="AB11" i="1"/>
  <c r="Y11" i="1"/>
  <c r="V12" i="3"/>
  <c r="K12" i="3"/>
  <c r="Q13" i="3"/>
  <c r="V12" i="5"/>
  <c r="X12" i="5" s="1"/>
  <c r="AA12" i="5" s="1"/>
  <c r="M14" i="5"/>
  <c r="G12" i="5"/>
  <c r="E13" i="5"/>
  <c r="F13" i="5" s="1"/>
  <c r="AC16" i="5"/>
  <c r="D17" i="5"/>
  <c r="O15" i="5"/>
  <c r="AD14" i="5"/>
  <c r="T14" i="5" s="1"/>
  <c r="U13" i="5"/>
  <c r="W13" i="5"/>
  <c r="Y13" i="5"/>
  <c r="J15" i="5"/>
  <c r="I15" i="5"/>
  <c r="K15" i="5"/>
  <c r="X4" i="4"/>
  <c r="J9" i="3"/>
  <c r="M9" i="3" s="1"/>
  <c r="N9" i="3" s="1"/>
  <c r="T10" i="3"/>
  <c r="U9" i="3"/>
  <c r="W9" i="3" s="1"/>
  <c r="I10" i="3"/>
  <c r="J10" i="3" s="1"/>
  <c r="M10" i="3" s="1"/>
  <c r="R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X12" i="1"/>
  <c r="Z13" i="5"/>
  <c r="V13" i="5" a="1"/>
  <c r="L15" i="5"/>
  <c r="V13" i="3" a="1"/>
  <c r="K13" i="3" a="1"/>
  <c r="Y12" i="1" a="1"/>
  <c r="AB12" i="1" a="1"/>
  <c r="H13" i="3" a="1"/>
  <c r="S13" i="3" a="1"/>
  <c r="Q10" i="5" l="1"/>
  <c r="S13" i="3"/>
  <c r="T16" i="7"/>
  <c r="U16" i="7" s="1"/>
  <c r="V16" i="7" s="1"/>
  <c r="P29" i="7" s="1"/>
  <c r="H10" i="8"/>
  <c r="H11" i="8"/>
  <c r="H12" i="8" s="1"/>
  <c r="H13" i="3"/>
  <c r="AI88" i="7"/>
  <c r="AI66" i="7" s="1"/>
  <c r="Y55" i="7"/>
  <c r="AN18" i="7"/>
  <c r="AA55" i="7"/>
  <c r="AZ18" i="7"/>
  <c r="BA18" i="7" s="1"/>
  <c r="AV17" i="7"/>
  <c r="AW17" i="7" s="1"/>
  <c r="Q16" i="7"/>
  <c r="AR19" i="7"/>
  <c r="AW16" i="7"/>
  <c r="AJ18" i="7"/>
  <c r="Z18" i="7"/>
  <c r="Z55" i="7"/>
  <c r="AS18" i="7"/>
  <c r="AH88" i="7"/>
  <c r="AH66" i="7" s="1"/>
  <c r="BD18" i="7"/>
  <c r="BE18" i="7" s="1"/>
  <c r="AK17" i="7"/>
  <c r="AA17" i="7"/>
  <c r="Q16" i="6"/>
  <c r="AV17" i="6"/>
  <c r="AW17" i="6" s="1"/>
  <c r="AI77" i="6"/>
  <c r="AA55" i="6"/>
  <c r="Z19" i="6"/>
  <c r="AA19" i="6" s="1"/>
  <c r="Z55" i="6"/>
  <c r="AR19" i="6"/>
  <c r="AS19" i="6" s="1"/>
  <c r="T16" i="6"/>
  <c r="U16" i="6" s="1"/>
  <c r="V16" i="6" s="1"/>
  <c r="P29" i="6" s="1"/>
  <c r="AJ17" i="6"/>
  <c r="AK16" i="6"/>
  <c r="AH77" i="6" s="1"/>
  <c r="BD16" i="6"/>
  <c r="BE16" i="6" s="1"/>
  <c r="AA18" i="6"/>
  <c r="AS18" i="6"/>
  <c r="Y55" i="6"/>
  <c r="AN17" i="6"/>
  <c r="AO17" i="6" s="1"/>
  <c r="AI88" i="6"/>
  <c r="BE15" i="6"/>
  <c r="AZ18" i="6"/>
  <c r="AB12" i="1"/>
  <c r="Y12" i="1"/>
  <c r="H16" i="5"/>
  <c r="K13" i="3"/>
  <c r="V13" i="3"/>
  <c r="Q14" i="3"/>
  <c r="V13" i="5"/>
  <c r="X13" i="5" s="1"/>
  <c r="AA13" i="5" s="1"/>
  <c r="M15" i="5"/>
  <c r="Q11" i="5"/>
  <c r="G13" i="5"/>
  <c r="E14" i="5"/>
  <c r="F14" i="5" s="1"/>
  <c r="AC17" i="5"/>
  <c r="D18" i="5"/>
  <c r="Y14" i="5"/>
  <c r="W14" i="5"/>
  <c r="U14" i="5"/>
  <c r="O16" i="5"/>
  <c r="AD15" i="5"/>
  <c r="T15" i="5" s="1"/>
  <c r="I16" i="5"/>
  <c r="K16" i="5"/>
  <c r="J16" i="5"/>
  <c r="L10" i="3"/>
  <c r="N10" i="3" s="1"/>
  <c r="T11" i="3"/>
  <c r="U10" i="3"/>
  <c r="W10" i="3" s="1"/>
  <c r="I11" i="3"/>
  <c r="J11" i="3" s="1"/>
  <c r="M11" i="3" s="1"/>
  <c r="R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X13" i="1"/>
  <c r="L16" i="5"/>
  <c r="V14" i="5" a="1"/>
  <c r="Z14" i="5"/>
  <c r="K14" i="3" a="1"/>
  <c r="V14" i="3" a="1"/>
  <c r="AB13" i="1" a="1"/>
  <c r="Y13" i="1" a="1"/>
  <c r="H14" i="3" a="1"/>
  <c r="S14" i="3" a="1"/>
  <c r="P10" i="5" l="1"/>
  <c r="R10" i="5"/>
  <c r="S10" i="5" s="1"/>
  <c r="S14" i="3"/>
  <c r="AJ55" i="7"/>
  <c r="M55" i="7" s="1"/>
  <c r="AI55" i="7"/>
  <c r="L55" i="7" s="1"/>
  <c r="AH55" i="7"/>
  <c r="K55" i="7" s="1"/>
  <c r="H14" i="3"/>
  <c r="AJ19" i="7"/>
  <c r="AK18" i="7"/>
  <c r="AR20" i="7"/>
  <c r="AS20" i="7" s="1"/>
  <c r="AS19" i="7"/>
  <c r="BD19" i="7"/>
  <c r="BE19" i="7" s="1"/>
  <c r="AV18" i="7"/>
  <c r="AW18" i="7" s="1"/>
  <c r="AZ19" i="7"/>
  <c r="Z19" i="7"/>
  <c r="AA19" i="7" s="1"/>
  <c r="AN19" i="7"/>
  <c r="AA18" i="7"/>
  <c r="AO18" i="7"/>
  <c r="AH88" i="6"/>
  <c r="AH66" i="6" s="1"/>
  <c r="AH55" i="6" s="1"/>
  <c r="K55" i="6" s="1"/>
  <c r="AI66" i="6"/>
  <c r="AI55" i="6" s="1"/>
  <c r="L55" i="6" s="1"/>
  <c r="AV18" i="6"/>
  <c r="AW18" i="6" s="1"/>
  <c r="AZ19" i="6"/>
  <c r="AJ18" i="6"/>
  <c r="BA18" i="6"/>
  <c r="AN18" i="6"/>
  <c r="AR20" i="6"/>
  <c r="AS20" i="6" s="1"/>
  <c r="AJ78" i="6" s="1"/>
  <c r="AK17" i="6"/>
  <c r="Z20" i="6"/>
  <c r="AA20" i="6" s="1"/>
  <c r="BD17" i="6"/>
  <c r="BE17" i="6" s="1"/>
  <c r="AJ55" i="6"/>
  <c r="M55" i="6" s="1"/>
  <c r="AB13" i="1"/>
  <c r="Y13" i="1"/>
  <c r="M16" i="5"/>
  <c r="H17" i="5"/>
  <c r="K14" i="3"/>
  <c r="V14" i="3"/>
  <c r="Q15" i="3"/>
  <c r="V14" i="5"/>
  <c r="X14" i="5" s="1"/>
  <c r="AA14" i="5" s="1"/>
  <c r="G14" i="5"/>
  <c r="E15" i="5"/>
  <c r="F15" i="5" s="1"/>
  <c r="P11" i="5"/>
  <c r="R11" i="5"/>
  <c r="AD16" i="5"/>
  <c r="T16" i="5" s="1"/>
  <c r="O17" i="5"/>
  <c r="W15" i="5"/>
  <c r="U15" i="5"/>
  <c r="Y15" i="5"/>
  <c r="D19" i="5"/>
  <c r="AC18" i="5"/>
  <c r="J17" i="5"/>
  <c r="K17" i="5"/>
  <c r="I17" i="5"/>
  <c r="T12" i="3"/>
  <c r="U11" i="3"/>
  <c r="W11" i="3" s="1"/>
  <c r="I12" i="3"/>
  <c r="L12" i="3" s="1"/>
  <c r="L11" i="3"/>
  <c r="N11" i="3" s="1"/>
  <c r="R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X14" i="1"/>
  <c r="V15" i="5" a="1"/>
  <c r="L17" i="5"/>
  <c r="Z15" i="5"/>
  <c r="V15" i="3" a="1"/>
  <c r="K15" i="3" a="1"/>
  <c r="Y14" i="1" a="1"/>
  <c r="AB14" i="1" a="1"/>
  <c r="S15" i="3" a="1"/>
  <c r="H15" i="3" a="1"/>
  <c r="S15" i="3" l="1"/>
  <c r="H15" i="3"/>
  <c r="AJ78" i="7"/>
  <c r="BD20" i="7"/>
  <c r="AR21" i="7"/>
  <c r="AJ89" i="7"/>
  <c r="AN20" i="7"/>
  <c r="AO20" i="7" s="1"/>
  <c r="AJ20" i="7"/>
  <c r="AZ20" i="7"/>
  <c r="BA19" i="7"/>
  <c r="AK19" i="7"/>
  <c r="AO19" i="7"/>
  <c r="Z20" i="7"/>
  <c r="AB67" i="7" s="1"/>
  <c r="AV19" i="7"/>
  <c r="AW19" i="7" s="1"/>
  <c r="AB67" i="6"/>
  <c r="AV19" i="6"/>
  <c r="AV20" i="6" s="1"/>
  <c r="O17" i="6"/>
  <c r="P17" i="6"/>
  <c r="Y67" i="6"/>
  <c r="Z67" i="6"/>
  <c r="AA78" i="6"/>
  <c r="AA67" i="6"/>
  <c r="AN19" i="6"/>
  <c r="AR21" i="6"/>
  <c r="AS21" i="6" s="1"/>
  <c r="AJ89" i="6"/>
  <c r="AJ67" i="6" s="1"/>
  <c r="AO18" i="6"/>
  <c r="AJ19" i="6"/>
  <c r="AZ20" i="6"/>
  <c r="AK18" i="6"/>
  <c r="BA19" i="6"/>
  <c r="BD18" i="6"/>
  <c r="Z21" i="6"/>
  <c r="S17" i="6"/>
  <c r="Y78" i="6"/>
  <c r="N17" i="6"/>
  <c r="Z78" i="6"/>
  <c r="AB78" i="6"/>
  <c r="AB14" i="1"/>
  <c r="Y14" i="1"/>
  <c r="M17" i="5"/>
  <c r="G15" i="5"/>
  <c r="E16" i="5"/>
  <c r="F16" i="5" s="1"/>
  <c r="H18" i="5"/>
  <c r="K15" i="3"/>
  <c r="V15" i="3"/>
  <c r="Q16" i="3"/>
  <c r="V15" i="5"/>
  <c r="X15" i="5" s="1"/>
  <c r="AA15" i="5" s="1"/>
  <c r="S11" i="5"/>
  <c r="Q12" i="5"/>
  <c r="AD17" i="5"/>
  <c r="T17" i="5" s="1"/>
  <c r="O18" i="5"/>
  <c r="I18" i="5"/>
  <c r="J18" i="5"/>
  <c r="K18" i="5"/>
  <c r="D20" i="5"/>
  <c r="AC19" i="5"/>
  <c r="U16" i="5"/>
  <c r="W16" i="5"/>
  <c r="Y16" i="5"/>
  <c r="I13" i="3"/>
  <c r="L13" i="3" s="1"/>
  <c r="T13" i="3"/>
  <c r="U12" i="3"/>
  <c r="W12" i="3" s="1"/>
  <c r="J12" i="3"/>
  <c r="M12" i="3" s="1"/>
  <c r="N12" i="3" s="1"/>
  <c r="R15" i="3"/>
  <c r="G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X15" i="1"/>
  <c r="L18" i="5"/>
  <c r="Z16" i="5"/>
  <c r="V16" i="5" a="1"/>
  <c r="K16" i="3" a="1"/>
  <c r="V16" i="3" a="1"/>
  <c r="AB15" i="1" a="1"/>
  <c r="Y15" i="1" a="1"/>
  <c r="S16" i="3" a="1"/>
  <c r="H16" i="3" a="1"/>
  <c r="S16" i="3" l="1"/>
  <c r="H16" i="3"/>
  <c r="AW19" i="6"/>
  <c r="AJ67" i="7"/>
  <c r="Q17" i="6"/>
  <c r="AI78" i="7"/>
  <c r="AB78" i="7"/>
  <c r="AJ21" i="7"/>
  <c r="AN21" i="7"/>
  <c r="AO21" i="7" s="1"/>
  <c r="AI89" i="7"/>
  <c r="AI67" i="7" s="1"/>
  <c r="AR22" i="7"/>
  <c r="Z21" i="7"/>
  <c r="N17" i="7"/>
  <c r="AA20" i="7"/>
  <c r="AA78" i="7" s="1"/>
  <c r="AS21" i="7"/>
  <c r="AK20" i="7"/>
  <c r="AH78" i="7" s="1"/>
  <c r="BD21" i="7"/>
  <c r="BE21" i="7" s="1"/>
  <c r="BE20" i="7"/>
  <c r="AV20" i="7"/>
  <c r="AZ21" i="7"/>
  <c r="BA21" i="7" s="1"/>
  <c r="BA20" i="7"/>
  <c r="AW20" i="6"/>
  <c r="AV21" i="6"/>
  <c r="AB56" i="6"/>
  <c r="Z22" i="6"/>
  <c r="AA21" i="6"/>
  <c r="AN20" i="6"/>
  <c r="AO20" i="6" s="1"/>
  <c r="AA56" i="6"/>
  <c r="AO19" i="6"/>
  <c r="BD19" i="6"/>
  <c r="BE18" i="6"/>
  <c r="Z56" i="6"/>
  <c r="Y56" i="6"/>
  <c r="AR22" i="6"/>
  <c r="AJ20" i="6"/>
  <c r="AK20" i="6" s="1"/>
  <c r="T17" i="6"/>
  <c r="U17" i="6" s="1"/>
  <c r="AZ21" i="6"/>
  <c r="BA20" i="6"/>
  <c r="AK19" i="6"/>
  <c r="AB15" i="1"/>
  <c r="Y15" i="1"/>
  <c r="V16" i="5"/>
  <c r="X16" i="5" s="1"/>
  <c r="AA16" i="5"/>
  <c r="M18" i="5"/>
  <c r="H19" i="5"/>
  <c r="G16" i="5"/>
  <c r="E17" i="5"/>
  <c r="F17" i="5" s="1"/>
  <c r="K16" i="3"/>
  <c r="V16" i="3"/>
  <c r="Q17" i="3"/>
  <c r="P12" i="5"/>
  <c r="R12" i="5"/>
  <c r="I19" i="5"/>
  <c r="J19" i="5"/>
  <c r="K19" i="5"/>
  <c r="O19" i="5"/>
  <c r="AD18" i="5"/>
  <c r="T18" i="5" s="1"/>
  <c r="AC20" i="5"/>
  <c r="D21" i="5"/>
  <c r="U17" i="5"/>
  <c r="Y17" i="5"/>
  <c r="W17" i="5"/>
  <c r="J13" i="3"/>
  <c r="M13" i="3" s="1"/>
  <c r="N13" i="3" s="1"/>
  <c r="I14" i="3"/>
  <c r="J14" i="3" s="1"/>
  <c r="M14" i="3" s="1"/>
  <c r="T14" i="3"/>
  <c r="U13" i="3"/>
  <c r="W13" i="3" s="1"/>
  <c r="R16" i="3"/>
  <c r="G16" i="3"/>
  <c r="F17" i="3"/>
  <c r="AR16" i="1"/>
  <c r="AS16" i="1" s="1"/>
  <c r="AV16" i="1"/>
  <c r="AW15" i="1"/>
  <c r="BD17" i="1"/>
  <c r="AZ16" i="1"/>
  <c r="AJ15" i="1"/>
  <c r="AK15" i="1" s="1"/>
  <c r="AN17" i="1"/>
  <c r="AO16" i="1"/>
  <c r="X16" i="1"/>
  <c r="L19" i="5"/>
  <c r="Z17" i="5"/>
  <c r="V17" i="5" a="1"/>
  <c r="V17" i="3" a="1"/>
  <c r="K17" i="3" a="1"/>
  <c r="Y16" i="1" a="1"/>
  <c r="AB16" i="1" a="1"/>
  <c r="S17" i="3" a="1"/>
  <c r="H17" i="3" a="1"/>
  <c r="S17" i="3" l="1"/>
  <c r="H17" i="3"/>
  <c r="AK89" i="6"/>
  <c r="Y78" i="7"/>
  <c r="AH89" i="7"/>
  <c r="Z22" i="7"/>
  <c r="AZ22" i="7"/>
  <c r="AV21" i="7"/>
  <c r="AW20" i="7"/>
  <c r="AK78" i="7" s="1"/>
  <c r="AR23" i="7"/>
  <c r="AS23" i="7" s="1"/>
  <c r="AN22" i="7"/>
  <c r="AS22" i="7"/>
  <c r="AH67" i="7"/>
  <c r="AJ22" i="7"/>
  <c r="BD22" i="7"/>
  <c r="BE22" i="7" s="1"/>
  <c r="AK21" i="7"/>
  <c r="P17" i="7"/>
  <c r="O17" i="7"/>
  <c r="Y67" i="7"/>
  <c r="Z67" i="7"/>
  <c r="AA67" i="7"/>
  <c r="Z78" i="7"/>
  <c r="AA21" i="7"/>
  <c r="S17" i="7"/>
  <c r="AI78" i="6"/>
  <c r="AW21" i="6"/>
  <c r="AV22" i="6"/>
  <c r="AH78" i="6"/>
  <c r="AK78" i="6"/>
  <c r="AZ22" i="6"/>
  <c r="V17" i="6"/>
  <c r="P30" i="6" s="1"/>
  <c r="AN21" i="6"/>
  <c r="AO21" i="6" s="1"/>
  <c r="AI89" i="6"/>
  <c r="AJ21" i="6"/>
  <c r="AH89" i="6"/>
  <c r="BA21" i="6"/>
  <c r="AR23" i="6"/>
  <c r="AS22" i="6"/>
  <c r="AA22" i="6"/>
  <c r="Z23" i="6"/>
  <c r="BD20" i="6"/>
  <c r="BE20" i="6" s="1"/>
  <c r="BE19" i="6"/>
  <c r="AJ56" i="6"/>
  <c r="M56" i="6" s="1"/>
  <c r="AB16" i="1"/>
  <c r="AI88" i="1" s="1"/>
  <c r="Y16" i="1"/>
  <c r="V17" i="5"/>
  <c r="X17" i="5" s="1"/>
  <c r="AA17" i="5" s="1"/>
  <c r="M19" i="5"/>
  <c r="G17" i="5"/>
  <c r="E18" i="5"/>
  <c r="F18" i="5" s="1"/>
  <c r="H20" i="5"/>
  <c r="K17" i="3"/>
  <c r="V17" i="3"/>
  <c r="Q18" i="3"/>
  <c r="S12" i="5"/>
  <c r="Q13" i="5"/>
  <c r="AC21" i="5"/>
  <c r="D22" i="5"/>
  <c r="W18" i="5"/>
  <c r="Y18" i="5"/>
  <c r="U18" i="5"/>
  <c r="I20" i="5"/>
  <c r="K20" i="5"/>
  <c r="J20" i="5"/>
  <c r="O20" i="5"/>
  <c r="AD19" i="5"/>
  <c r="T19" i="5" s="1"/>
  <c r="L14" i="3"/>
  <c r="N14" i="3" s="1"/>
  <c r="T15" i="3"/>
  <c r="U14" i="3"/>
  <c r="W14" i="3" s="1"/>
  <c r="I15" i="3"/>
  <c r="L15" i="3" s="1"/>
  <c r="G17" i="3"/>
  <c r="R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X17" i="1"/>
  <c r="V18" i="5" a="1"/>
  <c r="L20" i="5"/>
  <c r="Z18" i="5"/>
  <c r="K18" i="3" a="1"/>
  <c r="V18" i="3" a="1"/>
  <c r="Y17" i="1" a="1"/>
  <c r="AB17" i="1" a="1"/>
  <c r="S18" i="3" a="1"/>
  <c r="H18" i="3" a="1"/>
  <c r="S18" i="3" l="1"/>
  <c r="H18" i="3"/>
  <c r="AK67" i="6"/>
  <c r="AK56" i="6" s="1"/>
  <c r="N56" i="6" s="1"/>
  <c r="AH67" i="6"/>
  <c r="AH56" i="6" s="1"/>
  <c r="K56" i="6" s="1"/>
  <c r="AI67" i="6"/>
  <c r="AI56" i="6" s="1"/>
  <c r="L56" i="6" s="1"/>
  <c r="T17" i="7"/>
  <c r="U17" i="7" s="1"/>
  <c r="AK89" i="7"/>
  <c r="AK67" i="7" s="1"/>
  <c r="AK56" i="7" s="1"/>
  <c r="N56" i="7" s="1"/>
  <c r="AA56" i="7"/>
  <c r="Z56" i="7"/>
  <c r="Y56" i="7"/>
  <c r="Q17" i="7"/>
  <c r="AR24" i="7"/>
  <c r="AV22" i="7"/>
  <c r="V17" i="7"/>
  <c r="P30" i="7" s="1"/>
  <c r="AJ56" i="7"/>
  <c r="M56" i="7" s="1"/>
  <c r="AW21" i="7"/>
  <c r="AZ23" i="7"/>
  <c r="BA22" i="7"/>
  <c r="Z23" i="7"/>
  <c r="BD23" i="7"/>
  <c r="BE23" i="7" s="1"/>
  <c r="AJ23" i="7"/>
  <c r="AA22" i="7"/>
  <c r="AB56" i="7"/>
  <c r="AK22" i="7"/>
  <c r="AH56" i="7"/>
  <c r="K56" i="7" s="1"/>
  <c r="AN23" i="7"/>
  <c r="AO23" i="7" s="1"/>
  <c r="AO22" i="7"/>
  <c r="AI56" i="7"/>
  <c r="L56" i="7" s="1"/>
  <c r="AW22" i="6"/>
  <c r="AV23" i="6"/>
  <c r="AW23" i="6" s="1"/>
  <c r="BD21" i="6"/>
  <c r="AN22" i="6"/>
  <c r="AO22" i="6" s="1"/>
  <c r="AR24" i="6"/>
  <c r="AS24" i="6" s="1"/>
  <c r="Z24" i="6"/>
  <c r="AJ22" i="6"/>
  <c r="AK22" i="6" s="1"/>
  <c r="AZ23" i="6"/>
  <c r="BA23" i="6" s="1"/>
  <c r="AA23" i="6"/>
  <c r="BA22" i="6"/>
  <c r="AK21" i="6"/>
  <c r="AS23" i="6"/>
  <c r="AB17" i="1"/>
  <c r="Y17" i="1"/>
  <c r="V18" i="5"/>
  <c r="X18" i="5" s="1"/>
  <c r="AA18" i="5" s="1"/>
  <c r="M20" i="5"/>
  <c r="H21" i="5"/>
  <c r="G18" i="5"/>
  <c r="E19" i="5"/>
  <c r="F19" i="5" s="1"/>
  <c r="K18" i="3"/>
  <c r="V18" i="3"/>
  <c r="Q19" i="3"/>
  <c r="P13" i="5"/>
  <c r="R13" i="5"/>
  <c r="O21" i="5"/>
  <c r="AD20" i="5"/>
  <c r="T20" i="5" s="1"/>
  <c r="D23" i="5"/>
  <c r="AC22" i="5"/>
  <c r="W19" i="5"/>
  <c r="Y19" i="5"/>
  <c r="U19" i="5"/>
  <c r="K21" i="5"/>
  <c r="J21" i="5"/>
  <c r="I21" i="5"/>
  <c r="T16" i="3"/>
  <c r="U15" i="3"/>
  <c r="W15" i="3" s="1"/>
  <c r="I16" i="3"/>
  <c r="J16" i="3" s="1"/>
  <c r="M16" i="3" s="1"/>
  <c r="J15" i="3"/>
  <c r="M15" i="3" s="1"/>
  <c r="N15" i="3" s="1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X18" i="1"/>
  <c r="L21" i="5"/>
  <c r="V19" i="5" a="1"/>
  <c r="Z19" i="5"/>
  <c r="V19" i="3" a="1"/>
  <c r="K19" i="3" a="1"/>
  <c r="Y18" i="1" a="1"/>
  <c r="AB18" i="1" a="1"/>
  <c r="S19" i="3" a="1"/>
  <c r="H19" i="3" a="1"/>
  <c r="S19" i="3" l="1"/>
  <c r="H19" i="3"/>
  <c r="Z24" i="7"/>
  <c r="AA23" i="7"/>
  <c r="AZ24" i="7"/>
  <c r="BD24" i="7"/>
  <c r="AN24" i="7"/>
  <c r="AO24" i="7" s="1"/>
  <c r="AI79" i="7" s="1"/>
  <c r="AC68" i="7"/>
  <c r="AV23" i="7"/>
  <c r="AW22" i="7"/>
  <c r="BA23" i="7"/>
  <c r="AJ24" i="7"/>
  <c r="AR25" i="7"/>
  <c r="AC79" i="7"/>
  <c r="AK23" i="7"/>
  <c r="AS24" i="7"/>
  <c r="AJ79" i="7" s="1"/>
  <c r="AV24" i="6"/>
  <c r="AJ79" i="6"/>
  <c r="AR25" i="6"/>
  <c r="AJ90" i="6"/>
  <c r="AJ23" i="6"/>
  <c r="Z25" i="6"/>
  <c r="AA25" i="6" s="1"/>
  <c r="N18" i="6"/>
  <c r="BD22" i="6"/>
  <c r="BE22" i="6" s="1"/>
  <c r="BE21" i="6"/>
  <c r="AA24" i="6"/>
  <c r="AB68" i="6" s="1"/>
  <c r="AN23" i="6"/>
  <c r="AC68" i="6"/>
  <c r="AZ24" i="6"/>
  <c r="AC79" i="6"/>
  <c r="AB18" i="1"/>
  <c r="Y18" i="1"/>
  <c r="V19" i="5"/>
  <c r="X19" i="5" s="1"/>
  <c r="AA19" i="5" s="1"/>
  <c r="M21" i="5"/>
  <c r="G19" i="5"/>
  <c r="E20" i="5"/>
  <c r="F20" i="5" s="1"/>
  <c r="H22" i="5"/>
  <c r="K19" i="3"/>
  <c r="V19" i="3"/>
  <c r="Q20" i="3"/>
  <c r="S13" i="5"/>
  <c r="Q14" i="5"/>
  <c r="U20" i="5"/>
  <c r="W20" i="5"/>
  <c r="Y20" i="5"/>
  <c r="K22" i="5"/>
  <c r="I22" i="5"/>
  <c r="J22" i="5"/>
  <c r="D24" i="5"/>
  <c r="AC23" i="5"/>
  <c r="AD21" i="5"/>
  <c r="T21" i="5" s="1"/>
  <c r="O22" i="5"/>
  <c r="L16" i="3"/>
  <c r="N16" i="3" s="1"/>
  <c r="T17" i="3"/>
  <c r="U16" i="3"/>
  <c r="W16" i="3" s="1"/>
  <c r="I17" i="3"/>
  <c r="L17" i="3" s="1"/>
  <c r="AJ66" i="1"/>
  <c r="G19" i="3"/>
  <c r="R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X19" i="1"/>
  <c r="L22" i="5"/>
  <c r="V20" i="5" a="1"/>
  <c r="Z20" i="5"/>
  <c r="V20" i="3" a="1"/>
  <c r="K20" i="3" a="1"/>
  <c r="AB19" i="1" a="1"/>
  <c r="Y19" i="1" a="1"/>
  <c r="S20" i="3" a="1"/>
  <c r="H20" i="3" a="1"/>
  <c r="S20" i="3" l="1"/>
  <c r="H20" i="3"/>
  <c r="AJ68" i="6"/>
  <c r="AV24" i="7"/>
  <c r="AN25" i="7"/>
  <c r="AI90" i="7"/>
  <c r="AI68" i="7" s="1"/>
  <c r="BD25" i="7"/>
  <c r="BE24" i="7"/>
  <c r="AW23" i="7"/>
  <c r="AZ25" i="7"/>
  <c r="BA25" i="7" s="1"/>
  <c r="BA24" i="7"/>
  <c r="AL79" i="7" s="1"/>
  <c r="AJ90" i="7"/>
  <c r="AJ68" i="7" s="1"/>
  <c r="AJ25" i="7"/>
  <c r="AH90" i="7"/>
  <c r="Z25" i="7"/>
  <c r="N18" i="7"/>
  <c r="AR26" i="7"/>
  <c r="AS26" i="7" s="1"/>
  <c r="AS25" i="7"/>
  <c r="AK24" i="7"/>
  <c r="AH79" i="7" s="1"/>
  <c r="AA24" i="7"/>
  <c r="S18" i="7" s="1"/>
  <c r="AA79" i="6"/>
  <c r="AW24" i="6"/>
  <c r="AV25" i="6"/>
  <c r="AW25" i="6" s="1"/>
  <c r="Z79" i="6"/>
  <c r="Y79" i="6"/>
  <c r="S18" i="6"/>
  <c r="AZ25" i="6"/>
  <c r="AJ24" i="6"/>
  <c r="AK23" i="6"/>
  <c r="AR26" i="6"/>
  <c r="BA24" i="6"/>
  <c r="AL79" i="6" s="1"/>
  <c r="Z26" i="6"/>
  <c r="AA26" i="6" s="1"/>
  <c r="AS25" i="6"/>
  <c r="AN24" i="6"/>
  <c r="AO23" i="6"/>
  <c r="O18" i="6"/>
  <c r="P18" i="6"/>
  <c r="Y68" i="6"/>
  <c r="Z68" i="6"/>
  <c r="AA68" i="6"/>
  <c r="AB79" i="6"/>
  <c r="BD23" i="6"/>
  <c r="AB19" i="1"/>
  <c r="Y19" i="1"/>
  <c r="V20" i="5"/>
  <c r="X20" i="5" s="1"/>
  <c r="M22" i="5"/>
  <c r="AA20" i="5"/>
  <c r="H23" i="5"/>
  <c r="G20" i="5"/>
  <c r="E21" i="5"/>
  <c r="F21" i="5" s="1"/>
  <c r="K20" i="3"/>
  <c r="V20" i="3"/>
  <c r="Q21" i="3"/>
  <c r="R14" i="5"/>
  <c r="P14" i="5"/>
  <c r="AD22" i="5"/>
  <c r="T22" i="5" s="1"/>
  <c r="O23" i="5"/>
  <c r="W21" i="5"/>
  <c r="Y21" i="5"/>
  <c r="U21" i="5"/>
  <c r="K23" i="5"/>
  <c r="I23" i="5"/>
  <c r="J23" i="5"/>
  <c r="AC24" i="5"/>
  <c r="D25" i="5"/>
  <c r="J17" i="3"/>
  <c r="M17" i="3" s="1"/>
  <c r="N17" i="3" s="1"/>
  <c r="I18" i="3"/>
  <c r="L18" i="3" s="1"/>
  <c r="T18" i="3"/>
  <c r="U18" i="3" s="1"/>
  <c r="W18" i="3" s="1"/>
  <c r="U17" i="3"/>
  <c r="W17" i="3" s="1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X20" i="1"/>
  <c r="Z21" i="5"/>
  <c r="L23" i="5"/>
  <c r="V21" i="5" a="1"/>
  <c r="V21" i="3" a="1"/>
  <c r="K21" i="3" a="1"/>
  <c r="AB20" i="1" a="1"/>
  <c r="Y20" i="1" a="1"/>
  <c r="H21" i="3" a="1"/>
  <c r="S21" i="3" a="1"/>
  <c r="S21" i="3" l="1"/>
  <c r="H21" i="3"/>
  <c r="Y79" i="7"/>
  <c r="AL90" i="7"/>
  <c r="AL68" i="7" s="1"/>
  <c r="AB79" i="7"/>
  <c r="AA79" i="7"/>
  <c r="Z79" i="7"/>
  <c r="AR27" i="7"/>
  <c r="BD26" i="7"/>
  <c r="Z26" i="7"/>
  <c r="BE25" i="7"/>
  <c r="AN26" i="7"/>
  <c r="AO26" i="7" s="1"/>
  <c r="AJ26" i="7"/>
  <c r="AO25" i="7"/>
  <c r="AA25" i="7"/>
  <c r="AK25" i="7"/>
  <c r="P18" i="7"/>
  <c r="T18" i="7" s="1"/>
  <c r="U18" i="7" s="1"/>
  <c r="V18" i="7" s="1"/>
  <c r="P31" i="7" s="1"/>
  <c r="O18" i="7"/>
  <c r="Y68" i="7"/>
  <c r="Z68" i="7"/>
  <c r="AA68" i="7"/>
  <c r="AV25" i="7"/>
  <c r="AZ26" i="7"/>
  <c r="BA26" i="7" s="1"/>
  <c r="AH68" i="7"/>
  <c r="AB68" i="7"/>
  <c r="AW24" i="7"/>
  <c r="AK79" i="7" s="1"/>
  <c r="AV26" i="6"/>
  <c r="AW26" i="6" s="1"/>
  <c r="AK90" i="6"/>
  <c r="AK79" i="6"/>
  <c r="T18" i="6"/>
  <c r="U18" i="6" s="1"/>
  <c r="AJ57" i="6" s="1"/>
  <c r="M57" i="6" s="1"/>
  <c r="Q18" i="6"/>
  <c r="Z57" i="6"/>
  <c r="AR27" i="6"/>
  <c r="AS27" i="6" s="1"/>
  <c r="AC57" i="6"/>
  <c r="Y57" i="6"/>
  <c r="AS26" i="6"/>
  <c r="AJ25" i="6"/>
  <c r="AB57" i="6"/>
  <c r="AN25" i="6"/>
  <c r="AO25" i="6" s="1"/>
  <c r="AK24" i="6"/>
  <c r="AH79" i="6" s="1"/>
  <c r="BD24" i="6"/>
  <c r="BE24" i="6" s="1"/>
  <c r="AL90" i="6"/>
  <c r="AL68" i="6" s="1"/>
  <c r="AA57" i="6"/>
  <c r="BE23" i="6"/>
  <c r="Z27" i="6"/>
  <c r="AZ26" i="6"/>
  <c r="BA26" i="6" s="1"/>
  <c r="AO24" i="6"/>
  <c r="AI79" i="6" s="1"/>
  <c r="BA25" i="6"/>
  <c r="AB20" i="1"/>
  <c r="AI89" i="1" s="1"/>
  <c r="Y20" i="1"/>
  <c r="V21" i="5"/>
  <c r="X21" i="5" s="1"/>
  <c r="AA21" i="5" s="1"/>
  <c r="M23" i="5"/>
  <c r="H24" i="5"/>
  <c r="G21" i="5"/>
  <c r="E22" i="5"/>
  <c r="F22" i="5" s="1"/>
  <c r="K21" i="3"/>
  <c r="V21" i="3"/>
  <c r="Q22" i="3"/>
  <c r="S14" i="5"/>
  <c r="Q15" i="5"/>
  <c r="K24" i="5"/>
  <c r="I24" i="5"/>
  <c r="J24" i="5"/>
  <c r="AC25" i="5"/>
  <c r="D26" i="5"/>
  <c r="O24" i="5"/>
  <c r="AD23" i="5"/>
  <c r="T23" i="5" s="1"/>
  <c r="U22" i="5"/>
  <c r="Y22" i="5"/>
  <c r="W22" i="5"/>
  <c r="I19" i="3"/>
  <c r="J19" i="3" s="1"/>
  <c r="M19" i="3" s="1"/>
  <c r="J18" i="3"/>
  <c r="M18" i="3" s="1"/>
  <c r="N18" i="3" s="1"/>
  <c r="T19" i="3"/>
  <c r="R21" i="3"/>
  <c r="G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X21" i="1"/>
  <c r="L24" i="5"/>
  <c r="Z22" i="5"/>
  <c r="V22" i="5" a="1"/>
  <c r="K22" i="3" a="1"/>
  <c r="V22" i="3" a="1"/>
  <c r="AB21" i="1" a="1"/>
  <c r="Y21" i="1" a="1"/>
  <c r="H22" i="3" a="1"/>
  <c r="S22" i="3" a="1"/>
  <c r="S22" i="3" l="1"/>
  <c r="H22" i="3"/>
  <c r="V18" i="6"/>
  <c r="P31" i="6" s="1"/>
  <c r="Q18" i="7"/>
  <c r="AK90" i="7"/>
  <c r="AK68" i="7" s="1"/>
  <c r="AK57" i="7" s="1"/>
  <c r="N57" i="7" s="1"/>
  <c r="AA57" i="7"/>
  <c r="Z57" i="7"/>
  <c r="Y57" i="7"/>
  <c r="AN27" i="7"/>
  <c r="AA26" i="7"/>
  <c r="BD27" i="7"/>
  <c r="AJ57" i="7"/>
  <c r="M57" i="7" s="1"/>
  <c r="Z27" i="7"/>
  <c r="AA27" i="7" s="1"/>
  <c r="AL57" i="7"/>
  <c r="O57" i="7" s="1"/>
  <c r="AZ27" i="7"/>
  <c r="BA27" i="7" s="1"/>
  <c r="AR28" i="7"/>
  <c r="AS28" i="7" s="1"/>
  <c r="AV26" i="7"/>
  <c r="BE26" i="7"/>
  <c r="AJ27" i="7"/>
  <c r="AK27" i="7" s="1"/>
  <c r="AS27" i="7"/>
  <c r="AB57" i="7"/>
  <c r="AK26" i="7"/>
  <c r="AC57" i="7"/>
  <c r="AW25" i="7"/>
  <c r="AH57" i="7"/>
  <c r="K57" i="7" s="1"/>
  <c r="AI57" i="7"/>
  <c r="L57" i="7" s="1"/>
  <c r="AL57" i="6"/>
  <c r="O57" i="6" s="1"/>
  <c r="AK68" i="6"/>
  <c r="AK57" i="6" s="1"/>
  <c r="N57" i="6" s="1"/>
  <c r="AV27" i="6"/>
  <c r="AV28" i="6" s="1"/>
  <c r="AH90" i="6"/>
  <c r="AH68" i="6" s="1"/>
  <c r="AH57" i="6" s="1"/>
  <c r="K57" i="6" s="1"/>
  <c r="AZ27" i="6"/>
  <c r="Z28" i="6"/>
  <c r="AA28" i="6" s="1"/>
  <c r="AA27" i="6"/>
  <c r="AJ26" i="6"/>
  <c r="AR28" i="6"/>
  <c r="AS28" i="6" s="1"/>
  <c r="AK25" i="6"/>
  <c r="AI90" i="6"/>
  <c r="AI68" i="6" s="1"/>
  <c r="AI57" i="6" s="1"/>
  <c r="L57" i="6" s="1"/>
  <c r="BD25" i="6"/>
  <c r="AN26" i="6"/>
  <c r="AB21" i="1"/>
  <c r="Y21" i="1"/>
  <c r="V22" i="5"/>
  <c r="X22" i="5" s="1"/>
  <c r="AA22" i="5" s="1"/>
  <c r="M24" i="5"/>
  <c r="G22" i="5"/>
  <c r="E23" i="5"/>
  <c r="F23" i="5" s="1"/>
  <c r="H25" i="5"/>
  <c r="K22" i="3"/>
  <c r="V22" i="3"/>
  <c r="Q23" i="3"/>
  <c r="P15" i="5"/>
  <c r="R15" i="5"/>
  <c r="W23" i="5"/>
  <c r="Y23" i="5"/>
  <c r="U23" i="5"/>
  <c r="AC26" i="5"/>
  <c r="D27" i="5"/>
  <c r="J25" i="5"/>
  <c r="I25" i="5"/>
  <c r="K25" i="5"/>
  <c r="AD24" i="5"/>
  <c r="T24" i="5" s="1"/>
  <c r="O25" i="5"/>
  <c r="L19" i="3"/>
  <c r="N19" i="3" s="1"/>
  <c r="T20" i="3"/>
  <c r="U20" i="3" s="1"/>
  <c r="W20" i="3" s="1"/>
  <c r="U19" i="3"/>
  <c r="W19" i="3" s="1"/>
  <c r="I20" i="3"/>
  <c r="J20" i="3" s="1"/>
  <c r="M20" i="3" s="1"/>
  <c r="G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X22" i="1"/>
  <c r="L25" i="5"/>
  <c r="V23" i="5" a="1"/>
  <c r="Z23" i="5"/>
  <c r="V23" i="3" a="1"/>
  <c r="K23" i="3" a="1"/>
  <c r="Y22" i="1" a="1"/>
  <c r="AB22" i="1" a="1"/>
  <c r="S23" i="3" a="1"/>
  <c r="H23" i="3" a="1"/>
  <c r="S23" i="3" l="1"/>
  <c r="AW27" i="6"/>
  <c r="H23" i="3"/>
  <c r="Z28" i="7"/>
  <c r="BD28" i="7"/>
  <c r="BE28" i="7" s="1"/>
  <c r="AZ28" i="7"/>
  <c r="BA28" i="7" s="1"/>
  <c r="BE27" i="7"/>
  <c r="AN28" i="7"/>
  <c r="AV27" i="7"/>
  <c r="AO27" i="7"/>
  <c r="AR29" i="7"/>
  <c r="AS29" i="7" s="1"/>
  <c r="AJ28" i="7"/>
  <c r="AK28" i="7" s="1"/>
  <c r="AW26" i="7"/>
  <c r="AW28" i="6"/>
  <c r="AV29" i="6"/>
  <c r="AR29" i="6"/>
  <c r="AJ27" i="6"/>
  <c r="AN27" i="6"/>
  <c r="AO27" i="6" s="1"/>
  <c r="AK26" i="6"/>
  <c r="AO26" i="6"/>
  <c r="BD26" i="6"/>
  <c r="BE26" i="6" s="1"/>
  <c r="AZ28" i="6"/>
  <c r="Z29" i="6"/>
  <c r="AA29" i="6" s="1"/>
  <c r="BE25" i="6"/>
  <c r="BA27" i="6"/>
  <c r="AB22" i="1"/>
  <c r="Y22" i="1"/>
  <c r="V23" i="5"/>
  <c r="X23" i="5" s="1"/>
  <c r="AA23" i="5" s="1"/>
  <c r="M25" i="5"/>
  <c r="S15" i="5"/>
  <c r="Q16" i="5"/>
  <c r="L26" i="5"/>
  <c r="H26" i="5"/>
  <c r="G23" i="5"/>
  <c r="E24" i="5"/>
  <c r="F24" i="5" s="1"/>
  <c r="K23" i="3"/>
  <c r="V23" i="3"/>
  <c r="Q24" i="3"/>
  <c r="D28" i="5"/>
  <c r="AC27" i="5"/>
  <c r="E26" i="5"/>
  <c r="G26" i="5"/>
  <c r="I26" i="5"/>
  <c r="F26" i="5"/>
  <c r="J26" i="5"/>
  <c r="K26" i="5"/>
  <c r="M26" i="5"/>
  <c r="AD25" i="5"/>
  <c r="T25" i="5" s="1"/>
  <c r="O26" i="5"/>
  <c r="U24" i="5"/>
  <c r="Y24" i="5"/>
  <c r="W24" i="5"/>
  <c r="L20" i="3"/>
  <c r="N20" i="3" s="1"/>
  <c r="I21" i="3"/>
  <c r="J21" i="3" s="1"/>
  <c r="M21" i="3" s="1"/>
  <c r="T21" i="3"/>
  <c r="AJ67" i="1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X23" i="1"/>
  <c r="Z24" i="5"/>
  <c r="V24" i="5" a="1"/>
  <c r="V24" i="3" a="1"/>
  <c r="K24" i="3" a="1"/>
  <c r="Y23" i="1" a="1"/>
  <c r="AB23" i="1" a="1"/>
  <c r="H24" i="3" a="1"/>
  <c r="S24" i="3" a="1"/>
  <c r="S24" i="3" l="1"/>
  <c r="H24" i="3"/>
  <c r="AV28" i="7"/>
  <c r="AZ29" i="7"/>
  <c r="BA29" i="7" s="1"/>
  <c r="BD29" i="7"/>
  <c r="Z29" i="7"/>
  <c r="AA29" i="7" s="1"/>
  <c r="AR30" i="7"/>
  <c r="AW27" i="7"/>
  <c r="AJ29" i="7"/>
  <c r="AA28" i="7"/>
  <c r="AN29" i="7"/>
  <c r="AO28" i="7"/>
  <c r="AV30" i="6"/>
  <c r="AW29" i="6"/>
  <c r="BD27" i="6"/>
  <c r="AZ29" i="6"/>
  <c r="BA28" i="6"/>
  <c r="AJ28" i="6"/>
  <c r="AK28" i="6" s="1"/>
  <c r="AN28" i="6"/>
  <c r="AR30" i="6"/>
  <c r="AS30" i="6" s="1"/>
  <c r="AK27" i="6"/>
  <c r="Z30" i="6"/>
  <c r="AS29" i="6"/>
  <c r="AB23" i="1"/>
  <c r="Y23" i="1"/>
  <c r="V24" i="5"/>
  <c r="X24" i="5" s="1"/>
  <c r="AA24" i="5"/>
  <c r="R16" i="5"/>
  <c r="P16" i="5"/>
  <c r="L27" i="5"/>
  <c r="H27" i="5"/>
  <c r="G24" i="5"/>
  <c r="E25" i="5"/>
  <c r="F25" i="5" s="1"/>
  <c r="G25" i="5" s="1"/>
  <c r="K24" i="3"/>
  <c r="V24" i="3"/>
  <c r="Q25" i="3"/>
  <c r="V25" i="3" s="1" a="1"/>
  <c r="U25" i="5"/>
  <c r="W25" i="5"/>
  <c r="Y25" i="5"/>
  <c r="O27" i="5"/>
  <c r="AD26" i="5"/>
  <c r="T26" i="5" s="1"/>
  <c r="J27" i="5"/>
  <c r="K27" i="5"/>
  <c r="G27" i="5"/>
  <c r="M27" i="5"/>
  <c r="E27" i="5"/>
  <c r="I27" i="5"/>
  <c r="F27" i="5"/>
  <c r="AC28" i="5"/>
  <c r="D29" i="5"/>
  <c r="L21" i="3"/>
  <c r="N21" i="3" s="1"/>
  <c r="T22" i="3"/>
  <c r="U22" i="3" s="1"/>
  <c r="W22" i="3" s="1"/>
  <c r="U21" i="3"/>
  <c r="W21" i="3" s="1"/>
  <c r="I22" i="3"/>
  <c r="L22" i="3" s="1"/>
  <c r="G24" i="3"/>
  <c r="R24" i="3"/>
  <c r="F25" i="3"/>
  <c r="S25" i="3" s="1" a="1"/>
  <c r="S25" i="3" s="1"/>
  <c r="AS24" i="1"/>
  <c r="AR25" i="1"/>
  <c r="AV24" i="1"/>
  <c r="AZ24" i="1"/>
  <c r="BD25" i="1"/>
  <c r="BE24" i="1"/>
  <c r="AW23" i="1"/>
  <c r="AJ23" i="1"/>
  <c r="AK22" i="1"/>
  <c r="AN25" i="1"/>
  <c r="AO24" i="1"/>
  <c r="X24" i="1"/>
  <c r="Z25" i="5"/>
  <c r="V25" i="5" a="1"/>
  <c r="Y24" i="1" a="1"/>
  <c r="AB24" i="1" a="1"/>
  <c r="H25" i="3" l="1" a="1"/>
  <c r="H25" i="3" s="1"/>
  <c r="K25" i="3" a="1"/>
  <c r="K25" i="3" s="1"/>
  <c r="AN30" i="7"/>
  <c r="AJ30" i="7"/>
  <c r="AK29" i="7"/>
  <c r="Z30" i="7"/>
  <c r="AR31" i="7"/>
  <c r="BD30" i="7"/>
  <c r="BE30" i="7" s="1"/>
  <c r="AO29" i="7"/>
  <c r="BE29" i="7"/>
  <c r="AV29" i="7"/>
  <c r="AW29" i="7" s="1"/>
  <c r="AS30" i="7"/>
  <c r="AZ30" i="7"/>
  <c r="BA30" i="7" s="1"/>
  <c r="AW28" i="7"/>
  <c r="AV31" i="6"/>
  <c r="AW30" i="6"/>
  <c r="Z31" i="6"/>
  <c r="AA30" i="6"/>
  <c r="AN29" i="6"/>
  <c r="AO29" i="6" s="1"/>
  <c r="AZ30" i="6"/>
  <c r="AR31" i="6"/>
  <c r="AS31" i="6" s="1"/>
  <c r="AJ29" i="6"/>
  <c r="BA29" i="6"/>
  <c r="BD28" i="6"/>
  <c r="AO28" i="6"/>
  <c r="BE27" i="6"/>
  <c r="AB24" i="1"/>
  <c r="Y24" i="1"/>
  <c r="V25" i="5"/>
  <c r="X25" i="5" s="1"/>
  <c r="AA25" i="5" s="1"/>
  <c r="L28" i="5"/>
  <c r="H28" i="5"/>
  <c r="S16" i="5"/>
  <c r="Q17" i="5"/>
  <c r="V25" i="3"/>
  <c r="Q26" i="3"/>
  <c r="V26" i="3" s="1" a="1"/>
  <c r="V26" i="5" a="1"/>
  <c r="V26" i="5" s="1"/>
  <c r="Z26" i="5"/>
  <c r="P26" i="5"/>
  <c r="Q26" i="5"/>
  <c r="R26" i="5"/>
  <c r="W26" i="5"/>
  <c r="X26" i="5"/>
  <c r="S26" i="5"/>
  <c r="AA26" i="5"/>
  <c r="U26" i="5"/>
  <c r="Y26" i="5"/>
  <c r="AC29" i="5"/>
  <c r="D30" i="5"/>
  <c r="AD27" i="5"/>
  <c r="T27" i="5" s="1"/>
  <c r="O28" i="5"/>
  <c r="E28" i="5"/>
  <c r="F28" i="5"/>
  <c r="G28" i="5"/>
  <c r="K28" i="5"/>
  <c r="M28" i="5"/>
  <c r="I28" i="5"/>
  <c r="J28" i="5"/>
  <c r="I23" i="3"/>
  <c r="J23" i="3" s="1"/>
  <c r="M23" i="3" s="1"/>
  <c r="T23" i="3"/>
  <c r="J22" i="3"/>
  <c r="M22" i="3" s="1"/>
  <c r="N22" i="3" s="1"/>
  <c r="G25" i="3"/>
  <c r="R25" i="3"/>
  <c r="F26" i="3"/>
  <c r="S26" i="3" s="1" a="1"/>
  <c r="S26" i="3" s="1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AJ90" i="1"/>
  <c r="X25" i="1"/>
  <c r="AB25" i="1" a="1"/>
  <c r="Y25" i="1" a="1"/>
  <c r="K26" i="3" l="1" a="1"/>
  <c r="H26" i="3" a="1"/>
  <c r="H26" i="3" s="1"/>
  <c r="AR32" i="7"/>
  <c r="Z31" i="7"/>
  <c r="AJ31" i="7"/>
  <c r="AK31" i="7" s="1"/>
  <c r="AS31" i="7"/>
  <c r="AK30" i="7"/>
  <c r="BD31" i="7"/>
  <c r="BE31" i="7" s="1"/>
  <c r="AA30" i="7"/>
  <c r="AN31" i="7"/>
  <c r="AZ31" i="7"/>
  <c r="BA31" i="7" s="1"/>
  <c r="AV30" i="7"/>
  <c r="AO30" i="7"/>
  <c r="AW31" i="6"/>
  <c r="AV32" i="6"/>
  <c r="AR32" i="6"/>
  <c r="AZ31" i="6"/>
  <c r="BA31" i="6" s="1"/>
  <c r="AJ30" i="6"/>
  <c r="BA30" i="6"/>
  <c r="AK29" i="6"/>
  <c r="BD29" i="6"/>
  <c r="BE29" i="6" s="1"/>
  <c r="Z32" i="6"/>
  <c r="AA32" i="6" s="1"/>
  <c r="AN30" i="6"/>
  <c r="AO30" i="6" s="1"/>
  <c r="BE28" i="6"/>
  <c r="AA31" i="6"/>
  <c r="AB25" i="1"/>
  <c r="Y25" i="1"/>
  <c r="R17" i="5"/>
  <c r="P17" i="5"/>
  <c r="L29" i="5"/>
  <c r="H29" i="5"/>
  <c r="K26" i="3"/>
  <c r="V26" i="3"/>
  <c r="Q27" i="3"/>
  <c r="V27" i="3" s="1" a="1"/>
  <c r="V27" i="5" a="1"/>
  <c r="V27" i="5" s="1"/>
  <c r="Z27" i="5"/>
  <c r="Q27" i="5"/>
  <c r="R27" i="5"/>
  <c r="S27" i="5"/>
  <c r="U27" i="5"/>
  <c r="Y27" i="5"/>
  <c r="AA27" i="5"/>
  <c r="P27" i="5"/>
  <c r="X27" i="5"/>
  <c r="W27" i="5"/>
  <c r="E29" i="5"/>
  <c r="F29" i="5"/>
  <c r="G29" i="5"/>
  <c r="I29" i="5"/>
  <c r="J29" i="5"/>
  <c r="K29" i="5"/>
  <c r="M29" i="5"/>
  <c r="D31" i="5"/>
  <c r="AC30" i="5"/>
  <c r="O29" i="5"/>
  <c r="AD28" i="5"/>
  <c r="T28" i="5" s="1"/>
  <c r="L23" i="3"/>
  <c r="N23" i="3" s="1"/>
  <c r="T24" i="3"/>
  <c r="U24" i="3" s="1"/>
  <c r="W24" i="3" s="1"/>
  <c r="U23" i="3"/>
  <c r="W23" i="3" s="1"/>
  <c r="I24" i="3"/>
  <c r="G26" i="3"/>
  <c r="R26" i="3"/>
  <c r="F27" i="3"/>
  <c r="AL79" i="1"/>
  <c r="AK90" i="1"/>
  <c r="AK79" i="1"/>
  <c r="AJ79" i="1"/>
  <c r="AJ68" i="1" s="1"/>
  <c r="AI79" i="1"/>
  <c r="AR27" i="1"/>
  <c r="AS26" i="1"/>
  <c r="AI90" i="1"/>
  <c r="AL90" i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X26" i="1"/>
  <c r="Y26" i="1" a="1"/>
  <c r="AB26" i="1" a="1"/>
  <c r="H27" i="3" l="1" a="1"/>
  <c r="H27" i="3" s="1"/>
  <c r="S27" i="3" a="1"/>
  <c r="S27" i="3" s="1"/>
  <c r="K27" i="3" a="1"/>
  <c r="AZ32" i="7"/>
  <c r="AN32" i="7"/>
  <c r="AO32" i="7" s="1"/>
  <c r="Z32" i="7"/>
  <c r="AJ32" i="7"/>
  <c r="AK32" i="7" s="1"/>
  <c r="AA31" i="7"/>
  <c r="AR33" i="7"/>
  <c r="AS33" i="7" s="1"/>
  <c r="AO31" i="7"/>
  <c r="BD32" i="7"/>
  <c r="BE32" i="7" s="1"/>
  <c r="AV31" i="7"/>
  <c r="AW31" i="7" s="1"/>
  <c r="AS32" i="7"/>
  <c r="AW30" i="7"/>
  <c r="AW32" i="6"/>
  <c r="AV33" i="6"/>
  <c r="Z33" i="6"/>
  <c r="AJ31" i="6"/>
  <c r="AK31" i="6" s="1"/>
  <c r="AK30" i="6"/>
  <c r="BD30" i="6"/>
  <c r="BE30" i="6" s="1"/>
  <c r="AR33" i="6"/>
  <c r="AZ32" i="6"/>
  <c r="BA32" i="6" s="1"/>
  <c r="AN31" i="6"/>
  <c r="AO31" i="6" s="1"/>
  <c r="AS32" i="6"/>
  <c r="AB26" i="1"/>
  <c r="Y26" i="1"/>
  <c r="L30" i="5"/>
  <c r="H30" i="5"/>
  <c r="S17" i="5"/>
  <c r="Q18" i="5"/>
  <c r="K27" i="3"/>
  <c r="V27" i="3"/>
  <c r="Q28" i="3"/>
  <c r="V28" i="5" a="1"/>
  <c r="V28" i="5" s="1"/>
  <c r="Z28" i="5"/>
  <c r="AA28" i="5"/>
  <c r="P28" i="5"/>
  <c r="Q28" i="5"/>
  <c r="U28" i="5"/>
  <c r="R28" i="5"/>
  <c r="S28" i="5"/>
  <c r="W28" i="5"/>
  <c r="X28" i="5"/>
  <c r="Y28" i="5"/>
  <c r="O30" i="5"/>
  <c r="AD29" i="5"/>
  <c r="T29" i="5" s="1"/>
  <c r="I30" i="5"/>
  <c r="J30" i="5"/>
  <c r="K30" i="5"/>
  <c r="M30" i="5"/>
  <c r="E30" i="5"/>
  <c r="F30" i="5"/>
  <c r="G30" i="5"/>
  <c r="D32" i="5"/>
  <c r="AC31" i="5"/>
  <c r="AL68" i="1"/>
  <c r="T25" i="3"/>
  <c r="L24" i="3"/>
  <c r="U25" i="3"/>
  <c r="W25" i="3" s="1"/>
  <c r="I25" i="3"/>
  <c r="J24" i="3"/>
  <c r="M24" i="3" s="1"/>
  <c r="R27" i="3"/>
  <c r="G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X27" i="1"/>
  <c r="V28" i="3" a="1"/>
  <c r="Y27" i="1" a="1"/>
  <c r="AB27" i="1" a="1"/>
  <c r="H28" i="3" l="1" a="1"/>
  <c r="H28" i="3" s="1"/>
  <c r="S28" i="3" a="1"/>
  <c r="S28" i="3" s="1"/>
  <c r="K28" i="3" a="1"/>
  <c r="AR34" i="7"/>
  <c r="AV32" i="7"/>
  <c r="AW32" i="7" s="1"/>
  <c r="Z33" i="7"/>
  <c r="AA33" i="7" s="1"/>
  <c r="AA32" i="7"/>
  <c r="BD33" i="7"/>
  <c r="AJ33" i="7"/>
  <c r="AZ33" i="7"/>
  <c r="BA33" i="7" s="1"/>
  <c r="AN33" i="7"/>
  <c r="AO33" i="7" s="1"/>
  <c r="BA32" i="7"/>
  <c r="AV34" i="6"/>
  <c r="AW33" i="6"/>
  <c r="AZ33" i="6"/>
  <c r="AR34" i="6"/>
  <c r="AS34" i="6" s="1"/>
  <c r="AS33" i="6"/>
  <c r="AJ32" i="6"/>
  <c r="AK32" i="6" s="1"/>
  <c r="Z34" i="6"/>
  <c r="AA34" i="6" s="1"/>
  <c r="BD31" i="6"/>
  <c r="BE31" i="6" s="1"/>
  <c r="AN32" i="6"/>
  <c r="AA33" i="6"/>
  <c r="AB27" i="1"/>
  <c r="Y27" i="1"/>
  <c r="L31" i="5"/>
  <c r="H31" i="5"/>
  <c r="P18" i="5"/>
  <c r="R18" i="5"/>
  <c r="K28" i="3"/>
  <c r="V28" i="3"/>
  <c r="Q29" i="3"/>
  <c r="V29" i="3" s="1" a="1"/>
  <c r="L25" i="3"/>
  <c r="I26" i="3"/>
  <c r="J26" i="3" s="1"/>
  <c r="M26" i="3" s="1"/>
  <c r="T26" i="3"/>
  <c r="U26" i="3" s="1"/>
  <c r="W26" i="3" s="1"/>
  <c r="V29" i="5" a="1"/>
  <c r="V29" i="5" s="1"/>
  <c r="Z29" i="5"/>
  <c r="AC32" i="5"/>
  <c r="D33" i="5"/>
  <c r="I31" i="5"/>
  <c r="J31" i="5"/>
  <c r="K31" i="5"/>
  <c r="E31" i="5"/>
  <c r="F31" i="5"/>
  <c r="G31" i="5"/>
  <c r="M31" i="5"/>
  <c r="O31" i="5"/>
  <c r="AD30" i="5"/>
  <c r="T30" i="5" s="1"/>
  <c r="U29" i="5"/>
  <c r="AA29" i="5"/>
  <c r="W29" i="5"/>
  <c r="R29" i="5"/>
  <c r="Y29" i="5"/>
  <c r="P29" i="5"/>
  <c r="Q29" i="5"/>
  <c r="S29" i="5"/>
  <c r="X29" i="5"/>
  <c r="N24" i="3"/>
  <c r="J25" i="3"/>
  <c r="M25" i="3" s="1"/>
  <c r="N25" i="3" s="1"/>
  <c r="R28" i="3"/>
  <c r="G28" i="3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X28" i="1"/>
  <c r="Y28" i="1" a="1"/>
  <c r="AB28" i="1" a="1"/>
  <c r="H29" i="3" l="1" a="1"/>
  <c r="H29" i="3" s="1"/>
  <c r="S29" i="3" a="1"/>
  <c r="S29" i="3" s="1"/>
  <c r="K29" i="3" a="1"/>
  <c r="AZ34" i="7"/>
  <c r="BD34" i="7"/>
  <c r="AN34" i="7"/>
  <c r="AO34" i="7" s="1"/>
  <c r="AJ34" i="7"/>
  <c r="AK33" i="7"/>
  <c r="BE33" i="7"/>
  <c r="AR35" i="7"/>
  <c r="Z34" i="7"/>
  <c r="AA34" i="7" s="1"/>
  <c r="AV33" i="7"/>
  <c r="AS34" i="7"/>
  <c r="AW34" i="6"/>
  <c r="AV35" i="6"/>
  <c r="BD32" i="6"/>
  <c r="Z35" i="6"/>
  <c r="AA35" i="6" s="1"/>
  <c r="AN33" i="6"/>
  <c r="AO32" i="6"/>
  <c r="AJ33" i="6"/>
  <c r="AK33" i="6" s="1"/>
  <c r="AZ34" i="6"/>
  <c r="BA34" i="6" s="1"/>
  <c r="AR35" i="6"/>
  <c r="BA33" i="6"/>
  <c r="AB28" i="1"/>
  <c r="Y28" i="1"/>
  <c r="L32" i="5"/>
  <c r="H32" i="5"/>
  <c r="S18" i="5"/>
  <c r="Q19" i="5"/>
  <c r="K29" i="3"/>
  <c r="V29" i="3"/>
  <c r="Q30" i="3"/>
  <c r="V30" i="3" s="1" a="1"/>
  <c r="T27" i="3"/>
  <c r="L26" i="3"/>
  <c r="N26" i="3" s="1"/>
  <c r="I27" i="3"/>
  <c r="J27" i="3" s="1"/>
  <c r="M27" i="3" s="1"/>
  <c r="V30" i="5" a="1"/>
  <c r="V30" i="5" s="1"/>
  <c r="Z30" i="5"/>
  <c r="O32" i="5"/>
  <c r="AD31" i="5"/>
  <c r="T31" i="5" s="1"/>
  <c r="P30" i="5"/>
  <c r="Q30" i="5"/>
  <c r="U30" i="5"/>
  <c r="W30" i="5"/>
  <c r="Y30" i="5"/>
  <c r="R30" i="5"/>
  <c r="S30" i="5"/>
  <c r="AA30" i="5"/>
  <c r="X30" i="5"/>
  <c r="AC33" i="5"/>
  <c r="D34" i="5"/>
  <c r="E32" i="5"/>
  <c r="F32" i="5"/>
  <c r="J32" i="5"/>
  <c r="K32" i="5"/>
  <c r="I32" i="5"/>
  <c r="M32" i="5"/>
  <c r="G32" i="5"/>
  <c r="R29" i="3"/>
  <c r="G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X29" i="1"/>
  <c r="Y29" i="1" a="1"/>
  <c r="AB29" i="1" a="1"/>
  <c r="H30" i="3" l="1" a="1"/>
  <c r="H30" i="3" s="1"/>
  <c r="S30" i="3" a="1"/>
  <c r="S30" i="3" s="1"/>
  <c r="K30" i="3" a="1"/>
  <c r="K30" i="3" s="1"/>
  <c r="AV34" i="7"/>
  <c r="Z35" i="7"/>
  <c r="AR36" i="7"/>
  <c r="AN35" i="7"/>
  <c r="BD35" i="7"/>
  <c r="BE35" i="7" s="1"/>
  <c r="BE34" i="7"/>
  <c r="AJ35" i="7"/>
  <c r="AK35" i="7" s="1"/>
  <c r="AK34" i="7"/>
  <c r="AZ35" i="7"/>
  <c r="AW33" i="7"/>
  <c r="AS35" i="7"/>
  <c r="BA34" i="7"/>
  <c r="AV36" i="6"/>
  <c r="AW35" i="6"/>
  <c r="AR36" i="6"/>
  <c r="AS35" i="6"/>
  <c r="AJ34" i="6"/>
  <c r="AN34" i="6"/>
  <c r="AZ35" i="6"/>
  <c r="AO33" i="6"/>
  <c r="BD33" i="6"/>
  <c r="Z36" i="6"/>
  <c r="BE32" i="6"/>
  <c r="AB29" i="1"/>
  <c r="Y29" i="1"/>
  <c r="L33" i="5"/>
  <c r="H33" i="5"/>
  <c r="P19" i="5"/>
  <c r="R19" i="5"/>
  <c r="V30" i="3"/>
  <c r="Q31" i="3"/>
  <c r="L27" i="3"/>
  <c r="N27" i="3" s="1"/>
  <c r="I28" i="3"/>
  <c r="T28" i="3"/>
  <c r="U28" i="3" s="1"/>
  <c r="W28" i="3" s="1"/>
  <c r="U27" i="3"/>
  <c r="W27" i="3" s="1"/>
  <c r="Z31" i="5"/>
  <c r="V31" i="5" a="1"/>
  <c r="V31" i="5" s="1"/>
  <c r="E33" i="5"/>
  <c r="F33" i="5"/>
  <c r="G33" i="5"/>
  <c r="I33" i="5"/>
  <c r="K33" i="5"/>
  <c r="J33" i="5"/>
  <c r="M33" i="5"/>
  <c r="AC34" i="5"/>
  <c r="D35" i="5"/>
  <c r="P31" i="5"/>
  <c r="Q31" i="5"/>
  <c r="R31" i="5"/>
  <c r="S31" i="5"/>
  <c r="U31" i="5"/>
  <c r="W31" i="5"/>
  <c r="X31" i="5"/>
  <c r="Y31" i="5"/>
  <c r="AA31" i="5"/>
  <c r="O33" i="5"/>
  <c r="AD32" i="5"/>
  <c r="T32" i="5" s="1"/>
  <c r="R30" i="3"/>
  <c r="G30" i="3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X30" i="1"/>
  <c r="V31" i="3" a="1"/>
  <c r="AB30" i="1" a="1"/>
  <c r="Y30" i="1" a="1"/>
  <c r="H31" i="3" l="1" a="1"/>
  <c r="H31" i="3" s="1"/>
  <c r="S31" i="3" a="1"/>
  <c r="S31" i="3" s="1"/>
  <c r="K31" i="3" a="1"/>
  <c r="AZ36" i="7"/>
  <c r="BA35" i="7"/>
  <c r="AN36" i="7"/>
  <c r="AJ36" i="7"/>
  <c r="Z36" i="7"/>
  <c r="AA36" i="7" s="1"/>
  <c r="AO35" i="7"/>
  <c r="AA35" i="7"/>
  <c r="BD36" i="7"/>
  <c r="BE36" i="7" s="1"/>
  <c r="AR37" i="7"/>
  <c r="AS37" i="7" s="1"/>
  <c r="AV35" i="7"/>
  <c r="AW35" i="7" s="1"/>
  <c r="AS36" i="7"/>
  <c r="AW34" i="7"/>
  <c r="AW36" i="6"/>
  <c r="AV37" i="6"/>
  <c r="Z37" i="6"/>
  <c r="BD34" i="6"/>
  <c r="BE34" i="6" s="1"/>
  <c r="AA36" i="6"/>
  <c r="BE33" i="6"/>
  <c r="AZ36" i="6"/>
  <c r="BA36" i="6" s="1"/>
  <c r="BA35" i="6"/>
  <c r="AN35" i="6"/>
  <c r="AO34" i="6"/>
  <c r="AR37" i="6"/>
  <c r="AS37" i="6" s="1"/>
  <c r="AJ35" i="6"/>
  <c r="AK34" i="6"/>
  <c r="AS36" i="6"/>
  <c r="AB30" i="1"/>
  <c r="Y30" i="1"/>
  <c r="S19" i="5"/>
  <c r="Q20" i="5"/>
  <c r="L34" i="5"/>
  <c r="H34" i="5"/>
  <c r="K31" i="3"/>
  <c r="V31" i="3"/>
  <c r="Q32" i="3"/>
  <c r="V32" i="3" s="1" a="1"/>
  <c r="T29" i="3"/>
  <c r="L28" i="3"/>
  <c r="I29" i="3"/>
  <c r="J29" i="3"/>
  <c r="M29" i="3" s="1"/>
  <c r="J28" i="3"/>
  <c r="M28" i="3" s="1"/>
  <c r="V32" i="5" a="1"/>
  <c r="V32" i="5" s="1"/>
  <c r="Z32" i="5"/>
  <c r="I34" i="5"/>
  <c r="E34" i="5"/>
  <c r="F34" i="5"/>
  <c r="G34" i="5"/>
  <c r="J34" i="5"/>
  <c r="K34" i="5"/>
  <c r="M34" i="5"/>
  <c r="D36" i="5"/>
  <c r="AC35" i="5"/>
  <c r="Y32" i="5"/>
  <c r="AA32" i="5"/>
  <c r="U32" i="5"/>
  <c r="W32" i="5"/>
  <c r="X32" i="5"/>
  <c r="P32" i="5"/>
  <c r="Q32" i="5"/>
  <c r="R32" i="5"/>
  <c r="S32" i="5"/>
  <c r="O34" i="5"/>
  <c r="AD33" i="5"/>
  <c r="T33" i="5" s="1"/>
  <c r="R31" i="3"/>
  <c r="G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X31" i="1"/>
  <c r="Y31" i="1" a="1"/>
  <c r="AB31" i="1" a="1"/>
  <c r="H32" i="3" l="1" a="1"/>
  <c r="H32" i="3" s="1"/>
  <c r="S32" i="3" a="1"/>
  <c r="S32" i="3" s="1"/>
  <c r="K32" i="3" a="1"/>
  <c r="AN37" i="7"/>
  <c r="Z37" i="7"/>
  <c r="AA37" i="7" s="1"/>
  <c r="AJ37" i="7"/>
  <c r="AK36" i="7"/>
  <c r="AO36" i="7"/>
  <c r="AZ37" i="7"/>
  <c r="AR38" i="7"/>
  <c r="AS38" i="7" s="1"/>
  <c r="BD37" i="7"/>
  <c r="BE37" i="7" s="1"/>
  <c r="AV36" i="7"/>
  <c r="AW36" i="7" s="1"/>
  <c r="BA36" i="7"/>
  <c r="AW37" i="6"/>
  <c r="AV38" i="6"/>
  <c r="AN36" i="6"/>
  <c r="AR38" i="6"/>
  <c r="AS38" i="6" s="1"/>
  <c r="AO35" i="6"/>
  <c r="BD35" i="6"/>
  <c r="Z38" i="6"/>
  <c r="AZ37" i="6"/>
  <c r="AJ36" i="6"/>
  <c r="AK36" i="6" s="1"/>
  <c r="AK35" i="6"/>
  <c r="AA37" i="6"/>
  <c r="AB31" i="1"/>
  <c r="Y31" i="1"/>
  <c r="L35" i="5"/>
  <c r="H35" i="5"/>
  <c r="R20" i="5"/>
  <c r="P20" i="5"/>
  <c r="K32" i="3"/>
  <c r="V32" i="3"/>
  <c r="Q33" i="3"/>
  <c r="V33" i="3" s="1" a="1"/>
  <c r="T30" i="3"/>
  <c r="U30" i="3" s="1"/>
  <c r="W30" i="3" s="1"/>
  <c r="L29" i="3"/>
  <c r="N29" i="3" s="1"/>
  <c r="I30" i="3"/>
  <c r="N28" i="3"/>
  <c r="U29" i="3"/>
  <c r="W29" i="3" s="1"/>
  <c r="Z33" i="5"/>
  <c r="V33" i="5" a="1"/>
  <c r="V33" i="5" s="1"/>
  <c r="AC36" i="5"/>
  <c r="D37" i="5"/>
  <c r="O35" i="5"/>
  <c r="AD34" i="5"/>
  <c r="T34" i="5" s="1"/>
  <c r="I35" i="5"/>
  <c r="J35" i="5"/>
  <c r="K35" i="5"/>
  <c r="F35" i="5"/>
  <c r="M35" i="5"/>
  <c r="G35" i="5"/>
  <c r="E35" i="5"/>
  <c r="U33" i="5"/>
  <c r="AA33" i="5"/>
  <c r="P33" i="5"/>
  <c r="Q33" i="5"/>
  <c r="R33" i="5"/>
  <c r="S33" i="5"/>
  <c r="Y33" i="5"/>
  <c r="W33" i="5"/>
  <c r="X33" i="5"/>
  <c r="R32" i="3"/>
  <c r="G32" i="3"/>
  <c r="F33" i="3"/>
  <c r="S33" i="3" s="1" a="1"/>
  <c r="S33" i="3" s="1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X32" i="1"/>
  <c r="AB32" i="1" a="1"/>
  <c r="Y32" i="1" a="1"/>
  <c r="K33" i="3" l="1" a="1"/>
  <c r="H33" i="3" a="1"/>
  <c r="H33" i="3" s="1"/>
  <c r="AV37" i="7"/>
  <c r="AZ38" i="7"/>
  <c r="AJ38" i="7"/>
  <c r="BD38" i="7"/>
  <c r="AK37" i="7"/>
  <c r="AN38" i="7"/>
  <c r="AO38" i="7" s="1"/>
  <c r="AR39" i="7"/>
  <c r="BA37" i="7"/>
  <c r="Z38" i="7"/>
  <c r="AO37" i="7"/>
  <c r="AW38" i="6"/>
  <c r="AV39" i="6"/>
  <c r="AZ38" i="6"/>
  <c r="BD36" i="6"/>
  <c r="AJ37" i="6"/>
  <c r="AK37" i="6" s="1"/>
  <c r="BA37" i="6"/>
  <c r="Z39" i="6"/>
  <c r="AA39" i="6" s="1"/>
  <c r="BE35" i="6"/>
  <c r="AA38" i="6"/>
  <c r="AR39" i="6"/>
  <c r="AS39" i="6" s="1"/>
  <c r="AN37" i="6"/>
  <c r="AO36" i="6"/>
  <c r="AB32" i="1"/>
  <c r="Y32" i="1"/>
  <c r="L36" i="5"/>
  <c r="H36" i="5"/>
  <c r="S20" i="5"/>
  <c r="Q21" i="5"/>
  <c r="K33" i="3"/>
  <c r="V33" i="3"/>
  <c r="Q34" i="3"/>
  <c r="L30" i="3"/>
  <c r="I31" i="3"/>
  <c r="J30" i="3"/>
  <c r="M30" i="3" s="1"/>
  <c r="T31" i="3"/>
  <c r="V34" i="5" a="1"/>
  <c r="V34" i="5" s="1"/>
  <c r="Z34" i="5"/>
  <c r="O36" i="5"/>
  <c r="AD35" i="5"/>
  <c r="T35" i="5" s="1"/>
  <c r="AC37" i="5"/>
  <c r="D38" i="5"/>
  <c r="P34" i="5"/>
  <c r="Q34" i="5"/>
  <c r="U34" i="5"/>
  <c r="W34" i="5"/>
  <c r="Y34" i="5"/>
  <c r="R34" i="5"/>
  <c r="X34" i="5"/>
  <c r="S34" i="5"/>
  <c r="AA34" i="5"/>
  <c r="E36" i="5"/>
  <c r="F36" i="5"/>
  <c r="J36" i="5"/>
  <c r="K36" i="5"/>
  <c r="G36" i="5"/>
  <c r="M36" i="5"/>
  <c r="I36" i="5"/>
  <c r="G33" i="3"/>
  <c r="R33" i="3"/>
  <c r="F34" i="3"/>
  <c r="S34" i="3" s="1" a="1"/>
  <c r="S34" i="3" s="1"/>
  <c r="AV33" i="1"/>
  <c r="AJ32" i="1"/>
  <c r="AK31" i="1"/>
  <c r="AN34" i="1"/>
  <c r="AW32" i="1"/>
  <c r="AZ33" i="1"/>
  <c r="BA32" i="1"/>
  <c r="AO33" i="1"/>
  <c r="BD34" i="1"/>
  <c r="AR36" i="1"/>
  <c r="AS36" i="1" s="1"/>
  <c r="X33" i="1"/>
  <c r="V34" i="3" a="1"/>
  <c r="AB33" i="1" a="1"/>
  <c r="Y33" i="1" a="1"/>
  <c r="H34" i="3" l="1" a="1"/>
  <c r="H34" i="3" s="1"/>
  <c r="K34" i="3" a="1"/>
  <c r="K34" i="3" s="1"/>
  <c r="Z39" i="7"/>
  <c r="AA38" i="7"/>
  <c r="AR40" i="7"/>
  <c r="AS40" i="7" s="1"/>
  <c r="AS39" i="7"/>
  <c r="BD39" i="7"/>
  <c r="BE39" i="7" s="1"/>
  <c r="AZ39" i="7"/>
  <c r="AJ39" i="7"/>
  <c r="AK39" i="7" s="1"/>
  <c r="BA38" i="7"/>
  <c r="AN39" i="7"/>
  <c r="AV38" i="7"/>
  <c r="AW38" i="7" s="1"/>
  <c r="BE38" i="7"/>
  <c r="AK38" i="7"/>
  <c r="AW37" i="7"/>
  <c r="AW39" i="6"/>
  <c r="AV40" i="6"/>
  <c r="AR40" i="6"/>
  <c r="BD37" i="6"/>
  <c r="BE37" i="6" s="1"/>
  <c r="Z40" i="6"/>
  <c r="BE36" i="6"/>
  <c r="AJ38" i="6"/>
  <c r="AN38" i="6"/>
  <c r="AO38" i="6" s="1"/>
  <c r="AZ39" i="6"/>
  <c r="AO37" i="6"/>
  <c r="BA38" i="6"/>
  <c r="AB33" i="1"/>
  <c r="Y33" i="1"/>
  <c r="L37" i="5"/>
  <c r="H37" i="5"/>
  <c r="R21" i="5"/>
  <c r="P21" i="5"/>
  <c r="V34" i="3"/>
  <c r="Q35" i="3"/>
  <c r="V35" i="3" s="1" a="1"/>
  <c r="T32" i="3"/>
  <c r="U32" i="3" s="1"/>
  <c r="W32" i="3" s="1"/>
  <c r="U31" i="3"/>
  <c r="W31" i="3" s="1"/>
  <c r="N30" i="3"/>
  <c r="L31" i="3"/>
  <c r="I32" i="3"/>
  <c r="J31" i="3"/>
  <c r="M31" i="3" s="1"/>
  <c r="Z35" i="5"/>
  <c r="V35" i="5" a="1"/>
  <c r="V35" i="5" s="1"/>
  <c r="E37" i="5"/>
  <c r="F37" i="5"/>
  <c r="I37" i="5"/>
  <c r="G37" i="5"/>
  <c r="J37" i="5"/>
  <c r="K37" i="5"/>
  <c r="M37" i="5"/>
  <c r="P35" i="5"/>
  <c r="Q35" i="5"/>
  <c r="R35" i="5"/>
  <c r="X35" i="5"/>
  <c r="S35" i="5"/>
  <c r="U35" i="5"/>
  <c r="W35" i="5"/>
  <c r="AA35" i="5"/>
  <c r="Y35" i="5"/>
  <c r="D39" i="5"/>
  <c r="AC38" i="5"/>
  <c r="AD36" i="5"/>
  <c r="T36" i="5" s="1"/>
  <c r="O37" i="5"/>
  <c r="R34" i="3"/>
  <c r="G34" i="3"/>
  <c r="F35" i="3"/>
  <c r="S35" i="3" s="1" a="1"/>
  <c r="S35" i="3" s="1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X34" i="1"/>
  <c r="Y34" i="1" a="1"/>
  <c r="AB34" i="1" a="1"/>
  <c r="K35" i="3" l="1" a="1"/>
  <c r="H35" i="3" a="1"/>
  <c r="H35" i="3" s="1"/>
  <c r="AN40" i="7"/>
  <c r="AZ40" i="7"/>
  <c r="BA40" i="7" s="1"/>
  <c r="AJ40" i="7"/>
  <c r="AK40" i="7" s="1"/>
  <c r="BA39" i="7"/>
  <c r="AO39" i="7"/>
  <c r="AR41" i="7"/>
  <c r="AS41" i="7" s="1"/>
  <c r="Z40" i="7"/>
  <c r="AA40" i="7" s="1"/>
  <c r="BD40" i="7"/>
  <c r="AV39" i="7"/>
  <c r="AA39" i="7"/>
  <c r="AV41" i="6"/>
  <c r="AW40" i="6"/>
  <c r="AZ40" i="6"/>
  <c r="BA39" i="6"/>
  <c r="Z41" i="6"/>
  <c r="AA41" i="6" s="1"/>
  <c r="AJ39" i="6"/>
  <c r="AK38" i="6"/>
  <c r="AA40" i="6"/>
  <c r="AN39" i="6"/>
  <c r="BD38" i="6"/>
  <c r="AR41" i="6"/>
  <c r="AS40" i="6"/>
  <c r="AB34" i="1"/>
  <c r="Y34" i="1"/>
  <c r="L38" i="5"/>
  <c r="H38" i="5"/>
  <c r="S21" i="5"/>
  <c r="Q22" i="5"/>
  <c r="K35" i="3"/>
  <c r="V35" i="3"/>
  <c r="Q36" i="3"/>
  <c r="V36" i="3" s="1" a="1"/>
  <c r="L32" i="3"/>
  <c r="I33" i="3"/>
  <c r="J33" i="3" s="1"/>
  <c r="M33" i="3" s="1"/>
  <c r="J32" i="3"/>
  <c r="M32" i="3" s="1"/>
  <c r="N31" i="3"/>
  <c r="T33" i="3"/>
  <c r="V36" i="5" a="1"/>
  <c r="V36" i="5" s="1"/>
  <c r="Z36" i="5"/>
  <c r="Y36" i="5"/>
  <c r="AA36" i="5"/>
  <c r="P36" i="5"/>
  <c r="Q36" i="5"/>
  <c r="U36" i="5"/>
  <c r="R36" i="5"/>
  <c r="S36" i="5"/>
  <c r="W36" i="5"/>
  <c r="X36" i="5"/>
  <c r="O38" i="5"/>
  <c r="AD37" i="5"/>
  <c r="T37" i="5" s="1"/>
  <c r="J38" i="5"/>
  <c r="G38" i="5"/>
  <c r="K38" i="5"/>
  <c r="E38" i="5"/>
  <c r="F38" i="5"/>
  <c r="I38" i="5"/>
  <c r="M38" i="5"/>
  <c r="D40" i="5"/>
  <c r="AC39" i="5"/>
  <c r="G35" i="3"/>
  <c r="R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X35" i="1"/>
  <c r="AB35" i="1" a="1"/>
  <c r="Y35" i="1" a="1"/>
  <c r="H36" i="3" l="1" a="1"/>
  <c r="H36" i="3" s="1"/>
  <c r="S36" i="3" a="1"/>
  <c r="S36" i="3" s="1"/>
  <c r="K36" i="3" a="1"/>
  <c r="BD41" i="7"/>
  <c r="AV40" i="7"/>
  <c r="AW40" i="7" s="1"/>
  <c r="AW39" i="7"/>
  <c r="Z41" i="7"/>
  <c r="AA41" i="7" s="1"/>
  <c r="AJ41" i="7"/>
  <c r="AK41" i="7" s="1"/>
  <c r="AN41" i="7"/>
  <c r="AO41" i="7" s="1"/>
  <c r="BE40" i="7"/>
  <c r="AR42" i="7"/>
  <c r="AS42" i="7" s="1"/>
  <c r="AZ41" i="7"/>
  <c r="AO40" i="7"/>
  <c r="AW41" i="6"/>
  <c r="AV42" i="6"/>
  <c r="BD39" i="6"/>
  <c r="AN40" i="6"/>
  <c r="AO39" i="6"/>
  <c r="BE38" i="6"/>
  <c r="AJ40" i="6"/>
  <c r="Z42" i="6"/>
  <c r="AR42" i="6"/>
  <c r="AS42" i="6" s="1"/>
  <c r="AZ41" i="6"/>
  <c r="BA41" i="6" s="1"/>
  <c r="AK39" i="6"/>
  <c r="AS41" i="6"/>
  <c r="BA40" i="6"/>
  <c r="AB35" i="1"/>
  <c r="Y35" i="1"/>
  <c r="P22" i="5"/>
  <c r="R22" i="5"/>
  <c r="L39" i="5"/>
  <c r="H39" i="5"/>
  <c r="K36" i="3"/>
  <c r="V36" i="3"/>
  <c r="Q37" i="3"/>
  <c r="T34" i="3"/>
  <c r="U33" i="3"/>
  <c r="W33" i="3" s="1"/>
  <c r="L33" i="3"/>
  <c r="N33" i="3" s="1"/>
  <c r="I34" i="3"/>
  <c r="N32" i="3"/>
  <c r="V37" i="5" a="1"/>
  <c r="V37" i="5" s="1"/>
  <c r="Z37" i="5"/>
  <c r="AD38" i="5"/>
  <c r="T38" i="5" s="1"/>
  <c r="O39" i="5"/>
  <c r="I39" i="5"/>
  <c r="J39" i="5"/>
  <c r="K39" i="5"/>
  <c r="E39" i="5"/>
  <c r="M39" i="5"/>
  <c r="F39" i="5"/>
  <c r="G39" i="5"/>
  <c r="U37" i="5"/>
  <c r="AA37" i="5"/>
  <c r="Q37" i="5"/>
  <c r="R37" i="5"/>
  <c r="S37" i="5"/>
  <c r="X37" i="5"/>
  <c r="W37" i="5"/>
  <c r="Y37" i="5"/>
  <c r="P37" i="5"/>
  <c r="AC40" i="5"/>
  <c r="D41" i="5"/>
  <c r="G36" i="3"/>
  <c r="R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X36" i="1"/>
  <c r="V37" i="3" a="1"/>
  <c r="Y36" i="1" a="1"/>
  <c r="AB36" i="1" a="1"/>
  <c r="H37" i="3" l="1" a="1"/>
  <c r="H37" i="3" s="1"/>
  <c r="S37" i="3" a="1"/>
  <c r="S37" i="3" s="1"/>
  <c r="K37" i="3" a="1"/>
  <c r="AZ42" i="7"/>
  <c r="AN42" i="7"/>
  <c r="BA41" i="7"/>
  <c r="AJ42" i="7"/>
  <c r="AV41" i="7"/>
  <c r="BD42" i="7"/>
  <c r="AR43" i="7"/>
  <c r="AS43" i="7" s="1"/>
  <c r="Z42" i="7"/>
  <c r="BE41" i="7"/>
  <c r="AW42" i="6"/>
  <c r="AV43" i="6"/>
  <c r="AZ42" i="6"/>
  <c r="AR43" i="6"/>
  <c r="AS43" i="6" s="1"/>
  <c r="Z43" i="6"/>
  <c r="AA42" i="6"/>
  <c r="AN41" i="6"/>
  <c r="AO41" i="6" s="1"/>
  <c r="AJ41" i="6"/>
  <c r="AO40" i="6"/>
  <c r="BD40" i="6"/>
  <c r="AK40" i="6"/>
  <c r="BE39" i="6"/>
  <c r="AB36" i="1"/>
  <c r="Y36" i="1"/>
  <c r="S22" i="5"/>
  <c r="Q23" i="5"/>
  <c r="L40" i="5"/>
  <c r="H40" i="5"/>
  <c r="K37" i="3"/>
  <c r="V37" i="3"/>
  <c r="Q38" i="3"/>
  <c r="V38" i="3" s="1" a="1"/>
  <c r="T35" i="3"/>
  <c r="U35" i="3" s="1"/>
  <c r="W35" i="3" s="1"/>
  <c r="L34" i="3"/>
  <c r="I35" i="3"/>
  <c r="J34" i="3"/>
  <c r="M34" i="3" s="1"/>
  <c r="U34" i="3"/>
  <c r="W34" i="3" s="1"/>
  <c r="Z38" i="5"/>
  <c r="V38" i="5" a="1"/>
  <c r="V38" i="5" s="1"/>
  <c r="E40" i="5"/>
  <c r="F40" i="5"/>
  <c r="J40" i="5"/>
  <c r="K40" i="5"/>
  <c r="G40" i="5"/>
  <c r="I40" i="5"/>
  <c r="M40" i="5"/>
  <c r="D42" i="5"/>
  <c r="AC41" i="5"/>
  <c r="O40" i="5"/>
  <c r="AD39" i="5"/>
  <c r="T39" i="5" s="1"/>
  <c r="P38" i="5"/>
  <c r="Q38" i="5"/>
  <c r="U38" i="5"/>
  <c r="W38" i="5"/>
  <c r="Y38" i="5"/>
  <c r="AA38" i="5"/>
  <c r="R38" i="5"/>
  <c r="S38" i="5"/>
  <c r="X38" i="5"/>
  <c r="R37" i="3"/>
  <c r="G37" i="3"/>
  <c r="F38" i="3"/>
  <c r="S38" i="3" s="1" a="1"/>
  <c r="S38" i="3" s="1"/>
  <c r="BD38" i="1"/>
  <c r="AZ37" i="1"/>
  <c r="AV37" i="1"/>
  <c r="AN38" i="1"/>
  <c r="AR40" i="1"/>
  <c r="AS39" i="1"/>
  <c r="AJ36" i="1"/>
  <c r="AK35" i="1"/>
  <c r="X37" i="1"/>
  <c r="Y37" i="1" a="1"/>
  <c r="AB37" i="1" a="1"/>
  <c r="H38" i="3" l="1" a="1"/>
  <c r="H38" i="3" s="1"/>
  <c r="K38" i="3" a="1"/>
  <c r="AV42" i="7"/>
  <c r="AR44" i="7"/>
  <c r="BD43" i="7"/>
  <c r="BE42" i="7"/>
  <c r="AW41" i="7"/>
  <c r="Z43" i="7"/>
  <c r="AA43" i="7" s="1"/>
  <c r="AN43" i="7"/>
  <c r="AJ43" i="7"/>
  <c r="AK43" i="7" s="1"/>
  <c r="AO42" i="7"/>
  <c r="AA42" i="7"/>
  <c r="AZ43" i="7"/>
  <c r="AK42" i="7"/>
  <c r="BA42" i="7"/>
  <c r="AW43" i="6"/>
  <c r="AV44" i="6"/>
  <c r="BD41" i="6"/>
  <c r="BE40" i="6"/>
  <c r="AJ42" i="6"/>
  <c r="AK41" i="6"/>
  <c r="Z44" i="6"/>
  <c r="AA44" i="6" s="1"/>
  <c r="AA43" i="6"/>
  <c r="AZ43" i="6"/>
  <c r="BA43" i="6" s="1"/>
  <c r="AN42" i="6"/>
  <c r="AR44" i="6"/>
  <c r="AS44" i="6" s="1"/>
  <c r="AJ80" i="6" s="1"/>
  <c r="BA42" i="6"/>
  <c r="AB37" i="1"/>
  <c r="Y37" i="1"/>
  <c r="P23" i="5"/>
  <c r="R23" i="5"/>
  <c r="L41" i="5"/>
  <c r="H41" i="5"/>
  <c r="K38" i="3"/>
  <c r="V38" i="3"/>
  <c r="Q39" i="3"/>
  <c r="V39" i="3" s="1" a="1"/>
  <c r="N34" i="3"/>
  <c r="L35" i="3"/>
  <c r="I36" i="3"/>
  <c r="J36" i="3" s="1"/>
  <c r="M36" i="3" s="1"/>
  <c r="J35" i="3"/>
  <c r="M35" i="3" s="1"/>
  <c r="T36" i="3"/>
  <c r="U36" i="3" s="1"/>
  <c r="W36" i="3" s="1"/>
  <c r="Z39" i="5"/>
  <c r="V39" i="5" a="1"/>
  <c r="V39" i="5" s="1"/>
  <c r="O41" i="5"/>
  <c r="AD40" i="5"/>
  <c r="T40" i="5" s="1"/>
  <c r="AC42" i="5"/>
  <c r="D43" i="5"/>
  <c r="P39" i="5"/>
  <c r="Q39" i="5"/>
  <c r="R39" i="5"/>
  <c r="S39" i="5"/>
  <c r="U39" i="5"/>
  <c r="W39" i="5"/>
  <c r="X39" i="5"/>
  <c r="AA39" i="5"/>
  <c r="Y39" i="5"/>
  <c r="E41" i="5"/>
  <c r="F41" i="5"/>
  <c r="I41" i="5"/>
  <c r="J41" i="5"/>
  <c r="K41" i="5"/>
  <c r="M41" i="5"/>
  <c r="G41" i="5"/>
  <c r="G38" i="3"/>
  <c r="R38" i="3"/>
  <c r="F39" i="3"/>
  <c r="S39" i="3" s="1" a="1"/>
  <c r="S39" i="3" s="1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X38" i="1"/>
  <c r="Y38" i="1" a="1"/>
  <c r="AB38" i="1" a="1"/>
  <c r="H39" i="3" l="1" a="1"/>
  <c r="H39" i="3" s="1"/>
  <c r="K39" i="3" a="1"/>
  <c r="AN44" i="7"/>
  <c r="AO43" i="7"/>
  <c r="AJ44" i="7"/>
  <c r="Z44" i="7"/>
  <c r="AA44" i="7" s="1"/>
  <c r="AS44" i="7"/>
  <c r="AJ80" i="7" s="1"/>
  <c r="BD44" i="7"/>
  <c r="BE44" i="7" s="1"/>
  <c r="AZ44" i="7"/>
  <c r="AV43" i="7"/>
  <c r="AW43" i="7" s="1"/>
  <c r="BE43" i="7"/>
  <c r="BA43" i="7"/>
  <c r="AW42" i="7"/>
  <c r="AW44" i="6"/>
  <c r="AK80" i="6" s="1"/>
  <c r="AK91" i="6"/>
  <c r="AN43" i="6"/>
  <c r="AO43" i="6" s="1"/>
  <c r="AJ91" i="6"/>
  <c r="AJ69" i="6" s="1"/>
  <c r="AO42" i="6"/>
  <c r="N19" i="6"/>
  <c r="S19" i="6"/>
  <c r="Y80" i="6"/>
  <c r="Z80" i="6"/>
  <c r="AA80" i="6"/>
  <c r="AB80" i="6"/>
  <c r="AC80" i="6"/>
  <c r="AD80" i="6"/>
  <c r="AD69" i="6"/>
  <c r="AJ43" i="6"/>
  <c r="AK43" i="6" s="1"/>
  <c r="BD42" i="6"/>
  <c r="AZ44" i="6"/>
  <c r="P19" i="6"/>
  <c r="O19" i="6"/>
  <c r="Y69" i="6"/>
  <c r="Z69" i="6"/>
  <c r="AA69" i="6"/>
  <c r="AC69" i="6"/>
  <c r="AB69" i="6"/>
  <c r="AK42" i="6"/>
  <c r="BE41" i="6"/>
  <c r="AB38" i="1"/>
  <c r="Y38" i="1"/>
  <c r="S23" i="5"/>
  <c r="Q24" i="5"/>
  <c r="L42" i="5"/>
  <c r="H42" i="5"/>
  <c r="K39" i="3"/>
  <c r="V39" i="3"/>
  <c r="Q40" i="3"/>
  <c r="T37" i="3"/>
  <c r="L36" i="3"/>
  <c r="N36" i="3" s="1"/>
  <c r="I37" i="3"/>
  <c r="N35" i="3"/>
  <c r="Z40" i="5"/>
  <c r="V40" i="5" a="1"/>
  <c r="V40" i="5" s="1"/>
  <c r="D44" i="5"/>
  <c r="AC43" i="5"/>
  <c r="J42" i="5"/>
  <c r="K42" i="5"/>
  <c r="M42" i="5"/>
  <c r="E42" i="5"/>
  <c r="F42" i="5"/>
  <c r="G42" i="5"/>
  <c r="I42" i="5"/>
  <c r="Y40" i="5"/>
  <c r="AA40" i="5"/>
  <c r="U40" i="5"/>
  <c r="W40" i="5"/>
  <c r="R40" i="5"/>
  <c r="S40" i="5"/>
  <c r="P40" i="5"/>
  <c r="Q40" i="5"/>
  <c r="X40" i="5"/>
  <c r="O42" i="5"/>
  <c r="AD41" i="5"/>
  <c r="T41" i="5" s="1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X39" i="1"/>
  <c r="V40" i="3" a="1"/>
  <c r="AB39" i="1" a="1"/>
  <c r="Y39" i="1" a="1"/>
  <c r="H40" i="3" l="1" a="1"/>
  <c r="H40" i="3" s="1"/>
  <c r="S40" i="3" a="1"/>
  <c r="S40" i="3" s="1"/>
  <c r="K40" i="3" a="1"/>
  <c r="O19" i="7"/>
  <c r="P19" i="7"/>
  <c r="Y69" i="7"/>
  <c r="Z69" i="7"/>
  <c r="AA69" i="7"/>
  <c r="AB69" i="7"/>
  <c r="AC69" i="7"/>
  <c r="BA44" i="7"/>
  <c r="AL80" i="7" s="1"/>
  <c r="AV44" i="7"/>
  <c r="AM91" i="7"/>
  <c r="AJ91" i="7"/>
  <c r="AJ69" i="7" s="1"/>
  <c r="AK44" i="7"/>
  <c r="AH80" i="7" s="1"/>
  <c r="N19" i="7"/>
  <c r="S19" i="7"/>
  <c r="Y80" i="7"/>
  <c r="Z80" i="7"/>
  <c r="AA80" i="7"/>
  <c r="AB80" i="7"/>
  <c r="AC80" i="7"/>
  <c r="AD80" i="7"/>
  <c r="AD69" i="7"/>
  <c r="AM80" i="7"/>
  <c r="AO44" i="7"/>
  <c r="AI80" i="7" s="1"/>
  <c r="AK69" i="6"/>
  <c r="AB58" i="6"/>
  <c r="Z58" i="6"/>
  <c r="AJ44" i="6"/>
  <c r="AK44" i="6" s="1"/>
  <c r="AH80" i="6" s="1"/>
  <c r="Q19" i="6"/>
  <c r="Y58" i="6"/>
  <c r="AD58" i="6"/>
  <c r="AC58" i="6"/>
  <c r="BA44" i="6"/>
  <c r="AL80" i="6" s="1"/>
  <c r="BD43" i="6"/>
  <c r="BE43" i="6" s="1"/>
  <c r="AA58" i="6"/>
  <c r="T19" i="6"/>
  <c r="U19" i="6" s="1"/>
  <c r="AN44" i="6"/>
  <c r="AO44" i="6" s="1"/>
  <c r="AI80" i="6" s="1"/>
  <c r="BE42" i="6"/>
  <c r="AB39" i="1"/>
  <c r="Y39" i="1"/>
  <c r="R24" i="5"/>
  <c r="P24" i="5"/>
  <c r="L43" i="5"/>
  <c r="H43" i="5"/>
  <c r="K40" i="3"/>
  <c r="V40" i="3"/>
  <c r="Q41" i="3"/>
  <c r="V41" i="3" s="1" a="1"/>
  <c r="L37" i="3"/>
  <c r="I38" i="3"/>
  <c r="T38" i="3"/>
  <c r="U38" i="3" s="1"/>
  <c r="W38" i="3" s="1"/>
  <c r="J37" i="3"/>
  <c r="M37" i="3" s="1"/>
  <c r="U37" i="3"/>
  <c r="W37" i="3" s="1"/>
  <c r="Z41" i="5"/>
  <c r="V41" i="5" a="1"/>
  <c r="V41" i="5" s="1"/>
  <c r="U41" i="5"/>
  <c r="AA41" i="5"/>
  <c r="Y41" i="5"/>
  <c r="P41" i="5"/>
  <c r="Q41" i="5"/>
  <c r="S41" i="5"/>
  <c r="W41" i="5"/>
  <c r="R41" i="5"/>
  <c r="X41" i="5"/>
  <c r="I43" i="5"/>
  <c r="J43" i="5"/>
  <c r="K43" i="5"/>
  <c r="E43" i="5"/>
  <c r="F43" i="5"/>
  <c r="G43" i="5"/>
  <c r="M43" i="5"/>
  <c r="O43" i="5"/>
  <c r="AD42" i="5"/>
  <c r="T42" i="5" s="1"/>
  <c r="AC44" i="5"/>
  <c r="D45" i="5"/>
  <c r="G40" i="3"/>
  <c r="R40" i="3"/>
  <c r="F41" i="3"/>
  <c r="S41" i="3" s="1" a="1"/>
  <c r="S41" i="3" s="1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X40" i="1"/>
  <c r="Y40" i="1" a="1"/>
  <c r="AB40" i="1" a="1"/>
  <c r="Q19" i="7" l="1"/>
  <c r="K41" i="3" a="1"/>
  <c r="H41" i="3" a="1"/>
  <c r="H41" i="3" s="1"/>
  <c r="AH91" i="7"/>
  <c r="AH69" i="7" s="1"/>
  <c r="AD58" i="7"/>
  <c r="AC58" i="7"/>
  <c r="AM69" i="7"/>
  <c r="AW44" i="7"/>
  <c r="AK80" i="7" s="1"/>
  <c r="AI91" i="7"/>
  <c r="AI69" i="7" s="1"/>
  <c r="AL91" i="7"/>
  <c r="AL69" i="7" s="1"/>
  <c r="AB58" i="7"/>
  <c r="AA58" i="7"/>
  <c r="Z58" i="7"/>
  <c r="Y58" i="7"/>
  <c r="T19" i="7"/>
  <c r="U19" i="7" s="1"/>
  <c r="V19" i="7" s="1"/>
  <c r="P32" i="7" s="1"/>
  <c r="BD44" i="6"/>
  <c r="V19" i="6"/>
  <c r="P32" i="6" s="1"/>
  <c r="AK58" i="6"/>
  <c r="N58" i="6" s="1"/>
  <c r="AI91" i="6"/>
  <c r="AI69" i="6" s="1"/>
  <c r="AI58" i="6" s="1"/>
  <c r="L58" i="6" s="1"/>
  <c r="AL91" i="6"/>
  <c r="AL69" i="6" s="1"/>
  <c r="AL58" i="6" s="1"/>
  <c r="O58" i="6" s="1"/>
  <c r="AH91" i="6"/>
  <c r="AH69" i="6" s="1"/>
  <c r="AH58" i="6" s="1"/>
  <c r="K58" i="6" s="1"/>
  <c r="AJ58" i="6"/>
  <c r="M58" i="6" s="1"/>
  <c r="AB40" i="1"/>
  <c r="Y40" i="1"/>
  <c r="L44" i="5"/>
  <c r="H44" i="5"/>
  <c r="S24" i="5"/>
  <c r="Q25" i="5"/>
  <c r="V41" i="3"/>
  <c r="K41" i="3"/>
  <c r="Q42" i="3"/>
  <c r="V42" i="3" s="1" a="1"/>
  <c r="I39" i="3"/>
  <c r="L38" i="3"/>
  <c r="J39" i="3"/>
  <c r="M39" i="3" s="1"/>
  <c r="T39" i="3"/>
  <c r="U39" i="3" s="1"/>
  <c r="W39" i="3" s="1"/>
  <c r="J38" i="3"/>
  <c r="M38" i="3" s="1"/>
  <c r="N37" i="3"/>
  <c r="Z42" i="5"/>
  <c r="V42" i="5" a="1"/>
  <c r="V42" i="5" s="1"/>
  <c r="D46" i="5"/>
  <c r="AC45" i="5"/>
  <c r="E44" i="5"/>
  <c r="F44" i="5"/>
  <c r="J44" i="5"/>
  <c r="K44" i="5"/>
  <c r="G44" i="5"/>
  <c r="I44" i="5"/>
  <c r="M44" i="5"/>
  <c r="P42" i="5"/>
  <c r="Q42" i="5"/>
  <c r="U42" i="5"/>
  <c r="Y42" i="5"/>
  <c r="AA42" i="5"/>
  <c r="S42" i="5"/>
  <c r="R42" i="5"/>
  <c r="W42" i="5"/>
  <c r="X42" i="5"/>
  <c r="O44" i="5"/>
  <c r="AD43" i="5"/>
  <c r="T43" i="5" s="1"/>
  <c r="G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X41" i="1"/>
  <c r="Y41" i="1" a="1"/>
  <c r="AB41" i="1" a="1"/>
  <c r="H42" i="3" l="1" a="1"/>
  <c r="H42" i="3" s="1"/>
  <c r="S42" i="3" a="1"/>
  <c r="S42" i="3" s="1"/>
  <c r="K42" i="3" a="1"/>
  <c r="K42" i="3" s="1"/>
  <c r="AL58" i="7"/>
  <c r="O58" i="7" s="1"/>
  <c r="AI58" i="7"/>
  <c r="L58" i="7" s="1"/>
  <c r="AM58" i="7"/>
  <c r="P58" i="7" s="1"/>
  <c r="AK91" i="7"/>
  <c r="AK69" i="7" s="1"/>
  <c r="AK58" i="7" s="1"/>
  <c r="N58" i="7" s="1"/>
  <c r="AH58" i="7"/>
  <c r="K58" i="7" s="1"/>
  <c r="AJ58" i="7"/>
  <c r="M58" i="7" s="1"/>
  <c r="BE44" i="6"/>
  <c r="AM80" i="6" s="1"/>
  <c r="AB41" i="1"/>
  <c r="Y41" i="1"/>
  <c r="L45" i="5"/>
  <c r="H45" i="5"/>
  <c r="R25" i="5"/>
  <c r="S25" i="5" s="1"/>
  <c r="P25" i="5"/>
  <c r="V42" i="3"/>
  <c r="Q43" i="3"/>
  <c r="N38" i="3"/>
  <c r="T40" i="3"/>
  <c r="L39" i="3"/>
  <c r="N39" i="3" s="1"/>
  <c r="I40" i="3"/>
  <c r="J40" i="3" s="1"/>
  <c r="M40" i="3" s="1"/>
  <c r="V43" i="5" a="1"/>
  <c r="V43" i="5" s="1"/>
  <c r="Z43" i="5"/>
  <c r="AD44" i="5"/>
  <c r="T44" i="5" s="1"/>
  <c r="O45" i="5"/>
  <c r="P43" i="5"/>
  <c r="Q43" i="5"/>
  <c r="AA43" i="5"/>
  <c r="R43" i="5"/>
  <c r="W43" i="5"/>
  <c r="S43" i="5"/>
  <c r="U43" i="5"/>
  <c r="X43" i="5"/>
  <c r="Y43" i="5"/>
  <c r="E45" i="5"/>
  <c r="F45" i="5"/>
  <c r="I45" i="5"/>
  <c r="J45" i="5"/>
  <c r="G45" i="5"/>
  <c r="M45" i="5"/>
  <c r="K45" i="5"/>
  <c r="AC46" i="5"/>
  <c r="D47" i="5"/>
  <c r="G42" i="3"/>
  <c r="R42" i="3"/>
  <c r="F43" i="3"/>
  <c r="AS44" i="1"/>
  <c r="BD43" i="1"/>
  <c r="BE42" i="1"/>
  <c r="AN43" i="1"/>
  <c r="AJ41" i="1"/>
  <c r="AV42" i="1"/>
  <c r="AW42" i="1" s="1"/>
  <c r="AW41" i="1"/>
  <c r="AO42" i="1"/>
  <c r="AZ42" i="1"/>
  <c r="BA42" i="1" s="1"/>
  <c r="X42" i="1"/>
  <c r="V43" i="3" a="1"/>
  <c r="K43" i="3" a="1"/>
  <c r="AB42" i="1" a="1"/>
  <c r="Y42" i="1" a="1"/>
  <c r="AM91" i="6" l="1"/>
  <c r="H43" i="3" a="1"/>
  <c r="H43" i="3" s="1"/>
  <c r="S43" i="3" a="1"/>
  <c r="S43" i="3" s="1"/>
  <c r="K64" i="7" a="1"/>
  <c r="K64" i="7" s="1"/>
  <c r="M27" i="7" s="1" a="1"/>
  <c r="AM69" i="6"/>
  <c r="AM58" i="6" s="1"/>
  <c r="P58" i="6" s="1"/>
  <c r="K64" i="6" s="1" a="1"/>
  <c r="K64" i="6" s="1"/>
  <c r="M27" i="6" s="1" a="1"/>
  <c r="Q32" i="6" s="1"/>
  <c r="AB42" i="1"/>
  <c r="Y42" i="1"/>
  <c r="L46" i="5"/>
  <c r="H46" i="5"/>
  <c r="K43" i="3"/>
  <c r="V43" i="3"/>
  <c r="Q44" i="3"/>
  <c r="V44" i="3" s="1" a="1"/>
  <c r="T41" i="3"/>
  <c r="U41" i="3" s="1"/>
  <c r="W41" i="3" s="1"/>
  <c r="L40" i="3"/>
  <c r="N40" i="3" s="1"/>
  <c r="I41" i="3"/>
  <c r="J41" i="3" s="1"/>
  <c r="M41" i="3" s="1"/>
  <c r="U40" i="3"/>
  <c r="W40" i="3" s="1"/>
  <c r="Z44" i="5"/>
  <c r="V44" i="5" a="1"/>
  <c r="V44" i="5" s="1"/>
  <c r="E46" i="5"/>
  <c r="J46" i="5"/>
  <c r="F46" i="5"/>
  <c r="G46" i="5"/>
  <c r="I46" i="5"/>
  <c r="M46" i="5"/>
  <c r="K46" i="5"/>
  <c r="O46" i="5"/>
  <c r="AD45" i="5"/>
  <c r="T45" i="5" s="1"/>
  <c r="D48" i="5"/>
  <c r="AC47" i="5"/>
  <c r="Y44" i="5"/>
  <c r="AA44" i="5"/>
  <c r="S44" i="5"/>
  <c r="U44" i="5"/>
  <c r="W44" i="5"/>
  <c r="X44" i="5"/>
  <c r="P44" i="5"/>
  <c r="Q44" i="5"/>
  <c r="R44" i="5"/>
  <c r="R43" i="3"/>
  <c r="G43" i="3"/>
  <c r="F44" i="3"/>
  <c r="S44" i="3" s="1" a="1"/>
  <c r="S44" i="3" s="1"/>
  <c r="AN44" i="1"/>
  <c r="AZ43" i="1"/>
  <c r="AV43" i="1"/>
  <c r="AW43" i="1" s="1"/>
  <c r="AJ42" i="1"/>
  <c r="AK41" i="1"/>
  <c r="AO43" i="1"/>
  <c r="BD44" i="1"/>
  <c r="BE43" i="1"/>
  <c r="X43" i="1"/>
  <c r="AB43" i="1" a="1"/>
  <c r="Y43" i="1" a="1"/>
  <c r="H44" i="3" l="1" a="1"/>
  <c r="H44" i="3" s="1"/>
  <c r="K44" i="3" a="1"/>
  <c r="K44" i="3" s="1"/>
  <c r="Q30" i="7"/>
  <c r="Q32" i="7"/>
  <c r="M27" i="7"/>
  <c r="Q27" i="7" s="1"/>
  <c r="Q29" i="7"/>
  <c r="Q31" i="7"/>
  <c r="Q28" i="7"/>
  <c r="Q30" i="6"/>
  <c r="Q28" i="6"/>
  <c r="M27" i="6"/>
  <c r="Q27" i="6" s="1"/>
  <c r="Q31" i="6"/>
  <c r="Q29" i="6"/>
  <c r="AB43" i="1"/>
  <c r="Y43" i="1"/>
  <c r="L47" i="5"/>
  <c r="H47" i="5"/>
  <c r="V44" i="3"/>
  <c r="L41" i="3"/>
  <c r="N41" i="3" s="1"/>
  <c r="I42" i="3"/>
  <c r="T42" i="3"/>
  <c r="U42" i="3" s="1"/>
  <c r="W42" i="3" s="1"/>
  <c r="V45" i="5" a="1"/>
  <c r="V45" i="5" s="1"/>
  <c r="Z45" i="5"/>
  <c r="AC48" i="5"/>
  <c r="D49" i="5"/>
  <c r="U45" i="5"/>
  <c r="AA45" i="5"/>
  <c r="W45" i="5"/>
  <c r="X45" i="5"/>
  <c r="Y45" i="5"/>
  <c r="P45" i="5"/>
  <c r="Q45" i="5"/>
  <c r="R45" i="5"/>
  <c r="S45" i="5"/>
  <c r="AD46" i="5"/>
  <c r="T46" i="5" s="1"/>
  <c r="O47" i="5"/>
  <c r="I47" i="5"/>
  <c r="J47" i="5"/>
  <c r="K47" i="5"/>
  <c r="F47" i="5"/>
  <c r="M47" i="5"/>
  <c r="E47" i="5"/>
  <c r="G47" i="5"/>
  <c r="R44" i="3"/>
  <c r="G44" i="3"/>
  <c r="BE44" i="1"/>
  <c r="AO44" i="1"/>
  <c r="AJ43" i="1"/>
  <c r="AK43" i="1" s="1"/>
  <c r="AK42" i="1"/>
  <c r="AV44" i="1"/>
  <c r="AZ44" i="1"/>
  <c r="BA43" i="1"/>
  <c r="X44" i="1"/>
  <c r="AB44" i="1" a="1"/>
  <c r="Y44" i="1" a="1"/>
  <c r="Q23" i="6" l="1"/>
  <c r="Q23" i="7"/>
  <c r="AB44" i="1"/>
  <c r="Y44" i="1"/>
  <c r="L48" i="5"/>
  <c r="H48" i="5"/>
  <c r="T43" i="3"/>
  <c r="U43" i="3"/>
  <c r="W43" i="3" s="1"/>
  <c r="L42" i="3"/>
  <c r="I43" i="3"/>
  <c r="J43" i="3" s="1"/>
  <c r="M43" i="3" s="1"/>
  <c r="J42" i="3"/>
  <c r="M42" i="3" s="1"/>
  <c r="V46" i="5" a="1"/>
  <c r="V46" i="5" s="1"/>
  <c r="Z46" i="5"/>
  <c r="O48" i="5"/>
  <c r="AD47" i="5"/>
  <c r="T47" i="5" s="1"/>
  <c r="P46" i="5"/>
  <c r="Q46" i="5"/>
  <c r="U46" i="5"/>
  <c r="Y46" i="5"/>
  <c r="AA46" i="5"/>
  <c r="S46" i="5"/>
  <c r="R46" i="5"/>
  <c r="W46" i="5"/>
  <c r="X46" i="5"/>
  <c r="AC49" i="5"/>
  <c r="D50" i="5"/>
  <c r="E48" i="5"/>
  <c r="F48" i="5"/>
  <c r="J48" i="5"/>
  <c r="K48" i="5"/>
  <c r="G48" i="5"/>
  <c r="I48" i="5"/>
  <c r="M48" i="5"/>
  <c r="BA44" i="1"/>
  <c r="AW44" i="1"/>
  <c r="AJ44" i="1"/>
  <c r="L49" i="5" l="1"/>
  <c r="H49" i="5"/>
  <c r="L43" i="3"/>
  <c r="N43" i="3" s="1"/>
  <c r="I44" i="3"/>
  <c r="L44" i="3" s="1"/>
  <c r="N42" i="3"/>
  <c r="T44" i="3"/>
  <c r="U44" i="3" s="1"/>
  <c r="W44" i="3" s="1"/>
  <c r="D22" i="3" s="1"/>
  <c r="V47" i="5" a="1"/>
  <c r="V47" i="5" s="1"/>
  <c r="Z47" i="5"/>
  <c r="E49" i="5"/>
  <c r="F49" i="5"/>
  <c r="I49" i="5"/>
  <c r="J49" i="5"/>
  <c r="M49" i="5"/>
  <c r="K49" i="5"/>
  <c r="G49" i="5"/>
  <c r="P47" i="5"/>
  <c r="Q47" i="5"/>
  <c r="S47" i="5"/>
  <c r="R47" i="5"/>
  <c r="U47" i="5"/>
  <c r="W47" i="5"/>
  <c r="X47" i="5"/>
  <c r="Y47" i="5"/>
  <c r="AA47" i="5"/>
  <c r="D51" i="5"/>
  <c r="AC50" i="5"/>
  <c r="O49" i="5"/>
  <c r="AD48" i="5"/>
  <c r="T48" i="5" s="1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L50" i="5" l="1"/>
  <c r="H50" i="5"/>
  <c r="J44" i="3"/>
  <c r="M44" i="3" s="1"/>
  <c r="N44" i="3" s="1"/>
  <c r="D21" i="3" s="1"/>
  <c r="V48" i="5" a="1"/>
  <c r="V48" i="5" s="1"/>
  <c r="Z48" i="5"/>
  <c r="Y48" i="5"/>
  <c r="AA48" i="5"/>
  <c r="S48" i="5"/>
  <c r="R48" i="5"/>
  <c r="W48" i="5"/>
  <c r="P48" i="5"/>
  <c r="Q48" i="5"/>
  <c r="U48" i="5"/>
  <c r="X48" i="5"/>
  <c r="O50" i="5"/>
  <c r="AD49" i="5"/>
  <c r="T49" i="5" s="1"/>
  <c r="I50" i="5"/>
  <c r="J50" i="5"/>
  <c r="K50" i="5"/>
  <c r="M50" i="5"/>
  <c r="G50" i="5"/>
  <c r="F50" i="5"/>
  <c r="E50" i="5"/>
  <c r="D52" i="5"/>
  <c r="AC51" i="5"/>
  <c r="AH91" i="1"/>
  <c r="AH69" i="1" s="1"/>
  <c r="AI69" i="1"/>
  <c r="AK69" i="1"/>
  <c r="AM69" i="1"/>
  <c r="AL69" i="1"/>
  <c r="AJ69" i="1"/>
  <c r="AA5" i="1"/>
  <c r="Z6" i="1"/>
  <c r="AA6" i="1" s="1"/>
  <c r="L51" i="5" l="1"/>
  <c r="H51" i="5"/>
  <c r="D23" i="3"/>
  <c r="D20" i="3"/>
  <c r="V49" i="5" a="1"/>
  <c r="V49" i="5" s="1"/>
  <c r="Z49" i="5"/>
  <c r="U49" i="5"/>
  <c r="AA49" i="5"/>
  <c r="Y49" i="5"/>
  <c r="W49" i="5"/>
  <c r="S49" i="5"/>
  <c r="P49" i="5"/>
  <c r="R49" i="5"/>
  <c r="Q49" i="5"/>
  <c r="X49" i="5"/>
  <c r="O51" i="5"/>
  <c r="AD50" i="5"/>
  <c r="T50" i="5" s="1"/>
  <c r="I51" i="5"/>
  <c r="J51" i="5"/>
  <c r="K51" i="5"/>
  <c r="M51" i="5"/>
  <c r="F51" i="5"/>
  <c r="G51" i="5"/>
  <c r="E51" i="5"/>
  <c r="AC52" i="5"/>
  <c r="D53" i="5"/>
  <c r="Z7" i="1"/>
  <c r="L52" i="5" l="1"/>
  <c r="H52" i="5"/>
  <c r="D25" i="3"/>
  <c r="D26" i="3" s="1"/>
  <c r="D24" i="3"/>
  <c r="V50" i="5" a="1"/>
  <c r="V50" i="5" s="1"/>
  <c r="Z50" i="5"/>
  <c r="P50" i="5"/>
  <c r="Q50" i="5"/>
  <c r="U50" i="5"/>
  <c r="W50" i="5"/>
  <c r="X50" i="5"/>
  <c r="R50" i="5"/>
  <c r="S50" i="5"/>
  <c r="Y50" i="5"/>
  <c r="AA50" i="5"/>
  <c r="O52" i="5"/>
  <c r="AD51" i="5"/>
  <c r="T51" i="5" s="1"/>
  <c r="E52" i="5"/>
  <c r="F52" i="5"/>
  <c r="J52" i="5"/>
  <c r="K52" i="5"/>
  <c r="M52" i="5"/>
  <c r="G52" i="5"/>
  <c r="I52" i="5"/>
  <c r="AC53" i="5"/>
  <c r="D54" i="5"/>
  <c r="AA7" i="1"/>
  <c r="Z8" i="1"/>
  <c r="L53" i="5" l="1"/>
  <c r="H53" i="5"/>
  <c r="Z51" i="5"/>
  <c r="V51" i="5" a="1"/>
  <c r="V51" i="5" s="1"/>
  <c r="P51" i="5"/>
  <c r="Q51" i="5"/>
  <c r="X51" i="5"/>
  <c r="S51" i="5"/>
  <c r="R51" i="5"/>
  <c r="Y51" i="5"/>
  <c r="U51" i="5"/>
  <c r="AA51" i="5"/>
  <c r="W51" i="5"/>
  <c r="O53" i="5"/>
  <c r="AD52" i="5"/>
  <c r="T52" i="5" s="1"/>
  <c r="E53" i="5"/>
  <c r="F53" i="5"/>
  <c r="M53" i="5"/>
  <c r="K53" i="5"/>
  <c r="G53" i="5"/>
  <c r="I53" i="5"/>
  <c r="J53" i="5"/>
  <c r="D55" i="5"/>
  <c r="AC55" i="5" s="1"/>
  <c r="AC54" i="5"/>
  <c r="Y75" i="1"/>
  <c r="N14" i="1"/>
  <c r="Y64" i="1"/>
  <c r="AA8" i="1"/>
  <c r="S14" i="1" s="1"/>
  <c r="Z9" i="1"/>
  <c r="L54" i="5" l="1"/>
  <c r="H54" i="5"/>
  <c r="L55" i="5"/>
  <c r="H55" i="5"/>
  <c r="V52" i="5" a="1"/>
  <c r="V52" i="5" s="1"/>
  <c r="Z52" i="5"/>
  <c r="Y52" i="5"/>
  <c r="AA52" i="5"/>
  <c r="W52" i="5"/>
  <c r="P52" i="5"/>
  <c r="S52" i="5"/>
  <c r="Q52" i="5"/>
  <c r="R52" i="5"/>
  <c r="X52" i="5"/>
  <c r="U52" i="5"/>
  <c r="O54" i="5"/>
  <c r="AD53" i="5"/>
  <c r="T53" i="5" s="1"/>
  <c r="M54" i="5"/>
  <c r="E54" i="5"/>
  <c r="F54" i="5"/>
  <c r="G54" i="5"/>
  <c r="I54" i="5"/>
  <c r="J54" i="5"/>
  <c r="K54" i="5"/>
  <c r="I55" i="5"/>
  <c r="J55" i="5"/>
  <c r="K55" i="5"/>
  <c r="F55" i="5"/>
  <c r="E55" i="5"/>
  <c r="G55" i="5"/>
  <c r="M55" i="5"/>
  <c r="AA9" i="1"/>
  <c r="Z10" i="1"/>
  <c r="P14" i="1"/>
  <c r="T14" i="1" s="1"/>
  <c r="O14" i="1"/>
  <c r="Z53" i="5" l="1"/>
  <c r="V53" i="5" a="1"/>
  <c r="V53" i="5" s="1"/>
  <c r="AH6" i="5"/>
  <c r="C16" i="5" s="1"/>
  <c r="AD54" i="5"/>
  <c r="T54" i="5" s="1"/>
  <c r="O55" i="5"/>
  <c r="AD55" i="5" s="1"/>
  <c r="T55" i="5" s="1"/>
  <c r="AH15" i="5"/>
  <c r="AH13" i="5"/>
  <c r="U53" i="5"/>
  <c r="AA53" i="5"/>
  <c r="R53" i="5"/>
  <c r="P53" i="5"/>
  <c r="Q53" i="5"/>
  <c r="S53" i="5"/>
  <c r="W53" i="5"/>
  <c r="X53" i="5"/>
  <c r="Y53" i="5"/>
  <c r="U14" i="1"/>
  <c r="Y53" i="1"/>
  <c r="Q14" i="1"/>
  <c r="AA10" i="1"/>
  <c r="Z11" i="1"/>
  <c r="Z54" i="5" l="1"/>
  <c r="V54" i="5" a="1"/>
  <c r="V54" i="5" s="1"/>
  <c r="V55" i="5" a="1"/>
  <c r="V55" i="5" s="1"/>
  <c r="Z55" i="5"/>
  <c r="AH21" i="5"/>
  <c r="C21" i="5" s="1"/>
  <c r="P55" i="5"/>
  <c r="Q55" i="5"/>
  <c r="S55" i="5"/>
  <c r="W55" i="5"/>
  <c r="X55" i="5"/>
  <c r="U55" i="5"/>
  <c r="Y55" i="5"/>
  <c r="AA55" i="5"/>
  <c r="AH7" i="5" s="1"/>
  <c r="R55" i="5"/>
  <c r="P54" i="5"/>
  <c r="Q54" i="5"/>
  <c r="U54" i="5"/>
  <c r="R54" i="5"/>
  <c r="X54" i="5"/>
  <c r="S54" i="5"/>
  <c r="W54" i="5"/>
  <c r="Y54" i="5"/>
  <c r="AA54" i="5"/>
  <c r="V14" i="1"/>
  <c r="P27" i="1" s="1"/>
  <c r="AH53" i="1"/>
  <c r="K53" i="1" s="1"/>
  <c r="Z12" i="1"/>
  <c r="AA11" i="1"/>
  <c r="AH8" i="5" l="1"/>
  <c r="C17" i="5"/>
  <c r="AH10" i="5"/>
  <c r="AH9" i="5"/>
  <c r="AH14" i="5"/>
  <c r="AH16" i="5"/>
  <c r="Z65" i="1"/>
  <c r="Z76" i="1"/>
  <c r="Z13" i="1"/>
  <c r="AA12" i="1"/>
  <c r="Y76" i="1" s="1"/>
  <c r="N15" i="1"/>
  <c r="C15" i="5" l="1"/>
  <c r="C18" i="5"/>
  <c r="AK6" i="5" s="1"/>
  <c r="AK7" i="5" s="1"/>
  <c r="AH20" i="5"/>
  <c r="AH19" i="5"/>
  <c r="Y65" i="1"/>
  <c r="S15" i="1"/>
  <c r="P15" i="1"/>
  <c r="O15" i="1"/>
  <c r="AA13" i="1"/>
  <c r="Z14" i="1"/>
  <c r="AH22" i="5" l="1"/>
  <c r="C23" i="5" s="1"/>
  <c r="C24" i="5" s="1"/>
  <c r="Y54" i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N18" i="1" s="1"/>
  <c r="T17" i="1" l="1"/>
  <c r="U17" i="1" s="1"/>
  <c r="AB56" i="1"/>
  <c r="AA56" i="1"/>
  <c r="Y56" i="1"/>
  <c r="Z56" i="1"/>
  <c r="Q17" i="1"/>
  <c r="AA23" i="1"/>
  <c r="AC68" i="1"/>
  <c r="AC79" i="1"/>
  <c r="Z25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P58" i="1" s="1"/>
  <c r="AK58" i="1"/>
  <c r="N58" i="1" s="1"/>
  <c r="AH58" i="1"/>
  <c r="K58" i="1" s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<sst xmlns="http://schemas.openxmlformats.org/spreadsheetml/2006/main" count="1271" uniqueCount="364">
  <si>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</si>
  <si>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</si>
  <si>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</si>
  <si>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</si>
  <si>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</si>
  <si>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</si>
  <si>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</si>
  <si>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</si>
  <si>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</si>
  <si>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</si>
  <si>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</si>
  <si>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</si>
  <si>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</si>
  <si>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</si>
  <si>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</si>
  <si>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</si>
  <si>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</si>
  <si>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</si>
  <si>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</si>
  <si>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</si>
  <si>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</si>
  <si>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</si>
  <si>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</si>
  <si>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Discount Factors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</si>
  <si>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</si>
  <si>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</si>
  <si>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</si>
  <si>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</si>
  <si>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</si>
  <si>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</si>
  <si>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</si>
  <si>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</si>
  <si>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</si>
  <si>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</si>
  <si>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</si>
  <si>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</si>
  <si>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</si>
  <si>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</si>
  <si>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</si>
  <si>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</si>
  <si>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</si>
  <si>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</si>
  <si>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</si>
  <si>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</si>
  <si>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</si>
  <si>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</si>
  <si>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</si>
  <si>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</si>
  <si>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</si>
  <si>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</si>
  <si>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</si>
  <si>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</si>
  <si>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</si>
  <si>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</si>
  <si>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</si>
  <si>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</si>
  <si>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</si>
  <si>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</si>
  <si>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</si>
  <si>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</si>
  <si>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</si>
  <si>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</si>
  <si>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</si>
  <si>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</si>
  <si>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</si>
  <si>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</si>
  <si>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</si>
  <si>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</si>
  <si>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</si>
  <si>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</si>
  <si>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</si>
  <si>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</si>
  <si>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</si>
  <si>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</si>
  <si>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</si>
  <si>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</si>
  <si>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</si>
  <si>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</si>
  <si>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</si>
  <si>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</si>
  <si>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</si>
  <si>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</si>
  <si>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</si>
  <si>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</si>
  <si>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</si>
  <si>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</si>
  <si>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</si>
  <si>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</si>
  <si>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</si>
  <si>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</si>
  <si>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</si>
  <si>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</si>
  <si>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</si>
  <si>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</si>
  <si>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</si>
  <si>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</si>
  <si>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</si>
  <si>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</si>
  <si>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</si>
  <si>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</si>
  <si>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</si>
  <si>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</si>
  <si>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</si>
  <si>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</si>
  <si>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</si>
  <si>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</si>
  <si>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</si>
  <si>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</si>
  <si>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</si>
  <si>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</si>
  <si>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</si>
  <si>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</si>
  <si>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</si>
  <si>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</si>
  <si>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</si>
  <si>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</si>
  <si>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</si>
  <si>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</si>
  <si>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</si>
  <si>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</si>
  <si>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</si>
  <si>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</si>
  <si>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</si>
  <si>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</si>
  <si>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</si>
  <si>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</si>
  <si>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</si>
  <si>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</si>
  <si>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</si>
  <si>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</si>
  <si>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</si>
  <si>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</si>
  <si>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</si>
  <si>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</si>
  <si>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</si>
  <si>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Instructions</t>
  </si>
  <si>
    <t>Assumptions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</si>
  <si>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</si>
  <si>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</si>
  <si>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</si>
  <si>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</si>
  <si>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</si>
  <si>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</si>
  <si>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</si>
  <si>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</si>
  <si>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</si>
  <si>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</si>
  <si>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</si>
  <si>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</si>
  <si>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</si>
  <si>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</si>
  <si>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</si>
  <si>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</si>
  <si>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</si>
  <si>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</si>
  <si>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t>Chart Data</t>
  </si>
  <si>
    <t>Time</t>
  </si>
  <si>
    <t>Multi-Dimensional Newton-Raphson Solver Algorithm</t>
  </si>
  <si>
    <t>Hazard Rates</t>
  </si>
  <si>
    <t>Shifted-Hazard Rates</t>
  </si>
  <si>
    <t>(This is standard industry practice)</t>
  </si>
  <si>
    <r>
      <t xml:space="preserve">Calibration formulas used can be found here: </t>
    </r>
    <r>
      <rPr>
        <u/>
        <sz val="11"/>
        <color rgb="FF0000FF"/>
        <rFont val="Calibri"/>
        <family val="2"/>
        <scheme val="minor"/>
      </rPr>
      <t>https://ssrn.com/abstract=3479833</t>
    </r>
  </si>
  <si>
    <t>allows us to price a wide variety of financial instruments.</t>
  </si>
  <si>
    <t>We use the forward rate and discount factor interpolation tables to generate forwards and discount factors for any date, which</t>
  </si>
  <si>
    <t>Piecewise Cubic Hermite Intepolation, which we have extended to support exact integration for discount factor calculations.</t>
  </si>
  <si>
    <t>We store the outputs i.e. the USD SOFR Forward Rates and Discount Factors in an interpolation table. Here we use</t>
  </si>
  <si>
    <t>More specifically, in this case we have L(n+1) = L(n) + dL/dP . ( Model P - Market P )</t>
  </si>
  <si>
    <r>
      <t>In general terms for the Newton-Raphson formula is quoted as X(n+1) = X(n)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.F( X(x) ), where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= dL/dP.</t>
    </r>
  </si>
  <si>
    <t>Here, the State Variable x is the USD SOFR forward rate, L and F(x) = (Model Par Rate - Market Par Rate).</t>
  </si>
  <si>
    <t>The Newton-Raphson algorithm iteratively searches for the x in our Target Function, F(x) that gives a zero value.</t>
  </si>
  <si>
    <t>first-order Risk Jacobian (J), where J = dParRate/dForwardRate (dP/dL), which is useful for risk calculations.</t>
  </si>
  <si>
    <t>We use the Newton-Raphson solver algorithm, which is a gradient descent algorithm. It captures as a by-product the</t>
  </si>
  <si>
    <t>Given as input USD SOFR Par Rates from the Market we solve for the corresponding Forward Rates and Discount Factors.</t>
  </si>
  <si>
    <t>How the Calibration Process Works</t>
  </si>
  <si>
    <t>5.   Press the 'Run Solver' Button</t>
  </si>
  <si>
    <t>4.   To View Intermediate Results, Set ShowIterations to TRUE</t>
  </si>
  <si>
    <t>Finally we integrate f(u) by assuming all forward rates fit a well-defined polynomial</t>
  </si>
  <si>
    <t>3.   Enter an Initial Guess for the Forward Rates</t>
  </si>
  <si>
    <t>2.   Enter the Tolerance</t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</si>
  <si>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</si>
  <si>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1.   Enter the Market Par Rates</t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</si>
  <si>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</si>
  <si>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t>** Cubic Hermite Integration</t>
  </si>
  <si>
    <t>* Cubic Hermite Interpolation</t>
  </si>
  <si>
    <t>where</t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</si>
  <si>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</si>
  <si>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t>USDSOFR</t>
  </si>
  <si>
    <t>For a given forward rate we imply discount factors by integrating over u from t to T,</t>
  </si>
  <si>
    <t>9Y</t>
  </si>
  <si>
    <t>8Y</t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</si>
  <si>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</si>
  <si>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t>7Y</t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</si>
  <si>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</si>
  <si>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t>6Y</t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</si>
  <si>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</si>
  <si>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</si>
  <si>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</si>
  <si>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t>Integral</t>
  </si>
  <si>
    <t>x</t>
  </si>
  <si>
    <t>Check</t>
  </si>
  <si>
    <t>y</t>
  </si>
  <si>
    <t>Newton-Raphson formula,</t>
  </si>
  <si>
    <t>4. Show Iterations</t>
  </si>
  <si>
    <t>Curve</t>
  </si>
  <si>
    <t>We globally solve for USD discount factors &amp; forward rates using the multi-dimensional</t>
  </si>
  <si>
    <t>Iteration Results</t>
  </si>
  <si>
    <t>OVERVIEW</t>
  </si>
  <si>
    <t>Discount Factor Interpolation Table</t>
  </si>
  <si>
    <t>Forward Rates Interpolation Table</t>
  </si>
  <si>
    <t>which are set In-Arrears.</t>
  </si>
  <si>
    <t>hower OIS Swap effective forward rates comprise of averaged or compounded daily fixing rates,</t>
  </si>
  <si>
    <r>
      <t>dL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</si>
  <si>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  <r>
      <rPr>
        <vertAlign val="superscript"/>
        <sz val="11"/>
        <color theme="1"/>
        <rFont val="Calibri"/>
        <family val="2"/>
        <scheme val="minor"/>
      </rPr>
      <t>SOFR</t>
    </r>
  </si>
  <si>
    <t>3. We assume OIS Swaps are determined by a single fixing in-advance for simplicity. In practise</t>
  </si>
  <si>
    <r>
      <t>dL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</si>
  <si>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9Y</t>
    </r>
    <r>
      <rPr>
        <vertAlign val="superscript"/>
        <sz val="11"/>
        <color theme="1"/>
        <rFont val="Calibri"/>
        <family val="2"/>
        <scheme val="minor"/>
      </rPr>
      <t>SOFR</t>
    </r>
  </si>
  <si>
    <t>2. There are no holidays and that all year fractions are based on a regular 30/360 daycount basis</t>
  </si>
  <si>
    <r>
      <t>dL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</si>
  <si>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8Y</t>
    </r>
    <r>
      <rPr>
        <vertAlign val="superscript"/>
        <sz val="11"/>
        <color theme="1"/>
        <rFont val="Calibri"/>
        <family val="2"/>
        <scheme val="minor"/>
      </rPr>
      <t>SOFR</t>
    </r>
  </si>
  <si>
    <t>1. We assume all swaps have annualized coupons</t>
  </si>
  <si>
    <r>
      <t>dLP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</si>
  <si>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</si>
  <si>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For simplicity and brevity we assume,</t>
  </si>
  <si>
    <r>
      <t>dL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</si>
  <si>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6Y</t>
    </r>
    <r>
      <rPr>
        <vertAlign val="superscript"/>
        <sz val="11"/>
        <color theme="1"/>
        <rFont val="Calibri"/>
        <family val="2"/>
        <scheme val="minor"/>
      </rPr>
      <t>SOFR</t>
    </r>
  </si>
  <si>
    <t>ASSUMPTIONS</t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</si>
  <si>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</si>
  <si>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</si>
  <si>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</si>
  <si>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SOFR</t>
    </r>
  </si>
  <si>
    <t>7. For comparison live market data par rates, discount factors and forwards are shown in cells L4:P18</t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</si>
  <si>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</si>
  <si>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SOFR</t>
    </r>
  </si>
  <si>
    <t>6. USDOIS discount factor results are displayed in blue in cells AB8:AB12</t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</si>
  <si>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</si>
  <si>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SOFR</t>
    </r>
  </si>
  <si>
    <t>5. USDOIS and USD3ML forward rate results are displayed in blue in cells U8:U18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</si>
  <si>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</si>
  <si>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SOFR</t>
    </r>
  </si>
  <si>
    <t>4. To see the intermediate results for each iteration, select TRUE in cell AA20</t>
  </si>
  <si>
    <t>dL/dP</t>
  </si>
  <si>
    <r>
      <t>dL</t>
    </r>
    <r>
      <rPr>
        <vertAlign val="subscript"/>
        <sz val="11"/>
        <color theme="1"/>
        <rFont val="Calibri"/>
        <family val="2"/>
        <scheme val="minor"/>
      </rPr>
      <t>7Y</t>
    </r>
    <r>
      <rPr>
        <vertAlign val="superscript"/>
        <sz val="11"/>
        <color theme="1"/>
        <rFont val="Calibri"/>
        <family val="2"/>
        <scheme val="minor"/>
      </rPr>
      <t>SOFR</t>
    </r>
  </si>
  <si>
    <t>dP/dL</t>
  </si>
  <si>
    <t>Integrand</t>
  </si>
  <si>
    <t>ParRate, P</t>
  </si>
  <si>
    <t>3. All calculations are performed on this Excel sheet, the macro only copies interation results</t>
  </si>
  <si>
    <t>3. Initial Guess</t>
  </si>
  <si>
    <t>Iteration: 4</t>
  </si>
  <si>
    <t>3. Press the update macro button to globally solve for forward rates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</si>
  <si>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</si>
  <si>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2. Enter the solver precission in cell W4</t>
  </si>
  <si>
    <t>p = PV(Float Leg)/Annuity(Fixed Leg)</t>
  </si>
  <si>
    <t>Integrate USDSOFR Forward Polynomial</t>
  </si>
  <si>
    <t>Calibration Instruments</t>
  </si>
  <si>
    <t>1. Enter your initial guess for the USDOIS and USD3ML forward rates in the yellow cells W8:W18</t>
  </si>
  <si>
    <t>Inverse Jacobian, dL/dP</t>
  </si>
  <si>
    <t>Jacobian, dParRate/dLibor (dP/dL)</t>
  </si>
  <si>
    <t>USDSOFR Discount Factors</t>
  </si>
  <si>
    <t>2. Tolerance</t>
  </si>
  <si>
    <t>Multi-Dimensional Newton-Raphson Algorithm</t>
  </si>
  <si>
    <t>1. USD SOFR Market Data</t>
  </si>
  <si>
    <t>INSTRUCTIONS</t>
  </si>
  <si>
    <t>Numerical DV01</t>
  </si>
  <si>
    <t>PV With Bump</t>
  </si>
  <si>
    <t>PV No Bump</t>
  </si>
  <si>
    <t>Apply Risk Bump</t>
  </si>
  <si>
    <r>
      <rPr>
        <sz val="11"/>
        <color theme="1"/>
        <rFont val="Calibri"/>
        <family val="2"/>
        <scheme val="minor"/>
      </rPr>
      <t xml:space="preserve">4. </t>
    </r>
    <r>
      <rPr>
        <u/>
        <sz val="11"/>
        <color theme="1"/>
        <rFont val="Calibri"/>
        <family val="2"/>
        <scheme val="minor"/>
      </rPr>
      <t>Numerical Risk</t>
    </r>
  </si>
  <si>
    <t>Analytical DV01</t>
  </si>
  <si>
    <t>DV01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</si>
  <si>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</si>
  <si>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</si>
  <si>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</si>
  <si>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3. </t>
    </r>
    <r>
      <rPr>
        <u/>
        <sz val="11"/>
        <color theme="1"/>
        <rFont val="Calibri"/>
        <family val="2"/>
        <scheme val="minor"/>
      </rPr>
      <t>Analytical Risk</t>
    </r>
  </si>
  <si>
    <t>Float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</si>
  <si>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</si>
  <si>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Fixed Leg PV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</si>
  <si>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</si>
  <si>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t>Swap PV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</si>
  <si>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</si>
  <si>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Swap Pricing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</si>
  <si>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</si>
  <si>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Calibri"/>
        <family val="2"/>
        <scheme val="minor"/>
      </rPr>
      <t xml:space="preserve">2. </t>
    </r>
    <r>
      <rPr>
        <u/>
        <sz val="11"/>
        <color theme="1"/>
        <rFont val="Calibri"/>
        <family val="2"/>
        <scheme val="minor"/>
      </rPr>
      <t>Annuity Factors</t>
    </r>
  </si>
  <si>
    <t>Tenor, T</t>
  </si>
  <si>
    <t>Libor Spread, s</t>
  </si>
  <si>
    <t>Par Rate, p</t>
  </si>
  <si>
    <t>Float Frequency</t>
  </si>
  <si>
    <t>Market Par Rates</t>
  </si>
  <si>
    <t>Fixed Frequency</t>
  </si>
  <si>
    <t>Spread PV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</si>
  <si>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</si>
  <si>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Notional, N</t>
  </si>
  <si>
    <t>Trade</t>
  </si>
  <si>
    <t>Market</t>
  </si>
  <si>
    <r>
      <rPr>
        <sz val="11"/>
        <color theme="1"/>
        <rFont val="Calibri"/>
        <family val="2"/>
        <scheme val="minor"/>
      </rPr>
      <t xml:space="preserve">1. </t>
    </r>
    <r>
      <rPr>
        <u/>
        <sz val="11"/>
        <color theme="1"/>
        <rFont val="Calibri"/>
        <family val="2"/>
        <scheme val="minor"/>
      </rPr>
      <t>Swap Pricing</t>
    </r>
  </si>
  <si>
    <t>Show Float</t>
  </si>
  <si>
    <t>Show Fixed</t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</si>
  <si>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</si>
  <si>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</si>
  <si>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</si>
  <si>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</si>
  <si>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</si>
  <si>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</si>
  <si>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N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</si>
  <si>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</si>
  <si>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t>Pay Date</t>
  </si>
  <si>
    <t>Accrual End</t>
  </si>
  <si>
    <t>Accrual Start</t>
  </si>
  <si>
    <t>Fixing Date</t>
  </si>
  <si>
    <t>Row</t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</si>
  <si>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</si>
  <si>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</si>
  <si>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</si>
  <si>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</si>
  <si>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</si>
  <si>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PAYER</t>
  </si>
  <si>
    <t>Payer/Receiver</t>
  </si>
  <si>
    <t>Calibration Par Rate Test</t>
  </si>
  <si>
    <t>Analytical DV01 Calculations</t>
  </si>
  <si>
    <t>Display Settings</t>
  </si>
  <si>
    <t>Float Leg</t>
  </si>
  <si>
    <t>Fixed Leg</t>
  </si>
  <si>
    <t>Swap Trade Details</t>
  </si>
  <si>
    <t>Refresh</t>
  </si>
  <si>
    <t>Curve Jacobian</t>
  </si>
  <si>
    <t>Forward Rates &amp;</t>
  </si>
  <si>
    <t>Shifted DF</t>
  </si>
  <si>
    <t>AsOfDate</t>
  </si>
  <si>
    <t>ANNUAL</t>
  </si>
  <si>
    <t>Bloomberg</t>
  </si>
  <si>
    <t xml:space="preserve"> + Jacobians</t>
  </si>
  <si>
    <r>
      <t xml:space="preserve">6.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</si>
  <si>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7.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</si>
  <si>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6. Jacobian, dP/dH</t>
  </si>
  <si>
    <t>7. Calibrate Credit Curve</t>
  </si>
  <si>
    <t>5. Calibrate Yield Curve</t>
  </si>
  <si>
    <t>AAPL</t>
  </si>
  <si>
    <t>MSFT</t>
  </si>
  <si>
    <t>NVDA</t>
  </si>
  <si>
    <t>Iteration: 1</t>
  </si>
  <si>
    <t>CreditReference</t>
  </si>
  <si>
    <t>Hazard Rate Market Data</t>
  </si>
  <si>
    <t>Number of Simulations</t>
  </si>
  <si>
    <t>Cum P(Def)</t>
  </si>
  <si>
    <t>Norm Inv CDF</t>
  </si>
  <si>
    <t>Default Barrier</t>
  </si>
  <si>
    <t>PDF(M)</t>
  </si>
  <si>
    <t xml:space="preserve">M </t>
  </si>
  <si>
    <t>P(Default by Time t | Market Factor = M)</t>
  </si>
  <si>
    <t>P(CONDITIONAL SURVIVAL) FOR PORTFOLIO</t>
  </si>
  <si>
    <t>P(Survive to Time t | Market Factor = M)</t>
  </si>
  <si>
    <t>Market Step Size, dm</t>
  </si>
  <si>
    <t>P(Survive)</t>
  </si>
  <si>
    <t>P(Def)</t>
  </si>
  <si>
    <t>JOINT P(SURVIVAL)</t>
  </si>
  <si>
    <t>NUMERICAL INTEGRATION</t>
  </si>
  <si>
    <t>Joint P(Survival)</t>
  </si>
  <si>
    <t>Portfolio</t>
  </si>
  <si>
    <t xml:space="preserve">Basket </t>
  </si>
  <si>
    <t>Implied Correlation</t>
  </si>
  <si>
    <t>Price Results</t>
  </si>
  <si>
    <t>1F Guassian Copula Approach</t>
  </si>
  <si>
    <t>Corr &gt; 0</t>
  </si>
  <si>
    <t>Sum</t>
  </si>
  <si>
    <t>Weakest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</si>
</sst>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%"/>
    <numFmt numFmtId="165" formatCode="#,##0.000000"/>
    <numFmt numFmtId="166" formatCode="#,##0.0000"/>
    <numFmt numFmtId="167" formatCode="0.00000%"/>
    <numFmt numFmtId="168" formatCode="0.0000000%"/>
    <numFmt numFmtId="169" formatCode="0.0E+00"/>
    <numFmt numFmtId="170" formatCode="#,##0.00000"/>
    <numFmt numFmtId="171" formatCode="d\-mmm\-yy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FF"/>
      <name val="Calibri"/>
      <family val="2"/>
    </font>
    <font>
      <vertAlign val="superscript"/>
      <sz val="11"/>
      <color rgb="FF0000FF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66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5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86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7" xfId="0" applyBorder="1"/>
    <xf numFmtId="0" fontId="0" fillId="0" borderId="43" xfId="0" applyBorder="1"/>
    <xf numFmtId="0" fontId="0" fillId="0" borderId="6" xfId="0" applyBorder="1"/>
    <xf numFmtId="11" fontId="0" fillId="0" borderId="0" xfId="0" applyNumberFormat="1"/>
    <xf numFmtId="0" fontId="0" fillId="0" borderId="44" xfId="0" applyBorder="1"/>
    <xf numFmtId="0" fontId="0" fillId="0" borderId="45" xfId="0" applyBorder="1"/>
    <xf numFmtId="0" fontId="0" fillId="0" borderId="46" xfId="0" applyBorder="1"/>
    <xf numFmtId="169" fontId="13" fillId="0" borderId="0" xfId="0" applyNumberFormat="1" applyFont="1" applyAlignment="1">
      <alignment horizontal="center" vertical="center"/>
    </xf>
    <xf numFmtId="0" fontId="0" fillId="2" borderId="41" xfId="0" applyFill="1" applyBorder="1"/>
    <xf numFmtId="0" fontId="0" fillId="2" borderId="42" xfId="0" applyFill="1" applyBorder="1"/>
    <xf numFmtId="169" fontId="13" fillId="2" borderId="42" xfId="0" applyNumberFormat="1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43" xfId="0" applyFill="1" applyBorder="1"/>
    <xf numFmtId="0" fontId="0" fillId="2" borderId="0" xfId="0" applyFill="1"/>
    <xf numFmtId="169" fontId="13" fillId="2" borderId="0" xfId="0" applyNumberFormat="1" applyFont="1" applyFill="1" applyAlignment="1">
      <alignment horizontal="center" vertical="center"/>
    </xf>
    <xf numFmtId="0" fontId="0" fillId="2" borderId="6" xfId="0" applyFill="1" applyBorder="1"/>
    <xf numFmtId="0" fontId="0" fillId="0" borderId="0" xfId="0" applyAlignment="1">
      <alignment horizontal="left"/>
    </xf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4" fontId="0" fillId="0" borderId="0" xfId="0" quotePrefix="1" applyNumberFormat="1"/>
    <xf numFmtId="165" fontId="5" fillId="0" borderId="15" xfId="0" applyNumberFormat="1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67" fontId="0" fillId="0" borderId="4" xfId="0" applyNumberFormat="1" applyBorder="1"/>
    <xf numFmtId="167" fontId="5" fillId="0" borderId="4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67" fontId="0" fillId="0" borderId="0" xfId="0" applyNumberFormat="1"/>
    <xf numFmtId="0" fontId="6" fillId="0" borderId="0" xfId="0" applyFont="1" applyAlignment="1">
      <alignment horizontal="left"/>
    </xf>
    <xf numFmtId="167" fontId="0" fillId="2" borderId="41" xfId="0" applyNumberFormat="1" applyFill="1" applyBorder="1" applyAlignment="1">
      <alignment horizontal="center" vertical="center"/>
    </xf>
    <xf numFmtId="167" fontId="0" fillId="2" borderId="42" xfId="0" applyNumberFormat="1" applyFill="1" applyBorder="1" applyAlignment="1">
      <alignment horizontal="center" vertical="center"/>
    </xf>
    <xf numFmtId="167" fontId="0" fillId="2" borderId="7" xfId="0" applyNumberFormat="1" applyFill="1" applyBorder="1" applyAlignment="1">
      <alignment horizontal="center" vertical="center"/>
    </xf>
    <xf numFmtId="167" fontId="0" fillId="2" borderId="43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67" fontId="0" fillId="2" borderId="6" xfId="0" applyNumberFormat="1" applyFill="1" applyBorder="1" applyAlignment="1">
      <alignment horizontal="center" vertical="center"/>
    </xf>
    <xf numFmtId="165" fontId="5" fillId="0" borderId="11" xfId="0" applyNumberFormat="1" applyFont="1" applyBorder="1" applyAlignment="1">
      <alignment horizontal="center" vertical="center"/>
    </xf>
    <xf numFmtId="167" fontId="0" fillId="0" borderId="45" xfId="0" applyNumberFormat="1" applyBorder="1" applyAlignment="1">
      <alignment horizontal="center" vertical="center"/>
    </xf>
    <xf numFmtId="169" fontId="0" fillId="0" borderId="11" xfId="0" quotePrefix="1" applyNumberFormat="1" applyBorder="1" applyAlignment="1">
      <alignment horizontal="center" vertical="center"/>
    </xf>
    <xf numFmtId="167" fontId="0" fillId="0" borderId="45" xfId="0" quotePrefix="1" applyNumberForma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167" fontId="0" fillId="2" borderId="44" xfId="0" applyNumberFormat="1" applyFill="1" applyBorder="1" applyAlignment="1">
      <alignment horizontal="center" vertical="center"/>
    </xf>
    <xf numFmtId="167" fontId="0" fillId="2" borderId="45" xfId="0" applyNumberFormat="1" applyFill="1" applyBorder="1" applyAlignment="1">
      <alignment horizontal="center" vertical="center"/>
    </xf>
    <xf numFmtId="167" fontId="0" fillId="2" borderId="46" xfId="0" applyNumberFormat="1" applyFill="1" applyBorder="1" applyAlignment="1">
      <alignment horizontal="center" vertical="center"/>
    </xf>
    <xf numFmtId="4" fontId="10" fillId="3" borderId="15" xfId="0" applyNumberFormat="1" applyFont="1" applyFill="1" applyBorder="1" applyAlignment="1">
      <alignment horizontal="center" vertical="center"/>
    </xf>
    <xf numFmtId="4" fontId="10" fillId="3" borderId="4" xfId="0" applyNumberFormat="1" applyFont="1" applyFill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14" xfId="0" applyNumberFormat="1" applyFont="1" applyFill="1" applyBorder="1" applyAlignment="1">
      <alignment horizontal="center" vertical="center"/>
    </xf>
    <xf numFmtId="167" fontId="0" fillId="0" borderId="41" xfId="0" applyNumberFormat="1" applyBorder="1" applyAlignment="1">
      <alignment horizontal="center" vertical="center"/>
    </xf>
    <xf numFmtId="165" fontId="5" fillId="0" borderId="42" xfId="0" applyNumberFormat="1" applyFont="1" applyBorder="1" applyAlignment="1">
      <alignment horizontal="center" vertical="center"/>
    </xf>
    <xf numFmtId="11" fontId="0" fillId="0" borderId="47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67" fontId="0" fillId="4" borderId="16" xfId="0" applyNumberFormat="1" applyFill="1" applyBorder="1" applyAlignment="1">
      <alignment horizontal="center" vertical="center"/>
    </xf>
    <xf numFmtId="167" fontId="5" fillId="0" borderId="16" xfId="0" applyNumberFormat="1" applyFont="1" applyBorder="1" applyAlignment="1">
      <alignment horizontal="center" vertical="center"/>
    </xf>
    <xf numFmtId="4" fontId="0" fillId="0" borderId="16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7" fontId="0" fillId="0" borderId="0" xfId="0" quotePrefix="1" applyNumberFormat="1" applyAlignment="1">
      <alignment horizontal="center" vertical="center"/>
    </xf>
    <xf numFmtId="167" fontId="4" fillId="4" borderId="15" xfId="0" applyNumberFormat="1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7" fillId="0" borderId="0" xfId="0" applyFont="1"/>
    <xf numFmtId="4" fontId="10" fillId="3" borderId="0" xfId="0" applyNumberFormat="1" applyFont="1" applyFill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3" borderId="12" xfId="0" applyNumberFormat="1" applyFont="1" applyFill="1" applyBorder="1" applyAlignment="1">
      <alignment horizontal="center" vertical="center"/>
    </xf>
    <xf numFmtId="167" fontId="0" fillId="0" borderId="43" xfId="0" applyNumberForma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1" fontId="0" fillId="0" borderId="4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4" fillId="4" borderId="13" xfId="0" applyNumberFormat="1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10" fillId="3" borderId="12" xfId="0" applyNumberFormat="1" applyFont="1" applyFill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4" fontId="10" fillId="3" borderId="9" xfId="0" applyNumberFormat="1" applyFont="1" applyFill="1" applyBorder="1" applyAlignment="1">
      <alignment horizontal="center" vertical="center"/>
    </xf>
    <xf numFmtId="167" fontId="0" fillId="0" borderId="44" xfId="0" applyNumberForma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11" fontId="0" fillId="0" borderId="44" xfId="0" applyNumberFormat="1" applyBorder="1" applyAlignment="1">
      <alignment horizontal="center" vertical="center"/>
    </xf>
    <xf numFmtId="167" fontId="0" fillId="4" borderId="45" xfId="0" applyNumberFormat="1" applyFill="1" applyBorder="1" applyAlignment="1">
      <alignment horizontal="center" vertical="center"/>
    </xf>
    <xf numFmtId="167" fontId="5" fillId="0" borderId="45" xfId="0" applyNumberFormat="1" applyFont="1" applyBorder="1" applyAlignment="1">
      <alignment horizontal="center" vertical="center"/>
    </xf>
    <xf numFmtId="4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7" fontId="4" fillId="4" borderId="11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quotePrefix="1"/>
    <xf numFmtId="0" fontId="18" fillId="0" borderId="0" xfId="0" applyFont="1"/>
    <xf numFmtId="0" fontId="17" fillId="0" borderId="0" xfId="0" applyFont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3" fontId="19" fillId="3" borderId="15" xfId="0" applyNumberFormat="1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/>
    </xf>
    <xf numFmtId="4" fontId="19" fillId="3" borderId="4" xfId="0" applyNumberFormat="1" applyFont="1" applyFill="1" applyBorder="1" applyAlignment="1">
      <alignment horizontal="center" vertical="center"/>
    </xf>
    <xf numFmtId="164" fontId="19" fillId="3" borderId="4" xfId="0" applyNumberFormat="1" applyFont="1" applyFill="1" applyBorder="1" applyAlignment="1">
      <alignment horizontal="center" vertical="center"/>
    </xf>
    <xf numFmtId="3" fontId="19" fillId="3" borderId="4" xfId="0" applyNumberFormat="1" applyFont="1" applyFill="1" applyBorder="1" applyAlignment="1">
      <alignment horizontal="center" vertical="center"/>
    </xf>
    <xf numFmtId="15" fontId="19" fillId="3" borderId="4" xfId="0" applyNumberFormat="1" applyFont="1" applyFill="1" applyBorder="1" applyAlignment="1">
      <alignment horizontal="center" vertical="center"/>
    </xf>
    <xf numFmtId="15" fontId="19" fillId="3" borderId="14" xfId="0" applyNumberFormat="1" applyFont="1" applyFill="1" applyBorder="1" applyAlignment="1">
      <alignment horizontal="center" vertical="center"/>
    </xf>
    <xf numFmtId="0" fontId="20" fillId="0" borderId="13" xfId="0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7" fillId="3" borderId="13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3" fontId="19" fillId="3" borderId="13" xfId="0" applyNumberFormat="1" applyFont="1" applyFill="1" applyBorder="1" applyAlignment="1">
      <alignment horizontal="center" vertical="center"/>
    </xf>
    <xf numFmtId="165" fontId="19" fillId="3" borderId="0" xfId="0" applyNumberFormat="1" applyFont="1" applyFill="1" applyAlignment="1">
      <alignment horizontal="center" vertical="center"/>
    </xf>
    <xf numFmtId="4" fontId="19" fillId="3" borderId="0" xfId="0" applyNumberFormat="1" applyFont="1" applyFill="1" applyAlignment="1">
      <alignment horizontal="center" vertical="center"/>
    </xf>
    <xf numFmtId="164" fontId="19" fillId="3" borderId="0" xfId="0" applyNumberFormat="1" applyFont="1" applyFill="1" applyAlignment="1">
      <alignment horizontal="center" vertical="center"/>
    </xf>
    <xf numFmtId="3" fontId="19" fillId="3" borderId="0" xfId="0" applyNumberFormat="1" applyFont="1" applyFill="1" applyAlignment="1">
      <alignment horizontal="center" vertical="center"/>
    </xf>
    <xf numFmtId="15" fontId="19" fillId="3" borderId="0" xfId="0" applyNumberFormat="1" applyFont="1" applyFill="1" applyAlignment="1">
      <alignment horizontal="center" vertical="center"/>
    </xf>
    <xf numFmtId="15" fontId="19" fillId="3" borderId="12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21" fillId="3" borderId="1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22" fillId="3" borderId="12" xfId="0" applyFont="1" applyFill="1" applyBorder="1" applyAlignment="1">
      <alignment horizontal="left" vertical="center"/>
    </xf>
    <xf numFmtId="3" fontId="19" fillId="3" borderId="3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3" fontId="19" fillId="3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3" fontId="19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67" fontId="21" fillId="3" borderId="15" xfId="0" applyNumberFormat="1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4" fontId="19" fillId="3" borderId="13" xfId="0" applyNumberFormat="1" applyFont="1" applyFill="1" applyBorder="1" applyAlignment="1">
      <alignment horizontal="center" vertical="center"/>
    </xf>
    <xf numFmtId="167" fontId="21" fillId="3" borderId="13" xfId="0" applyNumberFormat="1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167" fontId="23" fillId="3" borderId="3" xfId="0" applyNumberFormat="1" applyFont="1" applyFill="1" applyBorder="1" applyAlignment="1">
      <alignment horizontal="center" vertical="center"/>
    </xf>
    <xf numFmtId="166" fontId="19" fillId="3" borderId="13" xfId="0" applyNumberFormat="1" applyFont="1" applyFill="1" applyBorder="1" applyAlignment="1">
      <alignment horizontal="center" vertical="center"/>
    </xf>
    <xf numFmtId="4" fontId="0" fillId="6" borderId="3" xfId="0" applyNumberFormat="1" applyFill="1" applyBorder="1" applyAlignment="1">
      <alignment horizontal="center" vertical="center"/>
    </xf>
    <xf numFmtId="167" fontId="21" fillId="3" borderId="11" xfId="0" applyNumberFormat="1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4" fontId="0" fillId="6" borderId="2" xfId="0" applyNumberFormat="1" applyFill="1" applyBorder="1" applyAlignment="1">
      <alignment horizontal="center" vertical="center"/>
    </xf>
    <xf numFmtId="164" fontId="19" fillId="3" borderId="13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3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3" fontId="19" fillId="3" borderId="11" xfId="0" applyNumberFormat="1" applyFont="1" applyFill="1" applyBorder="1" applyAlignment="1">
      <alignment horizontal="center" vertical="center"/>
    </xf>
    <xf numFmtId="165" fontId="19" fillId="3" borderId="10" xfId="0" applyNumberFormat="1" applyFont="1" applyFill="1" applyBorder="1" applyAlignment="1">
      <alignment horizontal="center" vertical="center"/>
    </xf>
    <xf numFmtId="4" fontId="19" fillId="3" borderId="10" xfId="0" applyNumberFormat="1" applyFont="1" applyFill="1" applyBorder="1" applyAlignment="1">
      <alignment horizontal="center" vertical="center"/>
    </xf>
    <xf numFmtId="164" fontId="19" fillId="3" borderId="10" xfId="0" applyNumberFormat="1" applyFont="1" applyFill="1" applyBorder="1" applyAlignment="1">
      <alignment horizontal="center" vertical="center"/>
    </xf>
    <xf numFmtId="3" fontId="19" fillId="3" borderId="10" xfId="0" applyNumberFormat="1" applyFont="1" applyFill="1" applyBorder="1" applyAlignment="1">
      <alignment horizontal="center" vertical="center"/>
    </xf>
    <xf numFmtId="15" fontId="19" fillId="3" borderId="10" xfId="0" applyNumberFormat="1" applyFont="1" applyFill="1" applyBorder="1" applyAlignment="1">
      <alignment horizontal="center" vertical="center"/>
    </xf>
    <xf numFmtId="15" fontId="19" fillId="3" borderId="9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2" fillId="3" borderId="9" xfId="0" applyFont="1" applyFill="1" applyBorder="1" applyAlignment="1">
      <alignment horizontal="left" vertical="center"/>
    </xf>
    <xf numFmtId="0" fontId="17" fillId="7" borderId="49" xfId="0" applyFont="1" applyFill="1" applyBorder="1" applyAlignment="1">
      <alignment horizontal="center" vertical="center"/>
    </xf>
    <xf numFmtId="0" fontId="17" fillId="7" borderId="50" xfId="0" applyFont="1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164" fontId="0" fillId="7" borderId="51" xfId="0" applyNumberFormat="1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1" fontId="0" fillId="4" borderId="5" xfId="0" applyNumberForma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4" fontId="17" fillId="0" borderId="0" xfId="0" applyNumberFormat="1" applyFont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/>
    <xf numFmtId="3" fontId="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3" fontId="2" fillId="5" borderId="3" xfId="0" applyNumberFormat="1" applyFont="1" applyFill="1" applyBorder="1" applyAlignment="1">
      <alignment horizontal="center"/>
    </xf>
    <xf numFmtId="4" fontId="2" fillId="5" borderId="0" xfId="0" applyNumberFormat="1" applyFont="1" applyFill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4" fontId="0" fillId="0" borderId="0" xfId="0" applyNumberFormat="1" applyBorder="1" applyAlignment="1">
      <alignment horizontal="center" vertical="center"/>
    </xf>
    <xf numFmtId="4" fontId="0" fillId="3" borderId="11" xfId="0" applyNumberFormat="1" applyFill="1" applyBorder="1" applyAlignment="1">
      <alignment horizontal="center" vertical="center"/>
    </xf>
    <xf numFmtId="4" fontId="0" fillId="3" borderId="13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4" fontId="0" fillId="3" borderId="1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3" borderId="4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4" fontId="0" fillId="8" borderId="10" xfId="0" applyNumberFormat="1" applyFill="1" applyBorder="1" applyAlignment="1">
      <alignment horizontal="center" vertic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3" fontId="0" fillId="2" borderId="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165" fontId="0" fillId="0" borderId="0" xfId="0" applyNumberFormat="1" applyBorder="1" applyAlignment="1">
      <alignment horizontal="center" vertical="center"/>
    </xf>
    <xf numFmtId="10" fontId="0" fillId="3" borderId="10" xfId="0" applyNumberFormat="1" applyFill="1" applyBorder="1" applyAlignment="1">
      <alignment horizontal="center" vertical="center"/>
    </xf>
    <xf numFmtId="10" fontId="0" fillId="3" borderId="0" xfId="0" applyNumberFormat="1" applyFill="1" applyBorder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10" fontId="0" fillId="3" borderId="11" xfId="0" applyNumberFormat="1" applyFill="1" applyBorder="1" applyAlignment="1">
      <alignment horizontal="center" vertical="center"/>
    </xf>
    <xf numFmtId="10" fontId="0" fillId="3" borderId="13" xfId="0" applyNumberFormat="1" applyFill="1" applyBorder="1" applyAlignment="1">
      <alignment horizontal="center" vertical="center"/>
    </xf>
    <xf numFmtId="10" fontId="0" fillId="3" borderId="15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left" vertical="center"/>
    </xf>
    <xf numFmtId="4" fontId="0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SOFR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'IR Yield Curve'!$AD$24:$AD$34</c:f>
              <c:numCache>
                <c:formatCode>#,##0.00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'IR Yield Curve'!$AE$24:$AE$34</c:f>
              <c:numCache>
                <c:formatCode>0.00000%</c:formatCode>
                <c:ptCount val="11"/>
                <c:pt idx="0">
                  <c:v>4.7412179981582654E-2</c:v>
                </c:pt>
                <c:pt idx="1">
                  <c:v>4.4297700000000037E-2</c:v>
                </c:pt>
                <c:pt idx="2">
                  <c:v>4.118322001841742E-2</c:v>
                </c:pt>
                <c:pt idx="3">
                  <c:v>3.9102414838936221E-2</c:v>
                </c:pt>
                <c:pt idx="4">
                  <c:v>3.7885484953529648E-2</c:v>
                </c:pt>
                <c:pt idx="5">
                  <c:v>3.7348384624779976E-2</c:v>
                </c:pt>
                <c:pt idx="6">
                  <c:v>3.7295627680444789E-2</c:v>
                </c:pt>
                <c:pt idx="7">
                  <c:v>3.7128176164857161E-2</c:v>
                </c:pt>
                <c:pt idx="8">
                  <c:v>3.7445915736878665E-2</c:v>
                </c:pt>
                <c:pt idx="9">
                  <c:v>3.7912696548201001E-2</c:v>
                </c:pt>
                <c:pt idx="10">
                  <c:v>3.8228035792041849E-2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F1-455A-A416-785C5D5AC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43968"/>
        <c:axId val="129845504"/>
      </c:lineChart>
      <c:catAx>
        <c:axId val="12984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in Y</a:t>
                </a:r>
                <a:r>
                  <a:rPr lang="en-GB"/>
                  <a:t>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5504"/>
        <c:crosses val="autoZero"/>
        <c:auto val="1"/>
        <c:lblAlgn val="ctr"/>
        <c:lblOffset val="100"/>
        <c:noMultiLvlLbl val="0"/>
      </c:catAx>
      <c:valAx>
        <c:axId val="129845504"/>
        <c:scaling>
          <c:orientation val="minMax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Rate, %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AAPL'!$T$23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AAPL'!$S$24:$S$35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AAPL'!$T$24:$T$35</c:f>
              <c:numCache>
                <c:formatCode>0.0000%</c:formatCode>
                <c:ptCount val="12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MSFT'!$T$23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MSFT'!$S$24:$S$35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MSFT'!$T$24:$T$35</c:f>
              <c:numCache>
                <c:formatCode>0.0000%</c:formatCode>
                <c:ptCount val="12"/>
                <c:pt idx="0">
                  <c:v>5.8333333333333336E-3</c:v>
                </c:pt>
                <c:pt idx="1">
                  <c:v>5.8333333333333336E-3</c:v>
                </c:pt>
                <c:pt idx="2">
                  <c:v>5.8333333333333336E-3</c:v>
                </c:pt>
                <c:pt idx="3">
                  <c:v>5.8333333333333336E-3</c:v>
                </c:pt>
                <c:pt idx="4">
                  <c:v>5.8333333333333336E-3</c:v>
                </c:pt>
                <c:pt idx="5">
                  <c:v>5.8333333333333336E-3</c:v>
                </c:pt>
                <c:pt idx="6">
                  <c:v>5.8333333333333336E-3</c:v>
                </c:pt>
                <c:pt idx="7">
                  <c:v>5.8333333333333336E-3</c:v>
                </c:pt>
                <c:pt idx="8">
                  <c:v>5.8333333333333336E-3</c:v>
                </c:pt>
                <c:pt idx="9">
                  <c:v>5.8333333333333336E-3</c:v>
                </c:pt>
                <c:pt idx="10">
                  <c:v>5.8333333333333336E-3</c:v>
                </c:pt>
                <c:pt idx="11">
                  <c:v>5.8333333333333336E-3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0-4A86-AE70-EDEDC803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 NVDA'!$T$23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 NVDA'!$S$24:$S$35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 NVDA'!$T$24:$T$35</c:f>
              <c:numCache>
                <c:formatCode>0.0000%</c:formatCode>
                <c:ptCount val="12"/>
                <c:pt idx="0">
                  <c:v>7.4999999999999997E-3</c:v>
                </c:pt>
                <c:pt idx="1">
                  <c:v>7.4999999999999997E-3</c:v>
                </c:pt>
                <c:pt idx="2">
                  <c:v>7.4999999999999997E-3</c:v>
                </c:pt>
                <c:pt idx="3">
                  <c:v>7.4999999999999997E-3</c:v>
                </c:pt>
                <c:pt idx="4">
                  <c:v>7.4999999999999997E-3</c:v>
                </c:pt>
                <c:pt idx="5">
                  <c:v>7.4999999999999997E-3</c:v>
                </c:pt>
                <c:pt idx="6">
                  <c:v>7.4999999999999997E-3</c:v>
                </c:pt>
                <c:pt idx="7">
                  <c:v>7.4999999999999997E-3</c:v>
                </c:pt>
                <c:pt idx="8">
                  <c:v>7.4999999999999997E-3</c:v>
                </c:pt>
                <c:pt idx="9">
                  <c:v>7.4999999999999997E-3</c:v>
                </c:pt>
                <c:pt idx="10">
                  <c:v>7.4999999999999997E-3</c:v>
                </c:pt>
                <c:pt idx="11">
                  <c:v>7.4999999999999997E-3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5-41CF-BC4D-0E325D957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85725</xdr:colOff>
      <xdr:row>2</xdr:row>
      <xdr:rowOff>28575</xdr:rowOff>
    </xdr:from>
    <xdr:to>
      <xdr:col>36</xdr:col>
      <xdr:colOff>657226</xdr:colOff>
      <xdr:row>16</xdr:row>
      <xdr:rowOff>219075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F4BB8D-2DED-4527-AB62-3F59E49C2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7620</xdr:rowOff>
        </xdr:from>
        <xdr:to>
          <xdr:col>27</xdr:col>
          <xdr:colOff>297180</xdr:colOff>
          <xdr:row>29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352425</xdr:colOff>
      <xdr:row>1</xdr:row>
      <xdr:rowOff>66675</xdr:rowOff>
    </xdr:from>
    <xdr:to>
      <xdr:col>49</xdr:col>
      <xdr:colOff>496044</xdr:colOff>
      <xdr:row>5</xdr:row>
      <xdr:rowOff>156987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CDC997-CC29-4E32-BA03-ADB6AE770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98025" y="257175"/>
          <a:ext cx="1362819" cy="938037"/>
        </a:xfrm>
        <a:prstGeom prst="rect">
          <a:avLst/>
        </a:prstGeom>
      </xdr:spPr>
    </xdr:pic>
    <xdr:clientData/>
  </xdr:twoCellAnchor>
  <xdr:twoCellAnchor>
    <xdr:from>
      <xdr:col>53</xdr:col>
      <xdr:colOff>57150</xdr:colOff>
      <xdr:row>2</xdr:row>
      <xdr:rowOff>9525</xdr:rowOff>
    </xdr:from>
    <xdr:to>
      <xdr:col>70</xdr:col>
      <xdr:colOff>600076</xdr:colOff>
      <xdr:row>33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8798C3-AEBD-4F8A-900B-FD4C844C1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83675" y="390525"/>
          <a:ext cx="10906126" cy="6867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Swap">
      <xdr:nvPicPr>
        <xdr:cNvPr id="2" name="Picture 1">
          <a:extLst>
            <a:ext uri="{FF2B5EF4-FFF2-40B4-BE49-F238E27FC236}">
              <a16:creationId xmlns:a16="http://schemas.microsoft.com/office/drawing/2014/main" id="{72A489EF-9209-43FC-B352-1ACFF166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9200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BD97F8-989C-45A4-AF7D-84F10918E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163830</xdr:rowOff>
    </xdr:from>
    <xdr:to>
      <xdr:col>21</xdr:col>
      <xdr:colOff>998220</xdr:colOff>
      <xdr:row>37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2EFC67-97E9-4183-8E70-8098ECA77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3" name="Picture 2">
          <a:extLst>
            <a:ext uri="{FF2B5EF4-FFF2-40B4-BE49-F238E27FC236}">
              <a16:creationId xmlns:a16="http://schemas.microsoft.com/office/drawing/2014/main" id="{8F3B569E-10AD-46CB-ADCB-DF6BD1608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647700</xdr:colOff>
      <xdr:row>0</xdr:row>
      <xdr:rowOff>133349</xdr:rowOff>
    </xdr:from>
    <xdr:ext cx="277988" cy="304891"/>
    <xdr:pic macro="[0]!UpdateCDS">
      <xdr:nvPicPr>
        <xdr:cNvPr id="2" name="Picture 1">
          <a:extLst>
            <a:ext uri="{FF2B5EF4-FFF2-40B4-BE49-F238E27FC236}">
              <a16:creationId xmlns:a16="http://schemas.microsoft.com/office/drawing/2014/main" id="{143632D6-B191-400F-95E6-F1941DDE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3460" y="133349"/>
          <a:ext cx="277988" cy="30489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0575-0136-4FF7-90C7-E42BA661CFDF}">
  <sheetPr codeName="Sheet7">
    <tabColor theme="8" tint="0.39997558519241921"/>
  </sheetPr>
  <dimension ref="A1:BT59"/>
  <sheetViews>
    <sheetView showGridLines="0" topLeftCell="K1" zoomScaleNormal="100" workbookViewId="0">
      <selection activeCell="K1" sqref="K1"/>
    </sheetView>
  </sheetViews>
  <sheetFormatPr defaultRowHeight="14.4" outlineLevelCol="1" x14ac:dyDescent="0.3"/>
  <cols>
    <col min="1" max="10" width="9.109375" hidden="1" customWidth="1" outlineLevel="1"/>
    <col min="11" max="11" width="9.109375" customWidth="1" collapsed="1"/>
    <col min="13" max="13" width="10.6640625" bestFit="1" customWidth="1"/>
    <col min="14" max="14" width="9.88671875" bestFit="1" customWidth="1"/>
    <col min="16" max="16" width="11.109375" bestFit="1" customWidth="1"/>
    <col min="17" max="17" width="9.88671875" bestFit="1" customWidth="1"/>
    <col min="21" max="21" width="9.109375" customWidth="1"/>
    <col min="22" max="22" width="10.109375" bestFit="1" customWidth="1"/>
    <col min="23" max="23" width="9.88671875" bestFit="1" customWidth="1"/>
    <col min="24" max="25" width="9.5546875" customWidth="1"/>
    <col min="28" max="28" width="15" bestFit="1" customWidth="1"/>
    <col min="29" max="29" width="10.109375" customWidth="1"/>
    <col min="30" max="30" width="9.109375" customWidth="1" outlineLevel="1"/>
    <col min="31" max="31" width="9.33203125" customWidth="1" outlineLevel="1"/>
    <col min="32" max="33" width="10.109375" customWidth="1" outlineLevel="1"/>
    <col min="34" max="34" width="9.109375" customWidth="1" outlineLevel="1"/>
    <col min="35" max="35" width="9.33203125" customWidth="1" outlineLevel="1"/>
    <col min="36" max="36" width="10.6640625" customWidth="1" outlineLevel="1"/>
    <col min="37" max="38" width="10.88671875" customWidth="1" outlineLevel="1"/>
    <col min="39" max="39" width="15.5546875" bestFit="1" customWidth="1"/>
    <col min="40" max="40" width="9.109375" customWidth="1"/>
    <col min="41" max="45" width="9.109375" hidden="1" customWidth="1" outlineLevel="1"/>
    <col min="46" max="46" width="11.109375" hidden="1" customWidth="1" outlineLevel="1"/>
    <col min="47" max="51" width="9.109375" hidden="1" customWidth="1" outlineLevel="1"/>
    <col min="52" max="52" width="14.33203125" bestFit="1" customWidth="1" collapsed="1"/>
    <col min="54" max="71" width="9.109375" hidden="1" customWidth="1" outlineLevel="1"/>
    <col min="72" max="72" width="9" customWidth="1" collapsed="1"/>
  </cols>
  <sheetData>
    <row r="1" spans="2:72" x14ac:dyDescent="0.3">
      <c r="K1" s="263"/>
      <c r="AM1" s="124" t="s">
        <v>324</v>
      </c>
      <c r="AZ1" s="124" t="s">
        <v>323</v>
      </c>
      <c r="BT1" s="124" t="s">
        <v>328</v>
      </c>
    </row>
    <row r="2" spans="2:72" x14ac:dyDescent="0.3">
      <c r="K2" s="263"/>
      <c r="L2" t="s">
        <v>326</v>
      </c>
      <c r="M2" s="339">
        <f ca="1">TODAY()</f>
        <v>46062</v>
      </c>
      <c r="AM2" s="124" t="s">
        <v>23</v>
      </c>
    </row>
    <row r="3" spans="2:72" x14ac:dyDescent="0.3">
      <c r="B3" s="1" t="s">
        <v>261</v>
      </c>
      <c r="Q3" s="1" t="s">
        <v>259</v>
      </c>
      <c r="S3" s="1"/>
      <c r="T3" s="1"/>
      <c r="V3" s="56" t="s">
        <v>258</v>
      </c>
      <c r="X3" s="2" t="s">
        <v>43</v>
      </c>
      <c r="Z3" s="1" t="s">
        <v>257</v>
      </c>
      <c r="AP3" s="1" t="s">
        <v>256</v>
      </c>
    </row>
    <row r="4" spans="2:72" ht="16.8" x14ac:dyDescent="0.35">
      <c r="B4" t="s">
        <v>254</v>
      </c>
      <c r="L4" s="55" t="s">
        <v>260</v>
      </c>
      <c r="Q4" t="s">
        <v>44</v>
      </c>
      <c r="T4" s="1"/>
      <c r="V4" s="57">
        <v>1E-8</v>
      </c>
      <c r="X4" s="58">
        <f>SQRT(SUMPRODUCT(X8:X17,X8:X17))</f>
        <v>2.7777025060633522E-10</v>
      </c>
      <c r="Z4" t="s">
        <v>252</v>
      </c>
      <c r="AP4" t="s">
        <v>251</v>
      </c>
    </row>
    <row r="5" spans="2:72" ht="15.6" x14ac:dyDescent="0.35">
      <c r="B5" t="s">
        <v>250</v>
      </c>
      <c r="L5" t="s">
        <v>253</v>
      </c>
      <c r="AP5" s="262" t="s">
        <v>249</v>
      </c>
    </row>
    <row r="6" spans="2:72" x14ac:dyDescent="0.3">
      <c r="B6" t="s">
        <v>248</v>
      </c>
      <c r="Q6" s="43" t="s">
        <v>247</v>
      </c>
      <c r="S6" s="1"/>
      <c r="V6" s="56" t="s">
        <v>246</v>
      </c>
      <c r="X6" s="2"/>
    </row>
    <row r="7" spans="2:72" ht="16.2" x14ac:dyDescent="0.3">
      <c r="B7" t="s">
        <v>245</v>
      </c>
      <c r="K7" s="202"/>
      <c r="L7" s="2" t="s">
        <v>10</v>
      </c>
      <c r="M7" s="2" t="s">
        <v>244</v>
      </c>
      <c r="N7" s="202"/>
      <c r="Q7" s="2" t="s">
        <v>203</v>
      </c>
      <c r="R7" s="54" t="s">
        <v>30</v>
      </c>
      <c r="S7" s="54" t="s">
        <v>21</v>
      </c>
      <c r="T7" s="54" t="s">
        <v>45</v>
      </c>
      <c r="U7" s="54" t="s">
        <v>46</v>
      </c>
      <c r="V7" s="2" t="s">
        <v>31</v>
      </c>
      <c r="W7" s="54" t="s">
        <v>47</v>
      </c>
      <c r="X7" s="59" t="s">
        <v>29</v>
      </c>
      <c r="Z7" s="2" t="s">
        <v>21</v>
      </c>
      <c r="AA7" s="2" t="s">
        <v>22</v>
      </c>
      <c r="AB7" s="261" t="s">
        <v>243</v>
      </c>
      <c r="AC7" s="2"/>
      <c r="AO7" s="39" t="s">
        <v>242</v>
      </c>
      <c r="AP7" s="2" t="s">
        <v>237</v>
      </c>
      <c r="AQ7" s="2" t="s">
        <v>234</v>
      </c>
      <c r="AR7" s="2" t="s">
        <v>231</v>
      </c>
      <c r="AS7" s="2" t="s">
        <v>228</v>
      </c>
      <c r="AT7" s="2" t="s">
        <v>226</v>
      </c>
      <c r="AU7" s="2" t="s">
        <v>223</v>
      </c>
      <c r="AV7" s="2" t="s">
        <v>241</v>
      </c>
      <c r="AW7" s="2" t="s">
        <v>217</v>
      </c>
      <c r="AX7" s="2" t="s">
        <v>214</v>
      </c>
      <c r="AY7" s="2" t="s">
        <v>211</v>
      </c>
      <c r="AZ7" s="2"/>
    </row>
    <row r="8" spans="2:72" ht="16.2" x14ac:dyDescent="0.3">
      <c r="B8" t="s">
        <v>239</v>
      </c>
      <c r="K8" s="235">
        <v>1</v>
      </c>
      <c r="L8" s="260" t="s">
        <v>11</v>
      </c>
      <c r="M8" s="259">
        <v>4.4297700000000037E-2</v>
      </c>
      <c r="N8" s="202"/>
      <c r="Q8" s="258" t="s">
        <v>186</v>
      </c>
      <c r="R8" s="257" t="str">
        <f t="shared" ref="R8:R17" si="0">L8</f>
        <v>1Y</v>
      </c>
      <c r="S8" s="256">
        <v>1</v>
      </c>
      <c r="T8" s="255">
        <f t="array" ref="T8:T17">U8:U17-MMULT(AP25:AY34,W8:W17)</f>
        <v>4.4297700000000037E-2</v>
      </c>
      <c r="U8" s="211">
        <v>4.4297700000000037E-2</v>
      </c>
      <c r="V8" s="254">
        <v>0.04</v>
      </c>
      <c r="W8" s="211">
        <f>(SUMPRODUCT($U$8:$U8,$AA$8:$AA8)/SUM($AA$8:$AA8))-$M8</f>
        <v>0</v>
      </c>
      <c r="X8" s="253">
        <f t="shared" ref="X8:X17" si="1">T8-U8</f>
        <v>0</v>
      </c>
      <c r="Z8" s="252">
        <v>1</v>
      </c>
      <c r="AA8" s="251">
        <f t="shared" ref="AA8:AA17" si="2">EXP(-AB8)</f>
        <v>0.95518051063522103</v>
      </c>
      <c r="AB8" s="250" cm="1">
        <f t="array" ref="AB8">integrate($S$8:$S$17,Xn,0,Z8)</f>
        <v>4.5854939990791349E-2</v>
      </c>
      <c r="AC8" s="17"/>
      <c r="AO8" s="2" t="s">
        <v>238</v>
      </c>
      <c r="AP8" s="249">
        <f>$AA$8/SUM($AA$8:$AA8)</f>
        <v>1</v>
      </c>
      <c r="AQ8" s="248">
        <v>0</v>
      </c>
      <c r="AR8" s="248">
        <v>0</v>
      </c>
      <c r="AS8" s="248">
        <v>0</v>
      </c>
      <c r="AT8" s="248">
        <v>0</v>
      </c>
      <c r="AU8" s="248">
        <v>0</v>
      </c>
      <c r="AV8" s="248">
        <v>0</v>
      </c>
      <c r="AW8" s="248">
        <v>0</v>
      </c>
      <c r="AX8" s="248">
        <v>0</v>
      </c>
      <c r="AY8" s="80">
        <v>0</v>
      </c>
      <c r="AZ8" s="17"/>
    </row>
    <row r="9" spans="2:72" ht="16.2" x14ac:dyDescent="0.3">
      <c r="B9" t="s">
        <v>236</v>
      </c>
      <c r="K9" s="235">
        <v>2</v>
      </c>
      <c r="L9" s="245" t="s">
        <v>12</v>
      </c>
      <c r="M9" s="244">
        <v>4.2773700000000033E-2</v>
      </c>
      <c r="N9" s="202"/>
      <c r="Q9" s="243" t="s">
        <v>186</v>
      </c>
      <c r="R9" s="2" t="str">
        <f t="shared" si="0"/>
        <v>2Y</v>
      </c>
      <c r="S9" s="17">
        <v>2</v>
      </c>
      <c r="T9" s="60">
        <v>4.1183220015866169E-2</v>
      </c>
      <c r="U9" s="45">
        <v>4.118322001841742E-2</v>
      </c>
      <c r="V9" s="61">
        <v>0.04</v>
      </c>
      <c r="W9" s="45">
        <f>(SUMPRODUCT($U$8:$U9,$AA$8:$AA9)/SUM($AA$8:$AA9))-$M9</f>
        <v>1.2483972189336612E-12</v>
      </c>
      <c r="X9" s="242">
        <f t="shared" si="1"/>
        <v>-2.5512508772251863E-12</v>
      </c>
      <c r="Z9" s="12">
        <v>2</v>
      </c>
      <c r="AA9" s="241">
        <f t="shared" si="2"/>
        <v>0.91525521397921195</v>
      </c>
      <c r="AB9" s="240" cm="1">
        <f t="array" ref="AB9">integrate($S$8:$S$17,Xn,0,Z9)</f>
        <v>8.8552330216579184E-2</v>
      </c>
      <c r="AC9" s="17"/>
      <c r="AO9" s="2" t="s">
        <v>235</v>
      </c>
      <c r="AP9" s="247">
        <f>$AA$8/SUM($AA$8:$AA9)</f>
        <v>0.51067272618101833</v>
      </c>
      <c r="AQ9" s="236">
        <f>$AA$9/SUM($AA$8:$AA9)</f>
        <v>0.48932727381898161</v>
      </c>
      <c r="AR9" s="17">
        <v>0</v>
      </c>
      <c r="AS9" s="17">
        <v>0</v>
      </c>
      <c r="AT9" s="17">
        <v>0</v>
      </c>
      <c r="AU9" s="17">
        <v>0</v>
      </c>
      <c r="AV9" s="17">
        <v>0</v>
      </c>
      <c r="AW9" s="17">
        <v>0</v>
      </c>
      <c r="AX9" s="17">
        <v>0</v>
      </c>
      <c r="AY9" s="81">
        <v>0</v>
      </c>
      <c r="AZ9" s="17"/>
    </row>
    <row r="10" spans="2:72" ht="16.2" x14ac:dyDescent="0.3">
      <c r="B10" t="s">
        <v>233</v>
      </c>
      <c r="K10" s="235">
        <v>3</v>
      </c>
      <c r="L10" s="245" t="s">
        <v>13</v>
      </c>
      <c r="M10" s="244">
        <v>4.1599700000000024E-2</v>
      </c>
      <c r="N10" s="202"/>
      <c r="O10" s="202"/>
      <c r="Q10" s="243" t="s">
        <v>186</v>
      </c>
      <c r="R10" s="2" t="str">
        <f t="shared" si="0"/>
        <v>3Y</v>
      </c>
      <c r="S10" s="17">
        <v>3</v>
      </c>
      <c r="T10" s="60">
        <v>3.910241481456523E-2</v>
      </c>
      <c r="U10" s="45">
        <v>3.9102414838936221E-2</v>
      </c>
      <c r="V10" s="61">
        <v>0.04</v>
      </c>
      <c r="W10" s="45">
        <f>(SUMPRODUCT($U$8:$U10,$AA$8:$AA10)/SUM($AA$8:$AA10))-$M10</f>
        <v>8.6425172574067233E-12</v>
      </c>
      <c r="X10" s="242">
        <f t="shared" si="1"/>
        <v>-2.4370991336120085E-11</v>
      </c>
      <c r="Z10" s="12">
        <v>3</v>
      </c>
      <c r="AA10" s="241">
        <f t="shared" si="2"/>
        <v>0.87931148332785924</v>
      </c>
      <c r="AB10" s="240" cm="1">
        <f t="array" ref="AB10">integrate($S$8:$S$17,Xn,0,Z10)</f>
        <v>0.12861608305791533</v>
      </c>
      <c r="AC10" s="17"/>
      <c r="AO10" s="2" t="s">
        <v>232</v>
      </c>
      <c r="AP10" s="247">
        <f>$AA$8/SUM($AA$8:$AA10)</f>
        <v>0.34737029930471597</v>
      </c>
      <c r="AQ10" s="236">
        <f>$AA$9/SUM($AA$8:$AA10)</f>
        <v>0.33285067490408382</v>
      </c>
      <c r="AR10" s="236">
        <f>$AA$10/SUM($AA$8:$AA10)</f>
        <v>0.31977902579120032</v>
      </c>
      <c r="AS10" s="17">
        <v>0</v>
      </c>
      <c r="AT10" s="17">
        <v>0</v>
      </c>
      <c r="AU10" s="17">
        <v>0</v>
      </c>
      <c r="AV10" s="17">
        <v>0</v>
      </c>
      <c r="AW10" s="17">
        <v>0</v>
      </c>
      <c r="AX10" s="17">
        <v>0</v>
      </c>
      <c r="AY10" s="81">
        <v>0</v>
      </c>
      <c r="AZ10" s="17"/>
    </row>
    <row r="11" spans="2:72" ht="16.2" x14ac:dyDescent="0.3">
      <c r="B11" t="s">
        <v>230</v>
      </c>
      <c r="K11" s="235">
        <v>4</v>
      </c>
      <c r="L11" s="245" t="s">
        <v>14</v>
      </c>
      <c r="M11" s="244">
        <v>4.0725700000000017E-2</v>
      </c>
      <c r="N11" s="202"/>
      <c r="O11" s="202"/>
      <c r="Q11" s="243" t="s">
        <v>186</v>
      </c>
      <c r="R11" s="2" t="str">
        <f t="shared" si="0"/>
        <v>4Y</v>
      </c>
      <c r="S11" s="17">
        <v>4</v>
      </c>
      <c r="T11" s="60">
        <v>3.7885484891709405E-2</v>
      </c>
      <c r="U11" s="45">
        <v>3.7885484953529648E-2</v>
      </c>
      <c r="V11" s="61">
        <v>0.04</v>
      </c>
      <c r="W11" s="45">
        <f>(SUMPRODUCT($U$8:$U11,$AA$8:$AA11)/SUM($AA$8:$AA11))-$M11</f>
        <v>2.1155882601320286E-11</v>
      </c>
      <c r="X11" s="242">
        <f t="shared" si="1"/>
        <v>-6.182024336887082E-11</v>
      </c>
      <c r="Z11" s="12">
        <v>4</v>
      </c>
      <c r="AA11" s="241">
        <f t="shared" si="2"/>
        <v>0.84616093081343713</v>
      </c>
      <c r="AB11" s="240" cm="1">
        <f t="array" ref="AB11">integrate($S$8:$S$17,Xn,0,Z11)</f>
        <v>0.16704571191870113</v>
      </c>
      <c r="AC11" s="17"/>
      <c r="AO11" s="2" t="s">
        <v>229</v>
      </c>
      <c r="AP11" s="247">
        <f>$AA$8/SUM($AA$8:$AA11)</f>
        <v>0.26562984196969402</v>
      </c>
      <c r="AQ11" s="236">
        <f>$AA$9/SUM($AA$8:$AA11)</f>
        <v>0.25452686182798662</v>
      </c>
      <c r="AR11" s="236">
        <f>$AA$10/SUM($AA$8:$AA11)</f>
        <v>0.24453113077358038</v>
      </c>
      <c r="AS11" s="236">
        <f>$AA$11/SUM($AA$8:$AA11)</f>
        <v>0.23531216542873901</v>
      </c>
      <c r="AT11" s="17">
        <v>0</v>
      </c>
      <c r="AU11" s="17">
        <v>0</v>
      </c>
      <c r="AV11" s="17">
        <v>0</v>
      </c>
      <c r="AW11" s="17">
        <v>0</v>
      </c>
      <c r="AX11" s="17">
        <v>0</v>
      </c>
      <c r="AY11" s="81">
        <v>0</v>
      </c>
      <c r="AZ11" s="17"/>
    </row>
    <row r="12" spans="2:72" ht="16.2" x14ac:dyDescent="0.3">
      <c r="K12" s="235">
        <v>5</v>
      </c>
      <c r="L12" s="245" t="s">
        <v>15</v>
      </c>
      <c r="M12" s="244">
        <v>4.0101699999999997E-2</v>
      </c>
      <c r="N12" s="202"/>
      <c r="O12" s="202"/>
      <c r="Q12" s="243" t="s">
        <v>186</v>
      </c>
      <c r="R12" s="2" t="str">
        <f t="shared" si="0"/>
        <v>5Y</v>
      </c>
      <c r="S12" s="17">
        <v>5</v>
      </c>
      <c r="T12" s="60">
        <v>3.7348384560765391E-2</v>
      </c>
      <c r="U12" s="45">
        <v>3.7348384624779976E-2</v>
      </c>
      <c r="V12" s="61">
        <v>0.04</v>
      </c>
      <c r="W12" s="45">
        <f>(SUMPRODUCT($U$8:$U12,$AA$8:$AA12)/SUM($AA$8:$AA12))-$M12</f>
        <v>2.9074548324459215E-11</v>
      </c>
      <c r="X12" s="242">
        <f t="shared" si="1"/>
        <v>-6.4014585299254634E-11</v>
      </c>
      <c r="Z12" s="12">
        <v>5</v>
      </c>
      <c r="AA12" s="241">
        <f t="shared" si="2"/>
        <v>0.81496171728417521</v>
      </c>
      <c r="AB12" s="240" cm="1">
        <f t="array" ref="AB12">integrate($S$8:$S$17,Xn,0,Z12)</f>
        <v>0.20461413950197796</v>
      </c>
      <c r="AC12" s="17"/>
      <c r="AO12" s="2" t="s">
        <v>227</v>
      </c>
      <c r="AP12" s="247">
        <f>$AA$8/SUM($AA$8:$AA12)</f>
        <v>0.21655150612237414</v>
      </c>
      <c r="AQ12" s="236">
        <f>$AA$9/SUM($AA$8:$AA12)</f>
        <v>0.20749993625994931</v>
      </c>
      <c r="AR12" s="236">
        <f>$AA$10/SUM($AA$8:$AA12)</f>
        <v>0.19935103778312524</v>
      </c>
      <c r="AS12" s="236">
        <f>$AA$11/SUM($AA$8:$AA12)</f>
        <v>0.19183538812752993</v>
      </c>
      <c r="AT12" s="236">
        <f>$AA$12/SUM($AA$8:$AA12)</f>
        <v>0.18476213170702135</v>
      </c>
      <c r="AU12" s="17">
        <v>0</v>
      </c>
      <c r="AV12" s="17">
        <v>0</v>
      </c>
      <c r="AW12" s="17">
        <v>0</v>
      </c>
      <c r="AX12" s="17">
        <v>0</v>
      </c>
      <c r="AY12" s="81">
        <v>0</v>
      </c>
      <c r="AZ12" s="17"/>
    </row>
    <row r="13" spans="2:72" ht="16.2" x14ac:dyDescent="0.3">
      <c r="B13" s="1" t="s">
        <v>225</v>
      </c>
      <c r="K13" s="235">
        <v>6</v>
      </c>
      <c r="L13" s="245" t="s">
        <v>193</v>
      </c>
      <c r="M13" s="244">
        <v>3.9677700000000003E-2</v>
      </c>
      <c r="N13" s="202"/>
      <c r="O13" s="202"/>
      <c r="Q13" s="243" t="s">
        <v>186</v>
      </c>
      <c r="R13" s="2" t="str">
        <f t="shared" si="0"/>
        <v>6Y</v>
      </c>
      <c r="S13" s="17">
        <v>6</v>
      </c>
      <c r="T13" s="60">
        <v>3.7295627668963979E-2</v>
      </c>
      <c r="U13" s="45">
        <v>3.7295627680444789E-2</v>
      </c>
      <c r="V13" s="61">
        <v>0.04</v>
      </c>
      <c r="W13" s="45">
        <f>(SUMPRODUCT($U$8:$U13,$AA$8:$AA13)/SUM($AA$8:$AA13))-$M13</f>
        <v>2.6416119291994278E-11</v>
      </c>
      <c r="X13" s="242">
        <f t="shared" si="1"/>
        <v>-1.148080935875484E-11</v>
      </c>
      <c r="Z13" s="12">
        <v>6</v>
      </c>
      <c r="AA13" s="241">
        <f t="shared" si="2"/>
        <v>0.78511840072776184</v>
      </c>
      <c r="AB13" s="240" cm="1">
        <f t="array" ref="AB13">integrate($S$8:$S$17,Xn,0,Z13)</f>
        <v>0.24192074362070859</v>
      </c>
      <c r="AC13" s="17"/>
      <c r="AO13" s="2" t="s">
        <v>224</v>
      </c>
      <c r="AP13" s="239">
        <f>$AA$8/SUM($AA$8:$AA13)</f>
        <v>0.18383038287107717</v>
      </c>
      <c r="AQ13" s="238">
        <f>$AA$9/SUM($AA$8:$AA13)</f>
        <v>0.17614651318488087</v>
      </c>
      <c r="AR13" s="238">
        <f>$AA$10/SUM($AA$8:$AA13)</f>
        <v>0.16922892044310808</v>
      </c>
      <c r="AS13" s="238">
        <f>$AA$11/SUM($AA$8:$AA13)</f>
        <v>0.16284889206809314</v>
      </c>
      <c r="AT13" s="238">
        <f>$AA$12/SUM($AA$8:$AA13)</f>
        <v>0.15684441092081078</v>
      </c>
      <c r="AU13" s="236">
        <f>$AA$13/SUM($AA$8:$AA13)</f>
        <v>0.15110088051202994</v>
      </c>
      <c r="AV13" s="17">
        <v>0</v>
      </c>
      <c r="AW13" s="17">
        <v>0</v>
      </c>
      <c r="AX13" s="17">
        <v>0</v>
      </c>
      <c r="AY13" s="81">
        <v>0</v>
      </c>
      <c r="AZ13" s="17"/>
    </row>
    <row r="14" spans="2:72" ht="16.2" x14ac:dyDescent="0.3">
      <c r="B14" t="s">
        <v>222</v>
      </c>
      <c r="K14" s="235">
        <v>7</v>
      </c>
      <c r="L14" s="245" t="s">
        <v>191</v>
      </c>
      <c r="M14" s="244">
        <v>3.9353699999999998E-2</v>
      </c>
      <c r="N14" s="202"/>
      <c r="O14" s="202"/>
      <c r="Q14" s="243" t="s">
        <v>186</v>
      </c>
      <c r="R14" s="2" t="str">
        <f t="shared" si="0"/>
        <v>7Y</v>
      </c>
      <c r="S14" s="17">
        <v>7</v>
      </c>
      <c r="T14" s="60">
        <v>3.7128176244266765E-2</v>
      </c>
      <c r="U14" s="45">
        <v>3.7128176164857161E-2</v>
      </c>
      <c r="V14" s="61">
        <v>0.04</v>
      </c>
      <c r="W14" s="45">
        <f>(SUMPRODUCT($U$8:$U14,$AA$8:$AA14)/SUM($AA$8:$AA14))-$M14</f>
        <v>1.2967515949924291E-11</v>
      </c>
      <c r="X14" s="242">
        <f t="shared" si="1"/>
        <v>7.9409603892521829E-11</v>
      </c>
      <c r="Z14" s="12">
        <v>7</v>
      </c>
      <c r="AA14" s="241">
        <f t="shared" si="2"/>
        <v>0.75645123573983353</v>
      </c>
      <c r="AB14" s="240" cm="1">
        <f t="array" ref="AB14">integrate($S$8:$S$17,Xn,0,Z14)</f>
        <v>0.27911720818851138</v>
      </c>
      <c r="AC14" s="17"/>
      <c r="AO14" s="2" t="s">
        <v>221</v>
      </c>
      <c r="AP14" s="239">
        <f>$AA$8/SUM($AA$8:$AA14)</f>
        <v>0.16046874761810401</v>
      </c>
      <c r="AQ14" s="238">
        <f>$AA$9/SUM($AA$8:$AA14)</f>
        <v>0.15376136374527941</v>
      </c>
      <c r="AR14" s="238">
        <f>$AA$10/SUM($AA$8:$AA14)</f>
        <v>0.14772287638281295</v>
      </c>
      <c r="AS14" s="238">
        <f>$AA$11/SUM($AA$8:$AA14)</f>
        <v>0.14215363833240527</v>
      </c>
      <c r="AT14" s="238">
        <f>$AA$12/SUM($AA$8:$AA14)</f>
        <v>0.13691222200746267</v>
      </c>
      <c r="AU14" s="236">
        <f>$AA$13/SUM($AA$8:$AA14)</f>
        <v>0.13189859413371813</v>
      </c>
      <c r="AV14" s="236">
        <f>$AA$14/SUM($AA$8:$AA14)</f>
        <v>0.1270825577802176</v>
      </c>
      <c r="AW14" s="17">
        <v>0</v>
      </c>
      <c r="AX14" s="17">
        <v>0</v>
      </c>
      <c r="AY14" s="81">
        <v>0</v>
      </c>
      <c r="AZ14" s="17"/>
    </row>
    <row r="15" spans="2:72" ht="16.2" x14ac:dyDescent="0.3">
      <c r="B15" t="s">
        <v>219</v>
      </c>
      <c r="K15" s="235">
        <v>8</v>
      </c>
      <c r="L15" s="245" t="s">
        <v>189</v>
      </c>
      <c r="M15" s="244">
        <v>3.9145600000000003E-2</v>
      </c>
      <c r="N15" s="202"/>
      <c r="O15" s="202"/>
      <c r="Q15" s="243" t="s">
        <v>186</v>
      </c>
      <c r="R15" s="2" t="str">
        <f t="shared" si="0"/>
        <v>8Y</v>
      </c>
      <c r="S15" s="17">
        <v>8</v>
      </c>
      <c r="T15" s="60">
        <v>3.7445915889434342E-2</v>
      </c>
      <c r="U15" s="45">
        <v>3.7445915736878665E-2</v>
      </c>
      <c r="V15" s="61">
        <v>0.04</v>
      </c>
      <c r="W15" s="45">
        <f>(SUMPRODUCT($U$8:$U15,$AA$8:$AA15)/SUM($AA$8:$AA15))-$M15</f>
        <v>-5.087659460389915E-12</v>
      </c>
      <c r="X15" s="242">
        <f t="shared" si="1"/>
        <v>1.5255567642480372E-10</v>
      </c>
      <c r="Z15" s="12">
        <v>8</v>
      </c>
      <c r="AA15" s="241">
        <f t="shared" si="2"/>
        <v>0.72878404327648572</v>
      </c>
      <c r="AB15" s="240" cm="1">
        <f t="array" ref="AB15">integrate($S$8:$S$17,Xn,0,Z15)</f>
        <v>0.31637782779242474</v>
      </c>
      <c r="AC15" s="17"/>
      <c r="AO15" s="2" t="s">
        <v>218</v>
      </c>
      <c r="AP15" s="239">
        <f>$AA$8/SUM($AA$8:$AA15)</f>
        <v>0.14296490837634257</v>
      </c>
      <c r="AQ15" s="238">
        <f>$AA$9/SUM($AA$8:$AA15)</f>
        <v>0.13698916210140161</v>
      </c>
      <c r="AR15" s="238">
        <f>$AA$10/SUM($AA$8:$AA15)</f>
        <v>0.13160934948791222</v>
      </c>
      <c r="AS15" s="238">
        <f>$AA$11/SUM($AA$8:$AA15)</f>
        <v>0.12664760073981679</v>
      </c>
      <c r="AT15" s="238">
        <f>$AA$12/SUM($AA$8:$AA15)</f>
        <v>0.12197791511080557</v>
      </c>
      <c r="AU15" s="236">
        <f>$AA$13/SUM($AA$8:$AA15)</f>
        <v>0.11751117089897439</v>
      </c>
      <c r="AV15" s="236">
        <f>$AA$14/SUM($AA$8:$AA15)</f>
        <v>0.11322046503733246</v>
      </c>
      <c r="AW15" s="236">
        <f>$AA$15/SUM($AA$8:$AA15)</f>
        <v>0.10907942824741443</v>
      </c>
      <c r="AX15" s="17">
        <v>0</v>
      </c>
      <c r="AY15" s="81">
        <v>0</v>
      </c>
      <c r="AZ15" s="17"/>
    </row>
    <row r="16" spans="2:72" ht="16.2" x14ac:dyDescent="0.3">
      <c r="B16" t="s">
        <v>216</v>
      </c>
      <c r="K16" s="235">
        <v>9</v>
      </c>
      <c r="L16" s="245" t="s">
        <v>188</v>
      </c>
      <c r="M16" s="244">
        <v>3.9028399999999998E-2</v>
      </c>
      <c r="N16" s="202"/>
      <c r="O16" s="202"/>
      <c r="Q16" s="243" t="s">
        <v>186</v>
      </c>
      <c r="R16" s="2" t="str">
        <f t="shared" si="0"/>
        <v>9Y</v>
      </c>
      <c r="S16" s="17">
        <v>9</v>
      </c>
      <c r="T16" s="60">
        <v>3.7912696701642247E-2</v>
      </c>
      <c r="U16" s="45">
        <v>3.7912696548201001E-2</v>
      </c>
      <c r="V16" s="61">
        <v>0.04</v>
      </c>
      <c r="W16" s="45">
        <f>(SUMPRODUCT($U$8:$U16,$AA$8:$AA16)/SUM($AA$8:$AA16))-$M16</f>
        <v>-1.9190177225070215E-11</v>
      </c>
      <c r="X16" s="242">
        <f t="shared" si="1"/>
        <v>1.5344124582039598E-10</v>
      </c>
      <c r="Z16" s="12">
        <v>9</v>
      </c>
      <c r="AA16" s="241">
        <f t="shared" si="2"/>
        <v>0.70183479742911425</v>
      </c>
      <c r="AB16" s="240" cm="1">
        <f t="array" ref="AB16">integrate($S$8:$S$17,Xn,0,Z16)</f>
        <v>0.35405723394863875</v>
      </c>
      <c r="AC16" s="17"/>
      <c r="AO16" s="2" t="s">
        <v>215</v>
      </c>
      <c r="AP16" s="239">
        <f>$AA$8/SUM($AA$8:$AA16)</f>
        <v>0.12937463954988521</v>
      </c>
      <c r="AQ16" s="238">
        <f>$AA$9/SUM($AA$8:$AA16)</f>
        <v>0.12396694874560117</v>
      </c>
      <c r="AR16" s="238">
        <f>$AA$10/SUM($AA$8:$AA16)</f>
        <v>0.11909854204621782</v>
      </c>
      <c r="AS16" s="238">
        <f>$AA$11/SUM($AA$8:$AA16)</f>
        <v>0.11460845798914183</v>
      </c>
      <c r="AT16" s="238">
        <f>$AA$12/SUM($AA$8:$AA16)</f>
        <v>0.11038267348072064</v>
      </c>
      <c r="AU16" s="236">
        <f>$AA$13/SUM($AA$8:$AA16)</f>
        <v>0.10634053874339079</v>
      </c>
      <c r="AV16" s="236">
        <f>$AA$14/SUM($AA$8:$AA16)</f>
        <v>0.10245770812034566</v>
      </c>
      <c r="AW16" s="236">
        <f>$AA$15/SUM($AA$8:$AA16)</f>
        <v>9.871031900127486E-2</v>
      </c>
      <c r="AX16" s="236">
        <f>$AA$16/SUM($AA$8:$AA16)</f>
        <v>9.5060172323422024E-2</v>
      </c>
      <c r="AY16" s="81">
        <v>0</v>
      </c>
      <c r="AZ16" s="17"/>
    </row>
    <row r="17" spans="2:52" ht="16.2" x14ac:dyDescent="0.3">
      <c r="B17" t="s">
        <v>213</v>
      </c>
      <c r="K17" s="235">
        <v>10</v>
      </c>
      <c r="L17" s="234" t="s">
        <v>16</v>
      </c>
      <c r="M17" s="233">
        <v>3.8961299999999997E-2</v>
      </c>
      <c r="N17" s="232"/>
      <c r="O17" s="202"/>
      <c r="Q17" s="231" t="s">
        <v>186</v>
      </c>
      <c r="R17" s="40" t="str">
        <f t="shared" si="0"/>
        <v>10Y</v>
      </c>
      <c r="S17" s="230">
        <v>10</v>
      </c>
      <c r="T17" s="229">
        <v>3.8228035916062428E-2</v>
      </c>
      <c r="U17" s="227">
        <v>3.8228035792041849E-2</v>
      </c>
      <c r="V17" s="228">
        <v>0.04</v>
      </c>
      <c r="W17" s="227">
        <f>(SUMPRODUCT($U$8:$U17,$AA$8:$AA17)/SUM($AA$8:$AA17))-$M17</f>
        <v>-2.7978827588093225E-11</v>
      </c>
      <c r="X17" s="226">
        <f t="shared" si="1"/>
        <v>1.2402057852911597E-10</v>
      </c>
      <c r="Z17" s="13">
        <v>10</v>
      </c>
      <c r="AA17" s="225">
        <f t="shared" si="2"/>
        <v>0.67561363635641902</v>
      </c>
      <c r="AB17" s="224" cm="1">
        <f t="array" ref="AB17">integrate($S$8:$S$17,Xn,0,Z17)</f>
        <v>0.3921339101840719</v>
      </c>
      <c r="AC17" s="17"/>
      <c r="AO17" s="2" t="s">
        <v>212</v>
      </c>
      <c r="AP17" s="223">
        <f>$AA$8/SUM($AA$8:$AA17)</f>
        <v>0.11852827789021486</v>
      </c>
      <c r="AQ17" s="222">
        <f>$AA$9/SUM($AA$8:$AA17)</f>
        <v>0.11357395082407151</v>
      </c>
      <c r="AR17" s="222">
        <f>$AA$10/SUM($AA$8:$AA17)</f>
        <v>0.10911369598467856</v>
      </c>
      <c r="AS17" s="222">
        <f>$AA$11/SUM($AA$8:$AA17)</f>
        <v>0.10500004641070379</v>
      </c>
      <c r="AT17" s="222">
        <f>$AA$12/SUM($AA$8:$AA17)</f>
        <v>0.10112853834497364</v>
      </c>
      <c r="AU17" s="219">
        <f>$AA$13/SUM($AA$8:$AA17)</f>
        <v>9.7425283432860915E-2</v>
      </c>
      <c r="AV17" s="219">
        <f>$AA$14/SUM($AA$8:$AA17)</f>
        <v>9.3867977080625845E-2</v>
      </c>
      <c r="AW17" s="219">
        <f>$AA$15/SUM($AA$8:$AA17)</f>
        <v>9.043475724393038E-2</v>
      </c>
      <c r="AX17" s="219">
        <f>$AA$16/SUM($AA$8:$AA17)</f>
        <v>8.7090627348938382E-2</v>
      </c>
      <c r="AY17" s="218">
        <f>$AA$17/SUM($AA$8:$AA17)</f>
        <v>8.3836845439002189E-2</v>
      </c>
      <c r="AZ17" s="17"/>
    </row>
    <row r="18" spans="2:52" x14ac:dyDescent="0.3">
      <c r="B18" t="s">
        <v>210</v>
      </c>
      <c r="T18" s="2"/>
      <c r="U18" s="2"/>
      <c r="V18" s="2"/>
      <c r="W18" s="2"/>
      <c r="X18" s="2"/>
      <c r="Y18" s="45"/>
      <c r="AC18" s="2"/>
      <c r="AD18" s="2"/>
      <c r="AE18" s="2"/>
      <c r="AF18" s="2"/>
      <c r="AG18" s="2"/>
      <c r="AH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2:52" x14ac:dyDescent="0.3">
      <c r="B19" t="s">
        <v>209</v>
      </c>
      <c r="T19" s="2"/>
      <c r="U19" s="2"/>
      <c r="V19" s="2"/>
      <c r="W19" s="2"/>
      <c r="X19" s="2"/>
      <c r="Y19" s="45"/>
      <c r="AC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2:52" x14ac:dyDescent="0.3">
      <c r="AD20" s="44" t="s">
        <v>208</v>
      </c>
      <c r="AE20" s="2"/>
      <c r="AF20" s="2"/>
      <c r="AG20" s="2"/>
      <c r="AI20" s="44" t="s">
        <v>207</v>
      </c>
      <c r="AO20" s="1" t="s">
        <v>255</v>
      </c>
    </row>
    <row r="21" spans="2:52" x14ac:dyDescent="0.3">
      <c r="B21" s="44" t="s">
        <v>206</v>
      </c>
      <c r="N21" s="44" t="s">
        <v>205</v>
      </c>
      <c r="O21" s="2"/>
      <c r="P21" s="2"/>
      <c r="Q21" s="2"/>
      <c r="R21" s="2"/>
      <c r="S21" s="45"/>
      <c r="T21" s="2"/>
      <c r="U21" s="2"/>
    </row>
    <row r="22" spans="2:52" ht="15.6" x14ac:dyDescent="0.3">
      <c r="B22" s="190" t="s">
        <v>204</v>
      </c>
      <c r="L22" s="2" t="s">
        <v>203</v>
      </c>
      <c r="M22" s="54" t="s">
        <v>30</v>
      </c>
      <c r="N22" s="2" t="s">
        <v>31</v>
      </c>
      <c r="O22" s="2" t="s">
        <v>32</v>
      </c>
      <c r="P22" s="2" t="s">
        <v>33</v>
      </c>
      <c r="Q22" s="2" t="s">
        <v>34</v>
      </c>
      <c r="R22" s="2" t="s">
        <v>35</v>
      </c>
      <c r="S22" s="2" t="s">
        <v>36</v>
      </c>
      <c r="T22" s="2" t="s">
        <v>37</v>
      </c>
      <c r="U22" s="2" t="s">
        <v>38</v>
      </c>
      <c r="V22" s="2" t="s">
        <v>39</v>
      </c>
      <c r="W22" s="2" t="s">
        <v>40</v>
      </c>
      <c r="X22" s="2" t="s">
        <v>41</v>
      </c>
      <c r="Z22" s="55" t="s">
        <v>202</v>
      </c>
      <c r="AD22" t="s">
        <v>186</v>
      </c>
      <c r="AI22" t="s">
        <v>186</v>
      </c>
    </row>
    <row r="23" spans="2:52" ht="15.6" x14ac:dyDescent="0.3">
      <c r="B23" s="190" t="s">
        <v>201</v>
      </c>
      <c r="L23" s="2" t="s">
        <v>186</v>
      </c>
      <c r="M23" s="2" t="s">
        <v>11</v>
      </c>
      <c r="N23" s="217">
        <v>0.04</v>
      </c>
      <c r="O23" s="216">
        <v>4.4297700000000037E-2</v>
      </c>
      <c r="P23" s="216">
        <v>4.4297700000000037E-2</v>
      </c>
      <c r="Q23" s="216">
        <v>4.4297700000000037E-2</v>
      </c>
      <c r="R23" s="216">
        <v>4.4297700000000037E-2</v>
      </c>
      <c r="S23" s="216"/>
      <c r="T23" s="216"/>
      <c r="U23" s="216"/>
      <c r="V23" s="216"/>
      <c r="W23" s="216"/>
      <c r="X23" s="215"/>
      <c r="Z23" s="46" t="b">
        <v>0</v>
      </c>
      <c r="AD23" s="2" t="s">
        <v>198</v>
      </c>
      <c r="AE23" s="2" t="s">
        <v>200</v>
      </c>
      <c r="AF23" s="2" t="s">
        <v>45</v>
      </c>
      <c r="AG23" s="2" t="s">
        <v>199</v>
      </c>
      <c r="AI23" s="2" t="s">
        <v>198</v>
      </c>
      <c r="AJ23" s="2" t="s">
        <v>197</v>
      </c>
      <c r="AK23" s="2" t="s">
        <v>22</v>
      </c>
      <c r="AL23" s="340" t="s">
        <v>325</v>
      </c>
    </row>
    <row r="24" spans="2:52" ht="16.8" x14ac:dyDescent="0.35">
      <c r="B24" s="203" t="s">
        <v>196</v>
      </c>
      <c r="L24" s="2" t="s">
        <v>186</v>
      </c>
      <c r="M24" s="2" t="s">
        <v>12</v>
      </c>
      <c r="N24" s="209">
        <v>0.04</v>
      </c>
      <c r="O24" s="208">
        <v>4.1187504380130815E-2</v>
      </c>
      <c r="P24" s="208">
        <v>4.1183216279110639E-2</v>
      </c>
      <c r="Q24" s="208">
        <v>4.118322001841742E-2</v>
      </c>
      <c r="R24" s="208">
        <v>4.1183220015866169E-2</v>
      </c>
      <c r="S24" s="208"/>
      <c r="T24" s="208"/>
      <c r="U24" s="208"/>
      <c r="V24" s="208"/>
      <c r="W24" s="208"/>
      <c r="X24" s="207"/>
      <c r="Z24" s="190"/>
      <c r="AD24" s="155">
        <v>0</v>
      </c>
      <c r="AE24" s="214" cm="1">
        <f t="array" ref="AE24">cubicInterpolation($S$8:$S$17,Xn,AD24)</f>
        <v>4.7412179981582654E-2</v>
      </c>
      <c r="AF24" s="213" t="s">
        <v>121</v>
      </c>
      <c r="AG24" s="212" t="s">
        <v>121</v>
      </c>
      <c r="AI24" s="155">
        <v>0</v>
      </c>
      <c r="AJ24" s="211" cm="1">
        <f t="array" ref="AJ24">integrate(CurveResults.Times,CurveResults.USDSOFR,0,AI24)</f>
        <v>0</v>
      </c>
      <c r="AK24" s="210">
        <f t="shared" ref="AK24:AK34" si="3">EXP(-AJ24)</f>
        <v>1</v>
      </c>
      <c r="AL24" s="341">
        <f t="shared" ref="AL24:AL34" si="4">EXP(-1.0001*AJ24)</f>
        <v>1</v>
      </c>
      <c r="AO24" s="39" t="s">
        <v>240</v>
      </c>
      <c r="AP24" s="2" t="s">
        <v>238</v>
      </c>
      <c r="AQ24" s="2" t="s">
        <v>235</v>
      </c>
      <c r="AR24" s="2" t="s">
        <v>232</v>
      </c>
      <c r="AS24" s="2" t="s">
        <v>229</v>
      </c>
      <c r="AT24" s="2" t="s">
        <v>227</v>
      </c>
      <c r="AU24" s="2" t="s">
        <v>224</v>
      </c>
      <c r="AV24" s="2" t="s">
        <v>221</v>
      </c>
      <c r="AW24" s="2" t="s">
        <v>218</v>
      </c>
      <c r="AX24" s="2" t="s">
        <v>215</v>
      </c>
      <c r="AY24" s="2" t="s">
        <v>212</v>
      </c>
    </row>
    <row r="25" spans="2:52" ht="16.2" x14ac:dyDescent="0.3">
      <c r="L25" s="2" t="s">
        <v>186</v>
      </c>
      <c r="M25" s="2" t="s">
        <v>13</v>
      </c>
      <c r="N25" s="209">
        <v>0.04</v>
      </c>
      <c r="O25" s="208">
        <v>3.9106009133647736E-2</v>
      </c>
      <c r="P25" s="208">
        <v>3.9102400986179522E-2</v>
      </c>
      <c r="Q25" s="208">
        <v>3.9102414838936221E-2</v>
      </c>
      <c r="R25" s="208">
        <v>3.910241481456523E-2</v>
      </c>
      <c r="S25" s="208"/>
      <c r="T25" s="208"/>
      <c r="U25" s="208"/>
      <c r="V25" s="208"/>
      <c r="W25" s="208"/>
      <c r="X25" s="207"/>
      <c r="Z25" s="55" t="s">
        <v>334</v>
      </c>
      <c r="AD25" s="156">
        <v>1</v>
      </c>
      <c r="AE25" s="60" cm="1">
        <f t="array" ref="AE25">cubicInterpolation($S$8:$S$17,Xn,AD25)</f>
        <v>4.4297700000000037E-2</v>
      </c>
      <c r="AF25" s="202">
        <f t="shared" ref="AF25:AF34" si="5">T8</f>
        <v>4.4297700000000037E-2</v>
      </c>
      <c r="AG25" s="201">
        <f t="shared" ref="AG25:AG34" si="6">AF25-AE25</f>
        <v>0</v>
      </c>
      <c r="AI25" s="156">
        <v>1</v>
      </c>
      <c r="AJ25" s="45" cm="1">
        <f t="array" ref="AJ25">integrate(CurveResults.Times,CurveResults.USDSOFR,0,AI25)</f>
        <v>4.5854939990791349E-2</v>
      </c>
      <c r="AK25" s="200">
        <f t="shared" si="3"/>
        <v>0.95518051063522103</v>
      </c>
      <c r="AL25" s="341">
        <f t="shared" si="4"/>
        <v>0.95517613067076368</v>
      </c>
      <c r="AO25" s="2" t="s">
        <v>237</v>
      </c>
      <c r="AP25" s="249">
        <f t="array" ref="AP25:AY34">MINVERSE(AP8:AY17)</f>
        <v>1</v>
      </c>
      <c r="AQ25" s="248">
        <v>0</v>
      </c>
      <c r="AR25" s="248">
        <v>0</v>
      </c>
      <c r="AS25" s="248">
        <v>0</v>
      </c>
      <c r="AT25" s="248">
        <v>0</v>
      </c>
      <c r="AU25" s="248">
        <v>0</v>
      </c>
      <c r="AV25" s="248">
        <v>0</v>
      </c>
      <c r="AW25" s="248">
        <v>0</v>
      </c>
      <c r="AX25" s="248">
        <v>0</v>
      </c>
      <c r="AY25" s="80">
        <v>0</v>
      </c>
    </row>
    <row r="26" spans="2:52" ht="16.2" x14ac:dyDescent="0.3">
      <c r="B26" s="190" t="s">
        <v>184</v>
      </c>
      <c r="L26" s="2" t="s">
        <v>186</v>
      </c>
      <c r="M26" s="2" t="s">
        <v>14</v>
      </c>
      <c r="N26" s="209">
        <v>0.04</v>
      </c>
      <c r="O26" s="208">
        <v>3.7883806237927552E-2</v>
      </c>
      <c r="P26" s="208">
        <v>3.7885470812764048E-2</v>
      </c>
      <c r="Q26" s="208">
        <v>3.7885484953529648E-2</v>
      </c>
      <c r="R26" s="208">
        <v>3.7885484891709405E-2</v>
      </c>
      <c r="S26" s="208"/>
      <c r="T26" s="208"/>
      <c r="U26" s="208"/>
      <c r="V26" s="208"/>
      <c r="W26" s="208"/>
      <c r="X26" s="207"/>
      <c r="Z26" s="190"/>
      <c r="AD26" s="156">
        <v>2</v>
      </c>
      <c r="AE26" s="60" cm="1">
        <f t="array" ref="AE26">cubicInterpolation($S$8:$S$17,Xn,AD26)</f>
        <v>4.118322001841742E-2</v>
      </c>
      <c r="AF26" s="202">
        <f t="shared" si="5"/>
        <v>4.1183220015866169E-2</v>
      </c>
      <c r="AG26" s="201">
        <f t="shared" si="6"/>
        <v>-2.5512508772251863E-12</v>
      </c>
      <c r="AI26" s="156">
        <v>2</v>
      </c>
      <c r="AJ26" s="45" cm="1">
        <f t="array" ref="AJ26">integrate(CurveResults.Times,CurveResults.USDSOFR,0,AI26)</f>
        <v>8.8552330216579184E-2</v>
      </c>
      <c r="AK26" s="200">
        <f t="shared" si="3"/>
        <v>0.91525521397921195</v>
      </c>
      <c r="AL26" s="341">
        <f t="shared" si="4"/>
        <v>0.91524710921690267</v>
      </c>
      <c r="AO26" s="2" t="s">
        <v>234</v>
      </c>
      <c r="AP26" s="247">
        <v>-1.0436220368332323</v>
      </c>
      <c r="AQ26" s="236">
        <v>2.0436220368332325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81">
        <v>0</v>
      </c>
    </row>
    <row r="27" spans="2:52" ht="16.2" x14ac:dyDescent="0.35">
      <c r="B27" s="190" t="s">
        <v>195</v>
      </c>
      <c r="L27" s="2" t="s">
        <v>186</v>
      </c>
      <c r="M27" s="2" t="s">
        <v>15</v>
      </c>
      <c r="N27" s="209">
        <v>0.04</v>
      </c>
      <c r="O27" s="208">
        <v>3.7340434127790256E-2</v>
      </c>
      <c r="P27" s="208">
        <v>3.7348387515260095E-2</v>
      </c>
      <c r="Q27" s="208">
        <v>3.7348384624779976E-2</v>
      </c>
      <c r="R27" s="208">
        <v>3.7348384560765391E-2</v>
      </c>
      <c r="S27" s="208"/>
      <c r="T27" s="208"/>
      <c r="U27" s="208"/>
      <c r="V27" s="208"/>
      <c r="W27" s="208"/>
      <c r="X27" s="207"/>
      <c r="Z27" s="190"/>
      <c r="AD27" s="156">
        <v>3</v>
      </c>
      <c r="AE27" s="60" cm="1">
        <f t="array" ref="AE27">cubicInterpolation($S$8:$S$17,Xn,AD27)</f>
        <v>3.9102414838936221E-2</v>
      </c>
      <c r="AF27" s="202">
        <f t="shared" si="5"/>
        <v>3.910241481456523E-2</v>
      </c>
      <c r="AG27" s="201">
        <f t="shared" si="6"/>
        <v>-2.4370991336120085E-11</v>
      </c>
      <c r="AI27" s="156">
        <v>3</v>
      </c>
      <c r="AJ27" s="45" cm="1">
        <f t="array" ref="AJ27">integrate(CurveResults.Times,CurveResults.USDSOFR,0,AI27)</f>
        <v>0.12861608305791533</v>
      </c>
      <c r="AK27" s="200">
        <f t="shared" si="3"/>
        <v>0.87931148332785924</v>
      </c>
      <c r="AL27" s="341">
        <f t="shared" si="4"/>
        <v>0.87930017404070993</v>
      </c>
      <c r="AO27" s="2" t="s">
        <v>231</v>
      </c>
      <c r="AP27" s="246">
        <v>0</v>
      </c>
      <c r="AQ27" s="236">
        <v>-2.127159442448705</v>
      </c>
      <c r="AR27" s="236">
        <v>3.127159442448705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81">
        <v>0</v>
      </c>
    </row>
    <row r="28" spans="2:52" ht="16.2" x14ac:dyDescent="0.35">
      <c r="B28" s="190" t="s">
        <v>194</v>
      </c>
      <c r="L28" s="2" t="s">
        <v>186</v>
      </c>
      <c r="M28" s="2" t="s">
        <v>193</v>
      </c>
      <c r="N28" s="209">
        <v>0.04</v>
      </c>
      <c r="O28" s="208">
        <v>3.7283580471218179E-2</v>
      </c>
      <c r="P28" s="208">
        <v>3.7295653817743905E-2</v>
      </c>
      <c r="Q28" s="208">
        <v>3.7295627680444789E-2</v>
      </c>
      <c r="R28" s="208">
        <v>3.7295627668963979E-2</v>
      </c>
      <c r="S28" s="208"/>
      <c r="T28" s="208"/>
      <c r="U28" s="208"/>
      <c r="V28" s="208"/>
      <c r="W28" s="208"/>
      <c r="X28" s="207"/>
      <c r="Z28" s="190"/>
      <c r="AD28" s="156">
        <v>4</v>
      </c>
      <c r="AE28" s="60" cm="1">
        <f t="array" ref="AE28">cubicInterpolation($S$8:$S$17,Xn,AD28)</f>
        <v>3.7885484953529648E-2</v>
      </c>
      <c r="AF28" s="202">
        <f t="shared" si="5"/>
        <v>3.7885484891709405E-2</v>
      </c>
      <c r="AG28" s="201">
        <f t="shared" si="6"/>
        <v>-6.182024336887082E-11</v>
      </c>
      <c r="AI28" s="156">
        <v>4</v>
      </c>
      <c r="AJ28" s="45" cm="1">
        <f t="array" ref="AJ28">integrate(CurveResults.Times,CurveResults.USDSOFR,0,AI28)</f>
        <v>0.16704571191870113</v>
      </c>
      <c r="AK28" s="200">
        <f t="shared" si="3"/>
        <v>0.84616093081343713</v>
      </c>
      <c r="AL28" s="341">
        <f t="shared" si="4"/>
        <v>0.84614679617598543</v>
      </c>
      <c r="AO28" s="2" t="s">
        <v>228</v>
      </c>
      <c r="AP28" s="246">
        <v>2.3590429814844659E-16</v>
      </c>
      <c r="AQ28" s="237">
        <v>-4.7180859629689317E-16</v>
      </c>
      <c r="AR28" s="236">
        <v>-3.2496740369457693</v>
      </c>
      <c r="AS28" s="236">
        <v>4.2496740369457697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81">
        <v>0</v>
      </c>
    </row>
    <row r="29" spans="2:52" ht="16.2" x14ac:dyDescent="0.35">
      <c r="B29" s="190" t="s">
        <v>192</v>
      </c>
      <c r="L29" s="2" t="s">
        <v>186</v>
      </c>
      <c r="M29" s="2" t="s">
        <v>191</v>
      </c>
      <c r="N29" s="209">
        <v>0.04</v>
      </c>
      <c r="O29" s="208">
        <v>3.7112346578773846E-2</v>
      </c>
      <c r="P29" s="208">
        <v>3.7128228436997791E-2</v>
      </c>
      <c r="Q29" s="208">
        <v>3.7128176164857161E-2</v>
      </c>
      <c r="R29" s="208">
        <v>3.7128176244266765E-2</v>
      </c>
      <c r="S29" s="208"/>
      <c r="T29" s="208"/>
      <c r="U29" s="208"/>
      <c r="V29" s="208"/>
      <c r="W29" s="208"/>
      <c r="X29" s="207"/>
      <c r="Z29" s="190"/>
      <c r="AD29" s="156">
        <v>5</v>
      </c>
      <c r="AE29" s="60" cm="1">
        <f t="array" ref="AE29">cubicInterpolation($S$8:$S$17,Xn,AD29)</f>
        <v>3.7348384624779976E-2</v>
      </c>
      <c r="AF29" s="202">
        <f t="shared" si="5"/>
        <v>3.7348384560765391E-2</v>
      </c>
      <c r="AG29" s="201">
        <f t="shared" si="6"/>
        <v>-6.4014585299254634E-11</v>
      </c>
      <c r="AI29" s="156">
        <v>5</v>
      </c>
      <c r="AJ29" s="45" cm="1">
        <f t="array" ref="AJ29">integrate(CurveResults.Times,CurveResults.USDSOFR,0,AI29)</f>
        <v>0.20461413950197796</v>
      </c>
      <c r="AK29" s="200">
        <f t="shared" si="3"/>
        <v>0.81496171728417521</v>
      </c>
      <c r="AL29" s="341">
        <f t="shared" si="4"/>
        <v>0.81494504218572283</v>
      </c>
      <c r="AO29" s="2" t="s">
        <v>226</v>
      </c>
      <c r="AP29" s="246">
        <v>-9.4712140517947186E-17</v>
      </c>
      <c r="AQ29" s="237">
        <v>1.8942428103589437E-16</v>
      </c>
      <c r="AR29" s="237">
        <v>6.0089316699682015E-16</v>
      </c>
      <c r="AS29" s="236">
        <v>-4.412364485952712</v>
      </c>
      <c r="AT29" s="236">
        <v>5.4123644859527129</v>
      </c>
      <c r="AU29" s="17">
        <v>0</v>
      </c>
      <c r="AV29" s="17">
        <v>0</v>
      </c>
      <c r="AW29" s="17">
        <v>0</v>
      </c>
      <c r="AX29" s="17">
        <v>0</v>
      </c>
      <c r="AY29" s="81">
        <v>0</v>
      </c>
    </row>
    <row r="30" spans="2:52" ht="16.2" x14ac:dyDescent="0.3">
      <c r="B30" s="190" t="s">
        <v>190</v>
      </c>
      <c r="L30" s="2" t="s">
        <v>186</v>
      </c>
      <c r="M30" s="2" t="s">
        <v>189</v>
      </c>
      <c r="N30" s="209">
        <v>0.04</v>
      </c>
      <c r="O30" s="208">
        <v>3.7430671355937875E-2</v>
      </c>
      <c r="P30" s="208">
        <v>3.7445977622889891E-2</v>
      </c>
      <c r="Q30" s="208">
        <v>3.7445915736878665E-2</v>
      </c>
      <c r="R30" s="208">
        <v>3.7445915889434342E-2</v>
      </c>
      <c r="S30" s="208"/>
      <c r="T30" s="208"/>
      <c r="U30" s="208"/>
      <c r="V30" s="208"/>
      <c r="W30" s="208"/>
      <c r="X30" s="207"/>
      <c r="Z30" s="190"/>
      <c r="AD30" s="156">
        <v>6</v>
      </c>
      <c r="AE30" s="60" cm="1">
        <f t="array" ref="AE30">cubicInterpolation($S$8:$S$17,Xn,AD30)</f>
        <v>3.7295627680444789E-2</v>
      </c>
      <c r="AF30" s="202">
        <f t="shared" si="5"/>
        <v>3.7295627668963979E-2</v>
      </c>
      <c r="AG30" s="201">
        <f t="shared" si="6"/>
        <v>-1.148080935875484E-11</v>
      </c>
      <c r="AI30" s="156">
        <v>6</v>
      </c>
      <c r="AJ30" s="45" cm="1">
        <f t="array" ref="AJ30">integrate(CurveResults.Times,CurveResults.USDSOFR,0,AI30)</f>
        <v>0.24192074362070859</v>
      </c>
      <c r="AK30" s="200">
        <f t="shared" si="3"/>
        <v>0.78511840072776184</v>
      </c>
      <c r="AL30" s="341">
        <f t="shared" si="4"/>
        <v>0.78509940731477434</v>
      </c>
      <c r="AO30" s="2" t="s">
        <v>223</v>
      </c>
      <c r="AP30" s="156">
        <v>-1.5593346392917469E-16</v>
      </c>
      <c r="AQ30" s="17">
        <v>3.1186692785834937E-16</v>
      </c>
      <c r="AR30" s="17">
        <v>-6.2373385571669875E-16</v>
      </c>
      <c r="AS30" s="17">
        <v>0</v>
      </c>
      <c r="AT30" s="238">
        <v>-5.6180951203681744</v>
      </c>
      <c r="AU30" s="236">
        <v>6.6180951203681753</v>
      </c>
      <c r="AV30" s="17">
        <v>0</v>
      </c>
      <c r="AW30" s="17">
        <v>0</v>
      </c>
      <c r="AX30" s="17">
        <v>0</v>
      </c>
      <c r="AY30" s="81">
        <v>0</v>
      </c>
    </row>
    <row r="31" spans="2:52" ht="16.2" x14ac:dyDescent="0.3">
      <c r="L31" s="2" t="s">
        <v>186</v>
      </c>
      <c r="M31" s="2" t="s">
        <v>188</v>
      </c>
      <c r="N31" s="209">
        <v>0.04</v>
      </c>
      <c r="O31" s="208">
        <v>3.7901168636187657E-2</v>
      </c>
      <c r="P31" s="208">
        <v>3.7912747862490125E-2</v>
      </c>
      <c r="Q31" s="208">
        <v>3.7912696548201001E-2</v>
      </c>
      <c r="R31" s="208">
        <v>3.7912696701642247E-2</v>
      </c>
      <c r="S31" s="208"/>
      <c r="T31" s="208"/>
      <c r="U31" s="208"/>
      <c r="V31" s="208"/>
      <c r="W31" s="208"/>
      <c r="X31" s="207"/>
      <c r="Z31" s="190"/>
      <c r="AD31" s="156">
        <v>7</v>
      </c>
      <c r="AE31" s="60" cm="1">
        <f t="array" ref="AE31">cubicInterpolation($S$8:$S$17,Xn,AD31)</f>
        <v>3.7128176164857161E-2</v>
      </c>
      <c r="AF31" s="202">
        <f t="shared" si="5"/>
        <v>3.7128176244266765E-2</v>
      </c>
      <c r="AG31" s="201">
        <f t="shared" si="6"/>
        <v>7.9409603892521829E-11</v>
      </c>
      <c r="AI31" s="156">
        <v>7</v>
      </c>
      <c r="AJ31" s="45" cm="1">
        <f t="array" ref="AJ31">integrate(CurveResults.Times,CurveResults.USDSOFR,0,AI31)</f>
        <v>0.27911720818851138</v>
      </c>
      <c r="AK31" s="200">
        <f t="shared" si="3"/>
        <v>0.75645123573983353</v>
      </c>
      <c r="AL31" s="341">
        <f t="shared" si="4"/>
        <v>0.7564301221787878</v>
      </c>
      <c r="AO31" s="2" t="s">
        <v>220</v>
      </c>
      <c r="AP31" s="156">
        <v>-2.4247921704163713E-32</v>
      </c>
      <c r="AQ31" s="17">
        <v>4.8495843408327426E-32</v>
      </c>
      <c r="AR31" s="17">
        <v>-1.939833736333097E-31</v>
      </c>
      <c r="AS31" s="17">
        <v>8.7362344921104527E-16</v>
      </c>
      <c r="AT31" s="17">
        <v>-1.7472468984220905E-15</v>
      </c>
      <c r="AU31" s="236">
        <v>-6.868900480657981</v>
      </c>
      <c r="AV31" s="236">
        <v>7.8689004806579819</v>
      </c>
      <c r="AW31" s="17">
        <v>0</v>
      </c>
      <c r="AX31" s="17">
        <v>0</v>
      </c>
      <c r="AY31" s="81">
        <v>0</v>
      </c>
    </row>
    <row r="32" spans="2:52" ht="16.2" x14ac:dyDescent="0.3">
      <c r="B32" s="190" t="s">
        <v>187</v>
      </c>
      <c r="L32" s="2" t="s">
        <v>186</v>
      </c>
      <c r="M32" s="2" t="s">
        <v>16</v>
      </c>
      <c r="N32" s="206">
        <v>0.04</v>
      </c>
      <c r="O32" s="205">
        <v>3.821975478645518E-2</v>
      </c>
      <c r="P32" s="205">
        <v>3.8228073591663837E-2</v>
      </c>
      <c r="Q32" s="205">
        <v>3.8228035792041849E-2</v>
      </c>
      <c r="R32" s="205">
        <v>3.8228035916062428E-2</v>
      </c>
      <c r="S32" s="205"/>
      <c r="T32" s="205"/>
      <c r="U32" s="205"/>
      <c r="V32" s="205"/>
      <c r="W32" s="205"/>
      <c r="X32" s="204"/>
      <c r="Z32" s="190"/>
      <c r="AD32" s="156">
        <v>8</v>
      </c>
      <c r="AE32" s="60" cm="1">
        <f t="array" ref="AE32">cubicInterpolation($S$8:$S$17,Xn,AD32)</f>
        <v>3.7445915736878665E-2</v>
      </c>
      <c r="AF32" s="202">
        <f t="shared" si="5"/>
        <v>3.7445915889434342E-2</v>
      </c>
      <c r="AG32" s="201">
        <f t="shared" si="6"/>
        <v>1.5255567642480372E-10</v>
      </c>
      <c r="AI32" s="156">
        <v>8</v>
      </c>
      <c r="AJ32" s="45" cm="1">
        <f t="array" ref="AJ32">integrate(CurveResults.Times,CurveResults.USDSOFR,0,AI32)</f>
        <v>0.31637782779242474</v>
      </c>
      <c r="AK32" s="200">
        <f t="shared" si="3"/>
        <v>0.72878404327648572</v>
      </c>
      <c r="AL32" s="341">
        <f t="shared" si="4"/>
        <v>0.72876098652996557</v>
      </c>
      <c r="AO32" s="2" t="s">
        <v>217</v>
      </c>
      <c r="AP32" s="156">
        <v>-3.081487911019575E-33</v>
      </c>
      <c r="AQ32" s="17">
        <v>-5.0890577740604942E-16</v>
      </c>
      <c r="AR32" s="17">
        <v>1.0178115548120988E-15</v>
      </c>
      <c r="AS32" s="17">
        <v>-9.0678925234958318E-16</v>
      </c>
      <c r="AT32" s="17">
        <v>7.9576694988706773E-16</v>
      </c>
      <c r="AU32" s="237">
        <v>0</v>
      </c>
      <c r="AV32" s="236">
        <v>-8.167631477970307</v>
      </c>
      <c r="AW32" s="236">
        <v>9.167631477970307</v>
      </c>
      <c r="AX32" s="17">
        <v>0</v>
      </c>
      <c r="AY32" s="81">
        <v>0</v>
      </c>
    </row>
    <row r="33" spans="2:51" ht="16.2" x14ac:dyDescent="0.3">
      <c r="B33" s="203" t="s">
        <v>185</v>
      </c>
      <c r="AD33" s="156">
        <v>9</v>
      </c>
      <c r="AE33" s="60" cm="1">
        <f t="array" ref="AE33">cubicInterpolation($S$8:$S$17,Xn,AD33)</f>
        <v>3.7912696548201001E-2</v>
      </c>
      <c r="AF33" s="202">
        <f t="shared" si="5"/>
        <v>3.7912696701642247E-2</v>
      </c>
      <c r="AG33" s="201">
        <f t="shared" si="6"/>
        <v>1.5344124582039598E-10</v>
      </c>
      <c r="AI33" s="156">
        <v>9</v>
      </c>
      <c r="AJ33" s="45" cm="1">
        <f t="array" ref="AJ33">integrate(CurveResults.Times,CurveResults.USDSOFR,0,AI33)</f>
        <v>0.35405723394863875</v>
      </c>
      <c r="AK33" s="200">
        <f t="shared" si="3"/>
        <v>0.70183479742911425</v>
      </c>
      <c r="AL33" s="341">
        <f t="shared" si="4"/>
        <v>0.70180994890030035</v>
      </c>
      <c r="AO33" s="2" t="s">
        <v>214</v>
      </c>
      <c r="AP33" s="156">
        <v>-2.9197901641916303E-16</v>
      </c>
      <c r="AQ33" s="17">
        <v>5.2844688160706823E-16</v>
      </c>
      <c r="AR33" s="17">
        <v>-1.0568937632141365E-15</v>
      </c>
      <c r="AS33" s="17">
        <v>5.8395803283832606E-16</v>
      </c>
      <c r="AT33" s="17">
        <v>1.0568937632141369E-15</v>
      </c>
      <c r="AU33" s="237">
        <v>0</v>
      </c>
      <c r="AV33" s="237">
        <v>-1.1679160656766525E-15</v>
      </c>
      <c r="AW33" s="236">
        <v>-9.5196527163627742</v>
      </c>
      <c r="AX33" s="236">
        <v>10.519652716362776</v>
      </c>
      <c r="AY33" s="81">
        <v>0</v>
      </c>
    </row>
    <row r="34" spans="2:51" ht="16.2" x14ac:dyDescent="0.3">
      <c r="AD34" s="157">
        <v>10</v>
      </c>
      <c r="AE34" s="199" cm="1">
        <f t="array" ref="AE34">cubicInterpolation($S$8:$S$17,Xn,AD34)</f>
        <v>3.8228035792041849E-2</v>
      </c>
      <c r="AF34" s="198">
        <f t="shared" si="5"/>
        <v>3.8228035916062428E-2</v>
      </c>
      <c r="AG34" s="197">
        <f t="shared" si="6"/>
        <v>1.2402057852911597E-10</v>
      </c>
      <c r="AI34" s="157">
        <v>10</v>
      </c>
      <c r="AJ34" s="196" cm="1">
        <f t="array" ref="AJ34">integrate(CurveResults.Times,CurveResults.USDSOFR,0,AI34)</f>
        <v>0.3921339101840719</v>
      </c>
      <c r="AK34" s="195">
        <f t="shared" si="3"/>
        <v>0.67561363635641902</v>
      </c>
      <c r="AL34" s="341">
        <f t="shared" si="4"/>
        <v>0.67558714377415452</v>
      </c>
      <c r="AO34" s="2" t="s">
        <v>211</v>
      </c>
      <c r="AP34" s="157">
        <v>4.6884425713612781E-16</v>
      </c>
      <c r="AQ34" s="221">
        <v>-3.310665551678378E-16</v>
      </c>
      <c r="AR34" s="221">
        <v>6.6213311033567541E-16</v>
      </c>
      <c r="AS34" s="221">
        <v>5.5511151231257809E-17</v>
      </c>
      <c r="AT34" s="221">
        <v>-1.3242662206713514E-15</v>
      </c>
      <c r="AU34" s="220">
        <v>0</v>
      </c>
      <c r="AV34" s="220">
        <v>-1.1102230246251562E-16</v>
      </c>
      <c r="AW34" s="220">
        <v>0</v>
      </c>
      <c r="AX34" s="219">
        <v>-10.927929715909666</v>
      </c>
      <c r="AY34" s="218">
        <v>11.927929715909666</v>
      </c>
    </row>
    <row r="35" spans="2:51" x14ac:dyDescent="0.3">
      <c r="B35" s="190" t="s">
        <v>184</v>
      </c>
      <c r="L35" s="1" t="s">
        <v>135</v>
      </c>
      <c r="AD35" s="194" t="s">
        <v>183</v>
      </c>
      <c r="AI35" s="194" t="s">
        <v>182</v>
      </c>
    </row>
    <row r="36" spans="2:51" x14ac:dyDescent="0.3">
      <c r="B36" s="190" t="s">
        <v>181</v>
      </c>
      <c r="L36" s="193" t="s">
        <v>180</v>
      </c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1"/>
      <c r="AE36" s="16"/>
    </row>
    <row r="37" spans="2:51" x14ac:dyDescent="0.3">
      <c r="B37" s="190" t="s">
        <v>179</v>
      </c>
      <c r="L37" s="189" t="s">
        <v>178</v>
      </c>
      <c r="M37" s="187"/>
      <c r="N37" s="188"/>
      <c r="O37" s="187"/>
      <c r="P37" s="187"/>
      <c r="Q37" s="187"/>
      <c r="R37" s="187"/>
      <c r="S37" s="187"/>
      <c r="T37" s="187"/>
      <c r="U37" s="187"/>
      <c r="V37" s="187"/>
      <c r="W37" s="187"/>
      <c r="X37" s="186"/>
      <c r="AE37" s="45"/>
    </row>
    <row r="38" spans="2:51" x14ac:dyDescent="0.3">
      <c r="L38" s="189" t="s">
        <v>177</v>
      </c>
      <c r="M38" s="187"/>
      <c r="N38" s="188"/>
      <c r="O38" s="187"/>
      <c r="P38" s="187"/>
      <c r="Q38" s="187"/>
      <c r="R38" s="187"/>
      <c r="S38" s="187"/>
      <c r="T38" s="187"/>
      <c r="U38" s="187"/>
      <c r="V38" s="187"/>
      <c r="W38" s="187"/>
      <c r="X38" s="186"/>
      <c r="AE38" s="45"/>
      <c r="AF38" s="45"/>
    </row>
    <row r="39" spans="2:51" x14ac:dyDescent="0.3">
      <c r="B39" t="s">
        <v>176</v>
      </c>
      <c r="L39" s="189" t="s">
        <v>175</v>
      </c>
      <c r="M39" s="187"/>
      <c r="N39" s="188"/>
      <c r="O39" s="187"/>
      <c r="P39" s="187"/>
      <c r="Q39" s="187"/>
      <c r="R39" s="187"/>
      <c r="S39" s="187"/>
      <c r="T39" s="187"/>
      <c r="U39" s="187"/>
      <c r="V39" s="187"/>
      <c r="W39" s="187"/>
      <c r="X39" s="186"/>
      <c r="AE39" s="45"/>
      <c r="AF39" s="45"/>
    </row>
    <row r="40" spans="2:51" x14ac:dyDescent="0.3">
      <c r="L40" s="185" t="s">
        <v>174</v>
      </c>
      <c r="M40" s="183"/>
      <c r="N40" s="184"/>
      <c r="O40" s="183"/>
      <c r="P40" s="183"/>
      <c r="Q40" s="183"/>
      <c r="R40" s="183"/>
      <c r="S40" s="183"/>
      <c r="T40" s="183"/>
      <c r="U40" s="183"/>
      <c r="V40" s="183"/>
      <c r="W40" s="183"/>
      <c r="X40" s="182"/>
      <c r="AE40" s="45"/>
      <c r="AF40" s="18"/>
    </row>
    <row r="42" spans="2:51" x14ac:dyDescent="0.3">
      <c r="N42" s="181"/>
    </row>
    <row r="43" spans="2:51" x14ac:dyDescent="0.3">
      <c r="L43" s="1" t="s">
        <v>173</v>
      </c>
      <c r="AG43" s="1"/>
      <c r="AP43" s="1"/>
    </row>
    <row r="44" spans="2:51" x14ac:dyDescent="0.3">
      <c r="L44" s="180" t="s">
        <v>172</v>
      </c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8"/>
      <c r="AG44" s="17"/>
    </row>
    <row r="45" spans="2:51" x14ac:dyDescent="0.3">
      <c r="L45" s="176" t="s">
        <v>171</v>
      </c>
      <c r="X45" s="175"/>
    </row>
    <row r="46" spans="2:51" x14ac:dyDescent="0.3">
      <c r="L46" s="176" t="s">
        <v>170</v>
      </c>
      <c r="X46" s="175"/>
      <c r="AN46" s="45"/>
      <c r="AO46" s="177"/>
    </row>
    <row r="47" spans="2:51" x14ac:dyDescent="0.3">
      <c r="L47" s="176"/>
      <c r="X47" s="175"/>
      <c r="AM47" s="2"/>
    </row>
    <row r="48" spans="2:51" x14ac:dyDescent="0.3">
      <c r="L48" s="176" t="s">
        <v>169</v>
      </c>
      <c r="X48" s="175"/>
      <c r="AM48" s="2"/>
    </row>
    <row r="49" spans="12:39" x14ac:dyDescent="0.3">
      <c r="L49" s="176" t="s">
        <v>168</v>
      </c>
      <c r="X49" s="175"/>
      <c r="AM49" s="2"/>
    </row>
    <row r="50" spans="12:39" ht="16.2" x14ac:dyDescent="0.3">
      <c r="L50" s="176" t="s">
        <v>167</v>
      </c>
      <c r="X50" s="175"/>
      <c r="AM50" s="2"/>
    </row>
    <row r="51" spans="12:39" x14ac:dyDescent="0.3">
      <c r="L51" s="176" t="s">
        <v>166</v>
      </c>
      <c r="X51" s="175"/>
      <c r="AM51" s="2"/>
    </row>
    <row r="52" spans="12:39" x14ac:dyDescent="0.3">
      <c r="L52" s="176"/>
      <c r="X52" s="175"/>
      <c r="AM52" s="2"/>
    </row>
    <row r="53" spans="12:39" x14ac:dyDescent="0.3">
      <c r="L53" s="176" t="s">
        <v>165</v>
      </c>
      <c r="X53" s="175"/>
      <c r="AM53" s="2"/>
    </row>
    <row r="54" spans="12:39" x14ac:dyDescent="0.3">
      <c r="L54" s="176" t="s">
        <v>164</v>
      </c>
      <c r="X54" s="175"/>
      <c r="AM54" s="2"/>
    </row>
    <row r="55" spans="12:39" x14ac:dyDescent="0.3">
      <c r="L55" s="176" t="s">
        <v>163</v>
      </c>
      <c r="X55" s="175"/>
      <c r="AM55" s="2"/>
    </row>
    <row r="56" spans="12:39" x14ac:dyDescent="0.3">
      <c r="L56" s="176" t="s">
        <v>162</v>
      </c>
      <c r="X56" s="175"/>
      <c r="AM56" s="2"/>
    </row>
    <row r="57" spans="12:39" x14ac:dyDescent="0.3">
      <c r="L57" s="176"/>
      <c r="X57" s="175"/>
    </row>
    <row r="58" spans="12:39" x14ac:dyDescent="0.3">
      <c r="L58" s="176" t="s">
        <v>161</v>
      </c>
      <c r="X58" s="175"/>
    </row>
    <row r="59" spans="12:39" x14ac:dyDescent="0.3">
      <c r="L59" s="174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2"/>
    </row>
  </sheetData>
  <dataValidations count="1">
    <dataValidation type="list" allowBlank="1" showInputMessage="1" showErrorMessage="1" sqref="Z23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ieldCurveSolver">
                <anchor moveWithCells="1" sizeWithCells="1">
                  <from>
                    <xdr:col>25</xdr:col>
                    <xdr:colOff>0</xdr:colOff>
                    <xdr:row>25</xdr:row>
                    <xdr:rowOff>7620</xdr:rowOff>
                  </from>
                  <to>
                    <xdr:col>27</xdr:col>
                    <xdr:colOff>297180</xdr:colOff>
                    <xdr:row>29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E3C4-8EB6-450B-BD09-F6C3239F1056}">
  <sheetPr codeName="Sheet6">
    <tabColor theme="8" tint="0.39997558519241921"/>
  </sheetPr>
  <dimension ref="A1:AL55"/>
  <sheetViews>
    <sheetView showGridLines="0" zoomScaleNormal="100" workbookViewId="0">
      <selection activeCell="K1" sqref="K1"/>
    </sheetView>
  </sheetViews>
  <sheetFormatPr defaultColWidth="9.109375" defaultRowHeight="14.4" outlineLevelCol="1" x14ac:dyDescent="0.3"/>
  <cols>
    <col min="1" max="1" width="4.6640625" style="2" customWidth="1"/>
    <col min="2" max="2" width="17" style="2" bestFit="1" customWidth="1"/>
    <col min="3" max="3" width="19.44140625" style="2" bestFit="1" customWidth="1"/>
    <col min="4" max="4" width="4.88671875" style="2" customWidth="1" outlineLevel="1"/>
    <col min="5" max="13" width="11.6640625" style="2" customWidth="1" outlineLevel="1"/>
    <col min="14" max="14" width="8.88671875"/>
    <col min="15" max="15" width="4.88671875" style="2" customWidth="1" outlineLevel="1"/>
    <col min="16" max="21" width="11.6640625" style="2" customWidth="1" outlineLevel="1"/>
    <col min="22" max="22" width="11.6640625" style="18" customWidth="1" outlineLevel="1"/>
    <col min="23" max="27" width="11.6640625" style="2" customWidth="1" outlineLevel="1"/>
    <col min="28" max="28" width="8.88671875"/>
    <col min="29" max="29" width="11.109375" style="264" hidden="1" customWidth="1" outlineLevel="1"/>
    <col min="30" max="30" width="10.6640625" style="264" hidden="1" customWidth="1" outlineLevel="1"/>
    <col min="31" max="31" width="9.109375" hidden="1" customWidth="1" collapsed="1"/>
    <col min="32" max="32" width="9.109375" customWidth="1"/>
    <col min="33" max="33" width="20.6640625" style="2" customWidth="1"/>
    <col min="34" max="34" width="15.6640625" style="2" customWidth="1"/>
    <col min="35" max="35" width="9.109375" style="2"/>
    <col min="36" max="37" width="10.6640625" style="2" customWidth="1"/>
    <col min="38" max="16384" width="9.109375" style="2"/>
  </cols>
  <sheetData>
    <row r="1" spans="1:38" x14ac:dyDescent="0.3">
      <c r="N1" s="124" t="s">
        <v>320</v>
      </c>
      <c r="O1" s="124"/>
      <c r="AB1" s="124" t="s">
        <v>319</v>
      </c>
      <c r="AE1" s="338" t="s">
        <v>318</v>
      </c>
      <c r="AF1" s="338"/>
    </row>
    <row r="2" spans="1:38" x14ac:dyDescent="0.3">
      <c r="B2" s="337" t="s">
        <v>322</v>
      </c>
    </row>
    <row r="4" spans="1:38" x14ac:dyDescent="0.3">
      <c r="B4" s="336" t="s">
        <v>321</v>
      </c>
      <c r="E4" s="44" t="s">
        <v>320</v>
      </c>
      <c r="K4" s="28"/>
      <c r="L4" s="28"/>
      <c r="M4" s="28"/>
      <c r="P4" s="44" t="s">
        <v>319</v>
      </c>
      <c r="AA4" s="28"/>
      <c r="AC4" s="335" t="s">
        <v>318</v>
      </c>
      <c r="AG4" s="44" t="s">
        <v>317</v>
      </c>
      <c r="AJ4" s="44" t="s">
        <v>316</v>
      </c>
    </row>
    <row r="5" spans="1:38" ht="16.2" x14ac:dyDescent="0.3">
      <c r="A5" s="334">
        <f>IF(C5="PAYER",-1,1)</f>
        <v>-1</v>
      </c>
      <c r="B5" s="333" t="s">
        <v>315</v>
      </c>
      <c r="C5" s="332" t="s">
        <v>314</v>
      </c>
      <c r="D5" s="275" t="s">
        <v>308</v>
      </c>
      <c r="E5" s="331" t="s">
        <v>306</v>
      </c>
      <c r="F5" s="329" t="s">
        <v>305</v>
      </c>
      <c r="G5" s="329" t="s">
        <v>304</v>
      </c>
      <c r="H5" s="329" t="s">
        <v>313</v>
      </c>
      <c r="I5" s="329" t="s">
        <v>302</v>
      </c>
      <c r="J5" s="329" t="s">
        <v>312</v>
      </c>
      <c r="K5" s="329" t="s">
        <v>311</v>
      </c>
      <c r="L5" s="329" t="s">
        <v>310</v>
      </c>
      <c r="M5" s="328" t="s">
        <v>309</v>
      </c>
      <c r="O5" s="274" t="s">
        <v>308</v>
      </c>
      <c r="P5" s="331" t="s">
        <v>307</v>
      </c>
      <c r="Q5" s="329" t="s">
        <v>306</v>
      </c>
      <c r="R5" s="329" t="s">
        <v>305</v>
      </c>
      <c r="S5" s="329" t="s">
        <v>304</v>
      </c>
      <c r="T5" s="329" t="s">
        <v>303</v>
      </c>
      <c r="U5" s="329" t="s">
        <v>302</v>
      </c>
      <c r="V5" s="330" t="s">
        <v>301</v>
      </c>
      <c r="W5" s="329" t="s">
        <v>300</v>
      </c>
      <c r="X5" s="329" t="s">
        <v>299</v>
      </c>
      <c r="Y5" s="329" t="s">
        <v>298</v>
      </c>
      <c r="Z5" s="329" t="s">
        <v>297</v>
      </c>
      <c r="AA5" s="328" t="s">
        <v>296</v>
      </c>
      <c r="AC5" s="327" t="s">
        <v>295</v>
      </c>
      <c r="AD5" s="326" t="s">
        <v>294</v>
      </c>
      <c r="AG5" s="325" t="s">
        <v>293</v>
      </c>
      <c r="AH5" s="324"/>
      <c r="AJ5" s="313" t="s">
        <v>292</v>
      </c>
      <c r="AK5" s="45">
        <f>VLOOKUP(T,'IR Yield Curve'!$K$7:$M$17,3,0)</f>
        <v>4.0101699999999997E-2</v>
      </c>
    </row>
    <row r="6" spans="1:38" x14ac:dyDescent="0.3">
      <c r="B6" s="286" t="s">
        <v>17</v>
      </c>
      <c r="C6" s="323" t="s">
        <v>19</v>
      </c>
      <c r="D6" s="275">
        <v>1</v>
      </c>
      <c r="E6" s="322">
        <f ca="1">IF(AC6,AsOfDate,"")</f>
        <v>46062</v>
      </c>
      <c r="F6" s="321">
        <f t="shared" ref="F6:F37" ca="1" si="0">IF(AC6,E6+K6*365,"")</f>
        <v>46427</v>
      </c>
      <c r="G6" s="321">
        <f t="shared" ref="G6:G37" ca="1" si="1">IF(AC6,F6,"")</f>
        <v>46427</v>
      </c>
      <c r="H6" s="318">
        <f t="shared" ref="H6:H37" si="2">IF(AC6,$D6*tau_i,"")</f>
        <v>1</v>
      </c>
      <c r="I6" s="320">
        <f t="shared" ref="I6:I37" si="3">IF(AC6,N,"")</f>
        <v>1000000</v>
      </c>
      <c r="J6" s="319">
        <f t="shared" ref="J6:J37" si="4">IF(AC6,r_fixed,"")</f>
        <v>0.01</v>
      </c>
      <c r="K6" s="318">
        <f t="shared" ref="K6:K37" si="5">IF(AC6,tau_i,"")</f>
        <v>1</v>
      </c>
      <c r="L6" s="317">
        <f t="shared" ref="L6:L37" si="6">IF(AC6,cubicInterpolation(CurveResults.Times,IF(ApplyBump,CurveResults.DF.Bumped,CurveResults.DFs),H6),"")</f>
        <v>0.95518051063522103</v>
      </c>
      <c r="M6" s="316">
        <f t="shared" ref="M6:M37" si="7">IF(AC6,I6*J6*K6*L6,"")</f>
        <v>9551.8051063522107</v>
      </c>
      <c r="O6" s="274">
        <v>1</v>
      </c>
      <c r="P6" s="322">
        <f t="shared" ref="P6:P37" ca="1" si="8">IF(AD6,Q6,"")</f>
        <v>46062</v>
      </c>
      <c r="Q6" s="321">
        <f ca="1">IF(AD6,AsOfDate,"")</f>
        <v>46062</v>
      </c>
      <c r="R6" s="321">
        <f t="shared" ref="R6:R37" ca="1" si="9">IF(AD6,Q6+Y6*365,"")</f>
        <v>46427</v>
      </c>
      <c r="S6" s="321">
        <f t="shared" ref="S6:S37" ca="1" si="10">IF(AD6,R6,"")</f>
        <v>46427</v>
      </c>
      <c r="T6" s="318">
        <f t="shared" ref="T6:T37" si="11">IF(AD6,$O6*tau_j,"")</f>
        <v>1</v>
      </c>
      <c r="U6" s="320">
        <f t="shared" ref="U6:U37" si="12">IF(AD6,N,"")</f>
        <v>1000000</v>
      </c>
      <c r="V6" s="319" cm="1">
        <f t="array" ref="V6">IF(AD6,cubicInterpolation(CurveResults.Times,CurveResults.USDSOFR,T6)-IF(ApplyBump,0.0001,0),"")</f>
        <v>4.4297700000000037E-2</v>
      </c>
      <c r="W6" s="318">
        <f t="shared" ref="W6:W37" si="13">IF(AD6,s,"")</f>
        <v>0</v>
      </c>
      <c r="X6" s="319">
        <f t="shared" ref="X6:X37" si="14">IF(AD6,V6+(W6*0.0001),"")</f>
        <v>4.4297700000000037E-2</v>
      </c>
      <c r="Y6" s="318">
        <f t="shared" ref="Y6:Y37" si="15">IF(AD6,tau_j,"")</f>
        <v>1</v>
      </c>
      <c r="Z6" s="317">
        <f t="shared" ref="Z6:Z37" si="16">IF(AD6,cubicInterpolation(CurveResults.Times,IF(ApplyBump,CurveResults.DF.Bumped,CurveResults.DFs),T6),"")</f>
        <v>0.95518051063522103</v>
      </c>
      <c r="AA6" s="316">
        <f t="shared" ref="AA6:AA37" si="17">IF(AD6,U6*X6*Y6*Z6,"")</f>
        <v>42312.299705965859</v>
      </c>
      <c r="AC6" s="315" t="b">
        <f t="shared" ref="AC6:AC37" si="18">IF(D6&lt;=T,TRUE,FALSE)</f>
        <v>1</v>
      </c>
      <c r="AD6" s="314" t="b">
        <f t="shared" ref="AD6:AD37" si="19">IF(O6&lt;=T,TRUE,FALSE)</f>
        <v>1</v>
      </c>
      <c r="AG6" s="286" t="s">
        <v>275</v>
      </c>
      <c r="AH6" s="278">
        <f>Phi*SUM(PVlets_Fixed)</f>
        <v>-44108.698560399047</v>
      </c>
      <c r="AJ6" s="313" t="s">
        <v>291</v>
      </c>
      <c r="AK6" s="45">
        <f>C18</f>
        <v>4.0101700029074532E-2</v>
      </c>
    </row>
    <row r="7" spans="1:38" x14ac:dyDescent="0.3">
      <c r="B7" s="286" t="s">
        <v>290</v>
      </c>
      <c r="C7" s="312">
        <v>1000000</v>
      </c>
      <c r="D7" s="275">
        <f t="shared" ref="D7:D38" si="20">D6+1</f>
        <v>2</v>
      </c>
      <c r="E7" s="284">
        <f t="shared" ref="E7:E38" ca="1" si="21">IF(AC7,F6,"")</f>
        <v>46427</v>
      </c>
      <c r="F7" s="283">
        <f t="shared" ca="1" si="0"/>
        <v>46792</v>
      </c>
      <c r="G7" s="283">
        <f t="shared" ca="1" si="1"/>
        <v>46792</v>
      </c>
      <c r="H7" s="280">
        <f t="shared" si="2"/>
        <v>2</v>
      </c>
      <c r="I7" s="282">
        <f t="shared" si="3"/>
        <v>1000000</v>
      </c>
      <c r="J7" s="281">
        <f t="shared" si="4"/>
        <v>0.01</v>
      </c>
      <c r="K7" s="280">
        <f t="shared" si="5"/>
        <v>1</v>
      </c>
      <c r="L7" s="279">
        <f t="shared" si="6"/>
        <v>0.91525521397921195</v>
      </c>
      <c r="M7" s="278">
        <f t="shared" si="7"/>
        <v>9152.5521397921202</v>
      </c>
      <c r="O7" s="274">
        <f t="shared" ref="O7:O38" si="22">O6+1</f>
        <v>2</v>
      </c>
      <c r="P7" s="284">
        <f t="shared" ca="1" si="8"/>
        <v>46427</v>
      </c>
      <c r="Q7" s="283">
        <f t="shared" ref="Q7:Q38" ca="1" si="23">IF(AD7,R6,"")</f>
        <v>46427</v>
      </c>
      <c r="R7" s="283">
        <f t="shared" ca="1" si="9"/>
        <v>46792</v>
      </c>
      <c r="S7" s="283">
        <f t="shared" ca="1" si="10"/>
        <v>46792</v>
      </c>
      <c r="T7" s="280">
        <f t="shared" si="11"/>
        <v>2</v>
      </c>
      <c r="U7" s="282">
        <f t="shared" si="12"/>
        <v>1000000</v>
      </c>
      <c r="V7" s="281" cm="1">
        <f t="array" ref="V7">IF(AD7,cubicInterpolation(CurveResults.Times,CurveResults.USDSOFR,T7)-IF(ApplyBump,0.0001,0),"")</f>
        <v>4.118322001841742E-2</v>
      </c>
      <c r="W7" s="280">
        <f t="shared" si="13"/>
        <v>0</v>
      </c>
      <c r="X7" s="281">
        <f t="shared" si="14"/>
        <v>4.118322001841742E-2</v>
      </c>
      <c r="Y7" s="280">
        <f t="shared" si="15"/>
        <v>1</v>
      </c>
      <c r="Z7" s="279">
        <f t="shared" si="16"/>
        <v>0.91525521397921195</v>
      </c>
      <c r="AA7" s="278">
        <f t="shared" si="17"/>
        <v>37693.156850309599</v>
      </c>
      <c r="AC7" s="277" t="b">
        <f t="shared" si="18"/>
        <v>1</v>
      </c>
      <c r="AD7" s="276" t="b">
        <f t="shared" si="19"/>
        <v>1</v>
      </c>
      <c r="AG7" s="286" t="s">
        <v>273</v>
      </c>
      <c r="AH7" s="278">
        <f>-Phi*SUM(PVlets_Float)</f>
        <v>176883.37983419944</v>
      </c>
      <c r="AJ7" s="311" t="s">
        <v>69</v>
      </c>
      <c r="AK7" s="45">
        <f>AK6-AK5</f>
        <v>2.9074534446671407E-11</v>
      </c>
      <c r="AL7" s="310"/>
    </row>
    <row r="8" spans="1:38" ht="16.2" x14ac:dyDescent="0.3">
      <c r="B8" s="286" t="s">
        <v>289</v>
      </c>
      <c r="C8" s="309">
        <v>0.01</v>
      </c>
      <c r="D8" s="275">
        <f t="shared" si="20"/>
        <v>3</v>
      </c>
      <c r="E8" s="284">
        <f t="shared" ca="1" si="21"/>
        <v>46792</v>
      </c>
      <c r="F8" s="283">
        <f t="shared" ca="1" si="0"/>
        <v>47157</v>
      </c>
      <c r="G8" s="283">
        <f t="shared" ca="1" si="1"/>
        <v>47157</v>
      </c>
      <c r="H8" s="280">
        <f t="shared" si="2"/>
        <v>3</v>
      </c>
      <c r="I8" s="282">
        <f t="shared" si="3"/>
        <v>1000000</v>
      </c>
      <c r="J8" s="281">
        <f t="shared" si="4"/>
        <v>0.01</v>
      </c>
      <c r="K8" s="280">
        <f t="shared" si="5"/>
        <v>1</v>
      </c>
      <c r="L8" s="279">
        <f t="shared" si="6"/>
        <v>0.87931148332785924</v>
      </c>
      <c r="M8" s="278">
        <f t="shared" si="7"/>
        <v>8793.1148332785924</v>
      </c>
      <c r="O8" s="274">
        <f t="shared" si="22"/>
        <v>3</v>
      </c>
      <c r="P8" s="284">
        <f t="shared" ca="1" si="8"/>
        <v>46792</v>
      </c>
      <c r="Q8" s="283">
        <f t="shared" ca="1" si="23"/>
        <v>46792</v>
      </c>
      <c r="R8" s="283">
        <f t="shared" ca="1" si="9"/>
        <v>47157</v>
      </c>
      <c r="S8" s="283">
        <f t="shared" ca="1" si="10"/>
        <v>47157</v>
      </c>
      <c r="T8" s="280">
        <f t="shared" si="11"/>
        <v>3</v>
      </c>
      <c r="U8" s="282">
        <f t="shared" si="12"/>
        <v>1000000</v>
      </c>
      <c r="V8" s="281" cm="1">
        <f t="array" ref="V8">IF(AD8,cubicInterpolation(CurveResults.Times,CurveResults.USDSOFR,T8)-IF(ApplyBump,0.0001,0),"")</f>
        <v>3.9102414838936221E-2</v>
      </c>
      <c r="W8" s="280">
        <f t="shared" si="13"/>
        <v>0</v>
      </c>
      <c r="X8" s="281">
        <f t="shared" si="14"/>
        <v>3.9102414838936221E-2</v>
      </c>
      <c r="Y8" s="280">
        <f t="shared" si="15"/>
        <v>1</v>
      </c>
      <c r="Z8" s="279">
        <f t="shared" si="16"/>
        <v>0.87931148332785924</v>
      </c>
      <c r="AA8" s="278">
        <f t="shared" si="17"/>
        <v>34383.202393726307</v>
      </c>
      <c r="AC8" s="277" t="b">
        <f t="shared" si="18"/>
        <v>1</v>
      </c>
      <c r="AD8" s="276" t="b">
        <f t="shared" si="19"/>
        <v>1</v>
      </c>
      <c r="AG8" s="286" t="s">
        <v>288</v>
      </c>
      <c r="AH8" s="278">
        <f>-Phi*SUMPRODUCT(U6:U55,W6:W55,Y6:Y55,Z6:Z55)/10000</f>
        <v>0</v>
      </c>
    </row>
    <row r="9" spans="1:38" x14ac:dyDescent="0.3">
      <c r="A9" s="342">
        <f>IF(C9="ANNUAL",1,IF(C9="SEMI-ANNUAL",0.5,IF(C9="QUARTERLY",0.25,1/12)))</f>
        <v>1</v>
      </c>
      <c r="B9" s="286" t="s">
        <v>287</v>
      </c>
      <c r="C9" s="323" t="s">
        <v>327</v>
      </c>
      <c r="D9" s="275">
        <f t="shared" si="20"/>
        <v>4</v>
      </c>
      <c r="E9" s="284">
        <f t="shared" ca="1" si="21"/>
        <v>47157</v>
      </c>
      <c r="F9" s="283">
        <f t="shared" ca="1" si="0"/>
        <v>47522</v>
      </c>
      <c r="G9" s="283">
        <f t="shared" ca="1" si="1"/>
        <v>47522</v>
      </c>
      <c r="H9" s="280">
        <f t="shared" si="2"/>
        <v>4</v>
      </c>
      <c r="I9" s="282">
        <f t="shared" si="3"/>
        <v>1000000</v>
      </c>
      <c r="J9" s="281">
        <f t="shared" si="4"/>
        <v>0.01</v>
      </c>
      <c r="K9" s="280">
        <f t="shared" si="5"/>
        <v>1</v>
      </c>
      <c r="L9" s="279">
        <f t="shared" si="6"/>
        <v>0.84616093081343713</v>
      </c>
      <c r="M9" s="278">
        <f t="shared" si="7"/>
        <v>8461.6093081343715</v>
      </c>
      <c r="O9" s="274">
        <f t="shared" si="22"/>
        <v>4</v>
      </c>
      <c r="P9" s="284">
        <f t="shared" ca="1" si="8"/>
        <v>47157</v>
      </c>
      <c r="Q9" s="283">
        <f t="shared" ca="1" si="23"/>
        <v>47157</v>
      </c>
      <c r="R9" s="283">
        <f t="shared" ca="1" si="9"/>
        <v>47522</v>
      </c>
      <c r="S9" s="283">
        <f t="shared" ca="1" si="10"/>
        <v>47522</v>
      </c>
      <c r="T9" s="280">
        <f t="shared" si="11"/>
        <v>4</v>
      </c>
      <c r="U9" s="282">
        <f t="shared" si="12"/>
        <v>1000000</v>
      </c>
      <c r="V9" s="281" cm="1">
        <f t="array" ref="V9">IF(AD9,cubicInterpolation(CurveResults.Times,CurveResults.USDSOFR,T9)-IF(ApplyBump,0.0001,0),"")</f>
        <v>3.7885484953529648E-2</v>
      </c>
      <c r="W9" s="280">
        <f t="shared" si="13"/>
        <v>0</v>
      </c>
      <c r="X9" s="281">
        <f t="shared" si="14"/>
        <v>3.7885484953529648E-2</v>
      </c>
      <c r="Y9" s="280">
        <f t="shared" si="15"/>
        <v>1</v>
      </c>
      <c r="Z9" s="279">
        <f t="shared" si="16"/>
        <v>0.84616093081343713</v>
      </c>
      <c r="AA9" s="278">
        <f t="shared" si="17"/>
        <v>32057.217212597112</v>
      </c>
      <c r="AC9" s="277" t="b">
        <f t="shared" si="18"/>
        <v>1</v>
      </c>
      <c r="AD9" s="276" t="b">
        <f t="shared" si="19"/>
        <v>1</v>
      </c>
      <c r="AG9" s="286" t="s">
        <v>28</v>
      </c>
      <c r="AH9" s="278">
        <f>PV_FixedLeg+PV_FloatLeg</f>
        <v>132774.68127380038</v>
      </c>
      <c r="AJ9" s="44" t="s">
        <v>286</v>
      </c>
    </row>
    <row r="10" spans="1:38" x14ac:dyDescent="0.3">
      <c r="A10" s="342">
        <f>IF(C10="ANNUAL",1,IF(C10="SEMI-ANNUAL",0.5,IF(C10="QUARTERLY",0.25,1/12)))</f>
        <v>1</v>
      </c>
      <c r="B10" s="286" t="s">
        <v>285</v>
      </c>
      <c r="C10" s="323" t="s">
        <v>327</v>
      </c>
      <c r="D10" s="275">
        <f t="shared" si="20"/>
        <v>5</v>
      </c>
      <c r="E10" s="284">
        <f t="shared" ca="1" si="21"/>
        <v>47522</v>
      </c>
      <c r="F10" s="283">
        <f t="shared" ca="1" si="0"/>
        <v>47887</v>
      </c>
      <c r="G10" s="283">
        <f t="shared" ca="1" si="1"/>
        <v>47887</v>
      </c>
      <c r="H10" s="280">
        <f t="shared" si="2"/>
        <v>5</v>
      </c>
      <c r="I10" s="282">
        <f t="shared" si="3"/>
        <v>1000000</v>
      </c>
      <c r="J10" s="281">
        <f t="shared" si="4"/>
        <v>0.01</v>
      </c>
      <c r="K10" s="280">
        <f t="shared" si="5"/>
        <v>1</v>
      </c>
      <c r="L10" s="279">
        <f t="shared" si="6"/>
        <v>0.81496171728417521</v>
      </c>
      <c r="M10" s="278">
        <f t="shared" si="7"/>
        <v>8149.6171728417521</v>
      </c>
      <c r="O10" s="274">
        <f t="shared" si="22"/>
        <v>5</v>
      </c>
      <c r="P10" s="284">
        <f t="shared" ca="1" si="8"/>
        <v>47522</v>
      </c>
      <c r="Q10" s="283">
        <f t="shared" ca="1" si="23"/>
        <v>47522</v>
      </c>
      <c r="R10" s="283">
        <f t="shared" ca="1" si="9"/>
        <v>47887</v>
      </c>
      <c r="S10" s="283">
        <f t="shared" ca="1" si="10"/>
        <v>47887</v>
      </c>
      <c r="T10" s="280">
        <f t="shared" si="11"/>
        <v>5</v>
      </c>
      <c r="U10" s="282">
        <f t="shared" si="12"/>
        <v>1000000</v>
      </c>
      <c r="V10" s="281" cm="1">
        <f t="array" ref="V10">IF(AD10,cubicInterpolation(CurveResults.Times,CurveResults.USDSOFR,T10)-IF(ApplyBump,0.0001,0),"")</f>
        <v>3.7348384624779976E-2</v>
      </c>
      <c r="W10" s="280">
        <f t="shared" si="13"/>
        <v>0</v>
      </c>
      <c r="X10" s="281">
        <f t="shared" si="14"/>
        <v>3.7348384624779976E-2</v>
      </c>
      <c r="Y10" s="280">
        <f t="shared" si="15"/>
        <v>1</v>
      </c>
      <c r="Z10" s="279">
        <f t="shared" si="16"/>
        <v>0.81496171728417521</v>
      </c>
      <c r="AA10" s="278">
        <f t="shared" si="17"/>
        <v>30437.503671600574</v>
      </c>
      <c r="AC10" s="277" t="b">
        <f t="shared" si="18"/>
        <v>1</v>
      </c>
      <c r="AD10" s="276" t="b">
        <f t="shared" si="19"/>
        <v>1</v>
      </c>
      <c r="AG10" s="286" t="s">
        <v>284</v>
      </c>
      <c r="AH10" s="308">
        <f>ABS(PV_FloatLeg)/Annuity_Fixed</f>
        <v>4.0101700029074532E-2</v>
      </c>
      <c r="AJ10" s="2" t="str">
        <f>'IR Yield Curve'!L7</f>
        <v>Tenor</v>
      </c>
      <c r="AK10" s="2" t="str">
        <f>'IR Yield Curve'!M7</f>
        <v>ParRate, P</v>
      </c>
    </row>
    <row r="11" spans="1:38" x14ac:dyDescent="0.3">
      <c r="B11" s="286" t="s">
        <v>283</v>
      </c>
      <c r="C11" s="307">
        <v>0</v>
      </c>
      <c r="D11" s="275">
        <f t="shared" si="20"/>
        <v>6</v>
      </c>
      <c r="E11" s="284" t="str">
        <f t="shared" si="21"/>
        <v/>
      </c>
      <c r="F11" s="283" t="str">
        <f t="shared" si="0"/>
        <v/>
      </c>
      <c r="G11" s="283" t="str">
        <f t="shared" si="1"/>
        <v/>
      </c>
      <c r="H11" s="280" t="str">
        <f t="shared" si="2"/>
        <v/>
      </c>
      <c r="I11" s="282" t="str">
        <f t="shared" si="3"/>
        <v/>
      </c>
      <c r="J11" s="281" t="str">
        <f t="shared" si="4"/>
        <v/>
      </c>
      <c r="K11" s="280" t="str">
        <f t="shared" si="5"/>
        <v/>
      </c>
      <c r="L11" s="279" t="str">
        <f t="shared" si="6"/>
        <v/>
      </c>
      <c r="M11" s="278" t="str">
        <f t="shared" si="7"/>
        <v/>
      </c>
      <c r="O11" s="274">
        <f t="shared" si="22"/>
        <v>6</v>
      </c>
      <c r="P11" s="284" t="str">
        <f t="shared" si="8"/>
        <v/>
      </c>
      <c r="Q11" s="283" t="str">
        <f t="shared" si="23"/>
        <v/>
      </c>
      <c r="R11" s="283" t="str">
        <f t="shared" si="9"/>
        <v/>
      </c>
      <c r="S11" s="283" t="str">
        <f t="shared" si="10"/>
        <v/>
      </c>
      <c r="T11" s="280" t="str">
        <f t="shared" si="11"/>
        <v/>
      </c>
      <c r="U11" s="282" t="str">
        <f t="shared" si="12"/>
        <v/>
      </c>
      <c r="V11" s="281" t="str" cm="1">
        <f t="array" ref="V11">IF(AD11,cubicInterpolation(CurveResults.Times,CurveResults.USDSOFR,T11)-IF(ApplyBump,0.0001,0),"")</f>
        <v/>
      </c>
      <c r="W11" s="280" t="str">
        <f t="shared" si="13"/>
        <v/>
      </c>
      <c r="X11" s="281" t="str">
        <f t="shared" si="14"/>
        <v/>
      </c>
      <c r="Y11" s="280" t="str">
        <f t="shared" si="15"/>
        <v/>
      </c>
      <c r="Z11" s="279" t="str">
        <f t="shared" si="16"/>
        <v/>
      </c>
      <c r="AA11" s="278" t="str">
        <f t="shared" si="17"/>
        <v/>
      </c>
      <c r="AC11" s="277" t="b">
        <f t="shared" si="18"/>
        <v>0</v>
      </c>
      <c r="AD11" s="276" t="b">
        <f t="shared" si="19"/>
        <v>0</v>
      </c>
      <c r="AG11" s="292"/>
      <c r="AH11" s="288"/>
      <c r="AJ11" s="306" t="str">
        <f>'IR Yield Curve'!L8</f>
        <v>1Y</v>
      </c>
      <c r="AK11" s="305">
        <f>'IR Yield Curve'!M8</f>
        <v>4.4297700000000037E-2</v>
      </c>
    </row>
    <row r="12" spans="1:38" x14ac:dyDescent="0.3">
      <c r="B12" s="285" t="s">
        <v>282</v>
      </c>
      <c r="C12" s="304">
        <v>5</v>
      </c>
      <c r="D12" s="275">
        <f t="shared" si="20"/>
        <v>7</v>
      </c>
      <c r="E12" s="284" t="str">
        <f t="shared" si="21"/>
        <v/>
      </c>
      <c r="F12" s="283" t="str">
        <f t="shared" si="0"/>
        <v/>
      </c>
      <c r="G12" s="283" t="str">
        <f t="shared" si="1"/>
        <v/>
      </c>
      <c r="H12" s="280" t="str">
        <f t="shared" si="2"/>
        <v/>
      </c>
      <c r="I12" s="282" t="str">
        <f t="shared" si="3"/>
        <v/>
      </c>
      <c r="J12" s="281" t="str">
        <f t="shared" si="4"/>
        <v/>
      </c>
      <c r="K12" s="280" t="str">
        <f t="shared" si="5"/>
        <v/>
      </c>
      <c r="L12" s="279" t="str">
        <f t="shared" si="6"/>
        <v/>
      </c>
      <c r="M12" s="278" t="str">
        <f t="shared" si="7"/>
        <v/>
      </c>
      <c r="O12" s="274">
        <f t="shared" si="22"/>
        <v>7</v>
      </c>
      <c r="P12" s="284" t="str">
        <f t="shared" si="8"/>
        <v/>
      </c>
      <c r="Q12" s="283" t="str">
        <f t="shared" si="23"/>
        <v/>
      </c>
      <c r="R12" s="283" t="str">
        <f t="shared" si="9"/>
        <v/>
      </c>
      <c r="S12" s="283" t="str">
        <f t="shared" si="10"/>
        <v/>
      </c>
      <c r="T12" s="280" t="str">
        <f t="shared" si="11"/>
        <v/>
      </c>
      <c r="U12" s="282" t="str">
        <f t="shared" si="12"/>
        <v/>
      </c>
      <c r="V12" s="281" t="str" cm="1">
        <f t="array" ref="V12">IF(AD12,cubicInterpolation(CurveResults.Times,CurveResults.USDSOFR,T12)-IF(ApplyBump,0.0001,0),"")</f>
        <v/>
      </c>
      <c r="W12" s="280" t="str">
        <f t="shared" si="13"/>
        <v/>
      </c>
      <c r="X12" s="281" t="str">
        <f t="shared" si="14"/>
        <v/>
      </c>
      <c r="Y12" s="280" t="str">
        <f t="shared" si="15"/>
        <v/>
      </c>
      <c r="Z12" s="279" t="str">
        <f t="shared" si="16"/>
        <v/>
      </c>
      <c r="AA12" s="278" t="str">
        <f t="shared" si="17"/>
        <v/>
      </c>
      <c r="AC12" s="277" t="b">
        <f t="shared" si="18"/>
        <v>0</v>
      </c>
      <c r="AD12" s="276" t="b">
        <f t="shared" si="19"/>
        <v>0</v>
      </c>
      <c r="AG12" s="289" t="s">
        <v>281</v>
      </c>
      <c r="AH12" s="288"/>
      <c r="AJ12" s="301" t="str">
        <f>'IR Yield Curve'!L9</f>
        <v>2Y</v>
      </c>
      <c r="AK12" s="300">
        <f>'IR Yield Curve'!M9</f>
        <v>4.2773700000000033E-2</v>
      </c>
    </row>
    <row r="13" spans="1:38" ht="16.2" x14ac:dyDescent="0.3">
      <c r="D13" s="275">
        <f t="shared" si="20"/>
        <v>8</v>
      </c>
      <c r="E13" s="284" t="str">
        <f t="shared" si="21"/>
        <v/>
      </c>
      <c r="F13" s="283" t="str">
        <f t="shared" si="0"/>
        <v/>
      </c>
      <c r="G13" s="283" t="str">
        <f t="shared" si="1"/>
        <v/>
      </c>
      <c r="H13" s="280" t="str">
        <f t="shared" si="2"/>
        <v/>
      </c>
      <c r="I13" s="282" t="str">
        <f t="shared" si="3"/>
        <v/>
      </c>
      <c r="J13" s="281" t="str">
        <f t="shared" si="4"/>
        <v/>
      </c>
      <c r="K13" s="280" t="str">
        <f t="shared" si="5"/>
        <v/>
      </c>
      <c r="L13" s="279" t="str">
        <f t="shared" si="6"/>
        <v/>
      </c>
      <c r="M13" s="278" t="str">
        <f t="shared" si="7"/>
        <v/>
      </c>
      <c r="O13" s="274">
        <f t="shared" si="22"/>
        <v>8</v>
      </c>
      <c r="P13" s="284" t="str">
        <f t="shared" si="8"/>
        <v/>
      </c>
      <c r="Q13" s="283" t="str">
        <f t="shared" si="23"/>
        <v/>
      </c>
      <c r="R13" s="283" t="str">
        <f t="shared" si="9"/>
        <v/>
      </c>
      <c r="S13" s="283" t="str">
        <f t="shared" si="10"/>
        <v/>
      </c>
      <c r="T13" s="280" t="str">
        <f t="shared" si="11"/>
        <v/>
      </c>
      <c r="U13" s="282" t="str">
        <f t="shared" si="12"/>
        <v/>
      </c>
      <c r="V13" s="281" t="str" cm="1">
        <f t="array" ref="V13">IF(AD13,cubicInterpolation(CurveResults.Times,CurveResults.USDSOFR,T13)-IF(ApplyBump,0.0001,0),"")</f>
        <v/>
      </c>
      <c r="W13" s="280" t="str">
        <f t="shared" si="13"/>
        <v/>
      </c>
      <c r="X13" s="281" t="str">
        <f t="shared" si="14"/>
        <v/>
      </c>
      <c r="Y13" s="280" t="str">
        <f t="shared" si="15"/>
        <v/>
      </c>
      <c r="Z13" s="279" t="str">
        <f t="shared" si="16"/>
        <v/>
      </c>
      <c r="AA13" s="278" t="str">
        <f t="shared" si="17"/>
        <v/>
      </c>
      <c r="AC13" s="277" t="b">
        <f t="shared" si="18"/>
        <v>0</v>
      </c>
      <c r="AD13" s="276" t="b">
        <f t="shared" si="19"/>
        <v>0</v>
      </c>
      <c r="AG13" s="286" t="s">
        <v>280</v>
      </c>
      <c r="AH13" s="303">
        <f>SUMPRODUCT(K6:K55,L6:L55)</f>
        <v>4.4108698560399047</v>
      </c>
      <c r="AJ13" s="301" t="str">
        <f>'IR Yield Curve'!L10</f>
        <v>3Y</v>
      </c>
      <c r="AK13" s="300">
        <f>'IR Yield Curve'!M10</f>
        <v>4.1599700000000024E-2</v>
      </c>
    </row>
    <row r="14" spans="1:38" ht="16.2" x14ac:dyDescent="0.3">
      <c r="B14" s="44" t="s">
        <v>279</v>
      </c>
      <c r="D14" s="275">
        <f t="shared" si="20"/>
        <v>9</v>
      </c>
      <c r="E14" s="284" t="str">
        <f t="shared" si="21"/>
        <v/>
      </c>
      <c r="F14" s="283" t="str">
        <f t="shared" si="0"/>
        <v/>
      </c>
      <c r="G14" s="283" t="str">
        <f t="shared" si="1"/>
        <v/>
      </c>
      <c r="H14" s="280" t="str">
        <f t="shared" si="2"/>
        <v/>
      </c>
      <c r="I14" s="282" t="str">
        <f t="shared" si="3"/>
        <v/>
      </c>
      <c r="J14" s="281" t="str">
        <f t="shared" si="4"/>
        <v/>
      </c>
      <c r="K14" s="280" t="str">
        <f t="shared" si="5"/>
        <v/>
      </c>
      <c r="L14" s="279" t="str">
        <f t="shared" si="6"/>
        <v/>
      </c>
      <c r="M14" s="278" t="str">
        <f t="shared" si="7"/>
        <v/>
      </c>
      <c r="O14" s="274">
        <f t="shared" si="22"/>
        <v>9</v>
      </c>
      <c r="P14" s="284" t="str">
        <f t="shared" si="8"/>
        <v/>
      </c>
      <c r="Q14" s="283" t="str">
        <f t="shared" si="23"/>
        <v/>
      </c>
      <c r="R14" s="283" t="str">
        <f t="shared" si="9"/>
        <v/>
      </c>
      <c r="S14" s="283" t="str">
        <f t="shared" si="10"/>
        <v/>
      </c>
      <c r="T14" s="280" t="str">
        <f t="shared" si="11"/>
        <v/>
      </c>
      <c r="U14" s="282" t="str">
        <f t="shared" si="12"/>
        <v/>
      </c>
      <c r="V14" s="281" t="str" cm="1">
        <f t="array" ref="V14">IF(AD14,cubicInterpolation(CurveResults.Times,CurveResults.USDSOFR,T14)-IF(ApplyBump,0.0001,0),"")</f>
        <v/>
      </c>
      <c r="W14" s="280" t="str">
        <f t="shared" si="13"/>
        <v/>
      </c>
      <c r="X14" s="281" t="str">
        <f t="shared" si="14"/>
        <v/>
      </c>
      <c r="Y14" s="280" t="str">
        <f t="shared" si="15"/>
        <v/>
      </c>
      <c r="Z14" s="279" t="str">
        <f t="shared" si="16"/>
        <v/>
      </c>
      <c r="AA14" s="278" t="str">
        <f t="shared" si="17"/>
        <v/>
      </c>
      <c r="AC14" s="277" t="b">
        <f t="shared" si="18"/>
        <v>0</v>
      </c>
      <c r="AD14" s="276" t="b">
        <f t="shared" si="19"/>
        <v>0</v>
      </c>
      <c r="AG14" s="286" t="s">
        <v>278</v>
      </c>
      <c r="AH14" s="303">
        <f>SUMPRODUCT(Y6:Y55,Z6:Z55)</f>
        <v>4.4108698560399047</v>
      </c>
      <c r="AJ14" s="301" t="str">
        <f>'IR Yield Curve'!L11</f>
        <v>4Y</v>
      </c>
      <c r="AK14" s="300">
        <f>'IR Yield Curve'!M11</f>
        <v>4.0725700000000017E-2</v>
      </c>
    </row>
    <row r="15" spans="1:38" ht="16.2" x14ac:dyDescent="0.3">
      <c r="B15" s="296" t="s">
        <v>277</v>
      </c>
      <c r="C15" s="295">
        <f>PV_Swap</f>
        <v>132774.68127380038</v>
      </c>
      <c r="D15" s="275">
        <f t="shared" si="20"/>
        <v>10</v>
      </c>
      <c r="E15" s="284" t="str">
        <f t="shared" si="21"/>
        <v/>
      </c>
      <c r="F15" s="283" t="str">
        <f t="shared" si="0"/>
        <v/>
      </c>
      <c r="G15" s="283" t="str">
        <f t="shared" si="1"/>
        <v/>
      </c>
      <c r="H15" s="280" t="str">
        <f t="shared" si="2"/>
        <v/>
      </c>
      <c r="I15" s="282" t="str">
        <f t="shared" si="3"/>
        <v/>
      </c>
      <c r="J15" s="281" t="str">
        <f t="shared" si="4"/>
        <v/>
      </c>
      <c r="K15" s="280" t="str">
        <f t="shared" si="5"/>
        <v/>
      </c>
      <c r="L15" s="279" t="str">
        <f t="shared" si="6"/>
        <v/>
      </c>
      <c r="M15" s="278" t="str">
        <f t="shared" si="7"/>
        <v/>
      </c>
      <c r="O15" s="274">
        <f t="shared" si="22"/>
        <v>10</v>
      </c>
      <c r="P15" s="284" t="str">
        <f t="shared" si="8"/>
        <v/>
      </c>
      <c r="Q15" s="283" t="str">
        <f t="shared" si="23"/>
        <v/>
      </c>
      <c r="R15" s="283" t="str">
        <f t="shared" si="9"/>
        <v/>
      </c>
      <c r="S15" s="283" t="str">
        <f t="shared" si="10"/>
        <v/>
      </c>
      <c r="T15" s="280" t="str">
        <f t="shared" si="11"/>
        <v/>
      </c>
      <c r="U15" s="282" t="str">
        <f t="shared" si="12"/>
        <v/>
      </c>
      <c r="V15" s="281" t="str" cm="1">
        <f t="array" ref="V15">IF(AD15,cubicInterpolation(CurveResults.Times,CurveResults.USDSOFR,T15)-IF(ApplyBump,0.0001,0),"")</f>
        <v/>
      </c>
      <c r="W15" s="280" t="str">
        <f t="shared" si="13"/>
        <v/>
      </c>
      <c r="X15" s="281" t="str">
        <f t="shared" si="14"/>
        <v/>
      </c>
      <c r="Y15" s="280" t="str">
        <f t="shared" si="15"/>
        <v/>
      </c>
      <c r="Z15" s="279" t="str">
        <f t="shared" si="16"/>
        <v/>
      </c>
      <c r="AA15" s="278" t="str">
        <f t="shared" si="17"/>
        <v/>
      </c>
      <c r="AC15" s="277" t="b">
        <f t="shared" si="18"/>
        <v>0</v>
      </c>
      <c r="AD15" s="276" t="b">
        <f t="shared" si="19"/>
        <v>0</v>
      </c>
      <c r="AG15" s="286" t="s">
        <v>276</v>
      </c>
      <c r="AH15" s="278">
        <f>SUMPRODUCT(K6:K55,L6:L55,I6:I55)</f>
        <v>4410869.856039905</v>
      </c>
      <c r="AJ15" s="301" t="str">
        <f>'IR Yield Curve'!L12</f>
        <v>5Y</v>
      </c>
      <c r="AK15" s="300">
        <f>'IR Yield Curve'!M12</f>
        <v>4.0101699999999997E-2</v>
      </c>
    </row>
    <row r="16" spans="1:38" ht="16.2" x14ac:dyDescent="0.3">
      <c r="B16" s="294" t="s">
        <v>275</v>
      </c>
      <c r="C16" s="293">
        <f>PV_FixedLeg</f>
        <v>-44108.698560399047</v>
      </c>
      <c r="D16" s="275">
        <f t="shared" si="20"/>
        <v>11</v>
      </c>
      <c r="E16" s="284" t="str">
        <f t="shared" si="21"/>
        <v/>
      </c>
      <c r="F16" s="283" t="str">
        <f t="shared" si="0"/>
        <v/>
      </c>
      <c r="G16" s="283" t="str">
        <f t="shared" si="1"/>
        <v/>
      </c>
      <c r="H16" s="280" t="str">
        <f t="shared" si="2"/>
        <v/>
      </c>
      <c r="I16" s="282" t="str">
        <f t="shared" si="3"/>
        <v/>
      </c>
      <c r="J16" s="281" t="str">
        <f t="shared" si="4"/>
        <v/>
      </c>
      <c r="K16" s="280" t="str">
        <f t="shared" si="5"/>
        <v/>
      </c>
      <c r="L16" s="279" t="str">
        <f t="shared" si="6"/>
        <v/>
      </c>
      <c r="M16" s="278" t="str">
        <f t="shared" si="7"/>
        <v/>
      </c>
      <c r="O16" s="274">
        <f t="shared" si="22"/>
        <v>11</v>
      </c>
      <c r="P16" s="284" t="str">
        <f t="shared" si="8"/>
        <v/>
      </c>
      <c r="Q16" s="283" t="str">
        <f t="shared" si="23"/>
        <v/>
      </c>
      <c r="R16" s="283" t="str">
        <f t="shared" si="9"/>
        <v/>
      </c>
      <c r="S16" s="283" t="str">
        <f t="shared" si="10"/>
        <v/>
      </c>
      <c r="T16" s="280" t="str">
        <f t="shared" si="11"/>
        <v/>
      </c>
      <c r="U16" s="282" t="str">
        <f t="shared" si="12"/>
        <v/>
      </c>
      <c r="V16" s="281" t="str" cm="1">
        <f t="array" ref="V16">IF(AD16,cubicInterpolation(CurveResults.Times,CurveResults.USDSOFR,T16)-IF(ApplyBump,0.0001,0),"")</f>
        <v/>
      </c>
      <c r="W16" s="280" t="str">
        <f t="shared" si="13"/>
        <v/>
      </c>
      <c r="X16" s="281" t="str">
        <f t="shared" si="14"/>
        <v/>
      </c>
      <c r="Y16" s="280" t="str">
        <f t="shared" si="15"/>
        <v/>
      </c>
      <c r="Z16" s="279" t="str">
        <f t="shared" si="16"/>
        <v/>
      </c>
      <c r="AA16" s="278" t="str">
        <f t="shared" si="17"/>
        <v/>
      </c>
      <c r="AC16" s="277" t="b">
        <f t="shared" si="18"/>
        <v>0</v>
      </c>
      <c r="AD16" s="276" t="b">
        <f t="shared" si="19"/>
        <v>0</v>
      </c>
      <c r="AG16" s="286" t="s">
        <v>274</v>
      </c>
      <c r="AH16" s="278">
        <f>SUMPRODUCT(Y6:Y55,Z6:Z55,U6:U55)</f>
        <v>4410869.856039905</v>
      </c>
      <c r="AJ16" s="301" t="str">
        <f>'IR Yield Curve'!L13</f>
        <v>6Y</v>
      </c>
      <c r="AK16" s="300">
        <f>'IR Yield Curve'!M13</f>
        <v>3.9677700000000003E-2</v>
      </c>
    </row>
    <row r="17" spans="2:37" x14ac:dyDescent="0.3">
      <c r="B17" s="294" t="s">
        <v>273</v>
      </c>
      <c r="C17" s="293">
        <f>PV_FloatLeg</f>
        <v>176883.37983419944</v>
      </c>
      <c r="D17" s="275">
        <f t="shared" si="20"/>
        <v>12</v>
      </c>
      <c r="E17" s="284" t="str">
        <f t="shared" si="21"/>
        <v/>
      </c>
      <c r="F17" s="283" t="str">
        <f t="shared" si="0"/>
        <v/>
      </c>
      <c r="G17" s="283" t="str">
        <f t="shared" si="1"/>
        <v/>
      </c>
      <c r="H17" s="280" t="str">
        <f t="shared" si="2"/>
        <v/>
      </c>
      <c r="I17" s="282" t="str">
        <f t="shared" si="3"/>
        <v/>
      </c>
      <c r="J17" s="281" t="str">
        <f t="shared" si="4"/>
        <v/>
      </c>
      <c r="K17" s="280" t="str">
        <f t="shared" si="5"/>
        <v/>
      </c>
      <c r="L17" s="279" t="str">
        <f t="shared" si="6"/>
        <v/>
      </c>
      <c r="M17" s="278" t="str">
        <f t="shared" si="7"/>
        <v/>
      </c>
      <c r="O17" s="274">
        <f t="shared" si="22"/>
        <v>12</v>
      </c>
      <c r="P17" s="284" t="str">
        <f t="shared" si="8"/>
        <v/>
      </c>
      <c r="Q17" s="283" t="str">
        <f t="shared" si="23"/>
        <v/>
      </c>
      <c r="R17" s="283" t="str">
        <f t="shared" si="9"/>
        <v/>
      </c>
      <c r="S17" s="283" t="str">
        <f t="shared" si="10"/>
        <v/>
      </c>
      <c r="T17" s="280" t="str">
        <f t="shared" si="11"/>
        <v/>
      </c>
      <c r="U17" s="282" t="str">
        <f t="shared" si="12"/>
        <v/>
      </c>
      <c r="V17" s="281" t="str" cm="1">
        <f t="array" ref="V17">IF(AD17,cubicInterpolation(CurveResults.Times,CurveResults.USDSOFR,T17)-IF(ApplyBump,0.0001,0),"")</f>
        <v/>
      </c>
      <c r="W17" s="280" t="str">
        <f t="shared" si="13"/>
        <v/>
      </c>
      <c r="X17" s="281" t="str">
        <f t="shared" si="14"/>
        <v/>
      </c>
      <c r="Y17" s="280" t="str">
        <f t="shared" si="15"/>
        <v/>
      </c>
      <c r="Z17" s="279" t="str">
        <f t="shared" si="16"/>
        <v/>
      </c>
      <c r="AA17" s="278" t="str">
        <f t="shared" si="17"/>
        <v/>
      </c>
      <c r="AC17" s="277" t="b">
        <f t="shared" si="18"/>
        <v>0</v>
      </c>
      <c r="AD17" s="276" t="b">
        <f t="shared" si="19"/>
        <v>0</v>
      </c>
      <c r="AG17" s="292"/>
      <c r="AH17" s="288"/>
      <c r="AJ17" s="301" t="str">
        <f>'IR Yield Curve'!L14</f>
        <v>7Y</v>
      </c>
      <c r="AK17" s="300">
        <f>'IR Yield Curve'!M14</f>
        <v>3.9353699999999998E-2</v>
      </c>
    </row>
    <row r="18" spans="2:37" x14ac:dyDescent="0.3">
      <c r="B18" s="291" t="s">
        <v>105</v>
      </c>
      <c r="C18" s="302">
        <f>p</f>
        <v>4.0101700029074532E-2</v>
      </c>
      <c r="D18" s="275">
        <f t="shared" si="20"/>
        <v>13</v>
      </c>
      <c r="E18" s="284" t="str">
        <f t="shared" si="21"/>
        <v/>
      </c>
      <c r="F18" s="283" t="str">
        <f t="shared" si="0"/>
        <v/>
      </c>
      <c r="G18" s="283" t="str">
        <f t="shared" si="1"/>
        <v/>
      </c>
      <c r="H18" s="280" t="str">
        <f t="shared" si="2"/>
        <v/>
      </c>
      <c r="I18" s="282" t="str">
        <f t="shared" si="3"/>
        <v/>
      </c>
      <c r="J18" s="281" t="str">
        <f t="shared" si="4"/>
        <v/>
      </c>
      <c r="K18" s="280" t="str">
        <f t="shared" si="5"/>
        <v/>
      </c>
      <c r="L18" s="279" t="str">
        <f t="shared" si="6"/>
        <v/>
      </c>
      <c r="M18" s="278" t="str">
        <f t="shared" si="7"/>
        <v/>
      </c>
      <c r="O18" s="274">
        <f t="shared" si="22"/>
        <v>13</v>
      </c>
      <c r="P18" s="284" t="str">
        <f t="shared" si="8"/>
        <v/>
      </c>
      <c r="Q18" s="283" t="str">
        <f t="shared" si="23"/>
        <v/>
      </c>
      <c r="R18" s="283" t="str">
        <f t="shared" si="9"/>
        <v/>
      </c>
      <c r="S18" s="283" t="str">
        <f t="shared" si="10"/>
        <v/>
      </c>
      <c r="T18" s="280" t="str">
        <f t="shared" si="11"/>
        <v/>
      </c>
      <c r="U18" s="282" t="str">
        <f t="shared" si="12"/>
        <v/>
      </c>
      <c r="V18" s="281" t="str" cm="1">
        <f t="array" ref="V18">IF(AD18,cubicInterpolation(CurveResults.Times,CurveResults.USDSOFR,T18)-IF(ApplyBump,0.0001,0),"")</f>
        <v/>
      </c>
      <c r="W18" s="280" t="str">
        <f t="shared" si="13"/>
        <v/>
      </c>
      <c r="X18" s="281" t="str">
        <f t="shared" si="14"/>
        <v/>
      </c>
      <c r="Y18" s="280" t="str">
        <f t="shared" si="15"/>
        <v/>
      </c>
      <c r="Z18" s="279" t="str">
        <f t="shared" si="16"/>
        <v/>
      </c>
      <c r="AA18" s="278" t="str">
        <f t="shared" si="17"/>
        <v/>
      </c>
      <c r="AC18" s="277" t="b">
        <f t="shared" si="18"/>
        <v>0</v>
      </c>
      <c r="AD18" s="276" t="b">
        <f t="shared" si="19"/>
        <v>0</v>
      </c>
      <c r="AG18" s="289" t="s">
        <v>272</v>
      </c>
      <c r="AH18" s="288"/>
      <c r="AJ18" s="301" t="str">
        <f>'IR Yield Curve'!L15</f>
        <v>8Y</v>
      </c>
      <c r="AK18" s="300">
        <f>'IR Yield Curve'!M15</f>
        <v>3.9145600000000003E-2</v>
      </c>
    </row>
    <row r="19" spans="2:37" ht="16.2" x14ac:dyDescent="0.3">
      <c r="D19" s="275">
        <f t="shared" si="20"/>
        <v>14</v>
      </c>
      <c r="E19" s="284" t="str">
        <f t="shared" si="21"/>
        <v/>
      </c>
      <c r="F19" s="283" t="str">
        <f t="shared" si="0"/>
        <v/>
      </c>
      <c r="G19" s="283" t="str">
        <f t="shared" si="1"/>
        <v/>
      </c>
      <c r="H19" s="280" t="str">
        <f t="shared" si="2"/>
        <v/>
      </c>
      <c r="I19" s="282" t="str">
        <f t="shared" si="3"/>
        <v/>
      </c>
      <c r="J19" s="281" t="str">
        <f t="shared" si="4"/>
        <v/>
      </c>
      <c r="K19" s="280" t="str">
        <f t="shared" si="5"/>
        <v/>
      </c>
      <c r="L19" s="279" t="str">
        <f t="shared" si="6"/>
        <v/>
      </c>
      <c r="M19" s="278" t="str">
        <f t="shared" si="7"/>
        <v/>
      </c>
      <c r="O19" s="274">
        <f t="shared" si="22"/>
        <v>14</v>
      </c>
      <c r="P19" s="284" t="str">
        <f t="shared" si="8"/>
        <v/>
      </c>
      <c r="Q19" s="283" t="str">
        <f t="shared" si="23"/>
        <v/>
      </c>
      <c r="R19" s="283" t="str">
        <f t="shared" si="9"/>
        <v/>
      </c>
      <c r="S19" s="283" t="str">
        <f t="shared" si="10"/>
        <v/>
      </c>
      <c r="T19" s="280" t="str">
        <f t="shared" si="11"/>
        <v/>
      </c>
      <c r="U19" s="282" t="str">
        <f t="shared" si="12"/>
        <v/>
      </c>
      <c r="V19" s="281" t="str" cm="1">
        <f t="array" ref="V19">IF(AD19,cubicInterpolation(CurveResults.Times,CurveResults.USDSOFR,T19)-IF(ApplyBump,0.0001,0),"")</f>
        <v/>
      </c>
      <c r="W19" s="280" t="str">
        <f t="shared" si="13"/>
        <v/>
      </c>
      <c r="X19" s="281" t="str">
        <f t="shared" si="14"/>
        <v/>
      </c>
      <c r="Y19" s="280" t="str">
        <f t="shared" si="15"/>
        <v/>
      </c>
      <c r="Z19" s="279" t="str">
        <f t="shared" si="16"/>
        <v/>
      </c>
      <c r="AA19" s="278" t="str">
        <f t="shared" si="17"/>
        <v/>
      </c>
      <c r="AC19" s="277" t="b">
        <f t="shared" si="18"/>
        <v>0</v>
      </c>
      <c r="AD19" s="276" t="b">
        <f t="shared" si="19"/>
        <v>0</v>
      </c>
      <c r="AG19" s="286" t="s">
        <v>271</v>
      </c>
      <c r="AH19" s="299">
        <f>SUMPRODUCT(H6:H55,I6:I55,J6:J55,K6:K55,L6:L55)/SUMPRODUCT(I6:I55,J6:J55,K6:K55,L6:L55)*(1+p)</f>
        <v>3.0378840121999682</v>
      </c>
      <c r="AJ19" s="301" t="str">
        <f>'IR Yield Curve'!L16</f>
        <v>9Y</v>
      </c>
      <c r="AK19" s="300">
        <f>'IR Yield Curve'!M16</f>
        <v>3.9028399999999998E-2</v>
      </c>
    </row>
    <row r="20" spans="2:37" ht="16.2" x14ac:dyDescent="0.3">
      <c r="B20" s="44" t="s">
        <v>270</v>
      </c>
      <c r="D20" s="275">
        <f t="shared" si="20"/>
        <v>15</v>
      </c>
      <c r="E20" s="284" t="str">
        <f t="shared" si="21"/>
        <v/>
      </c>
      <c r="F20" s="283" t="str">
        <f t="shared" si="0"/>
        <v/>
      </c>
      <c r="G20" s="283" t="str">
        <f t="shared" si="1"/>
        <v/>
      </c>
      <c r="H20" s="280" t="str">
        <f t="shared" si="2"/>
        <v/>
      </c>
      <c r="I20" s="282" t="str">
        <f t="shared" si="3"/>
        <v/>
      </c>
      <c r="J20" s="281" t="str">
        <f t="shared" si="4"/>
        <v/>
      </c>
      <c r="K20" s="280" t="str">
        <f t="shared" si="5"/>
        <v/>
      </c>
      <c r="L20" s="279" t="str">
        <f t="shared" si="6"/>
        <v/>
      </c>
      <c r="M20" s="278" t="str">
        <f t="shared" si="7"/>
        <v/>
      </c>
      <c r="O20" s="274">
        <f t="shared" si="22"/>
        <v>15</v>
      </c>
      <c r="P20" s="284" t="str">
        <f t="shared" si="8"/>
        <v/>
      </c>
      <c r="Q20" s="283" t="str">
        <f t="shared" si="23"/>
        <v/>
      </c>
      <c r="R20" s="283" t="str">
        <f t="shared" si="9"/>
        <v/>
      </c>
      <c r="S20" s="283" t="str">
        <f t="shared" si="10"/>
        <v/>
      </c>
      <c r="T20" s="280" t="str">
        <f t="shared" si="11"/>
        <v/>
      </c>
      <c r="U20" s="282" t="str">
        <f t="shared" si="12"/>
        <v/>
      </c>
      <c r="V20" s="281" t="str" cm="1">
        <f t="array" ref="V20">IF(AD20,cubicInterpolation(CurveResults.Times,CurveResults.USDSOFR,T20)-IF(ApplyBump,0.0001,0),"")</f>
        <v/>
      </c>
      <c r="W20" s="280" t="str">
        <f t="shared" si="13"/>
        <v/>
      </c>
      <c r="X20" s="281" t="str">
        <f t="shared" si="14"/>
        <v/>
      </c>
      <c r="Y20" s="280" t="str">
        <f t="shared" si="15"/>
        <v/>
      </c>
      <c r="Z20" s="279" t="str">
        <f t="shared" si="16"/>
        <v/>
      </c>
      <c r="AA20" s="278" t="str">
        <f t="shared" si="17"/>
        <v/>
      </c>
      <c r="AC20" s="277" t="b">
        <f t="shared" si="18"/>
        <v>0</v>
      </c>
      <c r="AD20" s="276" t="b">
        <f t="shared" si="19"/>
        <v>0</v>
      </c>
      <c r="AG20" s="286" t="s">
        <v>269</v>
      </c>
      <c r="AH20" s="299">
        <f>SUMPRODUCT(T6:T55,U6:U55,Y6:Y55,X6:X55,Z6:Z55)/SUMPRODUCT(U6:U55,X6:X55,Y6:Y55,Z6:Z55)*(1+p)</f>
        <v>2.9475136172877736</v>
      </c>
      <c r="AJ20" s="298" t="str">
        <f>'IR Yield Curve'!L17</f>
        <v>10Y</v>
      </c>
      <c r="AK20" s="297">
        <f>'IR Yield Curve'!M17</f>
        <v>3.8961299999999997E-2</v>
      </c>
    </row>
    <row r="21" spans="2:37" x14ac:dyDescent="0.3">
      <c r="B21" s="296" t="s">
        <v>126</v>
      </c>
      <c r="C21" s="295">
        <f>PV01_</f>
        <v>-441.08698560399051</v>
      </c>
      <c r="D21" s="275">
        <f t="shared" si="20"/>
        <v>16</v>
      </c>
      <c r="E21" s="284" t="str">
        <f t="shared" si="21"/>
        <v/>
      </c>
      <c r="F21" s="283" t="str">
        <f t="shared" si="0"/>
        <v/>
      </c>
      <c r="G21" s="283" t="str">
        <f t="shared" si="1"/>
        <v/>
      </c>
      <c r="H21" s="280" t="str">
        <f t="shared" si="2"/>
        <v/>
      </c>
      <c r="I21" s="282" t="str">
        <f t="shared" si="3"/>
        <v/>
      </c>
      <c r="J21" s="281" t="str">
        <f t="shared" si="4"/>
        <v/>
      </c>
      <c r="K21" s="280" t="str">
        <f t="shared" si="5"/>
        <v/>
      </c>
      <c r="L21" s="279" t="str">
        <f t="shared" si="6"/>
        <v/>
      </c>
      <c r="M21" s="278" t="str">
        <f t="shared" si="7"/>
        <v/>
      </c>
      <c r="O21" s="274">
        <f t="shared" si="22"/>
        <v>16</v>
      </c>
      <c r="P21" s="284" t="str">
        <f t="shared" si="8"/>
        <v/>
      </c>
      <c r="Q21" s="283" t="str">
        <f t="shared" si="23"/>
        <v/>
      </c>
      <c r="R21" s="283" t="str">
        <f t="shared" si="9"/>
        <v/>
      </c>
      <c r="S21" s="283" t="str">
        <f t="shared" si="10"/>
        <v/>
      </c>
      <c r="T21" s="280" t="str">
        <f t="shared" si="11"/>
        <v/>
      </c>
      <c r="U21" s="282" t="str">
        <f t="shared" si="12"/>
        <v/>
      </c>
      <c r="V21" s="281" t="str" cm="1">
        <f t="array" ref="V21">IF(AD21,cubicInterpolation(CurveResults.Times,CurveResults.USDSOFR,T21)-IF(ApplyBump,0.0001,0),"")</f>
        <v/>
      </c>
      <c r="W21" s="280" t="str">
        <f t="shared" si="13"/>
        <v/>
      </c>
      <c r="X21" s="281" t="str">
        <f t="shared" si="14"/>
        <v/>
      </c>
      <c r="Y21" s="280" t="str">
        <f t="shared" si="15"/>
        <v/>
      </c>
      <c r="Z21" s="279" t="str">
        <f t="shared" si="16"/>
        <v/>
      </c>
      <c r="AA21" s="278" t="str">
        <f t="shared" si="17"/>
        <v/>
      </c>
      <c r="AC21" s="277" t="b">
        <f t="shared" si="18"/>
        <v>0</v>
      </c>
      <c r="AD21" s="276" t="b">
        <f t="shared" si="19"/>
        <v>0</v>
      </c>
      <c r="AG21" s="286" t="s">
        <v>126</v>
      </c>
      <c r="AH21" s="278">
        <f>Phi*Annuity_Fixed/10000</f>
        <v>-441.08698560399051</v>
      </c>
    </row>
    <row r="22" spans="2:37" x14ac:dyDescent="0.3">
      <c r="B22" s="294" t="s">
        <v>262</v>
      </c>
      <c r="C22" s="293">
        <f>NumericalDV01</f>
        <v>-442.6637963145331</v>
      </c>
      <c r="D22" s="275">
        <f t="shared" si="20"/>
        <v>17</v>
      </c>
      <c r="E22" s="284" t="str">
        <f t="shared" si="21"/>
        <v/>
      </c>
      <c r="F22" s="283" t="str">
        <f t="shared" si="0"/>
        <v/>
      </c>
      <c r="G22" s="283" t="str">
        <f t="shared" si="1"/>
        <v/>
      </c>
      <c r="H22" s="280" t="str">
        <f t="shared" si="2"/>
        <v/>
      </c>
      <c r="I22" s="282" t="str">
        <f t="shared" si="3"/>
        <v/>
      </c>
      <c r="J22" s="281" t="str">
        <f t="shared" si="4"/>
        <v/>
      </c>
      <c r="K22" s="280" t="str">
        <f t="shared" si="5"/>
        <v/>
      </c>
      <c r="L22" s="279" t="str">
        <f t="shared" si="6"/>
        <v/>
      </c>
      <c r="M22" s="278" t="str">
        <f t="shared" si="7"/>
        <v/>
      </c>
      <c r="O22" s="274">
        <f t="shared" si="22"/>
        <v>17</v>
      </c>
      <c r="P22" s="284" t="str">
        <f t="shared" si="8"/>
        <v/>
      </c>
      <c r="Q22" s="283" t="str">
        <f t="shared" si="23"/>
        <v/>
      </c>
      <c r="R22" s="283" t="str">
        <f t="shared" si="9"/>
        <v/>
      </c>
      <c r="S22" s="283" t="str">
        <f t="shared" si="10"/>
        <v/>
      </c>
      <c r="T22" s="280" t="str">
        <f t="shared" si="11"/>
        <v/>
      </c>
      <c r="U22" s="282" t="str">
        <f t="shared" si="12"/>
        <v/>
      </c>
      <c r="V22" s="281" t="str" cm="1">
        <f t="array" ref="V22">IF(AD22,cubicInterpolation(CurveResults.Times,CurveResults.USDSOFR,T22)-IF(ApplyBump,0.0001,0),"")</f>
        <v/>
      </c>
      <c r="W22" s="280" t="str">
        <f t="shared" si="13"/>
        <v/>
      </c>
      <c r="X22" s="281" t="str">
        <f t="shared" si="14"/>
        <v/>
      </c>
      <c r="Y22" s="280" t="str">
        <f t="shared" si="15"/>
        <v/>
      </c>
      <c r="Z22" s="279" t="str">
        <f t="shared" si="16"/>
        <v/>
      </c>
      <c r="AA22" s="278" t="str">
        <f t="shared" si="17"/>
        <v/>
      </c>
      <c r="AC22" s="277" t="b">
        <f t="shared" si="18"/>
        <v>0</v>
      </c>
      <c r="AD22" s="276" t="b">
        <f t="shared" si="19"/>
        <v>0</v>
      </c>
      <c r="AG22" s="286" t="s">
        <v>268</v>
      </c>
      <c r="AH22" s="278">
        <f>((Phi*Annuity_Fixed)+((PV_Swap-PV_FloatSpread)*DurationFixed)+(PV_FloatSpread*DurationFloat))/10000</f>
        <v>-400.75157745732804</v>
      </c>
    </row>
    <row r="23" spans="2:37" x14ac:dyDescent="0.3">
      <c r="B23" s="294" t="s">
        <v>267</v>
      </c>
      <c r="C23" s="293">
        <f>AnalyticalDV01</f>
        <v>-400.75157745732804</v>
      </c>
      <c r="D23" s="275">
        <f t="shared" si="20"/>
        <v>18</v>
      </c>
      <c r="E23" s="284" t="str">
        <f t="shared" si="21"/>
        <v/>
      </c>
      <c r="F23" s="283" t="str">
        <f t="shared" si="0"/>
        <v/>
      </c>
      <c r="G23" s="283" t="str">
        <f t="shared" si="1"/>
        <v/>
      </c>
      <c r="H23" s="280" t="str">
        <f t="shared" si="2"/>
        <v/>
      </c>
      <c r="I23" s="282" t="str">
        <f t="shared" si="3"/>
        <v/>
      </c>
      <c r="J23" s="281" t="str">
        <f t="shared" si="4"/>
        <v/>
      </c>
      <c r="K23" s="280" t="str">
        <f t="shared" si="5"/>
        <v/>
      </c>
      <c r="L23" s="279" t="str">
        <f t="shared" si="6"/>
        <v/>
      </c>
      <c r="M23" s="278" t="str">
        <f t="shared" si="7"/>
        <v/>
      </c>
      <c r="O23" s="274">
        <f t="shared" si="22"/>
        <v>18</v>
      </c>
      <c r="P23" s="284" t="str">
        <f t="shared" si="8"/>
        <v/>
      </c>
      <c r="Q23" s="283" t="str">
        <f t="shared" si="23"/>
        <v/>
      </c>
      <c r="R23" s="283" t="str">
        <f t="shared" si="9"/>
        <v/>
      </c>
      <c r="S23" s="283" t="str">
        <f t="shared" si="10"/>
        <v/>
      </c>
      <c r="T23" s="280" t="str">
        <f t="shared" si="11"/>
        <v/>
      </c>
      <c r="U23" s="282" t="str">
        <f t="shared" si="12"/>
        <v/>
      </c>
      <c r="V23" s="281" t="str" cm="1">
        <f t="array" ref="V23">IF(AD23,cubicInterpolation(CurveResults.Times,CurveResults.USDSOFR,T23)-IF(ApplyBump,0.0001,0),"")</f>
        <v/>
      </c>
      <c r="W23" s="280" t="str">
        <f t="shared" si="13"/>
        <v/>
      </c>
      <c r="X23" s="281" t="str">
        <f t="shared" si="14"/>
        <v/>
      </c>
      <c r="Y23" s="280" t="str">
        <f t="shared" si="15"/>
        <v/>
      </c>
      <c r="Z23" s="279" t="str">
        <f t="shared" si="16"/>
        <v/>
      </c>
      <c r="AA23" s="278" t="str">
        <f t="shared" si="17"/>
        <v/>
      </c>
      <c r="AC23" s="277" t="b">
        <f t="shared" si="18"/>
        <v>0</v>
      </c>
      <c r="AD23" s="276" t="b">
        <f t="shared" si="19"/>
        <v>0</v>
      </c>
      <c r="AG23" s="292"/>
      <c r="AH23" s="288"/>
    </row>
    <row r="24" spans="2:37" x14ac:dyDescent="0.3">
      <c r="B24" s="291" t="s">
        <v>69</v>
      </c>
      <c r="C24" s="290">
        <f>C23-C22</f>
        <v>41.912218857205062</v>
      </c>
      <c r="D24" s="275">
        <f t="shared" si="20"/>
        <v>19</v>
      </c>
      <c r="E24" s="284" t="str">
        <f t="shared" si="21"/>
        <v/>
      </c>
      <c r="F24" s="283" t="str">
        <f t="shared" si="0"/>
        <v/>
      </c>
      <c r="G24" s="283" t="str">
        <f t="shared" si="1"/>
        <v/>
      </c>
      <c r="H24" s="280" t="str">
        <f t="shared" si="2"/>
        <v/>
      </c>
      <c r="I24" s="282" t="str">
        <f t="shared" si="3"/>
        <v/>
      </c>
      <c r="J24" s="281" t="str">
        <f t="shared" si="4"/>
        <v/>
      </c>
      <c r="K24" s="280" t="str">
        <f t="shared" si="5"/>
        <v/>
      </c>
      <c r="L24" s="279" t="str">
        <f t="shared" si="6"/>
        <v/>
      </c>
      <c r="M24" s="278" t="str">
        <f t="shared" si="7"/>
        <v/>
      </c>
      <c r="O24" s="274">
        <f t="shared" si="22"/>
        <v>19</v>
      </c>
      <c r="P24" s="284" t="str">
        <f t="shared" si="8"/>
        <v/>
      </c>
      <c r="Q24" s="283" t="str">
        <f t="shared" si="23"/>
        <v/>
      </c>
      <c r="R24" s="283" t="str">
        <f t="shared" si="9"/>
        <v/>
      </c>
      <c r="S24" s="283" t="str">
        <f t="shared" si="10"/>
        <v/>
      </c>
      <c r="T24" s="280" t="str">
        <f t="shared" si="11"/>
        <v/>
      </c>
      <c r="U24" s="282" t="str">
        <f t="shared" si="12"/>
        <v/>
      </c>
      <c r="V24" s="281" t="str" cm="1">
        <f t="array" ref="V24">IF(AD24,cubicInterpolation(CurveResults.Times,CurveResults.USDSOFR,T24)-IF(ApplyBump,0.0001,0),"")</f>
        <v/>
      </c>
      <c r="W24" s="280" t="str">
        <f t="shared" si="13"/>
        <v/>
      </c>
      <c r="X24" s="281" t="str">
        <f t="shared" si="14"/>
        <v/>
      </c>
      <c r="Y24" s="280" t="str">
        <f t="shared" si="15"/>
        <v/>
      </c>
      <c r="Z24" s="279" t="str">
        <f t="shared" si="16"/>
        <v/>
      </c>
      <c r="AA24" s="278" t="str">
        <f t="shared" si="17"/>
        <v/>
      </c>
      <c r="AC24" s="277" t="b">
        <f t="shared" si="18"/>
        <v>0</v>
      </c>
      <c r="AD24" s="276" t="b">
        <f t="shared" si="19"/>
        <v>0</v>
      </c>
      <c r="AG24" s="289" t="s">
        <v>266</v>
      </c>
      <c r="AH24" s="288"/>
    </row>
    <row r="25" spans="2:37" x14ac:dyDescent="0.3">
      <c r="D25" s="275">
        <f t="shared" si="20"/>
        <v>20</v>
      </c>
      <c r="E25" s="284" t="str">
        <f t="shared" si="21"/>
        <v/>
      </c>
      <c r="F25" s="283" t="str">
        <f t="shared" si="0"/>
        <v/>
      </c>
      <c r="G25" s="283" t="str">
        <f t="shared" si="1"/>
        <v/>
      </c>
      <c r="H25" s="280" t="str">
        <f t="shared" si="2"/>
        <v/>
      </c>
      <c r="I25" s="282" t="str">
        <f t="shared" si="3"/>
        <v/>
      </c>
      <c r="J25" s="281" t="str">
        <f t="shared" si="4"/>
        <v/>
      </c>
      <c r="K25" s="280" t="str">
        <f t="shared" si="5"/>
        <v/>
      </c>
      <c r="L25" s="279" t="str">
        <f t="shared" si="6"/>
        <v/>
      </c>
      <c r="M25" s="278" t="str">
        <f t="shared" si="7"/>
        <v/>
      </c>
      <c r="O25" s="274">
        <f t="shared" si="22"/>
        <v>20</v>
      </c>
      <c r="P25" s="284" t="str">
        <f t="shared" si="8"/>
        <v/>
      </c>
      <c r="Q25" s="283" t="str">
        <f t="shared" si="23"/>
        <v/>
      </c>
      <c r="R25" s="283" t="str">
        <f t="shared" si="9"/>
        <v/>
      </c>
      <c r="S25" s="283" t="str">
        <f t="shared" si="10"/>
        <v/>
      </c>
      <c r="T25" s="280" t="str">
        <f t="shared" si="11"/>
        <v/>
      </c>
      <c r="U25" s="282" t="str">
        <f t="shared" si="12"/>
        <v/>
      </c>
      <c r="V25" s="281" t="str" cm="1">
        <f t="array" ref="V25">IF(AD25,cubicInterpolation(CurveResults.Times,CurveResults.USDSOFR,T25)-IF(ApplyBump,0.0001,0),"")</f>
        <v/>
      </c>
      <c r="W25" s="280" t="str">
        <f t="shared" si="13"/>
        <v/>
      </c>
      <c r="X25" s="281" t="str">
        <f t="shared" si="14"/>
        <v/>
      </c>
      <c r="Y25" s="280" t="str">
        <f t="shared" si="15"/>
        <v/>
      </c>
      <c r="Z25" s="279" t="str">
        <f t="shared" si="16"/>
        <v/>
      </c>
      <c r="AA25" s="278" t="str">
        <f t="shared" si="17"/>
        <v/>
      </c>
      <c r="AC25" s="277" t="b">
        <f t="shared" si="18"/>
        <v>0</v>
      </c>
      <c r="AD25" s="276" t="b">
        <f t="shared" si="19"/>
        <v>0</v>
      </c>
      <c r="AG25" s="286" t="s">
        <v>265</v>
      </c>
      <c r="AH25" s="287" t="b">
        <v>0</v>
      </c>
    </row>
    <row r="26" spans="2:37" x14ac:dyDescent="0.3">
      <c r="D26" s="275">
        <f t="shared" si="20"/>
        <v>21</v>
      </c>
      <c r="E26" s="284" t="str">
        <f t="shared" si="21"/>
        <v/>
      </c>
      <c r="F26" s="283" t="str">
        <f t="shared" si="0"/>
        <v/>
      </c>
      <c r="G26" s="283" t="str">
        <f t="shared" si="1"/>
        <v/>
      </c>
      <c r="H26" s="280" t="str">
        <f t="shared" si="2"/>
        <v/>
      </c>
      <c r="I26" s="282" t="str">
        <f t="shared" si="3"/>
        <v/>
      </c>
      <c r="J26" s="281" t="str">
        <f t="shared" si="4"/>
        <v/>
      </c>
      <c r="K26" s="280" t="str">
        <f t="shared" si="5"/>
        <v/>
      </c>
      <c r="L26" s="279" t="str">
        <f t="shared" si="6"/>
        <v/>
      </c>
      <c r="M26" s="278" t="str">
        <f t="shared" si="7"/>
        <v/>
      </c>
      <c r="O26" s="274">
        <f t="shared" si="22"/>
        <v>21</v>
      </c>
      <c r="P26" s="284" t="str">
        <f t="shared" si="8"/>
        <v/>
      </c>
      <c r="Q26" s="283" t="str">
        <f t="shared" si="23"/>
        <v/>
      </c>
      <c r="R26" s="283" t="str">
        <f t="shared" si="9"/>
        <v/>
      </c>
      <c r="S26" s="283" t="str">
        <f t="shared" si="10"/>
        <v/>
      </c>
      <c r="T26" s="280" t="str">
        <f t="shared" si="11"/>
        <v/>
      </c>
      <c r="U26" s="282" t="str">
        <f t="shared" si="12"/>
        <v/>
      </c>
      <c r="V26" s="281" t="str" cm="1">
        <f t="array" ref="V26">IF(AD26,cubicInterpolation(CurveResults.Times,CurveResults.USDSOFR,T26)-IF(ApplyBump,0.0001,0),"")</f>
        <v/>
      </c>
      <c r="W26" s="280" t="str">
        <f t="shared" si="13"/>
        <v/>
      </c>
      <c r="X26" s="281" t="str">
        <f t="shared" si="14"/>
        <v/>
      </c>
      <c r="Y26" s="280" t="str">
        <f t="shared" si="15"/>
        <v/>
      </c>
      <c r="Z26" s="279" t="str">
        <f t="shared" si="16"/>
        <v/>
      </c>
      <c r="AA26" s="278" t="str">
        <f t="shared" si="17"/>
        <v/>
      </c>
      <c r="AC26" s="277" t="b">
        <f t="shared" si="18"/>
        <v>0</v>
      </c>
      <c r="AD26" s="276" t="b">
        <f t="shared" si="19"/>
        <v>0</v>
      </c>
      <c r="AG26" s="286" t="s">
        <v>264</v>
      </c>
      <c r="AH26" s="278">
        <v>132774.68127380038</v>
      </c>
    </row>
    <row r="27" spans="2:37" x14ac:dyDescent="0.3">
      <c r="D27" s="275">
        <f t="shared" si="20"/>
        <v>22</v>
      </c>
      <c r="E27" s="284" t="str">
        <f t="shared" si="21"/>
        <v/>
      </c>
      <c r="F27" s="283" t="str">
        <f t="shared" si="0"/>
        <v/>
      </c>
      <c r="G27" s="283" t="str">
        <f t="shared" si="1"/>
        <v/>
      </c>
      <c r="H27" s="280" t="str">
        <f t="shared" si="2"/>
        <v/>
      </c>
      <c r="I27" s="282" t="str">
        <f t="shared" si="3"/>
        <v/>
      </c>
      <c r="J27" s="281" t="str">
        <f t="shared" si="4"/>
        <v/>
      </c>
      <c r="K27" s="280" t="str">
        <f t="shared" si="5"/>
        <v/>
      </c>
      <c r="L27" s="279" t="str">
        <f t="shared" si="6"/>
        <v/>
      </c>
      <c r="M27" s="278" t="str">
        <f t="shared" si="7"/>
        <v/>
      </c>
      <c r="O27" s="274">
        <f t="shared" si="22"/>
        <v>22</v>
      </c>
      <c r="P27" s="284" t="str">
        <f t="shared" si="8"/>
        <v/>
      </c>
      <c r="Q27" s="283" t="str">
        <f t="shared" si="23"/>
        <v/>
      </c>
      <c r="R27" s="283" t="str">
        <f t="shared" si="9"/>
        <v/>
      </c>
      <c r="S27" s="283" t="str">
        <f t="shared" si="10"/>
        <v/>
      </c>
      <c r="T27" s="280" t="str">
        <f t="shared" si="11"/>
        <v/>
      </c>
      <c r="U27" s="282" t="str">
        <f t="shared" si="12"/>
        <v/>
      </c>
      <c r="V27" s="281" t="str" cm="1">
        <f t="array" ref="V27">IF(AD27,cubicInterpolation(CurveResults.Times,CurveResults.USDSOFR,T27)-IF(ApplyBump,0.0001,0),"")</f>
        <v/>
      </c>
      <c r="W27" s="280" t="str">
        <f t="shared" si="13"/>
        <v/>
      </c>
      <c r="X27" s="281" t="str">
        <f t="shared" si="14"/>
        <v/>
      </c>
      <c r="Y27" s="280" t="str">
        <f t="shared" si="15"/>
        <v/>
      </c>
      <c r="Z27" s="279" t="str">
        <f t="shared" si="16"/>
        <v/>
      </c>
      <c r="AA27" s="278" t="str">
        <f t="shared" si="17"/>
        <v/>
      </c>
      <c r="AC27" s="277" t="b">
        <f t="shared" si="18"/>
        <v>0</v>
      </c>
      <c r="AD27" s="276" t="b">
        <f t="shared" si="19"/>
        <v>0</v>
      </c>
      <c r="AG27" s="286" t="s">
        <v>263</v>
      </c>
      <c r="AH27" s="278">
        <v>132332.01747748585</v>
      </c>
    </row>
    <row r="28" spans="2:37" x14ac:dyDescent="0.3">
      <c r="D28" s="275">
        <f t="shared" si="20"/>
        <v>23</v>
      </c>
      <c r="E28" s="284" t="str">
        <f t="shared" si="21"/>
        <v/>
      </c>
      <c r="F28" s="283" t="str">
        <f t="shared" si="0"/>
        <v/>
      </c>
      <c r="G28" s="283" t="str">
        <f t="shared" si="1"/>
        <v/>
      </c>
      <c r="H28" s="280" t="str">
        <f t="shared" si="2"/>
        <v/>
      </c>
      <c r="I28" s="282" t="str">
        <f t="shared" si="3"/>
        <v/>
      </c>
      <c r="J28" s="281" t="str">
        <f t="shared" si="4"/>
        <v/>
      </c>
      <c r="K28" s="280" t="str">
        <f t="shared" si="5"/>
        <v/>
      </c>
      <c r="L28" s="279" t="str">
        <f t="shared" si="6"/>
        <v/>
      </c>
      <c r="M28" s="278" t="str">
        <f t="shared" si="7"/>
        <v/>
      </c>
      <c r="O28" s="274">
        <f t="shared" si="22"/>
        <v>23</v>
      </c>
      <c r="P28" s="284" t="str">
        <f t="shared" si="8"/>
        <v/>
      </c>
      <c r="Q28" s="283" t="str">
        <f t="shared" si="23"/>
        <v/>
      </c>
      <c r="R28" s="283" t="str">
        <f t="shared" si="9"/>
        <v/>
      </c>
      <c r="S28" s="283" t="str">
        <f t="shared" si="10"/>
        <v/>
      </c>
      <c r="T28" s="280" t="str">
        <f t="shared" si="11"/>
        <v/>
      </c>
      <c r="U28" s="282" t="str">
        <f t="shared" si="12"/>
        <v/>
      </c>
      <c r="V28" s="281" t="str" cm="1">
        <f t="array" ref="V28">IF(AD28,cubicInterpolation(CurveResults.Times,CurveResults.USDSOFR,T28)-IF(ApplyBump,0.0001,0),"")</f>
        <v/>
      </c>
      <c r="W28" s="280" t="str">
        <f t="shared" si="13"/>
        <v/>
      </c>
      <c r="X28" s="281" t="str">
        <f t="shared" si="14"/>
        <v/>
      </c>
      <c r="Y28" s="280" t="str">
        <f t="shared" si="15"/>
        <v/>
      </c>
      <c r="Z28" s="279" t="str">
        <f t="shared" si="16"/>
        <v/>
      </c>
      <c r="AA28" s="278" t="str">
        <f t="shared" si="17"/>
        <v/>
      </c>
      <c r="AC28" s="277" t="b">
        <f t="shared" si="18"/>
        <v>0</v>
      </c>
      <c r="AD28" s="276" t="b">
        <f t="shared" si="19"/>
        <v>0</v>
      </c>
      <c r="AG28" s="285" t="s">
        <v>262</v>
      </c>
      <c r="AH28" s="267">
        <f>AH27-AH26</f>
        <v>-442.6637963145331</v>
      </c>
    </row>
    <row r="29" spans="2:37" x14ac:dyDescent="0.3">
      <c r="D29" s="275">
        <f t="shared" si="20"/>
        <v>24</v>
      </c>
      <c r="E29" s="284" t="str">
        <f t="shared" si="21"/>
        <v/>
      </c>
      <c r="F29" s="283" t="str">
        <f t="shared" si="0"/>
        <v/>
      </c>
      <c r="G29" s="283" t="str">
        <f t="shared" si="1"/>
        <v/>
      </c>
      <c r="H29" s="280" t="str">
        <f t="shared" si="2"/>
        <v/>
      </c>
      <c r="I29" s="282" t="str">
        <f t="shared" si="3"/>
        <v/>
      </c>
      <c r="J29" s="281" t="str">
        <f t="shared" si="4"/>
        <v/>
      </c>
      <c r="K29" s="280" t="str">
        <f t="shared" si="5"/>
        <v/>
      </c>
      <c r="L29" s="279" t="str">
        <f t="shared" si="6"/>
        <v/>
      </c>
      <c r="M29" s="278" t="str">
        <f t="shared" si="7"/>
        <v/>
      </c>
      <c r="O29" s="274">
        <f t="shared" si="22"/>
        <v>24</v>
      </c>
      <c r="P29" s="284" t="str">
        <f t="shared" si="8"/>
        <v/>
      </c>
      <c r="Q29" s="283" t="str">
        <f t="shared" si="23"/>
        <v/>
      </c>
      <c r="R29" s="283" t="str">
        <f t="shared" si="9"/>
        <v/>
      </c>
      <c r="S29" s="283" t="str">
        <f t="shared" si="10"/>
        <v/>
      </c>
      <c r="T29" s="280" t="str">
        <f t="shared" si="11"/>
        <v/>
      </c>
      <c r="U29" s="282" t="str">
        <f t="shared" si="12"/>
        <v/>
      </c>
      <c r="V29" s="281" t="str" cm="1">
        <f t="array" ref="V29">IF(AD29,cubicInterpolation(CurveResults.Times,CurveResults.USDSOFR,T29)-IF(ApplyBump,0.0001,0),"")</f>
        <v/>
      </c>
      <c r="W29" s="280" t="str">
        <f t="shared" si="13"/>
        <v/>
      </c>
      <c r="X29" s="281" t="str">
        <f t="shared" si="14"/>
        <v/>
      </c>
      <c r="Y29" s="280" t="str">
        <f t="shared" si="15"/>
        <v/>
      </c>
      <c r="Z29" s="279" t="str">
        <f t="shared" si="16"/>
        <v/>
      </c>
      <c r="AA29" s="278" t="str">
        <f t="shared" si="17"/>
        <v/>
      </c>
      <c r="AC29" s="277" t="b">
        <f t="shared" si="18"/>
        <v>0</v>
      </c>
      <c r="AD29" s="276" t="b">
        <f t="shared" si="19"/>
        <v>0</v>
      </c>
    </row>
    <row r="30" spans="2:37" x14ac:dyDescent="0.3">
      <c r="D30" s="275">
        <f t="shared" si="20"/>
        <v>25</v>
      </c>
      <c r="E30" s="284" t="str">
        <f t="shared" si="21"/>
        <v/>
      </c>
      <c r="F30" s="283" t="str">
        <f t="shared" si="0"/>
        <v/>
      </c>
      <c r="G30" s="283" t="str">
        <f t="shared" si="1"/>
        <v/>
      </c>
      <c r="H30" s="280" t="str">
        <f t="shared" si="2"/>
        <v/>
      </c>
      <c r="I30" s="282" t="str">
        <f t="shared" si="3"/>
        <v/>
      </c>
      <c r="J30" s="281" t="str">
        <f t="shared" si="4"/>
        <v/>
      </c>
      <c r="K30" s="280" t="str">
        <f t="shared" si="5"/>
        <v/>
      </c>
      <c r="L30" s="279" t="str">
        <f t="shared" si="6"/>
        <v/>
      </c>
      <c r="M30" s="278" t="str">
        <f t="shared" si="7"/>
        <v/>
      </c>
      <c r="O30" s="274">
        <f t="shared" si="22"/>
        <v>25</v>
      </c>
      <c r="P30" s="284" t="str">
        <f t="shared" si="8"/>
        <v/>
      </c>
      <c r="Q30" s="283" t="str">
        <f t="shared" si="23"/>
        <v/>
      </c>
      <c r="R30" s="283" t="str">
        <f t="shared" si="9"/>
        <v/>
      </c>
      <c r="S30" s="283" t="str">
        <f t="shared" si="10"/>
        <v/>
      </c>
      <c r="T30" s="280" t="str">
        <f t="shared" si="11"/>
        <v/>
      </c>
      <c r="U30" s="282" t="str">
        <f t="shared" si="12"/>
        <v/>
      </c>
      <c r="V30" s="281" t="str" cm="1">
        <f t="array" ref="V30">IF(AD30,cubicInterpolation(CurveResults.Times,CurveResults.USDSOFR,T30)-IF(ApplyBump,0.0001,0),"")</f>
        <v/>
      </c>
      <c r="W30" s="280" t="str">
        <f t="shared" si="13"/>
        <v/>
      </c>
      <c r="X30" s="281" t="str">
        <f t="shared" si="14"/>
        <v/>
      </c>
      <c r="Y30" s="280" t="str">
        <f t="shared" si="15"/>
        <v/>
      </c>
      <c r="Z30" s="279" t="str">
        <f t="shared" si="16"/>
        <v/>
      </c>
      <c r="AA30" s="278" t="str">
        <f t="shared" si="17"/>
        <v/>
      </c>
      <c r="AC30" s="277" t="b">
        <f t="shared" si="18"/>
        <v>0</v>
      </c>
      <c r="AD30" s="276" t="b">
        <f t="shared" si="19"/>
        <v>0</v>
      </c>
    </row>
    <row r="31" spans="2:37" x14ac:dyDescent="0.3">
      <c r="D31" s="275">
        <f t="shared" si="20"/>
        <v>26</v>
      </c>
      <c r="E31" s="284" t="str">
        <f t="shared" si="21"/>
        <v/>
      </c>
      <c r="F31" s="283" t="str">
        <f t="shared" si="0"/>
        <v/>
      </c>
      <c r="G31" s="283" t="str">
        <f t="shared" si="1"/>
        <v/>
      </c>
      <c r="H31" s="280" t="str">
        <f t="shared" si="2"/>
        <v/>
      </c>
      <c r="I31" s="282" t="str">
        <f t="shared" si="3"/>
        <v/>
      </c>
      <c r="J31" s="281" t="str">
        <f t="shared" si="4"/>
        <v/>
      </c>
      <c r="K31" s="280" t="str">
        <f t="shared" si="5"/>
        <v/>
      </c>
      <c r="L31" s="279" t="str">
        <f t="shared" si="6"/>
        <v/>
      </c>
      <c r="M31" s="278" t="str">
        <f t="shared" si="7"/>
        <v/>
      </c>
      <c r="O31" s="274">
        <f t="shared" si="22"/>
        <v>26</v>
      </c>
      <c r="P31" s="284" t="str">
        <f t="shared" si="8"/>
        <v/>
      </c>
      <c r="Q31" s="283" t="str">
        <f t="shared" si="23"/>
        <v/>
      </c>
      <c r="R31" s="283" t="str">
        <f t="shared" si="9"/>
        <v/>
      </c>
      <c r="S31" s="283" t="str">
        <f t="shared" si="10"/>
        <v/>
      </c>
      <c r="T31" s="280" t="str">
        <f t="shared" si="11"/>
        <v/>
      </c>
      <c r="U31" s="282" t="str">
        <f t="shared" si="12"/>
        <v/>
      </c>
      <c r="V31" s="281" t="str" cm="1">
        <f t="array" ref="V31">IF(AD31,cubicInterpolation(CurveResults.Times,CurveResults.USDSOFR,T31)-IF(ApplyBump,0.0001,0),"")</f>
        <v/>
      </c>
      <c r="W31" s="280" t="str">
        <f t="shared" si="13"/>
        <v/>
      </c>
      <c r="X31" s="281" t="str">
        <f t="shared" si="14"/>
        <v/>
      </c>
      <c r="Y31" s="280" t="str">
        <f t="shared" si="15"/>
        <v/>
      </c>
      <c r="Z31" s="279" t="str">
        <f t="shared" si="16"/>
        <v/>
      </c>
      <c r="AA31" s="278" t="str">
        <f t="shared" si="17"/>
        <v/>
      </c>
      <c r="AC31" s="277" t="b">
        <f t="shared" si="18"/>
        <v>0</v>
      </c>
      <c r="AD31" s="276" t="b">
        <f t="shared" si="19"/>
        <v>0</v>
      </c>
    </row>
    <row r="32" spans="2:37" x14ac:dyDescent="0.3">
      <c r="D32" s="275">
        <f t="shared" si="20"/>
        <v>27</v>
      </c>
      <c r="E32" s="284" t="str">
        <f t="shared" si="21"/>
        <v/>
      </c>
      <c r="F32" s="283" t="str">
        <f t="shared" si="0"/>
        <v/>
      </c>
      <c r="G32" s="283" t="str">
        <f t="shared" si="1"/>
        <v/>
      </c>
      <c r="H32" s="280" t="str">
        <f t="shared" si="2"/>
        <v/>
      </c>
      <c r="I32" s="282" t="str">
        <f t="shared" si="3"/>
        <v/>
      </c>
      <c r="J32" s="281" t="str">
        <f t="shared" si="4"/>
        <v/>
      </c>
      <c r="K32" s="280" t="str">
        <f t="shared" si="5"/>
        <v/>
      </c>
      <c r="L32" s="279" t="str">
        <f t="shared" si="6"/>
        <v/>
      </c>
      <c r="M32" s="278" t="str">
        <f t="shared" si="7"/>
        <v/>
      </c>
      <c r="O32" s="274">
        <f t="shared" si="22"/>
        <v>27</v>
      </c>
      <c r="P32" s="284" t="str">
        <f t="shared" si="8"/>
        <v/>
      </c>
      <c r="Q32" s="283" t="str">
        <f t="shared" si="23"/>
        <v/>
      </c>
      <c r="R32" s="283" t="str">
        <f t="shared" si="9"/>
        <v/>
      </c>
      <c r="S32" s="283" t="str">
        <f t="shared" si="10"/>
        <v/>
      </c>
      <c r="T32" s="280" t="str">
        <f t="shared" si="11"/>
        <v/>
      </c>
      <c r="U32" s="282" t="str">
        <f t="shared" si="12"/>
        <v/>
      </c>
      <c r="V32" s="281" t="str" cm="1">
        <f t="array" ref="V32">IF(AD32,cubicInterpolation(CurveResults.Times,CurveResults.USDSOFR,T32)-IF(ApplyBump,0.0001,0),"")</f>
        <v/>
      </c>
      <c r="W32" s="280" t="str">
        <f t="shared" si="13"/>
        <v/>
      </c>
      <c r="X32" s="281" t="str">
        <f t="shared" si="14"/>
        <v/>
      </c>
      <c r="Y32" s="280" t="str">
        <f t="shared" si="15"/>
        <v/>
      </c>
      <c r="Z32" s="279" t="str">
        <f t="shared" si="16"/>
        <v/>
      </c>
      <c r="AA32" s="278" t="str">
        <f t="shared" si="17"/>
        <v/>
      </c>
      <c r="AC32" s="277" t="b">
        <f t="shared" si="18"/>
        <v>0</v>
      </c>
      <c r="AD32" s="276" t="b">
        <f t="shared" si="19"/>
        <v>0</v>
      </c>
    </row>
    <row r="33" spans="4:30" x14ac:dyDescent="0.3">
      <c r="D33" s="275">
        <f t="shared" si="20"/>
        <v>28</v>
      </c>
      <c r="E33" s="284" t="str">
        <f t="shared" si="21"/>
        <v/>
      </c>
      <c r="F33" s="283" t="str">
        <f t="shared" si="0"/>
        <v/>
      </c>
      <c r="G33" s="283" t="str">
        <f t="shared" si="1"/>
        <v/>
      </c>
      <c r="H33" s="280" t="str">
        <f t="shared" si="2"/>
        <v/>
      </c>
      <c r="I33" s="282" t="str">
        <f t="shared" si="3"/>
        <v/>
      </c>
      <c r="J33" s="281" t="str">
        <f t="shared" si="4"/>
        <v/>
      </c>
      <c r="K33" s="280" t="str">
        <f t="shared" si="5"/>
        <v/>
      </c>
      <c r="L33" s="279" t="str">
        <f t="shared" si="6"/>
        <v/>
      </c>
      <c r="M33" s="278" t="str">
        <f t="shared" si="7"/>
        <v/>
      </c>
      <c r="O33" s="274">
        <f t="shared" si="22"/>
        <v>28</v>
      </c>
      <c r="P33" s="284" t="str">
        <f t="shared" si="8"/>
        <v/>
      </c>
      <c r="Q33" s="283" t="str">
        <f t="shared" si="23"/>
        <v/>
      </c>
      <c r="R33" s="283" t="str">
        <f t="shared" si="9"/>
        <v/>
      </c>
      <c r="S33" s="283" t="str">
        <f t="shared" si="10"/>
        <v/>
      </c>
      <c r="T33" s="280" t="str">
        <f t="shared" si="11"/>
        <v/>
      </c>
      <c r="U33" s="282" t="str">
        <f t="shared" si="12"/>
        <v/>
      </c>
      <c r="V33" s="281" t="str" cm="1">
        <f t="array" ref="V33">IF(AD33,cubicInterpolation(CurveResults.Times,CurveResults.USDSOFR,T33)-IF(ApplyBump,0.0001,0),"")</f>
        <v/>
      </c>
      <c r="W33" s="280" t="str">
        <f t="shared" si="13"/>
        <v/>
      </c>
      <c r="X33" s="281" t="str">
        <f t="shared" si="14"/>
        <v/>
      </c>
      <c r="Y33" s="280" t="str">
        <f t="shared" si="15"/>
        <v/>
      </c>
      <c r="Z33" s="279" t="str">
        <f t="shared" si="16"/>
        <v/>
      </c>
      <c r="AA33" s="278" t="str">
        <f t="shared" si="17"/>
        <v/>
      </c>
      <c r="AC33" s="277" t="b">
        <f t="shared" si="18"/>
        <v>0</v>
      </c>
      <c r="AD33" s="276" t="b">
        <f t="shared" si="19"/>
        <v>0</v>
      </c>
    </row>
    <row r="34" spans="4:30" x14ac:dyDescent="0.3">
      <c r="D34" s="275">
        <f t="shared" si="20"/>
        <v>29</v>
      </c>
      <c r="E34" s="284" t="str">
        <f t="shared" si="21"/>
        <v/>
      </c>
      <c r="F34" s="283" t="str">
        <f t="shared" si="0"/>
        <v/>
      </c>
      <c r="G34" s="283" t="str">
        <f t="shared" si="1"/>
        <v/>
      </c>
      <c r="H34" s="280" t="str">
        <f t="shared" si="2"/>
        <v/>
      </c>
      <c r="I34" s="282" t="str">
        <f t="shared" si="3"/>
        <v/>
      </c>
      <c r="J34" s="281" t="str">
        <f t="shared" si="4"/>
        <v/>
      </c>
      <c r="K34" s="280" t="str">
        <f t="shared" si="5"/>
        <v/>
      </c>
      <c r="L34" s="279" t="str">
        <f t="shared" si="6"/>
        <v/>
      </c>
      <c r="M34" s="278" t="str">
        <f t="shared" si="7"/>
        <v/>
      </c>
      <c r="O34" s="274">
        <f t="shared" si="22"/>
        <v>29</v>
      </c>
      <c r="P34" s="284" t="str">
        <f t="shared" si="8"/>
        <v/>
      </c>
      <c r="Q34" s="283" t="str">
        <f t="shared" si="23"/>
        <v/>
      </c>
      <c r="R34" s="283" t="str">
        <f t="shared" si="9"/>
        <v/>
      </c>
      <c r="S34" s="283" t="str">
        <f t="shared" si="10"/>
        <v/>
      </c>
      <c r="T34" s="280" t="str">
        <f t="shared" si="11"/>
        <v/>
      </c>
      <c r="U34" s="282" t="str">
        <f t="shared" si="12"/>
        <v/>
      </c>
      <c r="V34" s="281" t="str" cm="1">
        <f t="array" ref="V34">IF(AD34,cubicInterpolation(CurveResults.Times,CurveResults.USDSOFR,T34)-IF(ApplyBump,0.0001,0),"")</f>
        <v/>
      </c>
      <c r="W34" s="280" t="str">
        <f t="shared" si="13"/>
        <v/>
      </c>
      <c r="X34" s="281" t="str">
        <f t="shared" si="14"/>
        <v/>
      </c>
      <c r="Y34" s="280" t="str">
        <f t="shared" si="15"/>
        <v/>
      </c>
      <c r="Z34" s="279" t="str">
        <f t="shared" si="16"/>
        <v/>
      </c>
      <c r="AA34" s="278" t="str">
        <f t="shared" si="17"/>
        <v/>
      </c>
      <c r="AC34" s="277" t="b">
        <f t="shared" si="18"/>
        <v>0</v>
      </c>
      <c r="AD34" s="276" t="b">
        <f t="shared" si="19"/>
        <v>0</v>
      </c>
    </row>
    <row r="35" spans="4:30" x14ac:dyDescent="0.3">
      <c r="D35" s="275">
        <f t="shared" si="20"/>
        <v>30</v>
      </c>
      <c r="E35" s="284" t="str">
        <f t="shared" si="21"/>
        <v/>
      </c>
      <c r="F35" s="283" t="str">
        <f t="shared" si="0"/>
        <v/>
      </c>
      <c r="G35" s="283" t="str">
        <f t="shared" si="1"/>
        <v/>
      </c>
      <c r="H35" s="280" t="str">
        <f t="shared" si="2"/>
        <v/>
      </c>
      <c r="I35" s="282" t="str">
        <f t="shared" si="3"/>
        <v/>
      </c>
      <c r="J35" s="281" t="str">
        <f t="shared" si="4"/>
        <v/>
      </c>
      <c r="K35" s="280" t="str">
        <f t="shared" si="5"/>
        <v/>
      </c>
      <c r="L35" s="279" t="str">
        <f t="shared" si="6"/>
        <v/>
      </c>
      <c r="M35" s="278" t="str">
        <f t="shared" si="7"/>
        <v/>
      </c>
      <c r="O35" s="274">
        <f t="shared" si="22"/>
        <v>30</v>
      </c>
      <c r="P35" s="284" t="str">
        <f t="shared" si="8"/>
        <v/>
      </c>
      <c r="Q35" s="283" t="str">
        <f t="shared" si="23"/>
        <v/>
      </c>
      <c r="R35" s="283" t="str">
        <f t="shared" si="9"/>
        <v/>
      </c>
      <c r="S35" s="283" t="str">
        <f t="shared" si="10"/>
        <v/>
      </c>
      <c r="T35" s="280" t="str">
        <f t="shared" si="11"/>
        <v/>
      </c>
      <c r="U35" s="282" t="str">
        <f t="shared" si="12"/>
        <v/>
      </c>
      <c r="V35" s="281" t="str" cm="1">
        <f t="array" ref="V35">IF(AD35,cubicInterpolation(CurveResults.Times,CurveResults.USDSOFR,T35)-IF(ApplyBump,0.0001,0),"")</f>
        <v/>
      </c>
      <c r="W35" s="280" t="str">
        <f t="shared" si="13"/>
        <v/>
      </c>
      <c r="X35" s="281" t="str">
        <f t="shared" si="14"/>
        <v/>
      </c>
      <c r="Y35" s="280" t="str">
        <f t="shared" si="15"/>
        <v/>
      </c>
      <c r="Z35" s="279" t="str">
        <f t="shared" si="16"/>
        <v/>
      </c>
      <c r="AA35" s="278" t="str">
        <f t="shared" si="17"/>
        <v/>
      </c>
      <c r="AC35" s="277" t="b">
        <f t="shared" si="18"/>
        <v>0</v>
      </c>
      <c r="AD35" s="276" t="b">
        <f t="shared" si="19"/>
        <v>0</v>
      </c>
    </row>
    <row r="36" spans="4:30" x14ac:dyDescent="0.3">
      <c r="D36" s="275">
        <f t="shared" si="20"/>
        <v>31</v>
      </c>
      <c r="E36" s="284" t="str">
        <f t="shared" si="21"/>
        <v/>
      </c>
      <c r="F36" s="283" t="str">
        <f t="shared" si="0"/>
        <v/>
      </c>
      <c r="G36" s="283" t="str">
        <f t="shared" si="1"/>
        <v/>
      </c>
      <c r="H36" s="280" t="str">
        <f t="shared" si="2"/>
        <v/>
      </c>
      <c r="I36" s="282" t="str">
        <f t="shared" si="3"/>
        <v/>
      </c>
      <c r="J36" s="281" t="str">
        <f t="shared" si="4"/>
        <v/>
      </c>
      <c r="K36" s="280" t="str">
        <f t="shared" si="5"/>
        <v/>
      </c>
      <c r="L36" s="279" t="str">
        <f t="shared" si="6"/>
        <v/>
      </c>
      <c r="M36" s="278" t="str">
        <f t="shared" si="7"/>
        <v/>
      </c>
      <c r="O36" s="274">
        <f t="shared" si="22"/>
        <v>31</v>
      </c>
      <c r="P36" s="284" t="str">
        <f t="shared" si="8"/>
        <v/>
      </c>
      <c r="Q36" s="283" t="str">
        <f t="shared" si="23"/>
        <v/>
      </c>
      <c r="R36" s="283" t="str">
        <f t="shared" si="9"/>
        <v/>
      </c>
      <c r="S36" s="283" t="str">
        <f t="shared" si="10"/>
        <v/>
      </c>
      <c r="T36" s="280" t="str">
        <f t="shared" si="11"/>
        <v/>
      </c>
      <c r="U36" s="282" t="str">
        <f t="shared" si="12"/>
        <v/>
      </c>
      <c r="V36" s="281" t="str" cm="1">
        <f t="array" ref="V36">IF(AD36,cubicInterpolation(CurveResults.Times,CurveResults.USDSOFR,T36)-IF(ApplyBump,0.0001,0),"")</f>
        <v/>
      </c>
      <c r="W36" s="280" t="str">
        <f t="shared" si="13"/>
        <v/>
      </c>
      <c r="X36" s="281" t="str">
        <f t="shared" si="14"/>
        <v/>
      </c>
      <c r="Y36" s="280" t="str">
        <f t="shared" si="15"/>
        <v/>
      </c>
      <c r="Z36" s="279" t="str">
        <f t="shared" si="16"/>
        <v/>
      </c>
      <c r="AA36" s="278" t="str">
        <f t="shared" si="17"/>
        <v/>
      </c>
      <c r="AC36" s="277" t="b">
        <f t="shared" si="18"/>
        <v>0</v>
      </c>
      <c r="AD36" s="276" t="b">
        <f t="shared" si="19"/>
        <v>0</v>
      </c>
    </row>
    <row r="37" spans="4:30" x14ac:dyDescent="0.3">
      <c r="D37" s="275">
        <f t="shared" si="20"/>
        <v>32</v>
      </c>
      <c r="E37" s="284" t="str">
        <f t="shared" si="21"/>
        <v/>
      </c>
      <c r="F37" s="283" t="str">
        <f t="shared" si="0"/>
        <v/>
      </c>
      <c r="G37" s="283" t="str">
        <f t="shared" si="1"/>
        <v/>
      </c>
      <c r="H37" s="280" t="str">
        <f t="shared" si="2"/>
        <v/>
      </c>
      <c r="I37" s="282" t="str">
        <f t="shared" si="3"/>
        <v/>
      </c>
      <c r="J37" s="281" t="str">
        <f t="shared" si="4"/>
        <v/>
      </c>
      <c r="K37" s="280" t="str">
        <f t="shared" si="5"/>
        <v/>
      </c>
      <c r="L37" s="279" t="str">
        <f t="shared" si="6"/>
        <v/>
      </c>
      <c r="M37" s="278" t="str">
        <f t="shared" si="7"/>
        <v/>
      </c>
      <c r="O37" s="274">
        <f t="shared" si="22"/>
        <v>32</v>
      </c>
      <c r="P37" s="284" t="str">
        <f t="shared" si="8"/>
        <v/>
      </c>
      <c r="Q37" s="283" t="str">
        <f t="shared" si="23"/>
        <v/>
      </c>
      <c r="R37" s="283" t="str">
        <f t="shared" si="9"/>
        <v/>
      </c>
      <c r="S37" s="283" t="str">
        <f t="shared" si="10"/>
        <v/>
      </c>
      <c r="T37" s="280" t="str">
        <f t="shared" si="11"/>
        <v/>
      </c>
      <c r="U37" s="282" t="str">
        <f t="shared" si="12"/>
        <v/>
      </c>
      <c r="V37" s="281" t="str" cm="1">
        <f t="array" ref="V37">IF(AD37,cubicInterpolation(CurveResults.Times,CurveResults.USDSOFR,T37)-IF(ApplyBump,0.0001,0),"")</f>
        <v/>
      </c>
      <c r="W37" s="280" t="str">
        <f t="shared" si="13"/>
        <v/>
      </c>
      <c r="X37" s="281" t="str">
        <f t="shared" si="14"/>
        <v/>
      </c>
      <c r="Y37" s="280" t="str">
        <f t="shared" si="15"/>
        <v/>
      </c>
      <c r="Z37" s="279" t="str">
        <f t="shared" si="16"/>
        <v/>
      </c>
      <c r="AA37" s="278" t="str">
        <f t="shared" si="17"/>
        <v/>
      </c>
      <c r="AC37" s="277" t="b">
        <f t="shared" si="18"/>
        <v>0</v>
      </c>
      <c r="AD37" s="276" t="b">
        <f t="shared" si="19"/>
        <v>0</v>
      </c>
    </row>
    <row r="38" spans="4:30" x14ac:dyDescent="0.3">
      <c r="D38" s="275">
        <f t="shared" si="20"/>
        <v>33</v>
      </c>
      <c r="E38" s="284" t="str">
        <f t="shared" si="21"/>
        <v/>
      </c>
      <c r="F38" s="283" t="str">
        <f t="shared" ref="F38:F55" si="24">IF(AC38,E38+K38*365,"")</f>
        <v/>
      </c>
      <c r="G38" s="283" t="str">
        <f t="shared" ref="G38:G55" si="25">IF(AC38,F38,"")</f>
        <v/>
      </c>
      <c r="H38" s="280" t="str">
        <f t="shared" ref="H38:H55" si="26">IF(AC38,$D38*tau_i,"")</f>
        <v/>
      </c>
      <c r="I38" s="282" t="str">
        <f t="shared" ref="I38:I55" si="27">IF(AC38,N,"")</f>
        <v/>
      </c>
      <c r="J38" s="281" t="str">
        <f t="shared" ref="J38:J55" si="28">IF(AC38,r_fixed,"")</f>
        <v/>
      </c>
      <c r="K38" s="280" t="str">
        <f t="shared" ref="K38:K55" si="29">IF(AC38,tau_i,"")</f>
        <v/>
      </c>
      <c r="L38" s="279" t="str">
        <f t="shared" ref="L38:L55" si="30">IF(AC38,cubicInterpolation(CurveResults.Times,IF(ApplyBump,CurveResults.DF.Bumped,CurveResults.DFs),H38),"")</f>
        <v/>
      </c>
      <c r="M38" s="278" t="str">
        <f t="shared" ref="M38:M55" si="31">IF(AC38,I38*J38*K38*L38,"")</f>
        <v/>
      </c>
      <c r="O38" s="274">
        <f t="shared" si="22"/>
        <v>33</v>
      </c>
      <c r="P38" s="284" t="str">
        <f t="shared" ref="P38:P55" si="32">IF(AD38,Q38,"")</f>
        <v/>
      </c>
      <c r="Q38" s="283" t="str">
        <f t="shared" si="23"/>
        <v/>
      </c>
      <c r="R38" s="283" t="str">
        <f t="shared" ref="R38:R55" si="33">IF(AD38,Q38+Y38*365,"")</f>
        <v/>
      </c>
      <c r="S38" s="283" t="str">
        <f t="shared" ref="S38:S55" si="34">IF(AD38,R38,"")</f>
        <v/>
      </c>
      <c r="T38" s="280" t="str">
        <f t="shared" ref="T38:T55" si="35">IF(AD38,$O38*tau_j,"")</f>
        <v/>
      </c>
      <c r="U38" s="282" t="str">
        <f t="shared" ref="U38:U55" si="36">IF(AD38,N,"")</f>
        <v/>
      </c>
      <c r="V38" s="281" t="str" cm="1">
        <f t="array" ref="V38">IF(AD38,cubicInterpolation(CurveResults.Times,CurveResults.USDSOFR,T38)-IF(ApplyBump,0.0001,0),"")</f>
        <v/>
      </c>
      <c r="W38" s="280" t="str">
        <f t="shared" ref="W38:W55" si="37">IF(AD38,s,"")</f>
        <v/>
      </c>
      <c r="X38" s="281" t="str">
        <f t="shared" ref="X38:X55" si="38">IF(AD38,V38+(W38*0.0001),"")</f>
        <v/>
      </c>
      <c r="Y38" s="280" t="str">
        <f t="shared" ref="Y38:Y55" si="39">IF(AD38,tau_j,"")</f>
        <v/>
      </c>
      <c r="Z38" s="279" t="str">
        <f t="shared" ref="Z38:Z55" si="40">IF(AD38,cubicInterpolation(CurveResults.Times,IF(ApplyBump,CurveResults.DF.Bumped,CurveResults.DFs),T38),"")</f>
        <v/>
      </c>
      <c r="AA38" s="278" t="str">
        <f t="shared" ref="AA38:AA55" si="41">IF(AD38,U38*X38*Y38*Z38,"")</f>
        <v/>
      </c>
      <c r="AC38" s="277" t="b">
        <f t="shared" ref="AC38:AC55" si="42">IF(D38&lt;=T,TRUE,FALSE)</f>
        <v>0</v>
      </c>
      <c r="AD38" s="276" t="b">
        <f t="shared" ref="AD38:AD55" si="43">IF(O38&lt;=T,TRUE,FALSE)</f>
        <v>0</v>
      </c>
    </row>
    <row r="39" spans="4:30" x14ac:dyDescent="0.3">
      <c r="D39" s="275">
        <f t="shared" ref="D39:D55" si="44">D38+1</f>
        <v>34</v>
      </c>
      <c r="E39" s="284" t="str">
        <f t="shared" ref="E39:E55" si="45">IF(AC39,F38,"")</f>
        <v/>
      </c>
      <c r="F39" s="283" t="str">
        <f t="shared" si="24"/>
        <v/>
      </c>
      <c r="G39" s="283" t="str">
        <f t="shared" si="25"/>
        <v/>
      </c>
      <c r="H39" s="280" t="str">
        <f t="shared" si="26"/>
        <v/>
      </c>
      <c r="I39" s="282" t="str">
        <f t="shared" si="27"/>
        <v/>
      </c>
      <c r="J39" s="281" t="str">
        <f t="shared" si="28"/>
        <v/>
      </c>
      <c r="K39" s="280" t="str">
        <f t="shared" si="29"/>
        <v/>
      </c>
      <c r="L39" s="279" t="str">
        <f t="shared" si="30"/>
        <v/>
      </c>
      <c r="M39" s="278" t="str">
        <f t="shared" si="31"/>
        <v/>
      </c>
      <c r="O39" s="274">
        <f t="shared" ref="O39:O55" si="46">O38+1</f>
        <v>34</v>
      </c>
      <c r="P39" s="284" t="str">
        <f t="shared" si="32"/>
        <v/>
      </c>
      <c r="Q39" s="283" t="str">
        <f t="shared" ref="Q39:Q55" si="47">IF(AD39,R38,"")</f>
        <v/>
      </c>
      <c r="R39" s="283" t="str">
        <f t="shared" si="33"/>
        <v/>
      </c>
      <c r="S39" s="283" t="str">
        <f t="shared" si="34"/>
        <v/>
      </c>
      <c r="T39" s="280" t="str">
        <f t="shared" si="35"/>
        <v/>
      </c>
      <c r="U39" s="282" t="str">
        <f t="shared" si="36"/>
        <v/>
      </c>
      <c r="V39" s="281" t="str" cm="1">
        <f t="array" ref="V39">IF(AD39,cubicInterpolation(CurveResults.Times,CurveResults.USDSOFR,T39)-IF(ApplyBump,0.0001,0),"")</f>
        <v/>
      </c>
      <c r="W39" s="280" t="str">
        <f t="shared" si="37"/>
        <v/>
      </c>
      <c r="X39" s="281" t="str">
        <f t="shared" si="38"/>
        <v/>
      </c>
      <c r="Y39" s="280" t="str">
        <f t="shared" si="39"/>
        <v/>
      </c>
      <c r="Z39" s="279" t="str">
        <f t="shared" si="40"/>
        <v/>
      </c>
      <c r="AA39" s="278" t="str">
        <f t="shared" si="41"/>
        <v/>
      </c>
      <c r="AC39" s="277" t="b">
        <f t="shared" si="42"/>
        <v>0</v>
      </c>
      <c r="AD39" s="276" t="b">
        <f t="shared" si="43"/>
        <v>0</v>
      </c>
    </row>
    <row r="40" spans="4:30" x14ac:dyDescent="0.3">
      <c r="D40" s="275">
        <f t="shared" si="44"/>
        <v>35</v>
      </c>
      <c r="E40" s="284" t="str">
        <f t="shared" si="45"/>
        <v/>
      </c>
      <c r="F40" s="283" t="str">
        <f t="shared" si="24"/>
        <v/>
      </c>
      <c r="G40" s="283" t="str">
        <f t="shared" si="25"/>
        <v/>
      </c>
      <c r="H40" s="280" t="str">
        <f t="shared" si="26"/>
        <v/>
      </c>
      <c r="I40" s="282" t="str">
        <f t="shared" si="27"/>
        <v/>
      </c>
      <c r="J40" s="281" t="str">
        <f t="shared" si="28"/>
        <v/>
      </c>
      <c r="K40" s="280" t="str">
        <f t="shared" si="29"/>
        <v/>
      </c>
      <c r="L40" s="279" t="str">
        <f t="shared" si="30"/>
        <v/>
      </c>
      <c r="M40" s="278" t="str">
        <f t="shared" si="31"/>
        <v/>
      </c>
      <c r="O40" s="274">
        <f t="shared" si="46"/>
        <v>35</v>
      </c>
      <c r="P40" s="284" t="str">
        <f t="shared" si="32"/>
        <v/>
      </c>
      <c r="Q40" s="283" t="str">
        <f t="shared" si="47"/>
        <v/>
      </c>
      <c r="R40" s="283" t="str">
        <f t="shared" si="33"/>
        <v/>
      </c>
      <c r="S40" s="283" t="str">
        <f t="shared" si="34"/>
        <v/>
      </c>
      <c r="T40" s="280" t="str">
        <f t="shared" si="35"/>
        <v/>
      </c>
      <c r="U40" s="282" t="str">
        <f t="shared" si="36"/>
        <v/>
      </c>
      <c r="V40" s="281" t="str" cm="1">
        <f t="array" ref="V40">IF(AD40,cubicInterpolation(CurveResults.Times,CurveResults.USDSOFR,T40)-IF(ApplyBump,0.0001,0),"")</f>
        <v/>
      </c>
      <c r="W40" s="280" t="str">
        <f t="shared" si="37"/>
        <v/>
      </c>
      <c r="X40" s="281" t="str">
        <f t="shared" si="38"/>
        <v/>
      </c>
      <c r="Y40" s="280" t="str">
        <f t="shared" si="39"/>
        <v/>
      </c>
      <c r="Z40" s="279" t="str">
        <f t="shared" si="40"/>
        <v/>
      </c>
      <c r="AA40" s="278" t="str">
        <f t="shared" si="41"/>
        <v/>
      </c>
      <c r="AC40" s="277" t="b">
        <f t="shared" si="42"/>
        <v>0</v>
      </c>
      <c r="AD40" s="276" t="b">
        <f t="shared" si="43"/>
        <v>0</v>
      </c>
    </row>
    <row r="41" spans="4:30" x14ac:dyDescent="0.3">
      <c r="D41" s="275">
        <f t="shared" si="44"/>
        <v>36</v>
      </c>
      <c r="E41" s="284" t="str">
        <f t="shared" si="45"/>
        <v/>
      </c>
      <c r="F41" s="283" t="str">
        <f t="shared" si="24"/>
        <v/>
      </c>
      <c r="G41" s="283" t="str">
        <f t="shared" si="25"/>
        <v/>
      </c>
      <c r="H41" s="280" t="str">
        <f t="shared" si="26"/>
        <v/>
      </c>
      <c r="I41" s="282" t="str">
        <f t="shared" si="27"/>
        <v/>
      </c>
      <c r="J41" s="281" t="str">
        <f t="shared" si="28"/>
        <v/>
      </c>
      <c r="K41" s="280" t="str">
        <f t="shared" si="29"/>
        <v/>
      </c>
      <c r="L41" s="279" t="str">
        <f t="shared" si="30"/>
        <v/>
      </c>
      <c r="M41" s="278" t="str">
        <f t="shared" si="31"/>
        <v/>
      </c>
      <c r="O41" s="274">
        <f t="shared" si="46"/>
        <v>36</v>
      </c>
      <c r="P41" s="284" t="str">
        <f t="shared" si="32"/>
        <v/>
      </c>
      <c r="Q41" s="283" t="str">
        <f t="shared" si="47"/>
        <v/>
      </c>
      <c r="R41" s="283" t="str">
        <f t="shared" si="33"/>
        <v/>
      </c>
      <c r="S41" s="283" t="str">
        <f t="shared" si="34"/>
        <v/>
      </c>
      <c r="T41" s="280" t="str">
        <f t="shared" si="35"/>
        <v/>
      </c>
      <c r="U41" s="282" t="str">
        <f t="shared" si="36"/>
        <v/>
      </c>
      <c r="V41" s="281" t="str" cm="1">
        <f t="array" ref="V41">IF(AD41,cubicInterpolation(CurveResults.Times,CurveResults.USDSOFR,T41)-IF(ApplyBump,0.0001,0),"")</f>
        <v/>
      </c>
      <c r="W41" s="280" t="str">
        <f t="shared" si="37"/>
        <v/>
      </c>
      <c r="X41" s="281" t="str">
        <f t="shared" si="38"/>
        <v/>
      </c>
      <c r="Y41" s="280" t="str">
        <f t="shared" si="39"/>
        <v/>
      </c>
      <c r="Z41" s="279" t="str">
        <f t="shared" si="40"/>
        <v/>
      </c>
      <c r="AA41" s="278" t="str">
        <f t="shared" si="41"/>
        <v/>
      </c>
      <c r="AC41" s="277" t="b">
        <f t="shared" si="42"/>
        <v>0</v>
      </c>
      <c r="AD41" s="276" t="b">
        <f t="shared" si="43"/>
        <v>0</v>
      </c>
    </row>
    <row r="42" spans="4:30" x14ac:dyDescent="0.3">
      <c r="D42" s="275">
        <f t="shared" si="44"/>
        <v>37</v>
      </c>
      <c r="E42" s="284" t="str">
        <f t="shared" si="45"/>
        <v/>
      </c>
      <c r="F42" s="283" t="str">
        <f t="shared" si="24"/>
        <v/>
      </c>
      <c r="G42" s="283" t="str">
        <f t="shared" si="25"/>
        <v/>
      </c>
      <c r="H42" s="280" t="str">
        <f t="shared" si="26"/>
        <v/>
      </c>
      <c r="I42" s="282" t="str">
        <f t="shared" si="27"/>
        <v/>
      </c>
      <c r="J42" s="281" t="str">
        <f t="shared" si="28"/>
        <v/>
      </c>
      <c r="K42" s="280" t="str">
        <f t="shared" si="29"/>
        <v/>
      </c>
      <c r="L42" s="279" t="str">
        <f t="shared" si="30"/>
        <v/>
      </c>
      <c r="M42" s="278" t="str">
        <f t="shared" si="31"/>
        <v/>
      </c>
      <c r="O42" s="274">
        <f t="shared" si="46"/>
        <v>37</v>
      </c>
      <c r="P42" s="284" t="str">
        <f t="shared" si="32"/>
        <v/>
      </c>
      <c r="Q42" s="283" t="str">
        <f t="shared" si="47"/>
        <v/>
      </c>
      <c r="R42" s="283" t="str">
        <f t="shared" si="33"/>
        <v/>
      </c>
      <c r="S42" s="283" t="str">
        <f t="shared" si="34"/>
        <v/>
      </c>
      <c r="T42" s="280" t="str">
        <f t="shared" si="35"/>
        <v/>
      </c>
      <c r="U42" s="282" t="str">
        <f t="shared" si="36"/>
        <v/>
      </c>
      <c r="V42" s="281" t="str" cm="1">
        <f t="array" ref="V42">IF(AD42,cubicInterpolation(CurveResults.Times,CurveResults.USDSOFR,T42)-IF(ApplyBump,0.0001,0),"")</f>
        <v/>
      </c>
      <c r="W42" s="280" t="str">
        <f t="shared" si="37"/>
        <v/>
      </c>
      <c r="X42" s="281" t="str">
        <f t="shared" si="38"/>
        <v/>
      </c>
      <c r="Y42" s="280" t="str">
        <f t="shared" si="39"/>
        <v/>
      </c>
      <c r="Z42" s="279" t="str">
        <f t="shared" si="40"/>
        <v/>
      </c>
      <c r="AA42" s="278" t="str">
        <f t="shared" si="41"/>
        <v/>
      </c>
      <c r="AC42" s="277" t="b">
        <f t="shared" si="42"/>
        <v>0</v>
      </c>
      <c r="AD42" s="276" t="b">
        <f t="shared" si="43"/>
        <v>0</v>
      </c>
    </row>
    <row r="43" spans="4:30" x14ac:dyDescent="0.3">
      <c r="D43" s="275">
        <f t="shared" si="44"/>
        <v>38</v>
      </c>
      <c r="E43" s="284" t="str">
        <f t="shared" si="45"/>
        <v/>
      </c>
      <c r="F43" s="283" t="str">
        <f t="shared" si="24"/>
        <v/>
      </c>
      <c r="G43" s="283" t="str">
        <f t="shared" si="25"/>
        <v/>
      </c>
      <c r="H43" s="280" t="str">
        <f t="shared" si="26"/>
        <v/>
      </c>
      <c r="I43" s="282" t="str">
        <f t="shared" si="27"/>
        <v/>
      </c>
      <c r="J43" s="281" t="str">
        <f t="shared" si="28"/>
        <v/>
      </c>
      <c r="K43" s="280" t="str">
        <f t="shared" si="29"/>
        <v/>
      </c>
      <c r="L43" s="279" t="str">
        <f t="shared" si="30"/>
        <v/>
      </c>
      <c r="M43" s="278" t="str">
        <f t="shared" si="31"/>
        <v/>
      </c>
      <c r="O43" s="274">
        <f t="shared" si="46"/>
        <v>38</v>
      </c>
      <c r="P43" s="284" t="str">
        <f t="shared" si="32"/>
        <v/>
      </c>
      <c r="Q43" s="283" t="str">
        <f t="shared" si="47"/>
        <v/>
      </c>
      <c r="R43" s="283" t="str">
        <f t="shared" si="33"/>
        <v/>
      </c>
      <c r="S43" s="283" t="str">
        <f t="shared" si="34"/>
        <v/>
      </c>
      <c r="T43" s="280" t="str">
        <f t="shared" si="35"/>
        <v/>
      </c>
      <c r="U43" s="282" t="str">
        <f t="shared" si="36"/>
        <v/>
      </c>
      <c r="V43" s="281" t="str" cm="1">
        <f t="array" ref="V43">IF(AD43,cubicInterpolation(CurveResults.Times,CurveResults.USDSOFR,T43)-IF(ApplyBump,0.0001,0),"")</f>
        <v/>
      </c>
      <c r="W43" s="280" t="str">
        <f t="shared" si="37"/>
        <v/>
      </c>
      <c r="X43" s="281" t="str">
        <f t="shared" si="38"/>
        <v/>
      </c>
      <c r="Y43" s="280" t="str">
        <f t="shared" si="39"/>
        <v/>
      </c>
      <c r="Z43" s="279" t="str">
        <f t="shared" si="40"/>
        <v/>
      </c>
      <c r="AA43" s="278" t="str">
        <f t="shared" si="41"/>
        <v/>
      </c>
      <c r="AC43" s="277" t="b">
        <f t="shared" si="42"/>
        <v>0</v>
      </c>
      <c r="AD43" s="276" t="b">
        <f t="shared" si="43"/>
        <v>0</v>
      </c>
    </row>
    <row r="44" spans="4:30" x14ac:dyDescent="0.3">
      <c r="D44" s="275">
        <f t="shared" si="44"/>
        <v>39</v>
      </c>
      <c r="E44" s="284" t="str">
        <f t="shared" si="45"/>
        <v/>
      </c>
      <c r="F44" s="283" t="str">
        <f t="shared" si="24"/>
        <v/>
      </c>
      <c r="G44" s="283" t="str">
        <f t="shared" si="25"/>
        <v/>
      </c>
      <c r="H44" s="280" t="str">
        <f t="shared" si="26"/>
        <v/>
      </c>
      <c r="I44" s="282" t="str">
        <f t="shared" si="27"/>
        <v/>
      </c>
      <c r="J44" s="281" t="str">
        <f t="shared" si="28"/>
        <v/>
      </c>
      <c r="K44" s="280" t="str">
        <f t="shared" si="29"/>
        <v/>
      </c>
      <c r="L44" s="279" t="str">
        <f t="shared" si="30"/>
        <v/>
      </c>
      <c r="M44" s="278" t="str">
        <f t="shared" si="31"/>
        <v/>
      </c>
      <c r="O44" s="274">
        <f t="shared" si="46"/>
        <v>39</v>
      </c>
      <c r="P44" s="284" t="str">
        <f t="shared" si="32"/>
        <v/>
      </c>
      <c r="Q44" s="283" t="str">
        <f t="shared" si="47"/>
        <v/>
      </c>
      <c r="R44" s="283" t="str">
        <f t="shared" si="33"/>
        <v/>
      </c>
      <c r="S44" s="283" t="str">
        <f t="shared" si="34"/>
        <v/>
      </c>
      <c r="T44" s="280" t="str">
        <f t="shared" si="35"/>
        <v/>
      </c>
      <c r="U44" s="282" t="str">
        <f t="shared" si="36"/>
        <v/>
      </c>
      <c r="V44" s="281" t="str" cm="1">
        <f t="array" ref="V44">IF(AD44,cubicInterpolation(CurveResults.Times,CurveResults.USDSOFR,T44)-IF(ApplyBump,0.0001,0),"")</f>
        <v/>
      </c>
      <c r="W44" s="280" t="str">
        <f t="shared" si="37"/>
        <v/>
      </c>
      <c r="X44" s="281" t="str">
        <f t="shared" si="38"/>
        <v/>
      </c>
      <c r="Y44" s="280" t="str">
        <f t="shared" si="39"/>
        <v/>
      </c>
      <c r="Z44" s="279" t="str">
        <f t="shared" si="40"/>
        <v/>
      </c>
      <c r="AA44" s="278" t="str">
        <f t="shared" si="41"/>
        <v/>
      </c>
      <c r="AC44" s="277" t="b">
        <f t="shared" si="42"/>
        <v>0</v>
      </c>
      <c r="AD44" s="276" t="b">
        <f t="shared" si="43"/>
        <v>0</v>
      </c>
    </row>
    <row r="45" spans="4:30" x14ac:dyDescent="0.3">
      <c r="D45" s="275">
        <f t="shared" si="44"/>
        <v>40</v>
      </c>
      <c r="E45" s="284" t="str">
        <f t="shared" si="45"/>
        <v/>
      </c>
      <c r="F45" s="283" t="str">
        <f t="shared" si="24"/>
        <v/>
      </c>
      <c r="G45" s="283" t="str">
        <f t="shared" si="25"/>
        <v/>
      </c>
      <c r="H45" s="280" t="str">
        <f t="shared" si="26"/>
        <v/>
      </c>
      <c r="I45" s="282" t="str">
        <f t="shared" si="27"/>
        <v/>
      </c>
      <c r="J45" s="281" t="str">
        <f t="shared" si="28"/>
        <v/>
      </c>
      <c r="K45" s="280" t="str">
        <f t="shared" si="29"/>
        <v/>
      </c>
      <c r="L45" s="279" t="str">
        <f t="shared" si="30"/>
        <v/>
      </c>
      <c r="M45" s="278" t="str">
        <f t="shared" si="31"/>
        <v/>
      </c>
      <c r="O45" s="274">
        <f t="shared" si="46"/>
        <v>40</v>
      </c>
      <c r="P45" s="284" t="str">
        <f t="shared" si="32"/>
        <v/>
      </c>
      <c r="Q45" s="283" t="str">
        <f t="shared" si="47"/>
        <v/>
      </c>
      <c r="R45" s="283" t="str">
        <f t="shared" si="33"/>
        <v/>
      </c>
      <c r="S45" s="283" t="str">
        <f t="shared" si="34"/>
        <v/>
      </c>
      <c r="T45" s="280" t="str">
        <f t="shared" si="35"/>
        <v/>
      </c>
      <c r="U45" s="282" t="str">
        <f t="shared" si="36"/>
        <v/>
      </c>
      <c r="V45" s="281" t="str" cm="1">
        <f t="array" ref="V45">IF(AD45,cubicInterpolation(CurveResults.Times,CurveResults.USDSOFR,T45)-IF(ApplyBump,0.0001,0),"")</f>
        <v/>
      </c>
      <c r="W45" s="280" t="str">
        <f t="shared" si="37"/>
        <v/>
      </c>
      <c r="X45" s="281" t="str">
        <f t="shared" si="38"/>
        <v/>
      </c>
      <c r="Y45" s="280" t="str">
        <f t="shared" si="39"/>
        <v/>
      </c>
      <c r="Z45" s="279" t="str">
        <f t="shared" si="40"/>
        <v/>
      </c>
      <c r="AA45" s="278" t="str">
        <f t="shared" si="41"/>
        <v/>
      </c>
      <c r="AC45" s="277" t="b">
        <f t="shared" si="42"/>
        <v>0</v>
      </c>
      <c r="AD45" s="276" t="b">
        <f t="shared" si="43"/>
        <v>0</v>
      </c>
    </row>
    <row r="46" spans="4:30" x14ac:dyDescent="0.3">
      <c r="D46" s="275">
        <f t="shared" si="44"/>
        <v>41</v>
      </c>
      <c r="E46" s="284" t="str">
        <f t="shared" si="45"/>
        <v/>
      </c>
      <c r="F46" s="283" t="str">
        <f t="shared" si="24"/>
        <v/>
      </c>
      <c r="G46" s="283" t="str">
        <f t="shared" si="25"/>
        <v/>
      </c>
      <c r="H46" s="280" t="str">
        <f t="shared" si="26"/>
        <v/>
      </c>
      <c r="I46" s="282" t="str">
        <f t="shared" si="27"/>
        <v/>
      </c>
      <c r="J46" s="281" t="str">
        <f t="shared" si="28"/>
        <v/>
      </c>
      <c r="K46" s="280" t="str">
        <f t="shared" si="29"/>
        <v/>
      </c>
      <c r="L46" s="279" t="str">
        <f t="shared" si="30"/>
        <v/>
      </c>
      <c r="M46" s="278" t="str">
        <f t="shared" si="31"/>
        <v/>
      </c>
      <c r="O46" s="274">
        <f t="shared" si="46"/>
        <v>41</v>
      </c>
      <c r="P46" s="284" t="str">
        <f t="shared" si="32"/>
        <v/>
      </c>
      <c r="Q46" s="283" t="str">
        <f t="shared" si="47"/>
        <v/>
      </c>
      <c r="R46" s="283" t="str">
        <f t="shared" si="33"/>
        <v/>
      </c>
      <c r="S46" s="283" t="str">
        <f t="shared" si="34"/>
        <v/>
      </c>
      <c r="T46" s="280" t="str">
        <f t="shared" si="35"/>
        <v/>
      </c>
      <c r="U46" s="282" t="str">
        <f t="shared" si="36"/>
        <v/>
      </c>
      <c r="V46" s="281" t="str" cm="1">
        <f t="array" ref="V46">IF(AD46,cubicInterpolation(CurveResults.Times,CurveResults.USDSOFR,T46)-IF(ApplyBump,0.0001,0),"")</f>
        <v/>
      </c>
      <c r="W46" s="280" t="str">
        <f t="shared" si="37"/>
        <v/>
      </c>
      <c r="X46" s="281" t="str">
        <f t="shared" si="38"/>
        <v/>
      </c>
      <c r="Y46" s="280" t="str">
        <f t="shared" si="39"/>
        <v/>
      </c>
      <c r="Z46" s="279" t="str">
        <f t="shared" si="40"/>
        <v/>
      </c>
      <c r="AA46" s="278" t="str">
        <f t="shared" si="41"/>
        <v/>
      </c>
      <c r="AC46" s="277" t="b">
        <f t="shared" si="42"/>
        <v>0</v>
      </c>
      <c r="AD46" s="276" t="b">
        <f t="shared" si="43"/>
        <v>0</v>
      </c>
    </row>
    <row r="47" spans="4:30" x14ac:dyDescent="0.3">
      <c r="D47" s="275">
        <f t="shared" si="44"/>
        <v>42</v>
      </c>
      <c r="E47" s="284" t="str">
        <f t="shared" si="45"/>
        <v/>
      </c>
      <c r="F47" s="283" t="str">
        <f t="shared" si="24"/>
        <v/>
      </c>
      <c r="G47" s="283" t="str">
        <f t="shared" si="25"/>
        <v/>
      </c>
      <c r="H47" s="280" t="str">
        <f t="shared" si="26"/>
        <v/>
      </c>
      <c r="I47" s="282" t="str">
        <f t="shared" si="27"/>
        <v/>
      </c>
      <c r="J47" s="281" t="str">
        <f t="shared" si="28"/>
        <v/>
      </c>
      <c r="K47" s="280" t="str">
        <f t="shared" si="29"/>
        <v/>
      </c>
      <c r="L47" s="279" t="str">
        <f t="shared" si="30"/>
        <v/>
      </c>
      <c r="M47" s="278" t="str">
        <f t="shared" si="31"/>
        <v/>
      </c>
      <c r="O47" s="274">
        <f t="shared" si="46"/>
        <v>42</v>
      </c>
      <c r="P47" s="284" t="str">
        <f t="shared" si="32"/>
        <v/>
      </c>
      <c r="Q47" s="283" t="str">
        <f t="shared" si="47"/>
        <v/>
      </c>
      <c r="R47" s="283" t="str">
        <f t="shared" si="33"/>
        <v/>
      </c>
      <c r="S47" s="283" t="str">
        <f t="shared" si="34"/>
        <v/>
      </c>
      <c r="T47" s="280" t="str">
        <f t="shared" si="35"/>
        <v/>
      </c>
      <c r="U47" s="282" t="str">
        <f t="shared" si="36"/>
        <v/>
      </c>
      <c r="V47" s="281" t="str" cm="1">
        <f t="array" ref="V47">IF(AD47,cubicInterpolation(CurveResults.Times,CurveResults.USDSOFR,T47)-IF(ApplyBump,0.0001,0),"")</f>
        <v/>
      </c>
      <c r="W47" s="280" t="str">
        <f t="shared" si="37"/>
        <v/>
      </c>
      <c r="X47" s="281" t="str">
        <f t="shared" si="38"/>
        <v/>
      </c>
      <c r="Y47" s="280" t="str">
        <f t="shared" si="39"/>
        <v/>
      </c>
      <c r="Z47" s="279" t="str">
        <f t="shared" si="40"/>
        <v/>
      </c>
      <c r="AA47" s="278" t="str">
        <f t="shared" si="41"/>
        <v/>
      </c>
      <c r="AC47" s="277" t="b">
        <f t="shared" si="42"/>
        <v>0</v>
      </c>
      <c r="AD47" s="276" t="b">
        <f t="shared" si="43"/>
        <v>0</v>
      </c>
    </row>
    <row r="48" spans="4:30" x14ac:dyDescent="0.3">
      <c r="D48" s="275">
        <f t="shared" si="44"/>
        <v>43</v>
      </c>
      <c r="E48" s="284" t="str">
        <f t="shared" si="45"/>
        <v/>
      </c>
      <c r="F48" s="283" t="str">
        <f t="shared" si="24"/>
        <v/>
      </c>
      <c r="G48" s="283" t="str">
        <f t="shared" si="25"/>
        <v/>
      </c>
      <c r="H48" s="280" t="str">
        <f t="shared" si="26"/>
        <v/>
      </c>
      <c r="I48" s="282" t="str">
        <f t="shared" si="27"/>
        <v/>
      </c>
      <c r="J48" s="281" t="str">
        <f t="shared" si="28"/>
        <v/>
      </c>
      <c r="K48" s="280" t="str">
        <f t="shared" si="29"/>
        <v/>
      </c>
      <c r="L48" s="279" t="str">
        <f t="shared" si="30"/>
        <v/>
      </c>
      <c r="M48" s="278" t="str">
        <f t="shared" si="31"/>
        <v/>
      </c>
      <c r="O48" s="274">
        <f t="shared" si="46"/>
        <v>43</v>
      </c>
      <c r="P48" s="284" t="str">
        <f t="shared" si="32"/>
        <v/>
      </c>
      <c r="Q48" s="283" t="str">
        <f t="shared" si="47"/>
        <v/>
      </c>
      <c r="R48" s="283" t="str">
        <f t="shared" si="33"/>
        <v/>
      </c>
      <c r="S48" s="283" t="str">
        <f t="shared" si="34"/>
        <v/>
      </c>
      <c r="T48" s="280" t="str">
        <f t="shared" si="35"/>
        <v/>
      </c>
      <c r="U48" s="282" t="str">
        <f t="shared" si="36"/>
        <v/>
      </c>
      <c r="V48" s="281" t="str" cm="1">
        <f t="array" ref="V48">IF(AD48,cubicInterpolation(CurveResults.Times,CurveResults.USDSOFR,T48)-IF(ApplyBump,0.0001,0),"")</f>
        <v/>
      </c>
      <c r="W48" s="280" t="str">
        <f t="shared" si="37"/>
        <v/>
      </c>
      <c r="X48" s="281" t="str">
        <f t="shared" si="38"/>
        <v/>
      </c>
      <c r="Y48" s="280" t="str">
        <f t="shared" si="39"/>
        <v/>
      </c>
      <c r="Z48" s="279" t="str">
        <f t="shared" si="40"/>
        <v/>
      </c>
      <c r="AA48" s="278" t="str">
        <f t="shared" si="41"/>
        <v/>
      </c>
      <c r="AC48" s="277" t="b">
        <f t="shared" si="42"/>
        <v>0</v>
      </c>
      <c r="AD48" s="276" t="b">
        <f t="shared" si="43"/>
        <v>0</v>
      </c>
    </row>
    <row r="49" spans="4:30" x14ac:dyDescent="0.3">
      <c r="D49" s="275">
        <f t="shared" si="44"/>
        <v>44</v>
      </c>
      <c r="E49" s="284" t="str">
        <f t="shared" si="45"/>
        <v/>
      </c>
      <c r="F49" s="283" t="str">
        <f t="shared" si="24"/>
        <v/>
      </c>
      <c r="G49" s="283" t="str">
        <f t="shared" si="25"/>
        <v/>
      </c>
      <c r="H49" s="280" t="str">
        <f t="shared" si="26"/>
        <v/>
      </c>
      <c r="I49" s="282" t="str">
        <f t="shared" si="27"/>
        <v/>
      </c>
      <c r="J49" s="281" t="str">
        <f t="shared" si="28"/>
        <v/>
      </c>
      <c r="K49" s="280" t="str">
        <f t="shared" si="29"/>
        <v/>
      </c>
      <c r="L49" s="279" t="str">
        <f t="shared" si="30"/>
        <v/>
      </c>
      <c r="M49" s="278" t="str">
        <f t="shared" si="31"/>
        <v/>
      </c>
      <c r="O49" s="274">
        <f t="shared" si="46"/>
        <v>44</v>
      </c>
      <c r="P49" s="284" t="str">
        <f t="shared" si="32"/>
        <v/>
      </c>
      <c r="Q49" s="283" t="str">
        <f t="shared" si="47"/>
        <v/>
      </c>
      <c r="R49" s="283" t="str">
        <f t="shared" si="33"/>
        <v/>
      </c>
      <c r="S49" s="283" t="str">
        <f t="shared" si="34"/>
        <v/>
      </c>
      <c r="T49" s="280" t="str">
        <f t="shared" si="35"/>
        <v/>
      </c>
      <c r="U49" s="282" t="str">
        <f t="shared" si="36"/>
        <v/>
      </c>
      <c r="V49" s="281" t="str" cm="1">
        <f t="array" ref="V49">IF(AD49,cubicInterpolation(CurveResults.Times,CurveResults.USDSOFR,T49)-IF(ApplyBump,0.0001,0),"")</f>
        <v/>
      </c>
      <c r="W49" s="280" t="str">
        <f t="shared" si="37"/>
        <v/>
      </c>
      <c r="X49" s="281" t="str">
        <f t="shared" si="38"/>
        <v/>
      </c>
      <c r="Y49" s="280" t="str">
        <f t="shared" si="39"/>
        <v/>
      </c>
      <c r="Z49" s="279" t="str">
        <f t="shared" si="40"/>
        <v/>
      </c>
      <c r="AA49" s="278" t="str">
        <f t="shared" si="41"/>
        <v/>
      </c>
      <c r="AC49" s="277" t="b">
        <f t="shared" si="42"/>
        <v>0</v>
      </c>
      <c r="AD49" s="276" t="b">
        <f t="shared" si="43"/>
        <v>0</v>
      </c>
    </row>
    <row r="50" spans="4:30" x14ac:dyDescent="0.3">
      <c r="D50" s="275">
        <f t="shared" si="44"/>
        <v>45</v>
      </c>
      <c r="E50" s="284" t="str">
        <f t="shared" si="45"/>
        <v/>
      </c>
      <c r="F50" s="283" t="str">
        <f t="shared" si="24"/>
        <v/>
      </c>
      <c r="G50" s="283" t="str">
        <f t="shared" si="25"/>
        <v/>
      </c>
      <c r="H50" s="280" t="str">
        <f t="shared" si="26"/>
        <v/>
      </c>
      <c r="I50" s="282" t="str">
        <f t="shared" si="27"/>
        <v/>
      </c>
      <c r="J50" s="281" t="str">
        <f t="shared" si="28"/>
        <v/>
      </c>
      <c r="K50" s="280" t="str">
        <f t="shared" si="29"/>
        <v/>
      </c>
      <c r="L50" s="279" t="str">
        <f t="shared" si="30"/>
        <v/>
      </c>
      <c r="M50" s="278" t="str">
        <f t="shared" si="31"/>
        <v/>
      </c>
      <c r="O50" s="274">
        <f t="shared" si="46"/>
        <v>45</v>
      </c>
      <c r="P50" s="284" t="str">
        <f t="shared" si="32"/>
        <v/>
      </c>
      <c r="Q50" s="283" t="str">
        <f t="shared" si="47"/>
        <v/>
      </c>
      <c r="R50" s="283" t="str">
        <f t="shared" si="33"/>
        <v/>
      </c>
      <c r="S50" s="283" t="str">
        <f t="shared" si="34"/>
        <v/>
      </c>
      <c r="T50" s="280" t="str">
        <f t="shared" si="35"/>
        <v/>
      </c>
      <c r="U50" s="282" t="str">
        <f t="shared" si="36"/>
        <v/>
      </c>
      <c r="V50" s="281" t="str" cm="1">
        <f t="array" ref="V50">IF(AD50,cubicInterpolation(CurveResults.Times,CurveResults.USDSOFR,T50)-IF(ApplyBump,0.0001,0),"")</f>
        <v/>
      </c>
      <c r="W50" s="280" t="str">
        <f t="shared" si="37"/>
        <v/>
      </c>
      <c r="X50" s="281" t="str">
        <f t="shared" si="38"/>
        <v/>
      </c>
      <c r="Y50" s="280" t="str">
        <f t="shared" si="39"/>
        <v/>
      </c>
      <c r="Z50" s="279" t="str">
        <f t="shared" si="40"/>
        <v/>
      </c>
      <c r="AA50" s="278" t="str">
        <f t="shared" si="41"/>
        <v/>
      </c>
      <c r="AC50" s="277" t="b">
        <f t="shared" si="42"/>
        <v>0</v>
      </c>
      <c r="AD50" s="276" t="b">
        <f t="shared" si="43"/>
        <v>0</v>
      </c>
    </row>
    <row r="51" spans="4:30" x14ac:dyDescent="0.3">
      <c r="D51" s="275">
        <f t="shared" si="44"/>
        <v>46</v>
      </c>
      <c r="E51" s="284" t="str">
        <f t="shared" si="45"/>
        <v/>
      </c>
      <c r="F51" s="283" t="str">
        <f t="shared" si="24"/>
        <v/>
      </c>
      <c r="G51" s="283" t="str">
        <f t="shared" si="25"/>
        <v/>
      </c>
      <c r="H51" s="280" t="str">
        <f t="shared" si="26"/>
        <v/>
      </c>
      <c r="I51" s="282" t="str">
        <f t="shared" si="27"/>
        <v/>
      </c>
      <c r="J51" s="281" t="str">
        <f t="shared" si="28"/>
        <v/>
      </c>
      <c r="K51" s="280" t="str">
        <f t="shared" si="29"/>
        <v/>
      </c>
      <c r="L51" s="279" t="str">
        <f t="shared" si="30"/>
        <v/>
      </c>
      <c r="M51" s="278" t="str">
        <f t="shared" si="31"/>
        <v/>
      </c>
      <c r="O51" s="274">
        <f t="shared" si="46"/>
        <v>46</v>
      </c>
      <c r="P51" s="284" t="str">
        <f t="shared" si="32"/>
        <v/>
      </c>
      <c r="Q51" s="283" t="str">
        <f t="shared" si="47"/>
        <v/>
      </c>
      <c r="R51" s="283" t="str">
        <f t="shared" si="33"/>
        <v/>
      </c>
      <c r="S51" s="283" t="str">
        <f t="shared" si="34"/>
        <v/>
      </c>
      <c r="T51" s="280" t="str">
        <f t="shared" si="35"/>
        <v/>
      </c>
      <c r="U51" s="282" t="str">
        <f t="shared" si="36"/>
        <v/>
      </c>
      <c r="V51" s="281" t="str" cm="1">
        <f t="array" ref="V51">IF(AD51,cubicInterpolation(CurveResults.Times,CurveResults.USDSOFR,T51)-IF(ApplyBump,0.0001,0),"")</f>
        <v/>
      </c>
      <c r="W51" s="280" t="str">
        <f t="shared" si="37"/>
        <v/>
      </c>
      <c r="X51" s="281" t="str">
        <f t="shared" si="38"/>
        <v/>
      </c>
      <c r="Y51" s="280" t="str">
        <f t="shared" si="39"/>
        <v/>
      </c>
      <c r="Z51" s="279" t="str">
        <f t="shared" si="40"/>
        <v/>
      </c>
      <c r="AA51" s="278" t="str">
        <f t="shared" si="41"/>
        <v/>
      </c>
      <c r="AC51" s="277" t="b">
        <f t="shared" si="42"/>
        <v>0</v>
      </c>
      <c r="AD51" s="276" t="b">
        <f t="shared" si="43"/>
        <v>0</v>
      </c>
    </row>
    <row r="52" spans="4:30" x14ac:dyDescent="0.3">
      <c r="D52" s="275">
        <f t="shared" si="44"/>
        <v>47</v>
      </c>
      <c r="E52" s="284" t="str">
        <f t="shared" si="45"/>
        <v/>
      </c>
      <c r="F52" s="283" t="str">
        <f t="shared" si="24"/>
        <v/>
      </c>
      <c r="G52" s="283" t="str">
        <f t="shared" si="25"/>
        <v/>
      </c>
      <c r="H52" s="280" t="str">
        <f t="shared" si="26"/>
        <v/>
      </c>
      <c r="I52" s="282" t="str">
        <f t="shared" si="27"/>
        <v/>
      </c>
      <c r="J52" s="281" t="str">
        <f t="shared" si="28"/>
        <v/>
      </c>
      <c r="K52" s="280" t="str">
        <f t="shared" si="29"/>
        <v/>
      </c>
      <c r="L52" s="279" t="str">
        <f t="shared" si="30"/>
        <v/>
      </c>
      <c r="M52" s="278" t="str">
        <f t="shared" si="31"/>
        <v/>
      </c>
      <c r="O52" s="274">
        <f t="shared" si="46"/>
        <v>47</v>
      </c>
      <c r="P52" s="284" t="str">
        <f t="shared" si="32"/>
        <v/>
      </c>
      <c r="Q52" s="283" t="str">
        <f t="shared" si="47"/>
        <v/>
      </c>
      <c r="R52" s="283" t="str">
        <f t="shared" si="33"/>
        <v/>
      </c>
      <c r="S52" s="283" t="str">
        <f t="shared" si="34"/>
        <v/>
      </c>
      <c r="T52" s="280" t="str">
        <f t="shared" si="35"/>
        <v/>
      </c>
      <c r="U52" s="282" t="str">
        <f t="shared" si="36"/>
        <v/>
      </c>
      <c r="V52" s="281" t="str" cm="1">
        <f t="array" ref="V52">IF(AD52,cubicInterpolation(CurveResults.Times,CurveResults.USDSOFR,T52)-IF(ApplyBump,0.0001,0),"")</f>
        <v/>
      </c>
      <c r="W52" s="280" t="str">
        <f t="shared" si="37"/>
        <v/>
      </c>
      <c r="X52" s="281" t="str">
        <f t="shared" si="38"/>
        <v/>
      </c>
      <c r="Y52" s="280" t="str">
        <f t="shared" si="39"/>
        <v/>
      </c>
      <c r="Z52" s="279" t="str">
        <f t="shared" si="40"/>
        <v/>
      </c>
      <c r="AA52" s="278" t="str">
        <f t="shared" si="41"/>
        <v/>
      </c>
      <c r="AC52" s="277" t="b">
        <f t="shared" si="42"/>
        <v>0</v>
      </c>
      <c r="AD52" s="276" t="b">
        <f t="shared" si="43"/>
        <v>0</v>
      </c>
    </row>
    <row r="53" spans="4:30" x14ac:dyDescent="0.3">
      <c r="D53" s="275">
        <f t="shared" si="44"/>
        <v>48</v>
      </c>
      <c r="E53" s="284" t="str">
        <f t="shared" si="45"/>
        <v/>
      </c>
      <c r="F53" s="283" t="str">
        <f t="shared" si="24"/>
        <v/>
      </c>
      <c r="G53" s="283" t="str">
        <f t="shared" si="25"/>
        <v/>
      </c>
      <c r="H53" s="280" t="str">
        <f t="shared" si="26"/>
        <v/>
      </c>
      <c r="I53" s="282" t="str">
        <f t="shared" si="27"/>
        <v/>
      </c>
      <c r="J53" s="281" t="str">
        <f t="shared" si="28"/>
        <v/>
      </c>
      <c r="K53" s="280" t="str">
        <f t="shared" si="29"/>
        <v/>
      </c>
      <c r="L53" s="279" t="str">
        <f t="shared" si="30"/>
        <v/>
      </c>
      <c r="M53" s="278" t="str">
        <f t="shared" si="31"/>
        <v/>
      </c>
      <c r="O53" s="274">
        <f t="shared" si="46"/>
        <v>48</v>
      </c>
      <c r="P53" s="284" t="str">
        <f t="shared" si="32"/>
        <v/>
      </c>
      <c r="Q53" s="283" t="str">
        <f t="shared" si="47"/>
        <v/>
      </c>
      <c r="R53" s="283" t="str">
        <f t="shared" si="33"/>
        <v/>
      </c>
      <c r="S53" s="283" t="str">
        <f t="shared" si="34"/>
        <v/>
      </c>
      <c r="T53" s="280" t="str">
        <f t="shared" si="35"/>
        <v/>
      </c>
      <c r="U53" s="282" t="str">
        <f t="shared" si="36"/>
        <v/>
      </c>
      <c r="V53" s="281" t="str" cm="1">
        <f t="array" ref="V53">IF(AD53,cubicInterpolation(CurveResults.Times,CurveResults.USDSOFR,T53)-IF(ApplyBump,0.0001,0),"")</f>
        <v/>
      </c>
      <c r="W53" s="280" t="str">
        <f t="shared" si="37"/>
        <v/>
      </c>
      <c r="X53" s="281" t="str">
        <f t="shared" si="38"/>
        <v/>
      </c>
      <c r="Y53" s="280" t="str">
        <f t="shared" si="39"/>
        <v/>
      </c>
      <c r="Z53" s="279" t="str">
        <f t="shared" si="40"/>
        <v/>
      </c>
      <c r="AA53" s="278" t="str">
        <f t="shared" si="41"/>
        <v/>
      </c>
      <c r="AC53" s="277" t="b">
        <f t="shared" si="42"/>
        <v>0</v>
      </c>
      <c r="AD53" s="276" t="b">
        <f t="shared" si="43"/>
        <v>0</v>
      </c>
    </row>
    <row r="54" spans="4:30" x14ac:dyDescent="0.3">
      <c r="D54" s="275">
        <f t="shared" si="44"/>
        <v>49</v>
      </c>
      <c r="E54" s="284" t="str">
        <f t="shared" si="45"/>
        <v/>
      </c>
      <c r="F54" s="283" t="str">
        <f t="shared" si="24"/>
        <v/>
      </c>
      <c r="G54" s="283" t="str">
        <f t="shared" si="25"/>
        <v/>
      </c>
      <c r="H54" s="280" t="str">
        <f t="shared" si="26"/>
        <v/>
      </c>
      <c r="I54" s="282" t="str">
        <f t="shared" si="27"/>
        <v/>
      </c>
      <c r="J54" s="281" t="str">
        <f t="shared" si="28"/>
        <v/>
      </c>
      <c r="K54" s="280" t="str">
        <f t="shared" si="29"/>
        <v/>
      </c>
      <c r="L54" s="279" t="str">
        <f t="shared" si="30"/>
        <v/>
      </c>
      <c r="M54" s="278" t="str">
        <f t="shared" si="31"/>
        <v/>
      </c>
      <c r="O54" s="274">
        <f t="shared" si="46"/>
        <v>49</v>
      </c>
      <c r="P54" s="284" t="str">
        <f t="shared" si="32"/>
        <v/>
      </c>
      <c r="Q54" s="283" t="str">
        <f t="shared" si="47"/>
        <v/>
      </c>
      <c r="R54" s="283" t="str">
        <f t="shared" si="33"/>
        <v/>
      </c>
      <c r="S54" s="283" t="str">
        <f t="shared" si="34"/>
        <v/>
      </c>
      <c r="T54" s="280" t="str">
        <f t="shared" si="35"/>
        <v/>
      </c>
      <c r="U54" s="282" t="str">
        <f t="shared" si="36"/>
        <v/>
      </c>
      <c r="V54" s="281" t="str" cm="1">
        <f t="array" ref="V54">IF(AD54,cubicInterpolation(CurveResults.Times,CurveResults.USDSOFR,T54)-IF(ApplyBump,0.0001,0),"")</f>
        <v/>
      </c>
      <c r="W54" s="280" t="str">
        <f t="shared" si="37"/>
        <v/>
      </c>
      <c r="X54" s="281" t="str">
        <f t="shared" si="38"/>
        <v/>
      </c>
      <c r="Y54" s="280" t="str">
        <f t="shared" si="39"/>
        <v/>
      </c>
      <c r="Z54" s="279" t="str">
        <f t="shared" si="40"/>
        <v/>
      </c>
      <c r="AA54" s="278" t="str">
        <f t="shared" si="41"/>
        <v/>
      </c>
      <c r="AC54" s="277" t="b">
        <f t="shared" si="42"/>
        <v>0</v>
      </c>
      <c r="AD54" s="276" t="b">
        <f t="shared" si="43"/>
        <v>0</v>
      </c>
    </row>
    <row r="55" spans="4:30" x14ac:dyDescent="0.3">
      <c r="D55" s="275">
        <f t="shared" si="44"/>
        <v>50</v>
      </c>
      <c r="E55" s="273" t="str">
        <f t="shared" si="45"/>
        <v/>
      </c>
      <c r="F55" s="272" t="str">
        <f t="shared" si="24"/>
        <v/>
      </c>
      <c r="G55" s="272" t="str">
        <f t="shared" si="25"/>
        <v/>
      </c>
      <c r="H55" s="269" t="str">
        <f t="shared" si="26"/>
        <v/>
      </c>
      <c r="I55" s="271" t="str">
        <f t="shared" si="27"/>
        <v/>
      </c>
      <c r="J55" s="270" t="str">
        <f t="shared" si="28"/>
        <v/>
      </c>
      <c r="K55" s="269" t="str">
        <f t="shared" si="29"/>
        <v/>
      </c>
      <c r="L55" s="268" t="str">
        <f t="shared" si="30"/>
        <v/>
      </c>
      <c r="M55" s="267" t="str">
        <f t="shared" si="31"/>
        <v/>
      </c>
      <c r="O55" s="274">
        <f t="shared" si="46"/>
        <v>50</v>
      </c>
      <c r="P55" s="273" t="str">
        <f t="shared" si="32"/>
        <v/>
      </c>
      <c r="Q55" s="272" t="str">
        <f t="shared" si="47"/>
        <v/>
      </c>
      <c r="R55" s="272" t="str">
        <f t="shared" si="33"/>
        <v/>
      </c>
      <c r="S55" s="272" t="str">
        <f t="shared" si="34"/>
        <v/>
      </c>
      <c r="T55" s="269" t="str">
        <f t="shared" si="35"/>
        <v/>
      </c>
      <c r="U55" s="271" t="str">
        <f t="shared" si="36"/>
        <v/>
      </c>
      <c r="V55" s="270" t="str" cm="1">
        <f t="array" ref="V55">IF(AD55,cubicInterpolation(CurveResults.Times,CurveResults.USDSOFR,T55)-IF(ApplyBump,0.0001,0),"")</f>
        <v/>
      </c>
      <c r="W55" s="269" t="str">
        <f t="shared" si="37"/>
        <v/>
      </c>
      <c r="X55" s="270" t="str">
        <f t="shared" si="38"/>
        <v/>
      </c>
      <c r="Y55" s="269" t="str">
        <f t="shared" si="39"/>
        <v/>
      </c>
      <c r="Z55" s="268" t="str">
        <f t="shared" si="40"/>
        <v/>
      </c>
      <c r="AA55" s="267" t="str">
        <f t="shared" si="41"/>
        <v/>
      </c>
      <c r="AC55" s="266" t="b">
        <f t="shared" si="42"/>
        <v>0</v>
      </c>
      <c r="AD55" s="265" t="b">
        <f t="shared" si="43"/>
        <v>0</v>
      </c>
    </row>
  </sheetData>
  <dataValidations count="5">
    <dataValidation type="list" allowBlank="1" showInputMessage="1" showErrorMessage="1" sqref="AH25" xr:uid="{00000000-0002-0000-0200-000004000000}">
      <formula1>"TRUE,FALSE"</formula1>
    </dataValidation>
    <dataValidation type="list" allowBlank="1" showInputMessage="1" showErrorMessage="1" sqref="C9:C10" xr:uid="{00000000-0002-0000-0200-000003000000}">
      <formula1>"ANNUAL,SEMI-ANNUAL,QUARTERLY,MONTHLY"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5" xr:uid="{00000000-0002-0000-0200-000001000000}">
      <formula1>"PAYER,RECEIVER"</formula1>
    </dataValidation>
    <dataValidation type="whole" allowBlank="1" showInputMessage="1" sqref="C12" xr:uid="{00000000-0002-0000-0200-000000000000}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45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56" t="s">
        <v>0</v>
      </c>
      <c r="L3" s="357"/>
      <c r="M3" s="47" t="s">
        <v>335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58" t="s">
        <v>17</v>
      </c>
      <c r="L4" s="359"/>
      <c r="M4" s="48" t="s">
        <v>19</v>
      </c>
      <c r="O4" s="73" t="s">
        <v>11</v>
      </c>
      <c r="P4" s="74">
        <v>30</v>
      </c>
      <c r="Q4" s="18">
        <f t="shared" ref="Q4:Q9" si="0">P4/10000</f>
        <v>3.0000000000000001E-3</v>
      </c>
      <c r="S4" s="11">
        <v>1</v>
      </c>
      <c r="T4" s="86">
        <f t="shared" ref="T4:T9" si="1">N27</f>
        <v>5.0000000000000001E-3</v>
      </c>
      <c r="W4" s="18"/>
      <c r="X4" s="17">
        <v>0</v>
      </c>
      <c r="Y4" s="18" cm="1">
        <f t="array" ref="Y4">flatInterpolation(X4,$S$4:$S$9,$T$4:$T$9)</f>
        <v>5.0000000000000001E-3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58" t="s">
        <v>3</v>
      </c>
      <c r="L5" s="359"/>
      <c r="M5" s="49" t="s">
        <v>4</v>
      </c>
      <c r="O5" s="75" t="s">
        <v>12</v>
      </c>
      <c r="P5" s="76">
        <v>30</v>
      </c>
      <c r="Q5" s="18">
        <f t="shared" si="0"/>
        <v>3.0000000000000001E-3</v>
      </c>
      <c r="S5" s="12">
        <v>2</v>
      </c>
      <c r="T5" s="87">
        <f t="shared" si="1"/>
        <v>5.0000000000000001E-3</v>
      </c>
      <c r="W5" s="18"/>
      <c r="X5" s="20">
        <f>YearFraction</f>
        <v>0.25</v>
      </c>
      <c r="Y5" s="21" cm="1">
        <f t="array" ref="Y5">flatInterpolation(X5,$S$4:$S$9,$T$4:$T$9)</f>
        <v>5.0000000000000001E-3</v>
      </c>
      <c r="Z5" s="22">
        <f t="shared" ref="Z5:Z44" si="2">EXP(-Y5*YearFraction)*Z4</f>
        <v>0.99875078092458092</v>
      </c>
      <c r="AA5" s="22">
        <f t="shared" ref="AA5:AA44" si="3">Z4-Z5</f>
        <v>1.2492190754190835E-3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5.0001000000000004E-3</v>
      </c>
      <c r="AI5" s="30" cm="1">
        <f t="array" ref="AI5">flatInterpolation($AG5,$S$4:$S$9,AH$5:AH$10)</f>
        <v>5.0001000000000004E-3</v>
      </c>
      <c r="AJ5" s="22">
        <f t="shared" ref="AJ5:AJ44" si="4">EXP(-AI5*YearFraction)*AJ4</f>
        <v>0.99875075595581164</v>
      </c>
      <c r="AK5" s="121">
        <f t="shared" ref="AK5:AK44" si="5">AJ4-AJ5</f>
        <v>1.2492440441883579E-3</v>
      </c>
      <c r="AL5" s="126">
        <f>HazardRate1Y</f>
        <v>5.0000000000000001E-3</v>
      </c>
      <c r="AM5" s="30" cm="1">
        <f t="array" ref="AM5">flatInterpolation($AG5,$S$4:$S$9,AL$5:AL$10)</f>
        <v>5.0000000000000001E-3</v>
      </c>
      <c r="AN5" s="22">
        <f t="shared" ref="AN5:AN44" si="6">EXP(-AM5*YearFraction)*AN4</f>
        <v>0.99875078092458092</v>
      </c>
      <c r="AO5" s="121">
        <f t="shared" ref="AO5:AO44" si="7">AN4-AN5</f>
        <v>1.2492190754190835E-3</v>
      </c>
      <c r="AP5" s="126">
        <f>HazardRate1Y</f>
        <v>5.0000000000000001E-3</v>
      </c>
      <c r="AQ5" s="30" cm="1">
        <f t="array" ref="AQ5">flatInterpolation($AG5,$S$4:$S$9,AP$5:AP$10)</f>
        <v>5.0000000000000001E-3</v>
      </c>
      <c r="AR5" s="22">
        <f t="shared" ref="AR5:AR44" si="8">EXP(-AQ5*YearFraction)*AR4</f>
        <v>0.99875078092458092</v>
      </c>
      <c r="AS5" s="121">
        <f t="shared" ref="AS5:AS44" si="9">AR4-AR5</f>
        <v>1.2492190754190835E-3</v>
      </c>
      <c r="AT5" s="126">
        <f>HazardRate1Y</f>
        <v>5.0000000000000001E-3</v>
      </c>
      <c r="AU5" s="30" cm="1">
        <f t="array" ref="AU5">flatInterpolation($AG5,$S$4:$S$9,AT$5:AT$10)</f>
        <v>5.0000000000000001E-3</v>
      </c>
      <c r="AV5" s="22">
        <f t="shared" ref="AV5:AV44" si="10">EXP(-AU5*YearFraction)*AV4</f>
        <v>0.99875078092458092</v>
      </c>
      <c r="AW5" s="121">
        <f t="shared" ref="AW5:AW44" si="11">AV4-AV5</f>
        <v>1.2492190754190835E-3</v>
      </c>
      <c r="AX5" s="126">
        <f>HazardRate1Y</f>
        <v>5.0000000000000001E-3</v>
      </c>
      <c r="AY5" s="30" cm="1">
        <f t="array" ref="AY5">flatInterpolation($AG5,$S$4:$S$9,AX$5:AX$10)</f>
        <v>5.0000000000000001E-3</v>
      </c>
      <c r="AZ5" s="22">
        <f t="shared" ref="AZ5:AZ44" si="12">EXP(-AY5*YearFraction)*AZ4</f>
        <v>0.99875078092458092</v>
      </c>
      <c r="BA5" s="121">
        <f t="shared" ref="BA5:BA44" si="13">AZ4-AZ5</f>
        <v>1.2492190754190835E-3</v>
      </c>
      <c r="BB5" s="126">
        <f>HazardRate1Y</f>
        <v>5.0000000000000001E-3</v>
      </c>
      <c r="BC5" s="30" cm="1">
        <f t="array" ref="BC5">flatInterpolation($AG5,$S$4:$S$9,BB$5:BB$10)</f>
        <v>5.0000000000000001E-3</v>
      </c>
      <c r="BD5" s="22">
        <f t="shared" ref="BD5:BD44" si="14">EXP(-BC5*YearFraction)*BD4</f>
        <v>0.99875078092458092</v>
      </c>
      <c r="BE5" s="121">
        <f t="shared" ref="BE5:BE44" si="15">BD4-BD5</f>
        <v>1.2492190754190835E-3</v>
      </c>
    </row>
    <row r="6" spans="3:58" x14ac:dyDescent="0.3">
      <c r="C6" s="1" t="s">
        <v>137</v>
      </c>
      <c r="D6" t="s">
        <v>141</v>
      </c>
      <c r="K6" s="358" t="s">
        <v>1</v>
      </c>
      <c r="L6" s="359"/>
      <c r="M6" s="51">
        <v>0.4</v>
      </c>
      <c r="O6" s="75" t="s">
        <v>13</v>
      </c>
      <c r="P6" s="76">
        <v>30</v>
      </c>
      <c r="Q6" s="18">
        <f t="shared" si="0"/>
        <v>3.0000000000000001E-3</v>
      </c>
      <c r="S6" s="12">
        <v>3</v>
      </c>
      <c r="T6" s="87">
        <f t="shared" si="1"/>
        <v>5.0000000000000001E-3</v>
      </c>
      <c r="W6" s="18"/>
      <c r="X6" s="24">
        <f t="shared" ref="X6:X44" si="16">X5+YearFraction</f>
        <v>0.5</v>
      </c>
      <c r="Y6" s="25" cm="1">
        <f t="array" ref="Y6">flatInterpolation(X6,$S$4:$S$9,$T$4:$T$9)</f>
        <v>5.0000000000000001E-3</v>
      </c>
      <c r="Z6" s="26">
        <f t="shared" si="2"/>
        <v>0.9975031223974602</v>
      </c>
      <c r="AA6" s="26">
        <f t="shared" si="3"/>
        <v>1.2476585271207208E-3</v>
      </c>
      <c r="AB6" s="27" cm="1">
        <f t="array" ref="AB6">cubicInterpolation(CurveResults.Times,CurveResults.DFs,$X6)</f>
        <v>0.97728436827331244</v>
      </c>
      <c r="AG6" s="24">
        <f t="shared" ref="AG6:AG44" si="17">AG5+YearFraction</f>
        <v>0.5</v>
      </c>
      <c r="AH6" s="130">
        <f>HazardRate2Y</f>
        <v>5.0000000000000001E-3</v>
      </c>
      <c r="AI6" s="18" cm="1">
        <f t="array" ref="AI6">flatInterpolation($AG6,$S$4:$S$9,AH$5:AH$10)</f>
        <v>5.0001000000000004E-3</v>
      </c>
      <c r="AJ6" s="26">
        <f t="shared" si="4"/>
        <v>0.99750307252230519</v>
      </c>
      <c r="AK6" s="122">
        <f t="shared" si="5"/>
        <v>1.2476834335064524E-3</v>
      </c>
      <c r="AL6" s="128">
        <f>HazardRate2Y+ShiftSize</f>
        <v>5.0001000000000004E-3</v>
      </c>
      <c r="AM6" s="18" cm="1">
        <f t="array" ref="AM6">flatInterpolation($AG6,$S$4:$S$9,AL$5:AL$10)</f>
        <v>5.0000000000000001E-3</v>
      </c>
      <c r="AN6" s="26">
        <f t="shared" si="6"/>
        <v>0.9975031223974602</v>
      </c>
      <c r="AO6" s="122">
        <f t="shared" si="7"/>
        <v>1.2476585271207208E-3</v>
      </c>
      <c r="AP6" s="127">
        <f>HazardRate2Y</f>
        <v>5.0000000000000001E-3</v>
      </c>
      <c r="AQ6" s="18" cm="1">
        <f t="array" ref="AQ6">flatInterpolation($AG6,$S$4:$S$9,AP$5:AP$10)</f>
        <v>5.0000000000000001E-3</v>
      </c>
      <c r="AR6" s="26">
        <f t="shared" si="8"/>
        <v>0.9975031223974602</v>
      </c>
      <c r="AS6" s="122">
        <f t="shared" si="9"/>
        <v>1.2476585271207208E-3</v>
      </c>
      <c r="AT6" s="127">
        <f>HazardRate2Y</f>
        <v>5.0000000000000001E-3</v>
      </c>
      <c r="AU6" s="18" cm="1">
        <f t="array" ref="AU6">flatInterpolation($AG6,$S$4:$S$9,AT$5:AT$10)</f>
        <v>5.0000000000000001E-3</v>
      </c>
      <c r="AV6" s="26">
        <f t="shared" si="10"/>
        <v>0.9975031223974602</v>
      </c>
      <c r="AW6" s="122">
        <f t="shared" si="11"/>
        <v>1.2476585271207208E-3</v>
      </c>
      <c r="AX6" s="127">
        <f>HazardRate2Y</f>
        <v>5.0000000000000001E-3</v>
      </c>
      <c r="AY6" s="18" cm="1">
        <f t="array" ref="AY6">flatInterpolation($AG6,$S$4:$S$9,AX$5:AX$10)</f>
        <v>5.0000000000000001E-3</v>
      </c>
      <c r="AZ6" s="26">
        <f t="shared" si="12"/>
        <v>0.9975031223974602</v>
      </c>
      <c r="BA6" s="122">
        <f t="shared" si="13"/>
        <v>1.2476585271207208E-3</v>
      </c>
      <c r="BB6" s="127">
        <f>HazardRate2Y</f>
        <v>5.0000000000000001E-3</v>
      </c>
      <c r="BC6" s="18" cm="1">
        <f t="array" ref="BC6">flatInterpolation($AG6,$S$4:$S$9,BB$5:BB$10)</f>
        <v>5.0000000000000001E-3</v>
      </c>
      <c r="BD6" s="26">
        <f t="shared" si="14"/>
        <v>0.9975031223974602</v>
      </c>
      <c r="BE6" s="122">
        <f t="shared" si="15"/>
        <v>1.2476585271207208E-3</v>
      </c>
    </row>
    <row r="7" spans="3:58" x14ac:dyDescent="0.3">
      <c r="C7" s="1" t="s">
        <v>138</v>
      </c>
      <c r="D7" t="s">
        <v>142</v>
      </c>
      <c r="K7" s="358" t="s">
        <v>5</v>
      </c>
      <c r="L7" s="359"/>
      <c r="M7" s="52">
        <v>0.25</v>
      </c>
      <c r="O7" s="75" t="s">
        <v>14</v>
      </c>
      <c r="P7" s="76">
        <v>30</v>
      </c>
      <c r="Q7" s="18">
        <f t="shared" si="0"/>
        <v>3.0000000000000001E-3</v>
      </c>
      <c r="S7" s="12">
        <v>4</v>
      </c>
      <c r="T7" s="87">
        <f t="shared" si="1"/>
        <v>5.0000000000000001E-3</v>
      </c>
      <c r="W7" s="18"/>
      <c r="X7" s="24">
        <f t="shared" si="16"/>
        <v>0.75</v>
      </c>
      <c r="Y7" s="25" cm="1">
        <f t="array" ref="Y7">flatInterpolation(X7,$S$4:$S$9,$T$4:$T$9)</f>
        <v>5.0000000000000001E-3</v>
      </c>
      <c r="Z7" s="26">
        <f t="shared" si="2"/>
        <v>0.99625702246917114</v>
      </c>
      <c r="AA7" s="26">
        <f t="shared" si="3"/>
        <v>1.2460999282890572E-3</v>
      </c>
      <c r="AB7" s="27" cm="1">
        <f t="array" ref="AB7">cubicInterpolation(CurveResults.Times,CurveResults.DFs,$X7)</f>
        <v>0.96604126005158042</v>
      </c>
      <c r="AG7" s="24">
        <f t="shared" si="17"/>
        <v>0.75</v>
      </c>
      <c r="AH7" s="130">
        <f>HazardRate3Y</f>
        <v>5.0000000000000001E-3</v>
      </c>
      <c r="AI7" s="18" cm="1">
        <f t="array" ref="AI7">flatInterpolation($AG7,$S$4:$S$9,AH$5:AH$10)</f>
        <v>5.0001000000000004E-3</v>
      </c>
      <c r="AJ7" s="26">
        <f t="shared" si="4"/>
        <v>0.99625694774989715</v>
      </c>
      <c r="AK7" s="122">
        <f t="shared" si="5"/>
        <v>1.2461247724080415E-3</v>
      </c>
      <c r="AL7" s="127">
        <f>HazardRate3Y</f>
        <v>5.0000000000000001E-3</v>
      </c>
      <c r="AM7" s="18" cm="1">
        <f t="array" ref="AM7">flatInterpolation($AG7,$S$4:$S$9,AL$5:AL$10)</f>
        <v>5.0000000000000001E-3</v>
      </c>
      <c r="AN7" s="26">
        <f t="shared" si="6"/>
        <v>0.99625702246917114</v>
      </c>
      <c r="AO7" s="122">
        <f t="shared" si="7"/>
        <v>1.2460999282890572E-3</v>
      </c>
      <c r="AP7" s="128">
        <f>HazardRate3Y+ShiftSize</f>
        <v>5.0001000000000004E-3</v>
      </c>
      <c r="AQ7" s="18" cm="1">
        <f t="array" ref="AQ7">flatInterpolation($AG7,$S$4:$S$9,AP$5:AP$10)</f>
        <v>5.0000000000000001E-3</v>
      </c>
      <c r="AR7" s="26">
        <f t="shared" si="8"/>
        <v>0.99625702246917114</v>
      </c>
      <c r="AS7" s="122">
        <f t="shared" si="9"/>
        <v>1.2460999282890572E-3</v>
      </c>
      <c r="AT7" s="127">
        <f>HazardRate3Y</f>
        <v>5.0000000000000001E-3</v>
      </c>
      <c r="AU7" s="18" cm="1">
        <f t="array" ref="AU7">flatInterpolation($AG7,$S$4:$S$9,AT$5:AT$10)</f>
        <v>5.0000000000000001E-3</v>
      </c>
      <c r="AV7" s="26">
        <f t="shared" si="10"/>
        <v>0.99625702246917114</v>
      </c>
      <c r="AW7" s="122">
        <f t="shared" si="11"/>
        <v>1.2460999282890572E-3</v>
      </c>
      <c r="AX7" s="127">
        <f>HazardRate3Y</f>
        <v>5.0000000000000001E-3</v>
      </c>
      <c r="AY7" s="18" cm="1">
        <f t="array" ref="AY7">flatInterpolation($AG7,$S$4:$S$9,AX$5:AX$10)</f>
        <v>5.0000000000000001E-3</v>
      </c>
      <c r="AZ7" s="26">
        <f t="shared" si="12"/>
        <v>0.99625702246917114</v>
      </c>
      <c r="BA7" s="122">
        <f t="shared" si="13"/>
        <v>1.2460999282890572E-3</v>
      </c>
      <c r="BB7" s="127">
        <f>HazardRate3Y</f>
        <v>5.0000000000000001E-3</v>
      </c>
      <c r="BC7" s="18" cm="1">
        <f t="array" ref="BC7">flatInterpolation($AG7,$S$4:$S$9,BB$5:BB$10)</f>
        <v>5.0000000000000001E-3</v>
      </c>
      <c r="BD7" s="26">
        <f t="shared" si="14"/>
        <v>0.99625702246917114</v>
      </c>
      <c r="BE7" s="122">
        <f t="shared" si="15"/>
        <v>1.2460999282890572E-3</v>
      </c>
    </row>
    <row r="8" spans="3:58" x14ac:dyDescent="0.3">
      <c r="K8" s="358" t="s">
        <v>18</v>
      </c>
      <c r="L8" s="359"/>
      <c r="M8" s="170">
        <v>1000000</v>
      </c>
      <c r="O8" s="75" t="s">
        <v>15</v>
      </c>
      <c r="P8" s="76">
        <v>30</v>
      </c>
      <c r="Q8" s="18">
        <f t="shared" si="0"/>
        <v>3.0000000000000001E-3</v>
      </c>
      <c r="S8" s="12">
        <v>5</v>
      </c>
      <c r="T8" s="87">
        <f t="shared" si="1"/>
        <v>5.0000000000000001E-3</v>
      </c>
      <c r="W8" s="18"/>
      <c r="X8" s="24">
        <f t="shared" si="16"/>
        <v>1</v>
      </c>
      <c r="Y8" s="25" cm="1">
        <f t="array" ref="Y8">flatInterpolation(X8,$S$4:$S$9,$T$4:$T$9)</f>
        <v>5.0000000000000001E-3</v>
      </c>
      <c r="Z8" s="26">
        <f t="shared" si="2"/>
        <v>0.99501247919268243</v>
      </c>
      <c r="AA8" s="26">
        <f t="shared" si="3"/>
        <v>1.2445432764887077E-3</v>
      </c>
      <c r="AB8" s="27" cm="1">
        <f t="array" ref="AB8">cubicInterpolation(CurveResults.Times,CurveResults.DFs,$X8)</f>
        <v>0.95518051063522103</v>
      </c>
      <c r="AG8" s="24">
        <f t="shared" si="17"/>
        <v>1</v>
      </c>
      <c r="AH8" s="130">
        <f>HazardRate4Y</f>
        <v>5.0000000000000001E-3</v>
      </c>
      <c r="AI8" s="18" cm="1">
        <f t="array" ref="AI8">flatInterpolation($AG8,$S$4:$S$9,AH$5:AH$10)</f>
        <v>5.0001000000000004E-3</v>
      </c>
      <c r="AJ8" s="26">
        <f t="shared" si="4"/>
        <v>0.9950123796914393</v>
      </c>
      <c r="AK8" s="122">
        <f t="shared" si="5"/>
        <v>1.2445680584578511E-3</v>
      </c>
      <c r="AL8" s="127">
        <f>HazardRate4Y</f>
        <v>5.0000000000000001E-3</v>
      </c>
      <c r="AM8" s="18" cm="1">
        <f t="array" ref="AM8">flatInterpolation($AG8,$S$4:$S$9,AL$5:AL$10)</f>
        <v>5.0000000000000001E-3</v>
      </c>
      <c r="AN8" s="26">
        <f t="shared" si="6"/>
        <v>0.99501247919268243</v>
      </c>
      <c r="AO8" s="122">
        <f t="shared" si="7"/>
        <v>1.2445432764887077E-3</v>
      </c>
      <c r="AP8" s="127">
        <f>HazardRate4Y</f>
        <v>5.0000000000000001E-3</v>
      </c>
      <c r="AQ8" s="18" cm="1">
        <f t="array" ref="AQ8">flatInterpolation($AG8,$S$4:$S$9,AP$5:AP$10)</f>
        <v>5.0000000000000001E-3</v>
      </c>
      <c r="AR8" s="26">
        <f t="shared" si="8"/>
        <v>0.99501247919268243</v>
      </c>
      <c r="AS8" s="122">
        <f t="shared" si="9"/>
        <v>1.2445432764887077E-3</v>
      </c>
      <c r="AT8" s="128">
        <f>HazardRate4Y+ShiftSize</f>
        <v>5.0001000000000004E-3</v>
      </c>
      <c r="AU8" s="18" cm="1">
        <f t="array" ref="AU8">flatInterpolation($AG8,$S$4:$S$9,AT$5:AT$10)</f>
        <v>5.0000000000000001E-3</v>
      </c>
      <c r="AV8" s="26">
        <f t="shared" si="10"/>
        <v>0.99501247919268243</v>
      </c>
      <c r="AW8" s="122">
        <f t="shared" si="11"/>
        <v>1.2445432764887077E-3</v>
      </c>
      <c r="AX8" s="127">
        <f>HazardRate4Y</f>
        <v>5.0000000000000001E-3</v>
      </c>
      <c r="AY8" s="18" cm="1">
        <f t="array" ref="AY8">flatInterpolation($AG8,$S$4:$S$9,AX$5:AX$10)</f>
        <v>5.0000000000000001E-3</v>
      </c>
      <c r="AZ8" s="26">
        <f t="shared" si="12"/>
        <v>0.99501247919268243</v>
      </c>
      <c r="BA8" s="122">
        <f t="shared" si="13"/>
        <v>1.2445432764887077E-3</v>
      </c>
      <c r="BB8" s="127">
        <f>HazardRate4Y</f>
        <v>5.0000000000000001E-3</v>
      </c>
      <c r="BC8" s="18" cm="1">
        <f t="array" ref="BC8">flatInterpolation($AG8,$S$4:$S$9,BB$5:BB$10)</f>
        <v>5.0000000000000001E-3</v>
      </c>
      <c r="BD8" s="26">
        <f t="shared" si="14"/>
        <v>0.99501247919268243</v>
      </c>
      <c r="BE8" s="122">
        <f t="shared" si="15"/>
        <v>1.2445432764887077E-3</v>
      </c>
    </row>
    <row r="9" spans="3:58" x14ac:dyDescent="0.3">
      <c r="C9" s="1" t="s">
        <v>136</v>
      </c>
      <c r="K9" s="354" t="s">
        <v>9</v>
      </c>
      <c r="L9" s="355"/>
      <c r="M9" s="53">
        <f>Notional*(1-RecoveryRate)</f>
        <v>600000</v>
      </c>
      <c r="O9" s="77" t="s">
        <v>16</v>
      </c>
      <c r="P9" s="78">
        <v>30</v>
      </c>
      <c r="Q9" s="18">
        <f t="shared" si="0"/>
        <v>3.0000000000000001E-3</v>
      </c>
      <c r="S9" s="13">
        <v>10</v>
      </c>
      <c r="T9" s="88">
        <f t="shared" si="1"/>
        <v>5.0000000000000001E-3</v>
      </c>
      <c r="W9" s="18"/>
      <c r="X9" s="24">
        <f t="shared" si="16"/>
        <v>1.25</v>
      </c>
      <c r="Y9" s="25" cm="1">
        <f t="array" ref="Y9">flatInterpolation(X9,$S$4:$S$9,$T$4:$T$9)</f>
        <v>5.0000000000000001E-3</v>
      </c>
      <c r="Z9" s="26">
        <f t="shared" si="2"/>
        <v>0.99376949062339492</v>
      </c>
      <c r="AA9" s="26">
        <f t="shared" si="3"/>
        <v>1.2429885692875065E-3</v>
      </c>
      <c r="AB9" s="27" cm="1">
        <f t="array" ref="AB9">cubicInterpolation(CurveResults.Times,CurveResults.DFs,$X9)</f>
        <v>0.94476174559314918</v>
      </c>
      <c r="AG9" s="24">
        <f t="shared" si="17"/>
        <v>1.25</v>
      </c>
      <c r="AH9" s="130">
        <f>HazardRate5Y</f>
        <v>5.0000000000000001E-3</v>
      </c>
      <c r="AI9" s="18" cm="1">
        <f t="array" ref="AI9">flatInterpolation($AG9,$S$4:$S$9,AH$5:AH$10)</f>
        <v>5.0000000000000001E-3</v>
      </c>
      <c r="AJ9" s="26">
        <f t="shared" si="4"/>
        <v>0.99376939124645058</v>
      </c>
      <c r="AK9" s="122">
        <f t="shared" si="5"/>
        <v>1.242988444988713E-3</v>
      </c>
      <c r="AL9" s="127">
        <f>HazardRate5Y</f>
        <v>5.0000000000000001E-3</v>
      </c>
      <c r="AM9" s="18" cm="1">
        <f t="array" ref="AM9">flatInterpolation($AG9,$S$4:$S$9,AL$5:AL$10)</f>
        <v>5.0001000000000004E-3</v>
      </c>
      <c r="AN9" s="26">
        <f t="shared" si="6"/>
        <v>0.99376946577915792</v>
      </c>
      <c r="AO9" s="122">
        <f t="shared" si="7"/>
        <v>1.2430134135245074E-3</v>
      </c>
      <c r="AP9" s="127">
        <f>HazardRate5Y</f>
        <v>5.0000000000000001E-3</v>
      </c>
      <c r="AQ9" s="18" cm="1">
        <f t="array" ref="AQ9">flatInterpolation($AG9,$S$4:$S$9,AP$5:AP$10)</f>
        <v>5.0000000000000001E-3</v>
      </c>
      <c r="AR9" s="26">
        <f t="shared" si="8"/>
        <v>0.99376949062339492</v>
      </c>
      <c r="AS9" s="122">
        <f t="shared" si="9"/>
        <v>1.2429885692875065E-3</v>
      </c>
      <c r="AT9" s="127">
        <f>HazardRate5Y</f>
        <v>5.0000000000000001E-3</v>
      </c>
      <c r="AU9" s="18" cm="1">
        <f t="array" ref="AU9">flatInterpolation($AG9,$S$4:$S$9,AT$5:AT$10)</f>
        <v>5.0000000000000001E-3</v>
      </c>
      <c r="AV9" s="26">
        <f t="shared" si="10"/>
        <v>0.99376949062339492</v>
      </c>
      <c r="AW9" s="122">
        <f t="shared" si="11"/>
        <v>1.2429885692875065E-3</v>
      </c>
      <c r="AX9" s="128">
        <f>HazardRate5Y+ShiftSize</f>
        <v>5.0001000000000004E-3</v>
      </c>
      <c r="AY9" s="18" cm="1">
        <f t="array" ref="AY9">flatInterpolation($AG9,$S$4:$S$9,AX$5:AX$10)</f>
        <v>5.0000000000000001E-3</v>
      </c>
      <c r="AZ9" s="26">
        <f t="shared" si="12"/>
        <v>0.99376949062339492</v>
      </c>
      <c r="BA9" s="122">
        <f t="shared" si="13"/>
        <v>1.2429885692875065E-3</v>
      </c>
      <c r="BB9" s="127">
        <f>HazardRate5Y</f>
        <v>5.0000000000000001E-3</v>
      </c>
      <c r="BC9" s="18" cm="1">
        <f t="array" ref="BC9">flatInterpolation($AG9,$S$4:$S$9,BB$5:BB$10)</f>
        <v>5.0000000000000001E-3</v>
      </c>
      <c r="BD9" s="26">
        <f t="shared" si="14"/>
        <v>0.99376949062339492</v>
      </c>
      <c r="BE9" s="122">
        <f t="shared" si="15"/>
        <v>1.2429885692875065E-3</v>
      </c>
    </row>
    <row r="10" spans="3:58" x14ac:dyDescent="0.3">
      <c r="C10" t="s">
        <v>140</v>
      </c>
      <c r="X10" s="24">
        <f t="shared" si="16"/>
        <v>1.5</v>
      </c>
      <c r="Y10" s="25" cm="1">
        <f t="array" ref="Y10">flatInterpolation(X10,$S$4:$S$9,$T$4:$T$9)</f>
        <v>5.0000000000000001E-3</v>
      </c>
      <c r="Z10" s="26">
        <f t="shared" si="2"/>
        <v>0.99252805481913864</v>
      </c>
      <c r="AA10" s="26">
        <f t="shared" si="3"/>
        <v>1.2414358042562856E-3</v>
      </c>
      <c r="AB10" s="27" cm="1">
        <f t="array" ref="AB10">cubicInterpolation(CurveResults.Times,CurveResults.DFs,$X10)</f>
        <v>0.93466312738762736</v>
      </c>
      <c r="AG10" s="24">
        <f t="shared" si="17"/>
        <v>1.5</v>
      </c>
      <c r="AH10" s="130">
        <f>HazardRate10Y</f>
        <v>5.0000000000000001E-3</v>
      </c>
      <c r="AI10" s="18" cm="1">
        <f t="array" ref="AI10">flatInterpolation($AG10,$S$4:$S$9,AH$5:AH$10)</f>
        <v>5.0000000000000001E-3</v>
      </c>
      <c r="AJ10" s="26">
        <f t="shared" si="4"/>
        <v>0.99252795556633788</v>
      </c>
      <c r="AK10" s="122">
        <f t="shared" si="5"/>
        <v>1.2414356801127013E-3</v>
      </c>
      <c r="AL10" s="127">
        <f>HazardRate10Y</f>
        <v>5.0000000000000001E-3</v>
      </c>
      <c r="AM10" s="18" cm="1">
        <f t="array" ref="AM10">flatInterpolation($AG10,$S$4:$S$9,AL$5:AL$10)</f>
        <v>5.0001000000000004E-3</v>
      </c>
      <c r="AN10" s="26">
        <f t="shared" si="6"/>
        <v>0.9925280051927371</v>
      </c>
      <c r="AO10" s="122">
        <f t="shared" si="7"/>
        <v>1.2414605864208283E-3</v>
      </c>
      <c r="AP10" s="127">
        <f>HazardRate10Y</f>
        <v>5.0000000000000001E-3</v>
      </c>
      <c r="AQ10" s="18" cm="1">
        <f t="array" ref="AQ10">flatInterpolation($AG10,$S$4:$S$9,AP$5:AP$10)</f>
        <v>5.0000000000000001E-3</v>
      </c>
      <c r="AR10" s="26">
        <f t="shared" si="8"/>
        <v>0.99252805481913864</v>
      </c>
      <c r="AS10" s="122">
        <f t="shared" si="9"/>
        <v>1.2414358042562856E-3</v>
      </c>
      <c r="AT10" s="127">
        <f>HazardRate10Y</f>
        <v>5.0000000000000001E-3</v>
      </c>
      <c r="AU10" s="18" cm="1">
        <f t="array" ref="AU10">flatInterpolation($AG10,$S$4:$S$9,AT$5:AT$10)</f>
        <v>5.0000000000000001E-3</v>
      </c>
      <c r="AV10" s="26">
        <f t="shared" si="10"/>
        <v>0.99252805481913864</v>
      </c>
      <c r="AW10" s="122">
        <f t="shared" si="11"/>
        <v>1.2414358042562856E-3</v>
      </c>
      <c r="AX10" s="127">
        <f>HazardRate10Y</f>
        <v>5.0000000000000001E-3</v>
      </c>
      <c r="AY10" s="18" cm="1">
        <f t="array" ref="AY10">flatInterpolation($AG10,$S$4:$S$9,AX$5:AX$10)</f>
        <v>5.0000000000000001E-3</v>
      </c>
      <c r="AZ10" s="26">
        <f t="shared" si="12"/>
        <v>0.99252805481913864</v>
      </c>
      <c r="BA10" s="122">
        <f t="shared" si="13"/>
        <v>1.2414358042562856E-3</v>
      </c>
      <c r="BB10" s="128">
        <f>HazardRate10Y+ShiftSize</f>
        <v>5.0001000000000004E-3</v>
      </c>
      <c r="BC10" s="18" cm="1">
        <f t="array" ref="BC10">flatInterpolation($AG10,$S$4:$S$9,BB$5:BB$10)</f>
        <v>5.0000000000000001E-3</v>
      </c>
      <c r="BD10" s="26">
        <f t="shared" si="14"/>
        <v>0.99252805481913864</v>
      </c>
      <c r="BE10" s="122">
        <f t="shared" si="15"/>
        <v>1.2414358042562856E-3</v>
      </c>
    </row>
    <row r="11" spans="3:58" x14ac:dyDescent="0.3">
      <c r="C11" t="s">
        <v>160</v>
      </c>
      <c r="X11" s="24">
        <f t="shared" si="16"/>
        <v>1.75</v>
      </c>
      <c r="Y11" s="25" cm="1">
        <f t="array" ref="Y11">flatInterpolation(X11,$S$4:$S$9,$T$4:$T$9)</f>
        <v>5.0000000000000001E-3</v>
      </c>
      <c r="Z11" s="26">
        <f t="shared" si="2"/>
        <v>0.99128816984016999</v>
      </c>
      <c r="AA11" s="26">
        <f t="shared" si="3"/>
        <v>1.2398849789686528E-3</v>
      </c>
      <c r="AB11" s="27" cm="1">
        <f t="array" ref="AB11">cubicInterpolation(CurveResults.Times,CurveResults.DFs,$X11)</f>
        <v>0.92484187664189998</v>
      </c>
      <c r="AG11" s="24">
        <f t="shared" si="17"/>
        <v>1.75</v>
      </c>
      <c r="AI11" s="18" cm="1">
        <f t="array" ref="AI11">flatInterpolation($AG11,$S$4:$S$9,AH$5:AH$10)</f>
        <v>5.0000000000000001E-3</v>
      </c>
      <c r="AJ11" s="26">
        <f t="shared" si="4"/>
        <v>0.99128807071135772</v>
      </c>
      <c r="AK11" s="122">
        <f t="shared" si="5"/>
        <v>1.2398848549801667E-3</v>
      </c>
      <c r="AL11" s="116"/>
      <c r="AM11" s="18" cm="1">
        <f t="array" ref="AM11">flatInterpolation($AG11,$S$4:$S$9,AL$5:AL$10)</f>
        <v>5.0001000000000004E-3</v>
      </c>
      <c r="AN11" s="26">
        <f t="shared" si="6"/>
        <v>0.9912880954935599</v>
      </c>
      <c r="AO11" s="122">
        <f t="shared" si="7"/>
        <v>1.2399096991771996E-3</v>
      </c>
      <c r="AP11" s="116"/>
      <c r="AQ11" s="18" cm="1">
        <f t="array" ref="AQ11">flatInterpolation($AG11,$S$4:$S$9,AP$5:AP$10)</f>
        <v>5.0000000000000001E-3</v>
      </c>
      <c r="AR11" s="26">
        <f t="shared" si="8"/>
        <v>0.99128816984016999</v>
      </c>
      <c r="AS11" s="122">
        <f t="shared" si="9"/>
        <v>1.2398849789686528E-3</v>
      </c>
      <c r="AT11" s="116"/>
      <c r="AU11" s="18" cm="1">
        <f t="array" ref="AU11">flatInterpolation($AG11,$S$4:$S$9,AT$5:AT$10)</f>
        <v>5.0000000000000001E-3</v>
      </c>
      <c r="AV11" s="26">
        <f t="shared" si="10"/>
        <v>0.99128816984016999</v>
      </c>
      <c r="AW11" s="122">
        <f t="shared" si="11"/>
        <v>1.2398849789686528E-3</v>
      </c>
      <c r="AX11" s="116"/>
      <c r="AY11" s="18" cm="1">
        <f t="array" ref="AY11">flatInterpolation($AG11,$S$4:$S$9,AX$5:AX$10)</f>
        <v>5.0000000000000001E-3</v>
      </c>
      <c r="AZ11" s="26">
        <f t="shared" si="12"/>
        <v>0.99128816984016999</v>
      </c>
      <c r="BA11" s="122">
        <f t="shared" si="13"/>
        <v>1.2398849789686528E-3</v>
      </c>
      <c r="BB11" s="116"/>
      <c r="BC11" s="18" cm="1">
        <f t="array" ref="BC11">flatInterpolation($AG11,$S$4:$S$9,BB$5:BB$10)</f>
        <v>5.0000000000000001E-3</v>
      </c>
      <c r="BD11" s="26">
        <f t="shared" si="14"/>
        <v>0.99128816984016999</v>
      </c>
      <c r="BE11" s="122">
        <f t="shared" si="15"/>
        <v>1.2398849789686528E-3</v>
      </c>
    </row>
    <row r="12" spans="3:58" x14ac:dyDescent="0.3">
      <c r="K12" s="1" t="s">
        <v>50</v>
      </c>
      <c r="S12" s="1" t="s">
        <v>68</v>
      </c>
      <c r="X12" s="24">
        <f t="shared" si="16"/>
        <v>2</v>
      </c>
      <c r="Y12" s="25" cm="1">
        <f t="array" ref="Y12">flatInterpolation(X12,$S$4:$S$9,$T$4:$T$9)</f>
        <v>5.0000000000000001E-3</v>
      </c>
      <c r="Z12" s="26">
        <f t="shared" si="2"/>
        <v>0.99004983374916833</v>
      </c>
      <c r="AA12" s="26">
        <f t="shared" si="3"/>
        <v>1.2383360910016572E-3</v>
      </c>
      <c r="AB12" s="27" cm="1">
        <f t="array" ref="AB12">cubicInterpolation(CurveResults.Times,CurveResults.DFs,$X12)</f>
        <v>0.91525521397921195</v>
      </c>
      <c r="AG12" s="24">
        <f t="shared" si="17"/>
        <v>2</v>
      </c>
      <c r="AI12" s="18" cm="1">
        <f t="array" ref="AI12">flatInterpolation($AG12,$S$4:$S$9,AH$5:AH$10)</f>
        <v>5.0000000000000001E-3</v>
      </c>
      <c r="AJ12" s="26">
        <f t="shared" si="4"/>
        <v>0.99004973474418967</v>
      </c>
      <c r="AK12" s="122">
        <f t="shared" si="5"/>
        <v>1.2383359671680472E-3</v>
      </c>
      <c r="AL12" s="116"/>
      <c r="AM12" s="18" cm="1">
        <f t="array" ref="AM12">flatInterpolation($AG12,$S$4:$S$9,AL$5:AL$10)</f>
        <v>5.0001000000000004E-3</v>
      </c>
      <c r="AN12" s="26">
        <f t="shared" si="6"/>
        <v>0.99004973474418978</v>
      </c>
      <c r="AO12" s="122">
        <f t="shared" si="7"/>
        <v>1.2383607493701154E-3</v>
      </c>
      <c r="AP12" s="116"/>
      <c r="AQ12" s="18" cm="1">
        <f t="array" ref="AQ12">flatInterpolation($AG12,$S$4:$S$9,AP$5:AP$10)</f>
        <v>5.0000000000000001E-3</v>
      </c>
      <c r="AR12" s="26">
        <f t="shared" si="8"/>
        <v>0.99004983374916833</v>
      </c>
      <c r="AS12" s="122">
        <f t="shared" si="9"/>
        <v>1.2383360910016572E-3</v>
      </c>
      <c r="AT12" s="116"/>
      <c r="AU12" s="18" cm="1">
        <f t="array" ref="AU12">flatInterpolation($AG12,$S$4:$S$9,AT$5:AT$10)</f>
        <v>5.0000000000000001E-3</v>
      </c>
      <c r="AV12" s="26">
        <f t="shared" si="10"/>
        <v>0.99004983374916833</v>
      </c>
      <c r="AW12" s="122">
        <f t="shared" si="11"/>
        <v>1.2383360910016572E-3</v>
      </c>
      <c r="AX12" s="116"/>
      <c r="AY12" s="18" cm="1">
        <f t="array" ref="AY12">flatInterpolation($AG12,$S$4:$S$9,AX$5:AX$10)</f>
        <v>5.0000000000000001E-3</v>
      </c>
      <c r="AZ12" s="26">
        <f t="shared" si="12"/>
        <v>0.99004983374916833</v>
      </c>
      <c r="BA12" s="122">
        <f t="shared" si="13"/>
        <v>1.2383360910016572E-3</v>
      </c>
      <c r="BB12" s="116"/>
      <c r="BC12" s="18" cm="1">
        <f t="array" ref="BC12">flatInterpolation($AG12,$S$4:$S$9,BB$5:BB$10)</f>
        <v>5.0000000000000001E-3</v>
      </c>
      <c r="BD12" s="26">
        <f t="shared" si="14"/>
        <v>0.99004983374916833</v>
      </c>
      <c r="BE12" s="122">
        <f t="shared" si="15"/>
        <v>1.2383360910016572E-3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si="16"/>
        <v>2.25</v>
      </c>
      <c r="Y13" s="25" cm="1">
        <f t="array" ref="Y13">flatInterpolation(X13,$S$4:$S$9,$T$4:$T$9)</f>
        <v>5.0000000000000001E-3</v>
      </c>
      <c r="Z13" s="26">
        <f t="shared" si="2"/>
        <v>0.98881304461123343</v>
      </c>
      <c r="AA13" s="26">
        <f t="shared" si="3"/>
        <v>1.2367891379349016E-3</v>
      </c>
      <c r="AB13" s="27" cm="1">
        <f t="array" ref="AB13">cubicInterpolation(CurveResults.Times,CurveResults.DFs,$X13)</f>
        <v>0.90592386234408706</v>
      </c>
      <c r="AG13" s="24">
        <f t="shared" si="17"/>
        <v>2.25</v>
      </c>
      <c r="AI13" s="18" cm="1">
        <f t="array" ref="AI13">flatInterpolation($AG13,$S$4:$S$9,AH$5:AH$10)</f>
        <v>5.0000000000000001E-3</v>
      </c>
      <c r="AJ13" s="26">
        <f t="shared" si="4"/>
        <v>0.98881294572993361</v>
      </c>
      <c r="AK13" s="122">
        <f t="shared" si="5"/>
        <v>1.2367890142560567E-3</v>
      </c>
      <c r="AL13" s="116"/>
      <c r="AM13" s="18" cm="1">
        <f t="array" ref="AM13">flatInterpolation($AG13,$S$4:$S$9,AL$5:AL$10)</f>
        <v>5.0000000000000001E-3</v>
      </c>
      <c r="AN13" s="26">
        <f t="shared" si="6"/>
        <v>0.98881294572993372</v>
      </c>
      <c r="AO13" s="122">
        <f t="shared" si="7"/>
        <v>1.2367890142560567E-3</v>
      </c>
      <c r="AP13" s="116"/>
      <c r="AQ13" s="18" cm="1">
        <f t="array" ref="AQ13">flatInterpolation($AG13,$S$4:$S$9,AP$5:AP$10)</f>
        <v>5.0001000000000004E-3</v>
      </c>
      <c r="AR13" s="26">
        <f t="shared" si="8"/>
        <v>0.98881301989090753</v>
      </c>
      <c r="AS13" s="122">
        <f t="shared" si="9"/>
        <v>1.236813858260799E-3</v>
      </c>
      <c r="AT13" s="116"/>
      <c r="AU13" s="18" cm="1">
        <f t="array" ref="AU13">flatInterpolation($AG13,$S$4:$S$9,AT$5:AT$10)</f>
        <v>5.0000000000000001E-3</v>
      </c>
      <c r="AV13" s="26">
        <f t="shared" si="10"/>
        <v>0.98881304461123343</v>
      </c>
      <c r="AW13" s="122">
        <f t="shared" si="11"/>
        <v>1.2367891379349016E-3</v>
      </c>
      <c r="AX13" s="116"/>
      <c r="AY13" s="18" cm="1">
        <f t="array" ref="AY13">flatInterpolation($AG13,$S$4:$S$9,AX$5:AX$10)</f>
        <v>5.0000000000000001E-3</v>
      </c>
      <c r="AZ13" s="26">
        <f t="shared" si="12"/>
        <v>0.98881304461123343</v>
      </c>
      <c r="BA13" s="122">
        <f t="shared" si="13"/>
        <v>1.2367891379349016E-3</v>
      </c>
      <c r="BB13" s="116"/>
      <c r="BC13" s="18" cm="1">
        <f t="array" ref="BC13">flatInterpolation($AG13,$S$4:$S$9,BB$5:BB$10)</f>
        <v>5.0000000000000001E-3</v>
      </c>
      <c r="BD13" s="26">
        <f t="shared" si="14"/>
        <v>0.98881304461123343</v>
      </c>
      <c r="BE13" s="122">
        <f t="shared" si="15"/>
        <v>1.2367891379349016E-3</v>
      </c>
    </row>
    <row r="14" spans="3:58" x14ac:dyDescent="0.3">
      <c r="C14" t="s">
        <v>148</v>
      </c>
      <c r="K14" s="29" t="s">
        <v>11</v>
      </c>
      <c r="L14" s="30">
        <f t="shared" ref="L14:L19" si="18">Q4</f>
        <v>3.0000000000000001E-3</v>
      </c>
      <c r="M14" s="31">
        <f t="shared" ref="M14:M19" si="19">-Notional*L14*YearFraction</f>
        <v>-750</v>
      </c>
      <c r="N14" s="32">
        <f>M14*SUMPRODUCT(PSurvival1Y,DiscFactors1Y)</f>
        <v>-2906.348600763683</v>
      </c>
      <c r="O14" s="32">
        <f>M14*0.5*SUMPRODUCT(PDefault1Y,DiscFactors1Y)</f>
        <v>-1.8176036410858027</v>
      </c>
      <c r="P14" s="32">
        <f>LGD*SUMPRODUCT(PDefault1Y,DiscFactors1Y)</f>
        <v>2908.1658257372842</v>
      </c>
      <c r="Q14" s="33">
        <f t="shared" ref="Q14:Q19" si="20">SUM(N14:P14)</f>
        <v>-3.7866748471060419E-4</v>
      </c>
      <c r="S14" s="79">
        <f>Notional*YearFraction*(SUMPRODUCT(PSurvival1Y,DiscFactors1Y)+0.5*SUMPRODUCT(PDefault1Y,DiscFactors1Y))</f>
        <v>969388.73480158963</v>
      </c>
      <c r="T14" s="80">
        <f t="shared" ref="T14:T19" si="21">P14/S14*10000</f>
        <v>29.999996093749893</v>
      </c>
      <c r="U14" s="18">
        <f t="shared" ref="U14:U19" si="22">T14/10000</f>
        <v>2.9999996093749894E-3</v>
      </c>
      <c r="V14" s="18">
        <f t="shared" ref="V14:V19" si="23">U14-Q4</f>
        <v>-3.9062501063641397E-10</v>
      </c>
      <c r="W14" s="17"/>
      <c r="X14" s="24">
        <f t="shared" si="16"/>
        <v>2.5</v>
      </c>
      <c r="Y14" s="25" cm="1">
        <f t="array" ref="Y14">flatInterpolation(X14,$S$4:$S$9,$T$4:$T$9)</f>
        <v>5.0000000000000001E-3</v>
      </c>
      <c r="Z14" s="26">
        <f t="shared" si="2"/>
        <v>0.98757780049388189</v>
      </c>
      <c r="AA14" s="26">
        <f t="shared" si="3"/>
        <v>1.2352441173515416E-3</v>
      </c>
      <c r="AB14" s="27" cm="1">
        <f t="array" ref="AB14">cubicInterpolation(CurveResults.Times,CurveResults.DFs,$X14)</f>
        <v>0.89685992714468643</v>
      </c>
      <c r="AG14" s="24">
        <f t="shared" si="17"/>
        <v>2.5</v>
      </c>
      <c r="AI14" s="18" cm="1">
        <f t="array" ref="AI14">flatInterpolation($AG14,$S$4:$S$9,AH$5:AH$10)</f>
        <v>5.0000000000000001E-3</v>
      </c>
      <c r="AJ14" s="26">
        <f t="shared" si="4"/>
        <v>0.98757770173610648</v>
      </c>
      <c r="AK14" s="122">
        <f t="shared" si="5"/>
        <v>1.2352439938271287E-3</v>
      </c>
      <c r="AL14" s="116"/>
      <c r="AM14" s="18" cm="1">
        <f t="array" ref="AM14">flatInterpolation($AG14,$S$4:$S$9,AL$5:AL$10)</f>
        <v>5.0000000000000001E-3</v>
      </c>
      <c r="AN14" s="26">
        <f t="shared" si="6"/>
        <v>0.98757770173610659</v>
      </c>
      <c r="AO14" s="122">
        <f t="shared" si="7"/>
        <v>1.2352439938271287E-3</v>
      </c>
      <c r="AP14" s="116"/>
      <c r="AQ14" s="18" cm="1">
        <f t="array" ref="AQ14">flatInterpolation($AG14,$S$4:$S$9,AP$5:AP$10)</f>
        <v>5.0001000000000004E-3</v>
      </c>
      <c r="AR14" s="26">
        <f t="shared" si="8"/>
        <v>0.98757775111499291</v>
      </c>
      <c r="AS14" s="122">
        <f t="shared" si="9"/>
        <v>1.2352687759146219E-3</v>
      </c>
      <c r="AT14" s="116"/>
      <c r="AU14" s="18" cm="1">
        <f t="array" ref="AU14">flatInterpolation($AG14,$S$4:$S$9,AT$5:AT$10)</f>
        <v>5.0000000000000001E-3</v>
      </c>
      <c r="AV14" s="26">
        <f t="shared" si="10"/>
        <v>0.98757780049388189</v>
      </c>
      <c r="AW14" s="122">
        <f t="shared" si="11"/>
        <v>1.2352441173515416E-3</v>
      </c>
      <c r="AX14" s="116"/>
      <c r="AY14" s="18" cm="1">
        <f t="array" ref="AY14">flatInterpolation($AG14,$S$4:$S$9,AX$5:AX$10)</f>
        <v>5.0000000000000001E-3</v>
      </c>
      <c r="AZ14" s="26">
        <f t="shared" si="12"/>
        <v>0.98757780049388189</v>
      </c>
      <c r="BA14" s="122">
        <f t="shared" si="13"/>
        <v>1.2352441173515416E-3</v>
      </c>
      <c r="BB14" s="116"/>
      <c r="BC14" s="18" cm="1">
        <f t="array" ref="BC14">flatInterpolation($AG14,$S$4:$S$9,BB$5:BB$10)</f>
        <v>5.0000000000000001E-3</v>
      </c>
      <c r="BD14" s="26">
        <f t="shared" si="14"/>
        <v>0.98757780049388189</v>
      </c>
      <c r="BE14" s="122">
        <f t="shared" si="15"/>
        <v>1.2352441173515416E-3</v>
      </c>
    </row>
    <row r="15" spans="3:58" x14ac:dyDescent="0.3">
      <c r="C15" t="s">
        <v>149</v>
      </c>
      <c r="K15" s="34" t="s">
        <v>12</v>
      </c>
      <c r="L15" s="18">
        <f t="shared" si="18"/>
        <v>3.0000000000000001E-3</v>
      </c>
      <c r="M15" s="2">
        <f t="shared" si="19"/>
        <v>-750</v>
      </c>
      <c r="N15" s="28">
        <f>M15*SUMPRODUCT(PSurvival2Y,DiscFactors2Y)</f>
        <v>-5673.4644943700805</v>
      </c>
      <c r="O15" s="4">
        <f>M15*0.5*SUMPRODUCT(PDefault2Y,DiscFactors2Y)</f>
        <v>-3.5481324297533994</v>
      </c>
      <c r="P15" s="4">
        <f>LGD*SUMPRODUCT(PDefault2Y,DiscFactors2Y)</f>
        <v>5677.0118876054385</v>
      </c>
      <c r="Q15" s="5">
        <f t="shared" si="20"/>
        <v>-7.3919439546443755E-4</v>
      </c>
      <c r="S15" s="3">
        <f>Notional*YearFraction*(SUMPRODUCT(PSurvival2Y,DiscFactors2Y)+0.5*SUMPRODUCT(PDefault2Y,DiscFactors2Y))</f>
        <v>1892337.5422666112</v>
      </c>
      <c r="T15" s="81">
        <f t="shared" si="21"/>
        <v>29.999996093749772</v>
      </c>
      <c r="U15" s="18">
        <f t="shared" si="22"/>
        <v>2.9999996093749773E-3</v>
      </c>
      <c r="V15" s="18">
        <f t="shared" si="23"/>
        <v>-3.906250227794783E-10</v>
      </c>
      <c r="W15" s="17"/>
      <c r="X15" s="24">
        <f t="shared" si="16"/>
        <v>2.75</v>
      </c>
      <c r="Y15" s="25" cm="1">
        <f t="array" ref="Y15">flatInterpolation(X15,$S$4:$S$9,$T$4:$T$9)</f>
        <v>5.0000000000000001E-3</v>
      </c>
      <c r="Z15" s="26">
        <f t="shared" si="2"/>
        <v>0.98634409946704449</v>
      </c>
      <c r="AA15" s="26">
        <f t="shared" si="3"/>
        <v>1.2337010268373971E-3</v>
      </c>
      <c r="AB15" s="27" cm="1">
        <f t="array" ref="AB15">cubicInterpolation(CurveResults.Times,CurveResults.DFs,$X15)</f>
        <v>0.8880077026997103</v>
      </c>
      <c r="AG15" s="24">
        <f t="shared" si="17"/>
        <v>2.75</v>
      </c>
      <c r="AI15" s="18" cm="1">
        <f t="array" ref="AI15">flatInterpolation($AG15,$S$4:$S$9,AH$5:AH$10)</f>
        <v>5.0000000000000001E-3</v>
      </c>
      <c r="AJ15" s="26">
        <f t="shared" si="4"/>
        <v>0.98634400083263918</v>
      </c>
      <c r="AK15" s="122">
        <f t="shared" si="5"/>
        <v>1.2337009034673052E-3</v>
      </c>
      <c r="AL15" s="116"/>
      <c r="AM15" s="18" cm="1">
        <f t="array" ref="AM15">flatInterpolation($AG15,$S$4:$S$9,AL$5:AL$10)</f>
        <v>5.0000000000000001E-3</v>
      </c>
      <c r="AN15" s="26">
        <f t="shared" si="6"/>
        <v>0.98634400083263929</v>
      </c>
      <c r="AO15" s="122">
        <f t="shared" si="7"/>
        <v>1.2337009034673052E-3</v>
      </c>
      <c r="AP15" s="116"/>
      <c r="AQ15" s="18" cm="1">
        <f t="array" ref="AQ15">flatInterpolation($AG15,$S$4:$S$9,AP$5:AP$10)</f>
        <v>5.0001000000000004E-3</v>
      </c>
      <c r="AR15" s="26">
        <f t="shared" si="8"/>
        <v>0.98634402549123956</v>
      </c>
      <c r="AS15" s="122">
        <f t="shared" si="9"/>
        <v>1.2337256237533456E-3</v>
      </c>
      <c r="AT15" s="116"/>
      <c r="AU15" s="18" cm="1">
        <f t="array" ref="AU15">flatInterpolation($AG15,$S$4:$S$9,AT$5:AT$10)</f>
        <v>5.0000000000000001E-3</v>
      </c>
      <c r="AV15" s="26">
        <f t="shared" si="10"/>
        <v>0.98634409946704449</v>
      </c>
      <c r="AW15" s="122">
        <f t="shared" si="11"/>
        <v>1.2337010268373971E-3</v>
      </c>
      <c r="AX15" s="116"/>
      <c r="AY15" s="18" cm="1">
        <f t="array" ref="AY15">flatInterpolation($AG15,$S$4:$S$9,AX$5:AX$10)</f>
        <v>5.0000000000000001E-3</v>
      </c>
      <c r="AZ15" s="26">
        <f t="shared" si="12"/>
        <v>0.98634409946704449</v>
      </c>
      <c r="BA15" s="122">
        <f t="shared" si="13"/>
        <v>1.2337010268373971E-3</v>
      </c>
      <c r="BB15" s="116"/>
      <c r="BC15" s="18" cm="1">
        <f t="array" ref="BC15">flatInterpolation($AG15,$S$4:$S$9,BB$5:BB$10)</f>
        <v>5.0000000000000001E-3</v>
      </c>
      <c r="BD15" s="26">
        <f t="shared" si="14"/>
        <v>0.98634409946704449</v>
      </c>
      <c r="BE15" s="122">
        <f t="shared" si="15"/>
        <v>1.2337010268373971E-3</v>
      </c>
    </row>
    <row r="16" spans="3:58" x14ac:dyDescent="0.3">
      <c r="C16" t="s">
        <v>152</v>
      </c>
      <c r="K16" s="34" t="s">
        <v>13</v>
      </c>
      <c r="L16" s="18">
        <f t="shared" si="18"/>
        <v>3.0000000000000001E-3</v>
      </c>
      <c r="M16" s="2">
        <f t="shared" si="19"/>
        <v>-750</v>
      </c>
      <c r="N16" s="28">
        <f>M16*SUMPRODUCT(PSurvival3Y,DiscFactors3Y)</f>
        <v>-8316.1717584250127</v>
      </c>
      <c r="O16" s="4">
        <f>M16*0.5*SUMPRODUCT(PDefault3Y,DiscFactors3Y)</f>
        <v>-5.2008572075752468</v>
      </c>
      <c r="P16" s="4">
        <f>LGD*SUMPRODUCT(PDefault3Y,DiscFactors3Y)</f>
        <v>8321.3715321203945</v>
      </c>
      <c r="Q16" s="5">
        <f t="shared" si="20"/>
        <v>-1.0835121938725933E-3</v>
      </c>
      <c r="S16" s="3">
        <f>Notional*YearFraction*(SUMPRODUCT(PSurvival3Y,DiscFactors3Y)+0.5*SUMPRODUCT(PDefault3Y,DiscFactors3Y))</f>
        <v>2773790.8718775292</v>
      </c>
      <c r="T16" s="81">
        <f t="shared" si="21"/>
        <v>29.999996093749516</v>
      </c>
      <c r="U16" s="18">
        <f t="shared" si="22"/>
        <v>2.9999996093749517E-3</v>
      </c>
      <c r="V16" s="18">
        <f t="shared" si="23"/>
        <v>-3.9062504836664957E-10</v>
      </c>
      <c r="W16" s="17"/>
      <c r="X16" s="24">
        <f t="shared" si="16"/>
        <v>3</v>
      </c>
      <c r="Y16" s="25" cm="1">
        <f t="array" ref="Y16">flatInterpolation(X16,$S$4:$S$9,$T$4:$T$9)</f>
        <v>5.0000000000000001E-3</v>
      </c>
      <c r="Z16" s="26">
        <f t="shared" si="2"/>
        <v>0.9851119396030632</v>
      </c>
      <c r="AA16" s="26">
        <f t="shared" si="3"/>
        <v>1.2321598639812859E-3</v>
      </c>
      <c r="AB16" s="27" cm="1">
        <f t="array" ref="AB16">cubicInterpolation(CurveResults.Times,CurveResults.DFs,$X16)</f>
        <v>0.87931148332785924</v>
      </c>
      <c r="AG16" s="24">
        <f t="shared" si="17"/>
        <v>3</v>
      </c>
      <c r="AI16" s="18" cm="1">
        <f t="array" ref="AI16">flatInterpolation($AG16,$S$4:$S$9,AH$5:AH$10)</f>
        <v>5.0000000000000001E-3</v>
      </c>
      <c r="AJ16" s="26">
        <f t="shared" si="4"/>
        <v>0.98511184109187389</v>
      </c>
      <c r="AK16" s="122">
        <f t="shared" si="5"/>
        <v>1.2321597407652929E-3</v>
      </c>
      <c r="AL16" s="116"/>
      <c r="AM16" s="18" cm="1">
        <f t="array" ref="AM16">flatInterpolation($AG16,$S$4:$S$9,AL$5:AL$10)</f>
        <v>5.0000000000000001E-3</v>
      </c>
      <c r="AN16" s="26">
        <f t="shared" si="6"/>
        <v>0.985111841091874</v>
      </c>
      <c r="AO16" s="122">
        <f t="shared" si="7"/>
        <v>1.2321597407652929E-3</v>
      </c>
      <c r="AP16" s="116"/>
      <c r="AQ16" s="18" cm="1">
        <f t="array" ref="AQ16">flatInterpolation($AG16,$S$4:$S$9,AP$5:AP$10)</f>
        <v>5.0001000000000004E-3</v>
      </c>
      <c r="AR16" s="26">
        <f t="shared" si="8"/>
        <v>0.98511184109187389</v>
      </c>
      <c r="AS16" s="122">
        <f t="shared" si="9"/>
        <v>1.2321843993656767E-3</v>
      </c>
      <c r="AT16" s="116"/>
      <c r="AU16" s="18" cm="1">
        <f t="array" ref="AU16">flatInterpolation($AG16,$S$4:$S$9,AT$5:AT$10)</f>
        <v>5.0000000000000001E-3</v>
      </c>
      <c r="AV16" s="26">
        <f t="shared" si="10"/>
        <v>0.9851119396030632</v>
      </c>
      <c r="AW16" s="122">
        <f t="shared" si="11"/>
        <v>1.2321598639812859E-3</v>
      </c>
      <c r="AX16" s="116"/>
      <c r="AY16" s="18" cm="1">
        <f t="array" ref="AY16">flatInterpolation($AG16,$S$4:$S$9,AX$5:AX$10)</f>
        <v>5.0000000000000001E-3</v>
      </c>
      <c r="AZ16" s="26">
        <f t="shared" si="12"/>
        <v>0.9851119396030632</v>
      </c>
      <c r="BA16" s="122">
        <f t="shared" si="13"/>
        <v>1.2321598639812859E-3</v>
      </c>
      <c r="BB16" s="116"/>
      <c r="BC16" s="18" cm="1">
        <f t="array" ref="BC16">flatInterpolation($AG16,$S$4:$S$9,BB$5:BB$10)</f>
        <v>5.0000000000000001E-3</v>
      </c>
      <c r="BD16" s="26">
        <f t="shared" si="14"/>
        <v>0.9851119396030632</v>
      </c>
      <c r="BE16" s="122">
        <f t="shared" si="15"/>
        <v>1.2321598639812859E-3</v>
      </c>
    </row>
    <row r="17" spans="3:57" x14ac:dyDescent="0.3">
      <c r="C17" t="s">
        <v>153</v>
      </c>
      <c r="K17" s="34" t="s">
        <v>14</v>
      </c>
      <c r="L17" s="18">
        <f t="shared" si="18"/>
        <v>3.0000000000000001E-3</v>
      </c>
      <c r="M17" s="2">
        <f t="shared" si="19"/>
        <v>-750</v>
      </c>
      <c r="N17" s="28">
        <f>M17*SUMPRODUCT(PSurvival4Y,DiscFactors4Y)</f>
        <v>-10845.177739614403</v>
      </c>
      <c r="O17" s="4">
        <f>M17*0.5*SUMPRODUCT(PDefault4Y,DiscFactors4Y)</f>
        <v>-6.7824742505307238</v>
      </c>
      <c r="P17" s="4">
        <f>LGD*SUMPRODUCT(PDefault4Y,DiscFactors4Y)</f>
        <v>10851.958800849157</v>
      </c>
      <c r="Q17" s="5">
        <f t="shared" si="20"/>
        <v>-1.4130157760519069E-3</v>
      </c>
      <c r="S17" s="3">
        <f>Notional*YearFraction*(SUMPRODUCT(PSurvival4Y,DiscFactors4Y)+0.5*SUMPRODUCT(PDefault4Y,DiscFactors4Y))</f>
        <v>3617320.0712883109</v>
      </c>
      <c r="T17" s="81">
        <f t="shared" si="21"/>
        <v>29.999996093749662</v>
      </c>
      <c r="U17" s="18">
        <f t="shared" si="22"/>
        <v>2.999999609374966E-3</v>
      </c>
      <c r="V17" s="18">
        <f t="shared" si="23"/>
        <v>-3.906250340551809E-10</v>
      </c>
      <c r="W17" s="17"/>
      <c r="X17" s="24">
        <f t="shared" si="16"/>
        <v>3.25</v>
      </c>
      <c r="Y17" s="25" cm="1">
        <f t="array" ref="Y17">flatInterpolation(X17,$S$4:$S$9,$T$4:$T$9)</f>
        <v>5.0000000000000001E-3</v>
      </c>
      <c r="Z17" s="26">
        <f t="shared" si="2"/>
        <v>0.98388131897668796</v>
      </c>
      <c r="AA17" s="26">
        <f t="shared" si="3"/>
        <v>1.2306206263752451E-3</v>
      </c>
      <c r="AB17" s="27" cm="1">
        <f t="array" ref="AB17">cubicInterpolation(CurveResults.Times,CurveResults.DFs,$X17)</f>
        <v>0.87078171535403615</v>
      </c>
      <c r="AG17" s="24">
        <f t="shared" si="17"/>
        <v>3.25</v>
      </c>
      <c r="AI17" s="18" cm="1">
        <f t="array" ref="AI17">flatInterpolation($AG17,$S$4:$S$9,AH$5:AH$10)</f>
        <v>5.0000000000000001E-3</v>
      </c>
      <c r="AJ17" s="26">
        <f t="shared" si="4"/>
        <v>0.98388122058856076</v>
      </c>
      <c r="AK17" s="122">
        <f t="shared" si="5"/>
        <v>1.230620503313129E-3</v>
      </c>
      <c r="AL17" s="116"/>
      <c r="AM17" s="18" cm="1">
        <f t="array" ref="AM17">flatInterpolation($AG17,$S$4:$S$9,AL$5:AL$10)</f>
        <v>5.0000000000000001E-3</v>
      </c>
      <c r="AN17" s="26">
        <f t="shared" si="6"/>
        <v>0.98388122058856087</v>
      </c>
      <c r="AO17" s="122">
        <f t="shared" si="7"/>
        <v>1.230620503313129E-3</v>
      </c>
      <c r="AP17" s="116"/>
      <c r="AQ17" s="18" cm="1">
        <f t="array" ref="AQ17">flatInterpolation($AG17,$S$4:$S$9,AP$5:AP$10)</f>
        <v>5.0000000000000001E-3</v>
      </c>
      <c r="AR17" s="26">
        <f t="shared" si="8"/>
        <v>0.98388122058856076</v>
      </c>
      <c r="AS17" s="122">
        <f t="shared" si="9"/>
        <v>1.230620503313129E-3</v>
      </c>
      <c r="AT17" s="116"/>
      <c r="AU17" s="18" cm="1">
        <f t="array" ref="AU17">flatInterpolation($AG17,$S$4:$S$9,AT$5:AT$10)</f>
        <v>5.0001000000000004E-3</v>
      </c>
      <c r="AV17" s="26">
        <f t="shared" si="10"/>
        <v>0.98388129437965521</v>
      </c>
      <c r="AW17" s="122">
        <f t="shared" si="11"/>
        <v>1.230645223407989E-3</v>
      </c>
      <c r="AX17" s="116"/>
      <c r="AY17" s="18" cm="1">
        <f t="array" ref="AY17">flatInterpolation($AG17,$S$4:$S$9,AX$5:AX$10)</f>
        <v>5.0000000000000001E-3</v>
      </c>
      <c r="AZ17" s="26">
        <f t="shared" si="12"/>
        <v>0.98388131897668796</v>
      </c>
      <c r="BA17" s="122">
        <f t="shared" si="13"/>
        <v>1.2306206263752451E-3</v>
      </c>
      <c r="BB17" s="116"/>
      <c r="BC17" s="18" cm="1">
        <f t="array" ref="BC17">flatInterpolation($AG17,$S$4:$S$9,BB$5:BB$10)</f>
        <v>5.0000000000000001E-3</v>
      </c>
      <c r="BD17" s="26">
        <f t="shared" si="14"/>
        <v>0.98388131897668796</v>
      </c>
      <c r="BE17" s="122">
        <f t="shared" si="15"/>
        <v>1.2306206263752451E-3</v>
      </c>
    </row>
    <row r="18" spans="3:57" x14ac:dyDescent="0.3">
      <c r="C18" t="s">
        <v>154</v>
      </c>
      <c r="K18" s="34" t="s">
        <v>15</v>
      </c>
      <c r="L18" s="18">
        <f t="shared" si="18"/>
        <v>3.0000000000000001E-3</v>
      </c>
      <c r="M18" s="2">
        <f t="shared" si="19"/>
        <v>-750</v>
      </c>
      <c r="N18" s="28">
        <f>M18*SUMPRODUCT(PSurvival5Y,DiscFactors5Y)</f>
        <v>-13268.129516371269</v>
      </c>
      <c r="O18" s="4">
        <f>M18*0.5*SUMPRODUCT(PDefault5Y,DiscFactors5Y)</f>
        <v>-8.2977659710253988</v>
      </c>
      <c r="P18" s="4">
        <f>LGD*SUMPRODUCT(PDefault5Y,DiscFactors5Y)</f>
        <v>13276.425553640638</v>
      </c>
      <c r="Q18" s="5">
        <f t="shared" si="20"/>
        <v>-1.728701656247722E-3</v>
      </c>
      <c r="S18" s="3">
        <f>Notional*YearFraction*(SUMPRODUCT(PSurvival5Y,DiscFactors5Y)+0.5*SUMPRODUCT(PDefault5Y,DiscFactors5Y))</f>
        <v>4425475.7607807647</v>
      </c>
      <c r="T18" s="81">
        <f t="shared" si="21"/>
        <v>29.999996093749576</v>
      </c>
      <c r="U18" s="18">
        <f t="shared" si="22"/>
        <v>2.9999996093749578E-3</v>
      </c>
      <c r="V18" s="18">
        <f t="shared" si="23"/>
        <v>-3.9062504229511741E-10</v>
      </c>
      <c r="W18" s="17"/>
      <c r="X18" s="24">
        <f t="shared" si="16"/>
        <v>3.5</v>
      </c>
      <c r="Y18" s="25" cm="1">
        <f t="array" ref="Y18">flatInterpolation(X18,$S$4:$S$9,$T$4:$T$9)</f>
        <v>5.0000000000000001E-3</v>
      </c>
      <c r="Z18" s="26">
        <f t="shared" si="2"/>
        <v>0.98265223566507376</v>
      </c>
      <c r="AA18" s="26">
        <f t="shared" si="3"/>
        <v>1.2290833116141986E-3</v>
      </c>
      <c r="AB18" s="27" cm="1">
        <f t="array" ref="AB18">cubicInterpolation(CurveResults.Times,CurveResults.DFs,$X18)</f>
        <v>0.86243967475051753</v>
      </c>
      <c r="AG18" s="24">
        <f t="shared" si="17"/>
        <v>3.5</v>
      </c>
      <c r="AI18" s="18" cm="1">
        <f t="array" ref="AI18">flatInterpolation($AG18,$S$4:$S$9,AH$5:AH$10)</f>
        <v>5.0000000000000001E-3</v>
      </c>
      <c r="AJ18" s="26">
        <f t="shared" si="4"/>
        <v>0.98265213739985491</v>
      </c>
      <c r="AK18" s="122">
        <f t="shared" si="5"/>
        <v>1.2290831887058484E-3</v>
      </c>
      <c r="AL18" s="116"/>
      <c r="AM18" s="18" cm="1">
        <f t="array" ref="AM18">flatInterpolation($AG18,$S$4:$S$9,AL$5:AL$10)</f>
        <v>5.0000000000000001E-3</v>
      </c>
      <c r="AN18" s="26">
        <f t="shared" si="6"/>
        <v>0.98265213739985502</v>
      </c>
      <c r="AO18" s="122">
        <f t="shared" si="7"/>
        <v>1.2290831887058484E-3</v>
      </c>
      <c r="AP18" s="116"/>
      <c r="AQ18" s="18" cm="1">
        <f t="array" ref="AQ18">flatInterpolation($AG18,$S$4:$S$9,AP$5:AP$10)</f>
        <v>5.0000000000000001E-3</v>
      </c>
      <c r="AR18" s="26">
        <f t="shared" si="8"/>
        <v>0.98265213739985491</v>
      </c>
      <c r="AS18" s="122">
        <f t="shared" si="9"/>
        <v>1.2290831887058484E-3</v>
      </c>
      <c r="AT18" s="116"/>
      <c r="AU18" s="18" cm="1">
        <f t="array" ref="AU18">flatInterpolation($AG18,$S$4:$S$9,AT$5:AT$10)</f>
        <v>5.0001000000000004E-3</v>
      </c>
      <c r="AV18" s="26">
        <f t="shared" si="10"/>
        <v>0.98265218653246311</v>
      </c>
      <c r="AW18" s="122">
        <f t="shared" si="11"/>
        <v>1.2291078471921013E-3</v>
      </c>
      <c r="AX18" s="116"/>
      <c r="AY18" s="18" cm="1">
        <f t="array" ref="AY18">flatInterpolation($AG18,$S$4:$S$9,AX$5:AX$10)</f>
        <v>5.0000000000000001E-3</v>
      </c>
      <c r="AZ18" s="26">
        <f t="shared" si="12"/>
        <v>0.98265223566507376</v>
      </c>
      <c r="BA18" s="122">
        <f t="shared" si="13"/>
        <v>1.2290833116141986E-3</v>
      </c>
      <c r="BB18" s="116"/>
      <c r="BC18" s="18" cm="1">
        <f t="array" ref="BC18">flatInterpolation($AG18,$S$4:$S$9,BB$5:BB$10)</f>
        <v>5.0000000000000001E-3</v>
      </c>
      <c r="BD18" s="26">
        <f t="shared" si="14"/>
        <v>0.98265223566507376</v>
      </c>
      <c r="BE18" s="122">
        <f t="shared" si="15"/>
        <v>1.2290833116141986E-3</v>
      </c>
    </row>
    <row r="19" spans="3:57" x14ac:dyDescent="0.3">
      <c r="C19" t="s">
        <v>330</v>
      </c>
      <c r="K19" s="35" t="s">
        <v>16</v>
      </c>
      <c r="L19" s="36">
        <f t="shared" si="18"/>
        <v>3.0000000000000001E-3</v>
      </c>
      <c r="M19" s="37">
        <f t="shared" si="19"/>
        <v>-750</v>
      </c>
      <c r="N19" s="38">
        <f>M19*SUMPRODUCT(PSurvival10Y,DiscFactors10Y)</f>
        <v>-23956.535135558403</v>
      </c>
      <c r="O19" s="7">
        <f>M19*0.5*SUMPRODUCT(PDefault10Y,DiscFactors10Y)</f>
        <v>-14.982196381655186</v>
      </c>
      <c r="P19" s="7">
        <f>LGD*SUMPRODUCT(PDefault10Y,DiscFactors10Y)</f>
        <v>23971.514210648296</v>
      </c>
      <c r="Q19" s="8">
        <f t="shared" si="20"/>
        <v>-3.1212917601806112E-3</v>
      </c>
      <c r="S19" s="6">
        <f>Notional*YearFraction*(SUMPRODUCT(PSurvival10Y,DiscFactors10Y)+0.5*SUMPRODUCT(PDefault10Y,DiscFactors10Y))</f>
        <v>7990505.7773133526</v>
      </c>
      <c r="T19" s="82">
        <f t="shared" si="21"/>
        <v>29.999996093749449</v>
      </c>
      <c r="U19" s="18">
        <f t="shared" si="22"/>
        <v>2.9999996093749448E-3</v>
      </c>
      <c r="V19" s="18">
        <f t="shared" si="23"/>
        <v>-3.9062505530554348E-10</v>
      </c>
      <c r="W19" s="17"/>
      <c r="X19" s="24">
        <f t="shared" si="16"/>
        <v>3.75</v>
      </c>
      <c r="Y19" s="25" cm="1">
        <f t="array" ref="Y19">flatInterpolation(X19,$S$4:$S$9,$T$4:$T$9)</f>
        <v>5.0000000000000001E-3</v>
      </c>
      <c r="Z19" s="26">
        <f t="shared" si="2"/>
        <v>0.98142468774777769</v>
      </c>
      <c r="AA19" s="26">
        <f t="shared" si="3"/>
        <v>1.2275479172960679E-3</v>
      </c>
      <c r="AB19" s="27" cm="1">
        <f t="array" ref="AB19">cubicInterpolation(CurveResults.Times,CurveResults.DFs,$X19)</f>
        <v>0.85424590030706427</v>
      </c>
      <c r="AG19" s="24">
        <f t="shared" si="17"/>
        <v>3.75</v>
      </c>
      <c r="AI19" s="18" cm="1">
        <f t="array" ref="AI19">flatInterpolation($AG19,$S$4:$S$9,AH$5:AH$10)</f>
        <v>5.0000000000000001E-3</v>
      </c>
      <c r="AJ19" s="26">
        <f t="shared" si="4"/>
        <v>0.98142458960531365</v>
      </c>
      <c r="AK19" s="122">
        <f t="shared" si="5"/>
        <v>1.2275477945412616E-3</v>
      </c>
      <c r="AL19" s="116"/>
      <c r="AM19" s="18" cm="1">
        <f t="array" ref="AM19">flatInterpolation($AG19,$S$4:$S$9,AL$5:AL$10)</f>
        <v>5.0000000000000001E-3</v>
      </c>
      <c r="AN19" s="26">
        <f t="shared" si="6"/>
        <v>0.98142458960531376</v>
      </c>
      <c r="AO19" s="122">
        <f t="shared" si="7"/>
        <v>1.2275477945412616E-3</v>
      </c>
      <c r="AP19" s="116"/>
      <c r="AQ19" s="18" cm="1">
        <f t="array" ref="AQ19">flatInterpolation($AG19,$S$4:$S$9,AP$5:AP$10)</f>
        <v>5.0000000000000001E-3</v>
      </c>
      <c r="AR19" s="26">
        <f t="shared" si="8"/>
        <v>0.98142458960531365</v>
      </c>
      <c r="AS19" s="122">
        <f t="shared" si="9"/>
        <v>1.2275477945412616E-3</v>
      </c>
      <c r="AT19" s="116"/>
      <c r="AU19" s="18" cm="1">
        <f t="array" ref="AU19">flatInterpolation($AG19,$S$4:$S$9,AT$5:AT$10)</f>
        <v>5.0001000000000004E-3</v>
      </c>
      <c r="AV19" s="26">
        <f t="shared" si="10"/>
        <v>0.98142461414092874</v>
      </c>
      <c r="AW19" s="122">
        <f t="shared" si="11"/>
        <v>1.2275723915343706E-3</v>
      </c>
      <c r="AX19" s="116"/>
      <c r="AY19" s="18" cm="1">
        <f t="array" ref="AY19">flatInterpolation($AG19,$S$4:$S$9,AX$5:AX$10)</f>
        <v>5.0000000000000001E-3</v>
      </c>
      <c r="AZ19" s="26">
        <f t="shared" si="12"/>
        <v>0.98142468774777769</v>
      </c>
      <c r="BA19" s="122">
        <f t="shared" si="13"/>
        <v>1.2275479172960679E-3</v>
      </c>
      <c r="BB19" s="116"/>
      <c r="BC19" s="18" cm="1">
        <f t="array" ref="BC19">flatInterpolation($AG19,$S$4:$S$9,BB$5:BB$10)</f>
        <v>5.0000000000000001E-3</v>
      </c>
      <c r="BD19" s="26">
        <f t="shared" si="14"/>
        <v>0.98142468774777769</v>
      </c>
      <c r="BE19" s="122">
        <f t="shared" si="15"/>
        <v>1.2275479172960679E-3</v>
      </c>
    </row>
    <row r="20" spans="3:57" x14ac:dyDescent="0.3">
      <c r="C20" t="s">
        <v>331</v>
      </c>
      <c r="X20" s="24">
        <f t="shared" si="16"/>
        <v>4</v>
      </c>
      <c r="Y20" s="25" cm="1">
        <f t="array" ref="Y20">flatInterpolation(X20,$S$4:$S$9,$T$4:$T$9)</f>
        <v>5.0000000000000001E-3</v>
      </c>
      <c r="Z20" s="26">
        <f t="shared" si="2"/>
        <v>0.98019867330675592</v>
      </c>
      <c r="AA20" s="26">
        <f t="shared" si="3"/>
        <v>1.2260144410217722E-3</v>
      </c>
      <c r="AB20" s="27" cm="1">
        <f t="array" ref="AB20">cubicInterpolation(CurveResults.Times,CurveResults.DFs,$X20)</f>
        <v>0.84616093081343713</v>
      </c>
      <c r="AG20" s="24">
        <f t="shared" si="17"/>
        <v>4</v>
      </c>
      <c r="AI20" s="18" cm="1">
        <f t="array" ref="AI20">flatInterpolation($AG20,$S$4:$S$9,AH$5:AH$10)</f>
        <v>5.0000000000000001E-3</v>
      </c>
      <c r="AJ20" s="26">
        <f t="shared" si="4"/>
        <v>0.98019857528689336</v>
      </c>
      <c r="AK20" s="122">
        <f t="shared" si="5"/>
        <v>1.2260143184202876E-3</v>
      </c>
      <c r="AL20" s="116"/>
      <c r="AM20" s="18" cm="1">
        <f t="array" ref="AM20">flatInterpolation($AG20,$S$4:$S$9,AL$5:AL$10)</f>
        <v>5.0000000000000001E-3</v>
      </c>
      <c r="AN20" s="26">
        <f t="shared" si="6"/>
        <v>0.98019857528689347</v>
      </c>
      <c r="AO20" s="122">
        <f t="shared" si="7"/>
        <v>1.2260143184202876E-3</v>
      </c>
      <c r="AP20" s="116"/>
      <c r="AQ20" s="18" cm="1">
        <f t="array" ref="AQ20">flatInterpolation($AG20,$S$4:$S$9,AP$5:AP$10)</f>
        <v>5.0000000000000001E-3</v>
      </c>
      <c r="AR20" s="26">
        <f t="shared" si="8"/>
        <v>0.98019857528689336</v>
      </c>
      <c r="AS20" s="122">
        <f t="shared" si="9"/>
        <v>1.2260143184202876E-3</v>
      </c>
      <c r="AT20" s="116"/>
      <c r="AU20" s="18" cm="1">
        <f t="array" ref="AU20">flatInterpolation($AG20,$S$4:$S$9,AT$5:AT$10)</f>
        <v>5.0001000000000004E-3</v>
      </c>
      <c r="AV20" s="26">
        <f t="shared" si="10"/>
        <v>0.98019857528689336</v>
      </c>
      <c r="AW20" s="122">
        <f t="shared" si="11"/>
        <v>1.2260388540353828E-3</v>
      </c>
      <c r="AX20" s="116"/>
      <c r="AY20" s="18" cm="1">
        <f t="array" ref="AY20">flatInterpolation($AG20,$S$4:$S$9,AX$5:AX$10)</f>
        <v>5.0000000000000001E-3</v>
      </c>
      <c r="AZ20" s="26">
        <f t="shared" si="12"/>
        <v>0.98019867330675592</v>
      </c>
      <c r="BA20" s="122">
        <f t="shared" si="13"/>
        <v>1.2260144410217722E-3</v>
      </c>
      <c r="BB20" s="116"/>
      <c r="BC20" s="18" cm="1">
        <f t="array" ref="BC20">flatInterpolation($AG20,$S$4:$S$9,BB$5:BB$10)</f>
        <v>5.0000000000000001E-3</v>
      </c>
      <c r="BD20" s="26">
        <f t="shared" si="14"/>
        <v>0.98019867330675592</v>
      </c>
      <c r="BE20" s="122">
        <f t="shared" si="15"/>
        <v>1.2260144410217722E-3</v>
      </c>
    </row>
    <row r="21" spans="3:57" x14ac:dyDescent="0.3">
      <c r="X21" s="24">
        <f t="shared" si="16"/>
        <v>4.25</v>
      </c>
      <c r="Y21" s="25" cm="1">
        <f t="array" ref="Y21">flatInterpolation(X21,$S$4:$S$9,$T$4:$T$9)</f>
        <v>5.0000000000000001E-3</v>
      </c>
      <c r="Z21" s="26">
        <f t="shared" si="2"/>
        <v>0.97897419042636069</v>
      </c>
      <c r="AA21" s="26">
        <f t="shared" si="3"/>
        <v>1.2244828803952279E-3</v>
      </c>
      <c r="AB21" s="27" cm="1">
        <f t="array" ref="AB21">cubicInterpolation(CurveResults.Times,CurveResults.DFs,$X21)</f>
        <v>0.83819214507342643</v>
      </c>
      <c r="AG21" s="24">
        <f t="shared" si="17"/>
        <v>4.25</v>
      </c>
      <c r="AI21" s="18" cm="1">
        <f t="array" ref="AI21">flatInterpolation($AG21,$S$4:$S$9,AH$5:AH$10)</f>
        <v>5.0000000000000001E-3</v>
      </c>
      <c r="AJ21" s="26">
        <f t="shared" si="4"/>
        <v>0.9789740925289464</v>
      </c>
      <c r="AK21" s="122">
        <f t="shared" si="5"/>
        <v>1.2244827579469542E-3</v>
      </c>
      <c r="AL21" s="116"/>
      <c r="AM21" s="18" cm="1">
        <f t="array" ref="AM21">flatInterpolation($AG21,$S$4:$S$9,AL$5:AL$10)</f>
        <v>5.0000000000000001E-3</v>
      </c>
      <c r="AN21" s="26">
        <f t="shared" si="6"/>
        <v>0.97897409252894652</v>
      </c>
      <c r="AO21" s="122">
        <f t="shared" si="7"/>
        <v>1.2244827579469542E-3</v>
      </c>
      <c r="AP21" s="116"/>
      <c r="AQ21" s="18" cm="1">
        <f t="array" ref="AQ21">flatInterpolation($AG21,$S$4:$S$9,AP$5:AP$10)</f>
        <v>5.0000000000000001E-3</v>
      </c>
      <c r="AR21" s="26">
        <f t="shared" si="8"/>
        <v>0.9789740925289464</v>
      </c>
      <c r="AS21" s="122">
        <f t="shared" si="9"/>
        <v>1.2244827579469542E-3</v>
      </c>
      <c r="AT21" s="116"/>
      <c r="AU21" s="18" cm="1">
        <f t="array" ref="AU21">flatInterpolation($AG21,$S$4:$S$9,AT$5:AT$10)</f>
        <v>5.0000000000000001E-3</v>
      </c>
      <c r="AV21" s="26">
        <f t="shared" si="10"/>
        <v>0.9789740925289464</v>
      </c>
      <c r="AW21" s="122">
        <f t="shared" si="11"/>
        <v>1.2244827579469542E-3</v>
      </c>
      <c r="AX21" s="116"/>
      <c r="AY21" s="18" cm="1">
        <f t="array" ref="AY21">flatInterpolation($AG21,$S$4:$S$9,AX$5:AX$10)</f>
        <v>5.0001000000000004E-3</v>
      </c>
      <c r="AZ21" s="26">
        <f t="shared" si="12"/>
        <v>0.97897416595200615</v>
      </c>
      <c r="BA21" s="122">
        <f t="shared" si="13"/>
        <v>1.2245073547497709E-3</v>
      </c>
      <c r="BB21" s="116"/>
      <c r="BC21" s="18" cm="1">
        <f t="array" ref="BC21">flatInterpolation($AG21,$S$4:$S$9,BB$5:BB$10)</f>
        <v>5.0000000000000001E-3</v>
      </c>
      <c r="BD21" s="26">
        <f t="shared" si="14"/>
        <v>0.97897419042636069</v>
      </c>
      <c r="BE21" s="122">
        <f t="shared" si="15"/>
        <v>1.2244828803952279E-3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si="16"/>
        <v>4.5</v>
      </c>
      <c r="Y22" s="25" cm="1">
        <f t="array" ref="Y22">flatInterpolation(X22,$S$4:$S$9,$T$4:$T$9)</f>
        <v>5.0000000000000001E-3</v>
      </c>
      <c r="Z22" s="26">
        <f t="shared" si="2"/>
        <v>0.97775123719333712</v>
      </c>
      <c r="AA22" s="26">
        <f t="shared" si="3"/>
        <v>1.2229532330235715E-3</v>
      </c>
      <c r="AB22" s="27" cm="1">
        <f t="array" ref="AB22">cubicInterpolation(CurveResults.Times,CurveResults.DFs,$X22)</f>
        <v>0.8303546218014306</v>
      </c>
      <c r="AG22" s="24">
        <f t="shared" si="17"/>
        <v>4.5</v>
      </c>
      <c r="AI22" s="18" cm="1">
        <f t="array" ref="AI22">flatInterpolation($AG22,$S$4:$S$9,AH$5:AH$10)</f>
        <v>5.0000000000000001E-3</v>
      </c>
      <c r="AJ22" s="26">
        <f t="shared" si="4"/>
        <v>0.97775113941821812</v>
      </c>
      <c r="AK22" s="122">
        <f t="shared" si="5"/>
        <v>1.2229531107282865E-3</v>
      </c>
      <c r="AL22" s="116"/>
      <c r="AM22" s="18" cm="1">
        <f t="array" ref="AM22">flatInterpolation($AG22,$S$4:$S$9,AL$5:AL$10)</f>
        <v>5.0000000000000001E-3</v>
      </c>
      <c r="AN22" s="26">
        <f t="shared" si="6"/>
        <v>0.97775113941821823</v>
      </c>
      <c r="AO22" s="122">
        <f t="shared" si="7"/>
        <v>1.2229531107282865E-3</v>
      </c>
      <c r="AP22" s="116"/>
      <c r="AQ22" s="18" cm="1">
        <f t="array" ref="AQ22">flatInterpolation($AG22,$S$4:$S$9,AP$5:AP$10)</f>
        <v>5.0000000000000001E-3</v>
      </c>
      <c r="AR22" s="26">
        <f t="shared" si="8"/>
        <v>0.97775113941821812</v>
      </c>
      <c r="AS22" s="122">
        <f t="shared" si="9"/>
        <v>1.2229531107282865E-3</v>
      </c>
      <c r="AT22" s="116"/>
      <c r="AU22" s="18" cm="1">
        <f t="array" ref="AU22">flatInterpolation($AG22,$S$4:$S$9,AT$5:AT$10)</f>
        <v>5.0000000000000001E-3</v>
      </c>
      <c r="AV22" s="26">
        <f t="shared" si="10"/>
        <v>0.97775113941821812</v>
      </c>
      <c r="AW22" s="122">
        <f t="shared" si="11"/>
        <v>1.2229531107282865E-3</v>
      </c>
      <c r="AX22" s="116"/>
      <c r="AY22" s="18" cm="1">
        <f t="array" ref="AY22">flatInterpolation($AG22,$S$4:$S$9,AX$5:AX$10)</f>
        <v>5.0001000000000004E-3</v>
      </c>
      <c r="AZ22" s="26">
        <f t="shared" si="12"/>
        <v>0.97775118830577634</v>
      </c>
      <c r="BA22" s="122">
        <f t="shared" si="13"/>
        <v>1.2229776462298059E-3</v>
      </c>
      <c r="BB22" s="116"/>
      <c r="BC22" s="18" cm="1">
        <f t="array" ref="BC22">flatInterpolation($AG22,$S$4:$S$9,BB$5:BB$10)</f>
        <v>5.0000000000000001E-3</v>
      </c>
      <c r="BD22" s="26">
        <f t="shared" si="14"/>
        <v>0.97775123719333712</v>
      </c>
      <c r="BE22" s="122">
        <f t="shared" si="15"/>
        <v>1.2229532330235715E-3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1.5947207268946779E-9</v>
      </c>
      <c r="S23" s="2" t="s">
        <v>156</v>
      </c>
      <c r="T23" s="2" t="s">
        <v>20</v>
      </c>
      <c r="X23" s="24">
        <f t="shared" si="16"/>
        <v>4.75</v>
      </c>
      <c r="Y23" s="25" cm="1">
        <f t="array" ref="Y23">flatInterpolation(X23,$S$4:$S$9,$T$4:$T$9)</f>
        <v>5.0000000000000001E-3</v>
      </c>
      <c r="Z23" s="26">
        <f t="shared" si="2"/>
        <v>0.97652981169682063</v>
      </c>
      <c r="AA23" s="26">
        <f t="shared" si="3"/>
        <v>1.2214254965164928E-3</v>
      </c>
      <c r="AB23" s="27" cm="1">
        <f t="array" ref="AB23">cubicInterpolation(CurveResults.Times,CurveResults.DFs,$X23)</f>
        <v>0.82262044965312253</v>
      </c>
      <c r="AG23" s="24">
        <f t="shared" si="17"/>
        <v>4.75</v>
      </c>
      <c r="AI23" s="18" cm="1">
        <f t="array" ref="AI23">flatInterpolation($AG23,$S$4:$S$9,AH$5:AH$10)</f>
        <v>5.0000000000000001E-3</v>
      </c>
      <c r="AJ23" s="26">
        <f t="shared" si="4"/>
        <v>0.97652971404384414</v>
      </c>
      <c r="AK23" s="122">
        <f t="shared" si="5"/>
        <v>1.2214253743739745E-3</v>
      </c>
      <c r="AL23" s="116"/>
      <c r="AM23" s="18" cm="1">
        <f t="array" ref="AM23">flatInterpolation($AG23,$S$4:$S$9,AL$5:AL$10)</f>
        <v>5.0000000000000001E-3</v>
      </c>
      <c r="AN23" s="26">
        <f t="shared" si="6"/>
        <v>0.97652971404384425</v>
      </c>
      <c r="AO23" s="122">
        <f t="shared" si="7"/>
        <v>1.2214253743739745E-3</v>
      </c>
      <c r="AP23" s="116"/>
      <c r="AQ23" s="18" cm="1">
        <f t="array" ref="AQ23">flatInterpolation($AG23,$S$4:$S$9,AP$5:AP$10)</f>
        <v>5.0000000000000001E-3</v>
      </c>
      <c r="AR23" s="26">
        <f t="shared" si="8"/>
        <v>0.97652971404384414</v>
      </c>
      <c r="AS23" s="122">
        <f t="shared" si="9"/>
        <v>1.2214253743739745E-3</v>
      </c>
      <c r="AT23" s="116"/>
      <c r="AU23" s="18" cm="1">
        <f t="array" ref="AU23">flatInterpolation($AG23,$S$4:$S$9,AT$5:AT$10)</f>
        <v>5.0000000000000001E-3</v>
      </c>
      <c r="AV23" s="26">
        <f t="shared" si="10"/>
        <v>0.97652971404384414</v>
      </c>
      <c r="AW23" s="122">
        <f t="shared" si="11"/>
        <v>1.2214253743739745E-3</v>
      </c>
      <c r="AX23" s="116"/>
      <c r="AY23" s="18" cm="1">
        <f t="array" ref="AY23">flatInterpolation($AG23,$S$4:$S$9,AX$5:AX$10)</f>
        <v>5.0001000000000004E-3</v>
      </c>
      <c r="AZ23" s="26">
        <f t="shared" si="12"/>
        <v>0.97652973845708724</v>
      </c>
      <c r="BA23" s="122">
        <f t="shared" si="13"/>
        <v>1.2214498486891046E-3</v>
      </c>
      <c r="BB23" s="116"/>
      <c r="BC23" s="18" cm="1">
        <f t="array" ref="BC23">flatInterpolation($AG23,$S$4:$S$9,BB$5:BB$10)</f>
        <v>5.0000000000000001E-3</v>
      </c>
      <c r="BD23" s="26">
        <f t="shared" si="14"/>
        <v>0.97652981169682063</v>
      </c>
      <c r="BE23" s="122">
        <f t="shared" si="15"/>
        <v>1.2214254965164928E-3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5.0000000000000001E-3</v>
      </c>
      <c r="X24" s="24">
        <f t="shared" si="16"/>
        <v>5</v>
      </c>
      <c r="Y24" s="25" cm="1">
        <f t="array" ref="Y24">flatInterpolation(X24,$S$4:$S$9,$T$4:$T$9)</f>
        <v>5.0000000000000001E-3</v>
      </c>
      <c r="Z24" s="26">
        <f t="shared" si="2"/>
        <v>0.9753099120283335</v>
      </c>
      <c r="AA24" s="26">
        <f t="shared" si="3"/>
        <v>1.2198996684871233E-3</v>
      </c>
      <c r="AB24" s="27" cm="1">
        <f t="array" ref="AB24">cubicInterpolation(CurveResults.Times,CurveResults.DFs,$X24)</f>
        <v>0.81496171728417521</v>
      </c>
      <c r="AG24" s="24">
        <f t="shared" si="17"/>
        <v>5</v>
      </c>
      <c r="AI24" s="18" cm="1">
        <f t="array" ref="AI24">flatInterpolation($AG24,$S$4:$S$9,AH$5:AH$10)</f>
        <v>5.0000000000000001E-3</v>
      </c>
      <c r="AJ24" s="26">
        <f t="shared" si="4"/>
        <v>0.97530981449734699</v>
      </c>
      <c r="AK24" s="122">
        <f t="shared" si="5"/>
        <v>1.2198995464971496E-3</v>
      </c>
      <c r="AL24" s="116"/>
      <c r="AM24" s="18" cm="1">
        <f t="array" ref="AM24">flatInterpolation($AG24,$S$4:$S$9,AL$5:AL$10)</f>
        <v>5.0000000000000001E-3</v>
      </c>
      <c r="AN24" s="26">
        <f t="shared" si="6"/>
        <v>0.97530981449734711</v>
      </c>
      <c r="AO24" s="122">
        <f t="shared" si="7"/>
        <v>1.2198995464971496E-3</v>
      </c>
      <c r="AP24" s="116"/>
      <c r="AQ24" s="18" cm="1">
        <f t="array" ref="AQ24">flatInterpolation($AG24,$S$4:$S$9,AP$5:AP$10)</f>
        <v>5.0000000000000001E-3</v>
      </c>
      <c r="AR24" s="26">
        <f t="shared" si="8"/>
        <v>0.97530981449734699</v>
      </c>
      <c r="AS24" s="122">
        <f t="shared" si="9"/>
        <v>1.2198995464971496E-3</v>
      </c>
      <c r="AT24" s="116"/>
      <c r="AU24" s="18" cm="1">
        <f t="array" ref="AU24">flatInterpolation($AG24,$S$4:$S$9,AT$5:AT$10)</f>
        <v>5.0000000000000001E-3</v>
      </c>
      <c r="AV24" s="26">
        <f t="shared" si="10"/>
        <v>0.97530981449734699</v>
      </c>
      <c r="AW24" s="122">
        <f t="shared" si="11"/>
        <v>1.2198995464971496E-3</v>
      </c>
      <c r="AX24" s="116"/>
      <c r="AY24" s="18" cm="1">
        <f t="array" ref="AY24">flatInterpolation($AG24,$S$4:$S$9,AX$5:AX$10)</f>
        <v>5.0001000000000004E-3</v>
      </c>
      <c r="AZ24" s="26">
        <f t="shared" si="12"/>
        <v>0.97530981449734688</v>
      </c>
      <c r="BA24" s="122">
        <f t="shared" si="13"/>
        <v>1.2199239597403544E-3</v>
      </c>
      <c r="BB24" s="116"/>
      <c r="BC24" s="18" cm="1">
        <f t="array" ref="BC24">flatInterpolation($AG24,$S$4:$S$9,BB$5:BB$10)</f>
        <v>5.0000000000000001E-3</v>
      </c>
      <c r="BD24" s="26">
        <f t="shared" si="14"/>
        <v>0.9753099120283335</v>
      </c>
      <c r="BE24" s="122">
        <f t="shared" si="15"/>
        <v>1.2198996684871233E-3</v>
      </c>
    </row>
    <row r="25" spans="3:57" x14ac:dyDescent="0.3">
      <c r="K25" s="43" t="s">
        <v>338</v>
      </c>
      <c r="M25" s="1"/>
      <c r="O25" s="169" t="s">
        <v>146</v>
      </c>
      <c r="R25" s="2"/>
      <c r="S25" s="17">
        <v>1</v>
      </c>
      <c r="T25" s="18" cm="1">
        <f t="array" ref="T25">flatInterpolation(S25,Calibration.Times,Calibration.HazardRates)</f>
        <v>5.0000000000000001E-3</v>
      </c>
      <c r="X25" s="24">
        <f t="shared" si="16"/>
        <v>5.25</v>
      </c>
      <c r="Y25" s="25" cm="1">
        <f t="array" ref="Y25">flatInterpolation(X25,$S$4:$S$9,$T$4:$T$9)</f>
        <v>5.0000000000000001E-3</v>
      </c>
      <c r="Z25" s="26">
        <f t="shared" si="2"/>
        <v>0.97409153628178236</v>
      </c>
      <c r="AA25" s="26">
        <f t="shared" si="3"/>
        <v>1.218375746551148E-3</v>
      </c>
      <c r="AB25" s="27" cm="1">
        <f t="array" ref="AB25">cubicInterpolation(CurveResults.Times,CurveResults.DFs,$X25)</f>
        <v>0.80737798558678209</v>
      </c>
      <c r="AG25" s="24">
        <f t="shared" si="17"/>
        <v>5.25</v>
      </c>
      <c r="AI25" s="18" cm="1">
        <f t="array" ref="AI25">flatInterpolation($AG25,$S$4:$S$9,AH$5:AH$10)</f>
        <v>5.0000000000000001E-3</v>
      </c>
      <c r="AJ25" s="26">
        <f t="shared" si="4"/>
        <v>0.9740914388726335</v>
      </c>
      <c r="AK25" s="122">
        <f t="shared" si="5"/>
        <v>1.2183756247134969E-3</v>
      </c>
      <c r="AL25" s="116"/>
      <c r="AM25" s="18" cm="1">
        <f t="array" ref="AM25">flatInterpolation($AG25,$S$4:$S$9,AL$5:AL$10)</f>
        <v>5.0000000000000001E-3</v>
      </c>
      <c r="AN25" s="26">
        <f t="shared" si="6"/>
        <v>0.97409143887263361</v>
      </c>
      <c r="AO25" s="122">
        <f t="shared" si="7"/>
        <v>1.2183756247134969E-3</v>
      </c>
      <c r="AP25" s="116"/>
      <c r="AQ25" s="18" cm="1">
        <f t="array" ref="AQ25">flatInterpolation($AG25,$S$4:$S$9,AP$5:AP$10)</f>
        <v>5.0000000000000001E-3</v>
      </c>
      <c r="AR25" s="26">
        <f t="shared" si="8"/>
        <v>0.9740914388726335</v>
      </c>
      <c r="AS25" s="122">
        <f t="shared" si="9"/>
        <v>1.2183756247134969E-3</v>
      </c>
      <c r="AT25" s="116"/>
      <c r="AU25" s="18" cm="1">
        <f t="array" ref="AU25">flatInterpolation($AG25,$S$4:$S$9,AT$5:AT$10)</f>
        <v>5.0000000000000001E-3</v>
      </c>
      <c r="AV25" s="26">
        <f t="shared" si="10"/>
        <v>0.9740914388726335</v>
      </c>
      <c r="AW25" s="122">
        <f t="shared" si="11"/>
        <v>1.2183756247134969E-3</v>
      </c>
      <c r="AX25" s="116"/>
      <c r="AY25" s="18" cm="1">
        <f t="array" ref="AY25">flatInterpolation($AG25,$S$4:$S$9,AX$5:AX$10)</f>
        <v>5.0000000000000001E-3</v>
      </c>
      <c r="AZ25" s="26">
        <f t="shared" si="12"/>
        <v>0.97409143887263339</v>
      </c>
      <c r="BA25" s="122">
        <f t="shared" si="13"/>
        <v>1.2183756247134969E-3</v>
      </c>
      <c r="BB25" s="116"/>
      <c r="BC25" s="18" cm="1">
        <f t="array" ref="BC25">flatInterpolation($AG25,$S$4:$S$9,BB$5:BB$10)</f>
        <v>5.0001000000000004E-3</v>
      </c>
      <c r="BD25" s="26">
        <f t="shared" si="14"/>
        <v>0.97409151192949428</v>
      </c>
      <c r="BE25" s="122">
        <f t="shared" si="15"/>
        <v>1.218400098839223E-3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5.0000000000000001E-3</v>
      </c>
      <c r="X26" s="24">
        <f t="shared" si="16"/>
        <v>5.5</v>
      </c>
      <c r="Y26" s="25" cm="1">
        <f t="array" ref="Y26">flatInterpolation(X26,$S$4:$S$9,$T$4:$T$9)</f>
        <v>5.0000000000000001E-3</v>
      </c>
      <c r="Z26" s="26">
        <f t="shared" si="2"/>
        <v>0.97287468255345488</v>
      </c>
      <c r="AA26" s="26">
        <f t="shared" si="3"/>
        <v>1.2168537283274716E-3</v>
      </c>
      <c r="AB26" s="27" cm="1">
        <f t="array" ref="AB26">cubicInterpolation(CurveResults.Times,CurveResults.DFs,$X26)</f>
        <v>0.79988180597213521</v>
      </c>
      <c r="AG26" s="24">
        <f t="shared" si="17"/>
        <v>5.5</v>
      </c>
      <c r="AI26" s="18" cm="1">
        <f t="array" ref="AI26">flatInterpolation($AG26,$S$4:$S$9,AH$5:AH$10)</f>
        <v>5.0000000000000001E-3</v>
      </c>
      <c r="AJ26" s="26">
        <f t="shared" si="4"/>
        <v>0.97287458526599135</v>
      </c>
      <c r="AK26" s="122">
        <f t="shared" si="5"/>
        <v>1.2168536066421431E-3</v>
      </c>
      <c r="AL26" s="116"/>
      <c r="AM26" s="18" cm="1">
        <f t="array" ref="AM26">flatInterpolation($AG26,$S$4:$S$9,AL$5:AL$10)</f>
        <v>5.0000000000000001E-3</v>
      </c>
      <c r="AN26" s="26">
        <f t="shared" si="6"/>
        <v>0.97287458526599147</v>
      </c>
      <c r="AO26" s="122">
        <f t="shared" si="7"/>
        <v>1.2168536066421431E-3</v>
      </c>
      <c r="AP26" s="116"/>
      <c r="AQ26" s="18" cm="1">
        <f t="array" ref="AQ26">flatInterpolation($AG26,$S$4:$S$9,AP$5:AP$10)</f>
        <v>5.0000000000000001E-3</v>
      </c>
      <c r="AR26" s="26">
        <f t="shared" si="8"/>
        <v>0.97287458526599135</v>
      </c>
      <c r="AS26" s="122">
        <f t="shared" si="9"/>
        <v>1.2168536066421431E-3</v>
      </c>
      <c r="AT26" s="116"/>
      <c r="AU26" s="18" cm="1">
        <f t="array" ref="AU26">flatInterpolation($AG26,$S$4:$S$9,AT$5:AT$10)</f>
        <v>5.0000000000000001E-3</v>
      </c>
      <c r="AV26" s="26">
        <f t="shared" si="10"/>
        <v>0.97287458526599135</v>
      </c>
      <c r="AW26" s="122">
        <f t="shared" si="11"/>
        <v>1.2168536066421431E-3</v>
      </c>
      <c r="AX26" s="116"/>
      <c r="AY26" s="18" cm="1">
        <f t="array" ref="AY26">flatInterpolation($AG26,$S$4:$S$9,AX$5:AX$10)</f>
        <v>5.0000000000000001E-3</v>
      </c>
      <c r="AZ26" s="26">
        <f t="shared" si="12"/>
        <v>0.97287458526599124</v>
      </c>
      <c r="BA26" s="122">
        <f t="shared" si="13"/>
        <v>1.2168536066421431E-3</v>
      </c>
      <c r="BB26" s="116"/>
      <c r="BC26" s="18" cm="1">
        <f t="array" ref="BC26">flatInterpolation($AG26,$S$4:$S$9,BB$5:BB$10)</f>
        <v>5.0001000000000004E-3</v>
      </c>
      <c r="BD26" s="26">
        <f t="shared" si="14"/>
        <v>0.97287463390972195</v>
      </c>
      <c r="BE26" s="122">
        <f t="shared" si="15"/>
        <v>1.2168780197723272E-3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5.0000006510419375E-3</v>
      </c>
      <c r="N27" s="65">
        <v>5.0000000000000001E-3</v>
      </c>
      <c r="O27" s="66">
        <f t="shared" ref="O27:O32" si="24">Q4/(1-RecoveryRate)</f>
        <v>5.0000000000000001E-3</v>
      </c>
      <c r="P27" s="65">
        <f t="shared" ref="P27:P32" si="25">V14</f>
        <v>-3.9062501063641397E-10</v>
      </c>
      <c r="Q27" s="83">
        <f t="shared" ref="Q27:Q32" si="26">M27-N27</f>
        <v>6.510419373745302E-10</v>
      </c>
      <c r="S27" s="17">
        <f>S5</f>
        <v>2</v>
      </c>
      <c r="T27" s="18" cm="1">
        <f t="array" ref="T27">flatInterpolation(S27,Calibration.Times,Calibration.HazardRates)</f>
        <v>5.0000000000000001E-3</v>
      </c>
      <c r="X27" s="24">
        <f t="shared" si="16"/>
        <v>5.75</v>
      </c>
      <c r="Y27" s="25" cm="1">
        <f t="array" ref="Y27">flatInterpolation(X27,$S$4:$S$9,$T$4:$T$9)</f>
        <v>5.0000000000000001E-3</v>
      </c>
      <c r="Z27" s="26">
        <f t="shared" si="2"/>
        <v>0.97165934894201678</v>
      </c>
      <c r="AA27" s="26">
        <f t="shared" si="3"/>
        <v>1.2153336114381075E-3</v>
      </c>
      <c r="AB27" s="27" cm="1">
        <f t="array" ref="AB27">cubicInterpolation(CurveResults.Times,CurveResults.DFs,$X27)</f>
        <v>0.79246475287440499</v>
      </c>
      <c r="AG27" s="24">
        <f t="shared" si="17"/>
        <v>5.75</v>
      </c>
      <c r="AI27" s="18" cm="1">
        <f t="array" ref="AI27">flatInterpolation($AG27,$S$4:$S$9,AH$5:AH$10)</f>
        <v>5.0000000000000001E-3</v>
      </c>
      <c r="AJ27" s="26">
        <f t="shared" si="4"/>
        <v>0.9716592517760867</v>
      </c>
      <c r="AK27" s="122">
        <f t="shared" si="5"/>
        <v>1.2153334899046575E-3</v>
      </c>
      <c r="AL27" s="116"/>
      <c r="AM27" s="18" cm="1">
        <f t="array" ref="AM27">flatInterpolation($AG27,$S$4:$S$9,AL$5:AL$10)</f>
        <v>5.0000000000000001E-3</v>
      </c>
      <c r="AN27" s="26">
        <f t="shared" si="6"/>
        <v>0.97165925177608681</v>
      </c>
      <c r="AO27" s="122">
        <f t="shared" si="7"/>
        <v>1.2153334899046575E-3</v>
      </c>
      <c r="AP27" s="116"/>
      <c r="AQ27" s="18" cm="1">
        <f t="array" ref="AQ27">flatInterpolation($AG27,$S$4:$S$9,AP$5:AP$10)</f>
        <v>5.0000000000000001E-3</v>
      </c>
      <c r="AR27" s="26">
        <f t="shared" si="8"/>
        <v>0.9716592517760867</v>
      </c>
      <c r="AS27" s="122">
        <f t="shared" si="9"/>
        <v>1.2153334899046575E-3</v>
      </c>
      <c r="AT27" s="116"/>
      <c r="AU27" s="18" cm="1">
        <f t="array" ref="AU27">flatInterpolation($AG27,$S$4:$S$9,AT$5:AT$10)</f>
        <v>5.0000000000000001E-3</v>
      </c>
      <c r="AV27" s="26">
        <f t="shared" si="10"/>
        <v>0.9716592517760867</v>
      </c>
      <c r="AW27" s="122">
        <f t="shared" si="11"/>
        <v>1.2153334899046575E-3</v>
      </c>
      <c r="AX27" s="116"/>
      <c r="AY27" s="18" cm="1">
        <f t="array" ref="AY27">flatInterpolation($AG27,$S$4:$S$9,AX$5:AX$10)</f>
        <v>5.0000000000000001E-3</v>
      </c>
      <c r="AZ27" s="26">
        <f t="shared" si="12"/>
        <v>0.97165925177608659</v>
      </c>
      <c r="BA27" s="122">
        <f t="shared" si="13"/>
        <v>1.2153334899046575E-3</v>
      </c>
      <c r="BB27" s="116"/>
      <c r="BC27" s="18" cm="1">
        <f t="array" ref="BC27">flatInterpolation($AG27,$S$4:$S$9,BB$5:BB$10)</f>
        <v>5.0001000000000004E-3</v>
      </c>
      <c r="BD27" s="26">
        <f t="shared" si="14"/>
        <v>0.9716592760675683</v>
      </c>
      <c r="BE27" s="122">
        <f t="shared" si="15"/>
        <v>1.2153578421536526E-3</v>
      </c>
    </row>
    <row r="28" spans="3:57" x14ac:dyDescent="0.3">
      <c r="K28" s="67" t="s">
        <v>12</v>
      </c>
      <c r="L28" s="17">
        <v>2</v>
      </c>
      <c r="M28" s="60">
        <v>5.0000006510419791E-3</v>
      </c>
      <c r="N28" s="45">
        <v>5.0000000000000001E-3</v>
      </c>
      <c r="O28" s="61">
        <f t="shared" si="24"/>
        <v>5.0000000000000001E-3</v>
      </c>
      <c r="P28" s="45">
        <f t="shared" si="25"/>
        <v>-3.906250227794783E-10</v>
      </c>
      <c r="Q28" s="84">
        <f t="shared" si="26"/>
        <v>6.5104197900789362E-10</v>
      </c>
      <c r="S28" s="17">
        <f>S27+0.01</f>
        <v>2.0099999999999998</v>
      </c>
      <c r="T28" s="18" cm="1">
        <f t="array" ref="T28">flatInterpolation(S28,Calibration.Times,Calibration.HazardRates)</f>
        <v>5.0000000000000001E-3</v>
      </c>
      <c r="X28" s="24">
        <f t="shared" si="16"/>
        <v>6</v>
      </c>
      <c r="Y28" s="25" cm="1">
        <f t="array" ref="Y28">flatInterpolation(X28,$S$4:$S$9,$T$4:$T$9)</f>
        <v>5.0000000000000001E-3</v>
      </c>
      <c r="Z28" s="26">
        <f t="shared" si="2"/>
        <v>0.97044553354850915</v>
      </c>
      <c r="AA28" s="26">
        <f t="shared" si="3"/>
        <v>1.2138153935076224E-3</v>
      </c>
      <c r="AB28" s="27" cm="1">
        <f t="array" ref="AB28">cubicInterpolation(CurveResults.Times,CurveResults.DFs,$X28)</f>
        <v>0.78511840072776184</v>
      </c>
      <c r="AG28" s="24">
        <f t="shared" si="17"/>
        <v>6</v>
      </c>
      <c r="AI28" s="18" cm="1">
        <f t="array" ref="AI28">flatInterpolation($AG28,$S$4:$S$9,AH$5:AH$10)</f>
        <v>5.0000000000000001E-3</v>
      </c>
      <c r="AJ28" s="26">
        <f t="shared" si="4"/>
        <v>0.97044543650396053</v>
      </c>
      <c r="AK28" s="122">
        <f t="shared" si="5"/>
        <v>1.2138152721261619E-3</v>
      </c>
      <c r="AL28" s="116"/>
      <c r="AM28" s="18" cm="1">
        <f t="array" ref="AM28">flatInterpolation($AG28,$S$4:$S$9,AL$5:AL$10)</f>
        <v>5.0000000000000001E-3</v>
      </c>
      <c r="AN28" s="26">
        <f t="shared" si="6"/>
        <v>0.97044543650396065</v>
      </c>
      <c r="AO28" s="122">
        <f t="shared" si="7"/>
        <v>1.2138152721261619E-3</v>
      </c>
      <c r="AP28" s="116"/>
      <c r="AQ28" s="18" cm="1">
        <f t="array" ref="AQ28">flatInterpolation($AG28,$S$4:$S$9,AP$5:AP$10)</f>
        <v>5.0000000000000001E-3</v>
      </c>
      <c r="AR28" s="26">
        <f t="shared" si="8"/>
        <v>0.97044543650396053</v>
      </c>
      <c r="AS28" s="122">
        <f t="shared" si="9"/>
        <v>1.2138152721261619E-3</v>
      </c>
      <c r="AT28" s="116"/>
      <c r="AU28" s="18" cm="1">
        <f t="array" ref="AU28">flatInterpolation($AG28,$S$4:$S$9,AT$5:AT$10)</f>
        <v>5.0000000000000001E-3</v>
      </c>
      <c r="AV28" s="26">
        <f t="shared" si="10"/>
        <v>0.97044543650396053</v>
      </c>
      <c r="AW28" s="122">
        <f t="shared" si="11"/>
        <v>1.2138152721261619E-3</v>
      </c>
      <c r="AX28" s="116"/>
      <c r="AY28" s="18" cm="1">
        <f t="array" ref="AY28">flatInterpolation($AG28,$S$4:$S$9,AX$5:AX$10)</f>
        <v>5.0000000000000001E-3</v>
      </c>
      <c r="AZ28" s="26">
        <f t="shared" si="12"/>
        <v>0.97044543650396042</v>
      </c>
      <c r="BA28" s="122">
        <f t="shared" si="13"/>
        <v>1.2138152721261619E-3</v>
      </c>
      <c r="BB28" s="116"/>
      <c r="BC28" s="18" cm="1">
        <f t="array" ref="BC28">flatInterpolation($AG28,$S$4:$S$9,BB$5:BB$10)</f>
        <v>5.0001000000000004E-3</v>
      </c>
      <c r="BD28" s="26">
        <f t="shared" si="14"/>
        <v>0.97044543650396053</v>
      </c>
      <c r="BE28" s="122">
        <f t="shared" si="15"/>
        <v>1.2138395636077659E-3</v>
      </c>
    </row>
    <row r="29" spans="3:57" x14ac:dyDescent="0.3">
      <c r="K29" s="67" t="s">
        <v>13</v>
      </c>
      <c r="L29" s="17">
        <v>3</v>
      </c>
      <c r="M29" s="60">
        <v>5.0000006510420901E-3</v>
      </c>
      <c r="N29" s="45">
        <v>5.0000000000000001E-3</v>
      </c>
      <c r="O29" s="61">
        <f t="shared" si="24"/>
        <v>5.0000000000000001E-3</v>
      </c>
      <c r="P29" s="45">
        <f t="shared" si="25"/>
        <v>-3.9062504836664957E-10</v>
      </c>
      <c r="Q29" s="84">
        <f t="shared" si="26"/>
        <v>6.5104209003019609E-10</v>
      </c>
      <c r="S29" s="17">
        <f>S6</f>
        <v>3</v>
      </c>
      <c r="T29" s="18" cm="1">
        <f t="array" ref="T29">flatInterpolation(S29,Calibration.Times,Calibration.HazardRates)</f>
        <v>5.0000000000000001E-3</v>
      </c>
      <c r="X29" s="24">
        <f t="shared" si="16"/>
        <v>6.25</v>
      </c>
      <c r="Y29" s="25" cm="1">
        <f t="array" ref="Y29">flatInterpolation(X29,$S$4:$S$9,$T$4:$T$9)</f>
        <v>5.0000000000000001E-3</v>
      </c>
      <c r="Z29" s="26">
        <f t="shared" si="2"/>
        <v>0.96923323447634513</v>
      </c>
      <c r="AA29" s="26">
        <f t="shared" si="3"/>
        <v>1.2122990721640248E-3</v>
      </c>
      <c r="AB29" s="27" cm="1">
        <f t="array" ref="AB29">cubicInterpolation(CurveResults.Times,CurveResults.DFs,$X29)</f>
        <v>0.77784547446757579</v>
      </c>
      <c r="AG29" s="24">
        <f t="shared" si="17"/>
        <v>6.25</v>
      </c>
      <c r="AI29" s="18" cm="1">
        <f t="array" ref="AI29">flatInterpolation($AG29,$S$4:$S$9,AH$5:AH$10)</f>
        <v>5.0000000000000001E-3</v>
      </c>
      <c r="AJ29" s="26">
        <f t="shared" si="4"/>
        <v>0.96923313755302642</v>
      </c>
      <c r="AK29" s="122">
        <f t="shared" si="5"/>
        <v>1.2122989509341098E-3</v>
      </c>
      <c r="AL29" s="116"/>
      <c r="AM29" s="18" cm="1">
        <f t="array" ref="AM29">flatInterpolation($AG29,$S$4:$S$9,AL$5:AL$10)</f>
        <v>5.0000000000000001E-3</v>
      </c>
      <c r="AN29" s="26">
        <f t="shared" si="6"/>
        <v>0.96923313755302654</v>
      </c>
      <c r="AO29" s="122">
        <f t="shared" si="7"/>
        <v>1.2122989509341098E-3</v>
      </c>
      <c r="AP29" s="116"/>
      <c r="AQ29" s="18" cm="1">
        <f t="array" ref="AQ29">flatInterpolation($AG29,$S$4:$S$9,AP$5:AP$10)</f>
        <v>5.0000000000000001E-3</v>
      </c>
      <c r="AR29" s="26">
        <f t="shared" si="8"/>
        <v>0.96923313755302642</v>
      </c>
      <c r="AS29" s="122">
        <f t="shared" si="9"/>
        <v>1.2122989509341098E-3</v>
      </c>
      <c r="AT29" s="116"/>
      <c r="AU29" s="18" cm="1">
        <f t="array" ref="AU29">flatInterpolation($AG29,$S$4:$S$9,AT$5:AT$10)</f>
        <v>5.0000000000000001E-3</v>
      </c>
      <c r="AV29" s="26">
        <f t="shared" si="10"/>
        <v>0.96923313755302642</v>
      </c>
      <c r="AW29" s="122">
        <f t="shared" si="11"/>
        <v>1.2122989509341098E-3</v>
      </c>
      <c r="AX29" s="116"/>
      <c r="AY29" s="18" cm="1">
        <f t="array" ref="AY29">flatInterpolation($AG29,$S$4:$S$9,AX$5:AX$10)</f>
        <v>5.0000000000000001E-3</v>
      </c>
      <c r="AZ29" s="26">
        <f t="shared" si="12"/>
        <v>0.96923313755302631</v>
      </c>
      <c r="BA29" s="122">
        <f t="shared" si="13"/>
        <v>1.2122989509341098E-3</v>
      </c>
      <c r="BB29" s="116"/>
      <c r="BC29" s="18" cm="1">
        <f t="array" ref="BC29">flatInterpolation($AG29,$S$4:$S$9,BB$5:BB$10)</f>
        <v>5.0001000000000004E-3</v>
      </c>
      <c r="BD29" s="26">
        <f t="shared" si="14"/>
        <v>0.96923311332219819</v>
      </c>
      <c r="BE29" s="122">
        <f t="shared" si="15"/>
        <v>1.2123231817623425E-3</v>
      </c>
    </row>
    <row r="30" spans="3:57" x14ac:dyDescent="0.3">
      <c r="K30" s="67" t="s">
        <v>14</v>
      </c>
      <c r="L30" s="17">
        <v>4</v>
      </c>
      <c r="M30" s="60">
        <v>5.000000651041901E-3</v>
      </c>
      <c r="N30" s="45">
        <v>5.0000000000000001E-3</v>
      </c>
      <c r="O30" s="61">
        <f t="shared" si="24"/>
        <v>5.0000000000000001E-3</v>
      </c>
      <c r="P30" s="45">
        <f t="shared" si="25"/>
        <v>-3.906250340551809E-10</v>
      </c>
      <c r="Q30" s="84">
        <f t="shared" si="26"/>
        <v>6.510419009453372E-10</v>
      </c>
      <c r="S30" s="17">
        <f>S29+0.01</f>
        <v>3.01</v>
      </c>
      <c r="T30" s="18" cm="1">
        <f t="array" ref="T30">flatInterpolation(S30,Calibration.Times,Calibration.HazardRates)</f>
        <v>5.0000000000000001E-3</v>
      </c>
      <c r="X30" s="24">
        <f t="shared" si="16"/>
        <v>6.5</v>
      </c>
      <c r="Y30" s="25" cm="1">
        <f t="array" ref="Y30">flatInterpolation(X30,$S$4:$S$9,$T$4:$T$9)</f>
        <v>5.0000000000000001E-3</v>
      </c>
      <c r="Z30" s="26">
        <f t="shared" si="2"/>
        <v>0.96802244983130714</v>
      </c>
      <c r="AA30" s="26">
        <f t="shared" si="3"/>
        <v>1.2107846450379878E-3</v>
      </c>
      <c r="AB30" s="27" cm="1">
        <f t="array" ref="AB30">cubicInterpolation(CurveResults.Times,CurveResults.DFs,$X30)</f>
        <v>0.77064881047798106</v>
      </c>
      <c r="AG30" s="24">
        <f t="shared" si="17"/>
        <v>6.5</v>
      </c>
      <c r="AI30" s="18" cm="1">
        <f t="array" ref="AI30">flatInterpolation($AG30,$S$4:$S$9,AH$5:AH$10)</f>
        <v>5.0000000000000001E-3</v>
      </c>
      <c r="AJ30" s="26">
        <f t="shared" si="4"/>
        <v>0.96802235302906692</v>
      </c>
      <c r="AK30" s="122">
        <f t="shared" si="5"/>
        <v>1.2107845239595072E-3</v>
      </c>
      <c r="AL30" s="116"/>
      <c r="AM30" s="18" cm="1">
        <f t="array" ref="AM30">flatInterpolation($AG30,$S$4:$S$9,AL$5:AL$10)</f>
        <v>5.0000000000000001E-3</v>
      </c>
      <c r="AN30" s="26">
        <f t="shared" si="6"/>
        <v>0.96802235302906703</v>
      </c>
      <c r="AO30" s="122">
        <f t="shared" si="7"/>
        <v>1.2107845239595072E-3</v>
      </c>
      <c r="AP30" s="116"/>
      <c r="AQ30" s="18" cm="1">
        <f t="array" ref="AQ30">flatInterpolation($AG30,$S$4:$S$9,AP$5:AP$10)</f>
        <v>5.0000000000000001E-3</v>
      </c>
      <c r="AR30" s="26">
        <f t="shared" si="8"/>
        <v>0.96802235302906692</v>
      </c>
      <c r="AS30" s="122">
        <f t="shared" si="9"/>
        <v>1.2107845239595072E-3</v>
      </c>
      <c r="AT30" s="116"/>
      <c r="AU30" s="18" cm="1">
        <f t="array" ref="AU30">flatInterpolation($AG30,$S$4:$S$9,AT$5:AT$10)</f>
        <v>5.0000000000000001E-3</v>
      </c>
      <c r="AV30" s="26">
        <f t="shared" si="10"/>
        <v>0.96802235302906692</v>
      </c>
      <c r="AW30" s="122">
        <f t="shared" si="11"/>
        <v>1.2107845239595072E-3</v>
      </c>
      <c r="AX30" s="116"/>
      <c r="AY30" s="18" cm="1">
        <f t="array" ref="AY30">flatInterpolation($AG30,$S$4:$S$9,AX$5:AX$10)</f>
        <v>5.0000000000000001E-3</v>
      </c>
      <c r="AZ30" s="26">
        <f t="shared" si="12"/>
        <v>0.96802235302906681</v>
      </c>
      <c r="BA30" s="122">
        <f t="shared" si="13"/>
        <v>1.2107845239595072E-3</v>
      </c>
      <c r="BB30" s="116"/>
      <c r="BC30" s="18" cm="1">
        <f t="array" ref="BC30">flatInterpolation($AG30,$S$4:$S$9,BB$5:BB$10)</f>
        <v>5.0001000000000004E-3</v>
      </c>
      <c r="BD30" s="26">
        <f t="shared" si="14"/>
        <v>0.96802230462795025</v>
      </c>
      <c r="BE30" s="122">
        <f t="shared" si="15"/>
        <v>1.2108086942479446E-3</v>
      </c>
    </row>
    <row r="31" spans="3:57" x14ac:dyDescent="0.3">
      <c r="K31" s="67" t="s">
        <v>15</v>
      </c>
      <c r="L31" s="17">
        <v>5</v>
      </c>
      <c r="M31" s="60">
        <v>5.0000006510420494E-3</v>
      </c>
      <c r="N31" s="45">
        <v>5.0000000000000001E-3</v>
      </c>
      <c r="O31" s="61">
        <f t="shared" si="24"/>
        <v>5.0000000000000001E-3</v>
      </c>
      <c r="P31" s="45">
        <f t="shared" si="25"/>
        <v>-3.9062504229511741E-10</v>
      </c>
      <c r="Q31" s="84">
        <f t="shared" si="26"/>
        <v>6.510420492641944E-10</v>
      </c>
      <c r="S31" s="17">
        <f>S7</f>
        <v>4</v>
      </c>
      <c r="T31" s="18" cm="1">
        <f t="array" ref="T31">flatInterpolation(S31,Calibration.Times,Calibration.HazardRates)</f>
        <v>5.0000000000000001E-3</v>
      </c>
      <c r="X31" s="24">
        <f t="shared" si="16"/>
        <v>6.75</v>
      </c>
      <c r="Y31" s="25" cm="1">
        <f t="array" ref="Y31">flatInterpolation(X31,$S$4:$S$9,$T$4:$T$9)</f>
        <v>5.0000000000000001E-3</v>
      </c>
      <c r="Z31" s="26">
        <f t="shared" si="2"/>
        <v>0.96681317772154396</v>
      </c>
      <c r="AA31" s="26">
        <f t="shared" si="3"/>
        <v>1.209272109763182E-3</v>
      </c>
      <c r="AB31" s="27" cm="1">
        <f t="array" ref="AB31">cubicInterpolation(CurveResults.Times,CurveResults.DFs,$X31)</f>
        <v>0.76352015036629473</v>
      </c>
      <c r="AG31" s="24">
        <f t="shared" si="17"/>
        <v>6.75</v>
      </c>
      <c r="AI31" s="18" cm="1">
        <f t="array" ref="AI31">flatInterpolation($AG31,$S$4:$S$9,AH$5:AH$10)</f>
        <v>5.0000000000000001E-3</v>
      </c>
      <c r="AJ31" s="26">
        <f t="shared" si="4"/>
        <v>0.96681308104023089</v>
      </c>
      <c r="AK31" s="122">
        <f t="shared" si="5"/>
        <v>1.2092719888360248E-3</v>
      </c>
      <c r="AL31" s="116"/>
      <c r="AM31" s="18" cm="1">
        <f t="array" ref="AM31">flatInterpolation($AG31,$S$4:$S$9,AL$5:AL$10)</f>
        <v>5.0000000000000001E-3</v>
      </c>
      <c r="AN31" s="26">
        <f t="shared" si="6"/>
        <v>0.966813081040231</v>
      </c>
      <c r="AO31" s="122">
        <f t="shared" si="7"/>
        <v>1.2092719888360248E-3</v>
      </c>
      <c r="AP31" s="116"/>
      <c r="AQ31" s="18" cm="1">
        <f t="array" ref="AQ31">flatInterpolation($AG31,$S$4:$S$9,AP$5:AP$10)</f>
        <v>5.0000000000000001E-3</v>
      </c>
      <c r="AR31" s="26">
        <f t="shared" si="8"/>
        <v>0.96681308104023089</v>
      </c>
      <c r="AS31" s="122">
        <f t="shared" si="9"/>
        <v>1.2092719888360248E-3</v>
      </c>
      <c r="AT31" s="116"/>
      <c r="AU31" s="18" cm="1">
        <f t="array" ref="AU31">flatInterpolation($AG31,$S$4:$S$9,AT$5:AT$10)</f>
        <v>5.0000000000000001E-3</v>
      </c>
      <c r="AV31" s="26">
        <f t="shared" si="10"/>
        <v>0.96681308104023089</v>
      </c>
      <c r="AW31" s="122">
        <f t="shared" si="11"/>
        <v>1.2092719888360248E-3</v>
      </c>
      <c r="AX31" s="116"/>
      <c r="AY31" s="18" cm="1">
        <f t="array" ref="AY31">flatInterpolation($AG31,$S$4:$S$9,AX$5:AX$10)</f>
        <v>5.0000000000000001E-3</v>
      </c>
      <c r="AZ31" s="26">
        <f t="shared" si="12"/>
        <v>0.96681308104023078</v>
      </c>
      <c r="BA31" s="122">
        <f t="shared" si="13"/>
        <v>1.2092719888360248E-3</v>
      </c>
      <c r="BB31" s="116"/>
      <c r="BC31" s="18" cm="1">
        <f t="array" ref="BC31">flatInterpolation($AG31,$S$4:$S$9,BB$5:BB$10)</f>
        <v>5.0001000000000004E-3</v>
      </c>
      <c r="BD31" s="26">
        <f t="shared" si="14"/>
        <v>0.96681300852925234</v>
      </c>
      <c r="BE31" s="122">
        <f t="shared" si="15"/>
        <v>1.2092960986979095E-3</v>
      </c>
    </row>
    <row r="32" spans="3:57" x14ac:dyDescent="0.3">
      <c r="K32" s="68" t="s">
        <v>16</v>
      </c>
      <c r="L32" s="69">
        <v>10</v>
      </c>
      <c r="M32" s="70">
        <v>5.0000006510421066E-3</v>
      </c>
      <c r="N32" s="71">
        <v>5.0000000000000001E-3</v>
      </c>
      <c r="O32" s="72">
        <f t="shared" si="24"/>
        <v>5.0000000000000001E-3</v>
      </c>
      <c r="P32" s="71">
        <f t="shared" si="25"/>
        <v>-3.9062505530554348E-10</v>
      </c>
      <c r="Q32" s="85">
        <f t="shared" si="26"/>
        <v>6.5104210651006911E-10</v>
      </c>
      <c r="S32" s="17">
        <f>S31+0.01</f>
        <v>4.01</v>
      </c>
      <c r="T32" s="18" cm="1">
        <f t="array" ref="T32">flatInterpolation(S32,Calibration.Times,Calibration.HazardRates)</f>
        <v>5.0000000000000001E-3</v>
      </c>
      <c r="X32" s="24">
        <f t="shared" si="16"/>
        <v>7</v>
      </c>
      <c r="Y32" s="25" cm="1">
        <f t="array" ref="Y32">flatInterpolation(X32,$S$4:$S$9,$T$4:$T$9)</f>
        <v>5.0000000000000001E-3</v>
      </c>
      <c r="Z32" s="26">
        <f t="shared" si="2"/>
        <v>0.96560541625756768</v>
      </c>
      <c r="AA32" s="26">
        <f t="shared" si="3"/>
        <v>1.2077614639762757E-3</v>
      </c>
      <c r="AB32" s="27" cm="1">
        <f t="array" ref="AB32">cubicInterpolation(CurveResults.Times,CurveResults.DFs,$X32)</f>
        <v>0.75645123573983353</v>
      </c>
      <c r="AG32" s="24">
        <f t="shared" si="17"/>
        <v>7</v>
      </c>
      <c r="AI32" s="18" cm="1">
        <f t="array" ref="AI32">flatInterpolation($AG32,$S$4:$S$9,AH$5:AH$10)</f>
        <v>5.0000000000000001E-3</v>
      </c>
      <c r="AJ32" s="26">
        <f t="shared" si="4"/>
        <v>0.96560531969703078</v>
      </c>
      <c r="AK32" s="122">
        <f t="shared" si="5"/>
        <v>1.2077613432001089E-3</v>
      </c>
      <c r="AL32" s="116"/>
      <c r="AM32" s="18" cm="1">
        <f t="array" ref="AM32">flatInterpolation($AG32,$S$4:$S$9,AL$5:AL$10)</f>
        <v>5.0000000000000001E-3</v>
      </c>
      <c r="AN32" s="26">
        <f t="shared" si="6"/>
        <v>0.96560531969703089</v>
      </c>
      <c r="AO32" s="122">
        <f t="shared" si="7"/>
        <v>1.2077613432001089E-3</v>
      </c>
      <c r="AP32" s="116"/>
      <c r="AQ32" s="18" cm="1">
        <f t="array" ref="AQ32">flatInterpolation($AG32,$S$4:$S$9,AP$5:AP$10)</f>
        <v>5.0000000000000001E-3</v>
      </c>
      <c r="AR32" s="26">
        <f t="shared" si="8"/>
        <v>0.96560531969703078</v>
      </c>
      <c r="AS32" s="122">
        <f t="shared" si="9"/>
        <v>1.2077613432001089E-3</v>
      </c>
      <c r="AT32" s="116"/>
      <c r="AU32" s="18" cm="1">
        <f t="array" ref="AU32">flatInterpolation($AG32,$S$4:$S$9,AT$5:AT$10)</f>
        <v>5.0000000000000001E-3</v>
      </c>
      <c r="AV32" s="26">
        <f t="shared" si="10"/>
        <v>0.96560531969703078</v>
      </c>
      <c r="AW32" s="122">
        <f t="shared" si="11"/>
        <v>1.2077613432001089E-3</v>
      </c>
      <c r="AX32" s="116"/>
      <c r="AY32" s="18" cm="1">
        <f t="array" ref="AY32">flatInterpolation($AG32,$S$4:$S$9,AX$5:AX$10)</f>
        <v>5.0000000000000001E-3</v>
      </c>
      <c r="AZ32" s="26">
        <f t="shared" si="12"/>
        <v>0.96560531969703067</v>
      </c>
      <c r="BA32" s="122">
        <f t="shared" si="13"/>
        <v>1.2077613432001089E-3</v>
      </c>
      <c r="BB32" s="116"/>
      <c r="BC32" s="18" cm="1">
        <f t="array" ref="BC32">flatInterpolation($AG32,$S$4:$S$9,BB$5:BB$10)</f>
        <v>5.0001000000000004E-3</v>
      </c>
      <c r="BD32" s="26">
        <f t="shared" si="14"/>
        <v>0.96560522313650332</v>
      </c>
      <c r="BE32" s="122">
        <f t="shared" si="15"/>
        <v>1.2077853927490168E-3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5.0000000000000001E-3</v>
      </c>
      <c r="X33" s="24">
        <f t="shared" si="16"/>
        <v>7.25</v>
      </c>
      <c r="Y33" s="25" cm="1">
        <f t="array" ref="Y33">flatInterpolation(X33,$S$4:$S$9,$T$4:$T$9)</f>
        <v>5.0000000000000001E-3</v>
      </c>
      <c r="Z33" s="26">
        <f t="shared" si="2"/>
        <v>0.96439916355225075</v>
      </c>
      <c r="AA33" s="26">
        <f t="shared" si="3"/>
        <v>1.2062527053169347E-3</v>
      </c>
      <c r="AB33" s="27" cm="1">
        <f t="array" ref="AB33">cubicInterpolation(CurveResults.Times,CurveResults.DFs,$X33)</f>
        <v>0.74944730018205008</v>
      </c>
      <c r="AG33" s="24">
        <f t="shared" si="17"/>
        <v>7.25</v>
      </c>
      <c r="AI33" s="18" cm="1">
        <f t="array" ref="AI33">flatInterpolation($AG33,$S$4:$S$9,AH$5:AH$10)</f>
        <v>5.0000000000000001E-3</v>
      </c>
      <c r="AJ33" s="26">
        <f t="shared" si="4"/>
        <v>0.96439906711233914</v>
      </c>
      <c r="AK33" s="122">
        <f t="shared" si="5"/>
        <v>1.2062525846916472E-3</v>
      </c>
      <c r="AL33" s="116"/>
      <c r="AM33" s="18" cm="1">
        <f t="array" ref="AM33">flatInterpolation($AG33,$S$4:$S$9,AL$5:AL$10)</f>
        <v>5.0000000000000001E-3</v>
      </c>
      <c r="AN33" s="26">
        <f t="shared" si="6"/>
        <v>0.96439906711233925</v>
      </c>
      <c r="AO33" s="122">
        <f t="shared" si="7"/>
        <v>1.2062525846916472E-3</v>
      </c>
      <c r="AP33" s="116"/>
      <c r="AQ33" s="18" cm="1">
        <f t="array" ref="AQ33">flatInterpolation($AG33,$S$4:$S$9,AP$5:AP$10)</f>
        <v>5.0000000000000001E-3</v>
      </c>
      <c r="AR33" s="26">
        <f t="shared" si="8"/>
        <v>0.96439906711233914</v>
      </c>
      <c r="AS33" s="122">
        <f t="shared" si="9"/>
        <v>1.2062525846916472E-3</v>
      </c>
      <c r="AT33" s="116"/>
      <c r="AU33" s="18" cm="1">
        <f t="array" ref="AU33">flatInterpolation($AG33,$S$4:$S$9,AT$5:AT$10)</f>
        <v>5.0000000000000001E-3</v>
      </c>
      <c r="AV33" s="26">
        <f t="shared" si="10"/>
        <v>0.96439906711233914</v>
      </c>
      <c r="AW33" s="122">
        <f t="shared" si="11"/>
        <v>1.2062525846916472E-3</v>
      </c>
      <c r="AX33" s="116"/>
      <c r="AY33" s="18" cm="1">
        <f t="array" ref="AY33">flatInterpolation($AG33,$S$4:$S$9,AX$5:AX$10)</f>
        <v>5.0000000000000001E-3</v>
      </c>
      <c r="AZ33" s="26">
        <f t="shared" si="12"/>
        <v>0.96439906711233903</v>
      </c>
      <c r="BA33" s="122">
        <f t="shared" si="13"/>
        <v>1.2062525846916472E-3</v>
      </c>
      <c r="BB33" s="116"/>
      <c r="BC33" s="18" cm="1">
        <f t="array" ref="BC33">flatInterpolation($AG33,$S$4:$S$9,BB$5:BB$10)</f>
        <v>5.0001000000000004E-3</v>
      </c>
      <c r="BD33" s="26">
        <f t="shared" si="14"/>
        <v>0.96439894656246283</v>
      </c>
      <c r="BE33" s="122">
        <f t="shared" si="15"/>
        <v>1.2062765740404879E-3</v>
      </c>
    </row>
    <row r="34" spans="3:57" x14ac:dyDescent="0.3">
      <c r="K34" s="169" t="s">
        <v>333</v>
      </c>
      <c r="S34" s="17">
        <f>S33+0.01</f>
        <v>5.01</v>
      </c>
      <c r="T34" s="18" cm="1">
        <f t="array" ref="T34">flatInterpolation(S34,Calibration.Times,Calibration.HazardRates)</f>
        <v>5.0000000000000001E-3</v>
      </c>
      <c r="X34" s="24">
        <f t="shared" si="16"/>
        <v>7.5</v>
      </c>
      <c r="Y34" s="25" cm="1">
        <f t="array" ref="Y34">flatInterpolation(X34,$S$4:$S$9,$T$4:$T$9)</f>
        <v>5.0000000000000001E-3</v>
      </c>
      <c r="Z34" s="26">
        <f t="shared" si="2"/>
        <v>0.96319441772082304</v>
      </c>
      <c r="AA34" s="26">
        <f t="shared" si="3"/>
        <v>1.2047458314277115E-3</v>
      </c>
      <c r="AB34" s="27" cm="1">
        <f t="array" ref="AB34">cubicInterpolation(CurveResults.Times,CurveResults.DFs,$X34)</f>
        <v>0.74251026956187482</v>
      </c>
      <c r="AG34" s="24">
        <f t="shared" si="17"/>
        <v>7.5</v>
      </c>
      <c r="AI34" s="18" cm="1">
        <f t="array" ref="AI34">flatInterpolation($AG34,$S$4:$S$9,AH$5:AH$10)</f>
        <v>5.0000000000000001E-3</v>
      </c>
      <c r="AJ34" s="26">
        <f t="shared" si="4"/>
        <v>0.96319432140138606</v>
      </c>
      <c r="AK34" s="122">
        <f t="shared" si="5"/>
        <v>1.2047457109530813E-3</v>
      </c>
      <c r="AL34" s="116"/>
      <c r="AM34" s="18" cm="1">
        <f t="array" ref="AM34">flatInterpolation($AG34,$S$4:$S$9,AL$5:AL$10)</f>
        <v>5.0000000000000001E-3</v>
      </c>
      <c r="AN34" s="26">
        <f t="shared" si="6"/>
        <v>0.96319432140138617</v>
      </c>
      <c r="AO34" s="122">
        <f t="shared" si="7"/>
        <v>1.2047457109530813E-3</v>
      </c>
      <c r="AP34" s="116"/>
      <c r="AQ34" s="18" cm="1">
        <f t="array" ref="AQ34">flatInterpolation($AG34,$S$4:$S$9,AP$5:AP$10)</f>
        <v>5.0000000000000001E-3</v>
      </c>
      <c r="AR34" s="26">
        <f t="shared" si="8"/>
        <v>0.96319432140138606</v>
      </c>
      <c r="AS34" s="122">
        <f t="shared" si="9"/>
        <v>1.2047457109530813E-3</v>
      </c>
      <c r="AT34" s="116"/>
      <c r="AU34" s="18" cm="1">
        <f t="array" ref="AU34">flatInterpolation($AG34,$S$4:$S$9,AT$5:AT$10)</f>
        <v>5.0000000000000001E-3</v>
      </c>
      <c r="AV34" s="26">
        <f t="shared" si="10"/>
        <v>0.96319432140138606</v>
      </c>
      <c r="AW34" s="122">
        <f t="shared" si="11"/>
        <v>1.2047457109530813E-3</v>
      </c>
      <c r="AX34" s="116"/>
      <c r="AY34" s="18" cm="1">
        <f t="array" ref="AY34">flatInterpolation($AG34,$S$4:$S$9,AX$5:AX$10)</f>
        <v>5.0000000000000001E-3</v>
      </c>
      <c r="AZ34" s="26">
        <f t="shared" si="12"/>
        <v>0.96319432140138594</v>
      </c>
      <c r="BA34" s="122">
        <f t="shared" si="13"/>
        <v>1.2047457109530813E-3</v>
      </c>
      <c r="BB34" s="116"/>
      <c r="BC34" s="18" cm="1">
        <f t="array" ref="BC34">flatInterpolation($AG34,$S$4:$S$9,BB$5:BB$10)</f>
        <v>5.0001000000000004E-3</v>
      </c>
      <c r="BD34" s="26">
        <f t="shared" si="14"/>
        <v>0.96319417692224818</v>
      </c>
      <c r="BE34" s="122">
        <f t="shared" si="15"/>
        <v>1.2047696402146535E-3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5.0000000000000001E-3</v>
      </c>
      <c r="X35" s="24">
        <f t="shared" si="16"/>
        <v>7.75</v>
      </c>
      <c r="Y35" s="25" cm="1">
        <f t="array" ref="Y35">flatInterpolation(X35,$S$4:$S$9,$T$4:$T$9)</f>
        <v>5.0000000000000001E-3</v>
      </c>
      <c r="Z35" s="26">
        <f t="shared" si="2"/>
        <v>0.96199117688086899</v>
      </c>
      <c r="AA35" s="26">
        <f t="shared" si="3"/>
        <v>1.2032408399540451E-3</v>
      </c>
      <c r="AB35" s="27" cm="1">
        <f t="array" ref="AB35">cubicInterpolation(CurveResults.Times,CurveResults.DFs,$X35)</f>
        <v>0.73562692391484197</v>
      </c>
      <c r="AG35" s="24">
        <f t="shared" si="17"/>
        <v>7.75</v>
      </c>
      <c r="AI35" s="18" cm="1">
        <f t="array" ref="AI35">flatInterpolation($AG35,$S$4:$S$9,AH$5:AH$10)</f>
        <v>5.0000000000000001E-3</v>
      </c>
      <c r="AJ35" s="26">
        <f t="shared" si="4"/>
        <v>0.96199108068175609</v>
      </c>
      <c r="AK35" s="122">
        <f t="shared" si="5"/>
        <v>1.203240719629961E-3</v>
      </c>
      <c r="AL35" s="116"/>
      <c r="AM35" s="18" cm="1">
        <f t="array" ref="AM35">flatInterpolation($AG35,$S$4:$S$9,AL$5:AL$10)</f>
        <v>5.0000000000000001E-3</v>
      </c>
      <c r="AN35" s="26">
        <f t="shared" si="6"/>
        <v>0.96199108068175621</v>
      </c>
      <c r="AO35" s="122">
        <f t="shared" si="7"/>
        <v>1.203240719629961E-3</v>
      </c>
      <c r="AP35" s="116"/>
      <c r="AQ35" s="18" cm="1">
        <f t="array" ref="AQ35">flatInterpolation($AG35,$S$4:$S$9,AP$5:AP$10)</f>
        <v>5.0000000000000001E-3</v>
      </c>
      <c r="AR35" s="26">
        <f t="shared" si="8"/>
        <v>0.96199108068175609</v>
      </c>
      <c r="AS35" s="122">
        <f t="shared" si="9"/>
        <v>1.203240719629961E-3</v>
      </c>
      <c r="AT35" s="116"/>
      <c r="AU35" s="18" cm="1">
        <f t="array" ref="AU35">flatInterpolation($AG35,$S$4:$S$9,AT$5:AT$10)</f>
        <v>5.0000000000000001E-3</v>
      </c>
      <c r="AV35" s="26">
        <f t="shared" si="10"/>
        <v>0.96199108068175609</v>
      </c>
      <c r="AW35" s="122">
        <f t="shared" si="11"/>
        <v>1.203240719629961E-3</v>
      </c>
      <c r="AX35" s="116"/>
      <c r="AY35" s="18" cm="1">
        <f t="array" ref="AY35">flatInterpolation($AG35,$S$4:$S$9,AX$5:AX$10)</f>
        <v>5.0000000000000001E-3</v>
      </c>
      <c r="AZ35" s="26">
        <f t="shared" si="12"/>
        <v>0.96199108068175598</v>
      </c>
      <c r="BA35" s="122">
        <f t="shared" si="13"/>
        <v>1.203240719629961E-3</v>
      </c>
      <c r="BB35" s="116"/>
      <c r="BC35" s="18" cm="1">
        <f t="array" ref="BC35">flatInterpolation($AG35,$S$4:$S$9,BB$5:BB$10)</f>
        <v>5.0001000000000004E-3</v>
      </c>
      <c r="BD35" s="26">
        <f t="shared" si="14"/>
        <v>0.96199091233333112</v>
      </c>
      <c r="BE35" s="122">
        <f t="shared" si="15"/>
        <v>1.2032645889170634E-3</v>
      </c>
    </row>
    <row r="36" spans="3:57" x14ac:dyDescent="0.3">
      <c r="O36" s="55" t="s">
        <v>147</v>
      </c>
      <c r="T36" s="2"/>
      <c r="X36" s="24">
        <f t="shared" si="16"/>
        <v>8</v>
      </c>
      <c r="Y36" s="25" cm="1">
        <f t="array" ref="Y36">flatInterpolation(X36,$S$4:$S$9,$T$4:$T$9)</f>
        <v>5.0000000000000001E-3</v>
      </c>
      <c r="Z36" s="26">
        <f t="shared" si="2"/>
        <v>0.96078943915232451</v>
      </c>
      <c r="AA36" s="26">
        <f t="shared" si="3"/>
        <v>1.201737728544483E-3</v>
      </c>
      <c r="AB36" s="27" cm="1">
        <f t="array" ref="AB36">cubicInterpolation(CurveResults.Times,CurveResults.DFs,$X36)</f>
        <v>0.72878404327648572</v>
      </c>
      <c r="AG36" s="24">
        <f t="shared" si="17"/>
        <v>8</v>
      </c>
      <c r="AI36" s="18" cm="1">
        <f t="array" ref="AI36">flatInterpolation($AG36,$S$4:$S$9,AH$5:AH$10)</f>
        <v>5.0000000000000001E-3</v>
      </c>
      <c r="AJ36" s="26">
        <f t="shared" si="4"/>
        <v>0.96078934307338537</v>
      </c>
      <c r="AK36" s="122">
        <f t="shared" si="5"/>
        <v>1.2017376083707232E-3</v>
      </c>
      <c r="AL36" s="116"/>
      <c r="AM36" s="18" cm="1">
        <f t="array" ref="AM36">flatInterpolation($AG36,$S$4:$S$9,AL$5:AL$10)</f>
        <v>5.0000000000000001E-3</v>
      </c>
      <c r="AN36" s="26">
        <f t="shared" si="6"/>
        <v>0.96078934307338548</v>
      </c>
      <c r="AO36" s="122">
        <f t="shared" si="7"/>
        <v>1.2017376083707232E-3</v>
      </c>
      <c r="AP36" s="116"/>
      <c r="AQ36" s="18" cm="1">
        <f t="array" ref="AQ36">flatInterpolation($AG36,$S$4:$S$9,AP$5:AP$10)</f>
        <v>5.0000000000000001E-3</v>
      </c>
      <c r="AR36" s="26">
        <f t="shared" si="8"/>
        <v>0.96078934307338537</v>
      </c>
      <c r="AS36" s="122">
        <f t="shared" si="9"/>
        <v>1.2017376083707232E-3</v>
      </c>
      <c r="AT36" s="116"/>
      <c r="AU36" s="18" cm="1">
        <f t="array" ref="AU36">flatInterpolation($AG36,$S$4:$S$9,AT$5:AT$10)</f>
        <v>5.0000000000000001E-3</v>
      </c>
      <c r="AV36" s="26">
        <f t="shared" si="10"/>
        <v>0.96078934307338537</v>
      </c>
      <c r="AW36" s="122">
        <f t="shared" si="11"/>
        <v>1.2017376083707232E-3</v>
      </c>
      <c r="AX36" s="116"/>
      <c r="AY36" s="18" cm="1">
        <f t="array" ref="AY36">flatInterpolation($AG36,$S$4:$S$9,AX$5:AX$10)</f>
        <v>5.0000000000000001E-3</v>
      </c>
      <c r="AZ36" s="26">
        <f t="shared" si="12"/>
        <v>0.96078934307338526</v>
      </c>
      <c r="BA36" s="122">
        <f t="shared" si="13"/>
        <v>1.2017376083707232E-3</v>
      </c>
      <c r="BB36" s="116"/>
      <c r="BC36" s="18" cm="1">
        <f t="array" ref="BC36">flatInterpolation($AG36,$S$4:$S$9,BB$5:BB$10)</f>
        <v>5.0001000000000004E-3</v>
      </c>
      <c r="BD36" s="26">
        <f t="shared" si="14"/>
        <v>0.96078915091553541</v>
      </c>
      <c r="BE36" s="122">
        <f t="shared" si="15"/>
        <v>1.2017614177957103E-3</v>
      </c>
    </row>
    <row r="37" spans="3:57" x14ac:dyDescent="0.3">
      <c r="O37" s="46" t="b">
        <v>0</v>
      </c>
      <c r="X37" s="24">
        <f t="shared" si="16"/>
        <v>8.25</v>
      </c>
      <c r="Y37" s="25" cm="1">
        <f t="array" ref="Y37">flatInterpolation(X37,$S$4:$S$9,$T$4:$T$9)</f>
        <v>5.0000000000000001E-3</v>
      </c>
      <c r="Z37" s="26">
        <f t="shared" si="2"/>
        <v>0.95958920265747427</v>
      </c>
      <c r="AA37" s="26">
        <f t="shared" si="3"/>
        <v>1.2002364948502375E-3</v>
      </c>
      <c r="AB37" s="27" cm="1">
        <f t="array" ref="AB37">cubicInterpolation(CurveResults.Times,CurveResults.DFs,$X37)</f>
        <v>0.72197918670630057</v>
      </c>
      <c r="AG37" s="24">
        <f t="shared" si="17"/>
        <v>8.25</v>
      </c>
      <c r="AI37" s="18" cm="1">
        <f t="array" ref="AI37">flatInterpolation($AG37,$S$4:$S$9,AH$5:AH$10)</f>
        <v>5.0000000000000001E-3</v>
      </c>
      <c r="AJ37" s="26">
        <f t="shared" si="4"/>
        <v>0.95958910669855868</v>
      </c>
      <c r="AK37" s="122">
        <f t="shared" si="5"/>
        <v>1.2002363748266909E-3</v>
      </c>
      <c r="AL37" s="116"/>
      <c r="AM37" s="18" cm="1">
        <f t="array" ref="AM37">flatInterpolation($AG37,$S$4:$S$9,AL$5:AL$10)</f>
        <v>5.0000000000000001E-3</v>
      </c>
      <c r="AN37" s="26">
        <f t="shared" si="6"/>
        <v>0.95958910669855879</v>
      </c>
      <c r="AO37" s="122">
        <f t="shared" si="7"/>
        <v>1.2002363748266909E-3</v>
      </c>
      <c r="AP37" s="116"/>
      <c r="AQ37" s="18" cm="1">
        <f t="array" ref="AQ37">flatInterpolation($AG37,$S$4:$S$9,AP$5:AP$10)</f>
        <v>5.0000000000000001E-3</v>
      </c>
      <c r="AR37" s="26">
        <f t="shared" si="8"/>
        <v>0.95958910669855868</v>
      </c>
      <c r="AS37" s="122">
        <f t="shared" si="9"/>
        <v>1.2002363748266909E-3</v>
      </c>
      <c r="AT37" s="116"/>
      <c r="AU37" s="18" cm="1">
        <f t="array" ref="AU37">flatInterpolation($AG37,$S$4:$S$9,AT$5:AT$10)</f>
        <v>5.0000000000000001E-3</v>
      </c>
      <c r="AV37" s="26">
        <f t="shared" si="10"/>
        <v>0.95958910669855868</v>
      </c>
      <c r="AW37" s="122">
        <f t="shared" si="11"/>
        <v>1.2002363748266909E-3</v>
      </c>
      <c r="AX37" s="116"/>
      <c r="AY37" s="18" cm="1">
        <f t="array" ref="AY37">flatInterpolation($AG37,$S$4:$S$9,AX$5:AX$10)</f>
        <v>5.0000000000000001E-3</v>
      </c>
      <c r="AZ37" s="26">
        <f t="shared" si="12"/>
        <v>0.95958910669855857</v>
      </c>
      <c r="BA37" s="122">
        <f t="shared" si="13"/>
        <v>1.2002363748266909E-3</v>
      </c>
      <c r="BB37" s="116"/>
      <c r="BC37" s="18" cm="1">
        <f t="array" ref="BC37">flatInterpolation($AG37,$S$4:$S$9,BB$5:BB$10)</f>
        <v>5.0001000000000004E-3</v>
      </c>
      <c r="BD37" s="26">
        <f t="shared" si="14"/>
        <v>0.95958889079103338</v>
      </c>
      <c r="BE37" s="122">
        <f t="shared" si="15"/>
        <v>1.2002601245020283E-3</v>
      </c>
    </row>
    <row r="38" spans="3:57" x14ac:dyDescent="0.3">
      <c r="X38" s="24">
        <f t="shared" si="16"/>
        <v>8.5</v>
      </c>
      <c r="Y38" s="25" cm="1">
        <f t="array" ref="Y38">flatInterpolation(X38,$S$4:$S$9,$T$4:$T$9)</f>
        <v>5.0000000000000001E-3</v>
      </c>
      <c r="Z38" s="26">
        <f t="shared" si="2"/>
        <v>0.95839046552094842</v>
      </c>
      <c r="AA38" s="26">
        <f t="shared" si="3"/>
        <v>1.1987371365258515E-3</v>
      </c>
      <c r="AB38" s="27" cm="1">
        <f t="array" ref="AB38">cubicInterpolation(CurveResults.Times,CurveResults.DFs,$X38)</f>
        <v>0.71521904339088416</v>
      </c>
      <c r="AG38" s="24">
        <f t="shared" si="17"/>
        <v>8.5</v>
      </c>
      <c r="AI38" s="18" cm="1">
        <f t="array" ref="AI38">flatInterpolation($AG38,$S$4:$S$9,AH$5:AH$10)</f>
        <v>5.0000000000000001E-3</v>
      </c>
      <c r="AJ38" s="26">
        <f t="shared" si="4"/>
        <v>0.9583903696819065</v>
      </c>
      <c r="AK38" s="122">
        <f t="shared" si="5"/>
        <v>1.1987370166521849E-3</v>
      </c>
      <c r="AL38" s="116"/>
      <c r="AM38" s="18" cm="1">
        <f t="array" ref="AM38">flatInterpolation($AG38,$S$4:$S$9,AL$5:AL$10)</f>
        <v>5.0000000000000001E-3</v>
      </c>
      <c r="AN38" s="26">
        <f t="shared" si="6"/>
        <v>0.95839036968190661</v>
      </c>
      <c r="AO38" s="122">
        <f t="shared" si="7"/>
        <v>1.1987370166521849E-3</v>
      </c>
      <c r="AP38" s="116"/>
      <c r="AQ38" s="18" cm="1">
        <f t="array" ref="AQ38">flatInterpolation($AG38,$S$4:$S$9,AP$5:AP$10)</f>
        <v>5.0000000000000001E-3</v>
      </c>
      <c r="AR38" s="26">
        <f t="shared" si="8"/>
        <v>0.9583903696819065</v>
      </c>
      <c r="AS38" s="122">
        <f t="shared" si="9"/>
        <v>1.1987370166521849E-3</v>
      </c>
      <c r="AT38" s="116"/>
      <c r="AU38" s="18" cm="1">
        <f t="array" ref="AU38">flatInterpolation($AG38,$S$4:$S$9,AT$5:AT$10)</f>
        <v>5.0000000000000001E-3</v>
      </c>
      <c r="AV38" s="26">
        <f t="shared" si="10"/>
        <v>0.9583903696819065</v>
      </c>
      <c r="AW38" s="122">
        <f t="shared" si="11"/>
        <v>1.1987370166521849E-3</v>
      </c>
      <c r="AX38" s="116"/>
      <c r="AY38" s="18" cm="1">
        <f t="array" ref="AY38">flatInterpolation($AG38,$S$4:$S$9,AX$5:AX$10)</f>
        <v>5.0000000000000001E-3</v>
      </c>
      <c r="AZ38" s="26">
        <f t="shared" si="12"/>
        <v>0.95839036968190638</v>
      </c>
      <c r="BA38" s="122">
        <f t="shared" si="13"/>
        <v>1.1987370166521849E-3</v>
      </c>
      <c r="BB38" s="116"/>
      <c r="BC38" s="18" cm="1">
        <f t="array" ref="BC38">flatInterpolation($AG38,$S$4:$S$9,BB$5:BB$10)</f>
        <v>5.0001000000000004E-3</v>
      </c>
      <c r="BD38" s="26">
        <f t="shared" si="14"/>
        <v>0.95839013008434337</v>
      </c>
      <c r="BE38" s="122">
        <f t="shared" si="15"/>
        <v>1.1987607066900052E-3</v>
      </c>
    </row>
    <row r="39" spans="3:57" x14ac:dyDescent="0.3">
      <c r="U39" s="2"/>
      <c r="V39" s="2"/>
      <c r="W39" s="2"/>
      <c r="X39" s="24">
        <f t="shared" si="16"/>
        <v>8.75</v>
      </c>
      <c r="Y39" s="25" cm="1">
        <f t="array" ref="Y39">flatInterpolation(X39,$S$4:$S$9,$T$4:$T$9)</f>
        <v>5.0000000000000001E-3</v>
      </c>
      <c r="Z39" s="26">
        <f t="shared" si="2"/>
        <v>0.95719322586971989</v>
      </c>
      <c r="AA39" s="26">
        <f t="shared" si="3"/>
        <v>1.1972396512285322E-3</v>
      </c>
      <c r="AB39" s="27" cm="1">
        <f t="array" ref="AB39">cubicInterpolation(CurveResults.Times,CurveResults.DFs,$X39)</f>
        <v>0.70850408855642577</v>
      </c>
      <c r="AG39" s="24">
        <f t="shared" si="17"/>
        <v>8.75</v>
      </c>
      <c r="AI39" s="18" cm="1">
        <f t="array" ref="AI39">flatInterpolation($AG39,$S$4:$S$9,AH$5:AH$10)</f>
        <v>5.0000000000000001E-3</v>
      </c>
      <c r="AJ39" s="26">
        <f t="shared" si="4"/>
        <v>0.95719313015040186</v>
      </c>
      <c r="AK39" s="122">
        <f t="shared" si="5"/>
        <v>1.1972395315046347E-3</v>
      </c>
      <c r="AL39" s="116"/>
      <c r="AM39" s="18" cm="1">
        <f t="array" ref="AM39">flatInterpolation($AG39,$S$4:$S$9,AL$5:AL$10)</f>
        <v>5.0000000000000001E-3</v>
      </c>
      <c r="AN39" s="26">
        <f t="shared" si="6"/>
        <v>0.95719313015040197</v>
      </c>
      <c r="AO39" s="122">
        <f t="shared" si="7"/>
        <v>1.1972395315046347E-3</v>
      </c>
      <c r="AP39" s="116"/>
      <c r="AQ39" s="18" cm="1">
        <f t="array" ref="AQ39">flatInterpolation($AG39,$S$4:$S$9,AP$5:AP$10)</f>
        <v>5.0000000000000001E-3</v>
      </c>
      <c r="AR39" s="26">
        <f t="shared" si="8"/>
        <v>0.95719313015040186</v>
      </c>
      <c r="AS39" s="122">
        <f t="shared" si="9"/>
        <v>1.1972395315046347E-3</v>
      </c>
      <c r="AT39" s="116"/>
      <c r="AU39" s="18" cm="1">
        <f t="array" ref="AU39">flatInterpolation($AG39,$S$4:$S$9,AT$5:AT$10)</f>
        <v>5.0000000000000001E-3</v>
      </c>
      <c r="AV39" s="26">
        <f t="shared" si="10"/>
        <v>0.95719313015040186</v>
      </c>
      <c r="AW39" s="122">
        <f t="shared" si="11"/>
        <v>1.1972395315046347E-3</v>
      </c>
      <c r="AX39" s="116"/>
      <c r="AY39" s="18" cm="1">
        <f t="array" ref="AY39">flatInterpolation($AG39,$S$4:$S$9,AX$5:AX$10)</f>
        <v>5.0000000000000001E-3</v>
      </c>
      <c r="AZ39" s="26">
        <f t="shared" si="12"/>
        <v>0.95719313015040175</v>
      </c>
      <c r="BA39" s="122">
        <f t="shared" si="13"/>
        <v>1.1972395315046347E-3</v>
      </c>
      <c r="BB39" s="116"/>
      <c r="BC39" s="18" cm="1">
        <f t="array" ref="BC39">flatInterpolation($AG39,$S$4:$S$9,BB$5:BB$10)</f>
        <v>5.0001000000000004E-3</v>
      </c>
      <c r="BD39" s="26">
        <f t="shared" si="14"/>
        <v>0.95719286692232664</v>
      </c>
      <c r="BE39" s="122">
        <f t="shared" si="15"/>
        <v>1.1972631620167373E-3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si="16"/>
        <v>9</v>
      </c>
      <c r="Y40" s="25" cm="1">
        <f t="array" ref="Y40">flatInterpolation(X40,$S$4:$S$9,$T$4:$T$9)</f>
        <v>5.0000000000000001E-3</v>
      </c>
      <c r="Z40" s="26">
        <f t="shared" si="2"/>
        <v>0.95599748183310151</v>
      </c>
      <c r="AA40" s="26">
        <f t="shared" si="3"/>
        <v>1.1957440366183736E-3</v>
      </c>
      <c r="AB40" s="27" cm="1">
        <f t="array" ref="AB40">cubicInterpolation(CurveResults.Times,CurveResults.DFs,$X40)</f>
        <v>0.70183479742911425</v>
      </c>
      <c r="AG40" s="24">
        <f t="shared" si="17"/>
        <v>9</v>
      </c>
      <c r="AI40" s="18" cm="1">
        <f t="array" ref="AI40">flatInterpolation($AG40,$S$4:$S$9,AH$5:AH$10)</f>
        <v>5.0000000000000001E-3</v>
      </c>
      <c r="AJ40" s="26">
        <f t="shared" si="4"/>
        <v>0.95599738623335784</v>
      </c>
      <c r="AK40" s="122">
        <f t="shared" si="5"/>
        <v>1.1957439170440232E-3</v>
      </c>
      <c r="AL40" s="116"/>
      <c r="AM40" s="18" cm="1">
        <f t="array" ref="AM40">flatInterpolation($AG40,$S$4:$S$9,AL$5:AL$10)</f>
        <v>5.0000000000000001E-3</v>
      </c>
      <c r="AN40" s="26">
        <f t="shared" si="6"/>
        <v>0.95599738623335795</v>
      </c>
      <c r="AO40" s="122">
        <f t="shared" si="7"/>
        <v>1.1957439170440232E-3</v>
      </c>
      <c r="AP40" s="116"/>
      <c r="AQ40" s="18" cm="1">
        <f t="array" ref="AQ40">flatInterpolation($AG40,$S$4:$S$9,AP$5:AP$10)</f>
        <v>5.0000000000000001E-3</v>
      </c>
      <c r="AR40" s="26">
        <f t="shared" si="8"/>
        <v>0.95599738623335784</v>
      </c>
      <c r="AS40" s="122">
        <f t="shared" si="9"/>
        <v>1.1957439170440232E-3</v>
      </c>
      <c r="AT40" s="116"/>
      <c r="AU40" s="18" cm="1">
        <f t="array" ref="AU40">flatInterpolation($AG40,$S$4:$S$9,AT$5:AT$10)</f>
        <v>5.0000000000000001E-3</v>
      </c>
      <c r="AV40" s="26">
        <f t="shared" si="10"/>
        <v>0.95599738623335784</v>
      </c>
      <c r="AW40" s="122">
        <f t="shared" si="11"/>
        <v>1.1957439170440232E-3</v>
      </c>
      <c r="AX40" s="116"/>
      <c r="AY40" s="18" cm="1">
        <f t="array" ref="AY40">flatInterpolation($AG40,$S$4:$S$9,AX$5:AX$10)</f>
        <v>5.0000000000000001E-3</v>
      </c>
      <c r="AZ40" s="26">
        <f t="shared" si="12"/>
        <v>0.95599738623335773</v>
      </c>
      <c r="BA40" s="122">
        <f t="shared" si="13"/>
        <v>1.1957439170440232E-3</v>
      </c>
      <c r="BB40" s="116"/>
      <c r="BC40" s="18" cm="1">
        <f t="array" ref="BC40">flatInterpolation($AG40,$S$4:$S$9,BB$5:BB$10)</f>
        <v>5.0001000000000004E-3</v>
      </c>
      <c r="BD40" s="26">
        <f t="shared" si="14"/>
        <v>0.95599709943418432</v>
      </c>
      <c r="BE40" s="122">
        <f t="shared" si="15"/>
        <v>1.1957674881423186E-3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si="16"/>
        <v>9.25</v>
      </c>
      <c r="Y41" s="25" cm="1">
        <f t="array" ref="Y41">flatInterpolation(X41,$S$4:$S$9,$T$4:$T$9)</f>
        <v>5.0000000000000001E-3</v>
      </c>
      <c r="Z41" s="26">
        <f t="shared" si="2"/>
        <v>0.95480323154274305</v>
      </c>
      <c r="AA41" s="26">
        <f t="shared" si="3"/>
        <v>1.1942502903584673E-3</v>
      </c>
      <c r="AB41" s="27" cm="1">
        <f t="array" ref="AB41">cubicInterpolation(CurveResults.Times,CurveResults.DFs,$X41)</f>
        <v>0.69522831370022098</v>
      </c>
      <c r="AG41" s="24">
        <f t="shared" si="17"/>
        <v>9.25</v>
      </c>
      <c r="AI41" s="18" cm="1">
        <f t="array" ref="AI41">flatInterpolation($AG41,$S$4:$S$9,AH$5:AH$10)</f>
        <v>5.0000000000000001E-3</v>
      </c>
      <c r="AJ41" s="26">
        <f t="shared" si="4"/>
        <v>0.9548031360624244</v>
      </c>
      <c r="AK41" s="122">
        <f t="shared" si="5"/>
        <v>1.1942501709334419E-3</v>
      </c>
      <c r="AL41" s="116"/>
      <c r="AM41" s="18" cm="1">
        <f t="array" ref="AM41">flatInterpolation($AG41,$S$4:$S$9,AL$5:AL$10)</f>
        <v>5.0000000000000001E-3</v>
      </c>
      <c r="AN41" s="26">
        <f t="shared" si="6"/>
        <v>0.95480313606242451</v>
      </c>
      <c r="AO41" s="122">
        <f t="shared" si="7"/>
        <v>1.1942501709334419E-3</v>
      </c>
      <c r="AP41" s="116"/>
      <c r="AQ41" s="18" cm="1">
        <f t="array" ref="AQ41">flatInterpolation($AG41,$S$4:$S$9,AP$5:AP$10)</f>
        <v>5.0000000000000001E-3</v>
      </c>
      <c r="AR41" s="26">
        <f t="shared" si="8"/>
        <v>0.9548031360624244</v>
      </c>
      <c r="AS41" s="122">
        <f t="shared" si="9"/>
        <v>1.1942501709334419E-3</v>
      </c>
      <c r="AT41" s="116"/>
      <c r="AU41" s="18" cm="1">
        <f t="array" ref="AU41">flatInterpolation($AG41,$S$4:$S$9,AT$5:AT$10)</f>
        <v>5.0000000000000001E-3</v>
      </c>
      <c r="AV41" s="26">
        <f t="shared" si="10"/>
        <v>0.9548031360624244</v>
      </c>
      <c r="AW41" s="122">
        <f t="shared" si="11"/>
        <v>1.1942501709334419E-3</v>
      </c>
      <c r="AX41" s="116"/>
      <c r="AY41" s="18" cm="1">
        <f t="array" ref="AY41">flatInterpolation($AG41,$S$4:$S$9,AX$5:AX$10)</f>
        <v>5.0000000000000001E-3</v>
      </c>
      <c r="AZ41" s="26">
        <f t="shared" si="12"/>
        <v>0.95480313606242428</v>
      </c>
      <c r="BA41" s="122">
        <f t="shared" si="13"/>
        <v>1.1942501709334419E-3</v>
      </c>
      <c r="BB41" s="116"/>
      <c r="BC41" s="18" cm="1">
        <f t="array" ref="BC41">flatInterpolation($AG41,$S$4:$S$9,BB$5:BB$10)</f>
        <v>5.0001000000000004E-3</v>
      </c>
      <c r="BD41" s="26">
        <f t="shared" si="14"/>
        <v>0.95480282575145481</v>
      </c>
      <c r="BE41" s="122">
        <f t="shared" si="15"/>
        <v>1.1942736827295075E-3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5.0000000000000001E-3</v>
      </c>
      <c r="L42" s="108">
        <v>5.0000006510419375E-3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si="16"/>
        <v>9.5</v>
      </c>
      <c r="Y42" s="25" cm="1">
        <f t="array" ref="Y42">flatInterpolation(X42,$S$4:$S$9,$T$4:$T$9)</f>
        <v>5.0000000000000001E-3</v>
      </c>
      <c r="Z42" s="26">
        <f t="shared" si="2"/>
        <v>0.95361047313262803</v>
      </c>
      <c r="AA42" s="26">
        <f t="shared" si="3"/>
        <v>1.1927584101150135E-3</v>
      </c>
      <c r="AB42" s="27" cm="1">
        <f t="array" ref="AB42">cubicInterpolation(CurveResults.Times,CurveResults.DFs,$X42)</f>
        <v>0.68867871159434935</v>
      </c>
      <c r="AG42" s="24">
        <f t="shared" si="17"/>
        <v>9.5</v>
      </c>
      <c r="AI42" s="18" cm="1">
        <f t="array" ref="AI42">flatInterpolation($AG42,$S$4:$S$9,AH$5:AH$10)</f>
        <v>5.0000000000000001E-3</v>
      </c>
      <c r="AJ42" s="26">
        <f t="shared" si="4"/>
        <v>0.9536103777715853</v>
      </c>
      <c r="AK42" s="122">
        <f t="shared" si="5"/>
        <v>1.192758290839091E-3</v>
      </c>
      <c r="AL42" s="116"/>
      <c r="AM42" s="18" cm="1">
        <f t="array" ref="AM42">flatInterpolation($AG42,$S$4:$S$9,AL$5:AL$10)</f>
        <v>5.0000000000000001E-3</v>
      </c>
      <c r="AN42" s="26">
        <f t="shared" si="6"/>
        <v>0.95361037777158542</v>
      </c>
      <c r="AO42" s="122">
        <f t="shared" si="7"/>
        <v>1.192758290839091E-3</v>
      </c>
      <c r="AP42" s="116"/>
      <c r="AQ42" s="18" cm="1">
        <f t="array" ref="AQ42">flatInterpolation($AG42,$S$4:$S$9,AP$5:AP$10)</f>
        <v>5.0000000000000001E-3</v>
      </c>
      <c r="AR42" s="26">
        <f t="shared" si="8"/>
        <v>0.9536103777715853</v>
      </c>
      <c r="AS42" s="122">
        <f t="shared" si="9"/>
        <v>1.192758290839091E-3</v>
      </c>
      <c r="AT42" s="116"/>
      <c r="AU42" s="18" cm="1">
        <f t="array" ref="AU42">flatInterpolation($AG42,$S$4:$S$9,AT$5:AT$10)</f>
        <v>5.0000000000000001E-3</v>
      </c>
      <c r="AV42" s="26">
        <f t="shared" si="10"/>
        <v>0.9536103777715853</v>
      </c>
      <c r="AW42" s="122">
        <f t="shared" si="11"/>
        <v>1.192758290839091E-3</v>
      </c>
      <c r="AX42" s="116"/>
      <c r="AY42" s="18" cm="1">
        <f t="array" ref="AY42">flatInterpolation($AG42,$S$4:$S$9,AX$5:AX$10)</f>
        <v>5.0000000000000001E-3</v>
      </c>
      <c r="AZ42" s="26">
        <f t="shared" si="12"/>
        <v>0.95361037777158519</v>
      </c>
      <c r="BA42" s="122">
        <f t="shared" si="13"/>
        <v>1.192758290839091E-3</v>
      </c>
      <c r="BB42" s="116"/>
      <c r="BC42" s="18" cm="1">
        <f t="array" ref="BC42">flatInterpolation($AG42,$S$4:$S$9,BB$5:BB$10)</f>
        <v>5.0001000000000004E-3</v>
      </c>
      <c r="BD42" s="26">
        <f t="shared" si="14"/>
        <v>0.95361004400801064</v>
      </c>
      <c r="BE42" s="122">
        <f t="shared" si="15"/>
        <v>1.1927817434441712E-3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5.0000000000000001E-3</v>
      </c>
      <c r="L43" s="103">
        <v>5.0000006510419791E-3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si="16"/>
        <v>9.75</v>
      </c>
      <c r="Y43" s="25" cm="1">
        <f t="array" ref="Y43">flatInterpolation(X43,$S$4:$S$9,$T$4:$T$9)</f>
        <v>5.0000000000000001E-3</v>
      </c>
      <c r="Z43" s="26">
        <f t="shared" si="2"/>
        <v>0.95241920473907138</v>
      </c>
      <c r="AA43" s="26">
        <f t="shared" si="3"/>
        <v>1.1912683935566548E-3</v>
      </c>
      <c r="AB43" s="27" cm="1">
        <f t="array" ref="AB43">cubicInterpolation(CurveResults.Times,CurveResults.DFs,$X43)</f>
        <v>0.6821518621376863</v>
      </c>
      <c r="AG43" s="24">
        <f t="shared" si="17"/>
        <v>9.75</v>
      </c>
      <c r="AI43" s="18" cm="1">
        <f t="array" ref="AI43">flatInterpolation($AG43,$S$4:$S$9,AH$5:AH$10)</f>
        <v>5.0000000000000001E-3</v>
      </c>
      <c r="AJ43" s="26">
        <f t="shared" si="4"/>
        <v>0.95241910949715547</v>
      </c>
      <c r="AK43" s="122">
        <f t="shared" si="5"/>
        <v>1.1912682744298353E-3</v>
      </c>
      <c r="AL43" s="116"/>
      <c r="AM43" s="18" cm="1">
        <f t="array" ref="AM43">flatInterpolation($AG43,$S$4:$S$9,AL$5:AL$10)</f>
        <v>5.0000000000000001E-3</v>
      </c>
      <c r="AN43" s="26">
        <f t="shared" si="6"/>
        <v>0.95241910949715558</v>
      </c>
      <c r="AO43" s="122">
        <f t="shared" si="7"/>
        <v>1.1912682744298353E-3</v>
      </c>
      <c r="AP43" s="116"/>
      <c r="AQ43" s="18" cm="1">
        <f t="array" ref="AQ43">flatInterpolation($AG43,$S$4:$S$9,AP$5:AP$10)</f>
        <v>5.0000000000000001E-3</v>
      </c>
      <c r="AR43" s="26">
        <f t="shared" si="8"/>
        <v>0.95241910949715547</v>
      </c>
      <c r="AS43" s="122">
        <f t="shared" si="9"/>
        <v>1.1912682744298353E-3</v>
      </c>
      <c r="AT43" s="116"/>
      <c r="AU43" s="18" cm="1">
        <f t="array" ref="AU43">flatInterpolation($AG43,$S$4:$S$9,AT$5:AT$10)</f>
        <v>5.0000000000000001E-3</v>
      </c>
      <c r="AV43" s="26">
        <f t="shared" si="10"/>
        <v>0.95241910949715547</v>
      </c>
      <c r="AW43" s="122">
        <f t="shared" si="11"/>
        <v>1.1912682744298353E-3</v>
      </c>
      <c r="AX43" s="116"/>
      <c r="AY43" s="18" cm="1">
        <f t="array" ref="AY43">flatInterpolation($AG43,$S$4:$S$9,AX$5:AX$10)</f>
        <v>5.0000000000000001E-3</v>
      </c>
      <c r="AZ43" s="26">
        <f t="shared" si="12"/>
        <v>0.95241910949715536</v>
      </c>
      <c r="BA43" s="122">
        <f t="shared" si="13"/>
        <v>1.1912682744298353E-3</v>
      </c>
      <c r="BB43" s="116"/>
      <c r="BC43" s="18" cm="1">
        <f t="array" ref="BC43">flatInterpolation($AG43,$S$4:$S$9,BB$5:BB$10)</f>
        <v>5.0001000000000004E-3</v>
      </c>
      <c r="BD43" s="26">
        <f t="shared" si="14"/>
        <v>0.95241875234005546</v>
      </c>
      <c r="BE43" s="122">
        <f t="shared" si="15"/>
        <v>1.1912916679551744E-3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5.0000000000000001E-3</v>
      </c>
      <c r="L44" s="103">
        <v>5.0000006510420901E-3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si="16"/>
        <v>10</v>
      </c>
      <c r="Y44" s="19" cm="1">
        <f t="array" ref="Y44">flatInterpolation(X44,$S$4:$S$9,$T$4:$T$9)</f>
        <v>5.0000000000000001E-3</v>
      </c>
      <c r="Z44" s="14">
        <f t="shared" si="2"/>
        <v>0.9512294245007159</v>
      </c>
      <c r="AA44" s="14">
        <f t="shared" si="3"/>
        <v>1.1897802383554756E-3</v>
      </c>
      <c r="AB44" s="15" cm="1">
        <f t="array" ref="AB44">cubicInterpolation(CurveResults.Times,CurveResults.DFs,$X44)</f>
        <v>0.67561363635641902</v>
      </c>
      <c r="AG44" s="9">
        <f t="shared" si="17"/>
        <v>10</v>
      </c>
      <c r="AH44" s="113"/>
      <c r="AI44" s="36" cm="1">
        <f t="array" ref="AI44">flatInterpolation($AG44,$S$4:$S$9,AH$5:AH$10)</f>
        <v>5.0000000000000001E-3</v>
      </c>
      <c r="AJ44" s="14">
        <f t="shared" si="4"/>
        <v>0.95122932937777793</v>
      </c>
      <c r="AK44" s="123">
        <f t="shared" si="5"/>
        <v>1.189780119377537E-3</v>
      </c>
      <c r="AL44" s="112"/>
      <c r="AM44" s="36" cm="1">
        <f t="array" ref="AM44">flatInterpolation($AG44,$S$4:$S$9,AL$5:AL$10)</f>
        <v>5.0000000000000001E-3</v>
      </c>
      <c r="AN44" s="14">
        <f t="shared" si="6"/>
        <v>0.95122932937777804</v>
      </c>
      <c r="AO44" s="123">
        <f t="shared" si="7"/>
        <v>1.189780119377537E-3</v>
      </c>
      <c r="AP44" s="112"/>
      <c r="AQ44" s="36" cm="1">
        <f t="array" ref="AQ44">flatInterpolation($AG44,$S$4:$S$9,AP$5:AP$10)</f>
        <v>5.0000000000000001E-3</v>
      </c>
      <c r="AR44" s="14">
        <f t="shared" si="8"/>
        <v>0.95122932937777793</v>
      </c>
      <c r="AS44" s="123">
        <f t="shared" si="9"/>
        <v>1.189780119377537E-3</v>
      </c>
      <c r="AT44" s="112"/>
      <c r="AU44" s="36" cm="1">
        <f t="array" ref="AU44">flatInterpolation($AG44,$S$4:$S$9,AT$5:AT$10)</f>
        <v>5.0000000000000001E-3</v>
      </c>
      <c r="AV44" s="14">
        <f t="shared" si="10"/>
        <v>0.95122932937777793</v>
      </c>
      <c r="AW44" s="123">
        <f t="shared" si="11"/>
        <v>1.189780119377537E-3</v>
      </c>
      <c r="AX44" s="112"/>
      <c r="AY44" s="36" cm="1">
        <f t="array" ref="AY44">flatInterpolation($AG44,$S$4:$S$9,AX$5:AX$10)</f>
        <v>5.0000000000000001E-3</v>
      </c>
      <c r="AZ44" s="14">
        <f t="shared" si="12"/>
        <v>0.95122932937777782</v>
      </c>
      <c r="BA44" s="123">
        <f t="shared" si="13"/>
        <v>1.189780119377537E-3</v>
      </c>
      <c r="BB44" s="112"/>
      <c r="BC44" s="36" cm="1">
        <f t="array" ref="BC44">flatInterpolation($AG44,$S$4:$S$9,BB$5:BB$10)</f>
        <v>5.0001000000000004E-3</v>
      </c>
      <c r="BD44" s="14">
        <f t="shared" si="14"/>
        <v>0.95122894888612131</v>
      </c>
      <c r="BE44" s="123">
        <f t="shared" si="15"/>
        <v>1.1898034539341573E-3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5.0000000000000001E-3</v>
      </c>
      <c r="L45" s="103">
        <v>5.000000651041901E-3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5.0000000000000001E-3</v>
      </c>
      <c r="L46" s="103">
        <v>5.0000006510420494E-3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5.0000000000000001E-3</v>
      </c>
      <c r="L47" s="105">
        <v>5.0000006510421066E-3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71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27">IF($K$51="ANALYTICAL",Y53,AH53)</f>
        <v>0.59999976677153899</v>
      </c>
      <c r="L53" s="90">
        <f t="shared" si="27"/>
        <v>0</v>
      </c>
      <c r="M53" s="90">
        <f t="shared" si="27"/>
        <v>0</v>
      </c>
      <c r="N53" s="90">
        <f t="shared" si="27"/>
        <v>0</v>
      </c>
      <c r="O53" s="90">
        <f t="shared" si="27"/>
        <v>0</v>
      </c>
      <c r="P53" s="91">
        <f t="shared" si="27"/>
        <v>0</v>
      </c>
      <c r="X53" s="2" t="s">
        <v>60</v>
      </c>
      <c r="Y53" s="89">
        <f>(Y64*RiskyAnnuity1Y-Protection1Y*Y75)/RiskyAnnuity1Y^2*Notional</f>
        <v>0.59999976562506097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28">(AH64-$U14)/ShiftSize</f>
        <v>0.59999976677153899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27"/>
        <v>0.30736219958516636</v>
      </c>
      <c r="L54" s="93">
        <f t="shared" si="27"/>
        <v>0.29263756724708795</v>
      </c>
      <c r="M54" s="94">
        <f t="shared" si="27"/>
        <v>0</v>
      </c>
      <c r="N54" s="94">
        <f t="shared" si="27"/>
        <v>0</v>
      </c>
      <c r="O54" s="94">
        <f t="shared" si="27"/>
        <v>0</v>
      </c>
      <c r="P54" s="95">
        <f t="shared" si="27"/>
        <v>0</v>
      </c>
      <c r="X54" s="2" t="s">
        <v>61</v>
      </c>
      <c r="Y54" s="92">
        <f>(Y65*RiskyAnnuity2Y-Protection2Y*Y76)/RiskyAnnuity2Y^2*Notional</f>
        <v>0.30845955831675315</v>
      </c>
      <c r="Z54" s="93">
        <f>(Z65*RiskyAnnuity2Y-Protection2Y*Z76)/RiskyAnnuity2Y^2*Notional</f>
        <v>0.29263757431966758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28"/>
        <v>0.30736219958516636</v>
      </c>
      <c r="AI54" s="93">
        <f>(AI65-$U15)/ShiftSize</f>
        <v>0.29263756724708795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27"/>
        <v>0.20968885587960284</v>
      </c>
      <c r="L55" s="93">
        <f t="shared" si="27"/>
        <v>0.19964341003292363</v>
      </c>
      <c r="M55" s="93">
        <f t="shared" si="27"/>
        <v>0.19066750134039828</v>
      </c>
      <c r="N55" s="94">
        <f t="shared" si="27"/>
        <v>0</v>
      </c>
      <c r="O55" s="94">
        <f t="shared" si="27"/>
        <v>0</v>
      </c>
      <c r="P55" s="95">
        <f t="shared" si="27"/>
        <v>0</v>
      </c>
      <c r="X55" s="2" t="s">
        <v>62</v>
      </c>
      <c r="Y55" s="92">
        <f>(Y66*RiskyAnnuity3Y-Protection3Y*Y77)/RiskyAnnuity3Y^2*Notional</f>
        <v>0.21310380724531919</v>
      </c>
      <c r="Z55" s="93">
        <f>(Z66*RiskyAnnuity3Y-Protection3Y*Z77)/RiskyAnnuity3Y^2*Notional</f>
        <v>0.20035839849137732</v>
      </c>
      <c r="AA55" s="93">
        <f>(AA66*RiskyAnnuity3Y-Protection3Y*AA77)/RiskyAnnuity3Y^2*Notional</f>
        <v>0.19066750725082476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28"/>
        <v>0.20968885587960284</v>
      </c>
      <c r="AI55" s="93">
        <f>(AI66-$U16)/ShiftSize</f>
        <v>0.19964341003292363</v>
      </c>
      <c r="AJ55" s="93">
        <f>(AJ66-$U16)/ShiftSize</f>
        <v>0.19066750134039828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27"/>
        <v>0.16079114497757202</v>
      </c>
      <c r="L56" s="93">
        <f t="shared" si="27"/>
        <v>0.15308821541600709</v>
      </c>
      <c r="M56" s="93">
        <f t="shared" si="27"/>
        <v>0.1462054156084816</v>
      </c>
      <c r="N56" s="93">
        <f t="shared" si="27"/>
        <v>0.13991499048758571</v>
      </c>
      <c r="O56" s="94">
        <f t="shared" si="27"/>
        <v>0</v>
      </c>
      <c r="P56" s="95">
        <f t="shared" si="27"/>
        <v>0</v>
      </c>
      <c r="X56" s="2" t="s">
        <v>63</v>
      </c>
      <c r="Y56" s="92">
        <f>(Y67*RiskyAnnuity4Y-Protection4Y*Y78)/RiskyAnnuity4Y^2*Notional</f>
        <v>0.16682927752071114</v>
      </c>
      <c r="Z56" s="93">
        <f>(Z67*RiskyAnnuity4Y-Protection4Y*Z78)/RiskyAnnuity4Y^2*Notional</f>
        <v>0.15559158501320444</v>
      </c>
      <c r="AA56" s="93">
        <f>(AA67*RiskyAnnuity4Y-Protection4Y*AA78)/RiskyAnnuity4Y^2*Notional</f>
        <v>0.14673008839988366</v>
      </c>
      <c r="AB56" s="93">
        <f>(AB67*RiskyAnnuity4Y-Protection4Y*AB78)/RiskyAnnuity4Y^2*Notional</f>
        <v>0.13991499562384882</v>
      </c>
      <c r="AC56" s="94">
        <v>0</v>
      </c>
      <c r="AD56" s="95">
        <v>0</v>
      </c>
      <c r="AG56" s="2" t="s">
        <v>63</v>
      </c>
      <c r="AH56" s="92">
        <f t="shared" si="28"/>
        <v>0.16079114497757202</v>
      </c>
      <c r="AI56" s="93">
        <f>(AI67-$U17)/ShiftSize</f>
        <v>0.15308821541600709</v>
      </c>
      <c r="AJ56" s="93">
        <f>(AJ67-$U17)/ShiftSize</f>
        <v>0.1462054156084816</v>
      </c>
      <c r="AK56" s="93">
        <f>(AK67-$U17)/ShiftSize</f>
        <v>0.13991499048758571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27"/>
        <v>0.13142836367829869</v>
      </c>
      <c r="L57" s="93">
        <f t="shared" si="27"/>
        <v>0.12513210070983632</v>
      </c>
      <c r="M57" s="93">
        <f t="shared" si="27"/>
        <v>0.11950619990125366</v>
      </c>
      <c r="N57" s="93">
        <f t="shared" si="27"/>
        <v>0.11436449755958256</v>
      </c>
      <c r="O57" s="93">
        <f t="shared" si="27"/>
        <v>0.10956860511338734</v>
      </c>
      <c r="P57" s="95">
        <f t="shared" si="27"/>
        <v>0</v>
      </c>
      <c r="X57" s="2" t="s">
        <v>64</v>
      </c>
      <c r="Y57" s="92">
        <f>(Y68*RiskyAnnuity5Y-Protection5Y*Y79)/RiskyAnnuity5Y^2*Notional</f>
        <v>0.14021163118668664</v>
      </c>
      <c r="Z57" s="93">
        <f>(Z68*RiskyAnnuity5Y-Protection5Y*Z79)/RiskyAnnuity5Y^2*Notional</f>
        <v>0.12985365314408953</v>
      </c>
      <c r="AA57" s="93">
        <f>(AA68*RiskyAnnuity5Y-Protection5Y*AA79)/RiskyAnnuity5Y^2*Notional</f>
        <v>0.12146547615433392</v>
      </c>
      <c r="AB57" s="93">
        <f>(AB68*RiskyAnnuity5Y-Protection5Y*AB79)/RiskyAnnuity5Y^2*Notional</f>
        <v>0.11477537421502407</v>
      </c>
      <c r="AC57" s="93">
        <f>(AC68*RiskyAnnuity5Y-Protection5Y*AC79)/RiskyAnnuity5Y^2*Notional</f>
        <v>0.10956860922869095</v>
      </c>
      <c r="AD57" s="95">
        <v>0</v>
      </c>
      <c r="AG57" s="2" t="s">
        <v>64</v>
      </c>
      <c r="AH57" s="92">
        <f t="shared" si="28"/>
        <v>0.13142836367829869</v>
      </c>
      <c r="AI57" s="93">
        <f>(AI68-$U18)/ShiftSize</f>
        <v>0.12513210070983632</v>
      </c>
      <c r="AJ57" s="93">
        <f>(AJ68-$U18)/ShiftSize</f>
        <v>0.11950619990125366</v>
      </c>
      <c r="AK57" s="93">
        <f>(AK68-$U18)/ShiftSize</f>
        <v>0.11436449755958256</v>
      </c>
      <c r="AL57" s="93">
        <f>(AL68-$U18)/ShiftSize</f>
        <v>0.10956860511338734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27"/>
        <v>7.2790516283775808E-2</v>
      </c>
      <c r="L58" s="97">
        <f t="shared" si="27"/>
        <v>6.9303383587460132E-2</v>
      </c>
      <c r="M58" s="97">
        <f t="shared" si="27"/>
        <v>6.6187525347635723E-2</v>
      </c>
      <c r="N58" s="97">
        <f t="shared" si="27"/>
        <v>6.3339836366312074E-2</v>
      </c>
      <c r="O58" s="97">
        <f t="shared" si="27"/>
        <v>6.0683671299771591E-2</v>
      </c>
      <c r="P58" s="98">
        <f t="shared" si="27"/>
        <v>0.26769480602692464</v>
      </c>
      <c r="X58" s="2" t="s">
        <v>65</v>
      </c>
      <c r="Y58" s="118">
        <f t="shared" ref="Y58:AD58" si="29">(Y69*RiskyAnnuity10Y-Protection10Y*Y80)/RiskyAnnuity10Y^2*Notional</f>
        <v>9.5825677238423182E-2</v>
      </c>
      <c r="Z58" s="97">
        <f t="shared" si="29"/>
        <v>8.7028936171964971E-2</v>
      </c>
      <c r="AA58" s="97">
        <f t="shared" si="29"/>
        <v>7.9397573509768296E-2</v>
      </c>
      <c r="AB58" s="97">
        <f t="shared" si="29"/>
        <v>7.2775210366172141E-2</v>
      </c>
      <c r="AC58" s="97">
        <f t="shared" si="29"/>
        <v>6.7038824371663128E-2</v>
      </c>
      <c r="AD58" s="98">
        <f t="shared" si="29"/>
        <v>0.26769484109991631</v>
      </c>
      <c r="AG58" s="2" t="s">
        <v>65</v>
      </c>
      <c r="AH58" s="118">
        <f t="shared" si="28"/>
        <v>7.2790516283775808E-2</v>
      </c>
      <c r="AI58" s="119">
        <f>(AI69-$U19)/ShiftSize</f>
        <v>6.9303383587460132E-2</v>
      </c>
      <c r="AJ58" s="119">
        <f>(AJ69-$U19)/ShiftSize</f>
        <v>6.6187525347635723E-2</v>
      </c>
      <c r="AK58" s="119">
        <f>(AK69-$U19)/ShiftSize</f>
        <v>6.3339836366312074E-2</v>
      </c>
      <c r="AL58" s="119">
        <f>(AL69-$U19)/ShiftSize</f>
        <v>6.0683671299771591E-2</v>
      </c>
      <c r="AM58" s="98">
        <f>(AM69-$U19)/ShiftSize</f>
        <v>0.26769480602692464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1.6666673145237547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0.58126972015273659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I69" si="30">AH75/AH86</f>
        <v>3.0000596093516666E-3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-1.7505289446866843</v>
      </c>
      <c r="L65" s="93">
        <v>3.4171962588646454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0.58057750863726953</v>
      </c>
      <c r="Z65" s="93">
        <f>(1-RecoveryRate)*YearFraction*(SUMPRODUCT($Z$9:$Z$12,$AB$9:$AB$12))</f>
        <v>0.55342317872127944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0"/>
        <v>3.0000303455949358E-3</v>
      </c>
      <c r="AI65" s="136">
        <f t="shared" si="30"/>
        <v>3.000028873131702E-3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2.9182574249467734E-8</v>
      </c>
      <c r="L66" s="93">
        <v>-3.5780650036081387</v>
      </c>
      <c r="M66" s="93">
        <v>5.244732285103491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0.57991641872614075</v>
      </c>
      <c r="Z66" s="93">
        <f>(1-RecoveryRate)*YearFraction*(SUMPRODUCT($Z$9:$Z$12,$AB$9:$AB$12)-SUMPRODUCT($AA$13:$AA$16,$AB$13:$AB$16))</f>
        <v>0.55276208881015065</v>
      </c>
      <c r="AA66" s="93">
        <f>(1-RecoveryRate)*YearFraction*(SUMPRODUCT($Z$13:$Z$16,$AB$13:$AB$16))</f>
        <v>0.5285414528109863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0"/>
        <v>3.0000205782605397E-3</v>
      </c>
      <c r="AI66" s="136">
        <f t="shared" si="30"/>
        <v>3.000019573715955E-3</v>
      </c>
      <c r="AJ66" s="136">
        <f t="shared" ref="AJ66" si="31">AJ77/AJ88</f>
        <v>3.0000186761250857E-3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1.5084378031735548E-8</v>
      </c>
      <c r="L67" s="100">
        <v>2.8094536950811631E-8</v>
      </c>
      <c r="M67" s="93">
        <v>-5.4805297189854301</v>
      </c>
      <c r="N67" s="93">
        <v>7.1471969980852581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0.57928377190895852</v>
      </c>
      <c r="Z67" s="93">
        <f>(1-RecoveryRate)*YearFraction*(SUMPRODUCT($Z$9:$Z$12,$AB$9:$AB$12)-SUMPRODUCT($AA$13:$AA$20,$AB$13:$AB$20))</f>
        <v>0.55212944199296854</v>
      </c>
      <c r="AA67" s="93">
        <f>(1-RecoveryRate)*YearFraction*(SUMPRODUCT($Z$13:$Z$16,$AB$13:$AB$16)-SUMPRODUCT($AA$17:$AA$20,$AB$17:$AB$20))</f>
        <v>0.52790880599380419</v>
      </c>
      <c r="AB67" s="93">
        <f>(1-RecoveryRate)*YearFraction*(SUMPRODUCT($Z$17:$Z$20,$AB$17:$AB$20))</f>
        <v>0.50580119623787811</v>
      </c>
      <c r="AC67" s="94">
        <v>0</v>
      </c>
      <c r="AD67" s="95">
        <v>0</v>
      </c>
      <c r="AG67" s="2" t="s">
        <v>102</v>
      </c>
      <c r="AH67" s="135">
        <f t="shared" si="30"/>
        <v>3.0000156884894638E-3</v>
      </c>
      <c r="AI67" s="136">
        <f t="shared" si="30"/>
        <v>3.0000149181965076E-3</v>
      </c>
      <c r="AJ67" s="136">
        <f t="shared" ref="AJ67:AK67" si="32">AJ78/AJ89</f>
        <v>3.0000142299165269E-3</v>
      </c>
      <c r="AK67" s="136">
        <f t="shared" si="32"/>
        <v>3.0000136008740148E-3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9.5414229292071105E-9</v>
      </c>
      <c r="L68" s="100">
        <v>1.7873092399753226E-8</v>
      </c>
      <c r="M68" s="100">
        <v>2.5372159502379991E-8</v>
      </c>
      <c r="N68" s="93">
        <v>-7.4600346768994976</v>
      </c>
      <c r="O68" s="93">
        <v>9.1267019322291052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0.57867765522076064</v>
      </c>
      <c r="Z68" s="93">
        <f>(1-RecoveryRate)*YearFraction*(SUMPRODUCT($Z$9:$Z$12,$AB$9:$AB$12)-SUMPRODUCT($AA$13:$AA$24,$AB$13:$AB$24))</f>
        <v>0.55152332530477066</v>
      </c>
      <c r="AA68" s="93">
        <f>(1-RecoveryRate)*YearFraction*(SUMPRODUCT($Z$13:$Z$16,$AB$13:$AB$16)-SUMPRODUCT($AA$17:$AA$24,$AB$17:$AB$24))</f>
        <v>0.52730268930560631</v>
      </c>
      <c r="AB68" s="93">
        <f>(1-RecoveryRate)*YearFraction*(SUMPRODUCT($Z$17:$Z$20,$AB$17:$AB$20)-SUMPRODUCT($AA$21:$AA$24,$AB$21:$AB$24))</f>
        <v>0.50519507954968024</v>
      </c>
      <c r="AC68" s="93">
        <f>(1-RecoveryRate)*YearFraction*(SUMPRODUCT($Z$21:$Z$24,$AB$21:$AB$24))</f>
        <v>0.48459035535137296</v>
      </c>
      <c r="AD68" s="95">
        <v>0</v>
      </c>
      <c r="AG68" s="2" t="s">
        <v>103</v>
      </c>
      <c r="AH68" s="135">
        <f t="shared" si="30"/>
        <v>3.0000127522113256E-3</v>
      </c>
      <c r="AI68" s="136">
        <f t="shared" si="30"/>
        <v>3.0000121225850288E-3</v>
      </c>
      <c r="AJ68" s="136">
        <f t="shared" ref="AJ68:AK68" si="33">AJ79/AJ90</f>
        <v>3.0000115599949479E-3</v>
      </c>
      <c r="AK68" s="136">
        <f t="shared" si="33"/>
        <v>3.0000110458247137E-3</v>
      </c>
      <c r="AL68" s="136">
        <f t="shared" ref="AL68" si="34">AL79/AL90</f>
        <v>3.0000105662354691E-3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4.3748395454869543E-9</v>
      </c>
      <c r="L69" s="102">
        <v>7.9790996599431256E-9</v>
      </c>
      <c r="M69" s="102">
        <v>1.1205749371775745E-8</v>
      </c>
      <c r="N69" s="102">
        <v>1.4499160107872388E-8</v>
      </c>
      <c r="O69" s="97">
        <v>-2.0689298695271514</v>
      </c>
      <c r="P69" s="98">
        <v>3.7355973201042247</v>
      </c>
      <c r="X69" s="2" t="s">
        <v>77</v>
      </c>
      <c r="Y69" s="96">
        <f>(1-RecoveryRate)*YearFraction*(SUMPRODUCT($Z$5:$Z$8,$AB$5:$AB$8)-SUMPRODUCT($AA$9:$AA$44,$AB$9:$AB$44))</f>
        <v>0.57600388305650885</v>
      </c>
      <c r="Z69" s="119">
        <f>(1-RecoveryRate)*YearFraction*(SUMPRODUCT($Z$9:$Z$12,$AB$9:$AB$12)-SUMPRODUCT($AA$13:$AA$44,$AB$13:$AB$44))</f>
        <v>0.54884955314051875</v>
      </c>
      <c r="AA69" s="119">
        <f>(1-RecoveryRate)*YearFraction*(SUMPRODUCT($Z$13:$Z$16,$AB$13:$AB$16)-SUMPRODUCT($AA$17:$AA$44,$AB$17:$AB$44))</f>
        <v>0.52462891714135429</v>
      </c>
      <c r="AB69" s="119">
        <f>(1-RecoveryRate)*YearFraction*(SUMPRODUCT($Z$17:$Z$20,$AB$17:$AB$20)-SUMPRODUCT($AA$21:$AA$44,$AB$21:$AB$44))</f>
        <v>0.50252130738542833</v>
      </c>
      <c r="AC69" s="119">
        <f>(1-RecoveryRate)*YearFraction*(SUMPRODUCT($Z$21:$Z$24,$AB$21:$AB$24)-SUMPRODUCT($AA$25:$AA$44,$AB$25:$AB$44))</f>
        <v>0.48191658318712105</v>
      </c>
      <c r="AD69" s="98">
        <f>(1-RecoveryRate)*YearFraction*(SUMPRODUCT($Z$25:$Z$44,$AB$25:$AB$44))</f>
        <v>2.137681123837428</v>
      </c>
      <c r="AG69" s="2" t="s">
        <v>104</v>
      </c>
      <c r="AH69" s="138">
        <f t="shared" si="30"/>
        <v>3.0000068884265731E-3</v>
      </c>
      <c r="AI69" s="146">
        <f t="shared" si="30"/>
        <v>3.0000065397133035E-3</v>
      </c>
      <c r="AJ69" s="146">
        <f t="shared" ref="AJ69:AK69" si="35">AJ80/AJ91</f>
        <v>3.0000062281274795E-3</v>
      </c>
      <c r="AK69" s="146">
        <f t="shared" si="35"/>
        <v>3.0000059433585814E-3</v>
      </c>
      <c r="AL69" s="146">
        <f t="shared" ref="AL69:AM69" si="36">AL80/AL91</f>
        <v>3.0000056777420747E-3</v>
      </c>
      <c r="AM69" s="147">
        <f t="shared" si="36"/>
        <v>3.0000263788555474E-3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-0.12109785836515345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2908.2238448088974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-1.0440314147747813</v>
      </c>
      <c r="Z76" s="93">
        <f>-YearFraction*(0.5*YearFraction*SUMPRODUCT($Z$9:$Z$12,$AB$9:$AB$12))</f>
        <v>-0.11529649556693322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5677.0696297924851</v>
      </c>
      <c r="AI76" s="141">
        <f>LGD*SUMPRODUCT($AO$5:$AO$12,DiscFactors2Y)</f>
        <v>5677.0671271121355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-3.729659343390797</v>
      </c>
      <c r="Z77" s="93">
        <f>-YearFraction*(0.5*YearFraction*SUMPRODUCT($Z$9:$Z$12,$AB$9:$AB$12)+SUM($AB$13:$AB$16)*(YearFraction*SUM($Z$13:$Z$16)+0.5*YearFraction*SUM($AA$13:$AA$16)))</f>
        <v>-0.99673613952748208</v>
      </c>
      <c r="AA77" s="93">
        <f>-YearFraction*(0.5*YearFraction*SUMPRODUCT($Z$13:$Z$16,$AB$13:$AB$16))</f>
        <v>-0.11011280266895548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8321.4290098715155</v>
      </c>
      <c r="AI77" s="141">
        <f>LGD*SUMPRODUCT($AO$5:$AO$16,DiscFactors3Y)</f>
        <v>8321.4265071911668</v>
      </c>
      <c r="AJ77" s="141">
        <f>LGD*SUMPRODUCT($AS$5:$AS$16,DiscFactors3Y)</f>
        <v>8321.4242880241563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-8.063708431708017</v>
      </c>
      <c r="Z78" s="93">
        <f>-YearFraction*(0.5*YearFraction*SUMPRODUCT($Z$9:$Z$12,$AB$9:$AB$12)+SUM($AB$13:$AB$20)*(YearFraction*SUM($Z$13:$Z$20)+0.5*YearFraction*SUM($AA$13:$AA$20)))</f>
        <v>-3.565040930483887</v>
      </c>
      <c r="AA78" s="93">
        <f>-YearFraction*(0.5*YearFraction*SUMPRODUCT($Z$13:$Z$16,$AB$13:$AB$16)+SUM($AB$17:$AB$20)*(YearFraction*SUM($Z$17:$Z$20)+0.5*YearFraction*SUM($AA$17:$AA$20)))</f>
        <v>-0.95362940317157219</v>
      </c>
      <c r="AB78" s="93">
        <f>-YearFraction*(0.5*YearFraction*SUMPRODUCT($Z$17:$Z$20,$AB$17:$AB$20))</f>
        <v>-0.10537524921622461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10852.016025541488</v>
      </c>
      <c r="AI78" s="141">
        <f>LGD*SUMPRODUCT($AO$5:$AO$20,DiscFactors4Y)</f>
        <v>10852.01352286114</v>
      </c>
      <c r="AJ78" s="141">
        <f>LGD*SUMPRODUCT($AS$5:$AS$20,DiscFactors4Y)</f>
        <v>10852.011303694129</v>
      </c>
      <c r="AK78" s="141">
        <f>LGD*SUMPRODUCT($AW$5:$AW$20,DiscFactors4Y)</f>
        <v>10852.009286924107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-13.941841807162001</v>
      </c>
      <c r="Z79" s="93">
        <f>-YearFraction*(0.5*YearFraction*SUMPRODUCT($Z$9:$Z$12,$AB$9:$AB$12)+SUM($AB$13:$AB$24)*(YearFraction*SUM($Z$13:$Z$24)+0.5*YearFraction*SUM($AA$13:$AA$24)))</f>
        <v>-7.7136240487884038</v>
      </c>
      <c r="AA79" s="93">
        <f>-YearFraction*(0.5*YearFraction*SUMPRODUCT($Z$13:$Z$16,$AB$13:$AB$16)+SUM($AB$17:$AB$24)*(YearFraction*SUM($Z$17:$Z$24)+0.5*YearFraction*SUM($AA$17:$AA$24)))</f>
        <v>-3.4132775068013861</v>
      </c>
      <c r="AB79" s="93">
        <f>-YearFraction*(0.5*YearFraction*SUMPRODUCT($Z$17:$Z$20,$AB$17:$AB$20)+SUM($AB$21:$AB$24)*(YearFraction*SUM($Z$21:$Z$24)+0.5*YearFraction*SUM($AA$21:$AA$24)))</f>
        <v>-0.91351911009795261</v>
      </c>
      <c r="AC79" s="93">
        <f>-YearFraction*(0.5*YearFraction*SUMPRODUCT($Z$21:$Z$24,$AB$21:$AB$24))</f>
        <v>-0.10095632403153604</v>
      </c>
      <c r="AD79" s="95">
        <v>0</v>
      </c>
      <c r="AG79" s="2" t="s">
        <v>76</v>
      </c>
      <c r="AH79" s="140">
        <f>LGD*SUMPRODUCT($AK$5:$AK$24,DiscFactors5Y)</f>
        <v>13276.482535886333</v>
      </c>
      <c r="AI79" s="141">
        <f>LGD*SUMPRODUCT($AO$5:$AO$24,DiscFactors5Y)</f>
        <v>13276.480033205984</v>
      </c>
      <c r="AJ79" s="141">
        <f>LGD*SUMPRODUCT($AS$5:$AS$24,DiscFactors5Y)</f>
        <v>13276.477814038974</v>
      </c>
      <c r="AK79" s="141">
        <f>LGD*SUMPRODUCT($AW$5:$AW$24,DiscFactors5Y)</f>
        <v>13276.475797268953</v>
      </c>
      <c r="AL79" s="141">
        <f>LGD*SUMPRODUCT($BA$5:$BA$24,DiscFactors5Y)</f>
        <v>13276.473922560837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-63.230589743842955</v>
      </c>
      <c r="Z80" s="97">
        <f>-YearFraction*(0.5*YearFraction*SUMPRODUCT($Z$9:$Z$12,$AB$9:$AB$12)+SUM($AB$13:$AB$44)*(YearFraction*SUM($Z$13:$Z$44)+0.5*YearFraction*SUM($AA$13:$AA$44)))</f>
        <v>-48.851894405925421</v>
      </c>
      <c r="AA80" s="97">
        <f>-YearFraction*(0.5*YearFraction*SUMPRODUCT($Z$13:$Z$16,$AB$13:$AB$16)+SUM($AB$17:$AB$44)*(YearFraction*SUM($Z$17:$Z$44)+0.5*YearFraction*SUM($AA$17:$AA$44)))</f>
        <v>-36.599288996570053</v>
      </c>
      <c r="AB80" s="97">
        <f>-YearFraction*(0.5*YearFraction*SUMPRODUCT($Z$17:$Z$20,$AB$17:$AB$20)+SUM($AB$21:$AB$44)*(YearFraction*SUM($Z$21:$Z$44)+0.5*YearFraction*SUM($AA$21:$AA$44)))</f>
        <v>-26.329813925249908</v>
      </c>
      <c r="AC80" s="97">
        <f>-YearFraction*(0.5*YearFraction*SUMPRODUCT($Z$21:$Z$24,$AB$21:$AB$24)+SUM($AB$25:$AB$44)*(YearFraction*SUM($Z$25:$Z$44)+0.5*YearFraction*SUM($AA$25:$AA$44)))</f>
        <v>-17.919179086209521</v>
      </c>
      <c r="AD80" s="98">
        <f>-YearFraction*(0.5*YearFraction*SUMPRODUCT($Z$25:$Z$44,$AB$25:$AB$44))</f>
        <v>-0.44535023413279751</v>
      </c>
      <c r="AG80" s="2" t="s">
        <v>77</v>
      </c>
      <c r="AH80" s="143">
        <f>LGD*SUMPRODUCT($AK$5:$AK$44,DiscFactors10Y)</f>
        <v>23971.57012338522</v>
      </c>
      <c r="AI80" s="144">
        <f>LGD*SUMPRODUCT($AO$5:$AO$44,DiscFactors10Y)</f>
        <v>23971.567620704875</v>
      </c>
      <c r="AJ80" s="144">
        <f>LGD*SUMPRODUCT($AS$5:$AS$44,DiscFactors10Y)</f>
        <v>23971.56540153786</v>
      </c>
      <c r="AK80" s="144">
        <f>LGD*SUMPRODUCT($AW$5:$AW$44,DiscFactors10Y)</f>
        <v>23971.56338476784</v>
      </c>
      <c r="AL80" s="144">
        <f>LGD*SUMPRODUCT($BA$5:$BA$44,DiscFactors10Y)</f>
        <v>23971.561510059724</v>
      </c>
      <c r="AM80" s="145">
        <f>LGD*SUMPRODUCT($BE$5:$BE$44,DiscFactors10Y)</f>
        <v>23971.725532870729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969388.68672592298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1892337.4018960684</v>
      </c>
      <c r="AI87" s="141">
        <f>Notional*YearFraction*(SUMPRODUCT($AN$5:$AN$12,DiscFactors2Y)+0.5*SUMPRODUCT($AO$5:$AO$12,DiscFactors2Y))</f>
        <v>1892337.4964674585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2773790.6433616579</v>
      </c>
      <c r="AI88" s="141">
        <f>Notional*YearFraction*(SUMPRODUCT($AN$5:$AN$16,DiscFactors3Y)+0.5*SUMPRODUCT($AO$5:$AO$16,DiscFactors3Y))</f>
        <v>2773790.737933048</v>
      </c>
      <c r="AJ88" s="141">
        <f>Notional*YearFraction*(SUMPRODUCT($AR$5:$AR$16,DiscFactors3Y)+0.5*SUMPRODUCT($AS$5:$AS$16,DiscFactors3Y))</f>
        <v>2773790.8281198964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3617319.7584195239</v>
      </c>
      <c r="AI89" s="141">
        <f>Notional*YearFraction*(SUMPRODUCT($AN$5:$AN$20,DiscFactors4Y)+0.5*SUMPRODUCT($AO$5:$AO$20,DiscFactors4Y))</f>
        <v>3617319.8529909141</v>
      </c>
      <c r="AJ89" s="141">
        <f>Notional*YearFraction*(SUMPRODUCT($AR$5:$AR$20,DiscFactors4Y)+0.5*SUMPRODUCT($AS$5:$AS$20,DiscFactors4Y))</f>
        <v>3617319.9431777624</v>
      </c>
      <c r="AK89" s="141">
        <f>Notional*YearFraction*(SUMPRODUCT($AV$5:$AV$20,DiscFactors4Y)+0.5*SUMPRODUCT($AW$5:$AW$20,DiscFactors4Y))</f>
        <v>3617320.0294033722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4425475.367096412</v>
      </c>
      <c r="AI90" s="141">
        <f>Notional*YearFraction*(SUMPRODUCT($AN$5:$AN$24,DiscFactors5Y)+0.5*SUMPRODUCT($AO$5:$AO$24,DiscFactors5Y))</f>
        <v>4425475.4616678022</v>
      </c>
      <c r="AJ90" s="141">
        <f>Notional*YearFraction*(SUMPRODUCT($AR$5:$AR$24,DiscFactors5Y)+0.5*SUMPRODUCT($AS$5:$AS$24,DiscFactors5Y))</f>
        <v>4425475.5518546505</v>
      </c>
      <c r="AK90" s="141">
        <f>Notional*YearFraction*(SUMPRODUCT($AV$5:$AV$24,DiscFactors5Y)+0.5*SUMPRODUCT($AW$5:$AW$24,DiscFactors5Y))</f>
        <v>4425475.6380802598</v>
      </c>
      <c r="AL90" s="141">
        <f>Notional*YearFraction*(SUMPRODUCT($AZ$5:$AZ$24,DiscFactors5Y)+0.5*SUMPRODUCT($BA$5:$BA$24,DiscFactors5Y))</f>
        <v>4425475.7206474366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7990505.0271260198</v>
      </c>
      <c r="AI91" s="144">
        <f>Notional*YearFraction*(SUMPRODUCT($AN$5:$AN$44,DiscFactors10Y)+0.5*SUMPRODUCT($AO$5:$AO$44,DiscFactors10Y))</f>
        <v>7990505.12169741</v>
      </c>
      <c r="AJ91" s="144">
        <f>Notional*YearFraction*(SUMPRODUCT($AR$5:$AR$44,DiscFactors10Y)+0.5*SUMPRODUCT($AS$5:$AS$44,DiscFactors10Y))</f>
        <v>7990505.2118842583</v>
      </c>
      <c r="AK91" s="144">
        <f>Notional*YearFraction*(SUMPRODUCT($AV$5:$AV$44,DiscFactors10Y)+0.5*SUMPRODUCT($AW$5:$AW$44,DiscFactors10Y))</f>
        <v>7990505.2981098685</v>
      </c>
      <c r="AL91" s="144">
        <f>Notional*YearFraction*(SUMPRODUCT($AZ$5:$AZ$44,DiscFactors10Y)+0.5*SUMPRODUCT($BA$5:$BA$44,DiscFactors10Y))</f>
        <v>7990505.3806770416</v>
      </c>
      <c r="AM91" s="145">
        <f>Notional*YearFraction*(SUMPRODUCT($BD$5:$BD$44,DiscFactors10Y)+0.5*SUMPRODUCT($BE$5:$BE$44,DiscFactors10Y))</f>
        <v>7990504.9174985867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6E83B-F8B1-471A-8EF1-64A37CDDE28D}">
  <sheetPr codeName="Sheet2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45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56" t="s">
        <v>0</v>
      </c>
      <c r="L3" s="357"/>
      <c r="M3" s="47" t="s">
        <v>336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58" t="s">
        <v>17</v>
      </c>
      <c r="L4" s="359"/>
      <c r="M4" s="48" t="s">
        <v>19</v>
      </c>
      <c r="O4" s="73" t="s">
        <v>11</v>
      </c>
      <c r="P4" s="74">
        <v>35</v>
      </c>
      <c r="Q4" s="18">
        <f t="shared" ref="Q4:Q9" si="0">P4/10000</f>
        <v>3.5000000000000001E-3</v>
      </c>
      <c r="S4" s="11">
        <v>1</v>
      </c>
      <c r="T4" s="86">
        <f t="shared" ref="T4:T9" si="1">N27</f>
        <v>5.8333333333333336E-3</v>
      </c>
      <c r="W4" s="18"/>
      <c r="X4" s="17">
        <v>0</v>
      </c>
      <c r="Y4" s="18" cm="1">
        <f t="array" ref="Y4">flatInterpolation(X4,$S$4:$S$9,$T$4:$T$9)</f>
        <v>5.8333333333333336E-3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58" t="s">
        <v>3</v>
      </c>
      <c r="L5" s="359"/>
      <c r="M5" s="49" t="s">
        <v>4</v>
      </c>
      <c r="O5" s="75" t="s">
        <v>12</v>
      </c>
      <c r="P5" s="76">
        <v>35</v>
      </c>
      <c r="Q5" s="18">
        <f t="shared" si="0"/>
        <v>3.5000000000000001E-3</v>
      </c>
      <c r="S5" s="12">
        <v>2</v>
      </c>
      <c r="T5" s="87">
        <f t="shared" si="1"/>
        <v>5.8333333333333336E-3</v>
      </c>
      <c r="W5" s="18"/>
      <c r="X5" s="20">
        <f>YearFraction</f>
        <v>0.25</v>
      </c>
      <c r="Y5" s="21" cm="1">
        <f t="array" ref="Y5">flatInterpolation(X5,$S$4:$S$9,$T$4:$T$9)</f>
        <v>5.8333333333333336E-3</v>
      </c>
      <c r="Z5" s="22">
        <f t="shared" ref="Z5" si="2">EXP(-Y5*YearFraction)*Z4</f>
        <v>0.99854272951799561</v>
      </c>
      <c r="AA5" s="22">
        <f t="shared" ref="AA5:AA44" si="3">Z4-Z5</f>
        <v>1.4572704820043914E-3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5.8334333333333339E-3</v>
      </c>
      <c r="AI5" s="30" cm="1">
        <f t="array" ref="AI5">flatInterpolation($AG5,$S$4:$S$9,AH$5:AH$10)</f>
        <v>5.8334333333333339E-3</v>
      </c>
      <c r="AJ5" s="22">
        <f t="shared" ref="AJ5" si="4">EXP(-AI5*YearFraction)*AJ4</f>
        <v>0.99854270455442762</v>
      </c>
      <c r="AK5" s="121">
        <f t="shared" ref="AK5:AK44" si="5">AJ4-AJ5</f>
        <v>1.4572954455723819E-3</v>
      </c>
      <c r="AL5" s="126">
        <f>HazardRate1Y</f>
        <v>5.8333333333333336E-3</v>
      </c>
      <c r="AM5" s="30" cm="1">
        <f t="array" ref="AM5">flatInterpolation($AG5,$S$4:$S$9,AL$5:AL$10)</f>
        <v>5.8333333333333336E-3</v>
      </c>
      <c r="AN5" s="22">
        <f t="shared" ref="AN5" si="6">EXP(-AM5*YearFraction)*AN4</f>
        <v>0.99854272951799561</v>
      </c>
      <c r="AO5" s="121">
        <f t="shared" ref="AO5:AO44" si="7">AN4-AN5</f>
        <v>1.4572704820043914E-3</v>
      </c>
      <c r="AP5" s="126">
        <f>HazardRate1Y</f>
        <v>5.8333333333333336E-3</v>
      </c>
      <c r="AQ5" s="30" cm="1">
        <f t="array" ref="AQ5">flatInterpolation($AG5,$S$4:$S$9,AP$5:AP$10)</f>
        <v>5.8333333333333336E-3</v>
      </c>
      <c r="AR5" s="22">
        <f t="shared" ref="AR5" si="8">EXP(-AQ5*YearFraction)*AR4</f>
        <v>0.99854272951799561</v>
      </c>
      <c r="AS5" s="121">
        <f t="shared" ref="AS5:AS44" si="9">AR4-AR5</f>
        <v>1.4572704820043914E-3</v>
      </c>
      <c r="AT5" s="126">
        <f>HazardRate1Y</f>
        <v>5.8333333333333336E-3</v>
      </c>
      <c r="AU5" s="30" cm="1">
        <f t="array" ref="AU5">flatInterpolation($AG5,$S$4:$S$9,AT$5:AT$10)</f>
        <v>5.8333333333333336E-3</v>
      </c>
      <c r="AV5" s="22">
        <f t="shared" ref="AV5" si="10">EXP(-AU5*YearFraction)*AV4</f>
        <v>0.99854272951799561</v>
      </c>
      <c r="AW5" s="121">
        <f t="shared" ref="AW5:AW44" si="11">AV4-AV5</f>
        <v>1.4572704820043914E-3</v>
      </c>
      <c r="AX5" s="126">
        <f>HazardRate1Y</f>
        <v>5.8333333333333336E-3</v>
      </c>
      <c r="AY5" s="30" cm="1">
        <f t="array" ref="AY5">flatInterpolation($AG5,$S$4:$S$9,AX$5:AX$10)</f>
        <v>5.8333333333333336E-3</v>
      </c>
      <c r="AZ5" s="22">
        <f t="shared" ref="AZ5" si="12">EXP(-AY5*YearFraction)*AZ4</f>
        <v>0.99854272951799561</v>
      </c>
      <c r="BA5" s="121">
        <f t="shared" ref="BA5:BA44" si="13">AZ4-AZ5</f>
        <v>1.4572704820043914E-3</v>
      </c>
      <c r="BB5" s="126">
        <f>HazardRate1Y</f>
        <v>5.8333333333333336E-3</v>
      </c>
      <c r="BC5" s="30" cm="1">
        <f t="array" ref="BC5">flatInterpolation($AG5,$S$4:$S$9,BB$5:BB$10)</f>
        <v>5.8333333333333336E-3</v>
      </c>
      <c r="BD5" s="22">
        <f t="shared" ref="BD5" si="14">EXP(-BC5*YearFraction)*BD4</f>
        <v>0.99854272951799561</v>
      </c>
      <c r="BE5" s="121">
        <f t="shared" ref="BE5:BE44" si="15">BD4-BD5</f>
        <v>1.4572704820043914E-3</v>
      </c>
    </row>
    <row r="6" spans="3:58" x14ac:dyDescent="0.3">
      <c r="C6" s="1" t="s">
        <v>137</v>
      </c>
      <c r="D6" t="s">
        <v>141</v>
      </c>
      <c r="K6" s="358" t="s">
        <v>1</v>
      </c>
      <c r="L6" s="359"/>
      <c r="M6" s="51">
        <v>0.4</v>
      </c>
      <c r="O6" s="75" t="s">
        <v>13</v>
      </c>
      <c r="P6" s="76">
        <v>35</v>
      </c>
      <c r="Q6" s="18">
        <f t="shared" si="0"/>
        <v>3.5000000000000001E-3</v>
      </c>
      <c r="S6" s="12">
        <v>3</v>
      </c>
      <c r="T6" s="87">
        <f t="shared" si="1"/>
        <v>5.8333333333333336E-3</v>
      </c>
      <c r="W6" s="18"/>
      <c r="X6" s="24">
        <f t="shared" ref="X6" si="16">X5+YearFraction</f>
        <v>0.5</v>
      </c>
      <c r="Y6" s="25" cm="1">
        <f t="array" ref="Y6">flatInterpolation(X6,$S$4:$S$9,$T$4:$T$9)</f>
        <v>5.8333333333333336E-3</v>
      </c>
      <c r="Z6" s="26">
        <f t="shared" ref="Z6" si="17">EXP(-Y6*YearFraction)*Z5</f>
        <v>0.99708758267324893</v>
      </c>
      <c r="AA6" s="26">
        <f t="shared" si="3"/>
        <v>1.4551468447466798E-3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5.8333333333333336E-3</v>
      </c>
      <c r="AI6" s="18" cm="1">
        <f t="array" ref="AI6">flatInterpolation($AG6,$S$4:$S$9,AH$5:AH$10)</f>
        <v>5.8334333333333339E-3</v>
      </c>
      <c r="AJ6" s="26">
        <f t="shared" ref="AJ6" si="19">EXP(-AI6*YearFraction)*AJ5</f>
        <v>0.99708753281887097</v>
      </c>
      <c r="AK6" s="122">
        <f t="shared" si="5"/>
        <v>1.4551717355566485E-3</v>
      </c>
      <c r="AL6" s="128">
        <f>HazardRate2Y+ShiftSize</f>
        <v>5.8334333333333339E-3</v>
      </c>
      <c r="AM6" s="18" cm="1">
        <f t="array" ref="AM6">flatInterpolation($AG6,$S$4:$S$9,AL$5:AL$10)</f>
        <v>5.8333333333333336E-3</v>
      </c>
      <c r="AN6" s="26">
        <f t="shared" ref="AN6" si="20">EXP(-AM6*YearFraction)*AN5</f>
        <v>0.99708758267324893</v>
      </c>
      <c r="AO6" s="122">
        <f t="shared" si="7"/>
        <v>1.4551468447466798E-3</v>
      </c>
      <c r="AP6" s="127">
        <f>HazardRate2Y</f>
        <v>5.8333333333333336E-3</v>
      </c>
      <c r="AQ6" s="18" cm="1">
        <f t="array" ref="AQ6">flatInterpolation($AG6,$S$4:$S$9,AP$5:AP$10)</f>
        <v>5.8333333333333336E-3</v>
      </c>
      <c r="AR6" s="26">
        <f t="shared" ref="AR6" si="21">EXP(-AQ6*YearFraction)*AR5</f>
        <v>0.99708758267324893</v>
      </c>
      <c r="AS6" s="122">
        <f t="shared" si="9"/>
        <v>1.4551468447466798E-3</v>
      </c>
      <c r="AT6" s="127">
        <f>HazardRate2Y</f>
        <v>5.8333333333333336E-3</v>
      </c>
      <c r="AU6" s="18" cm="1">
        <f t="array" ref="AU6">flatInterpolation($AG6,$S$4:$S$9,AT$5:AT$10)</f>
        <v>5.8333333333333336E-3</v>
      </c>
      <c r="AV6" s="26">
        <f t="shared" ref="AV6" si="22">EXP(-AU6*YearFraction)*AV5</f>
        <v>0.99708758267324893</v>
      </c>
      <c r="AW6" s="122">
        <f t="shared" si="11"/>
        <v>1.4551468447466798E-3</v>
      </c>
      <c r="AX6" s="127">
        <f>HazardRate2Y</f>
        <v>5.8333333333333336E-3</v>
      </c>
      <c r="AY6" s="18" cm="1">
        <f t="array" ref="AY6">flatInterpolation($AG6,$S$4:$S$9,AX$5:AX$10)</f>
        <v>5.8333333333333336E-3</v>
      </c>
      <c r="AZ6" s="26">
        <f t="shared" ref="AZ6" si="23">EXP(-AY6*YearFraction)*AZ5</f>
        <v>0.99708758267324893</v>
      </c>
      <c r="BA6" s="122">
        <f t="shared" si="13"/>
        <v>1.4551468447466798E-3</v>
      </c>
      <c r="BB6" s="127">
        <f>HazardRate2Y</f>
        <v>5.8333333333333336E-3</v>
      </c>
      <c r="BC6" s="18" cm="1">
        <f t="array" ref="BC6">flatInterpolation($AG6,$S$4:$S$9,BB$5:BB$10)</f>
        <v>5.8333333333333336E-3</v>
      </c>
      <c r="BD6" s="26">
        <f t="shared" ref="BD6" si="24">EXP(-BC6*YearFraction)*BD5</f>
        <v>0.99708758267324893</v>
      </c>
      <c r="BE6" s="122">
        <f t="shared" si="15"/>
        <v>1.4551468447466798E-3</v>
      </c>
    </row>
    <row r="7" spans="3:58" x14ac:dyDescent="0.3">
      <c r="C7" s="1" t="s">
        <v>138</v>
      </c>
      <c r="D7" t="s">
        <v>142</v>
      </c>
      <c r="K7" s="358" t="s">
        <v>5</v>
      </c>
      <c r="L7" s="359"/>
      <c r="M7" s="52">
        <v>0.25</v>
      </c>
      <c r="O7" s="75" t="s">
        <v>14</v>
      </c>
      <c r="P7" s="76">
        <v>35</v>
      </c>
      <c r="Q7" s="18">
        <f t="shared" si="0"/>
        <v>3.5000000000000001E-3</v>
      </c>
      <c r="S7" s="12">
        <v>4</v>
      </c>
      <c r="T7" s="87">
        <f t="shared" si="1"/>
        <v>5.8333333333333336E-3</v>
      </c>
      <c r="W7" s="18"/>
      <c r="X7" s="24">
        <f t="shared" ref="X7" si="25">X6+YearFraction</f>
        <v>0.75</v>
      </c>
      <c r="Y7" s="25" cm="1">
        <f t="array" ref="Y7">flatInterpolation(X7,$S$4:$S$9,$T$4:$T$9)</f>
        <v>5.8333333333333336E-3</v>
      </c>
      <c r="Z7" s="26">
        <f t="shared" ref="Z7" si="26">EXP(-Y7*YearFraction)*Z6</f>
        <v>0.99563455637104614</v>
      </c>
      <c r="AA7" s="26">
        <f t="shared" si="3"/>
        <v>1.4530263022027867E-3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5.8333333333333336E-3</v>
      </c>
      <c r="AI7" s="18" cm="1">
        <f t="array" ref="AI7">flatInterpolation($AG7,$S$4:$S$9,AH$5:AH$10)</f>
        <v>5.8334333333333339E-3</v>
      </c>
      <c r="AJ7" s="26">
        <f t="shared" ref="AJ7" si="28">EXP(-AI7*YearFraction)*AJ6</f>
        <v>0.99563448169845703</v>
      </c>
      <c r="AK7" s="122">
        <f t="shared" si="5"/>
        <v>1.4530511204139396E-3</v>
      </c>
      <c r="AL7" s="127">
        <f>HazardRate3Y</f>
        <v>5.8333333333333336E-3</v>
      </c>
      <c r="AM7" s="18" cm="1">
        <f t="array" ref="AM7">flatInterpolation($AG7,$S$4:$S$9,AL$5:AL$10)</f>
        <v>5.8333333333333336E-3</v>
      </c>
      <c r="AN7" s="26">
        <f t="shared" ref="AN7" si="29">EXP(-AM7*YearFraction)*AN6</f>
        <v>0.99563455637104614</v>
      </c>
      <c r="AO7" s="122">
        <f t="shared" si="7"/>
        <v>1.4530263022027867E-3</v>
      </c>
      <c r="AP7" s="128">
        <f>HazardRate3Y+ShiftSize</f>
        <v>5.8334333333333339E-3</v>
      </c>
      <c r="AQ7" s="18" cm="1">
        <f t="array" ref="AQ7">flatInterpolation($AG7,$S$4:$S$9,AP$5:AP$10)</f>
        <v>5.8333333333333336E-3</v>
      </c>
      <c r="AR7" s="26">
        <f t="shared" ref="AR7" si="30">EXP(-AQ7*YearFraction)*AR6</f>
        <v>0.99563455637104614</v>
      </c>
      <c r="AS7" s="122">
        <f t="shared" si="9"/>
        <v>1.4530263022027867E-3</v>
      </c>
      <c r="AT7" s="127">
        <f>HazardRate3Y</f>
        <v>5.8333333333333336E-3</v>
      </c>
      <c r="AU7" s="18" cm="1">
        <f t="array" ref="AU7">flatInterpolation($AG7,$S$4:$S$9,AT$5:AT$10)</f>
        <v>5.8333333333333336E-3</v>
      </c>
      <c r="AV7" s="26">
        <f t="shared" ref="AV7" si="31">EXP(-AU7*YearFraction)*AV6</f>
        <v>0.99563455637104614</v>
      </c>
      <c r="AW7" s="122">
        <f t="shared" si="11"/>
        <v>1.4530263022027867E-3</v>
      </c>
      <c r="AX7" s="127">
        <f>HazardRate3Y</f>
        <v>5.8333333333333336E-3</v>
      </c>
      <c r="AY7" s="18" cm="1">
        <f t="array" ref="AY7">flatInterpolation($AG7,$S$4:$S$9,AX$5:AX$10)</f>
        <v>5.8333333333333336E-3</v>
      </c>
      <c r="AZ7" s="26">
        <f t="shared" ref="AZ7" si="32">EXP(-AY7*YearFraction)*AZ6</f>
        <v>0.99563455637104614</v>
      </c>
      <c r="BA7" s="122">
        <f t="shared" si="13"/>
        <v>1.4530263022027867E-3</v>
      </c>
      <c r="BB7" s="127">
        <f>HazardRate3Y</f>
        <v>5.8333333333333336E-3</v>
      </c>
      <c r="BC7" s="18" cm="1">
        <f t="array" ref="BC7">flatInterpolation($AG7,$S$4:$S$9,BB$5:BB$10)</f>
        <v>5.8333333333333336E-3</v>
      </c>
      <c r="BD7" s="26">
        <f t="shared" ref="BD7" si="33">EXP(-BC7*YearFraction)*BD6</f>
        <v>0.99563455637104614</v>
      </c>
      <c r="BE7" s="122">
        <f t="shared" si="15"/>
        <v>1.4530263022027867E-3</v>
      </c>
    </row>
    <row r="8" spans="3:58" x14ac:dyDescent="0.3">
      <c r="K8" s="358" t="s">
        <v>18</v>
      </c>
      <c r="L8" s="359"/>
      <c r="M8" s="170">
        <v>1000000</v>
      </c>
      <c r="O8" s="75" t="s">
        <v>15</v>
      </c>
      <c r="P8" s="76">
        <v>35</v>
      </c>
      <c r="Q8" s="18">
        <f t="shared" si="0"/>
        <v>3.5000000000000001E-3</v>
      </c>
      <c r="S8" s="12">
        <v>5</v>
      </c>
      <c r="T8" s="87">
        <f t="shared" si="1"/>
        <v>5.8333333333333336E-3</v>
      </c>
      <c r="W8" s="18"/>
      <c r="X8" s="24">
        <f t="shared" ref="X8" si="34">X7+YearFraction</f>
        <v>1</v>
      </c>
      <c r="Y8" s="25" cm="1">
        <f t="array" ref="Y8">flatInterpolation(X8,$S$4:$S$9,$T$4:$T$9)</f>
        <v>5.8333333333333336E-3</v>
      </c>
      <c r="Z8" s="26">
        <f t="shared" ref="Z8" si="35">EXP(-Y8*YearFraction)*Z7</f>
        <v>0.99418364752118304</v>
      </c>
      <c r="AA8" s="26">
        <f t="shared" si="3"/>
        <v>1.4509088498630973E-3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5.8333333333333336E-3</v>
      </c>
      <c r="AI8" s="18" cm="1">
        <f t="array" ref="AI8">flatInterpolation($AG8,$S$4:$S$9,AH$5:AH$10)</f>
        <v>5.8334333333333339E-3</v>
      </c>
      <c r="AJ8" s="26">
        <f t="shared" ref="AJ8" si="37">EXP(-AI8*YearFraction)*AJ7</f>
        <v>0.99418354810282306</v>
      </c>
      <c r="AK8" s="122">
        <f t="shared" si="5"/>
        <v>1.4509335956339742E-3</v>
      </c>
      <c r="AL8" s="127">
        <f>HazardRate4Y</f>
        <v>5.8333333333333336E-3</v>
      </c>
      <c r="AM8" s="18" cm="1">
        <f t="array" ref="AM8">flatInterpolation($AG8,$S$4:$S$9,AL$5:AL$10)</f>
        <v>5.8333333333333336E-3</v>
      </c>
      <c r="AN8" s="26">
        <f t="shared" ref="AN8" si="38">EXP(-AM8*YearFraction)*AN7</f>
        <v>0.99418364752118304</v>
      </c>
      <c r="AO8" s="122">
        <f t="shared" si="7"/>
        <v>1.4509088498630973E-3</v>
      </c>
      <c r="AP8" s="127">
        <f>HazardRate4Y</f>
        <v>5.8333333333333336E-3</v>
      </c>
      <c r="AQ8" s="18" cm="1">
        <f t="array" ref="AQ8">flatInterpolation($AG8,$S$4:$S$9,AP$5:AP$10)</f>
        <v>5.8333333333333336E-3</v>
      </c>
      <c r="AR8" s="26">
        <f t="shared" ref="AR8" si="39">EXP(-AQ8*YearFraction)*AR7</f>
        <v>0.99418364752118304</v>
      </c>
      <c r="AS8" s="122">
        <f t="shared" si="9"/>
        <v>1.4509088498630973E-3</v>
      </c>
      <c r="AT8" s="128">
        <f>HazardRate4Y+ShiftSize</f>
        <v>5.8334333333333339E-3</v>
      </c>
      <c r="AU8" s="18" cm="1">
        <f t="array" ref="AU8">flatInterpolation($AG8,$S$4:$S$9,AT$5:AT$10)</f>
        <v>5.8333333333333336E-3</v>
      </c>
      <c r="AV8" s="26">
        <f t="shared" ref="AV8" si="40">EXP(-AU8*YearFraction)*AV7</f>
        <v>0.99418364752118304</v>
      </c>
      <c r="AW8" s="122">
        <f t="shared" si="11"/>
        <v>1.4509088498630973E-3</v>
      </c>
      <c r="AX8" s="127">
        <f>HazardRate4Y</f>
        <v>5.8333333333333336E-3</v>
      </c>
      <c r="AY8" s="18" cm="1">
        <f t="array" ref="AY8">flatInterpolation($AG8,$S$4:$S$9,AX$5:AX$10)</f>
        <v>5.8333333333333336E-3</v>
      </c>
      <c r="AZ8" s="26">
        <f t="shared" ref="AZ8" si="41">EXP(-AY8*YearFraction)*AZ7</f>
        <v>0.99418364752118304</v>
      </c>
      <c r="BA8" s="122">
        <f t="shared" si="13"/>
        <v>1.4509088498630973E-3</v>
      </c>
      <c r="BB8" s="127">
        <f>HazardRate4Y</f>
        <v>5.8333333333333336E-3</v>
      </c>
      <c r="BC8" s="18" cm="1">
        <f t="array" ref="BC8">flatInterpolation($AG8,$S$4:$S$9,BB$5:BB$10)</f>
        <v>5.8333333333333336E-3</v>
      </c>
      <c r="BD8" s="26">
        <f t="shared" ref="BD8" si="42">EXP(-BC8*YearFraction)*BD7</f>
        <v>0.99418364752118304</v>
      </c>
      <c r="BE8" s="122">
        <f t="shared" si="15"/>
        <v>1.4509088498630973E-3</v>
      </c>
    </row>
    <row r="9" spans="3:58" x14ac:dyDescent="0.3">
      <c r="C9" s="1" t="s">
        <v>136</v>
      </c>
      <c r="K9" s="354" t="s">
        <v>9</v>
      </c>
      <c r="L9" s="355"/>
      <c r="M9" s="53">
        <f>Notional*(1-RecoveryRate)</f>
        <v>600000</v>
      </c>
      <c r="O9" s="77" t="s">
        <v>16</v>
      </c>
      <c r="P9" s="78">
        <v>35</v>
      </c>
      <c r="Q9" s="18">
        <f t="shared" si="0"/>
        <v>3.5000000000000001E-3</v>
      </c>
      <c r="S9" s="13">
        <v>10</v>
      </c>
      <c r="T9" s="88">
        <f t="shared" si="1"/>
        <v>5.8333333333333336E-3</v>
      </c>
      <c r="W9" s="18"/>
      <c r="X9" s="24">
        <f t="shared" ref="X9" si="43">X8+YearFraction</f>
        <v>1.25</v>
      </c>
      <c r="Y9" s="25" cm="1">
        <f t="array" ref="Y9">flatInterpolation(X9,$S$4:$S$9,$T$4:$T$9)</f>
        <v>5.8333333333333336E-3</v>
      </c>
      <c r="Z9" s="26">
        <f t="shared" ref="Z9" si="44">EXP(-Y9*YearFraction)*Z8</f>
        <v>0.99273485303795894</v>
      </c>
      <c r="AA9" s="26">
        <f t="shared" si="3"/>
        <v>1.4487944832241029E-3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5.8333333333333336E-3</v>
      </c>
      <c r="AI9" s="18" cm="1">
        <f t="array" ref="AI9">flatInterpolation($AG9,$S$4:$S$9,AH$5:AH$10)</f>
        <v>5.8333333333333336E-3</v>
      </c>
      <c r="AJ9" s="26">
        <f t="shared" ref="AJ9" si="46">EXP(-AI9*YearFraction)*AJ8</f>
        <v>0.99273475376447839</v>
      </c>
      <c r="AK9" s="122">
        <f t="shared" si="5"/>
        <v>1.4487943383446611E-3</v>
      </c>
      <c r="AL9" s="127">
        <f>HazardRate5Y</f>
        <v>5.8333333333333336E-3</v>
      </c>
      <c r="AM9" s="18" cm="1">
        <f t="array" ref="AM9">flatInterpolation($AG9,$S$4:$S$9,AL$5:AL$10)</f>
        <v>5.8334333333333339E-3</v>
      </c>
      <c r="AN9" s="26">
        <f t="shared" ref="AN9" si="47">EXP(-AM9*YearFraction)*AN8</f>
        <v>0.99273482821958792</v>
      </c>
      <c r="AO9" s="122">
        <f t="shared" si="7"/>
        <v>1.4488193015951278E-3</v>
      </c>
      <c r="AP9" s="127">
        <f>HazardRate5Y</f>
        <v>5.8333333333333336E-3</v>
      </c>
      <c r="AQ9" s="18" cm="1">
        <f t="array" ref="AQ9">flatInterpolation($AG9,$S$4:$S$9,AP$5:AP$10)</f>
        <v>5.8333333333333336E-3</v>
      </c>
      <c r="AR9" s="26">
        <f t="shared" ref="AR9" si="48">EXP(-AQ9*YearFraction)*AR8</f>
        <v>0.99273485303795894</v>
      </c>
      <c r="AS9" s="122">
        <f t="shared" si="9"/>
        <v>1.4487944832241029E-3</v>
      </c>
      <c r="AT9" s="127">
        <f>HazardRate5Y</f>
        <v>5.8333333333333336E-3</v>
      </c>
      <c r="AU9" s="18" cm="1">
        <f t="array" ref="AU9">flatInterpolation($AG9,$S$4:$S$9,AT$5:AT$10)</f>
        <v>5.8333333333333336E-3</v>
      </c>
      <c r="AV9" s="26">
        <f t="shared" ref="AV9" si="49">EXP(-AU9*YearFraction)*AV8</f>
        <v>0.99273485303795894</v>
      </c>
      <c r="AW9" s="122">
        <f t="shared" si="11"/>
        <v>1.4487944832241029E-3</v>
      </c>
      <c r="AX9" s="128">
        <f>HazardRate5Y+ShiftSize</f>
        <v>5.8334333333333339E-3</v>
      </c>
      <c r="AY9" s="18" cm="1">
        <f t="array" ref="AY9">flatInterpolation($AG9,$S$4:$S$9,AX$5:AX$10)</f>
        <v>5.8333333333333336E-3</v>
      </c>
      <c r="AZ9" s="26">
        <f t="shared" ref="AZ9" si="50">EXP(-AY9*YearFraction)*AZ8</f>
        <v>0.99273485303795894</v>
      </c>
      <c r="BA9" s="122">
        <f t="shared" si="13"/>
        <v>1.4487944832241029E-3</v>
      </c>
      <c r="BB9" s="127">
        <f>HazardRate5Y</f>
        <v>5.8333333333333336E-3</v>
      </c>
      <c r="BC9" s="18" cm="1">
        <f t="array" ref="BC9">flatInterpolation($AG9,$S$4:$S$9,BB$5:BB$10)</f>
        <v>5.8333333333333336E-3</v>
      </c>
      <c r="BD9" s="26">
        <f t="shared" ref="BD9" si="51">EXP(-BC9*YearFraction)*BD8</f>
        <v>0.99273485303795894</v>
      </c>
      <c r="BE9" s="122">
        <f t="shared" si="15"/>
        <v>1.4487944832241029E-3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5.8333333333333336E-3</v>
      </c>
      <c r="Z10" s="26">
        <f t="shared" ref="Z10" si="53">EXP(-Y10*YearFraction)*Z9</f>
        <v>0.99128816984016976</v>
      </c>
      <c r="AA10" s="26">
        <f t="shared" si="3"/>
        <v>1.4466831977891781E-3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5.8333333333333336E-3</v>
      </c>
      <c r="AI10" s="18" cm="1">
        <f t="array" ref="AI10">flatInterpolation($AG10,$S$4:$S$9,AH$5:AH$10)</f>
        <v>5.8333333333333336E-3</v>
      </c>
      <c r="AJ10" s="26">
        <f t="shared" ref="AJ10" si="55">EXP(-AI10*YearFraction)*AJ9</f>
        <v>0.99128807071135749</v>
      </c>
      <c r="AK10" s="122">
        <f t="shared" si="5"/>
        <v>1.4466830531209007E-3</v>
      </c>
      <c r="AL10" s="127">
        <f>HazardRate10Y</f>
        <v>5.8333333333333336E-3</v>
      </c>
      <c r="AM10" s="18" cm="1">
        <f t="array" ref="AM10">flatInterpolation($AG10,$S$4:$S$9,AL$5:AL$10)</f>
        <v>5.8334333333333339E-3</v>
      </c>
      <c r="AN10" s="26">
        <f t="shared" ref="AN10" si="56">EXP(-AM10*YearFraction)*AN9</f>
        <v>0.99128812027576241</v>
      </c>
      <c r="AO10" s="122">
        <f t="shared" si="7"/>
        <v>1.4467079438255093E-3</v>
      </c>
      <c r="AP10" s="127">
        <f>HazardRate10Y</f>
        <v>5.8333333333333336E-3</v>
      </c>
      <c r="AQ10" s="18" cm="1">
        <f t="array" ref="AQ10">flatInterpolation($AG10,$S$4:$S$9,AP$5:AP$10)</f>
        <v>5.8333333333333336E-3</v>
      </c>
      <c r="AR10" s="26">
        <f t="shared" ref="AR10" si="57">EXP(-AQ10*YearFraction)*AR9</f>
        <v>0.99128816984016976</v>
      </c>
      <c r="AS10" s="122">
        <f t="shared" si="9"/>
        <v>1.4466831977891781E-3</v>
      </c>
      <c r="AT10" s="127">
        <f>HazardRate10Y</f>
        <v>5.8333333333333336E-3</v>
      </c>
      <c r="AU10" s="18" cm="1">
        <f t="array" ref="AU10">flatInterpolation($AG10,$S$4:$S$9,AT$5:AT$10)</f>
        <v>5.8333333333333336E-3</v>
      </c>
      <c r="AV10" s="26">
        <f t="shared" ref="AV10" si="58">EXP(-AU10*YearFraction)*AV9</f>
        <v>0.99128816984016976</v>
      </c>
      <c r="AW10" s="122">
        <f t="shared" si="11"/>
        <v>1.4466831977891781E-3</v>
      </c>
      <c r="AX10" s="127">
        <f>HazardRate10Y</f>
        <v>5.8333333333333336E-3</v>
      </c>
      <c r="AY10" s="18" cm="1">
        <f t="array" ref="AY10">flatInterpolation($AG10,$S$4:$S$9,AX$5:AX$10)</f>
        <v>5.8333333333333336E-3</v>
      </c>
      <c r="AZ10" s="26">
        <f t="shared" ref="AZ10" si="59">EXP(-AY10*YearFraction)*AZ9</f>
        <v>0.99128816984016976</v>
      </c>
      <c r="BA10" s="122">
        <f t="shared" si="13"/>
        <v>1.4466831977891781E-3</v>
      </c>
      <c r="BB10" s="128">
        <f>HazardRate10Y+ShiftSize</f>
        <v>5.8334333333333339E-3</v>
      </c>
      <c r="BC10" s="18" cm="1">
        <f t="array" ref="BC10">flatInterpolation($AG10,$S$4:$S$9,BB$5:BB$10)</f>
        <v>5.8333333333333336E-3</v>
      </c>
      <c r="BD10" s="26">
        <f t="shared" ref="BD10" si="60">EXP(-BC10*YearFraction)*BD9</f>
        <v>0.99128816984016976</v>
      </c>
      <c r="BE10" s="122">
        <f t="shared" si="15"/>
        <v>1.4466831977891781E-3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5.8333333333333336E-3</v>
      </c>
      <c r="Z11" s="26">
        <f t="shared" ref="Z11" si="62">EXP(-Y11*YearFraction)*Z10</f>
        <v>0.98984359485110152</v>
      </c>
      <c r="AA11" s="26">
        <f t="shared" si="3"/>
        <v>1.444574989068248E-3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5.8333333333333336E-3</v>
      </c>
      <c r="AJ11" s="26">
        <f t="shared" ref="AJ11" si="64">EXP(-AI11*YearFraction)*AJ10</f>
        <v>0.9898434958667468</v>
      </c>
      <c r="AK11" s="122">
        <f t="shared" si="5"/>
        <v>1.444574844610691E-3</v>
      </c>
      <c r="AL11" s="116"/>
      <c r="AM11" s="18" cm="1">
        <f t="array" ref="AM11">flatInterpolation($AG11,$S$4:$S$9,AL$5:AL$10)</f>
        <v>5.8334333333333339E-3</v>
      </c>
      <c r="AN11" s="26">
        <f t="shared" ref="AN11" si="65">EXP(-AM11*YearFraction)*AN10</f>
        <v>0.98984352061283454</v>
      </c>
      <c r="AO11" s="122">
        <f t="shared" si="7"/>
        <v>1.4445996629278701E-3</v>
      </c>
      <c r="AP11" s="116"/>
      <c r="AQ11" s="18" cm="1">
        <f t="array" ref="AQ11">flatInterpolation($AG11,$S$4:$S$9,AP$5:AP$10)</f>
        <v>5.8333333333333336E-3</v>
      </c>
      <c r="AR11" s="26">
        <f t="shared" ref="AR11" si="66">EXP(-AQ11*YearFraction)*AR10</f>
        <v>0.98984359485110152</v>
      </c>
      <c r="AS11" s="122">
        <f t="shared" si="9"/>
        <v>1.444574989068248E-3</v>
      </c>
      <c r="AT11" s="116"/>
      <c r="AU11" s="18" cm="1">
        <f t="array" ref="AU11">flatInterpolation($AG11,$S$4:$S$9,AT$5:AT$10)</f>
        <v>5.8333333333333336E-3</v>
      </c>
      <c r="AV11" s="26">
        <f t="shared" ref="AV11" si="67">EXP(-AU11*YearFraction)*AV10</f>
        <v>0.98984359485110152</v>
      </c>
      <c r="AW11" s="122">
        <f t="shared" si="11"/>
        <v>1.444574989068248E-3</v>
      </c>
      <c r="AX11" s="116"/>
      <c r="AY11" s="18" cm="1">
        <f t="array" ref="AY11">flatInterpolation($AG11,$S$4:$S$9,AX$5:AX$10)</f>
        <v>5.8333333333333336E-3</v>
      </c>
      <c r="AZ11" s="26">
        <f t="shared" ref="AZ11" si="68">EXP(-AY11*YearFraction)*AZ10</f>
        <v>0.98984359485110152</v>
      </c>
      <c r="BA11" s="122">
        <f t="shared" si="13"/>
        <v>1.444574989068248E-3</v>
      </c>
      <c r="BB11" s="116"/>
      <c r="BC11" s="18" cm="1">
        <f t="array" ref="BC11">flatInterpolation($AG11,$S$4:$S$9,BB$5:BB$10)</f>
        <v>5.8333333333333336E-3</v>
      </c>
      <c r="BD11" s="26">
        <f t="shared" ref="BD11" si="69">EXP(-BC11*YearFraction)*BD10</f>
        <v>0.98984359485110152</v>
      </c>
      <c r="BE11" s="122">
        <f t="shared" si="15"/>
        <v>1.444574989068248E-3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5.8333333333333336E-3</v>
      </c>
      <c r="Z12" s="26">
        <f t="shared" ref="Z12" si="71">EXP(-Y12*YearFraction)*Z11</f>
        <v>0.98840112499852384</v>
      </c>
      <c r="AA12" s="26">
        <f t="shared" si="3"/>
        <v>1.4424698525776769E-3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5.8333333333333336E-3</v>
      </c>
      <c r="AJ12" s="26">
        <f t="shared" ref="AJ12" si="73">EXP(-AI12*YearFraction)*AJ11</f>
        <v>0.98840102615841618</v>
      </c>
      <c r="AK12" s="122">
        <f t="shared" si="5"/>
        <v>1.4424697083306182E-3</v>
      </c>
      <c r="AL12" s="116"/>
      <c r="AM12" s="18" cm="1">
        <f t="array" ref="AM12">flatInterpolation($AG12,$S$4:$S$9,AL$5:AL$10)</f>
        <v>5.8334333333333339E-3</v>
      </c>
      <c r="AN12" s="26">
        <f t="shared" ref="AN12" si="74">EXP(-AM12*YearFraction)*AN11</f>
        <v>0.98840102615841607</v>
      </c>
      <c r="AO12" s="122">
        <f t="shared" si="7"/>
        <v>1.4424944544184637E-3</v>
      </c>
      <c r="AP12" s="116"/>
      <c r="AQ12" s="18" cm="1">
        <f t="array" ref="AQ12">flatInterpolation($AG12,$S$4:$S$9,AP$5:AP$10)</f>
        <v>5.8333333333333336E-3</v>
      </c>
      <c r="AR12" s="26">
        <f t="shared" ref="AR12" si="75">EXP(-AQ12*YearFraction)*AR11</f>
        <v>0.98840112499852384</v>
      </c>
      <c r="AS12" s="122">
        <f t="shared" si="9"/>
        <v>1.4424698525776769E-3</v>
      </c>
      <c r="AT12" s="116"/>
      <c r="AU12" s="18" cm="1">
        <f t="array" ref="AU12">flatInterpolation($AG12,$S$4:$S$9,AT$5:AT$10)</f>
        <v>5.8333333333333336E-3</v>
      </c>
      <c r="AV12" s="26">
        <f t="shared" ref="AV12" si="76">EXP(-AU12*YearFraction)*AV11</f>
        <v>0.98840112499852384</v>
      </c>
      <c r="AW12" s="122">
        <f t="shared" si="11"/>
        <v>1.4424698525776769E-3</v>
      </c>
      <c r="AX12" s="116"/>
      <c r="AY12" s="18" cm="1">
        <f t="array" ref="AY12">flatInterpolation($AG12,$S$4:$S$9,AX$5:AX$10)</f>
        <v>5.8333333333333336E-3</v>
      </c>
      <c r="AZ12" s="26">
        <f t="shared" ref="AZ12" si="77">EXP(-AY12*YearFraction)*AZ11</f>
        <v>0.98840112499852384</v>
      </c>
      <c r="BA12" s="122">
        <f t="shared" si="13"/>
        <v>1.4424698525776769E-3</v>
      </c>
      <c r="BB12" s="116"/>
      <c r="BC12" s="18" cm="1">
        <f t="array" ref="BC12">flatInterpolation($AG12,$S$4:$S$9,BB$5:BB$10)</f>
        <v>5.8333333333333336E-3</v>
      </c>
      <c r="BD12" s="26">
        <f t="shared" ref="BD12" si="78">EXP(-BC12*YearFraction)*BD11</f>
        <v>0.98840112499852384</v>
      </c>
      <c r="BE12" s="122">
        <f t="shared" si="15"/>
        <v>1.4424698525776769E-3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5.8333333333333336E-3</v>
      </c>
      <c r="Z13" s="26">
        <f t="shared" ref="Z13" si="80">EXP(-Y13*YearFraction)*Z12</f>
        <v>0.98696075721468357</v>
      </c>
      <c r="AA13" s="26">
        <f t="shared" si="3"/>
        <v>1.4403677838402684E-3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5.8333333333333336E-3</v>
      </c>
      <c r="AJ13" s="26">
        <f t="shared" ref="AJ13" si="82">EXP(-AI13*YearFraction)*AJ12</f>
        <v>0.9869606585186127</v>
      </c>
      <c r="AK13" s="122">
        <f t="shared" si="5"/>
        <v>1.4403676398034859E-3</v>
      </c>
      <c r="AL13" s="116"/>
      <c r="AM13" s="18" cm="1">
        <f t="array" ref="AM13">flatInterpolation($AG13,$S$4:$S$9,AL$5:AL$10)</f>
        <v>5.8333333333333336E-3</v>
      </c>
      <c r="AN13" s="26">
        <f t="shared" ref="AN13" si="83">EXP(-AM13*YearFraction)*AN12</f>
        <v>0.98696065851861259</v>
      </c>
      <c r="AO13" s="122">
        <f t="shared" si="7"/>
        <v>1.4403676398034859E-3</v>
      </c>
      <c r="AP13" s="116"/>
      <c r="AQ13" s="18" cm="1">
        <f t="array" ref="AQ13">flatInterpolation($AG13,$S$4:$S$9,AP$5:AP$10)</f>
        <v>5.8334333333333339E-3</v>
      </c>
      <c r="AR13" s="26">
        <f t="shared" ref="AR13" si="84">EXP(-AQ13*YearFraction)*AR12</f>
        <v>0.98696073254066485</v>
      </c>
      <c r="AS13" s="122">
        <f t="shared" si="9"/>
        <v>1.4403924578589855E-3</v>
      </c>
      <c r="AT13" s="116"/>
      <c r="AU13" s="18" cm="1">
        <f t="array" ref="AU13">flatInterpolation($AG13,$S$4:$S$9,AT$5:AT$10)</f>
        <v>5.8333333333333336E-3</v>
      </c>
      <c r="AV13" s="26">
        <f t="shared" ref="AV13" si="85">EXP(-AU13*YearFraction)*AV12</f>
        <v>0.98696075721468357</v>
      </c>
      <c r="AW13" s="122">
        <f t="shared" si="11"/>
        <v>1.4403677838402684E-3</v>
      </c>
      <c r="AX13" s="116"/>
      <c r="AY13" s="18" cm="1">
        <f t="array" ref="AY13">flatInterpolation($AG13,$S$4:$S$9,AX$5:AX$10)</f>
        <v>5.8333333333333336E-3</v>
      </c>
      <c r="AZ13" s="26">
        <f t="shared" ref="AZ13" si="86">EXP(-AY13*YearFraction)*AZ12</f>
        <v>0.98696075721468357</v>
      </c>
      <c r="BA13" s="122">
        <f t="shared" si="13"/>
        <v>1.4403677838402684E-3</v>
      </c>
      <c r="BB13" s="116"/>
      <c r="BC13" s="18" cm="1">
        <f t="array" ref="BC13">flatInterpolation($AG13,$S$4:$S$9,BB$5:BB$10)</f>
        <v>5.8333333333333336E-3</v>
      </c>
      <c r="BD13" s="26">
        <f t="shared" ref="BD13" si="87">EXP(-BC13*YearFraction)*BD12</f>
        <v>0.98696075721468357</v>
      </c>
      <c r="BE13" s="122">
        <f t="shared" si="15"/>
        <v>1.4403677838402684E-3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3.5000000000000001E-3</v>
      </c>
      <c r="M14" s="31">
        <f t="shared" ref="M14" si="89">-Notional*L14*YearFraction</f>
        <v>-875</v>
      </c>
      <c r="N14" s="32">
        <f>M14*SUMPRODUCT(PSurvival1Y,DiscFactors1Y)</f>
        <v>-3388.985826680133</v>
      </c>
      <c r="O14" s="32">
        <f>M14*0.5*SUMPRODUCT(PDefault1Y,DiscFactors1Y)</f>
        <v>-2.4729382444836063</v>
      </c>
      <c r="P14" s="32">
        <f>LGD*SUMPRODUCT(PDefault1Y,DiscFactors1Y)</f>
        <v>3391.4581638632312</v>
      </c>
      <c r="Q14" s="33">
        <f t="shared" ref="Q14:Q19" si="90">SUM(N14:P14)</f>
        <v>-6.0106138516857754E-4</v>
      </c>
      <c r="S14" s="79">
        <f>Notional*YearFraction*(SUMPRODUCT(PSurvival1Y,DiscFactors1Y)+0.5*SUMPRODUCT(PDefault1Y,DiscFactors1Y))</f>
        <v>968988.21854989044</v>
      </c>
      <c r="T14" s="80">
        <f t="shared" ref="T14:T19" si="91">P14/S14*10000</f>
        <v>34.999993797020707</v>
      </c>
      <c r="U14" s="18">
        <f t="shared" ref="U14:U19" si="92">T14/10000</f>
        <v>3.4999993797020707E-3</v>
      </c>
      <c r="V14" s="18">
        <f t="shared" ref="V14:V19" si="93">U14-Q4</f>
        <v>-6.2029792934070738E-10</v>
      </c>
      <c r="W14" s="17"/>
      <c r="X14" s="24">
        <f t="shared" ref="X14" si="94">X13+YearFraction</f>
        <v>2.5</v>
      </c>
      <c r="Y14" s="25" cm="1">
        <f t="array" ref="Y14">flatInterpolation(X14,$S$4:$S$9,$T$4:$T$9)</f>
        <v>5.8333333333333336E-3</v>
      </c>
      <c r="Z14" s="26">
        <f t="shared" ref="Z14" si="95">EXP(-Y14*YearFraction)*Z13</f>
        <v>0.98552248843629786</v>
      </c>
      <c r="AA14" s="26">
        <f t="shared" si="3"/>
        <v>1.4382687783857095E-3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5.8333333333333336E-3</v>
      </c>
      <c r="AJ14" s="26">
        <f t="shared" ref="AJ14" si="97">EXP(-AI14*YearFraction)*AJ13</f>
        <v>0.98552238988405394</v>
      </c>
      <c r="AK14" s="122">
        <f t="shared" si="5"/>
        <v>1.4382686345587592E-3</v>
      </c>
      <c r="AL14" s="116"/>
      <c r="AM14" s="18" cm="1">
        <f t="array" ref="AM14">flatInterpolation($AG14,$S$4:$S$9,AL$5:AL$10)</f>
        <v>5.8333333333333336E-3</v>
      </c>
      <c r="AN14" s="26">
        <f t="shared" ref="AN14" si="98">EXP(-AM14*YearFraction)*AN13</f>
        <v>0.98552238988405383</v>
      </c>
      <c r="AO14" s="122">
        <f t="shared" si="7"/>
        <v>1.4382686345587592E-3</v>
      </c>
      <c r="AP14" s="116"/>
      <c r="AQ14" s="18" cm="1">
        <f t="array" ref="AQ14">flatInterpolation($AG14,$S$4:$S$9,AP$5:AP$10)</f>
        <v>5.8334333333333339E-3</v>
      </c>
      <c r="AR14" s="26">
        <f t="shared" ref="AR14" si="99">EXP(-AQ14*YearFraction)*AR13</f>
        <v>0.98552243916017457</v>
      </c>
      <c r="AS14" s="122">
        <f t="shared" si="9"/>
        <v>1.4382933804902853E-3</v>
      </c>
      <c r="AT14" s="116"/>
      <c r="AU14" s="18" cm="1">
        <f t="array" ref="AU14">flatInterpolation($AG14,$S$4:$S$9,AT$5:AT$10)</f>
        <v>5.8333333333333336E-3</v>
      </c>
      <c r="AV14" s="26">
        <f t="shared" ref="AV14" si="100">EXP(-AU14*YearFraction)*AV13</f>
        <v>0.98552248843629786</v>
      </c>
      <c r="AW14" s="122">
        <f t="shared" si="11"/>
        <v>1.4382687783857095E-3</v>
      </c>
      <c r="AX14" s="116"/>
      <c r="AY14" s="18" cm="1">
        <f t="array" ref="AY14">flatInterpolation($AG14,$S$4:$S$9,AX$5:AX$10)</f>
        <v>5.8333333333333336E-3</v>
      </c>
      <c r="AZ14" s="26">
        <f t="shared" ref="AZ14" si="101">EXP(-AY14*YearFraction)*AZ13</f>
        <v>0.98552248843629786</v>
      </c>
      <c r="BA14" s="122">
        <f t="shared" si="13"/>
        <v>1.4382687783857095E-3</v>
      </c>
      <c r="BB14" s="116"/>
      <c r="BC14" s="18" cm="1">
        <f t="array" ref="BC14">flatInterpolation($AG14,$S$4:$S$9,BB$5:BB$10)</f>
        <v>5.8333333333333336E-3</v>
      </c>
      <c r="BD14" s="26">
        <f t="shared" ref="BD14" si="102">EXP(-BC14*YearFraction)*BD13</f>
        <v>0.98552248843629786</v>
      </c>
      <c r="BE14" s="122">
        <f t="shared" si="15"/>
        <v>1.4382687783857095E-3</v>
      </c>
    </row>
    <row r="15" spans="3:58" x14ac:dyDescent="0.3">
      <c r="C15" t="s">
        <v>149</v>
      </c>
      <c r="K15" s="34" t="s">
        <v>12</v>
      </c>
      <c r="L15" s="18">
        <f t="shared" si="88"/>
        <v>3.5000000000000001E-3</v>
      </c>
      <c r="M15" s="2">
        <f t="shared" ref="M15" si="103">-Notional*L15*YearFraction</f>
        <v>-875</v>
      </c>
      <c r="N15" s="28">
        <f>M15*SUMPRODUCT(PSurvival2Y,DiscFactors2Y)</f>
        <v>-6612.929018235186</v>
      </c>
      <c r="O15" s="4">
        <f>M15*0.5*SUMPRODUCT(PDefault2Y,DiscFactors2Y)</f>
        <v>-4.8254451076501477</v>
      </c>
      <c r="P15" s="4">
        <f>LGD*SUMPRODUCT(PDefault2Y,DiscFactors2Y)</f>
        <v>6617.7532904916316</v>
      </c>
      <c r="Q15" s="5">
        <f t="shared" si="90"/>
        <v>-1.1728512045010575E-3</v>
      </c>
      <c r="S15" s="3">
        <f>Notional*YearFraction*(SUMPRODUCT(PSurvival2Y,DiscFactors2Y)+0.5*SUMPRODUCT(PDefault2Y,DiscFactors2Y))</f>
        <v>1890786.9895265247</v>
      </c>
      <c r="T15" s="81">
        <f t="shared" si="91"/>
        <v>34.99999379702097</v>
      </c>
      <c r="U15" s="18">
        <f t="shared" si="92"/>
        <v>3.4999993797020972E-3</v>
      </c>
      <c r="V15" s="18">
        <f t="shared" si="93"/>
        <v>-6.2029790288617437E-10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5.8333333333333336E-3</v>
      </c>
      <c r="Z15" s="26">
        <f t="shared" ref="Z15" si="105">EXP(-Y15*YearFraction)*Z14</f>
        <v>0.98408631560454818</v>
      </c>
      <c r="AA15" s="26">
        <f t="shared" si="3"/>
        <v>1.4361728317496825E-3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5.8333333333333336E-3</v>
      </c>
      <c r="AJ15" s="26">
        <f t="shared" ref="AJ15" si="107">EXP(-AI15*YearFraction)*AJ14</f>
        <v>0.98408621719592149</v>
      </c>
      <c r="AK15" s="122">
        <f t="shared" si="5"/>
        <v>1.4361726881324532E-3</v>
      </c>
      <c r="AL15" s="116"/>
      <c r="AM15" s="18" cm="1">
        <f t="array" ref="AM15">flatInterpolation($AG15,$S$4:$S$9,AL$5:AL$10)</f>
        <v>5.8333333333333336E-3</v>
      </c>
      <c r="AN15" s="26">
        <f t="shared" ref="AN15" si="108">EXP(-AM15*YearFraction)*AN14</f>
        <v>0.98408621719592138</v>
      </c>
      <c r="AO15" s="122">
        <f t="shared" si="7"/>
        <v>1.4361726881324532E-3</v>
      </c>
      <c r="AP15" s="116"/>
      <c r="AQ15" s="18" cm="1">
        <f t="array" ref="AQ15">flatInterpolation($AG15,$S$4:$S$9,AP$5:AP$10)</f>
        <v>5.8334333333333339E-3</v>
      </c>
      <c r="AR15" s="26">
        <f t="shared" ref="AR15" si="109">EXP(-AQ15*YearFraction)*AR14</f>
        <v>0.98408624179807702</v>
      </c>
      <c r="AS15" s="122">
        <f t="shared" si="9"/>
        <v>1.4361973620975466E-3</v>
      </c>
      <c r="AT15" s="116"/>
      <c r="AU15" s="18" cm="1">
        <f t="array" ref="AU15">flatInterpolation($AG15,$S$4:$S$9,AT$5:AT$10)</f>
        <v>5.8333333333333336E-3</v>
      </c>
      <c r="AV15" s="26">
        <f t="shared" ref="AV15" si="110">EXP(-AU15*YearFraction)*AV14</f>
        <v>0.98408631560454818</v>
      </c>
      <c r="AW15" s="122">
        <f t="shared" si="11"/>
        <v>1.4361728317496825E-3</v>
      </c>
      <c r="AX15" s="116"/>
      <c r="AY15" s="18" cm="1">
        <f t="array" ref="AY15">flatInterpolation($AG15,$S$4:$S$9,AX$5:AX$10)</f>
        <v>5.8333333333333336E-3</v>
      </c>
      <c r="AZ15" s="26">
        <f t="shared" ref="AZ15" si="111">EXP(-AY15*YearFraction)*AZ14</f>
        <v>0.98408631560454818</v>
      </c>
      <c r="BA15" s="122">
        <f t="shared" si="13"/>
        <v>1.4361728317496825E-3</v>
      </c>
      <c r="BB15" s="116"/>
      <c r="BC15" s="18" cm="1">
        <f t="array" ref="BC15">flatInterpolation($AG15,$S$4:$S$9,BB$5:BB$10)</f>
        <v>5.8333333333333336E-3</v>
      </c>
      <c r="BD15" s="26">
        <f t="shared" ref="BD15" si="112">EXP(-BC15*YearFraction)*BD14</f>
        <v>0.98408631560454818</v>
      </c>
      <c r="BE15" s="122">
        <f t="shared" si="15"/>
        <v>1.4361728317496825E-3</v>
      </c>
    </row>
    <row r="16" spans="3:58" x14ac:dyDescent="0.3">
      <c r="C16" t="s">
        <v>152</v>
      </c>
      <c r="K16" s="34" t="s">
        <v>13</v>
      </c>
      <c r="L16" s="18">
        <f t="shared" si="88"/>
        <v>3.5000000000000001E-3</v>
      </c>
      <c r="M16" s="2">
        <f t="shared" ref="M16" si="113">-Notional*L16*YearFraction</f>
        <v>-875</v>
      </c>
      <c r="N16" s="28">
        <f>M16*SUMPRODUCT(PSurvival3Y,DiscFactors3Y)</f>
        <v>-9689.3595009313049</v>
      </c>
      <c r="O16" s="4">
        <f>M16*0.5*SUMPRODUCT(PDefault3Y,DiscFactors3Y)</f>
        <v>-7.0703121523161512</v>
      </c>
      <c r="P16" s="4">
        <f>LGD*SUMPRODUCT(PDefault3Y,DiscFactors3Y)</f>
        <v>9696.4280946050076</v>
      </c>
      <c r="Q16" s="5">
        <f t="shared" si="90"/>
        <v>-1.7184786138386698E-3</v>
      </c>
      <c r="S16" s="3">
        <f>Notional*YearFraction*(SUMPRODUCT(PSurvival3Y,DiscFactors3Y)+0.5*SUMPRODUCT(PDefault3Y,DiscFactors3Y))</f>
        <v>2770408.5180238914</v>
      </c>
      <c r="T16" s="81">
        <f t="shared" si="91"/>
        <v>34.999993797020906</v>
      </c>
      <c r="U16" s="18">
        <f t="shared" si="92"/>
        <v>3.4999993797020907E-3</v>
      </c>
      <c r="V16" s="18">
        <f t="shared" si="93"/>
        <v>-6.202979093913874E-10</v>
      </c>
      <c r="W16" s="17"/>
      <c r="X16" s="24">
        <f t="shared" ref="X16" si="114">X15+YearFraction</f>
        <v>3</v>
      </c>
      <c r="Y16" s="25" cm="1">
        <f t="array" ref="Y16">flatInterpolation(X16,$S$4:$S$9,$T$4:$T$9)</f>
        <v>5.8333333333333336E-3</v>
      </c>
      <c r="Z16" s="26">
        <f t="shared" ref="Z16" si="115">EXP(-Y16*YearFraction)*Z15</f>
        <v>0.9826522356650732</v>
      </c>
      <c r="AA16" s="26">
        <f t="shared" si="3"/>
        <v>1.4340799394749748E-3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5.8333333333333336E-3</v>
      </c>
      <c r="AJ16" s="26">
        <f t="shared" ref="AJ16" si="117">EXP(-AI16*YearFraction)*AJ15</f>
        <v>0.98265213739985446</v>
      </c>
      <c r="AK16" s="122">
        <f t="shared" si="5"/>
        <v>1.4340797960670226E-3</v>
      </c>
      <c r="AL16" s="116"/>
      <c r="AM16" s="18" cm="1">
        <f t="array" ref="AM16">flatInterpolation($AG16,$S$4:$S$9,AL$5:AL$10)</f>
        <v>5.8333333333333336E-3</v>
      </c>
      <c r="AN16" s="26">
        <f t="shared" ref="AN16" si="118">EXP(-AM16*YearFraction)*AN15</f>
        <v>0.98265213739985435</v>
      </c>
      <c r="AO16" s="122">
        <f t="shared" si="7"/>
        <v>1.4340797960670226E-3</v>
      </c>
      <c r="AP16" s="116"/>
      <c r="AQ16" s="18" cm="1">
        <f t="array" ref="AQ16">flatInterpolation($AG16,$S$4:$S$9,AP$5:AP$10)</f>
        <v>5.8334333333333339E-3</v>
      </c>
      <c r="AR16" s="26">
        <f t="shared" ref="AR16" si="119">EXP(-AQ16*YearFraction)*AR15</f>
        <v>0.98265213739985424</v>
      </c>
      <c r="AS16" s="122">
        <f t="shared" si="9"/>
        <v>1.4341043982227797E-3</v>
      </c>
      <c r="AT16" s="116"/>
      <c r="AU16" s="18" cm="1">
        <f t="array" ref="AU16">flatInterpolation($AG16,$S$4:$S$9,AT$5:AT$10)</f>
        <v>5.8333333333333336E-3</v>
      </c>
      <c r="AV16" s="26">
        <f t="shared" ref="AV16" si="120">EXP(-AU16*YearFraction)*AV15</f>
        <v>0.9826522356650732</v>
      </c>
      <c r="AW16" s="122">
        <f t="shared" si="11"/>
        <v>1.4340799394749748E-3</v>
      </c>
      <c r="AX16" s="116"/>
      <c r="AY16" s="18" cm="1">
        <f t="array" ref="AY16">flatInterpolation($AG16,$S$4:$S$9,AX$5:AX$10)</f>
        <v>5.8333333333333336E-3</v>
      </c>
      <c r="AZ16" s="26">
        <f t="shared" ref="AZ16" si="121">EXP(-AY16*YearFraction)*AZ15</f>
        <v>0.9826522356650732</v>
      </c>
      <c r="BA16" s="122">
        <f t="shared" si="13"/>
        <v>1.4340799394749748E-3</v>
      </c>
      <c r="BB16" s="116"/>
      <c r="BC16" s="18" cm="1">
        <f t="array" ref="BC16">flatInterpolation($AG16,$S$4:$S$9,BB$5:BB$10)</f>
        <v>5.8333333333333336E-3</v>
      </c>
      <c r="BD16" s="26">
        <f t="shared" ref="BD16" si="122">EXP(-BC16*YearFraction)*BD15</f>
        <v>0.9826522356650732</v>
      </c>
      <c r="BE16" s="122">
        <f t="shared" si="15"/>
        <v>1.4340799394749748E-3</v>
      </c>
    </row>
    <row r="17" spans="3:57" x14ac:dyDescent="0.3">
      <c r="C17" t="s">
        <v>153</v>
      </c>
      <c r="K17" s="34" t="s">
        <v>14</v>
      </c>
      <c r="L17" s="18">
        <f t="shared" si="88"/>
        <v>3.5000000000000001E-3</v>
      </c>
      <c r="M17" s="2">
        <f t="shared" ref="M17" si="123">-Notional*L17*YearFraction</f>
        <v>-875</v>
      </c>
      <c r="N17" s="28">
        <f>M17*SUMPRODUCT(PSurvival4Y,DiscFactors4Y)</f>
        <v>-12630.975297932951</v>
      </c>
      <c r="O17" s="4">
        <f>M17*0.5*SUMPRODUCT(PDefault4Y,DiscFactors4Y)</f>
        <v>-9.2168051083249463</v>
      </c>
      <c r="P17" s="4">
        <f>LGD*SUMPRODUCT(PDefault4Y,DiscFactors4Y)</f>
        <v>12640.189862845642</v>
      </c>
      <c r="Q17" s="5">
        <f t="shared" si="90"/>
        <v>-2.2401956339308526E-3</v>
      </c>
      <c r="S17" s="3">
        <f>Notional*YearFraction*(SUMPRODUCT(PSurvival4Y,DiscFactors4Y)+0.5*SUMPRODUCT(PDefault4Y,DiscFactors4Y))</f>
        <v>3611483.458011793</v>
      </c>
      <c r="T17" s="81">
        <f t="shared" si="91"/>
        <v>34.99999379702092</v>
      </c>
      <c r="U17" s="18">
        <f t="shared" si="92"/>
        <v>3.499999379702092E-3</v>
      </c>
      <c r="V17" s="18">
        <f t="shared" si="93"/>
        <v>-6.202979080903448E-10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5.8333333333333336E-3</v>
      </c>
      <c r="Z17" s="26">
        <f t="shared" ref="Z17" si="125">EXP(-Y17*YearFraction)*Z16</f>
        <v>0.98122024556796283</v>
      </c>
      <c r="AA17" s="26">
        <f t="shared" si="3"/>
        <v>1.4319900971103694E-3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5.8333333333333336E-3</v>
      </c>
      <c r="AJ17" s="26">
        <f t="shared" ref="AJ17" si="127">EXP(-AI17*YearFraction)*AJ16</f>
        <v>0.9812201474459431</v>
      </c>
      <c r="AK17" s="122">
        <f t="shared" si="5"/>
        <v>1.4319899539113612E-3</v>
      </c>
      <c r="AL17" s="116"/>
      <c r="AM17" s="18" cm="1">
        <f t="array" ref="AM17">flatInterpolation($AG17,$S$4:$S$9,AL$5:AL$10)</f>
        <v>5.8333333333333336E-3</v>
      </c>
      <c r="AN17" s="26">
        <f t="shared" ref="AN17" si="128">EXP(-AM17*YearFraction)*AN16</f>
        <v>0.98122014744594299</v>
      </c>
      <c r="AO17" s="122">
        <f t="shared" si="7"/>
        <v>1.4319899539113612E-3</v>
      </c>
      <c r="AP17" s="116"/>
      <c r="AQ17" s="18" cm="1">
        <f t="array" ref="AQ17">flatInterpolation($AG17,$S$4:$S$9,AP$5:AP$10)</f>
        <v>5.8333333333333336E-3</v>
      </c>
      <c r="AR17" s="26">
        <f t="shared" ref="AR17" si="129">EXP(-AQ17*YearFraction)*AR16</f>
        <v>0.98122014744594288</v>
      </c>
      <c r="AS17" s="122">
        <f t="shared" si="9"/>
        <v>1.4319899539113612E-3</v>
      </c>
      <c r="AT17" s="116"/>
      <c r="AU17" s="18" cm="1">
        <f t="array" ref="AU17">flatInterpolation($AG17,$S$4:$S$9,AT$5:AT$10)</f>
        <v>5.8334333333333339E-3</v>
      </c>
      <c r="AV17" s="26">
        <f t="shared" ref="AV17" si="130">EXP(-AU17*YearFraction)*AV16</f>
        <v>0.98122022103745699</v>
      </c>
      <c r="AW17" s="122">
        <f t="shared" si="11"/>
        <v>1.4320146276162182E-3</v>
      </c>
      <c r="AX17" s="116"/>
      <c r="AY17" s="18" cm="1">
        <f t="array" ref="AY17">flatInterpolation($AG17,$S$4:$S$9,AX$5:AX$10)</f>
        <v>5.8333333333333336E-3</v>
      </c>
      <c r="AZ17" s="26">
        <f t="shared" ref="AZ17" si="131">EXP(-AY17*YearFraction)*AZ16</f>
        <v>0.98122024556796283</v>
      </c>
      <c r="BA17" s="122">
        <f t="shared" si="13"/>
        <v>1.4319900971103694E-3</v>
      </c>
      <c r="BB17" s="116"/>
      <c r="BC17" s="18" cm="1">
        <f t="array" ref="BC17">flatInterpolation($AG17,$S$4:$S$9,BB$5:BB$10)</f>
        <v>5.8333333333333336E-3</v>
      </c>
      <c r="BD17" s="26">
        <f t="shared" ref="BD17" si="132">EXP(-BC17*YearFraction)*BD16</f>
        <v>0.98122024556796283</v>
      </c>
      <c r="BE17" s="122">
        <f t="shared" si="15"/>
        <v>1.4319900971103694E-3</v>
      </c>
    </row>
    <row r="18" spans="3:57" x14ac:dyDescent="0.3">
      <c r="C18" t="s">
        <v>154</v>
      </c>
      <c r="K18" s="34" t="s">
        <v>15</v>
      </c>
      <c r="L18" s="18">
        <f t="shared" si="88"/>
        <v>3.5000000000000001E-3</v>
      </c>
      <c r="M18" s="2">
        <f t="shared" ref="M18" si="133">-Notional*L18*YearFraction</f>
        <v>-875</v>
      </c>
      <c r="N18" s="28">
        <f>M18*SUMPRODUCT(PSurvival5Y,DiscFactors5Y)</f>
        <v>-15446.88633144598</v>
      </c>
      <c r="O18" s="4">
        <f>M18*0.5*SUMPRODUCT(PDefault5Y,DiscFactors5Y)</f>
        <v>-11.271571473240458</v>
      </c>
      <c r="P18" s="4">
        <f>LGD*SUMPRODUCT(PDefault5Y,DiscFactors5Y)</f>
        <v>15458.155163301199</v>
      </c>
      <c r="Q18" s="5">
        <f t="shared" si="90"/>
        <v>-2.7396180212235777E-3</v>
      </c>
      <c r="S18" s="3">
        <f>Notional*YearFraction*(SUMPRODUCT(PSurvival5Y,DiscFactors5Y)+0.5*SUMPRODUCT(PDefault5Y,DiscFactors5Y))</f>
        <v>4416616.5436912049</v>
      </c>
      <c r="T18" s="81">
        <f t="shared" si="91"/>
        <v>34.999993797020885</v>
      </c>
      <c r="U18" s="18">
        <f t="shared" si="92"/>
        <v>3.4999993797020885E-3</v>
      </c>
      <c r="V18" s="18">
        <f t="shared" si="93"/>
        <v>-6.2029791155979175E-10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5.8333333333333336E-3</v>
      </c>
      <c r="Z18" s="26">
        <f t="shared" ref="Z18" si="135">EXP(-Y18*YearFraction)*Z17</f>
        <v>0.97979034226775152</v>
      </c>
      <c r="AA18" s="26">
        <f t="shared" si="3"/>
        <v>1.4299033002113104E-3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5.8333333333333336E-3</v>
      </c>
      <c r="AJ18" s="26">
        <f t="shared" ref="AJ18" si="137">EXP(-AI18*YearFraction)*AJ17</f>
        <v>0.97979024428872208</v>
      </c>
      <c r="AK18" s="122">
        <f t="shared" si="5"/>
        <v>1.4299031572210241E-3</v>
      </c>
      <c r="AL18" s="116"/>
      <c r="AM18" s="18" cm="1">
        <f t="array" ref="AM18">flatInterpolation($AG18,$S$4:$S$9,AL$5:AL$10)</f>
        <v>5.8333333333333336E-3</v>
      </c>
      <c r="AN18" s="26">
        <f t="shared" ref="AN18" si="138">EXP(-AM18*YearFraction)*AN17</f>
        <v>0.97979024428872197</v>
      </c>
      <c r="AO18" s="122">
        <f t="shared" si="7"/>
        <v>1.4299031572210241E-3</v>
      </c>
      <c r="AP18" s="116"/>
      <c r="AQ18" s="18" cm="1">
        <f t="array" ref="AQ18">flatInterpolation($AG18,$S$4:$S$9,AP$5:AP$10)</f>
        <v>5.8333333333333336E-3</v>
      </c>
      <c r="AR18" s="26">
        <f t="shared" ref="AR18" si="139">EXP(-AQ18*YearFraction)*AR17</f>
        <v>0.97979024428872186</v>
      </c>
      <c r="AS18" s="122">
        <f t="shared" si="9"/>
        <v>1.4299031572210241E-3</v>
      </c>
      <c r="AT18" s="116"/>
      <c r="AU18" s="18" cm="1">
        <f t="array" ref="AU18">flatInterpolation($AG18,$S$4:$S$9,AT$5:AT$10)</f>
        <v>5.8334333333333339E-3</v>
      </c>
      <c r="AV18" s="26">
        <f t="shared" ref="AV18" si="140">EXP(-AU18*YearFraction)*AV17</f>
        <v>0.97979029327823552</v>
      </c>
      <c r="AW18" s="122">
        <f t="shared" si="11"/>
        <v>1.429927759221461E-3</v>
      </c>
      <c r="AX18" s="116"/>
      <c r="AY18" s="18" cm="1">
        <f t="array" ref="AY18">flatInterpolation($AG18,$S$4:$S$9,AX$5:AX$10)</f>
        <v>5.8333333333333336E-3</v>
      </c>
      <c r="AZ18" s="26">
        <f t="shared" ref="AZ18" si="141">EXP(-AY18*YearFraction)*AZ17</f>
        <v>0.97979034226775152</v>
      </c>
      <c r="BA18" s="122">
        <f t="shared" si="13"/>
        <v>1.4299033002113104E-3</v>
      </c>
      <c r="BB18" s="116"/>
      <c r="BC18" s="18" cm="1">
        <f t="array" ref="BC18">flatInterpolation($AG18,$S$4:$S$9,BB$5:BB$10)</f>
        <v>5.8333333333333336E-3</v>
      </c>
      <c r="BD18" s="26">
        <f t="shared" ref="BD18" si="142">EXP(-BC18*YearFraction)*BD17</f>
        <v>0.97979034226775152</v>
      </c>
      <c r="BE18" s="122">
        <f t="shared" si="15"/>
        <v>1.4299033002113104E-3</v>
      </c>
    </row>
    <row r="19" spans="3:57" x14ac:dyDescent="0.3">
      <c r="C19" t="s">
        <v>330</v>
      </c>
      <c r="K19" s="35" t="s">
        <v>16</v>
      </c>
      <c r="L19" s="36">
        <f t="shared" si="88"/>
        <v>3.5000000000000001E-3</v>
      </c>
      <c r="M19" s="37">
        <f t="shared" ref="M19" si="143">-Notional*L19*YearFraction</f>
        <v>-875</v>
      </c>
      <c r="N19" s="38">
        <f>M19*SUMPRODUCT(PSurvival10Y,DiscFactors10Y)</f>
        <v>-27838.627706213538</v>
      </c>
      <c r="O19" s="7">
        <f>M19*0.5*SUMPRODUCT(PDefault10Y,DiscFactors10Y)</f>
        <v>-20.313807920547035</v>
      </c>
      <c r="P19" s="7">
        <f>LGD*SUMPRODUCT(PDefault10Y,DiscFactors10Y)</f>
        <v>27858.93657675022</v>
      </c>
      <c r="Q19" s="8">
        <f t="shared" si="90"/>
        <v>-4.9373838628525846E-3</v>
      </c>
      <c r="S19" s="6">
        <f>Notional*YearFraction*(SUMPRODUCT(PSurvival10Y,DiscFactors10Y)+0.5*SUMPRODUCT(PDefault10Y,DiscFactors10Y))</f>
        <v>7959697.5754668815</v>
      </c>
      <c r="T19" s="82">
        <f t="shared" si="91"/>
        <v>34.999993797020778</v>
      </c>
      <c r="U19" s="18">
        <f t="shared" si="92"/>
        <v>3.4999993797020777E-3</v>
      </c>
      <c r="V19" s="18">
        <f t="shared" si="93"/>
        <v>-6.2029792240181347E-10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5.8333333333333336E-3</v>
      </c>
      <c r="Z19" s="26">
        <f t="shared" ref="Z19" si="145">EXP(-Y19*YearFraction)*Z18</f>
        <v>0.97836252272341173</v>
      </c>
      <c r="AA19" s="26">
        <f t="shared" si="3"/>
        <v>1.4278195443397923E-3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5.8333333333333336E-3</v>
      </c>
      <c r="AJ19" s="26">
        <f t="shared" ref="AJ19" si="147">EXP(-AI19*YearFraction)*AJ18</f>
        <v>0.97836242488716429</v>
      </c>
      <c r="AK19" s="122">
        <f t="shared" si="5"/>
        <v>1.4278194015577839E-3</v>
      </c>
      <c r="AL19" s="116"/>
      <c r="AM19" s="18" cm="1">
        <f t="array" ref="AM19">flatInterpolation($AG19,$S$4:$S$9,AL$5:AL$10)</f>
        <v>5.8333333333333336E-3</v>
      </c>
      <c r="AN19" s="26">
        <f t="shared" ref="AN19" si="148">EXP(-AM19*YearFraction)*AN18</f>
        <v>0.97836242488716418</v>
      </c>
      <c r="AO19" s="122">
        <f t="shared" si="7"/>
        <v>1.4278194015577839E-3</v>
      </c>
      <c r="AP19" s="116"/>
      <c r="AQ19" s="18" cm="1">
        <f t="array" ref="AQ19">flatInterpolation($AG19,$S$4:$S$9,AP$5:AP$10)</f>
        <v>5.8333333333333336E-3</v>
      </c>
      <c r="AR19" s="26">
        <f t="shared" ref="AR19" si="149">EXP(-AQ19*YearFraction)*AR18</f>
        <v>0.97836242488716407</v>
      </c>
      <c r="AS19" s="122">
        <f t="shared" si="9"/>
        <v>1.4278194015577839E-3</v>
      </c>
      <c r="AT19" s="116"/>
      <c r="AU19" s="18" cm="1">
        <f t="array" ref="AU19">flatInterpolation($AG19,$S$4:$S$9,AT$5:AT$10)</f>
        <v>5.8334333333333339E-3</v>
      </c>
      <c r="AV19" s="26">
        <f t="shared" ref="AV19" si="150">EXP(-AU19*YearFraction)*AV18</f>
        <v>0.97836244934622507</v>
      </c>
      <c r="AW19" s="122">
        <f t="shared" si="11"/>
        <v>1.427843932010453E-3</v>
      </c>
      <c r="AX19" s="116"/>
      <c r="AY19" s="18" cm="1">
        <f t="array" ref="AY19">flatInterpolation($AG19,$S$4:$S$9,AX$5:AX$10)</f>
        <v>5.8333333333333336E-3</v>
      </c>
      <c r="AZ19" s="26">
        <f t="shared" ref="AZ19" si="151">EXP(-AY19*YearFraction)*AZ18</f>
        <v>0.97836252272341173</v>
      </c>
      <c r="BA19" s="122">
        <f t="shared" si="13"/>
        <v>1.4278195443397923E-3</v>
      </c>
      <c r="BB19" s="116"/>
      <c r="BC19" s="18" cm="1">
        <f t="array" ref="BC19">flatInterpolation($AG19,$S$4:$S$9,BB$5:BB$10)</f>
        <v>5.8333333333333336E-3</v>
      </c>
      <c r="BD19" s="26">
        <f t="shared" ref="BD19" si="152">EXP(-BC19*YearFraction)*BD18</f>
        <v>0.97836252272341173</v>
      </c>
      <c r="BE19" s="122">
        <f t="shared" si="15"/>
        <v>1.4278195443397923E-3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5.8333333333333336E-3</v>
      </c>
      <c r="Z20" s="26">
        <f t="shared" ref="Z20" si="154">EXP(-Y20*YearFraction)*Z19</f>
        <v>0.97693678389834759</v>
      </c>
      <c r="AA20" s="26">
        <f t="shared" si="3"/>
        <v>1.4257388250641378E-3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5.8333333333333336E-3</v>
      </c>
      <c r="AJ20" s="26">
        <f t="shared" ref="AJ20" si="156">EXP(-AI20*YearFraction)*AJ19</f>
        <v>0.976936686204674</v>
      </c>
      <c r="AK20" s="122">
        <f t="shared" si="5"/>
        <v>1.4257386824902962E-3</v>
      </c>
      <c r="AL20" s="116"/>
      <c r="AM20" s="18" cm="1">
        <f t="array" ref="AM20">flatInterpolation($AG20,$S$4:$S$9,AL$5:AL$10)</f>
        <v>5.8333333333333336E-3</v>
      </c>
      <c r="AN20" s="26">
        <f t="shared" ref="AN20" si="157">EXP(-AM20*YearFraction)*AN19</f>
        <v>0.97693668620467389</v>
      </c>
      <c r="AO20" s="122">
        <f t="shared" si="7"/>
        <v>1.4257386824902962E-3</v>
      </c>
      <c r="AP20" s="116"/>
      <c r="AQ20" s="18" cm="1">
        <f t="array" ref="AQ20">flatInterpolation($AG20,$S$4:$S$9,AP$5:AP$10)</f>
        <v>5.8333333333333336E-3</v>
      </c>
      <c r="AR20" s="26">
        <f t="shared" ref="AR20" si="158">EXP(-AQ20*YearFraction)*AR19</f>
        <v>0.97693668620467378</v>
      </c>
      <c r="AS20" s="122">
        <f t="shared" si="9"/>
        <v>1.4257386824902962E-3</v>
      </c>
      <c r="AT20" s="116"/>
      <c r="AU20" s="18" cm="1">
        <f t="array" ref="AU20">flatInterpolation($AG20,$S$4:$S$9,AT$5:AT$10)</f>
        <v>5.8334333333333339E-3</v>
      </c>
      <c r="AV20" s="26">
        <f t="shared" ref="AV20" si="159">EXP(-AU20*YearFraction)*AV19</f>
        <v>0.97693668620467378</v>
      </c>
      <c r="AW20" s="122">
        <f t="shared" si="11"/>
        <v>1.425763141551295E-3</v>
      </c>
      <c r="AX20" s="116"/>
      <c r="AY20" s="18" cm="1">
        <f t="array" ref="AY20">flatInterpolation($AG20,$S$4:$S$9,AX$5:AX$10)</f>
        <v>5.8333333333333336E-3</v>
      </c>
      <c r="AZ20" s="26">
        <f t="shared" ref="AZ20" si="160">EXP(-AY20*YearFraction)*AZ19</f>
        <v>0.97693678389834759</v>
      </c>
      <c r="BA20" s="122">
        <f t="shared" si="13"/>
        <v>1.4257388250641378E-3</v>
      </c>
      <c r="BB20" s="116"/>
      <c r="BC20" s="18" cm="1">
        <f t="array" ref="BC20">flatInterpolation($AG20,$S$4:$S$9,BB$5:BB$10)</f>
        <v>5.8333333333333336E-3</v>
      </c>
      <c r="BD20" s="26">
        <f t="shared" ref="BD20" si="161">EXP(-BC20*YearFraction)*BD19</f>
        <v>0.97693678389834759</v>
      </c>
      <c r="BE20" s="122">
        <f t="shared" si="15"/>
        <v>1.4257388250641378E-3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5.8333333333333336E-3</v>
      </c>
      <c r="Z21" s="26">
        <f t="shared" ref="Z21" si="163">EXP(-Y21*YearFraction)*Z20</f>
        <v>0.97551312276038826</v>
      </c>
      <c r="AA21" s="26">
        <f t="shared" si="3"/>
        <v>1.4236611379593311E-3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5.8333333333333336E-3</v>
      </c>
      <c r="AJ21" s="26">
        <f t="shared" ref="AJ21" si="165">EXP(-AI21*YearFraction)*AJ20</f>
        <v>0.97551302520908079</v>
      </c>
      <c r="AK21" s="122">
        <f t="shared" si="5"/>
        <v>1.4236609955932122E-3</v>
      </c>
      <c r="AL21" s="116"/>
      <c r="AM21" s="18" cm="1">
        <f t="array" ref="AM21">flatInterpolation($AG21,$S$4:$S$9,AL$5:AL$10)</f>
        <v>5.8333333333333336E-3</v>
      </c>
      <c r="AN21" s="26">
        <f t="shared" ref="AN21" si="166">EXP(-AM21*YearFraction)*AN20</f>
        <v>0.97551302520908068</v>
      </c>
      <c r="AO21" s="122">
        <f t="shared" si="7"/>
        <v>1.4236609955932122E-3</v>
      </c>
      <c r="AP21" s="116"/>
      <c r="AQ21" s="18" cm="1">
        <f t="array" ref="AQ21">flatInterpolation($AG21,$S$4:$S$9,AP$5:AP$10)</f>
        <v>5.8333333333333336E-3</v>
      </c>
      <c r="AR21" s="26">
        <f t="shared" ref="AR21" si="167">EXP(-AQ21*YearFraction)*AR20</f>
        <v>0.97551302520908056</v>
      </c>
      <c r="AS21" s="122">
        <f t="shared" si="9"/>
        <v>1.4236609955932122E-3</v>
      </c>
      <c r="AT21" s="116"/>
      <c r="AU21" s="18" cm="1">
        <f t="array" ref="AU21">flatInterpolation($AG21,$S$4:$S$9,AT$5:AT$10)</f>
        <v>5.8333333333333336E-3</v>
      </c>
      <c r="AV21" s="26">
        <f t="shared" ref="AV21" si="168">EXP(-AU21*YearFraction)*AV20</f>
        <v>0.97551302520908056</v>
      </c>
      <c r="AW21" s="122">
        <f t="shared" si="11"/>
        <v>1.4236609955932122E-3</v>
      </c>
      <c r="AX21" s="116"/>
      <c r="AY21" s="18" cm="1">
        <f t="array" ref="AY21">flatInterpolation($AG21,$S$4:$S$9,AX$5:AX$10)</f>
        <v>5.8334333333333339E-3</v>
      </c>
      <c r="AZ21" s="26">
        <f t="shared" ref="AZ21" si="169">EXP(-AY21*YearFraction)*AZ20</f>
        <v>0.97551309837256039</v>
      </c>
      <c r="BA21" s="122">
        <f t="shared" si="13"/>
        <v>1.4236855257871994E-3</v>
      </c>
      <c r="BB21" s="116"/>
      <c r="BC21" s="18" cm="1">
        <f t="array" ref="BC21">flatInterpolation($AG21,$S$4:$S$9,BB$5:BB$10)</f>
        <v>5.8333333333333336E-3</v>
      </c>
      <c r="BD21" s="26">
        <f t="shared" ref="BD21" si="170">EXP(-BC21*YearFraction)*BD20</f>
        <v>0.97551312276038826</v>
      </c>
      <c r="BE21" s="122">
        <f t="shared" si="15"/>
        <v>1.4236611379593311E-3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5.8333333333333336E-3</v>
      </c>
      <c r="Z22" s="26">
        <f t="shared" ref="Z22" si="172">EXP(-Y22*YearFraction)*Z21</f>
        <v>0.97409153628178158</v>
      </c>
      <c r="AA22" s="26">
        <f t="shared" si="3"/>
        <v>1.4215864786066845E-3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5.8333333333333336E-3</v>
      </c>
      <c r="AJ22" s="26">
        <f t="shared" ref="AJ22" si="174">EXP(-AI22*YearFraction)*AJ21</f>
        <v>0.97409143887263283</v>
      </c>
      <c r="AK22" s="122">
        <f t="shared" si="5"/>
        <v>1.4215863364479553E-3</v>
      </c>
      <c r="AL22" s="116"/>
      <c r="AM22" s="18" cm="1">
        <f t="array" ref="AM22">flatInterpolation($AG22,$S$4:$S$9,AL$5:AL$10)</f>
        <v>5.8333333333333336E-3</v>
      </c>
      <c r="AN22" s="26">
        <f t="shared" ref="AN22" si="175">EXP(-AM22*YearFraction)*AN21</f>
        <v>0.97409143887263272</v>
      </c>
      <c r="AO22" s="122">
        <f t="shared" si="7"/>
        <v>1.4215863364479553E-3</v>
      </c>
      <c r="AP22" s="116"/>
      <c r="AQ22" s="18" cm="1">
        <f t="array" ref="AQ22">flatInterpolation($AG22,$S$4:$S$9,AP$5:AP$10)</f>
        <v>5.8333333333333336E-3</v>
      </c>
      <c r="AR22" s="26">
        <f t="shared" ref="AR22" si="176">EXP(-AQ22*YearFraction)*AR21</f>
        <v>0.97409143887263261</v>
      </c>
      <c r="AS22" s="122">
        <f t="shared" si="9"/>
        <v>1.4215863364479553E-3</v>
      </c>
      <c r="AT22" s="116"/>
      <c r="AU22" s="18" cm="1">
        <f t="array" ref="AU22">flatInterpolation($AG22,$S$4:$S$9,AT$5:AT$10)</f>
        <v>5.8333333333333336E-3</v>
      </c>
      <c r="AV22" s="26">
        <f t="shared" ref="AV22" si="177">EXP(-AU22*YearFraction)*AV21</f>
        <v>0.97409143887263261</v>
      </c>
      <c r="AW22" s="122">
        <f t="shared" si="11"/>
        <v>1.4215863364479553E-3</v>
      </c>
      <c r="AX22" s="116"/>
      <c r="AY22" s="18" cm="1">
        <f t="array" ref="AY22">flatInterpolation($AG22,$S$4:$S$9,AX$5:AX$10)</f>
        <v>5.8334333333333339E-3</v>
      </c>
      <c r="AZ22" s="26">
        <f t="shared" ref="AZ22" si="178">EXP(-AY22*YearFraction)*AZ21</f>
        <v>0.97409148757720587</v>
      </c>
      <c r="BA22" s="122">
        <f t="shared" si="13"/>
        <v>1.4216107953545221E-3</v>
      </c>
      <c r="BB22" s="116"/>
      <c r="BC22" s="18" cm="1">
        <f t="array" ref="BC22">flatInterpolation($AG22,$S$4:$S$9,BB$5:BB$10)</f>
        <v>5.8333333333333336E-3</v>
      </c>
      <c r="BD22" s="26">
        <f t="shared" ref="BD22" si="179">EXP(-BC22*YearFraction)*BD21</f>
        <v>0.97409153628178158</v>
      </c>
      <c r="BE22" s="122">
        <f t="shared" si="15"/>
        <v>1.4215864786066845E-3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2.5323570230200253E-9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5.8333333333333336E-3</v>
      </c>
      <c r="Z23" s="26">
        <f t="shared" ref="Z23" si="181">EXP(-Y23*YearFraction)*Z22</f>
        <v>0.97267202143918785</v>
      </c>
      <c r="AA23" s="26">
        <f t="shared" si="3"/>
        <v>1.4195148425937276E-3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5.8333333333333336E-3</v>
      </c>
      <c r="AJ23" s="26">
        <f t="shared" ref="AJ23" si="183">EXP(-AI23*YearFraction)*AJ22</f>
        <v>0.97267192417199055</v>
      </c>
      <c r="AK23" s="122">
        <f t="shared" si="5"/>
        <v>1.419514700642277E-3</v>
      </c>
      <c r="AL23" s="116"/>
      <c r="AM23" s="18" cm="1">
        <f t="array" ref="AM23">flatInterpolation($AG23,$S$4:$S$9,AL$5:AL$10)</f>
        <v>5.8333333333333336E-3</v>
      </c>
      <c r="AN23" s="26">
        <f t="shared" ref="AN23" si="184">EXP(-AM23*YearFraction)*AN22</f>
        <v>0.97267192417199044</v>
      </c>
      <c r="AO23" s="122">
        <f t="shared" si="7"/>
        <v>1.419514700642277E-3</v>
      </c>
      <c r="AP23" s="116"/>
      <c r="AQ23" s="18" cm="1">
        <f t="array" ref="AQ23">flatInterpolation($AG23,$S$4:$S$9,AP$5:AP$10)</f>
        <v>5.8333333333333336E-3</v>
      </c>
      <c r="AR23" s="26">
        <f t="shared" ref="AR23" si="185">EXP(-AQ23*YearFraction)*AR22</f>
        <v>0.97267192417199033</v>
      </c>
      <c r="AS23" s="122">
        <f t="shared" si="9"/>
        <v>1.419514700642277E-3</v>
      </c>
      <c r="AT23" s="116"/>
      <c r="AU23" s="18" cm="1">
        <f t="array" ref="AU23">flatInterpolation($AG23,$S$4:$S$9,AT$5:AT$10)</f>
        <v>5.8333333333333336E-3</v>
      </c>
      <c r="AV23" s="26">
        <f t="shared" ref="AV23" si="186">EXP(-AU23*YearFraction)*AV22</f>
        <v>0.97267192417199033</v>
      </c>
      <c r="AW23" s="122">
        <f t="shared" si="11"/>
        <v>1.419514700642277E-3</v>
      </c>
      <c r="AX23" s="116"/>
      <c r="AY23" s="18" cm="1">
        <f t="array" ref="AY23">flatInterpolation($AG23,$S$4:$S$9,AX$5:AX$10)</f>
        <v>5.8334333333333339E-3</v>
      </c>
      <c r="AZ23" s="26">
        <f t="shared" ref="AZ23" si="187">EXP(-AY23*YearFraction)*AZ22</f>
        <v>0.9726719484887888</v>
      </c>
      <c r="BA23" s="122">
        <f t="shared" si="13"/>
        <v>1.4195390884170767E-3</v>
      </c>
      <c r="BB23" s="116"/>
      <c r="BC23" s="18" cm="1">
        <f t="array" ref="BC23">flatInterpolation($AG23,$S$4:$S$9,BB$5:BB$10)</f>
        <v>5.8333333333333336E-3</v>
      </c>
      <c r="BD23" s="26">
        <f t="shared" ref="BD23" si="188">EXP(-BC23*YearFraction)*BD22</f>
        <v>0.97267202143918785</v>
      </c>
      <c r="BE23" s="122">
        <f t="shared" si="15"/>
        <v>1.4195148425937276E-3</v>
      </c>
    </row>
    <row r="24" spans="3:57" x14ac:dyDescent="0.3">
      <c r="S24" s="17">
        <v>0</v>
      </c>
      <c r="T24" s="18" cm="1">
        <f t="array" ref="T24">flatInterpolation(S24,Calibration.Times,Calibration.HazardRates)</f>
        <v>5.8333333333333336E-3</v>
      </c>
      <c r="X24" s="24">
        <f t="shared" ref="X24" si="189">X23+YearFraction</f>
        <v>5</v>
      </c>
      <c r="Y24" s="25" cm="1">
        <f t="array" ref="Y24">flatInterpolation(X24,$S$4:$S$9,$T$4:$T$9)</f>
        <v>5.8333333333333336E-3</v>
      </c>
      <c r="Z24" s="26">
        <f t="shared" ref="Z24" si="190">EXP(-Y24*YearFraction)*Z23</f>
        <v>0.97125457521367298</v>
      </c>
      <c r="AA24" s="26">
        <f t="shared" si="3"/>
        <v>1.4174462255148734E-3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5.8333333333333336E-3</v>
      </c>
      <c r="AJ24" s="26">
        <f t="shared" ref="AJ24" si="192">EXP(-AI24*YearFraction)*AJ23</f>
        <v>0.9712544780882203</v>
      </c>
      <c r="AK24" s="122">
        <f t="shared" si="5"/>
        <v>1.4174460837702574E-3</v>
      </c>
      <c r="AL24" s="116"/>
      <c r="AM24" s="18" cm="1">
        <f t="array" ref="AM24">flatInterpolation($AG24,$S$4:$S$9,AL$5:AL$10)</f>
        <v>5.8333333333333336E-3</v>
      </c>
      <c r="AN24" s="26">
        <f t="shared" ref="AN24" si="193">EXP(-AM24*YearFraction)*AN23</f>
        <v>0.97125447808822019</v>
      </c>
      <c r="AO24" s="122">
        <f t="shared" si="7"/>
        <v>1.4174460837702574E-3</v>
      </c>
      <c r="AP24" s="116"/>
      <c r="AQ24" s="18" cm="1">
        <f t="array" ref="AQ24">flatInterpolation($AG24,$S$4:$S$9,AP$5:AP$10)</f>
        <v>5.8333333333333336E-3</v>
      </c>
      <c r="AR24" s="26">
        <f t="shared" ref="AR24" si="194">EXP(-AQ24*YearFraction)*AR23</f>
        <v>0.97125447808822007</v>
      </c>
      <c r="AS24" s="122">
        <f t="shared" si="9"/>
        <v>1.4174460837702574E-3</v>
      </c>
      <c r="AT24" s="116"/>
      <c r="AU24" s="18" cm="1">
        <f t="array" ref="AU24">flatInterpolation($AG24,$S$4:$S$9,AT$5:AT$10)</f>
        <v>5.8333333333333336E-3</v>
      </c>
      <c r="AV24" s="26">
        <f t="shared" ref="AV24" si="195">EXP(-AU24*YearFraction)*AV23</f>
        <v>0.97125447808822007</v>
      </c>
      <c r="AW24" s="122">
        <f t="shared" si="11"/>
        <v>1.4174460837702574E-3</v>
      </c>
      <c r="AX24" s="116"/>
      <c r="AY24" s="18" cm="1">
        <f t="array" ref="AY24">flatInterpolation($AG24,$S$4:$S$9,AX$5:AX$10)</f>
        <v>5.8334333333333339E-3</v>
      </c>
      <c r="AZ24" s="26">
        <f t="shared" ref="AZ24" si="196">EXP(-AY24*YearFraction)*AZ23</f>
        <v>0.97125447808822007</v>
      </c>
      <c r="BA24" s="122">
        <f t="shared" si="13"/>
        <v>1.4174704005687211E-3</v>
      </c>
      <c r="BB24" s="116"/>
      <c r="BC24" s="18" cm="1">
        <f t="array" ref="BC24">flatInterpolation($AG24,$S$4:$S$9,BB$5:BB$10)</f>
        <v>5.8333333333333336E-3</v>
      </c>
      <c r="BD24" s="26">
        <f t="shared" ref="BD24" si="197">EXP(-BC24*YearFraction)*BD23</f>
        <v>0.97125457521367298</v>
      </c>
      <c r="BE24" s="122">
        <f t="shared" si="15"/>
        <v>1.4174462255148734E-3</v>
      </c>
    </row>
    <row r="25" spans="3:57" x14ac:dyDescent="0.3">
      <c r="K25" s="43" t="s">
        <v>338</v>
      </c>
      <c r="M25" s="1"/>
      <c r="O25" s="169" t="s">
        <v>146</v>
      </c>
      <c r="R25" s="2"/>
      <c r="S25" s="17">
        <v>1</v>
      </c>
      <c r="T25" s="18" cm="1">
        <f t="array" ref="T25">flatInterpolation(S25,Calibration.Times,Calibration.HazardRates)</f>
        <v>5.8333333333333336E-3</v>
      </c>
      <c r="X25" s="24">
        <f t="shared" ref="X25" si="198">X24+YearFraction</f>
        <v>5.25</v>
      </c>
      <c r="Y25" s="25" cm="1">
        <f t="array" ref="Y25">flatInterpolation(X25,$S$4:$S$9,$T$4:$T$9)</f>
        <v>5.8333333333333336E-3</v>
      </c>
      <c r="Z25" s="26">
        <f t="shared" ref="Z25" si="199">EXP(-Y25*YearFraction)*Z24</f>
        <v>0.96983919459070234</v>
      </c>
      <c r="AA25" s="26">
        <f t="shared" si="3"/>
        <v>1.4153806229706412E-3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5.8333333333333336E-3</v>
      </c>
      <c r="AJ25" s="26">
        <f t="shared" ref="AJ25" si="201">EXP(-AI25*YearFraction)*AJ24</f>
        <v>0.96983909760678777</v>
      </c>
      <c r="AK25" s="122">
        <f t="shared" si="5"/>
        <v>1.4153804814325266E-3</v>
      </c>
      <c r="AL25" s="116"/>
      <c r="AM25" s="18" cm="1">
        <f t="array" ref="AM25">flatInterpolation($AG25,$S$4:$S$9,AL$5:AL$10)</f>
        <v>5.8333333333333336E-3</v>
      </c>
      <c r="AN25" s="26">
        <f t="shared" ref="AN25" si="202">EXP(-AM25*YearFraction)*AN24</f>
        <v>0.96983909760678766</v>
      </c>
      <c r="AO25" s="122">
        <f t="shared" si="7"/>
        <v>1.4153804814325266E-3</v>
      </c>
      <c r="AP25" s="116"/>
      <c r="AQ25" s="18" cm="1">
        <f t="array" ref="AQ25">flatInterpolation($AG25,$S$4:$S$9,AP$5:AP$10)</f>
        <v>5.8333333333333336E-3</v>
      </c>
      <c r="AR25" s="26">
        <f t="shared" ref="AR25" si="203">EXP(-AQ25*YearFraction)*AR24</f>
        <v>0.96983909760678755</v>
      </c>
      <c r="AS25" s="122">
        <f t="shared" si="9"/>
        <v>1.4153804814325266E-3</v>
      </c>
      <c r="AT25" s="116"/>
      <c r="AU25" s="18" cm="1">
        <f t="array" ref="AU25">flatInterpolation($AG25,$S$4:$S$9,AT$5:AT$10)</f>
        <v>5.8333333333333336E-3</v>
      </c>
      <c r="AV25" s="26">
        <f t="shared" ref="AV25" si="204">EXP(-AU25*YearFraction)*AV24</f>
        <v>0.96983909760678755</v>
      </c>
      <c r="AW25" s="122">
        <f t="shared" si="11"/>
        <v>1.4153804814325266E-3</v>
      </c>
      <c r="AX25" s="116"/>
      <c r="AY25" s="18" cm="1">
        <f t="array" ref="AY25">flatInterpolation($AG25,$S$4:$S$9,AX$5:AX$10)</f>
        <v>5.8333333333333336E-3</v>
      </c>
      <c r="AZ25" s="26">
        <f t="shared" ref="AZ25" si="205">EXP(-AY25*YearFraction)*AZ24</f>
        <v>0.96983909760678755</v>
      </c>
      <c r="BA25" s="122">
        <f t="shared" si="13"/>
        <v>1.4153804814325266E-3</v>
      </c>
      <c r="BB25" s="116"/>
      <c r="BC25" s="18" cm="1">
        <f t="array" ref="BC25">flatInterpolation($AG25,$S$4:$S$9,BB$5:BB$10)</f>
        <v>5.8334333333333339E-3</v>
      </c>
      <c r="BD25" s="26">
        <f t="shared" ref="BD25" si="206">EXP(-BC25*YearFraction)*BD24</f>
        <v>0.96983917034472278</v>
      </c>
      <c r="BE25" s="122">
        <f t="shared" si="15"/>
        <v>1.4154048689501986E-3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5.8333333333333336E-3</v>
      </c>
      <c r="X26" s="24">
        <f t="shared" ref="X26" si="207">X25+YearFraction</f>
        <v>5.5</v>
      </c>
      <c r="Y26" s="25" cm="1">
        <f t="array" ref="Y26">flatInterpolation(X26,$S$4:$S$9,$T$4:$T$9)</f>
        <v>5.8333333333333336E-3</v>
      </c>
      <c r="Z26" s="26">
        <f t="shared" ref="Z26" si="208">EXP(-Y26*YearFraction)*Z25</f>
        <v>0.96842587656013435</v>
      </c>
      <c r="AA26" s="26">
        <f t="shared" si="3"/>
        <v>1.4133180305679893E-3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5.8333333333333336E-3</v>
      </c>
      <c r="AJ26" s="26">
        <f t="shared" ref="AJ26" si="210">EXP(-AI26*YearFraction)*AJ25</f>
        <v>0.96842577971755162</v>
      </c>
      <c r="AK26" s="122">
        <f t="shared" si="5"/>
        <v>1.4133178892361542E-3</v>
      </c>
      <c r="AL26" s="116"/>
      <c r="AM26" s="18" cm="1">
        <f t="array" ref="AM26">flatInterpolation($AG26,$S$4:$S$9,AL$5:AL$10)</f>
        <v>5.8333333333333336E-3</v>
      </c>
      <c r="AN26" s="26">
        <f t="shared" ref="AN26" si="211">EXP(-AM26*YearFraction)*AN25</f>
        <v>0.9684257797175515</v>
      </c>
      <c r="AO26" s="122">
        <f t="shared" si="7"/>
        <v>1.4133178892361542E-3</v>
      </c>
      <c r="AP26" s="116"/>
      <c r="AQ26" s="18" cm="1">
        <f t="array" ref="AQ26">flatInterpolation($AG26,$S$4:$S$9,AP$5:AP$10)</f>
        <v>5.8333333333333336E-3</v>
      </c>
      <c r="AR26" s="26">
        <f t="shared" ref="AR26" si="212">EXP(-AQ26*YearFraction)*AR25</f>
        <v>0.96842577971755139</v>
      </c>
      <c r="AS26" s="122">
        <f t="shared" si="9"/>
        <v>1.4133178892361542E-3</v>
      </c>
      <c r="AT26" s="116"/>
      <c r="AU26" s="18" cm="1">
        <f t="array" ref="AU26">flatInterpolation($AG26,$S$4:$S$9,AT$5:AT$10)</f>
        <v>5.8333333333333336E-3</v>
      </c>
      <c r="AV26" s="26">
        <f t="shared" ref="AV26" si="213">EXP(-AU26*YearFraction)*AV25</f>
        <v>0.96842577971755139</v>
      </c>
      <c r="AW26" s="122">
        <f t="shared" si="11"/>
        <v>1.4133178892361542E-3</v>
      </c>
      <c r="AX26" s="116"/>
      <c r="AY26" s="18" cm="1">
        <f t="array" ref="AY26">flatInterpolation($AG26,$S$4:$S$9,AX$5:AX$10)</f>
        <v>5.8333333333333336E-3</v>
      </c>
      <c r="AZ26" s="26">
        <f t="shared" ref="AZ26" si="214">EXP(-AY26*YearFraction)*AZ25</f>
        <v>0.96842577971755139</v>
      </c>
      <c r="BA26" s="122">
        <f t="shared" si="13"/>
        <v>1.4133178892361542E-3</v>
      </c>
      <c r="BB26" s="116"/>
      <c r="BC26" s="18" cm="1">
        <f t="array" ref="BC26">flatInterpolation($AG26,$S$4:$S$9,BB$5:BB$10)</f>
        <v>5.8334333333333339E-3</v>
      </c>
      <c r="BD26" s="26">
        <f t="shared" ref="BD26" si="215">EXP(-BC26*YearFraction)*BD25</f>
        <v>0.9684258281388417</v>
      </c>
      <c r="BE26" s="122">
        <f t="shared" si="15"/>
        <v>1.4133422058810741E-3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5.8333343671637637E-3</v>
      </c>
      <c r="N27" s="65">
        <v>5.8333333333333336E-3</v>
      </c>
      <c r="O27" s="66">
        <f t="shared" ref="O27" si="216">Q4/(1-RecoveryRate)</f>
        <v>5.8333333333333336E-3</v>
      </c>
      <c r="P27" s="65">
        <f t="shared" ref="P27:P32" si="217">V14</f>
        <v>-6.2029792934070738E-10</v>
      </c>
      <c r="Q27" s="83">
        <f t="shared" ref="Q27:Q32" si="218">M27-N27</f>
        <v>1.0338304301180101E-9</v>
      </c>
      <c r="S27" s="17">
        <f>S5</f>
        <v>2</v>
      </c>
      <c r="T27" s="18" cm="1">
        <f t="array" ref="T27">flatInterpolation(S27,Calibration.Times,Calibration.HazardRates)</f>
        <v>5.8333333333333336E-3</v>
      </c>
      <c r="X27" s="24">
        <f t="shared" ref="X27" si="219">X26+YearFraction</f>
        <v>5.75</v>
      </c>
      <c r="Y27" s="25" cm="1">
        <f t="array" ref="Y27">flatInterpolation(X27,$S$4:$S$9,$T$4:$T$9)</f>
        <v>5.8333333333333336E-3</v>
      </c>
      <c r="Z27" s="26">
        <f t="shared" ref="Z27" si="220">EXP(-Y27*YearFraction)*Z26</f>
        <v>0.96701461811621403</v>
      </c>
      <c r="AA27" s="26">
        <f t="shared" si="3"/>
        <v>1.4112584439203157E-3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5.8333333333333336E-3</v>
      </c>
      <c r="AJ27" s="26">
        <f t="shared" ref="AJ27" si="222">EXP(-AI27*YearFraction)*AJ26</f>
        <v>0.96701452141475719</v>
      </c>
      <c r="AK27" s="122">
        <f t="shared" si="5"/>
        <v>1.411258302794427E-3</v>
      </c>
      <c r="AL27" s="116"/>
      <c r="AM27" s="18" cm="1">
        <f t="array" ref="AM27">flatInterpolation($AG27,$S$4:$S$9,AL$5:AL$10)</f>
        <v>5.8333333333333336E-3</v>
      </c>
      <c r="AN27" s="26">
        <f t="shared" ref="AN27" si="223">EXP(-AM27*YearFraction)*AN26</f>
        <v>0.96701452141475708</v>
      </c>
      <c r="AO27" s="122">
        <f t="shared" si="7"/>
        <v>1.411258302794427E-3</v>
      </c>
      <c r="AP27" s="116"/>
      <c r="AQ27" s="18" cm="1">
        <f t="array" ref="AQ27">flatInterpolation($AG27,$S$4:$S$9,AP$5:AP$10)</f>
        <v>5.8333333333333336E-3</v>
      </c>
      <c r="AR27" s="26">
        <f t="shared" ref="AR27" si="224">EXP(-AQ27*YearFraction)*AR26</f>
        <v>0.96701452141475697</v>
      </c>
      <c r="AS27" s="122">
        <f t="shared" si="9"/>
        <v>1.411258302794427E-3</v>
      </c>
      <c r="AT27" s="116"/>
      <c r="AU27" s="18" cm="1">
        <f t="array" ref="AU27">flatInterpolation($AG27,$S$4:$S$9,AT$5:AT$10)</f>
        <v>5.8333333333333336E-3</v>
      </c>
      <c r="AV27" s="26">
        <f t="shared" ref="AV27" si="225">EXP(-AU27*YearFraction)*AV26</f>
        <v>0.96701452141475697</v>
      </c>
      <c r="AW27" s="122">
        <f t="shared" si="11"/>
        <v>1.411258302794427E-3</v>
      </c>
      <c r="AX27" s="116"/>
      <c r="AY27" s="18" cm="1">
        <f t="array" ref="AY27">flatInterpolation($AG27,$S$4:$S$9,AX$5:AX$10)</f>
        <v>5.8333333333333336E-3</v>
      </c>
      <c r="AZ27" s="26">
        <f t="shared" ref="AZ27" si="226">EXP(-AY27*YearFraction)*AZ26</f>
        <v>0.96701452141475697</v>
      </c>
      <c r="BA27" s="122">
        <f t="shared" si="13"/>
        <v>1.411258302794427E-3</v>
      </c>
      <c r="BB27" s="116"/>
      <c r="BC27" s="18" cm="1">
        <f t="array" ref="BC27">flatInterpolation($AG27,$S$4:$S$9,BB$5:BB$10)</f>
        <v>5.8334333333333339E-3</v>
      </c>
      <c r="BD27" s="26">
        <f t="shared" ref="BD27" si="227">EXP(-BC27*YearFraction)*BD26</f>
        <v>0.96701454559012034</v>
      </c>
      <c r="BE27" s="122">
        <f t="shared" si="15"/>
        <v>1.4112825487213598E-3</v>
      </c>
    </row>
    <row r="28" spans="3:57" x14ac:dyDescent="0.3">
      <c r="K28" s="67" t="s">
        <v>12</v>
      </c>
      <c r="L28" s="17">
        <v>2</v>
      </c>
      <c r="M28" s="60">
        <v>5.8333343671636735E-3</v>
      </c>
      <c r="N28" s="45">
        <v>5.8333333333333336E-3</v>
      </c>
      <c r="O28" s="61">
        <f t="shared" ref="O28" si="228">Q5/(1-RecoveryRate)</f>
        <v>5.8333333333333336E-3</v>
      </c>
      <c r="P28" s="45">
        <f t="shared" si="217"/>
        <v>-6.2029790288617437E-10</v>
      </c>
      <c r="Q28" s="84">
        <f t="shared" si="218"/>
        <v>1.0338303399123894E-9</v>
      </c>
      <c r="S28" s="17">
        <f>S27+0.01</f>
        <v>2.0099999999999998</v>
      </c>
      <c r="T28" s="18" cm="1">
        <f t="array" ref="T28">flatInterpolation(S28,Calibration.Times,Calibration.HazardRates)</f>
        <v>5.8333333333333336E-3</v>
      </c>
      <c r="X28" s="24">
        <f t="shared" ref="X28" si="229">X27+YearFraction</f>
        <v>6</v>
      </c>
      <c r="Y28" s="25" cm="1">
        <f t="array" ref="Y28">flatInterpolation(X28,$S$4:$S$9,$T$4:$T$9)</f>
        <v>5.8333333333333336E-3</v>
      </c>
      <c r="Z28" s="26">
        <f t="shared" ref="Z28" si="230">EXP(-Y28*YearFraction)*Z27</f>
        <v>0.96560541625756657</v>
      </c>
      <c r="AA28" s="26">
        <f t="shared" si="3"/>
        <v>1.4092018586474575E-3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5.8333333333333336E-3</v>
      </c>
      <c r="AJ28" s="26">
        <f t="shared" ref="AJ28" si="232">EXP(-AI28*YearFraction)*AJ27</f>
        <v>0.9656053196970299</v>
      </c>
      <c r="AK28" s="122">
        <f t="shared" si="5"/>
        <v>1.4092017177272931E-3</v>
      </c>
      <c r="AL28" s="116"/>
      <c r="AM28" s="18" cm="1">
        <f t="array" ref="AM28">flatInterpolation($AG28,$S$4:$S$9,AL$5:AL$10)</f>
        <v>5.8333333333333336E-3</v>
      </c>
      <c r="AN28" s="26">
        <f t="shared" ref="AN28" si="233">EXP(-AM28*YearFraction)*AN27</f>
        <v>0.96560531969702978</v>
      </c>
      <c r="AO28" s="122">
        <f t="shared" si="7"/>
        <v>1.4092017177272931E-3</v>
      </c>
      <c r="AP28" s="116"/>
      <c r="AQ28" s="18" cm="1">
        <f t="array" ref="AQ28">flatInterpolation($AG28,$S$4:$S$9,AP$5:AP$10)</f>
        <v>5.8333333333333336E-3</v>
      </c>
      <c r="AR28" s="26">
        <f t="shared" ref="AR28" si="234">EXP(-AQ28*YearFraction)*AR27</f>
        <v>0.96560531969702967</v>
      </c>
      <c r="AS28" s="122">
        <f t="shared" si="9"/>
        <v>1.4092017177272931E-3</v>
      </c>
      <c r="AT28" s="116"/>
      <c r="AU28" s="18" cm="1">
        <f t="array" ref="AU28">flatInterpolation($AG28,$S$4:$S$9,AT$5:AT$10)</f>
        <v>5.8333333333333336E-3</v>
      </c>
      <c r="AV28" s="26">
        <f t="shared" ref="AV28" si="235">EXP(-AU28*YearFraction)*AV27</f>
        <v>0.96560531969702967</v>
      </c>
      <c r="AW28" s="122">
        <f t="shared" si="11"/>
        <v>1.4092017177272931E-3</v>
      </c>
      <c r="AX28" s="116"/>
      <c r="AY28" s="18" cm="1">
        <f t="array" ref="AY28">flatInterpolation($AG28,$S$4:$S$9,AX$5:AX$10)</f>
        <v>5.8333333333333336E-3</v>
      </c>
      <c r="AZ28" s="26">
        <f t="shared" ref="AZ28" si="236">EXP(-AY28*YearFraction)*AZ27</f>
        <v>0.96560531969702967</v>
      </c>
      <c r="BA28" s="122">
        <f t="shared" si="13"/>
        <v>1.4092017177272931E-3</v>
      </c>
      <c r="BB28" s="116"/>
      <c r="BC28" s="18" cm="1">
        <f t="array" ref="BC28">flatInterpolation($AG28,$S$4:$S$9,BB$5:BB$10)</f>
        <v>5.8334333333333339E-3</v>
      </c>
      <c r="BD28" s="26">
        <f t="shared" ref="BD28" si="237">EXP(-BC28*YearFraction)*BD27</f>
        <v>0.96560531969702956</v>
      </c>
      <c r="BE28" s="122">
        <f t="shared" si="15"/>
        <v>1.4092258930907819E-3</v>
      </c>
    </row>
    <row r="29" spans="3:57" x14ac:dyDescent="0.3">
      <c r="K29" s="67" t="s">
        <v>13</v>
      </c>
      <c r="L29" s="17">
        <v>3</v>
      </c>
      <c r="M29" s="60">
        <v>5.8333343671637524E-3</v>
      </c>
      <c r="N29" s="45">
        <v>5.8333333333333336E-3</v>
      </c>
      <c r="O29" s="61">
        <f t="shared" ref="O29" si="238">Q6/(1-RecoveryRate)</f>
        <v>5.8333333333333336E-3</v>
      </c>
      <c r="P29" s="45">
        <f t="shared" si="217"/>
        <v>-6.202979093913874E-10</v>
      </c>
      <c r="Q29" s="84">
        <f t="shared" si="218"/>
        <v>1.0338304188423075E-9</v>
      </c>
      <c r="S29" s="17">
        <f>S6</f>
        <v>3</v>
      </c>
      <c r="T29" s="18" cm="1">
        <f t="array" ref="T29">flatInterpolation(S29,Calibration.Times,Calibration.HazardRates)</f>
        <v>5.8333333333333336E-3</v>
      </c>
      <c r="X29" s="24">
        <f t="shared" ref="X29" si="239">X28+YearFraction</f>
        <v>6.25</v>
      </c>
      <c r="Y29" s="25" cm="1">
        <f t="array" ref="Y29">flatInterpolation(X29,$S$4:$S$9,$T$4:$T$9)</f>
        <v>5.8333333333333336E-3</v>
      </c>
      <c r="Z29" s="26">
        <f t="shared" ref="Z29" si="240">EXP(-Y29*YearFraction)*Z28</f>
        <v>0.96419826798719088</v>
      </c>
      <c r="AA29" s="26">
        <f t="shared" si="3"/>
        <v>1.407148270375691E-3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5.8333333333333336E-3</v>
      </c>
      <c r="AJ29" s="26">
        <f t="shared" ref="AJ29" si="242">EXP(-AI29*YearFraction)*AJ28</f>
        <v>0.96419817156736898</v>
      </c>
      <c r="AK29" s="122">
        <f t="shared" si="5"/>
        <v>1.4071481296609178E-3</v>
      </c>
      <c r="AL29" s="116"/>
      <c r="AM29" s="18" cm="1">
        <f t="array" ref="AM29">flatInterpolation($AG29,$S$4:$S$9,AL$5:AL$10)</f>
        <v>5.8333333333333336E-3</v>
      </c>
      <c r="AN29" s="26">
        <f t="shared" ref="AN29" si="243">EXP(-AM29*YearFraction)*AN28</f>
        <v>0.96419817156736887</v>
      </c>
      <c r="AO29" s="122">
        <f t="shared" si="7"/>
        <v>1.4071481296609178E-3</v>
      </c>
      <c r="AP29" s="116"/>
      <c r="AQ29" s="18" cm="1">
        <f t="array" ref="AQ29">flatInterpolation($AG29,$S$4:$S$9,AP$5:AP$10)</f>
        <v>5.8333333333333336E-3</v>
      </c>
      <c r="AR29" s="26">
        <f t="shared" ref="AR29" si="244">EXP(-AQ29*YearFraction)*AR28</f>
        <v>0.96419817156736876</v>
      </c>
      <c r="AS29" s="122">
        <f t="shared" si="9"/>
        <v>1.4071481296609178E-3</v>
      </c>
      <c r="AT29" s="116"/>
      <c r="AU29" s="18" cm="1">
        <f t="array" ref="AU29">flatInterpolation($AG29,$S$4:$S$9,AT$5:AT$10)</f>
        <v>5.8333333333333336E-3</v>
      </c>
      <c r="AV29" s="26">
        <f t="shared" ref="AV29" si="245">EXP(-AU29*YearFraction)*AV28</f>
        <v>0.96419817156736876</v>
      </c>
      <c r="AW29" s="122">
        <f t="shared" si="11"/>
        <v>1.4071481296609178E-3</v>
      </c>
      <c r="AX29" s="116"/>
      <c r="AY29" s="18" cm="1">
        <f t="array" ref="AY29">flatInterpolation($AG29,$S$4:$S$9,AX$5:AX$10)</f>
        <v>5.8333333333333336E-3</v>
      </c>
      <c r="AZ29" s="26">
        <f t="shared" ref="AZ29" si="246">EXP(-AY29*YearFraction)*AZ28</f>
        <v>0.96419817156736876</v>
      </c>
      <c r="BA29" s="122">
        <f t="shared" si="13"/>
        <v>1.4071481296609178E-3</v>
      </c>
      <c r="BB29" s="116"/>
      <c r="BC29" s="18" cm="1">
        <f t="array" ref="BC29">flatInterpolation($AG29,$S$4:$S$9,BB$5:BB$10)</f>
        <v>5.8334333333333339E-3</v>
      </c>
      <c r="BD29" s="26">
        <f t="shared" ref="BD29" si="247">EXP(-BC29*YearFraction)*BD28</f>
        <v>0.96419814746241461</v>
      </c>
      <c r="BE29" s="122">
        <f t="shared" si="15"/>
        <v>1.4071722346149507E-3</v>
      </c>
    </row>
    <row r="30" spans="3:57" x14ac:dyDescent="0.3">
      <c r="K30" s="67" t="s">
        <v>14</v>
      </c>
      <c r="L30" s="17">
        <v>4</v>
      </c>
      <c r="M30" s="60">
        <v>5.8333343671637195E-3</v>
      </c>
      <c r="N30" s="45">
        <v>5.8333333333333336E-3</v>
      </c>
      <c r="O30" s="61">
        <f t="shared" ref="O30" si="248">Q7/(1-RecoveryRate)</f>
        <v>5.8333333333333336E-3</v>
      </c>
      <c r="P30" s="45">
        <f t="shared" si="217"/>
        <v>-6.202979080903448E-10</v>
      </c>
      <c r="Q30" s="84">
        <f t="shared" si="218"/>
        <v>1.0338303858825615E-9</v>
      </c>
      <c r="S30" s="17">
        <f>S29+0.01</f>
        <v>3.01</v>
      </c>
      <c r="T30" s="18" cm="1">
        <f t="array" ref="T30">flatInterpolation(S30,Calibration.Times,Calibration.HazardRates)</f>
        <v>5.8333333333333336E-3</v>
      </c>
      <c r="X30" s="24">
        <f t="shared" ref="X30" si="249">X29+YearFraction</f>
        <v>6.5</v>
      </c>
      <c r="Y30" s="25" cm="1">
        <f t="array" ref="Y30">flatInterpolation(X30,$S$4:$S$9,$T$4:$T$9)</f>
        <v>5.8333333333333336E-3</v>
      </c>
      <c r="Z30" s="26">
        <f t="shared" ref="Z30" si="250">EXP(-Y30*YearFraction)*Z29</f>
        <v>0.96279317031245337</v>
      </c>
      <c r="AA30" s="26">
        <f t="shared" si="3"/>
        <v>1.4050976747375099E-3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5.8333333333333336E-3</v>
      </c>
      <c r="AJ30" s="26">
        <f t="shared" ref="AJ30" si="252">EXP(-AI30*YearFraction)*AJ29</f>
        <v>0.96279307403314129</v>
      </c>
      <c r="AK30" s="122">
        <f t="shared" si="5"/>
        <v>1.4050975342276839E-3</v>
      </c>
      <c r="AL30" s="116"/>
      <c r="AM30" s="18" cm="1">
        <f t="array" ref="AM30">flatInterpolation($AG30,$S$4:$S$9,AL$5:AL$10)</f>
        <v>5.8333333333333336E-3</v>
      </c>
      <c r="AN30" s="26">
        <f t="shared" ref="AN30" si="253">EXP(-AM30*YearFraction)*AN29</f>
        <v>0.96279307403314118</v>
      </c>
      <c r="AO30" s="122">
        <f t="shared" si="7"/>
        <v>1.4050975342276839E-3</v>
      </c>
      <c r="AP30" s="116"/>
      <c r="AQ30" s="18" cm="1">
        <f t="array" ref="AQ30">flatInterpolation($AG30,$S$4:$S$9,AP$5:AP$10)</f>
        <v>5.8333333333333336E-3</v>
      </c>
      <c r="AR30" s="26">
        <f t="shared" ref="AR30" si="254">EXP(-AQ30*YearFraction)*AR29</f>
        <v>0.96279307403314107</v>
      </c>
      <c r="AS30" s="122">
        <f t="shared" si="9"/>
        <v>1.4050975342276839E-3</v>
      </c>
      <c r="AT30" s="116"/>
      <c r="AU30" s="18" cm="1">
        <f t="array" ref="AU30">flatInterpolation($AG30,$S$4:$S$9,AT$5:AT$10)</f>
        <v>5.8333333333333336E-3</v>
      </c>
      <c r="AV30" s="26">
        <f t="shared" ref="AV30" si="255">EXP(-AU30*YearFraction)*AV29</f>
        <v>0.96279307403314107</v>
      </c>
      <c r="AW30" s="122">
        <f t="shared" si="11"/>
        <v>1.4050975342276839E-3</v>
      </c>
      <c r="AX30" s="116"/>
      <c r="AY30" s="18" cm="1">
        <f t="array" ref="AY30">flatInterpolation($AG30,$S$4:$S$9,AX$5:AX$10)</f>
        <v>5.8333333333333336E-3</v>
      </c>
      <c r="AZ30" s="26">
        <f t="shared" ref="AZ30" si="256">EXP(-AY30*YearFraction)*AZ29</f>
        <v>0.96279307403314107</v>
      </c>
      <c r="BA30" s="122">
        <f t="shared" si="13"/>
        <v>1.4050975342276839E-3</v>
      </c>
      <c r="BB30" s="116"/>
      <c r="BC30" s="18" cm="1">
        <f t="array" ref="BC30">flatInterpolation($AG30,$S$4:$S$9,BB$5:BB$10)</f>
        <v>5.8334333333333339E-3</v>
      </c>
      <c r="BD30" s="26">
        <f t="shared" ref="BD30" si="257">EXP(-BC30*YearFraction)*BD29</f>
        <v>0.96279302589348825</v>
      </c>
      <c r="BE30" s="122">
        <f t="shared" si="15"/>
        <v>1.4051215689263596E-3</v>
      </c>
    </row>
    <row r="31" spans="3:57" x14ac:dyDescent="0.3">
      <c r="K31" s="67" t="s">
        <v>15</v>
      </c>
      <c r="L31" s="17">
        <v>5</v>
      </c>
      <c r="M31" s="60">
        <v>5.833334367163762E-3</v>
      </c>
      <c r="N31" s="45">
        <v>5.8333333333333336E-3</v>
      </c>
      <c r="O31" s="61">
        <f t="shared" ref="O31" si="258">Q8/(1-RecoveryRate)</f>
        <v>5.8333333333333336E-3</v>
      </c>
      <c r="P31" s="45">
        <f t="shared" si="217"/>
        <v>-6.2029791155979175E-10</v>
      </c>
      <c r="Q31" s="84">
        <f t="shared" si="218"/>
        <v>1.0338304283832866E-9</v>
      </c>
      <c r="S31" s="17">
        <f>S7</f>
        <v>4</v>
      </c>
      <c r="T31" s="18" cm="1">
        <f t="array" ref="T31">flatInterpolation(S31,Calibration.Times,Calibration.HazardRates)</f>
        <v>5.8333333333333336E-3</v>
      </c>
      <c r="X31" s="24">
        <f t="shared" ref="X31" si="259">X30+YearFraction</f>
        <v>6.75</v>
      </c>
      <c r="Y31" s="25" cm="1">
        <f t="array" ref="Y31">flatInterpolation(X31,$S$4:$S$9,$T$4:$T$9)</f>
        <v>5.8333333333333336E-3</v>
      </c>
      <c r="Z31" s="26">
        <f t="shared" ref="Z31" si="260">EXP(-Y31*YearFraction)*Z30</f>
        <v>0.96139012024508164</v>
      </c>
      <c r="AA31" s="26">
        <f t="shared" si="3"/>
        <v>1.4030500673717361E-3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5.8333333333333336E-3</v>
      </c>
      <c r="AJ31" s="26">
        <f t="shared" ref="AJ31" si="262">EXP(-AI31*YearFraction)*AJ30</f>
        <v>0.96139002410607455</v>
      </c>
      <c r="AK31" s="122">
        <f t="shared" si="5"/>
        <v>1.4030499270667462E-3</v>
      </c>
      <c r="AL31" s="116"/>
      <c r="AM31" s="18" cm="1">
        <f t="array" ref="AM31">flatInterpolation($AG31,$S$4:$S$9,AL$5:AL$10)</f>
        <v>5.8333333333333336E-3</v>
      </c>
      <c r="AN31" s="26">
        <f t="shared" ref="AN31" si="263">EXP(-AM31*YearFraction)*AN30</f>
        <v>0.96139002410607444</v>
      </c>
      <c r="AO31" s="122">
        <f t="shared" si="7"/>
        <v>1.4030499270667462E-3</v>
      </c>
      <c r="AP31" s="116"/>
      <c r="AQ31" s="18" cm="1">
        <f t="array" ref="AQ31">flatInterpolation($AG31,$S$4:$S$9,AP$5:AP$10)</f>
        <v>5.8333333333333336E-3</v>
      </c>
      <c r="AR31" s="26">
        <f t="shared" ref="AR31" si="264">EXP(-AQ31*YearFraction)*AR30</f>
        <v>0.96139002410607433</v>
      </c>
      <c r="AS31" s="122">
        <f t="shared" si="9"/>
        <v>1.4030499270667462E-3</v>
      </c>
      <c r="AT31" s="116"/>
      <c r="AU31" s="18" cm="1">
        <f t="array" ref="AU31">flatInterpolation($AG31,$S$4:$S$9,AT$5:AT$10)</f>
        <v>5.8333333333333336E-3</v>
      </c>
      <c r="AV31" s="26">
        <f t="shared" ref="AV31" si="265">EXP(-AU31*YearFraction)*AV30</f>
        <v>0.96139002410607433</v>
      </c>
      <c r="AW31" s="122">
        <f t="shared" si="11"/>
        <v>1.4030499270667462E-3</v>
      </c>
      <c r="AX31" s="116"/>
      <c r="AY31" s="18" cm="1">
        <f t="array" ref="AY31">flatInterpolation($AG31,$S$4:$S$9,AX$5:AX$10)</f>
        <v>5.8333333333333336E-3</v>
      </c>
      <c r="AZ31" s="26">
        <f t="shared" ref="AZ31" si="266">EXP(-AY31*YearFraction)*AZ30</f>
        <v>0.96139002410607433</v>
      </c>
      <c r="BA31" s="122">
        <f t="shared" si="13"/>
        <v>1.4030499270667462E-3</v>
      </c>
      <c r="BB31" s="116"/>
      <c r="BC31" s="18" cm="1">
        <f t="array" ref="BC31">flatInterpolation($AG31,$S$4:$S$9,BB$5:BB$10)</f>
        <v>5.8334333333333339E-3</v>
      </c>
      <c r="BD31" s="26">
        <f t="shared" ref="BD31" si="267">EXP(-BC31*YearFraction)*BD30</f>
        <v>0.96138995200182487</v>
      </c>
      <c r="BE31" s="122">
        <f t="shared" si="15"/>
        <v>1.4030738916633867E-3</v>
      </c>
    </row>
    <row r="32" spans="3:57" x14ac:dyDescent="0.3">
      <c r="K32" s="68" t="s">
        <v>16</v>
      </c>
      <c r="L32" s="69">
        <v>10</v>
      </c>
      <c r="M32" s="70">
        <v>5.8333343671638834E-3</v>
      </c>
      <c r="N32" s="71">
        <v>5.8333333333333336E-3</v>
      </c>
      <c r="O32" s="72">
        <f t="shared" ref="O32" si="268">Q9/(1-RecoveryRate)</f>
        <v>5.8333333333333336E-3</v>
      </c>
      <c r="P32" s="71">
        <f t="shared" si="217"/>
        <v>-6.2029792240181347E-10</v>
      </c>
      <c r="Q32" s="85">
        <f t="shared" si="218"/>
        <v>1.03383054981393E-9</v>
      </c>
      <c r="S32" s="17">
        <f>S31+0.01</f>
        <v>4.01</v>
      </c>
      <c r="T32" s="18" cm="1">
        <f t="array" ref="T32">flatInterpolation(S32,Calibration.Times,Calibration.HazardRates)</f>
        <v>5.8333333333333336E-3</v>
      </c>
      <c r="X32" s="24">
        <f t="shared" ref="X32" si="269">X31+YearFraction</f>
        <v>7</v>
      </c>
      <c r="Y32" s="25" cm="1">
        <f t="array" ref="Y32">flatInterpolation(X32,$S$4:$S$9,$T$4:$T$9)</f>
        <v>5.8333333333333336E-3</v>
      </c>
      <c r="Z32" s="26">
        <f t="shared" ref="Z32" si="270">EXP(-Y32*YearFraction)*Z31</f>
        <v>0.95998911480115778</v>
      </c>
      <c r="AA32" s="26">
        <f t="shared" si="3"/>
        <v>1.4010054439238528E-3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5.8333333333333336E-3</v>
      </c>
      <c r="AJ32" s="26">
        <f t="shared" ref="AJ32" si="272">EXP(-AI32*YearFraction)*AJ31</f>
        <v>0.95998901880225129</v>
      </c>
      <c r="AK32" s="122">
        <f t="shared" si="5"/>
        <v>1.4010053038232551E-3</v>
      </c>
      <c r="AL32" s="116"/>
      <c r="AM32" s="18" cm="1">
        <f t="array" ref="AM32">flatInterpolation($AG32,$S$4:$S$9,AL$5:AL$10)</f>
        <v>5.8333333333333336E-3</v>
      </c>
      <c r="AN32" s="26">
        <f t="shared" ref="AN32" si="273">EXP(-AM32*YearFraction)*AN31</f>
        <v>0.95998901880225118</v>
      </c>
      <c r="AO32" s="122">
        <f t="shared" si="7"/>
        <v>1.4010053038232551E-3</v>
      </c>
      <c r="AP32" s="116"/>
      <c r="AQ32" s="18" cm="1">
        <f t="array" ref="AQ32">flatInterpolation($AG32,$S$4:$S$9,AP$5:AP$10)</f>
        <v>5.8333333333333336E-3</v>
      </c>
      <c r="AR32" s="26">
        <f t="shared" ref="AR32" si="274">EXP(-AQ32*YearFraction)*AR31</f>
        <v>0.95998901880225107</v>
      </c>
      <c r="AS32" s="122">
        <f t="shared" si="9"/>
        <v>1.4010053038232551E-3</v>
      </c>
      <c r="AT32" s="116"/>
      <c r="AU32" s="18" cm="1">
        <f t="array" ref="AU32">flatInterpolation($AG32,$S$4:$S$9,AT$5:AT$10)</f>
        <v>5.8333333333333336E-3</v>
      </c>
      <c r="AV32" s="26">
        <f t="shared" ref="AV32" si="275">EXP(-AU32*YearFraction)*AV31</f>
        <v>0.95998901880225107</v>
      </c>
      <c r="AW32" s="122">
        <f t="shared" si="11"/>
        <v>1.4010053038232551E-3</v>
      </c>
      <c r="AX32" s="116"/>
      <c r="AY32" s="18" cm="1">
        <f t="array" ref="AY32">flatInterpolation($AG32,$S$4:$S$9,AX$5:AX$10)</f>
        <v>5.8333333333333336E-3</v>
      </c>
      <c r="AZ32" s="26">
        <f t="shared" ref="AZ32" si="276">EXP(-AY32*YearFraction)*AZ31</f>
        <v>0.95998901880225107</v>
      </c>
      <c r="BA32" s="122">
        <f t="shared" si="13"/>
        <v>1.4010053038232551E-3</v>
      </c>
      <c r="BB32" s="116"/>
      <c r="BC32" s="18" cm="1">
        <f t="array" ref="BC32">flatInterpolation($AG32,$S$4:$S$9,BB$5:BB$10)</f>
        <v>5.8334333333333339E-3</v>
      </c>
      <c r="BD32" s="26">
        <f t="shared" ref="BD32" si="277">EXP(-BC32*YearFraction)*BD31</f>
        <v>0.95998892280335357</v>
      </c>
      <c r="BE32" s="122">
        <f t="shared" si="15"/>
        <v>1.401029198471293E-3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5.8333333333333336E-3</v>
      </c>
      <c r="X33" s="24">
        <f t="shared" ref="X33" si="278">X32+YearFraction</f>
        <v>7.25</v>
      </c>
      <c r="Y33" s="25" cm="1">
        <f t="array" ref="Y33">flatInterpolation(X33,$S$4:$S$9,$T$4:$T$9)</f>
        <v>5.8333333333333336E-3</v>
      </c>
      <c r="Z33" s="26">
        <f t="shared" ref="Z33" si="279">EXP(-Y33*YearFraction)*Z32</f>
        <v>0.95859015100111256</v>
      </c>
      <c r="AA33" s="26">
        <f t="shared" si="3"/>
        <v>1.3989638000452276E-3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5.8333333333333336E-3</v>
      </c>
      <c r="AJ33" s="26">
        <f t="shared" ref="AJ33" si="281">EXP(-AI33*YearFraction)*AJ32</f>
        <v>0.95859005514210238</v>
      </c>
      <c r="AK33" s="122">
        <f t="shared" si="5"/>
        <v>1.3989636601489108E-3</v>
      </c>
      <c r="AL33" s="116"/>
      <c r="AM33" s="18" cm="1">
        <f t="array" ref="AM33">flatInterpolation($AG33,$S$4:$S$9,AL$5:AL$10)</f>
        <v>5.8333333333333336E-3</v>
      </c>
      <c r="AN33" s="26">
        <f t="shared" ref="AN33" si="282">EXP(-AM33*YearFraction)*AN32</f>
        <v>0.95859005514210227</v>
      </c>
      <c r="AO33" s="122">
        <f t="shared" si="7"/>
        <v>1.3989636601489108E-3</v>
      </c>
      <c r="AP33" s="116"/>
      <c r="AQ33" s="18" cm="1">
        <f t="array" ref="AQ33">flatInterpolation($AG33,$S$4:$S$9,AP$5:AP$10)</f>
        <v>5.8333333333333336E-3</v>
      </c>
      <c r="AR33" s="26">
        <f t="shared" ref="AR33" si="283">EXP(-AQ33*YearFraction)*AR32</f>
        <v>0.95859005514210216</v>
      </c>
      <c r="AS33" s="122">
        <f t="shared" si="9"/>
        <v>1.3989636601489108E-3</v>
      </c>
      <c r="AT33" s="116"/>
      <c r="AU33" s="18" cm="1">
        <f t="array" ref="AU33">flatInterpolation($AG33,$S$4:$S$9,AT$5:AT$10)</f>
        <v>5.8333333333333336E-3</v>
      </c>
      <c r="AV33" s="26">
        <f t="shared" ref="AV33" si="284">EXP(-AU33*YearFraction)*AV32</f>
        <v>0.95859005514210216</v>
      </c>
      <c r="AW33" s="122">
        <f t="shared" si="11"/>
        <v>1.3989636601489108E-3</v>
      </c>
      <c r="AX33" s="116"/>
      <c r="AY33" s="18" cm="1">
        <f t="array" ref="AY33">flatInterpolation($AG33,$S$4:$S$9,AX$5:AX$10)</f>
        <v>5.8333333333333336E-3</v>
      </c>
      <c r="AZ33" s="26">
        <f t="shared" ref="AZ33" si="285">EXP(-AY33*YearFraction)*AZ32</f>
        <v>0.95859005514210216</v>
      </c>
      <c r="BA33" s="122">
        <f t="shared" si="13"/>
        <v>1.3989636601489108E-3</v>
      </c>
      <c r="BB33" s="116"/>
      <c r="BC33" s="18" cm="1">
        <f t="array" ref="BC33">flatInterpolation($AG33,$S$4:$S$9,BB$5:BB$10)</f>
        <v>5.8334333333333339E-3</v>
      </c>
      <c r="BD33" s="26">
        <f t="shared" ref="BD33" si="286">EXP(-BC33*YearFraction)*BD32</f>
        <v>0.95858993531835235</v>
      </c>
      <c r="BE33" s="122">
        <f t="shared" si="15"/>
        <v>1.3989874850012241E-3</v>
      </c>
    </row>
    <row r="34" spans="3:57" x14ac:dyDescent="0.3">
      <c r="K34" s="169" t="s">
        <v>333</v>
      </c>
      <c r="S34" s="17">
        <f>S33+0.01</f>
        <v>5.01</v>
      </c>
      <c r="T34" s="18" cm="1">
        <f t="array" ref="T34">flatInterpolation(S34,Calibration.Times,Calibration.HazardRates)</f>
        <v>5.8333333333333336E-3</v>
      </c>
      <c r="X34" s="24">
        <f t="shared" ref="X34" si="287">X33+YearFraction</f>
        <v>7.5</v>
      </c>
      <c r="Y34" s="25" cm="1">
        <f t="array" ref="Y34">flatInterpolation(X34,$S$4:$S$9,$T$4:$T$9)</f>
        <v>5.8333333333333336E-3</v>
      </c>
      <c r="Z34" s="26">
        <f t="shared" ref="Z34" si="288">EXP(-Y34*YearFraction)*Z33</f>
        <v>0.95719322586971856</v>
      </c>
      <c r="AA34" s="26">
        <f t="shared" si="3"/>
        <v>1.3969251313940001E-3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5.8333333333333336E-3</v>
      </c>
      <c r="AJ34" s="26">
        <f t="shared" ref="AJ34" si="290">EXP(-AI34*YearFraction)*AJ33</f>
        <v>0.95719313015040086</v>
      </c>
      <c r="AK34" s="122">
        <f t="shared" si="5"/>
        <v>1.3969249917015203E-3</v>
      </c>
      <c r="AL34" s="116"/>
      <c r="AM34" s="18" cm="1">
        <f t="array" ref="AM34">flatInterpolation($AG34,$S$4:$S$9,AL$5:AL$10)</f>
        <v>5.8333333333333336E-3</v>
      </c>
      <c r="AN34" s="26">
        <f t="shared" ref="AN34" si="291">EXP(-AM34*YearFraction)*AN33</f>
        <v>0.95719313015040075</v>
      </c>
      <c r="AO34" s="122">
        <f t="shared" si="7"/>
        <v>1.3969249917015203E-3</v>
      </c>
      <c r="AP34" s="116"/>
      <c r="AQ34" s="18" cm="1">
        <f t="array" ref="AQ34">flatInterpolation($AG34,$S$4:$S$9,AP$5:AP$10)</f>
        <v>5.8333333333333336E-3</v>
      </c>
      <c r="AR34" s="26">
        <f t="shared" ref="AR34" si="292">EXP(-AQ34*YearFraction)*AR33</f>
        <v>0.95719313015040064</v>
      </c>
      <c r="AS34" s="122">
        <f t="shared" si="9"/>
        <v>1.3969249917015203E-3</v>
      </c>
      <c r="AT34" s="116"/>
      <c r="AU34" s="18" cm="1">
        <f t="array" ref="AU34">flatInterpolation($AG34,$S$4:$S$9,AT$5:AT$10)</f>
        <v>5.8333333333333336E-3</v>
      </c>
      <c r="AV34" s="26">
        <f t="shared" ref="AV34" si="293">EXP(-AU34*YearFraction)*AV33</f>
        <v>0.95719313015040064</v>
      </c>
      <c r="AW34" s="122">
        <f t="shared" si="11"/>
        <v>1.3969249917015203E-3</v>
      </c>
      <c r="AX34" s="116"/>
      <c r="AY34" s="18" cm="1">
        <f t="array" ref="AY34">flatInterpolation($AG34,$S$4:$S$9,AX$5:AX$10)</f>
        <v>5.8333333333333336E-3</v>
      </c>
      <c r="AZ34" s="26">
        <f t="shared" ref="AZ34" si="294">EXP(-AY34*YearFraction)*AZ33</f>
        <v>0.95719313015040064</v>
      </c>
      <c r="BA34" s="122">
        <f t="shared" si="13"/>
        <v>1.3969249917015203E-3</v>
      </c>
      <c r="BB34" s="116"/>
      <c r="BC34" s="18" cm="1">
        <f t="array" ref="BC34">flatInterpolation($AG34,$S$4:$S$9,BB$5:BB$10)</f>
        <v>5.8334333333333339E-3</v>
      </c>
      <c r="BD34" s="26">
        <f t="shared" ref="BD34" si="295">EXP(-BC34*YearFraction)*BD33</f>
        <v>0.95719298657144136</v>
      </c>
      <c r="BE34" s="122">
        <f t="shared" si="15"/>
        <v>1.3969487469109865E-3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5.8333333333333336E-3</v>
      </c>
      <c r="X35" s="24">
        <f t="shared" ref="X35" si="296">X34+YearFraction</f>
        <v>7.75</v>
      </c>
      <c r="Y35" s="25" cm="1">
        <f t="array" ref="Y35">flatInterpolation(X35,$S$4:$S$9,$T$4:$T$9)</f>
        <v>5.8333333333333336E-3</v>
      </c>
      <c r="Z35" s="26">
        <f t="shared" ref="Z35" si="297">EXP(-Y35*YearFraction)*Z34</f>
        <v>0.95579833643608403</v>
      </c>
      <c r="AA35" s="26">
        <f t="shared" si="3"/>
        <v>1.3948894336345274E-3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5.8333333333333336E-3</v>
      </c>
      <c r="AJ35" s="26">
        <f t="shared" ref="AJ35" si="299">EXP(-AI35*YearFraction)*AJ34</f>
        <v>0.95579824085625531</v>
      </c>
      <c r="AK35" s="122">
        <f t="shared" si="5"/>
        <v>1.3948892941455515E-3</v>
      </c>
      <c r="AL35" s="116"/>
      <c r="AM35" s="18" cm="1">
        <f t="array" ref="AM35">flatInterpolation($AG35,$S$4:$S$9,AL$5:AL$10)</f>
        <v>5.8333333333333336E-3</v>
      </c>
      <c r="AN35" s="26">
        <f t="shared" ref="AN35" si="300">EXP(-AM35*YearFraction)*AN34</f>
        <v>0.9557982408562552</v>
      </c>
      <c r="AO35" s="122">
        <f t="shared" si="7"/>
        <v>1.3948892941455515E-3</v>
      </c>
      <c r="AP35" s="116"/>
      <c r="AQ35" s="18" cm="1">
        <f t="array" ref="AQ35">flatInterpolation($AG35,$S$4:$S$9,AP$5:AP$10)</f>
        <v>5.8333333333333336E-3</v>
      </c>
      <c r="AR35" s="26">
        <f t="shared" ref="AR35" si="301">EXP(-AQ35*YearFraction)*AR34</f>
        <v>0.95579824085625509</v>
      </c>
      <c r="AS35" s="122">
        <f t="shared" si="9"/>
        <v>1.3948892941455515E-3</v>
      </c>
      <c r="AT35" s="116"/>
      <c r="AU35" s="18" cm="1">
        <f t="array" ref="AU35">flatInterpolation($AG35,$S$4:$S$9,AT$5:AT$10)</f>
        <v>5.8333333333333336E-3</v>
      </c>
      <c r="AV35" s="26">
        <f t="shared" ref="AV35" si="302">EXP(-AU35*YearFraction)*AV34</f>
        <v>0.95579824085625509</v>
      </c>
      <c r="AW35" s="122">
        <f t="shared" si="11"/>
        <v>1.3948892941455515E-3</v>
      </c>
      <c r="AX35" s="116"/>
      <c r="AY35" s="18" cm="1">
        <f t="array" ref="AY35">flatInterpolation($AG35,$S$4:$S$9,AX$5:AX$10)</f>
        <v>5.8333333333333336E-3</v>
      </c>
      <c r="AZ35" s="26">
        <f t="shared" ref="AZ35" si="303">EXP(-AY35*YearFraction)*AZ34</f>
        <v>0.95579824085625509</v>
      </c>
      <c r="BA35" s="122">
        <f t="shared" si="13"/>
        <v>1.3948892941455515E-3</v>
      </c>
      <c r="BB35" s="116"/>
      <c r="BC35" s="18" cm="1">
        <f t="array" ref="BC35">flatInterpolation($AG35,$S$4:$S$9,BB$5:BB$10)</f>
        <v>5.8334333333333339E-3</v>
      </c>
      <c r="BD35" s="26">
        <f t="shared" ref="BD35" si="304">EXP(-BC35*YearFraction)*BD34</f>
        <v>0.95579807359157698</v>
      </c>
      <c r="BE35" s="122">
        <f t="shared" si="15"/>
        <v>1.3949129798643822E-3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5.8333333333333336E-3</v>
      </c>
      <c r="Z36" s="26">
        <f t="shared" ref="Z36" si="306">EXP(-Y36*YearFraction)*Z35</f>
        <v>0.95440547973364687</v>
      </c>
      <c r="AA36" s="26">
        <f t="shared" si="3"/>
        <v>1.3928567024371619E-3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5.8333333333333336E-3</v>
      </c>
      <c r="AJ36" s="26">
        <f t="shared" ref="AJ36" si="308">EXP(-AI36*YearFraction)*AJ35</f>
        <v>0.95440538429310373</v>
      </c>
      <c r="AK36" s="122">
        <f t="shared" si="5"/>
        <v>1.3928565631515788E-3</v>
      </c>
      <c r="AL36" s="116"/>
      <c r="AM36" s="18" cm="1">
        <f t="array" ref="AM36">flatInterpolation($AG36,$S$4:$S$9,AL$5:AL$10)</f>
        <v>5.8333333333333336E-3</v>
      </c>
      <c r="AN36" s="26">
        <f t="shared" ref="AN36" si="309">EXP(-AM36*YearFraction)*AN35</f>
        <v>0.95440538429310362</v>
      </c>
      <c r="AO36" s="122">
        <f t="shared" si="7"/>
        <v>1.3928565631515788E-3</v>
      </c>
      <c r="AP36" s="116"/>
      <c r="AQ36" s="18" cm="1">
        <f t="array" ref="AQ36">flatInterpolation($AG36,$S$4:$S$9,AP$5:AP$10)</f>
        <v>5.8333333333333336E-3</v>
      </c>
      <c r="AR36" s="26">
        <f t="shared" ref="AR36" si="310">EXP(-AQ36*YearFraction)*AR35</f>
        <v>0.95440538429310351</v>
      </c>
      <c r="AS36" s="122">
        <f t="shared" si="9"/>
        <v>1.3928565631515788E-3</v>
      </c>
      <c r="AT36" s="116"/>
      <c r="AU36" s="18" cm="1">
        <f t="array" ref="AU36">flatInterpolation($AG36,$S$4:$S$9,AT$5:AT$10)</f>
        <v>5.8333333333333336E-3</v>
      </c>
      <c r="AV36" s="26">
        <f t="shared" ref="AV36" si="311">EXP(-AU36*YearFraction)*AV35</f>
        <v>0.95440538429310351</v>
      </c>
      <c r="AW36" s="122">
        <f t="shared" si="11"/>
        <v>1.3928565631515788E-3</v>
      </c>
      <c r="AX36" s="116"/>
      <c r="AY36" s="18" cm="1">
        <f t="array" ref="AY36">flatInterpolation($AG36,$S$4:$S$9,AX$5:AX$10)</f>
        <v>5.8333333333333336E-3</v>
      </c>
      <c r="AZ36" s="26">
        <f t="shared" ref="AZ36" si="312">EXP(-AY36*YearFraction)*AZ35</f>
        <v>0.95440538429310351</v>
      </c>
      <c r="BA36" s="122">
        <f t="shared" si="13"/>
        <v>1.3928565631515788E-3</v>
      </c>
      <c r="BB36" s="116"/>
      <c r="BC36" s="18" cm="1">
        <f t="array" ref="BC36">flatInterpolation($AG36,$S$4:$S$9,BB$5:BB$10)</f>
        <v>5.8334333333333339E-3</v>
      </c>
      <c r="BD36" s="26">
        <f t="shared" ref="BD36" si="313">EXP(-BC36*YearFraction)*BD35</f>
        <v>0.95440519341204511</v>
      </c>
      <c r="BE36" s="122">
        <f t="shared" si="15"/>
        <v>1.3928801795318746E-3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5.8333333333333336E-3</v>
      </c>
      <c r="Z37" s="26">
        <f t="shared" ref="Z37" si="315">EXP(-Y37*YearFraction)*Z36</f>
        <v>0.95301465280016773</v>
      </c>
      <c r="AA37" s="26">
        <f t="shared" si="3"/>
        <v>1.390826933479139E-3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5.8333333333333336E-3</v>
      </c>
      <c r="AJ37" s="26">
        <f t="shared" ref="AJ37" si="317">EXP(-AI37*YearFraction)*AJ36</f>
        <v>0.95301455749870734</v>
      </c>
      <c r="AK37" s="122">
        <f t="shared" si="5"/>
        <v>1.3908267943963937E-3</v>
      </c>
      <c r="AL37" s="116"/>
      <c r="AM37" s="18" cm="1">
        <f t="array" ref="AM37">flatInterpolation($AG37,$S$4:$S$9,AL$5:AL$10)</f>
        <v>5.8333333333333336E-3</v>
      </c>
      <c r="AN37" s="26">
        <f t="shared" ref="AN37" si="318">EXP(-AM37*YearFraction)*AN36</f>
        <v>0.95301455749870723</v>
      </c>
      <c r="AO37" s="122">
        <f t="shared" si="7"/>
        <v>1.3908267943963937E-3</v>
      </c>
      <c r="AP37" s="116"/>
      <c r="AQ37" s="18" cm="1">
        <f t="array" ref="AQ37">flatInterpolation($AG37,$S$4:$S$9,AP$5:AP$10)</f>
        <v>5.8333333333333336E-3</v>
      </c>
      <c r="AR37" s="26">
        <f t="shared" ref="AR37" si="319">EXP(-AQ37*YearFraction)*AR36</f>
        <v>0.95301455749870712</v>
      </c>
      <c r="AS37" s="122">
        <f t="shared" si="9"/>
        <v>1.3908267943963937E-3</v>
      </c>
      <c r="AT37" s="116"/>
      <c r="AU37" s="18" cm="1">
        <f t="array" ref="AU37">flatInterpolation($AG37,$S$4:$S$9,AT$5:AT$10)</f>
        <v>5.8333333333333336E-3</v>
      </c>
      <c r="AV37" s="26">
        <f t="shared" ref="AV37" si="320">EXP(-AU37*YearFraction)*AV36</f>
        <v>0.95301455749870712</v>
      </c>
      <c r="AW37" s="122">
        <f t="shared" si="11"/>
        <v>1.3908267943963937E-3</v>
      </c>
      <c r="AX37" s="116"/>
      <c r="AY37" s="18" cm="1">
        <f t="array" ref="AY37">flatInterpolation($AG37,$S$4:$S$9,AX$5:AX$10)</f>
        <v>5.8333333333333336E-3</v>
      </c>
      <c r="AZ37" s="26">
        <f t="shared" ref="AZ37" si="321">EXP(-AY37*YearFraction)*AZ36</f>
        <v>0.95301455749870712</v>
      </c>
      <c r="BA37" s="122">
        <f t="shared" si="13"/>
        <v>1.3908267943963937E-3</v>
      </c>
      <c r="BB37" s="116"/>
      <c r="BC37" s="18" cm="1">
        <f t="array" ref="BC37">flatInterpolation($AG37,$S$4:$S$9,BB$5:BB$10)</f>
        <v>5.8334333333333339E-3</v>
      </c>
      <c r="BD37" s="26">
        <f t="shared" ref="BD37" si="322">EXP(-BC37*YearFraction)*BD36</f>
        <v>0.95301434307045507</v>
      </c>
      <c r="BE37" s="122">
        <f t="shared" si="15"/>
        <v>1.3908503415900331E-3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5.8333333333333336E-3</v>
      </c>
      <c r="Z38" s="26">
        <f t="shared" ref="Z38" si="324">EXP(-Y38*YearFraction)*Z37</f>
        <v>0.95162585267772437</v>
      </c>
      <c r="AA38" s="26">
        <f t="shared" si="3"/>
        <v>1.3888001224433566E-3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5.8333333333333336E-3</v>
      </c>
      <c r="AJ38" s="26">
        <f t="shared" ref="AJ38" si="326">EXP(-AI38*YearFraction)*AJ37</f>
        <v>0.951625757515144</v>
      </c>
      <c r="AK38" s="122">
        <f t="shared" si="5"/>
        <v>1.388799983563338E-3</v>
      </c>
      <c r="AL38" s="116"/>
      <c r="AM38" s="18" cm="1">
        <f t="array" ref="AM38">flatInterpolation($AG38,$S$4:$S$9,AL$5:AL$10)</f>
        <v>5.8333333333333336E-3</v>
      </c>
      <c r="AN38" s="26">
        <f t="shared" ref="AN38" si="327">EXP(-AM38*YearFraction)*AN37</f>
        <v>0.95162575751514389</v>
      </c>
      <c r="AO38" s="122">
        <f t="shared" si="7"/>
        <v>1.388799983563338E-3</v>
      </c>
      <c r="AP38" s="116"/>
      <c r="AQ38" s="18" cm="1">
        <f t="array" ref="AQ38">flatInterpolation($AG38,$S$4:$S$9,AP$5:AP$10)</f>
        <v>5.8333333333333336E-3</v>
      </c>
      <c r="AR38" s="26">
        <f t="shared" ref="AR38" si="328">EXP(-AQ38*YearFraction)*AR37</f>
        <v>0.95162575751514378</v>
      </c>
      <c r="AS38" s="122">
        <f t="shared" si="9"/>
        <v>1.388799983563338E-3</v>
      </c>
      <c r="AT38" s="116"/>
      <c r="AU38" s="18" cm="1">
        <f t="array" ref="AU38">flatInterpolation($AG38,$S$4:$S$9,AT$5:AT$10)</f>
        <v>5.8333333333333336E-3</v>
      </c>
      <c r="AV38" s="26">
        <f t="shared" ref="AV38" si="329">EXP(-AU38*YearFraction)*AV37</f>
        <v>0.95162575751514378</v>
      </c>
      <c r="AW38" s="122">
        <f t="shared" si="11"/>
        <v>1.388799983563338E-3</v>
      </c>
      <c r="AX38" s="116"/>
      <c r="AY38" s="18" cm="1">
        <f t="array" ref="AY38">flatInterpolation($AG38,$S$4:$S$9,AX$5:AX$10)</f>
        <v>5.8333333333333336E-3</v>
      </c>
      <c r="AZ38" s="26">
        <f t="shared" ref="AZ38" si="330">EXP(-AY38*YearFraction)*AZ37</f>
        <v>0.95162575751514378</v>
      </c>
      <c r="BA38" s="122">
        <f t="shared" si="13"/>
        <v>1.388799983563338E-3</v>
      </c>
      <c r="BB38" s="116"/>
      <c r="BC38" s="18" cm="1">
        <f t="array" ref="BC38">flatInterpolation($AG38,$S$4:$S$9,BB$5:BB$10)</f>
        <v>5.8334333333333339E-3</v>
      </c>
      <c r="BD38" s="26">
        <f t="shared" ref="BD38" si="331">EXP(-BC38*YearFraction)*BD37</f>
        <v>0.95162551960873332</v>
      </c>
      <c r="BE38" s="122">
        <f t="shared" si="15"/>
        <v>1.3888234617217554E-3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5.8333333333333336E-3</v>
      </c>
      <c r="Z39" s="26">
        <f t="shared" ref="Z39" si="333">EXP(-Y39*YearFraction)*Z38</f>
        <v>0.95023907641270489</v>
      </c>
      <c r="AA39" s="26">
        <f t="shared" si="3"/>
        <v>1.3867762650194848E-3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5.8333333333333336E-3</v>
      </c>
      <c r="AJ39" s="26">
        <f t="shared" ref="AJ39" si="335">EXP(-AI39*YearFraction)*AJ38</f>
        <v>0.95023898138880214</v>
      </c>
      <c r="AK39" s="122">
        <f t="shared" si="5"/>
        <v>1.3867761263418599E-3</v>
      </c>
      <c r="AL39" s="116"/>
      <c r="AM39" s="18" cm="1">
        <f t="array" ref="AM39">flatInterpolation($AG39,$S$4:$S$9,AL$5:AL$10)</f>
        <v>5.8333333333333336E-3</v>
      </c>
      <c r="AN39" s="26">
        <f t="shared" ref="AN39" si="336">EXP(-AM39*YearFraction)*AN38</f>
        <v>0.95023898138880203</v>
      </c>
      <c r="AO39" s="122">
        <f t="shared" si="7"/>
        <v>1.3867761263418599E-3</v>
      </c>
      <c r="AP39" s="116"/>
      <c r="AQ39" s="18" cm="1">
        <f t="array" ref="AQ39">flatInterpolation($AG39,$S$4:$S$9,AP$5:AP$10)</f>
        <v>5.8333333333333336E-3</v>
      </c>
      <c r="AR39" s="26">
        <f t="shared" ref="AR39" si="337">EXP(-AQ39*YearFraction)*AR38</f>
        <v>0.95023898138880192</v>
      </c>
      <c r="AS39" s="122">
        <f t="shared" si="9"/>
        <v>1.3867761263418599E-3</v>
      </c>
      <c r="AT39" s="116"/>
      <c r="AU39" s="18" cm="1">
        <f t="array" ref="AU39">flatInterpolation($AG39,$S$4:$S$9,AT$5:AT$10)</f>
        <v>5.8333333333333336E-3</v>
      </c>
      <c r="AV39" s="26">
        <f t="shared" ref="AV39" si="338">EXP(-AU39*YearFraction)*AV38</f>
        <v>0.95023898138880192</v>
      </c>
      <c r="AW39" s="122">
        <f t="shared" si="11"/>
        <v>1.3867761263418599E-3</v>
      </c>
      <c r="AX39" s="116"/>
      <c r="AY39" s="18" cm="1">
        <f t="array" ref="AY39">flatInterpolation($AG39,$S$4:$S$9,AX$5:AX$10)</f>
        <v>5.8333333333333336E-3</v>
      </c>
      <c r="AZ39" s="26">
        <f t="shared" ref="AZ39" si="339">EXP(-AY39*YearFraction)*AZ38</f>
        <v>0.95023898138880192</v>
      </c>
      <c r="BA39" s="122">
        <f t="shared" si="13"/>
        <v>1.3867761263418599E-3</v>
      </c>
      <c r="BB39" s="116"/>
      <c r="BC39" s="18" cm="1">
        <f t="array" ref="BC39">flatInterpolation($AG39,$S$4:$S$9,BB$5:BB$10)</f>
        <v>5.8334333333333339E-3</v>
      </c>
      <c r="BD39" s="26">
        <f t="shared" ref="BD39" si="340">EXP(-BC39*YearFraction)*BD38</f>
        <v>0.95023872007311705</v>
      </c>
      <c r="BE39" s="122">
        <f t="shared" si="15"/>
        <v>1.3867995356162677E-3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5.8333333333333336E-3</v>
      </c>
      <c r="Z40" s="26">
        <f t="shared" ref="Z40" si="342">EXP(-Y40*YearFraction)*Z39</f>
        <v>0.94885432105580159</v>
      </c>
      <c r="AA40" s="26">
        <f t="shared" si="3"/>
        <v>1.3847553569033E-3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5.8333333333333336E-3</v>
      </c>
      <c r="AJ40" s="26">
        <f t="shared" ref="AJ40" si="344">EXP(-AI40*YearFraction)*AJ39</f>
        <v>0.94885422617037429</v>
      </c>
      <c r="AK40" s="122">
        <f t="shared" si="5"/>
        <v>1.3847552184278467E-3</v>
      </c>
      <c r="AL40" s="116"/>
      <c r="AM40" s="18" cm="1">
        <f t="array" ref="AM40">flatInterpolation($AG40,$S$4:$S$9,AL$5:AL$10)</f>
        <v>5.8333333333333336E-3</v>
      </c>
      <c r="AN40" s="26">
        <f t="shared" ref="AN40" si="345">EXP(-AM40*YearFraction)*AN39</f>
        <v>0.94885422617037418</v>
      </c>
      <c r="AO40" s="122">
        <f t="shared" si="7"/>
        <v>1.3847552184278467E-3</v>
      </c>
      <c r="AP40" s="116"/>
      <c r="AQ40" s="18" cm="1">
        <f t="array" ref="AQ40">flatInterpolation($AG40,$S$4:$S$9,AP$5:AP$10)</f>
        <v>5.8333333333333336E-3</v>
      </c>
      <c r="AR40" s="26">
        <f t="shared" ref="AR40" si="346">EXP(-AQ40*YearFraction)*AR39</f>
        <v>0.94885422617037407</v>
      </c>
      <c r="AS40" s="122">
        <f t="shared" si="9"/>
        <v>1.3847552184278467E-3</v>
      </c>
      <c r="AT40" s="116"/>
      <c r="AU40" s="18" cm="1">
        <f t="array" ref="AU40">flatInterpolation($AG40,$S$4:$S$9,AT$5:AT$10)</f>
        <v>5.8333333333333336E-3</v>
      </c>
      <c r="AV40" s="26">
        <f t="shared" ref="AV40" si="347">EXP(-AU40*YearFraction)*AV39</f>
        <v>0.94885422617037407</v>
      </c>
      <c r="AW40" s="122">
        <f t="shared" si="11"/>
        <v>1.3847552184278467E-3</v>
      </c>
      <c r="AX40" s="116"/>
      <c r="AY40" s="18" cm="1">
        <f t="array" ref="AY40">flatInterpolation($AG40,$S$4:$S$9,AX$5:AX$10)</f>
        <v>5.8333333333333336E-3</v>
      </c>
      <c r="AZ40" s="26">
        <f t="shared" ref="AZ40" si="348">EXP(-AY40*YearFraction)*AZ39</f>
        <v>0.94885422617037407</v>
      </c>
      <c r="BA40" s="122">
        <f t="shared" si="13"/>
        <v>1.3847552184278467E-3</v>
      </c>
      <c r="BB40" s="116"/>
      <c r="BC40" s="18" cm="1">
        <f t="array" ref="BC40">flatInterpolation($AG40,$S$4:$S$9,BB$5:BB$10)</f>
        <v>5.8334333333333339E-3</v>
      </c>
      <c r="BD40" s="26">
        <f t="shared" ref="BD40" si="349">EXP(-BC40*YearFraction)*BD39</f>
        <v>0.94885394151414792</v>
      </c>
      <c r="BE40" s="122">
        <f t="shared" si="15"/>
        <v>1.3847785589691242E-3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5.8333333333333336E-3</v>
      </c>
      <c r="Z41" s="26">
        <f t="shared" ref="Z41" si="351">EXP(-Y41*YearFraction)*Z40</f>
        <v>0.94747158366200468</v>
      </c>
      <c r="AA41" s="26">
        <f t="shared" si="3"/>
        <v>1.3827373937969067E-3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5.8333333333333336E-3</v>
      </c>
      <c r="AJ41" s="26">
        <f t="shared" ref="AJ41" si="353">EXP(-AI41*YearFraction)*AJ40</f>
        <v>0.94747148891485111</v>
      </c>
      <c r="AK41" s="122">
        <f t="shared" si="5"/>
        <v>1.3827372555231809E-3</v>
      </c>
      <c r="AL41" s="116"/>
      <c r="AM41" s="18" cm="1">
        <f t="array" ref="AM41">flatInterpolation($AG41,$S$4:$S$9,AL$5:AL$10)</f>
        <v>5.8333333333333336E-3</v>
      </c>
      <c r="AN41" s="26">
        <f t="shared" ref="AN41" si="354">EXP(-AM41*YearFraction)*AN40</f>
        <v>0.947471488914851</v>
      </c>
      <c r="AO41" s="122">
        <f t="shared" si="7"/>
        <v>1.3827372555231809E-3</v>
      </c>
      <c r="AP41" s="116"/>
      <c r="AQ41" s="18" cm="1">
        <f t="array" ref="AQ41">flatInterpolation($AG41,$S$4:$S$9,AP$5:AP$10)</f>
        <v>5.8333333333333336E-3</v>
      </c>
      <c r="AR41" s="26">
        <f t="shared" ref="AR41" si="355">EXP(-AQ41*YearFraction)*AR40</f>
        <v>0.94747148891485089</v>
      </c>
      <c r="AS41" s="122">
        <f t="shared" si="9"/>
        <v>1.3827372555231809E-3</v>
      </c>
      <c r="AT41" s="116"/>
      <c r="AU41" s="18" cm="1">
        <f t="array" ref="AU41">flatInterpolation($AG41,$S$4:$S$9,AT$5:AT$10)</f>
        <v>5.8333333333333336E-3</v>
      </c>
      <c r="AV41" s="26">
        <f t="shared" ref="AV41" si="356">EXP(-AU41*YearFraction)*AV40</f>
        <v>0.94747148891485089</v>
      </c>
      <c r="AW41" s="122">
        <f t="shared" si="11"/>
        <v>1.3827372555231809E-3</v>
      </c>
      <c r="AX41" s="116"/>
      <c r="AY41" s="18" cm="1">
        <f t="array" ref="AY41">flatInterpolation($AG41,$S$4:$S$9,AX$5:AX$10)</f>
        <v>5.8333333333333336E-3</v>
      </c>
      <c r="AZ41" s="26">
        <f t="shared" ref="AZ41" si="357">EXP(-AY41*YearFraction)*AZ40</f>
        <v>0.94747148891485089</v>
      </c>
      <c r="BA41" s="122">
        <f t="shared" si="13"/>
        <v>1.3827372555231809E-3</v>
      </c>
      <c r="BB41" s="116"/>
      <c r="BC41" s="18" cm="1">
        <f t="array" ref="BC41">flatInterpolation($AG41,$S$4:$S$9,BB$5:BB$10)</f>
        <v>5.8334333333333339E-3</v>
      </c>
      <c r="BD41" s="26">
        <f t="shared" ref="BD41" si="358">EXP(-BC41*YearFraction)*BD40</f>
        <v>0.94747118098666594</v>
      </c>
      <c r="BE41" s="122">
        <f t="shared" si="15"/>
        <v>1.3827605274819854E-3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5.8333333333333336E-3</v>
      </c>
      <c r="L42" s="108">
        <v>5.8333343671637637E-3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5.8333333333333336E-3</v>
      </c>
      <c r="Z42" s="26">
        <f t="shared" ref="Z42" si="360">EXP(-Y42*YearFraction)*Z41</f>
        <v>0.94609086129059605</v>
      </c>
      <c r="AA42" s="26">
        <f t="shared" si="3"/>
        <v>1.380722371408627E-3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5.8333333333333336E-3</v>
      </c>
      <c r="AJ42" s="26">
        <f t="shared" ref="AJ42" si="362">EXP(-AI42*YearFraction)*AJ41</f>
        <v>0.94609076668151471</v>
      </c>
      <c r="AK42" s="122">
        <f t="shared" si="5"/>
        <v>1.3807222333364066E-3</v>
      </c>
      <c r="AL42" s="116"/>
      <c r="AM42" s="18" cm="1">
        <f t="array" ref="AM42">flatInterpolation($AG42,$S$4:$S$9,AL$5:AL$10)</f>
        <v>5.8333333333333336E-3</v>
      </c>
      <c r="AN42" s="26">
        <f t="shared" ref="AN42" si="363">EXP(-AM42*YearFraction)*AN41</f>
        <v>0.94609076668151459</v>
      </c>
      <c r="AO42" s="122">
        <f t="shared" si="7"/>
        <v>1.3807222333364066E-3</v>
      </c>
      <c r="AP42" s="116"/>
      <c r="AQ42" s="18" cm="1">
        <f t="array" ref="AQ42">flatInterpolation($AG42,$S$4:$S$9,AP$5:AP$10)</f>
        <v>5.8333333333333336E-3</v>
      </c>
      <c r="AR42" s="26">
        <f t="shared" ref="AR42" si="364">EXP(-AQ42*YearFraction)*AR41</f>
        <v>0.94609076668151448</v>
      </c>
      <c r="AS42" s="122">
        <f t="shared" si="9"/>
        <v>1.3807222333364066E-3</v>
      </c>
      <c r="AT42" s="116"/>
      <c r="AU42" s="18" cm="1">
        <f t="array" ref="AU42">flatInterpolation($AG42,$S$4:$S$9,AT$5:AT$10)</f>
        <v>5.8333333333333336E-3</v>
      </c>
      <c r="AV42" s="26">
        <f t="shared" ref="AV42" si="365">EXP(-AU42*YearFraction)*AV41</f>
        <v>0.94609076668151448</v>
      </c>
      <c r="AW42" s="122">
        <f t="shared" si="11"/>
        <v>1.3807222333364066E-3</v>
      </c>
      <c r="AX42" s="116"/>
      <c r="AY42" s="18" cm="1">
        <f t="array" ref="AY42">flatInterpolation($AG42,$S$4:$S$9,AX$5:AX$10)</f>
        <v>5.8333333333333336E-3</v>
      </c>
      <c r="AZ42" s="26">
        <f t="shared" ref="AZ42" si="366">EXP(-AY42*YearFraction)*AZ41</f>
        <v>0.94609076668151448</v>
      </c>
      <c r="BA42" s="122">
        <f t="shared" si="13"/>
        <v>1.3807222333364066E-3</v>
      </c>
      <c r="BB42" s="116"/>
      <c r="BC42" s="18" cm="1">
        <f t="array" ref="BC42">flatInterpolation($AG42,$S$4:$S$9,BB$5:BB$10)</f>
        <v>5.8334333333333339E-3</v>
      </c>
      <c r="BD42" s="26">
        <f t="shared" ref="BD42" si="367">EXP(-BC42*YearFraction)*BD41</f>
        <v>0.94609043554980299</v>
      </c>
      <c r="BE42" s="122">
        <f t="shared" si="15"/>
        <v>1.3807454368629513E-3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5.8333333333333336E-3</v>
      </c>
      <c r="L43" s="103">
        <v>5.8333343671636735E-3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5.8333333333333336E-3</v>
      </c>
      <c r="Z43" s="26">
        <f t="shared" ref="Z43" si="369">EXP(-Y43*YearFraction)*Z42</f>
        <v>0.94471215100514316</v>
      </c>
      <c r="AA43" s="26">
        <f t="shared" si="3"/>
        <v>1.3787102854528888E-3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5.8333333333333336E-3</v>
      </c>
      <c r="AJ43" s="26">
        <f t="shared" ref="AJ43" si="371">EXP(-AI43*YearFraction)*AJ42</f>
        <v>0.94471205653393286</v>
      </c>
      <c r="AK43" s="122">
        <f t="shared" si="5"/>
        <v>1.3787101475818409E-3</v>
      </c>
      <c r="AL43" s="116"/>
      <c r="AM43" s="18" cm="1">
        <f t="array" ref="AM43">flatInterpolation($AG43,$S$4:$S$9,AL$5:AL$10)</f>
        <v>5.8333333333333336E-3</v>
      </c>
      <c r="AN43" s="26">
        <f t="shared" ref="AN43" si="372">EXP(-AM43*YearFraction)*AN42</f>
        <v>0.94471205653393275</v>
      </c>
      <c r="AO43" s="122">
        <f t="shared" si="7"/>
        <v>1.3787101475818409E-3</v>
      </c>
      <c r="AP43" s="116"/>
      <c r="AQ43" s="18" cm="1">
        <f t="array" ref="AQ43">flatInterpolation($AG43,$S$4:$S$9,AP$5:AP$10)</f>
        <v>5.8333333333333336E-3</v>
      </c>
      <c r="AR43" s="26">
        <f t="shared" ref="AR43" si="373">EXP(-AQ43*YearFraction)*AR42</f>
        <v>0.94471205653393264</v>
      </c>
      <c r="AS43" s="122">
        <f t="shared" si="9"/>
        <v>1.3787101475818409E-3</v>
      </c>
      <c r="AT43" s="116"/>
      <c r="AU43" s="18" cm="1">
        <f t="array" ref="AU43">flatInterpolation($AG43,$S$4:$S$9,AT$5:AT$10)</f>
        <v>5.8333333333333336E-3</v>
      </c>
      <c r="AV43" s="26">
        <f t="shared" ref="AV43" si="374">EXP(-AU43*YearFraction)*AV42</f>
        <v>0.94471205653393264</v>
      </c>
      <c r="AW43" s="122">
        <f t="shared" si="11"/>
        <v>1.3787101475818409E-3</v>
      </c>
      <c r="AX43" s="116"/>
      <c r="AY43" s="18" cm="1">
        <f t="array" ref="AY43">flatInterpolation($AG43,$S$4:$S$9,AX$5:AX$10)</f>
        <v>5.8333333333333336E-3</v>
      </c>
      <c r="AZ43" s="26">
        <f t="shared" ref="AZ43" si="375">EXP(-AY43*YearFraction)*AZ42</f>
        <v>0.94471205653393264</v>
      </c>
      <c r="BA43" s="122">
        <f t="shared" si="13"/>
        <v>1.3787101475818409E-3</v>
      </c>
      <c r="BB43" s="116"/>
      <c r="BC43" s="18" cm="1">
        <f t="array" ref="BC43">flatInterpolation($AG43,$S$4:$S$9,BB$5:BB$10)</f>
        <v>5.8334333333333339E-3</v>
      </c>
      <c r="BD43" s="26">
        <f t="shared" ref="BD43" si="376">EXP(-BC43*YearFraction)*BD42</f>
        <v>0.94471170226697665</v>
      </c>
      <c r="BE43" s="122">
        <f t="shared" si="15"/>
        <v>1.3787332828263388E-3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5.8333333333333336E-3</v>
      </c>
      <c r="L44" s="103">
        <v>5.8333343671637524E-3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5.8333333333333336E-3</v>
      </c>
      <c r="Z44" s="14">
        <f t="shared" ref="Z44" si="378">EXP(-Y44*YearFraction)*Z43</f>
        <v>0.94333544987349249</v>
      </c>
      <c r="AA44" s="14">
        <f t="shared" si="3"/>
        <v>1.3767011316506705E-3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5.8333333333333336E-3</v>
      </c>
      <c r="AJ44" s="14">
        <f t="shared" ref="AJ44" si="380">EXP(-AI44*YearFraction)*AJ43</f>
        <v>0.94333535553995229</v>
      </c>
      <c r="AK44" s="123">
        <f t="shared" si="5"/>
        <v>1.376700993980573E-3</v>
      </c>
      <c r="AL44" s="112"/>
      <c r="AM44" s="36" cm="1">
        <f t="array" ref="AM44">flatInterpolation($AG44,$S$4:$S$9,AL$5:AL$10)</f>
        <v>5.8333333333333336E-3</v>
      </c>
      <c r="AN44" s="14">
        <f t="shared" ref="AN44" si="381">EXP(-AM44*YearFraction)*AN43</f>
        <v>0.94333535553995218</v>
      </c>
      <c r="AO44" s="123">
        <f t="shared" si="7"/>
        <v>1.376700993980573E-3</v>
      </c>
      <c r="AP44" s="112"/>
      <c r="AQ44" s="36" cm="1">
        <f t="array" ref="AQ44">flatInterpolation($AG44,$S$4:$S$9,AP$5:AP$10)</f>
        <v>5.8333333333333336E-3</v>
      </c>
      <c r="AR44" s="14">
        <f t="shared" ref="AR44" si="382">EXP(-AQ44*YearFraction)*AR43</f>
        <v>0.94333535553995207</v>
      </c>
      <c r="AS44" s="123">
        <f t="shared" si="9"/>
        <v>1.376700993980573E-3</v>
      </c>
      <c r="AT44" s="112"/>
      <c r="AU44" s="36" cm="1">
        <f t="array" ref="AU44">flatInterpolation($AG44,$S$4:$S$9,AT$5:AT$10)</f>
        <v>5.8333333333333336E-3</v>
      </c>
      <c r="AV44" s="14">
        <f t="shared" ref="AV44" si="383">EXP(-AU44*YearFraction)*AV43</f>
        <v>0.94333535553995207</v>
      </c>
      <c r="AW44" s="123">
        <f t="shared" si="11"/>
        <v>1.376700993980573E-3</v>
      </c>
      <c r="AX44" s="112"/>
      <c r="AY44" s="36" cm="1">
        <f t="array" ref="AY44">flatInterpolation($AG44,$S$4:$S$9,AX$5:AX$10)</f>
        <v>5.8333333333333336E-3</v>
      </c>
      <c r="AZ44" s="14">
        <f t="shared" ref="AZ44" si="384">EXP(-AY44*YearFraction)*AZ43</f>
        <v>0.94333535553995207</v>
      </c>
      <c r="BA44" s="123">
        <f t="shared" si="13"/>
        <v>1.376700993980573E-3</v>
      </c>
      <c r="BB44" s="112"/>
      <c r="BC44" s="36" cm="1">
        <f t="array" ref="BC44">flatInterpolation($AG44,$S$4:$S$9,BB$5:BB$10)</f>
        <v>5.8334333333333339E-3</v>
      </c>
      <c r="BD44" s="14">
        <f t="shared" ref="BD44" si="385">EXP(-BC44*YearFraction)*BD43</f>
        <v>0.94333497820588408</v>
      </c>
      <c r="BE44" s="123">
        <f t="shared" si="15"/>
        <v>1.3767240610925713E-3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5.8333333333333336E-3</v>
      </c>
      <c r="L45" s="103">
        <v>5.8333343671637195E-3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5.8333333333333336E-3</v>
      </c>
      <c r="L46" s="103">
        <v>5.833334367163762E-3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5.8333333333333336E-3</v>
      </c>
      <c r="L47" s="105">
        <v>5.8333343671638834E-3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71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0.59999968224713762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0.59999968098969625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0.59999968224713762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0.30748711522723265</v>
      </c>
      <c r="L54" s="93">
        <f t="shared" si="386"/>
        <v>0.29251256681607496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0.30876681741207285</v>
      </c>
      <c r="Z54" s="93">
        <f>(Z65*RiskyAnnuity2Y-Protection2Y*Z76)/RiskyAnnuity2Y^2*Notional</f>
        <v>0.29251257364594624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0.30748711522723265</v>
      </c>
      <c r="AI54" s="93">
        <f>(AI65-$U15)/ShiftSize</f>
        <v>0.29251256681607496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0.20985809053627319</v>
      </c>
      <c r="L55" s="93">
        <f t="shared" si="386"/>
        <v>0.19963805527548756</v>
      </c>
      <c r="M55" s="93">
        <f t="shared" si="386"/>
        <v>0.1905035364960922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0.21384042309761095</v>
      </c>
      <c r="Z55" s="93">
        <f>(Z66*RiskyAnnuity3Y-Protection3Y*Z77)/RiskyAnnuity3Y^2*Notional</f>
        <v>0.20047148831865766</v>
      </c>
      <c r="AA55" s="93">
        <f>(AA66*RiskyAnnuity3Y-Protection3Y*AA77)/RiskyAnnuity3Y^2*Notional</f>
        <v>0.19050354236802061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0.20985809053627319</v>
      </c>
      <c r="AI55" s="93">
        <f>(AI66-$U16)/ShiftSize</f>
        <v>0.19963805527548756</v>
      </c>
      <c r="AJ55" s="93">
        <f>(AJ66-$U16)/ShiftSize</f>
        <v>0.1905035364960922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0.16098444053508354</v>
      </c>
      <c r="L56" s="93">
        <f t="shared" si="386"/>
        <v>0.15314454072934414</v>
      </c>
      <c r="M56" s="93">
        <f t="shared" si="386"/>
        <v>0.14613735234078606</v>
      </c>
      <c r="N56" s="93">
        <f t="shared" si="386"/>
        <v>0.13973334888912198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0.16802563790489286</v>
      </c>
      <c r="Z56" s="93">
        <f>(Z67*RiskyAnnuity4Y-Protection4Y*Z78)/RiskyAnnuity4Y^2*Notional</f>
        <v>0.15606255447224979</v>
      </c>
      <c r="AA56" s="93">
        <f>(AA67*RiskyAnnuity4Y-Protection4Y*AA78)/RiskyAnnuity4Y^2*Notional</f>
        <v>0.14674867341418979</v>
      </c>
      <c r="AB56" s="93">
        <f>(AB67*RiskyAnnuity4Y-Protection4Y*AB78)/RiskyAnnuity4Y^2*Notional</f>
        <v>0.1397333537722994</v>
      </c>
      <c r="AC56" s="94">
        <v>0</v>
      </c>
      <c r="AD56" s="95">
        <v>0</v>
      </c>
      <c r="AG56" s="2" t="s">
        <v>63</v>
      </c>
      <c r="AH56" s="92">
        <f t="shared" si="387"/>
        <v>0.16098444053508354</v>
      </c>
      <c r="AI56" s="93">
        <f>(AI67-$U17)/ShiftSize</f>
        <v>0.15314454072934414</v>
      </c>
      <c r="AJ56" s="93">
        <f>(AJ67-$U17)/ShiftSize</f>
        <v>0.14613735234078606</v>
      </c>
      <c r="AK56" s="93">
        <f>(AK67-$U17)/ShiftSize</f>
        <v>0.13973334888912198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0.13163756447734376</v>
      </c>
      <c r="L57" s="93">
        <f t="shared" si="386"/>
        <v>0.12522685038235393</v>
      </c>
      <c r="M57" s="93">
        <f t="shared" si="386"/>
        <v>0.11949704739177419</v>
      </c>
      <c r="N57" s="93">
        <f t="shared" si="386"/>
        <v>0.11426047085479757</v>
      </c>
      <c r="O57" s="93">
        <f t="shared" si="386"/>
        <v>0.10937774907581604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0.14187966037665761</v>
      </c>
      <c r="Z57" s="93">
        <f>(Z68*RiskyAnnuity5Y-Protection5Y*Z79)/RiskyAnnuity5Y^2*Notional</f>
        <v>0.13073030946726197</v>
      </c>
      <c r="AA57" s="93">
        <f>(AA68*RiskyAnnuity5Y-Protection5Y*AA79)/RiskyAnnuity5Y^2*Notional</f>
        <v>0.1217798328061559</v>
      </c>
      <c r="AB57" s="93">
        <f>(AB68*RiskyAnnuity5Y-Protection5Y*AB79)/RiskyAnnuity5Y^2*Notional</f>
        <v>0.11473899002189226</v>
      </c>
      <c r="AC57" s="93">
        <f>(AC68*RiskyAnnuity5Y-Protection5Y*AC79)/RiskyAnnuity5Y^2*Notional</f>
        <v>0.10937775326045436</v>
      </c>
      <c r="AD57" s="95">
        <v>0</v>
      </c>
      <c r="AG57" s="2" t="s">
        <v>64</v>
      </c>
      <c r="AH57" s="92">
        <f t="shared" si="387"/>
        <v>0.13163756447734376</v>
      </c>
      <c r="AI57" s="93">
        <f>(AI68-$U18)/ShiftSize</f>
        <v>0.12522685038235393</v>
      </c>
      <c r="AJ57" s="93">
        <f>(AJ68-$U18)/ShiftSize</f>
        <v>0.11949704739177419</v>
      </c>
      <c r="AK57" s="93">
        <f>(AK68-$U18)/ShiftSize</f>
        <v>0.11426047085479757</v>
      </c>
      <c r="AL57" s="93">
        <f>(AL68-$U18)/ShiftSize</f>
        <v>0.10937774907581604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7.304205242811973E-2</v>
      </c>
      <c r="L58" s="97">
        <f t="shared" si="386"/>
        <v>6.9484924719413754E-2</v>
      </c>
      <c r="M58" s="97">
        <f t="shared" si="386"/>
        <v>6.6305615707175358E-2</v>
      </c>
      <c r="N58" s="97">
        <f t="shared" si="386"/>
        <v>6.3399984364005679E-2</v>
      </c>
      <c r="O58" s="97">
        <f t="shared" si="386"/>
        <v>6.0690697203068245E-2</v>
      </c>
      <c r="P58" s="98">
        <f t="shared" si="386"/>
        <v>0.26707637956237262</v>
      </c>
      <c r="X58" s="2" t="s">
        <v>65</v>
      </c>
      <c r="Y58" s="118">
        <f t="shared" ref="Y58:AD58" si="388">(Y69*RiskyAnnuity10Y-Protection10Y*Y80)/RiskyAnnuity10Y^2*Notional</f>
        <v>9.9897712444837652E-2</v>
      </c>
      <c r="Z58" s="97">
        <f t="shared" si="388"/>
        <v>9.0141624181893656E-2</v>
      </c>
      <c r="AA58" s="97">
        <f t="shared" si="388"/>
        <v>8.1693624758531438E-2</v>
      </c>
      <c r="AB58" s="97">
        <f t="shared" si="388"/>
        <v>7.4386357714393697E-2</v>
      </c>
      <c r="AC58" s="97">
        <f t="shared" si="388"/>
        <v>6.8087410402293352E-2</v>
      </c>
      <c r="AD58" s="98">
        <f t="shared" si="388"/>
        <v>0.26707641447814129</v>
      </c>
      <c r="AG58" s="2" t="s">
        <v>65</v>
      </c>
      <c r="AH58" s="118">
        <f t="shared" si="387"/>
        <v>7.304205242811973E-2</v>
      </c>
      <c r="AI58" s="119">
        <f>(AI69-$U19)/ShiftSize</f>
        <v>6.9484924719413754E-2</v>
      </c>
      <c r="AJ58" s="119">
        <f>(AJ69-$U19)/ShiftSize</f>
        <v>6.6305615707175358E-2</v>
      </c>
      <c r="AK58" s="119">
        <f>(AK69-$U19)/ShiftSize</f>
        <v>6.3399984364005679E-2</v>
      </c>
      <c r="AL58" s="119">
        <f>(AL69-$U19)/ShiftSize</f>
        <v>6.0690697203068245E-2</v>
      </c>
      <c r="AM58" s="98">
        <f>(AM69-$U19)/ShiftSize</f>
        <v>0.26707637956237262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1.666667549313974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0.5809689988594513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3.5000593796702954E-3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-1.7519889909674549</v>
      </c>
      <c r="L65" s="93">
        <v>3.4186565414428043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0.58016242507779425</v>
      </c>
      <c r="Z65" s="93">
        <f>(1-RecoveryRate)*YearFraction*(SUMPRODUCT($Z$9:$Z$12,$AB$9:$AB$12))</f>
        <v>0.55267597569515181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3.5000301284136199E-3</v>
      </c>
      <c r="AI65" s="136">
        <f t="shared" si="389"/>
        <v>3.5000286309587788E-3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2.9201588837173841E-8</v>
      </c>
      <c r="L66" s="93">
        <v>-3.5825788651564783</v>
      </c>
      <c r="M66" s="93">
        <v>5.2492463835206182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0.57939275637676591</v>
      </c>
      <c r="Z66" s="93">
        <f>(1-RecoveryRate)*YearFraction*(SUMPRODUCT($Z$9:$Z$12,$AB$9:$AB$12)-SUMPRODUCT($AA$13:$AA$16,$AB$13:$AB$16))</f>
        <v>0.55190630699412346</v>
      </c>
      <c r="AA66" s="93">
        <f>(1-RecoveryRate)*YearFraction*(SUMPRODUCT($Z$13:$Z$16,$AB$13:$AB$16))</f>
        <v>0.52738808274790627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3.5000203655111443E-3</v>
      </c>
      <c r="AI66" s="136">
        <f t="shared" si="389"/>
        <v>3.5000193435076182E-3</v>
      </c>
      <c r="AJ66" s="136">
        <f t="shared" si="389"/>
        <v>3.5000184300557403E-3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1.526368730971224E-8</v>
      </c>
      <c r="L67" s="100">
        <v>2.8306767739132327E-8</v>
      </c>
      <c r="M67" s="93">
        <v>-5.4898202495729915</v>
      </c>
      <c r="N67" s="93">
        <v>7.156487752923586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0.57865681593470575</v>
      </c>
      <c r="Z67" s="93">
        <f>(1-RecoveryRate)*YearFraction*(SUMPRODUCT($Z$9:$Z$12,$AB$9:$AB$12)-SUMPRODUCT($AA$13:$AA$20,$AB$13:$AB$20))</f>
        <v>0.55117036655206331</v>
      </c>
      <c r="AA67" s="93">
        <f>(1-RecoveryRate)*YearFraction*(SUMPRODUCT($Z$13:$Z$16,$AB$13:$AB$16)-SUMPRODUCT($AA$17:$AA$20,$AB$17:$AB$20))</f>
        <v>0.52665214230584612</v>
      </c>
      <c r="AB67" s="93">
        <f>(1-RecoveryRate)*YearFraction*(SUMPRODUCT($Z$17:$Z$20,$AB$17:$AB$20))</f>
        <v>0.50427699377171098</v>
      </c>
      <c r="AC67" s="94">
        <v>0</v>
      </c>
      <c r="AD67" s="95">
        <v>0</v>
      </c>
      <c r="AG67" s="2" t="s">
        <v>102</v>
      </c>
      <c r="AH67" s="135">
        <f t="shared" si="389"/>
        <v>3.5000154781461455E-3</v>
      </c>
      <c r="AI67" s="136">
        <f t="shared" si="389"/>
        <v>3.5000146941561649E-3</v>
      </c>
      <c r="AJ67" s="136">
        <f t="shared" si="389"/>
        <v>3.5000139934373261E-3</v>
      </c>
      <c r="AK67" s="136">
        <f t="shared" si="389"/>
        <v>3.5000133530369809E-3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9.3689822648114989E-9</v>
      </c>
      <c r="L68" s="100">
        <v>1.8066875005093456E-8</v>
      </c>
      <c r="M68" s="100">
        <v>2.5249648499269259E-8</v>
      </c>
      <c r="N68" s="93">
        <v>-7.475959847636318</v>
      </c>
      <c r="O68" s="93">
        <v>9.1426273483361058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0.57795232460959178</v>
      </c>
      <c r="Z68" s="93">
        <f>(1-RecoveryRate)*YearFraction*(SUMPRODUCT($Z$9:$Z$12,$AB$9:$AB$12)-SUMPRODUCT($AA$13:$AA$24,$AB$13:$AB$24))</f>
        <v>0.55046587522694945</v>
      </c>
      <c r="AA68" s="93">
        <f>(1-RecoveryRate)*YearFraction*(SUMPRODUCT($Z$13:$Z$16,$AB$13:$AB$16)-SUMPRODUCT($AA$17:$AA$24,$AB$17:$AB$24))</f>
        <v>0.52594765098073226</v>
      </c>
      <c r="AB68" s="93">
        <f>(1-RecoveryRate)*YearFraction*(SUMPRODUCT($Z$17:$Z$20,$AB$17:$AB$20)-SUMPRODUCT($AA$21:$AA$24,$AB$21:$AB$24))</f>
        <v>0.50357250244659713</v>
      </c>
      <c r="AC68" s="93">
        <f>(1-RecoveryRate)*YearFraction*(SUMPRODUCT($Z$21:$Z$24,$AB$21:$AB$24))</f>
        <v>0.48272760574509049</v>
      </c>
      <c r="AD68" s="95">
        <v>0</v>
      </c>
      <c r="AG68" s="2" t="s">
        <v>103</v>
      </c>
      <c r="AH68" s="135">
        <f t="shared" si="389"/>
        <v>3.5000125434585362E-3</v>
      </c>
      <c r="AI68" s="136">
        <f t="shared" si="389"/>
        <v>3.5000119023871267E-3</v>
      </c>
      <c r="AJ68" s="136">
        <f t="shared" si="389"/>
        <v>3.5000113294068277E-3</v>
      </c>
      <c r="AK68" s="136">
        <f t="shared" si="389"/>
        <v>3.500010805749174E-3</v>
      </c>
      <c r="AL68" s="136">
        <f t="shared" si="389"/>
        <v>3.5000103174769961E-3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4.3314246532303568E-9</v>
      </c>
      <c r="L69" s="102">
        <v>8.0834155355391123E-9</v>
      </c>
      <c r="M69" s="102">
        <v>1.1209199916655335E-8</v>
      </c>
      <c r="N69" s="102">
        <v>1.4148156865793292E-8</v>
      </c>
      <c r="O69" s="97">
        <v>-2.0775795633727063</v>
      </c>
      <c r="P69" s="98">
        <v>3.7442472510619811</v>
      </c>
      <c r="X69" s="2" t="s">
        <v>77</v>
      </c>
      <c r="Y69" s="96">
        <f>(1-RecoveryRate)*YearFraction*(SUMPRODUCT($Z$5:$Z$8,$AB$5:$AB$8)-SUMPRODUCT($AA$9:$AA$44,$AB$9:$AB$44))</f>
        <v>0.57485212925622964</v>
      </c>
      <c r="Z69" s="119">
        <f>(1-RecoveryRate)*YearFraction*(SUMPRODUCT($Z$9:$Z$12,$AB$9:$AB$12)-SUMPRODUCT($AA$13:$AA$44,$AB$13:$AB$44))</f>
        <v>0.5473656798735872</v>
      </c>
      <c r="AA69" s="119">
        <f>(1-RecoveryRate)*YearFraction*(SUMPRODUCT($Z$13:$Z$16,$AB$13:$AB$16)-SUMPRODUCT($AA$17:$AA$44,$AB$17:$AB$44))</f>
        <v>0.52284745562737001</v>
      </c>
      <c r="AB69" s="119">
        <f>(1-RecoveryRate)*YearFraction*(SUMPRODUCT($Z$17:$Z$20,$AB$17:$AB$20)-SUMPRODUCT($AA$21:$AA$44,$AB$21:$AB$44))</f>
        <v>0.50047230709323487</v>
      </c>
      <c r="AC69" s="119">
        <f>(1-RecoveryRate)*YearFraction*(SUMPRODUCT($Z$21:$Z$24,$AB$21:$AB$24)-SUMPRODUCT($AA$25:$AA$44,$AB$25:$AB$44))</f>
        <v>0.47962741039172824</v>
      </c>
      <c r="AD69" s="98">
        <f>(1-RecoveryRate)*YearFraction*(SUMPRODUCT($Z$25:$Z$44,$AB$25:$AB$44))</f>
        <v>2.1242985213887238</v>
      </c>
      <c r="AG69" s="2" t="s">
        <v>104</v>
      </c>
      <c r="AH69" s="138">
        <f t="shared" si="389"/>
        <v>3.5000066839073205E-3</v>
      </c>
      <c r="AI69" s="146">
        <f t="shared" si="389"/>
        <v>3.5000063281945496E-3</v>
      </c>
      <c r="AJ69" s="146">
        <f t="shared" si="389"/>
        <v>3.5000060102636484E-3</v>
      </c>
      <c r="AK69" s="146">
        <f t="shared" si="389"/>
        <v>3.5000057197005141E-3</v>
      </c>
      <c r="AL69" s="146">
        <f t="shared" si="389"/>
        <v>3.500005448771798E-3</v>
      </c>
      <c r="AM69" s="147">
        <f t="shared" si="389"/>
        <v>3.5000260873400339E-3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-0.12103520809571904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3391.5161349538821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-1.0428162083776682</v>
      </c>
      <c r="Z76" s="93">
        <f>-YearFraction*(0.5*YearFraction*SUMPRODUCT($Z$9:$Z$12,$AB$9:$AB$12))</f>
        <v>-0.1151408282698233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6617.8109389527262</v>
      </c>
      <c r="AI76" s="141">
        <f>LGD*SUMPRODUCT($AO$5:$AO$12,DiscFactors2Y)</f>
        <v>6617.8084383137912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-3.7235930229786733</v>
      </c>
      <c r="Z77" s="93">
        <f>-YearFraction*(0.5*YearFraction*SUMPRODUCT($Z$9:$Z$12,$AB$9:$AB$12)+SUM($AB$13:$AB$16)*(YearFraction*SUM($Z$13:$Z$16)+0.5*YearFraction*SUM($AA$13:$AA$16)))</f>
        <v>-0.99474642338624275</v>
      </c>
      <c r="AA77" s="93">
        <f>-YearFraction*(0.5*YearFraction*SUMPRODUCT($Z$13:$Z$16,$AB$13:$AB$16))</f>
        <v>-0.10987251723914715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9696.4854351986305</v>
      </c>
      <c r="AI77" s="141">
        <f>LGD*SUMPRODUCT($AO$5:$AO$16,DiscFactors3Y)</f>
        <v>9696.4829345596972</v>
      </c>
      <c r="AJ77" s="141">
        <f>LGD*SUMPRODUCT($AS$5:$AS$16,DiscFactors3Y)</f>
        <v>9696.480719056839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-8.0471431063771703</v>
      </c>
      <c r="Z78" s="93">
        <f>-YearFraction*(0.5*YearFraction*SUMPRODUCT($Z$9:$Z$12,$AB$9:$AB$12)+SUM($AB$13:$AB$20)*(YearFraction*SUM($Z$13:$Z$20)+0.5*YearFraction*SUM($AA$13:$AA$20)))</f>
        <v>-3.556277012994951</v>
      </c>
      <c r="AA78" s="93">
        <f>-YearFraction*(0.5*YearFraction*SUMPRODUCT($Z$13:$Z$16,$AB$13:$AB$16)+SUM($AB$17:$AB$20)*(YearFraction*SUM($Z$17:$Z$20)+0.5*YearFraction*SUM($AA$17:$AA$20)))</f>
        <v>-0.95093280129625579</v>
      </c>
      <c r="AB78" s="93">
        <f>-YearFraction*(0.5*YearFraction*SUMPRODUCT($Z$17:$Z$20,$AB$17:$AB$20))</f>
        <v>-0.10505770703577313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12640.246909063102</v>
      </c>
      <c r="AI78" s="141">
        <f>LGD*SUMPRODUCT($AO$5:$AO$20,DiscFactors4Y)</f>
        <v>12640.244408424169</v>
      </c>
      <c r="AJ78" s="141">
        <f>LGD*SUMPRODUCT($AS$5:$AS$20,DiscFactors4Y)</f>
        <v>12640.242192921311</v>
      </c>
      <c r="AK78" s="141">
        <f>LGD*SUMPRODUCT($AW$5:$AW$20,DiscFactors4Y)</f>
        <v>12640.240181165125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-13.907354071413238</v>
      </c>
      <c r="Z79" s="93">
        <f>-YearFraction*(0.5*YearFraction*SUMPRODUCT($Z$9:$Z$12,$AB$9:$AB$12)+SUM($AB$13:$AB$24)*(YearFraction*SUM($Z$13:$Z$24)+0.5*YearFraction*SUM($AA$13:$AA$24)))</f>
        <v>-7.6913648854194951</v>
      </c>
      <c r="AA79" s="93">
        <f>-YearFraction*(0.5*YearFraction*SUMPRODUCT($Z$13:$Z$16,$AB$13:$AB$16)+SUM($AB$17:$AB$24)*(YearFraction*SUM($Z$17:$Z$24)+0.5*YearFraction*SUM($AA$17:$AA$24)))</f>
        <v>-3.4020501111912331</v>
      </c>
      <c r="AB79" s="93">
        <f>-YearFraction*(0.5*YearFraction*SUMPRODUCT($Z$17:$Z$20,$AB$17:$AB$20)+SUM($AB$21:$AB$24)*(YearFraction*SUM($Z$21:$Z$24)+0.5*YearFraction*SUM($AA$21:$AA$24)))</f>
        <v>-0.91017704431236646</v>
      </c>
      <c r="AC79" s="93">
        <f>-YearFraction*(0.5*YearFraction*SUMPRODUCT($Z$21:$Z$24,$AB$21:$AB$24))</f>
        <v>-0.10056825119689386</v>
      </c>
      <c r="AD79" s="95">
        <v>0</v>
      </c>
      <c r="AG79" s="2" t="s">
        <v>76</v>
      </c>
      <c r="AH79" s="140">
        <f>LGD*SUMPRODUCT($AK$5:$AK$24,DiscFactors5Y)</f>
        <v>15458.211927722108</v>
      </c>
      <c r="AI79" s="141">
        <f>LGD*SUMPRODUCT($AO$5:$AO$24,DiscFactors5Y)</f>
        <v>15458.209427083175</v>
      </c>
      <c r="AJ79" s="141">
        <f>LGD*SUMPRODUCT($AS$5:$AS$24,DiscFactors5Y)</f>
        <v>15458.207211580315</v>
      </c>
      <c r="AK79" s="141">
        <f>LGD*SUMPRODUCT($AW$5:$AW$24,DiscFactors5Y)</f>
        <v>15458.205199824131</v>
      </c>
      <c r="AL79" s="141">
        <f>LGD*SUMPRODUCT($BA$5:$BA$24,DiscFactors5Y)</f>
        <v>15458.203331339126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-62.943854094164074</v>
      </c>
      <c r="Z80" s="97">
        <f>-YearFraction*(0.5*YearFraction*SUMPRODUCT($Z$9:$Z$12,$AB$9:$AB$12)+SUM($AB$13:$AB$44)*(YearFraction*SUM($Z$13:$Z$44)+0.5*YearFraction*SUM($AA$13:$AA$44)))</f>
        <v>-48.609833636644957</v>
      </c>
      <c r="AA80" s="97">
        <f>-YearFraction*(0.5*YearFraction*SUMPRODUCT($Z$13:$Z$16,$AB$13:$AB$16)+SUM($AB$17:$AB$44)*(YearFraction*SUM($Z$17:$Z$44)+0.5*YearFraction*SUM($AA$17:$AA$44)))</f>
        <v>-36.402603964192423</v>
      </c>
      <c r="AB80" s="97">
        <f>-YearFraction*(0.5*YearFraction*SUMPRODUCT($Z$17:$Z$20,$AB$17:$AB$20)+SUM($AB$21:$AB$44)*(YearFraction*SUM($Z$21:$Z$44)+0.5*YearFraction*SUM($AA$21:$AA$44)))</f>
        <v>-26.17732008330686</v>
      </c>
      <c r="AC80" s="97">
        <f>-YearFraction*(0.5*YearFraction*SUMPRODUCT($Z$21:$Z$24,$AB$21:$AB$24)+SUM($AB$25:$AB$44)*(YearFraction*SUM($Z$25:$Z$44)+0.5*YearFraction*SUM($AA$25:$AA$44)))</f>
        <v>-17.80794175812969</v>
      </c>
      <c r="AD80" s="98">
        <f>-YearFraction*(0.5*YearFraction*SUMPRODUCT($Z$25:$Z$44,$AB$25:$AB$44))</f>
        <v>-0.44256219195598412</v>
      </c>
      <c r="AG80" s="2" t="s">
        <v>77</v>
      </c>
      <c r="AH80" s="143">
        <f>LGD*SUMPRODUCT($AK$5:$AK$44,DiscFactors10Y)</f>
        <v>27858.992101093012</v>
      </c>
      <c r="AI80" s="144">
        <f>LGD*SUMPRODUCT($AO$5:$AO$44,DiscFactors10Y)</f>
        <v>27858.989600454079</v>
      </c>
      <c r="AJ80" s="144">
        <f>LGD*SUMPRODUCT($AS$5:$AS$44,DiscFactors10Y)</f>
        <v>27858.987384951219</v>
      </c>
      <c r="AK80" s="144">
        <f>LGD*SUMPRODUCT($AW$5:$AW$44,DiscFactors10Y)</f>
        <v>27858.985373195035</v>
      </c>
      <c r="AL80" s="144">
        <f>LGD*SUMPRODUCT($BA$5:$BA$44,DiscFactors10Y)</f>
        <v>27858.983504710028</v>
      </c>
      <c r="AM80" s="145">
        <f>LGD*SUMPRODUCT($BE$5:$BE$44,DiscFactors10Y)</f>
        <v>27859.146172783501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968988.17050165648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1890786.849298418</v>
      </c>
      <c r="AI87" s="141">
        <f>Notional*YearFraction*(SUMPRODUCT($AN$5:$AN$12,DiscFactors2Y)+0.5*SUMPRODUCT($AO$5:$AO$12,DiscFactors2Y))</f>
        <v>1890786.9437916412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2770408.289833637</v>
      </c>
      <c r="AI88" s="141">
        <f>Notional*YearFraction*(SUMPRODUCT($AN$5:$AN$16,DiscFactors3Y)+0.5*SUMPRODUCT($AO$5:$AO$16,DiscFactors3Y))</f>
        <v>2770408.3843268598</v>
      </c>
      <c r="AJ88" s="141">
        <f>Notional*YearFraction*(SUMPRODUCT($AR$5:$AR$16,DiscFactors3Y)+0.5*SUMPRODUCT($AS$5:$AS$16,DiscFactors3Y))</f>
        <v>2770408.4743640665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3611483.1457140488</v>
      </c>
      <c r="AI89" s="141">
        <f>Notional*YearFraction*(SUMPRODUCT($AN$5:$AN$20,DiscFactors4Y)+0.5*SUMPRODUCT($AO$5:$AO$20,DiscFactors4Y))</f>
        <v>3611483.2402072717</v>
      </c>
      <c r="AJ89" s="141">
        <f>Notional*YearFraction*(SUMPRODUCT($AR$5:$AR$20,DiscFactors4Y)+0.5*SUMPRODUCT($AS$5:$AS$20,DiscFactors4Y))</f>
        <v>3611483.3302444783</v>
      </c>
      <c r="AK89" s="141">
        <f>Notional*YearFraction*(SUMPRODUCT($AV$5:$AV$20,DiscFactors4Y)+0.5*SUMPRODUCT($AW$5:$AW$20,DiscFactors4Y))</f>
        <v>3611483.4162552892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4416616.150880157</v>
      </c>
      <c r="AI90" s="141">
        <f>Notional*YearFraction*(SUMPRODUCT($AN$5:$AN$24,DiscFactors5Y)+0.5*SUMPRODUCT($AO$5:$AO$24,DiscFactors5Y))</f>
        <v>4416616.2453733804</v>
      </c>
      <c r="AJ90" s="141">
        <f>Notional*YearFraction*(SUMPRODUCT($AR$5:$AR$24,DiscFactors5Y)+0.5*SUMPRODUCT($AS$5:$AS$24,DiscFactors5Y))</f>
        <v>4416616.3354105856</v>
      </c>
      <c r="AK90" s="141">
        <f>Notional*YearFraction*(SUMPRODUCT($AV$5:$AV$24,DiscFactors5Y)+0.5*SUMPRODUCT($AW$5:$AW$24,DiscFactors5Y))</f>
        <v>4416616.4214213956</v>
      </c>
      <c r="AL90" s="141">
        <f>Notional*YearFraction*(SUMPRODUCT($AZ$5:$AZ$24,DiscFactors5Y)+0.5*SUMPRODUCT($BA$5:$BA$24,DiscFactors5Y))</f>
        <v>4416616.5037142709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7959696.8283477463</v>
      </c>
      <c r="AI91" s="144">
        <f>Notional*YearFraction*(SUMPRODUCT($AN$5:$AN$44,DiscFactors10Y)+0.5*SUMPRODUCT($AO$5:$AO$44,DiscFactors10Y))</f>
        <v>7959696.9228409696</v>
      </c>
      <c r="AJ91" s="144">
        <f>Notional*YearFraction*(SUMPRODUCT($AR$5:$AR$44,DiscFactors10Y)+0.5*SUMPRODUCT($AS$5:$AS$44,DiscFactors10Y))</f>
        <v>7959697.012878174</v>
      </c>
      <c r="AK91" s="144">
        <f>Notional*YearFraction*(SUMPRODUCT($AV$5:$AV$44,DiscFactors10Y)+0.5*SUMPRODUCT($AW$5:$AW$44,DiscFactors10Y))</f>
        <v>7959697.0988889849</v>
      </c>
      <c r="AL91" s="144">
        <f>Notional*YearFraction*(SUMPRODUCT($AZ$5:$AZ$44,DiscFactors10Y)+0.5*SUMPRODUCT($BA$5:$BA$44,DiscFactors10Y))</f>
        <v>7959697.1811818592</v>
      </c>
      <c r="AM91" s="145">
        <f>Notional*YearFraction*(SUMPRODUCT($BD$5:$BD$44,DiscFactors10Y)+0.5*SUMPRODUCT($BE$5:$BE$44,DiscFactors10Y))</f>
        <v>7959696.7215624452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K51" xr:uid="{899B60DC-5F45-4045-B0AB-CB12A6081C8E}">
      <formula1>"ANALYTICAL,NUMERICAL"</formula1>
    </dataValidation>
    <dataValidation type="list" allowBlank="1" showInputMessage="1" showErrorMessage="1" sqref="O37" xr:uid="{3C0512C9-8732-4CD3-B20D-A600E7CF5C2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AC5DA-E8F3-4B0D-869F-162A35AA3D99}">
  <sheetPr codeName="Sheet4">
    <tabColor theme="7" tint="0.59999389629810485"/>
  </sheetPr>
  <dimension ref="B1:BF91"/>
  <sheetViews>
    <sheetView showGridLines="0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outlineLevelCol="2" x14ac:dyDescent="0.3"/>
  <cols>
    <col min="1" max="1" width="4.6640625" customWidth="1"/>
    <col min="2" max="2" width="9.33203125" hidden="1" customWidth="1" outlineLevel="1"/>
    <col min="3" max="8" width="12.6640625" hidden="1" customWidth="1" outlineLevel="1"/>
    <col min="9" max="9" width="12.6640625" customWidth="1" collapsed="1"/>
    <col min="10" max="10" width="9.3320312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30" width="15.6640625" hidden="1" customWidth="1" outlineLevel="1"/>
    <col min="31" max="31" width="15.6640625" customWidth="1" collapsed="1"/>
    <col min="32" max="56" width="15.6640625" hidden="1" customWidth="1" outlineLevel="1"/>
    <col min="57" max="57" width="15.6640625" hidden="1" customWidth="1" outlineLevel="2"/>
    <col min="58" max="58" width="20.6640625" customWidth="1" collapsed="1"/>
  </cols>
  <sheetData>
    <row r="1" spans="3:58" x14ac:dyDescent="0.3">
      <c r="I1" s="124" t="s">
        <v>135</v>
      </c>
      <c r="J1" s="124"/>
      <c r="AE1" s="124" t="s">
        <v>158</v>
      </c>
      <c r="BF1" s="124" t="s">
        <v>159</v>
      </c>
    </row>
    <row r="2" spans="3:58" x14ac:dyDescent="0.3">
      <c r="C2" s="1" t="s">
        <v>139</v>
      </c>
      <c r="K2" s="55" t="s">
        <v>143</v>
      </c>
      <c r="O2" s="55" t="s">
        <v>144</v>
      </c>
      <c r="S2" s="1" t="s">
        <v>66</v>
      </c>
      <c r="X2" s="1" t="s">
        <v>93</v>
      </c>
      <c r="Y2" s="1"/>
      <c r="AE2" s="345" t="s">
        <v>329</v>
      </c>
      <c r="AH2" s="1" t="s">
        <v>88</v>
      </c>
      <c r="AJ2" s="1"/>
      <c r="AL2" s="1" t="s">
        <v>89</v>
      </c>
      <c r="AN2" s="1"/>
      <c r="AP2" s="1" t="s">
        <v>92</v>
      </c>
      <c r="AT2" s="1" t="s">
        <v>90</v>
      </c>
      <c r="AX2" s="1" t="s">
        <v>91</v>
      </c>
      <c r="BB2" s="1" t="s">
        <v>95</v>
      </c>
      <c r="BF2" s="124"/>
    </row>
    <row r="3" spans="3:58" x14ac:dyDescent="0.3">
      <c r="C3" t="s">
        <v>150</v>
      </c>
      <c r="K3" s="356" t="s">
        <v>0</v>
      </c>
      <c r="L3" s="357"/>
      <c r="M3" s="47" t="s">
        <v>337</v>
      </c>
      <c r="O3" s="40" t="s">
        <v>10</v>
      </c>
      <c r="P3" s="40" t="s">
        <v>67</v>
      </c>
      <c r="Q3" s="2" t="s">
        <v>110</v>
      </c>
      <c r="S3" s="40" t="s">
        <v>48</v>
      </c>
      <c r="T3" s="40" t="s">
        <v>20</v>
      </c>
      <c r="X3" s="41" t="s">
        <v>6</v>
      </c>
      <c r="Y3" s="41" t="s">
        <v>20</v>
      </c>
      <c r="Z3" s="41" t="s">
        <v>8</v>
      </c>
      <c r="AA3" s="41" t="s">
        <v>24</v>
      </c>
      <c r="AB3" s="41" t="s">
        <v>134</v>
      </c>
      <c r="AC3" s="41"/>
      <c r="AD3" s="41"/>
      <c r="AE3" s="41"/>
      <c r="AF3" s="41"/>
      <c r="AG3" s="41" t="s">
        <v>6</v>
      </c>
      <c r="AH3" s="2" t="s">
        <v>20</v>
      </c>
      <c r="AI3" s="41" t="s">
        <v>94</v>
      </c>
      <c r="AJ3" s="41" t="s">
        <v>8</v>
      </c>
      <c r="AK3" s="41" t="s">
        <v>24</v>
      </c>
      <c r="AL3" s="2" t="s">
        <v>20</v>
      </c>
      <c r="AM3" s="41" t="s">
        <v>94</v>
      </c>
      <c r="AN3" s="41" t="s">
        <v>8</v>
      </c>
      <c r="AO3" s="41" t="s">
        <v>24</v>
      </c>
      <c r="AP3" s="2" t="s">
        <v>20</v>
      </c>
      <c r="AQ3" s="41" t="s">
        <v>94</v>
      </c>
      <c r="AR3" s="41" t="s">
        <v>8</v>
      </c>
      <c r="AS3" s="41" t="s">
        <v>24</v>
      </c>
      <c r="AT3" s="2" t="s">
        <v>20</v>
      </c>
      <c r="AU3" s="41" t="s">
        <v>94</v>
      </c>
      <c r="AV3" s="41" t="s">
        <v>8</v>
      </c>
      <c r="AW3" s="41" t="s">
        <v>24</v>
      </c>
      <c r="AX3" s="2" t="s">
        <v>20</v>
      </c>
      <c r="AY3" s="41" t="s">
        <v>94</v>
      </c>
      <c r="AZ3" s="41" t="s">
        <v>8</v>
      </c>
      <c r="BA3" s="41" t="s">
        <v>24</v>
      </c>
      <c r="BB3" s="2" t="s">
        <v>20</v>
      </c>
      <c r="BC3" s="41" t="s">
        <v>94</v>
      </c>
      <c r="BD3" s="41" t="s">
        <v>8</v>
      </c>
      <c r="BE3" s="41" t="s">
        <v>24</v>
      </c>
    </row>
    <row r="4" spans="3:58" x14ac:dyDescent="0.3">
      <c r="C4" t="s">
        <v>151</v>
      </c>
      <c r="K4" s="358" t="s">
        <v>17</v>
      </c>
      <c r="L4" s="359"/>
      <c r="M4" s="48" t="s">
        <v>19</v>
      </c>
      <c r="O4" s="73" t="s">
        <v>11</v>
      </c>
      <c r="P4" s="74">
        <v>45</v>
      </c>
      <c r="Q4" s="18">
        <f t="shared" ref="Q4:Q9" si="0">P4/10000</f>
        <v>4.4999999999999997E-3</v>
      </c>
      <c r="S4" s="11">
        <v>1</v>
      </c>
      <c r="T4" s="86">
        <f t="shared" ref="T4:T9" si="1">N27</f>
        <v>7.4999999999999997E-3</v>
      </c>
      <c r="W4" s="18"/>
      <c r="X4" s="17">
        <v>0</v>
      </c>
      <c r="Y4" s="18" cm="1">
        <f t="array" ref="Y4">flatInterpolation(X4,$S$4:$S$9,$T$4:$T$9)</f>
        <v>7.4999999999999997E-3</v>
      </c>
      <c r="Z4" s="10">
        <v>1</v>
      </c>
      <c r="AA4" s="10">
        <v>0</v>
      </c>
      <c r="AB4" s="42" cm="1">
        <f t="array" ref="AB4">cubicInterpolation(CurveResults.Times,CurveResults.DFs,$X4)</f>
        <v>1</v>
      </c>
      <c r="AG4" s="17">
        <v>0</v>
      </c>
      <c r="AI4" s="10" t="s">
        <v>96</v>
      </c>
      <c r="AJ4" s="10">
        <v>1</v>
      </c>
      <c r="AK4" s="10">
        <v>0</v>
      </c>
      <c r="AM4" s="10" t="s">
        <v>96</v>
      </c>
      <c r="AN4" s="10">
        <v>1</v>
      </c>
      <c r="AO4" s="10">
        <v>0</v>
      </c>
      <c r="AQ4" s="10" t="s">
        <v>96</v>
      </c>
      <c r="AR4" s="10">
        <v>1</v>
      </c>
      <c r="AS4" s="10">
        <v>0</v>
      </c>
      <c r="AU4" s="10" t="s">
        <v>96</v>
      </c>
      <c r="AV4" s="10">
        <v>1</v>
      </c>
      <c r="AW4" s="10">
        <v>0</v>
      </c>
      <c r="AY4" s="10" t="s">
        <v>96</v>
      </c>
      <c r="AZ4" s="10">
        <v>1</v>
      </c>
      <c r="BA4" s="10">
        <v>0</v>
      </c>
      <c r="BC4" s="10" t="s">
        <v>96</v>
      </c>
      <c r="BD4" s="10">
        <v>1</v>
      </c>
      <c r="BE4" s="10">
        <v>0</v>
      </c>
    </row>
    <row r="5" spans="3:58" x14ac:dyDescent="0.3">
      <c r="K5" s="358" t="s">
        <v>3</v>
      </c>
      <c r="L5" s="359"/>
      <c r="M5" s="49" t="s">
        <v>4</v>
      </c>
      <c r="O5" s="75" t="s">
        <v>12</v>
      </c>
      <c r="P5" s="76">
        <v>45</v>
      </c>
      <c r="Q5" s="18">
        <f t="shared" si="0"/>
        <v>4.4999999999999997E-3</v>
      </c>
      <c r="S5" s="12">
        <v>2</v>
      </c>
      <c r="T5" s="87">
        <f t="shared" si="1"/>
        <v>7.4999999999999997E-3</v>
      </c>
      <c r="W5" s="18"/>
      <c r="X5" s="20">
        <f>YearFraction</f>
        <v>0.25</v>
      </c>
      <c r="Y5" s="21" cm="1">
        <f t="array" ref="Y5">flatInterpolation(X5,$S$4:$S$9,$T$4:$T$9)</f>
        <v>7.4999999999999997E-3</v>
      </c>
      <c r="Z5" s="22">
        <f t="shared" ref="Z5" si="2">EXP(-Y5*YearFraction)*Z4</f>
        <v>0.998126756714382</v>
      </c>
      <c r="AA5" s="22">
        <f t="shared" ref="AA5:AA44" si="3">Z4-Z5</f>
        <v>1.8732432856179981E-3</v>
      </c>
      <c r="AB5" s="23" cm="1">
        <f t="array" ref="AB5">cubicInterpolation(CurveResults.Times,CurveResults.DFs,$X5)</f>
        <v>0.98868042001719347</v>
      </c>
      <c r="AG5" s="20">
        <f>YearFraction</f>
        <v>0.25</v>
      </c>
      <c r="AH5" s="129">
        <f>HazardRate1Y+ShiftSize</f>
        <v>7.5001E-3</v>
      </c>
      <c r="AI5" s="30" cm="1">
        <f t="array" ref="AI5">flatInterpolation($AG5,$S$4:$S$9,AH$5:AH$10)</f>
        <v>7.5001E-3</v>
      </c>
      <c r="AJ5" s="22">
        <f t="shared" ref="AJ5" si="4">EXP(-AI5*YearFraction)*AJ4</f>
        <v>0.99812673176121336</v>
      </c>
      <c r="AK5" s="121">
        <f t="shared" ref="AK5:AK44" si="5">AJ4-AJ5</f>
        <v>1.8732682387866406E-3</v>
      </c>
      <c r="AL5" s="126">
        <f>HazardRate1Y</f>
        <v>7.4999999999999997E-3</v>
      </c>
      <c r="AM5" s="30" cm="1">
        <f t="array" ref="AM5">flatInterpolation($AG5,$S$4:$S$9,AL$5:AL$10)</f>
        <v>7.4999999999999997E-3</v>
      </c>
      <c r="AN5" s="22">
        <f t="shared" ref="AN5" si="6">EXP(-AM5*YearFraction)*AN4</f>
        <v>0.998126756714382</v>
      </c>
      <c r="AO5" s="121">
        <f t="shared" ref="AO5:AO44" si="7">AN4-AN5</f>
        <v>1.8732432856179981E-3</v>
      </c>
      <c r="AP5" s="126">
        <f>HazardRate1Y</f>
        <v>7.4999999999999997E-3</v>
      </c>
      <c r="AQ5" s="30" cm="1">
        <f t="array" ref="AQ5">flatInterpolation($AG5,$S$4:$S$9,AP$5:AP$10)</f>
        <v>7.4999999999999997E-3</v>
      </c>
      <c r="AR5" s="22">
        <f t="shared" ref="AR5" si="8">EXP(-AQ5*YearFraction)*AR4</f>
        <v>0.998126756714382</v>
      </c>
      <c r="AS5" s="121">
        <f t="shared" ref="AS5:AS44" si="9">AR4-AR5</f>
        <v>1.8732432856179981E-3</v>
      </c>
      <c r="AT5" s="126">
        <f>HazardRate1Y</f>
        <v>7.4999999999999997E-3</v>
      </c>
      <c r="AU5" s="30" cm="1">
        <f t="array" ref="AU5">flatInterpolation($AG5,$S$4:$S$9,AT$5:AT$10)</f>
        <v>7.4999999999999997E-3</v>
      </c>
      <c r="AV5" s="22">
        <f t="shared" ref="AV5" si="10">EXP(-AU5*YearFraction)*AV4</f>
        <v>0.998126756714382</v>
      </c>
      <c r="AW5" s="121">
        <f t="shared" ref="AW5:AW44" si="11">AV4-AV5</f>
        <v>1.8732432856179981E-3</v>
      </c>
      <c r="AX5" s="126">
        <f>HazardRate1Y</f>
        <v>7.4999999999999997E-3</v>
      </c>
      <c r="AY5" s="30" cm="1">
        <f t="array" ref="AY5">flatInterpolation($AG5,$S$4:$S$9,AX$5:AX$10)</f>
        <v>7.4999999999999997E-3</v>
      </c>
      <c r="AZ5" s="22">
        <f t="shared" ref="AZ5" si="12">EXP(-AY5*YearFraction)*AZ4</f>
        <v>0.998126756714382</v>
      </c>
      <c r="BA5" s="121">
        <f t="shared" ref="BA5:BA44" si="13">AZ4-AZ5</f>
        <v>1.8732432856179981E-3</v>
      </c>
      <c r="BB5" s="126">
        <f>HazardRate1Y</f>
        <v>7.4999999999999997E-3</v>
      </c>
      <c r="BC5" s="30" cm="1">
        <f t="array" ref="BC5">flatInterpolation($AG5,$S$4:$S$9,BB$5:BB$10)</f>
        <v>7.4999999999999997E-3</v>
      </c>
      <c r="BD5" s="22">
        <f t="shared" ref="BD5" si="14">EXP(-BC5*YearFraction)*BD4</f>
        <v>0.998126756714382</v>
      </c>
      <c r="BE5" s="121">
        <f t="shared" ref="BE5:BE44" si="15">BD4-BD5</f>
        <v>1.8732432856179981E-3</v>
      </c>
    </row>
    <row r="6" spans="3:58" x14ac:dyDescent="0.3">
      <c r="C6" s="1" t="s">
        <v>137</v>
      </c>
      <c r="D6" t="s">
        <v>141</v>
      </c>
      <c r="K6" s="358" t="s">
        <v>1</v>
      </c>
      <c r="L6" s="359"/>
      <c r="M6" s="51">
        <v>0.4</v>
      </c>
      <c r="O6" s="75" t="s">
        <v>13</v>
      </c>
      <c r="P6" s="76">
        <v>45</v>
      </c>
      <c r="Q6" s="18">
        <f t="shared" si="0"/>
        <v>4.4999999999999997E-3</v>
      </c>
      <c r="S6" s="12">
        <v>3</v>
      </c>
      <c r="T6" s="87">
        <f t="shared" si="1"/>
        <v>7.4999999999999997E-3</v>
      </c>
      <c r="W6" s="18"/>
      <c r="X6" s="24">
        <f t="shared" ref="X6" si="16">X5+YearFraction</f>
        <v>0.5</v>
      </c>
      <c r="Y6" s="25" cm="1">
        <f t="array" ref="Y6">flatInterpolation(X6,$S$4:$S$9,$T$4:$T$9)</f>
        <v>7.4999999999999997E-3</v>
      </c>
      <c r="Z6" s="26">
        <f t="shared" ref="Z6" si="17">EXP(-Y6*YearFraction)*Z5</f>
        <v>0.99625702246917114</v>
      </c>
      <c r="AA6" s="26">
        <f t="shared" si="3"/>
        <v>1.8697342452108634E-3</v>
      </c>
      <c r="AB6" s="27" cm="1">
        <f t="array" ref="AB6">cubicInterpolation(CurveResults.Times,CurveResults.DFs,$X6)</f>
        <v>0.97728436827331244</v>
      </c>
      <c r="AG6" s="24">
        <f t="shared" ref="AG6" si="18">AG5+YearFraction</f>
        <v>0.5</v>
      </c>
      <c r="AH6" s="130">
        <f>HazardRate2Y</f>
        <v>7.4999999999999997E-3</v>
      </c>
      <c r="AI6" s="18" cm="1">
        <f t="array" ref="AI6">flatInterpolation($AG6,$S$4:$S$9,AH$5:AH$10)</f>
        <v>7.5001E-3</v>
      </c>
      <c r="AJ6" s="26">
        <f t="shared" ref="AJ6" si="19">EXP(-AI6*YearFraction)*AJ5</f>
        <v>0.99625697265632118</v>
      </c>
      <c r="AK6" s="122">
        <f t="shared" si="5"/>
        <v>1.8697591048921769E-3</v>
      </c>
      <c r="AL6" s="128">
        <f>HazardRate2Y+ShiftSize</f>
        <v>7.5001E-3</v>
      </c>
      <c r="AM6" s="18" cm="1">
        <f t="array" ref="AM6">flatInterpolation($AG6,$S$4:$S$9,AL$5:AL$10)</f>
        <v>7.4999999999999997E-3</v>
      </c>
      <c r="AN6" s="26">
        <f t="shared" ref="AN6" si="20">EXP(-AM6*YearFraction)*AN5</f>
        <v>0.99625702246917114</v>
      </c>
      <c r="AO6" s="122">
        <f t="shared" si="7"/>
        <v>1.8697342452108634E-3</v>
      </c>
      <c r="AP6" s="127">
        <f>HazardRate2Y</f>
        <v>7.4999999999999997E-3</v>
      </c>
      <c r="AQ6" s="18" cm="1">
        <f t="array" ref="AQ6">flatInterpolation($AG6,$S$4:$S$9,AP$5:AP$10)</f>
        <v>7.4999999999999997E-3</v>
      </c>
      <c r="AR6" s="26">
        <f t="shared" ref="AR6" si="21">EXP(-AQ6*YearFraction)*AR5</f>
        <v>0.99625702246917114</v>
      </c>
      <c r="AS6" s="122">
        <f t="shared" si="9"/>
        <v>1.8697342452108634E-3</v>
      </c>
      <c r="AT6" s="127">
        <f>HazardRate2Y</f>
        <v>7.4999999999999997E-3</v>
      </c>
      <c r="AU6" s="18" cm="1">
        <f t="array" ref="AU6">flatInterpolation($AG6,$S$4:$S$9,AT$5:AT$10)</f>
        <v>7.4999999999999997E-3</v>
      </c>
      <c r="AV6" s="26">
        <f t="shared" ref="AV6" si="22">EXP(-AU6*YearFraction)*AV5</f>
        <v>0.99625702246917114</v>
      </c>
      <c r="AW6" s="122">
        <f t="shared" si="11"/>
        <v>1.8697342452108634E-3</v>
      </c>
      <c r="AX6" s="127">
        <f>HazardRate2Y</f>
        <v>7.4999999999999997E-3</v>
      </c>
      <c r="AY6" s="18" cm="1">
        <f t="array" ref="AY6">flatInterpolation($AG6,$S$4:$S$9,AX$5:AX$10)</f>
        <v>7.4999999999999997E-3</v>
      </c>
      <c r="AZ6" s="26">
        <f t="shared" ref="AZ6" si="23">EXP(-AY6*YearFraction)*AZ5</f>
        <v>0.99625702246917114</v>
      </c>
      <c r="BA6" s="122">
        <f t="shared" si="13"/>
        <v>1.8697342452108634E-3</v>
      </c>
      <c r="BB6" s="127">
        <f>HazardRate2Y</f>
        <v>7.4999999999999997E-3</v>
      </c>
      <c r="BC6" s="18" cm="1">
        <f t="array" ref="BC6">flatInterpolation($AG6,$S$4:$S$9,BB$5:BB$10)</f>
        <v>7.4999999999999997E-3</v>
      </c>
      <c r="BD6" s="26">
        <f t="shared" ref="BD6" si="24">EXP(-BC6*YearFraction)*BD5</f>
        <v>0.99625702246917114</v>
      </c>
      <c r="BE6" s="122">
        <f t="shared" si="15"/>
        <v>1.8697342452108634E-3</v>
      </c>
    </row>
    <row r="7" spans="3:58" x14ac:dyDescent="0.3">
      <c r="C7" s="1" t="s">
        <v>138</v>
      </c>
      <c r="D7" t="s">
        <v>142</v>
      </c>
      <c r="K7" s="358" t="s">
        <v>5</v>
      </c>
      <c r="L7" s="359"/>
      <c r="M7" s="52">
        <v>0.25</v>
      </c>
      <c r="O7" s="75" t="s">
        <v>14</v>
      </c>
      <c r="P7" s="76">
        <v>45</v>
      </c>
      <c r="Q7" s="18">
        <f t="shared" si="0"/>
        <v>4.4999999999999997E-3</v>
      </c>
      <c r="S7" s="12">
        <v>4</v>
      </c>
      <c r="T7" s="87">
        <f t="shared" si="1"/>
        <v>7.4999999999999997E-3</v>
      </c>
      <c r="W7" s="18"/>
      <c r="X7" s="24">
        <f t="shared" ref="X7" si="25">X6+YearFraction</f>
        <v>0.75</v>
      </c>
      <c r="Y7" s="25" cm="1">
        <f t="array" ref="Y7">flatInterpolation(X7,$S$4:$S$9,$T$4:$T$9)</f>
        <v>7.4999999999999997E-3</v>
      </c>
      <c r="Z7" s="26">
        <f t="shared" ref="Z7" si="26">EXP(-Y7*YearFraction)*Z6</f>
        <v>0.99439079069108094</v>
      </c>
      <c r="AA7" s="26">
        <f t="shared" si="3"/>
        <v>1.8662317780901994E-3</v>
      </c>
      <c r="AB7" s="27" cm="1">
        <f t="array" ref="AB7">cubicInterpolation(CurveResults.Times,CurveResults.DFs,$X7)</f>
        <v>0.96604126005158042</v>
      </c>
      <c r="AG7" s="24">
        <f t="shared" ref="AG7" si="27">AG6+YearFraction</f>
        <v>0.75</v>
      </c>
      <c r="AH7" s="130">
        <f>HazardRate3Y</f>
        <v>7.4999999999999997E-3</v>
      </c>
      <c r="AI7" s="18" cm="1">
        <f t="array" ref="AI7">flatInterpolation($AG7,$S$4:$S$9,AH$5:AH$10)</f>
        <v>7.5001E-3</v>
      </c>
      <c r="AJ7" s="26">
        <f t="shared" ref="AJ7" si="28">EXP(-AI7*YearFraction)*AJ6</f>
        <v>0.99439071611177432</v>
      </c>
      <c r="AK7" s="122">
        <f t="shared" si="5"/>
        <v>1.8662565445468626E-3</v>
      </c>
      <c r="AL7" s="127">
        <f>HazardRate3Y</f>
        <v>7.4999999999999997E-3</v>
      </c>
      <c r="AM7" s="18" cm="1">
        <f t="array" ref="AM7">flatInterpolation($AG7,$S$4:$S$9,AL$5:AL$10)</f>
        <v>7.4999999999999997E-3</v>
      </c>
      <c r="AN7" s="26">
        <f t="shared" ref="AN7" si="29">EXP(-AM7*YearFraction)*AN6</f>
        <v>0.99439079069108094</v>
      </c>
      <c r="AO7" s="122">
        <f t="shared" si="7"/>
        <v>1.8662317780901994E-3</v>
      </c>
      <c r="AP7" s="128">
        <f>HazardRate3Y+ShiftSize</f>
        <v>7.5001E-3</v>
      </c>
      <c r="AQ7" s="18" cm="1">
        <f t="array" ref="AQ7">flatInterpolation($AG7,$S$4:$S$9,AP$5:AP$10)</f>
        <v>7.4999999999999997E-3</v>
      </c>
      <c r="AR7" s="26">
        <f t="shared" ref="AR7" si="30">EXP(-AQ7*YearFraction)*AR6</f>
        <v>0.99439079069108094</v>
      </c>
      <c r="AS7" s="122">
        <f t="shared" si="9"/>
        <v>1.8662317780901994E-3</v>
      </c>
      <c r="AT7" s="127">
        <f>HazardRate3Y</f>
        <v>7.4999999999999997E-3</v>
      </c>
      <c r="AU7" s="18" cm="1">
        <f t="array" ref="AU7">flatInterpolation($AG7,$S$4:$S$9,AT$5:AT$10)</f>
        <v>7.4999999999999997E-3</v>
      </c>
      <c r="AV7" s="26">
        <f t="shared" ref="AV7" si="31">EXP(-AU7*YearFraction)*AV6</f>
        <v>0.99439079069108094</v>
      </c>
      <c r="AW7" s="122">
        <f t="shared" si="11"/>
        <v>1.8662317780901994E-3</v>
      </c>
      <c r="AX7" s="127">
        <f>HazardRate3Y</f>
        <v>7.4999999999999997E-3</v>
      </c>
      <c r="AY7" s="18" cm="1">
        <f t="array" ref="AY7">flatInterpolation($AG7,$S$4:$S$9,AX$5:AX$10)</f>
        <v>7.4999999999999997E-3</v>
      </c>
      <c r="AZ7" s="26">
        <f t="shared" ref="AZ7" si="32">EXP(-AY7*YearFraction)*AZ6</f>
        <v>0.99439079069108094</v>
      </c>
      <c r="BA7" s="122">
        <f t="shared" si="13"/>
        <v>1.8662317780901994E-3</v>
      </c>
      <c r="BB7" s="127">
        <f>HazardRate3Y</f>
        <v>7.4999999999999997E-3</v>
      </c>
      <c r="BC7" s="18" cm="1">
        <f t="array" ref="BC7">flatInterpolation($AG7,$S$4:$S$9,BB$5:BB$10)</f>
        <v>7.4999999999999997E-3</v>
      </c>
      <c r="BD7" s="26">
        <f t="shared" ref="BD7" si="33">EXP(-BC7*YearFraction)*BD6</f>
        <v>0.99439079069108094</v>
      </c>
      <c r="BE7" s="122">
        <f t="shared" si="15"/>
        <v>1.8662317780901994E-3</v>
      </c>
    </row>
    <row r="8" spans="3:58" x14ac:dyDescent="0.3">
      <c r="K8" s="358" t="s">
        <v>18</v>
      </c>
      <c r="L8" s="359"/>
      <c r="M8" s="170">
        <v>1000000</v>
      </c>
      <c r="O8" s="75" t="s">
        <v>15</v>
      </c>
      <c r="P8" s="76">
        <v>45</v>
      </c>
      <c r="Q8" s="18">
        <f t="shared" si="0"/>
        <v>4.4999999999999997E-3</v>
      </c>
      <c r="S8" s="12">
        <v>5</v>
      </c>
      <c r="T8" s="87">
        <f t="shared" si="1"/>
        <v>7.4999999999999997E-3</v>
      </c>
      <c r="W8" s="18"/>
      <c r="X8" s="24">
        <f t="shared" ref="X8" si="34">X7+YearFraction</f>
        <v>1</v>
      </c>
      <c r="Y8" s="25" cm="1">
        <f t="array" ref="Y8">flatInterpolation(X8,$S$4:$S$9,$T$4:$T$9)</f>
        <v>7.4999999999999997E-3</v>
      </c>
      <c r="Z8" s="26">
        <f t="shared" ref="Z8" si="35">EXP(-Y8*YearFraction)*Z7</f>
        <v>0.99252805481913853</v>
      </c>
      <c r="AA8" s="26">
        <f t="shared" si="3"/>
        <v>1.8627358719424114E-3</v>
      </c>
      <c r="AB8" s="27" cm="1">
        <f t="array" ref="AB8">cubicInterpolation(CurveResults.Times,CurveResults.DFs,$X8)</f>
        <v>0.95518051063522103</v>
      </c>
      <c r="AG8" s="24">
        <f t="shared" ref="AG8" si="36">AG7+YearFraction</f>
        <v>1</v>
      </c>
      <c r="AH8" s="130">
        <f>HazardRate4Y</f>
        <v>7.4999999999999997E-3</v>
      </c>
      <c r="AI8" s="18" cm="1">
        <f t="array" ref="AI8">flatInterpolation($AG8,$S$4:$S$9,AH$5:AH$10)</f>
        <v>7.5001E-3</v>
      </c>
      <c r="AJ8" s="26">
        <f t="shared" ref="AJ8" si="37">EXP(-AI8*YearFraction)*AJ7</f>
        <v>0.99252795556633788</v>
      </c>
      <c r="AK8" s="122">
        <f t="shared" si="5"/>
        <v>1.8627605454364371E-3</v>
      </c>
      <c r="AL8" s="127">
        <f>HazardRate4Y</f>
        <v>7.4999999999999997E-3</v>
      </c>
      <c r="AM8" s="18" cm="1">
        <f t="array" ref="AM8">flatInterpolation($AG8,$S$4:$S$9,AL$5:AL$10)</f>
        <v>7.4999999999999997E-3</v>
      </c>
      <c r="AN8" s="26">
        <f t="shared" ref="AN8" si="38">EXP(-AM8*YearFraction)*AN7</f>
        <v>0.99252805481913853</v>
      </c>
      <c r="AO8" s="122">
        <f t="shared" si="7"/>
        <v>1.8627358719424114E-3</v>
      </c>
      <c r="AP8" s="127">
        <f>HazardRate4Y</f>
        <v>7.4999999999999997E-3</v>
      </c>
      <c r="AQ8" s="18" cm="1">
        <f t="array" ref="AQ8">flatInterpolation($AG8,$S$4:$S$9,AP$5:AP$10)</f>
        <v>7.4999999999999997E-3</v>
      </c>
      <c r="AR8" s="26">
        <f t="shared" ref="AR8" si="39">EXP(-AQ8*YearFraction)*AR7</f>
        <v>0.99252805481913853</v>
      </c>
      <c r="AS8" s="122">
        <f t="shared" si="9"/>
        <v>1.8627358719424114E-3</v>
      </c>
      <c r="AT8" s="128">
        <f>HazardRate4Y+ShiftSize</f>
        <v>7.5001E-3</v>
      </c>
      <c r="AU8" s="18" cm="1">
        <f t="array" ref="AU8">flatInterpolation($AG8,$S$4:$S$9,AT$5:AT$10)</f>
        <v>7.4999999999999997E-3</v>
      </c>
      <c r="AV8" s="26">
        <f t="shared" ref="AV8" si="40">EXP(-AU8*YearFraction)*AV7</f>
        <v>0.99252805481913853</v>
      </c>
      <c r="AW8" s="122">
        <f t="shared" si="11"/>
        <v>1.8627358719424114E-3</v>
      </c>
      <c r="AX8" s="127">
        <f>HazardRate4Y</f>
        <v>7.4999999999999997E-3</v>
      </c>
      <c r="AY8" s="18" cm="1">
        <f t="array" ref="AY8">flatInterpolation($AG8,$S$4:$S$9,AX$5:AX$10)</f>
        <v>7.4999999999999997E-3</v>
      </c>
      <c r="AZ8" s="26">
        <f t="shared" ref="AZ8" si="41">EXP(-AY8*YearFraction)*AZ7</f>
        <v>0.99252805481913853</v>
      </c>
      <c r="BA8" s="122">
        <f t="shared" si="13"/>
        <v>1.8627358719424114E-3</v>
      </c>
      <c r="BB8" s="127">
        <f>HazardRate4Y</f>
        <v>7.4999999999999997E-3</v>
      </c>
      <c r="BC8" s="18" cm="1">
        <f t="array" ref="BC8">flatInterpolation($AG8,$S$4:$S$9,BB$5:BB$10)</f>
        <v>7.4999999999999997E-3</v>
      </c>
      <c r="BD8" s="26">
        <f t="shared" ref="BD8" si="42">EXP(-BC8*YearFraction)*BD7</f>
        <v>0.99252805481913853</v>
      </c>
      <c r="BE8" s="122">
        <f t="shared" si="15"/>
        <v>1.8627358719424114E-3</v>
      </c>
    </row>
    <row r="9" spans="3:58" x14ac:dyDescent="0.3">
      <c r="C9" s="1" t="s">
        <v>136</v>
      </c>
      <c r="K9" s="354" t="s">
        <v>9</v>
      </c>
      <c r="L9" s="355"/>
      <c r="M9" s="53">
        <f>Notional*(1-RecoveryRate)</f>
        <v>600000</v>
      </c>
      <c r="O9" s="77" t="s">
        <v>16</v>
      </c>
      <c r="P9" s="78">
        <v>45</v>
      </c>
      <c r="Q9" s="18">
        <f t="shared" si="0"/>
        <v>4.4999999999999997E-3</v>
      </c>
      <c r="S9" s="13">
        <v>10</v>
      </c>
      <c r="T9" s="88">
        <f t="shared" si="1"/>
        <v>7.4999999999999997E-3</v>
      </c>
      <c r="W9" s="18"/>
      <c r="X9" s="24">
        <f t="shared" ref="X9" si="43">X8+YearFraction</f>
        <v>1.25</v>
      </c>
      <c r="Y9" s="25" cm="1">
        <f t="array" ref="Y9">flatInterpolation(X9,$S$4:$S$9,$T$4:$T$9)</f>
        <v>7.4999999999999997E-3</v>
      </c>
      <c r="Z9" s="26">
        <f t="shared" ref="Z9" si="44">EXP(-Y9*YearFraction)*Z8</f>
        <v>0.99066880830466109</v>
      </c>
      <c r="AA9" s="26">
        <f t="shared" si="3"/>
        <v>1.8592465144774417E-3</v>
      </c>
      <c r="AB9" s="27" cm="1">
        <f t="array" ref="AB9">cubicInterpolation(CurveResults.Times,CurveResults.DFs,$X9)</f>
        <v>0.94476174559314918</v>
      </c>
      <c r="AG9" s="24">
        <f t="shared" ref="AG9" si="45">AG8+YearFraction</f>
        <v>1.25</v>
      </c>
      <c r="AH9" s="130">
        <f>HazardRate5Y</f>
        <v>7.4999999999999997E-3</v>
      </c>
      <c r="AI9" s="18" cm="1">
        <f t="array" ref="AI9">flatInterpolation($AG9,$S$4:$S$9,AH$5:AH$10)</f>
        <v>7.4999999999999997E-3</v>
      </c>
      <c r="AJ9" s="26">
        <f t="shared" ref="AJ9" si="46">EXP(-AI9*YearFraction)*AJ8</f>
        <v>0.99066870923778505</v>
      </c>
      <c r="AK9" s="122">
        <f t="shared" si="5"/>
        <v>1.8592463285528327E-3</v>
      </c>
      <c r="AL9" s="127">
        <f>HazardRate5Y</f>
        <v>7.4999999999999997E-3</v>
      </c>
      <c r="AM9" s="18" cm="1">
        <f t="array" ref="AM9">flatInterpolation($AG9,$S$4:$S$9,AL$5:AL$10)</f>
        <v>7.5001E-3</v>
      </c>
      <c r="AN9" s="26">
        <f t="shared" ref="AN9" si="47">EXP(-AM9*YearFraction)*AN8</f>
        <v>0.99066878353794119</v>
      </c>
      <c r="AO9" s="122">
        <f t="shared" si="7"/>
        <v>1.8592712811973389E-3</v>
      </c>
      <c r="AP9" s="127">
        <f>HazardRate5Y</f>
        <v>7.4999999999999997E-3</v>
      </c>
      <c r="AQ9" s="18" cm="1">
        <f t="array" ref="AQ9">flatInterpolation($AG9,$S$4:$S$9,AP$5:AP$10)</f>
        <v>7.4999999999999997E-3</v>
      </c>
      <c r="AR9" s="26">
        <f t="shared" ref="AR9" si="48">EXP(-AQ9*YearFraction)*AR8</f>
        <v>0.99066880830466109</v>
      </c>
      <c r="AS9" s="122">
        <f t="shared" si="9"/>
        <v>1.8592465144774417E-3</v>
      </c>
      <c r="AT9" s="127">
        <f>HazardRate5Y</f>
        <v>7.4999999999999997E-3</v>
      </c>
      <c r="AU9" s="18" cm="1">
        <f t="array" ref="AU9">flatInterpolation($AG9,$S$4:$S$9,AT$5:AT$10)</f>
        <v>7.4999999999999997E-3</v>
      </c>
      <c r="AV9" s="26">
        <f t="shared" ref="AV9" si="49">EXP(-AU9*YearFraction)*AV8</f>
        <v>0.99066880830466109</v>
      </c>
      <c r="AW9" s="122">
        <f t="shared" si="11"/>
        <v>1.8592465144774417E-3</v>
      </c>
      <c r="AX9" s="128">
        <f>HazardRate5Y+ShiftSize</f>
        <v>7.5001E-3</v>
      </c>
      <c r="AY9" s="18" cm="1">
        <f t="array" ref="AY9">flatInterpolation($AG9,$S$4:$S$9,AX$5:AX$10)</f>
        <v>7.4999999999999997E-3</v>
      </c>
      <c r="AZ9" s="26">
        <f t="shared" ref="AZ9" si="50">EXP(-AY9*YearFraction)*AZ8</f>
        <v>0.99066880830466109</v>
      </c>
      <c r="BA9" s="122">
        <f t="shared" si="13"/>
        <v>1.8592465144774417E-3</v>
      </c>
      <c r="BB9" s="127">
        <f>HazardRate5Y</f>
        <v>7.4999999999999997E-3</v>
      </c>
      <c r="BC9" s="18" cm="1">
        <f t="array" ref="BC9">flatInterpolation($AG9,$S$4:$S$9,BB$5:BB$10)</f>
        <v>7.4999999999999997E-3</v>
      </c>
      <c r="BD9" s="26">
        <f t="shared" ref="BD9" si="51">EXP(-BC9*YearFraction)*BD8</f>
        <v>0.99066880830466109</v>
      </c>
      <c r="BE9" s="122">
        <f t="shared" si="15"/>
        <v>1.8592465144774417E-3</v>
      </c>
    </row>
    <row r="10" spans="3:58" x14ac:dyDescent="0.3">
      <c r="C10" t="s">
        <v>140</v>
      </c>
      <c r="X10" s="24">
        <f t="shared" ref="X10" si="52">X9+YearFraction</f>
        <v>1.5</v>
      </c>
      <c r="Y10" s="25" cm="1">
        <f t="array" ref="Y10">flatInterpolation(X10,$S$4:$S$9,$T$4:$T$9)</f>
        <v>7.4999999999999997E-3</v>
      </c>
      <c r="Z10" s="26">
        <f t="shared" ref="Z10" si="53">EXP(-Y10*YearFraction)*Z9</f>
        <v>0.98881304461123321</v>
      </c>
      <c r="AA10" s="26">
        <f t="shared" si="3"/>
        <v>1.8557636934278809E-3</v>
      </c>
      <c r="AB10" s="27" cm="1">
        <f t="array" ref="AB10">cubicInterpolation(CurveResults.Times,CurveResults.DFs,$X10)</f>
        <v>0.93466312738762736</v>
      </c>
      <c r="AG10" s="24">
        <f t="shared" ref="AG10" si="54">AG9+YearFraction</f>
        <v>1.5</v>
      </c>
      <c r="AH10" s="130">
        <f>HazardRate10Y</f>
        <v>7.4999999999999997E-3</v>
      </c>
      <c r="AI10" s="18" cm="1">
        <f t="array" ref="AI10">flatInterpolation($AG10,$S$4:$S$9,AH$5:AH$10)</f>
        <v>7.4999999999999997E-3</v>
      </c>
      <c r="AJ10" s="26">
        <f t="shared" ref="AJ10" si="55">EXP(-AI10*YearFraction)*AJ9</f>
        <v>0.9888129457299335</v>
      </c>
      <c r="AK10" s="122">
        <f t="shared" si="5"/>
        <v>1.8557635078515489E-3</v>
      </c>
      <c r="AL10" s="127">
        <f>HazardRate10Y</f>
        <v>7.4999999999999997E-3</v>
      </c>
      <c r="AM10" s="18" cm="1">
        <f t="array" ref="AM10">flatInterpolation($AG10,$S$4:$S$9,AL$5:AL$10)</f>
        <v>7.5001E-3</v>
      </c>
      <c r="AN10" s="26">
        <f t="shared" ref="AN10" si="56">EXP(-AM10*YearFraction)*AN9</f>
        <v>0.98881299517058219</v>
      </c>
      <c r="AO10" s="122">
        <f t="shared" si="7"/>
        <v>1.8557883673590014E-3</v>
      </c>
      <c r="AP10" s="127">
        <f>HazardRate10Y</f>
        <v>7.4999999999999997E-3</v>
      </c>
      <c r="AQ10" s="18" cm="1">
        <f t="array" ref="AQ10">flatInterpolation($AG10,$S$4:$S$9,AP$5:AP$10)</f>
        <v>7.4999999999999997E-3</v>
      </c>
      <c r="AR10" s="26">
        <f t="shared" ref="AR10" si="57">EXP(-AQ10*YearFraction)*AR9</f>
        <v>0.98881304461123321</v>
      </c>
      <c r="AS10" s="122">
        <f t="shared" si="9"/>
        <v>1.8557636934278809E-3</v>
      </c>
      <c r="AT10" s="127">
        <f>HazardRate10Y</f>
        <v>7.4999999999999997E-3</v>
      </c>
      <c r="AU10" s="18" cm="1">
        <f t="array" ref="AU10">flatInterpolation($AG10,$S$4:$S$9,AT$5:AT$10)</f>
        <v>7.4999999999999997E-3</v>
      </c>
      <c r="AV10" s="26">
        <f t="shared" ref="AV10" si="58">EXP(-AU10*YearFraction)*AV9</f>
        <v>0.98881304461123321</v>
      </c>
      <c r="AW10" s="122">
        <f t="shared" si="11"/>
        <v>1.8557636934278809E-3</v>
      </c>
      <c r="AX10" s="127">
        <f>HazardRate10Y</f>
        <v>7.4999999999999997E-3</v>
      </c>
      <c r="AY10" s="18" cm="1">
        <f t="array" ref="AY10">flatInterpolation($AG10,$S$4:$S$9,AX$5:AX$10)</f>
        <v>7.4999999999999997E-3</v>
      </c>
      <c r="AZ10" s="26">
        <f t="shared" ref="AZ10" si="59">EXP(-AY10*YearFraction)*AZ9</f>
        <v>0.98881304461123321</v>
      </c>
      <c r="BA10" s="122">
        <f t="shared" si="13"/>
        <v>1.8557636934278809E-3</v>
      </c>
      <c r="BB10" s="128">
        <f>HazardRate10Y+ShiftSize</f>
        <v>7.5001E-3</v>
      </c>
      <c r="BC10" s="18" cm="1">
        <f t="array" ref="BC10">flatInterpolation($AG10,$S$4:$S$9,BB$5:BB$10)</f>
        <v>7.4999999999999997E-3</v>
      </c>
      <c r="BD10" s="26">
        <f t="shared" ref="BD10" si="60">EXP(-BC10*YearFraction)*BD9</f>
        <v>0.98881304461123321</v>
      </c>
      <c r="BE10" s="122">
        <f t="shared" si="15"/>
        <v>1.8557636934278809E-3</v>
      </c>
    </row>
    <row r="11" spans="3:58" x14ac:dyDescent="0.3">
      <c r="C11" t="s">
        <v>160</v>
      </c>
      <c r="X11" s="24">
        <f t="shared" ref="X11" si="61">X10+YearFraction</f>
        <v>1.75</v>
      </c>
      <c r="Y11" s="25" cm="1">
        <f t="array" ref="Y11">flatInterpolation(X11,$S$4:$S$9,$T$4:$T$9)</f>
        <v>7.4999999999999997E-3</v>
      </c>
      <c r="Z11" s="26">
        <f t="shared" ref="Z11" si="62">EXP(-Y11*YearFraction)*Z10</f>
        <v>0.98696075721468368</v>
      </c>
      <c r="AA11" s="26">
        <f t="shared" si="3"/>
        <v>1.8522873965495235E-3</v>
      </c>
      <c r="AB11" s="27" cm="1">
        <f t="array" ref="AB11">cubicInterpolation(CurveResults.Times,CurveResults.DFs,$X11)</f>
        <v>0.92484187664189998</v>
      </c>
      <c r="AG11" s="24">
        <f t="shared" ref="AG11" si="63">AG10+YearFraction</f>
        <v>1.75</v>
      </c>
      <c r="AI11" s="18" cm="1">
        <f t="array" ref="AI11">flatInterpolation($AG11,$S$4:$S$9,AH$5:AH$10)</f>
        <v>7.4999999999999997E-3</v>
      </c>
      <c r="AJ11" s="26">
        <f t="shared" ref="AJ11" si="64">EXP(-AI11*YearFraction)*AJ10</f>
        <v>0.9869606585186127</v>
      </c>
      <c r="AK11" s="122">
        <f t="shared" si="5"/>
        <v>1.8522872113208022E-3</v>
      </c>
      <c r="AL11" s="116"/>
      <c r="AM11" s="18" cm="1">
        <f t="array" ref="AM11">flatInterpolation($AG11,$S$4:$S$9,AL$5:AL$10)</f>
        <v>7.5001E-3</v>
      </c>
      <c r="AN11" s="26">
        <f t="shared" ref="AN11" si="65">EXP(-AM11*YearFraction)*AN10</f>
        <v>0.98696068319262964</v>
      </c>
      <c r="AO11" s="122">
        <f t="shared" si="7"/>
        <v>1.8523119779525477E-3</v>
      </c>
      <c r="AP11" s="116"/>
      <c r="AQ11" s="18" cm="1">
        <f t="array" ref="AQ11">flatInterpolation($AG11,$S$4:$S$9,AP$5:AP$10)</f>
        <v>7.4999999999999997E-3</v>
      </c>
      <c r="AR11" s="26">
        <f t="shared" ref="AR11" si="66">EXP(-AQ11*YearFraction)*AR10</f>
        <v>0.98696075721468368</v>
      </c>
      <c r="AS11" s="122">
        <f t="shared" si="9"/>
        <v>1.8522873965495235E-3</v>
      </c>
      <c r="AT11" s="116"/>
      <c r="AU11" s="18" cm="1">
        <f t="array" ref="AU11">flatInterpolation($AG11,$S$4:$S$9,AT$5:AT$10)</f>
        <v>7.4999999999999997E-3</v>
      </c>
      <c r="AV11" s="26">
        <f t="shared" ref="AV11" si="67">EXP(-AU11*YearFraction)*AV10</f>
        <v>0.98696075721468368</v>
      </c>
      <c r="AW11" s="122">
        <f t="shared" si="11"/>
        <v>1.8522873965495235E-3</v>
      </c>
      <c r="AX11" s="116"/>
      <c r="AY11" s="18" cm="1">
        <f t="array" ref="AY11">flatInterpolation($AG11,$S$4:$S$9,AX$5:AX$10)</f>
        <v>7.4999999999999997E-3</v>
      </c>
      <c r="AZ11" s="26">
        <f t="shared" ref="AZ11" si="68">EXP(-AY11*YearFraction)*AZ10</f>
        <v>0.98696075721468368</v>
      </c>
      <c r="BA11" s="122">
        <f t="shared" si="13"/>
        <v>1.8522873965495235E-3</v>
      </c>
      <c r="BB11" s="116"/>
      <c r="BC11" s="18" cm="1">
        <f t="array" ref="BC11">flatInterpolation($AG11,$S$4:$S$9,BB$5:BB$10)</f>
        <v>7.4999999999999997E-3</v>
      </c>
      <c r="BD11" s="26">
        <f t="shared" ref="BD11" si="69">EXP(-BC11*YearFraction)*BD10</f>
        <v>0.98696075721468368</v>
      </c>
      <c r="BE11" s="122">
        <f t="shared" si="15"/>
        <v>1.8522873965495235E-3</v>
      </c>
    </row>
    <row r="12" spans="3:58" x14ac:dyDescent="0.3">
      <c r="K12" s="1" t="s">
        <v>50</v>
      </c>
      <c r="S12" s="1" t="s">
        <v>68</v>
      </c>
      <c r="X12" s="24">
        <f t="shared" ref="X12" si="70">X11+YearFraction</f>
        <v>2</v>
      </c>
      <c r="Y12" s="25" cm="1">
        <f t="array" ref="Y12">flatInterpolation(X12,$S$4:$S$9,$T$4:$T$9)</f>
        <v>7.4999999999999997E-3</v>
      </c>
      <c r="Z12" s="26">
        <f t="shared" ref="Z12" si="71">EXP(-Y12*YearFraction)*Z11</f>
        <v>0.98511193960306287</v>
      </c>
      <c r="AA12" s="26">
        <f t="shared" si="3"/>
        <v>1.8488176116208122E-3</v>
      </c>
      <c r="AB12" s="27" cm="1">
        <f t="array" ref="AB12">cubicInterpolation(CurveResults.Times,CurveResults.DFs,$X12)</f>
        <v>0.91525521397921195</v>
      </c>
      <c r="AG12" s="24">
        <f t="shared" ref="AG12" si="72">AG11+YearFraction</f>
        <v>2</v>
      </c>
      <c r="AI12" s="18" cm="1">
        <f t="array" ref="AI12">flatInterpolation($AG12,$S$4:$S$9,AH$5:AH$10)</f>
        <v>7.4999999999999997E-3</v>
      </c>
      <c r="AJ12" s="26">
        <f t="shared" ref="AJ12" si="73">EXP(-AI12*YearFraction)*AJ11</f>
        <v>0.98511184109187355</v>
      </c>
      <c r="AK12" s="122">
        <f t="shared" si="5"/>
        <v>1.8488174267391466E-3</v>
      </c>
      <c r="AL12" s="116"/>
      <c r="AM12" s="18" cm="1">
        <f t="array" ref="AM12">flatInterpolation($AG12,$S$4:$S$9,AL$5:AL$10)</f>
        <v>7.5001E-3</v>
      </c>
      <c r="AN12" s="26">
        <f t="shared" ref="AN12" si="74">EXP(-AM12*YearFraction)*AN11</f>
        <v>0.98511184109187377</v>
      </c>
      <c r="AO12" s="122">
        <f t="shared" si="7"/>
        <v>1.8488421007558653E-3</v>
      </c>
      <c r="AP12" s="116"/>
      <c r="AQ12" s="18" cm="1">
        <f t="array" ref="AQ12">flatInterpolation($AG12,$S$4:$S$9,AP$5:AP$10)</f>
        <v>7.4999999999999997E-3</v>
      </c>
      <c r="AR12" s="26">
        <f t="shared" ref="AR12" si="75">EXP(-AQ12*YearFraction)*AR11</f>
        <v>0.98511193960306287</v>
      </c>
      <c r="AS12" s="122">
        <f t="shared" si="9"/>
        <v>1.8488176116208122E-3</v>
      </c>
      <c r="AT12" s="116"/>
      <c r="AU12" s="18" cm="1">
        <f t="array" ref="AU12">flatInterpolation($AG12,$S$4:$S$9,AT$5:AT$10)</f>
        <v>7.4999999999999997E-3</v>
      </c>
      <c r="AV12" s="26">
        <f t="shared" ref="AV12" si="76">EXP(-AU12*YearFraction)*AV11</f>
        <v>0.98511193960306287</v>
      </c>
      <c r="AW12" s="122">
        <f t="shared" si="11"/>
        <v>1.8488176116208122E-3</v>
      </c>
      <c r="AX12" s="116"/>
      <c r="AY12" s="18" cm="1">
        <f t="array" ref="AY12">flatInterpolation($AG12,$S$4:$S$9,AX$5:AX$10)</f>
        <v>7.4999999999999997E-3</v>
      </c>
      <c r="AZ12" s="26">
        <f t="shared" ref="AZ12" si="77">EXP(-AY12*YearFraction)*AZ11</f>
        <v>0.98511193960306287</v>
      </c>
      <c r="BA12" s="122">
        <f t="shared" si="13"/>
        <v>1.8488176116208122E-3</v>
      </c>
      <c r="BB12" s="116"/>
      <c r="BC12" s="18" cm="1">
        <f t="array" ref="BC12">flatInterpolation($AG12,$S$4:$S$9,BB$5:BB$10)</f>
        <v>7.4999999999999997E-3</v>
      </c>
      <c r="BD12" s="26">
        <f t="shared" ref="BD12" si="78">EXP(-BC12*YearFraction)*BD11</f>
        <v>0.98511193960306287</v>
      </c>
      <c r="BE12" s="122">
        <f t="shared" si="15"/>
        <v>1.8488176116208122E-3</v>
      </c>
    </row>
    <row r="13" spans="3:58" x14ac:dyDescent="0.3">
      <c r="C13" s="1" t="s">
        <v>135</v>
      </c>
      <c r="K13" s="2" t="s">
        <v>10</v>
      </c>
      <c r="L13" s="2" t="s">
        <v>27</v>
      </c>
      <c r="M13" s="2" t="s">
        <v>7</v>
      </c>
      <c r="N13" s="2" t="s">
        <v>2</v>
      </c>
      <c r="O13" s="2" t="s">
        <v>25</v>
      </c>
      <c r="P13" s="2" t="s">
        <v>26</v>
      </c>
      <c r="Q13" s="2" t="s">
        <v>28</v>
      </c>
      <c r="S13" s="2" t="s">
        <v>49</v>
      </c>
      <c r="T13" s="2" t="s">
        <v>67</v>
      </c>
      <c r="U13" s="2" t="s">
        <v>110</v>
      </c>
      <c r="V13" s="117" t="s">
        <v>69</v>
      </c>
      <c r="W13" s="117"/>
      <c r="X13" s="24">
        <f t="shared" ref="X13" si="79">X12+YearFraction</f>
        <v>2.25</v>
      </c>
      <c r="Y13" s="25" cm="1">
        <f t="array" ref="Y13">flatInterpolation(X13,$S$4:$S$9,$T$4:$T$9)</f>
        <v>7.4999999999999997E-3</v>
      </c>
      <c r="Z13" s="26">
        <f t="shared" ref="Z13" si="80">EXP(-Y13*YearFraction)*Z12</f>
        <v>0.98326658527661925</v>
      </c>
      <c r="AA13" s="26">
        <f t="shared" si="3"/>
        <v>1.8453543264436156E-3</v>
      </c>
      <c r="AB13" s="27" cm="1">
        <f t="array" ref="AB13">cubicInterpolation(CurveResults.Times,CurveResults.DFs,$X13)</f>
        <v>0.90592386234408706</v>
      </c>
      <c r="AG13" s="24">
        <f t="shared" ref="AG13" si="81">AG12+YearFraction</f>
        <v>2.25</v>
      </c>
      <c r="AI13" s="18" cm="1">
        <f t="array" ref="AI13">flatInterpolation($AG13,$S$4:$S$9,AH$5:AH$10)</f>
        <v>7.4999999999999997E-3</v>
      </c>
      <c r="AJ13" s="26">
        <f t="shared" ref="AJ13" si="82">EXP(-AI13*YearFraction)*AJ12</f>
        <v>0.98326648694996543</v>
      </c>
      <c r="AK13" s="122">
        <f t="shared" si="5"/>
        <v>1.8453541419081176E-3</v>
      </c>
      <c r="AL13" s="116"/>
      <c r="AM13" s="18" cm="1">
        <f t="array" ref="AM13">flatInterpolation($AG13,$S$4:$S$9,AL$5:AL$10)</f>
        <v>7.4999999999999997E-3</v>
      </c>
      <c r="AN13" s="26">
        <f t="shared" ref="AN13" si="83">EXP(-AM13*YearFraction)*AN12</f>
        <v>0.98326648694996566</v>
      </c>
      <c r="AO13" s="122">
        <f t="shared" si="7"/>
        <v>1.8453541419081176E-3</v>
      </c>
      <c r="AP13" s="116"/>
      <c r="AQ13" s="18" cm="1">
        <f t="array" ref="AQ13">flatInterpolation($AG13,$S$4:$S$9,AP$5:AP$10)</f>
        <v>7.5001E-3</v>
      </c>
      <c r="AR13" s="26">
        <f t="shared" ref="AR13" si="84">EXP(-AQ13*YearFraction)*AR12</f>
        <v>0.98326656069495499</v>
      </c>
      <c r="AS13" s="122">
        <f t="shared" si="9"/>
        <v>1.8453789081078753E-3</v>
      </c>
      <c r="AT13" s="116"/>
      <c r="AU13" s="18" cm="1">
        <f t="array" ref="AU13">flatInterpolation($AG13,$S$4:$S$9,AT$5:AT$10)</f>
        <v>7.4999999999999997E-3</v>
      </c>
      <c r="AV13" s="26">
        <f t="shared" ref="AV13" si="85">EXP(-AU13*YearFraction)*AV12</f>
        <v>0.98326658527661925</v>
      </c>
      <c r="AW13" s="122">
        <f t="shared" si="11"/>
        <v>1.8453543264436156E-3</v>
      </c>
      <c r="AX13" s="116"/>
      <c r="AY13" s="18" cm="1">
        <f t="array" ref="AY13">flatInterpolation($AG13,$S$4:$S$9,AX$5:AX$10)</f>
        <v>7.4999999999999997E-3</v>
      </c>
      <c r="AZ13" s="26">
        <f t="shared" ref="AZ13" si="86">EXP(-AY13*YearFraction)*AZ12</f>
        <v>0.98326658527661925</v>
      </c>
      <c r="BA13" s="122">
        <f t="shared" si="13"/>
        <v>1.8453543264436156E-3</v>
      </c>
      <c r="BB13" s="116"/>
      <c r="BC13" s="18" cm="1">
        <f t="array" ref="BC13">flatInterpolation($AG13,$S$4:$S$9,BB$5:BB$10)</f>
        <v>7.4999999999999997E-3</v>
      </c>
      <c r="BD13" s="26">
        <f t="shared" ref="BD13" si="87">EXP(-BC13*YearFraction)*BD12</f>
        <v>0.98326658527661925</v>
      </c>
      <c r="BE13" s="122">
        <f t="shared" si="15"/>
        <v>1.8453543264436156E-3</v>
      </c>
    </row>
    <row r="14" spans="3:58" x14ac:dyDescent="0.3">
      <c r="C14" t="s">
        <v>148</v>
      </c>
      <c r="K14" s="29" t="s">
        <v>11</v>
      </c>
      <c r="L14" s="30">
        <f t="shared" ref="L14:L19" si="88">Q4</f>
        <v>4.4999999999999997E-3</v>
      </c>
      <c r="M14" s="31">
        <f t="shared" ref="M14" si="89">-Notional*L14*YearFraction</f>
        <v>-1125</v>
      </c>
      <c r="N14" s="32">
        <f>M14*SUMPRODUCT(PSurvival1Y,DiscFactors1Y)</f>
        <v>-4352.7608803633902</v>
      </c>
      <c r="O14" s="32">
        <f>M14*0.5*SUMPRODUCT(PDefault1Y,DiscFactors1Y)</f>
        <v>-4.0845413862473183</v>
      </c>
      <c r="P14" s="32">
        <f>LGD*SUMPRODUCT(PDefault1Y,DiscFactors1Y)</f>
        <v>4356.8441453304731</v>
      </c>
      <c r="Q14" s="33">
        <f t="shared" ref="Q14:Q19" si="90">SUM(N14:P14)</f>
        <v>-1.2764191642418155E-3</v>
      </c>
      <c r="S14" s="79">
        <f>Notional*YearFraction*(SUMPRODUCT(PSurvival1Y,DiscFactors1Y)+0.5*SUMPRODUCT(PDefault1Y,DiscFactors1Y))</f>
        <v>968187.87149991945</v>
      </c>
      <c r="T14" s="80">
        <f t="shared" ref="T14:T19" si="91">P14/S14*10000</f>
        <v>44.999986816410306</v>
      </c>
      <c r="U14" s="18">
        <f t="shared" ref="U14:U19" si="92">T14/10000</f>
        <v>4.4999986816410308E-3</v>
      </c>
      <c r="V14" s="18">
        <f t="shared" ref="V14:V19" si="93">U14-Q4</f>
        <v>-1.3183589688686714E-9</v>
      </c>
      <c r="W14" s="17"/>
      <c r="X14" s="24">
        <f t="shared" ref="X14" si="94">X13+YearFraction</f>
        <v>2.5</v>
      </c>
      <c r="Y14" s="25" cm="1">
        <f t="array" ref="Y14">flatInterpolation(X14,$S$4:$S$9,$T$4:$T$9)</f>
        <v>7.4999999999999997E-3</v>
      </c>
      <c r="Z14" s="26">
        <f t="shared" ref="Z14" si="95">EXP(-Y14*YearFraction)*Z13</f>
        <v>0.98142468774777725</v>
      </c>
      <c r="AA14" s="26">
        <f t="shared" si="3"/>
        <v>1.841897528842007E-3</v>
      </c>
      <c r="AB14" s="27" cm="1">
        <f t="array" ref="AB14">cubicInterpolation(CurveResults.Times,CurveResults.DFs,$X14)</f>
        <v>0.89685992714468643</v>
      </c>
      <c r="AG14" s="24">
        <f t="shared" ref="AG14" si="96">AG13+YearFraction</f>
        <v>2.5</v>
      </c>
      <c r="AI14" s="18" cm="1">
        <f t="array" ref="AI14">flatInterpolation($AG14,$S$4:$S$9,AH$5:AH$10)</f>
        <v>7.4999999999999997E-3</v>
      </c>
      <c r="AJ14" s="26">
        <f t="shared" ref="AJ14" si="97">EXP(-AI14*YearFraction)*AJ13</f>
        <v>0.9814245896053132</v>
      </c>
      <c r="AK14" s="122">
        <f t="shared" si="5"/>
        <v>1.8418973446522324E-3</v>
      </c>
      <c r="AL14" s="116"/>
      <c r="AM14" s="18" cm="1">
        <f t="array" ref="AM14">flatInterpolation($AG14,$S$4:$S$9,AL$5:AL$10)</f>
        <v>7.4999999999999997E-3</v>
      </c>
      <c r="AN14" s="26">
        <f t="shared" ref="AN14" si="98">EXP(-AM14*YearFraction)*AN13</f>
        <v>0.98142458960531342</v>
      </c>
      <c r="AO14" s="122">
        <f t="shared" si="7"/>
        <v>1.8418973446522324E-3</v>
      </c>
      <c r="AP14" s="116"/>
      <c r="AQ14" s="18" cm="1">
        <f t="array" ref="AQ14">flatInterpolation($AG14,$S$4:$S$9,AP$5:AP$10)</f>
        <v>7.5001E-3</v>
      </c>
      <c r="AR14" s="26">
        <f t="shared" ref="AR14" si="99">EXP(-AQ14*YearFraction)*AR13</f>
        <v>0.98142463867654417</v>
      </c>
      <c r="AS14" s="122">
        <f t="shared" si="9"/>
        <v>1.8419220184108243E-3</v>
      </c>
      <c r="AT14" s="116"/>
      <c r="AU14" s="18" cm="1">
        <f t="array" ref="AU14">flatInterpolation($AG14,$S$4:$S$9,AT$5:AT$10)</f>
        <v>7.4999999999999997E-3</v>
      </c>
      <c r="AV14" s="26">
        <f t="shared" ref="AV14" si="100">EXP(-AU14*YearFraction)*AV13</f>
        <v>0.98142468774777725</v>
      </c>
      <c r="AW14" s="122">
        <f t="shared" si="11"/>
        <v>1.841897528842007E-3</v>
      </c>
      <c r="AX14" s="116"/>
      <c r="AY14" s="18" cm="1">
        <f t="array" ref="AY14">flatInterpolation($AG14,$S$4:$S$9,AX$5:AX$10)</f>
        <v>7.4999999999999997E-3</v>
      </c>
      <c r="AZ14" s="26">
        <f t="shared" ref="AZ14" si="101">EXP(-AY14*YearFraction)*AZ13</f>
        <v>0.98142468774777725</v>
      </c>
      <c r="BA14" s="122">
        <f t="shared" si="13"/>
        <v>1.841897528842007E-3</v>
      </c>
      <c r="BB14" s="116"/>
      <c r="BC14" s="18" cm="1">
        <f t="array" ref="BC14">flatInterpolation($AG14,$S$4:$S$9,BB$5:BB$10)</f>
        <v>7.4999999999999997E-3</v>
      </c>
      <c r="BD14" s="26">
        <f t="shared" ref="BD14" si="102">EXP(-BC14*YearFraction)*BD13</f>
        <v>0.98142468774777725</v>
      </c>
      <c r="BE14" s="122">
        <f t="shared" si="15"/>
        <v>1.841897528842007E-3</v>
      </c>
    </row>
    <row r="15" spans="3:58" x14ac:dyDescent="0.3">
      <c r="C15" t="s">
        <v>149</v>
      </c>
      <c r="K15" s="34" t="s">
        <v>12</v>
      </c>
      <c r="L15" s="18">
        <f t="shared" si="88"/>
        <v>4.4999999999999997E-3</v>
      </c>
      <c r="M15" s="2">
        <f t="shared" ref="M15" si="103">-Notional*L15*YearFraction</f>
        <v>-1125</v>
      </c>
      <c r="N15" s="28">
        <f>M15*SUMPRODUCT(PSurvival2Y,DiscFactors2Y)</f>
        <v>-8486.6460140374475</v>
      </c>
      <c r="O15" s="4">
        <f>M15*0.5*SUMPRODUCT(PDefault2Y,DiscFactors2Y)</f>
        <v>-7.9636942684232253</v>
      </c>
      <c r="P15" s="4">
        <f>LGD*SUMPRODUCT(PDefault2Y,DiscFactors2Y)</f>
        <v>8494.6072196514415</v>
      </c>
      <c r="Q15" s="5">
        <f t="shared" si="90"/>
        <v>-2.4886544288165169E-3</v>
      </c>
      <c r="S15" s="3">
        <f>Notional*YearFraction*(SUMPRODUCT(PSurvival2Y,DiscFactors2Y)+0.5*SUMPRODUCT(PDefault2Y,DiscFactors2Y))</f>
        <v>1887691.0462901935</v>
      </c>
      <c r="T15" s="81">
        <f t="shared" si="91"/>
        <v>44.999986816410271</v>
      </c>
      <c r="U15" s="18">
        <f t="shared" si="92"/>
        <v>4.4999986816410273E-3</v>
      </c>
      <c r="V15" s="18">
        <f t="shared" si="93"/>
        <v>-1.3183589723381184E-9</v>
      </c>
      <c r="W15" s="17"/>
      <c r="X15" s="24">
        <f t="shared" ref="X15" si="104">X14+YearFraction</f>
        <v>2.75</v>
      </c>
      <c r="Y15" s="25" cm="1">
        <f t="array" ref="Y15">flatInterpolation(X15,$S$4:$S$9,$T$4:$T$9)</f>
        <v>7.4999999999999997E-3</v>
      </c>
      <c r="Z15" s="26">
        <f t="shared" ref="Z15" si="105">EXP(-Y15*YearFraction)*Z14</f>
        <v>0.97958624054111398</v>
      </c>
      <c r="AA15" s="26">
        <f t="shared" si="3"/>
        <v>1.8384472066632629E-3</v>
      </c>
      <c r="AB15" s="27" cm="1">
        <f t="array" ref="AB15">cubicInterpolation(CurveResults.Times,CurveResults.DFs,$X15)</f>
        <v>0.8880077026997103</v>
      </c>
      <c r="AG15" s="24">
        <f t="shared" ref="AG15" si="106">AG14+YearFraction</f>
        <v>2.75</v>
      </c>
      <c r="AI15" s="18" cm="1">
        <f t="array" ref="AI15">flatInterpolation($AG15,$S$4:$S$9,AH$5:AH$10)</f>
        <v>7.4999999999999997E-3</v>
      </c>
      <c r="AJ15" s="26">
        <f t="shared" ref="AJ15" si="107">EXP(-AI15*YearFraction)*AJ14</f>
        <v>0.97958614258249466</v>
      </c>
      <c r="AK15" s="122">
        <f t="shared" si="5"/>
        <v>1.8384470228185457E-3</v>
      </c>
      <c r="AL15" s="116"/>
      <c r="AM15" s="18" cm="1">
        <f t="array" ref="AM15">flatInterpolation($AG15,$S$4:$S$9,AL$5:AL$10)</f>
        <v>7.4999999999999997E-3</v>
      </c>
      <c r="AN15" s="26">
        <f t="shared" ref="AN15" si="108">EXP(-AM15*YearFraction)*AN14</f>
        <v>0.97958614258249488</v>
      </c>
      <c r="AO15" s="122">
        <f t="shared" si="7"/>
        <v>1.8384470228185457E-3</v>
      </c>
      <c r="AP15" s="116"/>
      <c r="AQ15" s="18" cm="1">
        <f t="array" ref="AQ15">flatInterpolation($AG15,$S$4:$S$9,AP$5:AP$10)</f>
        <v>7.5001E-3</v>
      </c>
      <c r="AR15" s="26">
        <f t="shared" ref="AR15" si="109">EXP(-AQ15*YearFraction)*AR14</f>
        <v>0.97958616707214874</v>
      </c>
      <c r="AS15" s="122">
        <f t="shared" si="9"/>
        <v>1.8384716043954308E-3</v>
      </c>
      <c r="AT15" s="116"/>
      <c r="AU15" s="18" cm="1">
        <f t="array" ref="AU15">flatInterpolation($AG15,$S$4:$S$9,AT$5:AT$10)</f>
        <v>7.4999999999999997E-3</v>
      </c>
      <c r="AV15" s="26">
        <f t="shared" ref="AV15" si="110">EXP(-AU15*YearFraction)*AV14</f>
        <v>0.97958624054111398</v>
      </c>
      <c r="AW15" s="122">
        <f t="shared" si="11"/>
        <v>1.8384472066632629E-3</v>
      </c>
      <c r="AX15" s="116"/>
      <c r="AY15" s="18" cm="1">
        <f t="array" ref="AY15">flatInterpolation($AG15,$S$4:$S$9,AX$5:AX$10)</f>
        <v>7.4999999999999997E-3</v>
      </c>
      <c r="AZ15" s="26">
        <f t="shared" ref="AZ15" si="111">EXP(-AY15*YearFraction)*AZ14</f>
        <v>0.97958624054111398</v>
      </c>
      <c r="BA15" s="122">
        <f t="shared" si="13"/>
        <v>1.8384472066632629E-3</v>
      </c>
      <c r="BB15" s="116"/>
      <c r="BC15" s="18" cm="1">
        <f t="array" ref="BC15">flatInterpolation($AG15,$S$4:$S$9,BB$5:BB$10)</f>
        <v>7.4999999999999997E-3</v>
      </c>
      <c r="BD15" s="26">
        <f t="shared" ref="BD15" si="112">EXP(-BC15*YearFraction)*BD14</f>
        <v>0.97958624054111398</v>
      </c>
      <c r="BE15" s="122">
        <f t="shared" si="15"/>
        <v>1.8384472066632629E-3</v>
      </c>
    </row>
    <row r="16" spans="3:58" x14ac:dyDescent="0.3">
      <c r="C16" t="s">
        <v>152</v>
      </c>
      <c r="K16" s="34" t="s">
        <v>13</v>
      </c>
      <c r="L16" s="18">
        <f t="shared" si="88"/>
        <v>4.4999999999999997E-3</v>
      </c>
      <c r="M16" s="2">
        <f t="shared" ref="M16" si="113">-Notional*L16*YearFraction</f>
        <v>-1125</v>
      </c>
      <c r="N16" s="28">
        <f>M16*SUMPRODUCT(PSurvival3Y,DiscFactors3Y)</f>
        <v>-12424.813312692928</v>
      </c>
      <c r="O16" s="4">
        <f>M16*0.5*SUMPRODUCT(PDefault3Y,DiscFactors3Y)</f>
        <v>-11.659189555079411</v>
      </c>
      <c r="P16" s="4">
        <f>LGD*SUMPRODUCT(PDefault3Y,DiscFactors3Y)</f>
        <v>12436.468858751372</v>
      </c>
      <c r="Q16" s="5">
        <f t="shared" si="90"/>
        <v>-3.6434966350498144E-3</v>
      </c>
      <c r="S16" s="3">
        <f>Notional*YearFraction*(SUMPRODUCT(PSurvival3Y,DiscFactors3Y)+0.5*SUMPRODUCT(PDefault3Y,DiscFactors3Y))</f>
        <v>2763660.5560551127</v>
      </c>
      <c r="T16" s="81">
        <f t="shared" si="91"/>
        <v>44.99998681641047</v>
      </c>
      <c r="U16" s="18">
        <f t="shared" si="92"/>
        <v>4.4999986816410473E-3</v>
      </c>
      <c r="V16" s="18">
        <f t="shared" si="93"/>
        <v>-1.3183589523887984E-9</v>
      </c>
      <c r="W16" s="17"/>
      <c r="X16" s="24">
        <f t="shared" ref="X16" si="114">X15+YearFraction</f>
        <v>3</v>
      </c>
      <c r="Y16" s="25" cm="1">
        <f t="array" ref="Y16">flatInterpolation(X16,$S$4:$S$9,$T$4:$T$9)</f>
        <v>7.4999999999999997E-3</v>
      </c>
      <c r="Z16" s="26">
        <f t="shared" ref="Z16" si="115">EXP(-Y16*YearFraction)*Z15</f>
        <v>0.97775123719333656</v>
      </c>
      <c r="AA16" s="26">
        <f t="shared" si="3"/>
        <v>1.8350033477774197E-3</v>
      </c>
      <c r="AB16" s="27" cm="1">
        <f t="array" ref="AB16">cubicInterpolation(CurveResults.Times,CurveResults.DFs,$X16)</f>
        <v>0.87931148332785924</v>
      </c>
      <c r="AG16" s="24">
        <f t="shared" ref="AG16" si="116">AG15+YearFraction</f>
        <v>3</v>
      </c>
      <c r="AI16" s="18" cm="1">
        <f t="array" ref="AI16">flatInterpolation($AG16,$S$4:$S$9,AH$5:AH$10)</f>
        <v>7.4999999999999997E-3</v>
      </c>
      <c r="AJ16" s="26">
        <f t="shared" ref="AJ16" si="117">EXP(-AI16*YearFraction)*AJ15</f>
        <v>0.97775113941821756</v>
      </c>
      <c r="AK16" s="122">
        <f t="shared" si="5"/>
        <v>1.8350031642770936E-3</v>
      </c>
      <c r="AL16" s="116"/>
      <c r="AM16" s="18" cm="1">
        <f t="array" ref="AM16">flatInterpolation($AG16,$S$4:$S$9,AL$5:AL$10)</f>
        <v>7.4999999999999997E-3</v>
      </c>
      <c r="AN16" s="26">
        <f t="shared" ref="AN16" si="118">EXP(-AM16*YearFraction)*AN15</f>
        <v>0.97775113941821779</v>
      </c>
      <c r="AO16" s="122">
        <f t="shared" si="7"/>
        <v>1.8350031642770936E-3</v>
      </c>
      <c r="AP16" s="116"/>
      <c r="AQ16" s="18" cm="1">
        <f t="array" ref="AQ16">flatInterpolation($AG16,$S$4:$S$9,AP$5:AP$10)</f>
        <v>7.5001E-3</v>
      </c>
      <c r="AR16" s="26">
        <f t="shared" ref="AR16" si="119">EXP(-AQ16*YearFraction)*AR15</f>
        <v>0.97775113941821779</v>
      </c>
      <c r="AS16" s="122">
        <f t="shared" si="9"/>
        <v>1.835027653930954E-3</v>
      </c>
      <c r="AT16" s="116"/>
      <c r="AU16" s="18" cm="1">
        <f t="array" ref="AU16">flatInterpolation($AG16,$S$4:$S$9,AT$5:AT$10)</f>
        <v>7.4999999999999997E-3</v>
      </c>
      <c r="AV16" s="26">
        <f t="shared" ref="AV16" si="120">EXP(-AU16*YearFraction)*AV15</f>
        <v>0.97775123719333656</v>
      </c>
      <c r="AW16" s="122">
        <f t="shared" si="11"/>
        <v>1.8350033477774197E-3</v>
      </c>
      <c r="AX16" s="116"/>
      <c r="AY16" s="18" cm="1">
        <f t="array" ref="AY16">flatInterpolation($AG16,$S$4:$S$9,AX$5:AX$10)</f>
        <v>7.4999999999999997E-3</v>
      </c>
      <c r="AZ16" s="26">
        <f t="shared" ref="AZ16" si="121">EXP(-AY16*YearFraction)*AZ15</f>
        <v>0.97775123719333656</v>
      </c>
      <c r="BA16" s="122">
        <f t="shared" si="13"/>
        <v>1.8350033477774197E-3</v>
      </c>
      <c r="BB16" s="116"/>
      <c r="BC16" s="18" cm="1">
        <f t="array" ref="BC16">flatInterpolation($AG16,$S$4:$S$9,BB$5:BB$10)</f>
        <v>7.4999999999999997E-3</v>
      </c>
      <c r="BD16" s="26">
        <f t="shared" ref="BD16" si="122">EXP(-BC16*YearFraction)*BD15</f>
        <v>0.97775123719333656</v>
      </c>
      <c r="BE16" s="122">
        <f t="shared" si="15"/>
        <v>1.8350033477774197E-3</v>
      </c>
    </row>
    <row r="17" spans="3:57" x14ac:dyDescent="0.3">
      <c r="C17" t="s">
        <v>153</v>
      </c>
      <c r="K17" s="34" t="s">
        <v>14</v>
      </c>
      <c r="L17" s="18">
        <f t="shared" si="88"/>
        <v>4.4999999999999997E-3</v>
      </c>
      <c r="M17" s="2">
        <f t="shared" ref="M17" si="123">-Notional*L17*YearFraction</f>
        <v>-1125</v>
      </c>
      <c r="N17" s="28">
        <f>M17*SUMPRODUCT(PSurvival4Y,DiscFactors4Y)</f>
        <v>-16184.131581646025</v>
      </c>
      <c r="O17" s="4">
        <f>M17*0.5*SUMPRODUCT(PDefault4Y,DiscFactors4Y)</f>
        <v>-15.186856586568821</v>
      </c>
      <c r="P17" s="4">
        <f>LGD*SUMPRODUCT(PDefault4Y,DiscFactors4Y)</f>
        <v>16199.313692340076</v>
      </c>
      <c r="Q17" s="5">
        <f t="shared" si="90"/>
        <v>-4.7458925164391985E-3</v>
      </c>
      <c r="S17" s="3">
        <f>Notional*YearFraction*(SUMPRODUCT(PSurvival4Y,DiscFactors4Y)+0.5*SUMPRODUCT(PDefault4Y,DiscFactors4Y))</f>
        <v>3599848.541829465</v>
      </c>
      <c r="T17" s="81">
        <f t="shared" si="91"/>
        <v>44.999986816410576</v>
      </c>
      <c r="U17" s="18">
        <f t="shared" si="92"/>
        <v>4.4999986816410577E-3</v>
      </c>
      <c r="V17" s="18">
        <f t="shared" si="93"/>
        <v>-1.3183589419804576E-9</v>
      </c>
      <c r="W17" s="17"/>
      <c r="X17" s="24">
        <f t="shared" ref="X17" si="124">X16+YearFraction</f>
        <v>3.25</v>
      </c>
      <c r="Y17" s="25" cm="1">
        <f t="array" ref="Y17">flatInterpolation(X17,$S$4:$S$9,$T$4:$T$9)</f>
        <v>7.4999999999999997E-3</v>
      </c>
      <c r="Z17" s="26">
        <f t="shared" ref="Z17" si="125">EXP(-Y17*YearFraction)*Z16</f>
        <v>0.9759196712532594</v>
      </c>
      <c r="AA17" s="26">
        <f t="shared" si="3"/>
        <v>1.8315659400771622E-3</v>
      </c>
      <c r="AB17" s="27" cm="1">
        <f t="array" ref="AB17">cubicInterpolation(CurveResults.Times,CurveResults.DFs,$X17)</f>
        <v>0.87078171535403615</v>
      </c>
      <c r="AG17" s="24">
        <f t="shared" ref="AG17" si="126">AG16+YearFraction</f>
        <v>3.25</v>
      </c>
      <c r="AI17" s="18" cm="1">
        <f t="array" ref="AI17">flatInterpolation($AG17,$S$4:$S$9,AH$5:AH$10)</f>
        <v>7.4999999999999997E-3</v>
      </c>
      <c r="AJ17" s="26">
        <f t="shared" ref="AJ17" si="127">EXP(-AI17*YearFraction)*AJ16</f>
        <v>0.975919573661297</v>
      </c>
      <c r="AK17" s="122">
        <f t="shared" si="5"/>
        <v>1.8315657569205612E-3</v>
      </c>
      <c r="AL17" s="116"/>
      <c r="AM17" s="18" cm="1">
        <f t="array" ref="AM17">flatInterpolation($AG17,$S$4:$S$9,AL$5:AL$10)</f>
        <v>7.4999999999999997E-3</v>
      </c>
      <c r="AN17" s="26">
        <f t="shared" ref="AN17" si="128">EXP(-AM17*YearFraction)*AN16</f>
        <v>0.97591957366129722</v>
      </c>
      <c r="AO17" s="122">
        <f t="shared" si="7"/>
        <v>1.8315657569205612E-3</v>
      </c>
      <c r="AP17" s="116"/>
      <c r="AQ17" s="18" cm="1">
        <f t="array" ref="AQ17">flatInterpolation($AG17,$S$4:$S$9,AP$5:AP$10)</f>
        <v>7.4999999999999997E-3</v>
      </c>
      <c r="AR17" s="26">
        <f t="shared" ref="AR17" si="129">EXP(-AQ17*YearFraction)*AR16</f>
        <v>0.97591957366129722</v>
      </c>
      <c r="AS17" s="122">
        <f t="shared" si="9"/>
        <v>1.8315657569205612E-3</v>
      </c>
      <c r="AT17" s="116"/>
      <c r="AU17" s="18" cm="1">
        <f t="array" ref="AU17">flatInterpolation($AG17,$S$4:$S$9,AT$5:AT$10)</f>
        <v>7.5001E-3</v>
      </c>
      <c r="AV17" s="26">
        <f t="shared" ref="AV17" si="130">EXP(-AU17*YearFraction)*AV16</f>
        <v>0.975919646855268</v>
      </c>
      <c r="AW17" s="122">
        <f t="shared" si="11"/>
        <v>1.8315903380685672E-3</v>
      </c>
      <c r="AX17" s="116"/>
      <c r="AY17" s="18" cm="1">
        <f t="array" ref="AY17">flatInterpolation($AG17,$S$4:$S$9,AX$5:AX$10)</f>
        <v>7.4999999999999997E-3</v>
      </c>
      <c r="AZ17" s="26">
        <f t="shared" ref="AZ17" si="131">EXP(-AY17*YearFraction)*AZ16</f>
        <v>0.9759196712532594</v>
      </c>
      <c r="BA17" s="122">
        <f t="shared" si="13"/>
        <v>1.8315659400771622E-3</v>
      </c>
      <c r="BB17" s="116"/>
      <c r="BC17" s="18" cm="1">
        <f t="array" ref="BC17">flatInterpolation($AG17,$S$4:$S$9,BB$5:BB$10)</f>
        <v>7.4999999999999997E-3</v>
      </c>
      <c r="BD17" s="26">
        <f t="shared" ref="BD17" si="132">EXP(-BC17*YearFraction)*BD16</f>
        <v>0.9759196712532594</v>
      </c>
      <c r="BE17" s="122">
        <f t="shared" si="15"/>
        <v>1.8315659400771622E-3</v>
      </c>
    </row>
    <row r="18" spans="3:57" x14ac:dyDescent="0.3">
      <c r="C18" t="s">
        <v>154</v>
      </c>
      <c r="K18" s="34" t="s">
        <v>15</v>
      </c>
      <c r="L18" s="18">
        <f t="shared" si="88"/>
        <v>4.4999999999999997E-3</v>
      </c>
      <c r="M18" s="2">
        <f t="shared" ref="M18" si="133">-Notional*L18*YearFraction</f>
        <v>-1125</v>
      </c>
      <c r="N18" s="28">
        <f>M18*SUMPRODUCT(PSurvival5Y,DiscFactors5Y)</f>
        <v>-19776.808866754083</v>
      </c>
      <c r="O18" s="4">
        <f>M18*0.5*SUMPRODUCT(PDefault5Y,DiscFactors5Y)</f>
        <v>-18.558151142319716</v>
      </c>
      <c r="P18" s="4">
        <f>LGD*SUMPRODUCT(PDefault5Y,DiscFactors5Y)</f>
        <v>19795.361218474362</v>
      </c>
      <c r="Q18" s="5">
        <f t="shared" si="90"/>
        <v>-5.7994220405817032E-3</v>
      </c>
      <c r="S18" s="3">
        <f>Notional*YearFraction*(SUMPRODUCT(PSurvival5Y,DiscFactors5Y)+0.5*SUMPRODUCT(PDefault5Y,DiscFactors5Y))</f>
        <v>4398970.4484214233</v>
      </c>
      <c r="T18" s="81">
        <f t="shared" si="91"/>
        <v>44.999986816410541</v>
      </c>
      <c r="U18" s="18">
        <f t="shared" si="92"/>
        <v>4.4999986816410542E-3</v>
      </c>
      <c r="V18" s="18">
        <f t="shared" si="93"/>
        <v>-1.3183589454499045E-9</v>
      </c>
      <c r="W18" s="17"/>
      <c r="X18" s="24">
        <f t="shared" ref="X18" si="134">X17+YearFraction</f>
        <v>3.5</v>
      </c>
      <c r="Y18" s="25" cm="1">
        <f t="array" ref="Y18">flatInterpolation(X18,$S$4:$S$9,$T$4:$T$9)</f>
        <v>7.4999999999999997E-3</v>
      </c>
      <c r="Z18" s="26">
        <f t="shared" ref="Z18" si="135">EXP(-Y18*YearFraction)*Z17</f>
        <v>0.97409153628178169</v>
      </c>
      <c r="AA18" s="26">
        <f t="shared" si="3"/>
        <v>1.8281349714777129E-3</v>
      </c>
      <c r="AB18" s="27" cm="1">
        <f t="array" ref="AB18">cubicInterpolation(CurveResults.Times,CurveResults.DFs,$X18)</f>
        <v>0.86243967475051753</v>
      </c>
      <c r="AG18" s="24">
        <f t="shared" ref="AG18" si="136">AG17+YearFraction</f>
        <v>3.5</v>
      </c>
      <c r="AI18" s="18" cm="1">
        <f t="array" ref="AI18">flatInterpolation($AG18,$S$4:$S$9,AH$5:AH$10)</f>
        <v>7.4999999999999997E-3</v>
      </c>
      <c r="AJ18" s="26">
        <f t="shared" ref="AJ18" si="137">EXP(-AI18*YearFraction)*AJ17</f>
        <v>0.97409143887263283</v>
      </c>
      <c r="AK18" s="122">
        <f t="shared" si="5"/>
        <v>1.8281347886641708E-3</v>
      </c>
      <c r="AL18" s="116"/>
      <c r="AM18" s="18" cm="1">
        <f t="array" ref="AM18">flatInterpolation($AG18,$S$4:$S$9,AL$5:AL$10)</f>
        <v>7.4999999999999997E-3</v>
      </c>
      <c r="AN18" s="26">
        <f t="shared" ref="AN18" si="138">EXP(-AM18*YearFraction)*AN17</f>
        <v>0.97409143887263305</v>
      </c>
      <c r="AO18" s="122">
        <f t="shared" si="7"/>
        <v>1.8281347886641708E-3</v>
      </c>
      <c r="AP18" s="116"/>
      <c r="AQ18" s="18" cm="1">
        <f t="array" ref="AQ18">flatInterpolation($AG18,$S$4:$S$9,AP$5:AP$10)</f>
        <v>7.4999999999999997E-3</v>
      </c>
      <c r="AR18" s="26">
        <f t="shared" ref="AR18" si="139">EXP(-AQ18*YearFraction)*AR17</f>
        <v>0.97409143887263305</v>
      </c>
      <c r="AS18" s="122">
        <f t="shared" si="9"/>
        <v>1.8281347886641708E-3</v>
      </c>
      <c r="AT18" s="116"/>
      <c r="AU18" s="18" cm="1">
        <f t="array" ref="AU18">flatInterpolation($AG18,$S$4:$S$9,AT$5:AT$10)</f>
        <v>7.5001E-3</v>
      </c>
      <c r="AV18" s="26">
        <f t="shared" ref="AV18" si="140">EXP(-AU18*YearFraction)*AV17</f>
        <v>0.97409148757720609</v>
      </c>
      <c r="AW18" s="122">
        <f t="shared" si="11"/>
        <v>1.8281592780619027E-3</v>
      </c>
      <c r="AX18" s="116"/>
      <c r="AY18" s="18" cm="1">
        <f t="array" ref="AY18">flatInterpolation($AG18,$S$4:$S$9,AX$5:AX$10)</f>
        <v>7.4999999999999997E-3</v>
      </c>
      <c r="AZ18" s="26">
        <f t="shared" ref="AZ18" si="141">EXP(-AY18*YearFraction)*AZ17</f>
        <v>0.97409153628178169</v>
      </c>
      <c r="BA18" s="122">
        <f t="shared" si="13"/>
        <v>1.8281349714777129E-3</v>
      </c>
      <c r="BB18" s="116"/>
      <c r="BC18" s="18" cm="1">
        <f t="array" ref="BC18">flatInterpolation($AG18,$S$4:$S$9,BB$5:BB$10)</f>
        <v>7.4999999999999997E-3</v>
      </c>
      <c r="BD18" s="26">
        <f t="shared" ref="BD18" si="142">EXP(-BC18*YearFraction)*BD17</f>
        <v>0.97409153628178169</v>
      </c>
      <c r="BE18" s="122">
        <f t="shared" si="15"/>
        <v>1.8281349714777129E-3</v>
      </c>
    </row>
    <row r="19" spans="3:57" x14ac:dyDescent="0.3">
      <c r="C19" t="s">
        <v>330</v>
      </c>
      <c r="K19" s="35" t="s">
        <v>16</v>
      </c>
      <c r="L19" s="36">
        <f t="shared" si="88"/>
        <v>4.4999999999999997E-3</v>
      </c>
      <c r="M19" s="37">
        <f t="shared" ref="M19" si="143">-Notional*L19*YearFraction</f>
        <v>-1125</v>
      </c>
      <c r="N19" s="38">
        <f>M19*SUMPRODUCT(PSurvival10Y,DiscFactors10Y)</f>
        <v>-35510.257789943287</v>
      </c>
      <c r="O19" s="7">
        <f>M19*0.5*SUMPRODUCT(PDefault10Y,DiscFactors10Y)</f>
        <v>-33.322096381096507</v>
      </c>
      <c r="P19" s="7">
        <f>LGD*SUMPRODUCT(PDefault10Y,DiscFactors10Y)</f>
        <v>35543.569473169613</v>
      </c>
      <c r="Q19" s="8">
        <f t="shared" si="90"/>
        <v>-1.0413154770503752E-2</v>
      </c>
      <c r="S19" s="6">
        <f>Notional*YearFraction*(SUMPRODUCT(PSurvival10Y,DiscFactors10Y)+0.5*SUMPRODUCT(PDefault10Y,DiscFactors10Y))</f>
        <v>7898573.3080720846</v>
      </c>
      <c r="T19" s="82">
        <f t="shared" si="91"/>
        <v>44.999986816410562</v>
      </c>
      <c r="U19" s="18">
        <f t="shared" si="92"/>
        <v>4.4999986816410559E-3</v>
      </c>
      <c r="V19" s="18">
        <f t="shared" si="93"/>
        <v>-1.318358943715181E-9</v>
      </c>
      <c r="W19" s="17"/>
      <c r="X19" s="24">
        <f t="shared" ref="X19" si="144">X18+YearFraction</f>
        <v>3.75</v>
      </c>
      <c r="Y19" s="25" cm="1">
        <f t="array" ref="Y19">flatInterpolation(X19,$S$4:$S$9,$T$4:$T$9)</f>
        <v>7.4999999999999997E-3</v>
      </c>
      <c r="Z19" s="26">
        <f t="shared" ref="Z19" si="145">EXP(-Y19*YearFraction)*Z18</f>
        <v>0.97226682585186452</v>
      </c>
      <c r="AA19" s="26">
        <f t="shared" si="3"/>
        <v>1.8247104299171646E-3</v>
      </c>
      <c r="AB19" s="27" cm="1">
        <f t="array" ref="AB19">cubicInterpolation(CurveResults.Times,CurveResults.DFs,$X19)</f>
        <v>0.85424590030706427</v>
      </c>
      <c r="AG19" s="24">
        <f t="shared" ref="AG19" si="146">AG18+YearFraction</f>
        <v>3.75</v>
      </c>
      <c r="AI19" s="18" cm="1">
        <f t="array" ref="AI19">flatInterpolation($AG19,$S$4:$S$9,AH$5:AH$10)</f>
        <v>7.4999999999999997E-3</v>
      </c>
      <c r="AJ19" s="26">
        <f t="shared" ref="AJ19" si="147">EXP(-AI19*YearFraction)*AJ18</f>
        <v>0.9722667286251867</v>
      </c>
      <c r="AK19" s="122">
        <f t="shared" si="5"/>
        <v>1.8247102474461263E-3</v>
      </c>
      <c r="AL19" s="116"/>
      <c r="AM19" s="18" cm="1">
        <f t="array" ref="AM19">flatInterpolation($AG19,$S$4:$S$9,AL$5:AL$10)</f>
        <v>7.4999999999999997E-3</v>
      </c>
      <c r="AN19" s="26">
        <f t="shared" ref="AN19" si="148">EXP(-AM19*YearFraction)*AN18</f>
        <v>0.97226672862518693</v>
      </c>
      <c r="AO19" s="122">
        <f t="shared" si="7"/>
        <v>1.8247102474461263E-3</v>
      </c>
      <c r="AP19" s="116"/>
      <c r="AQ19" s="18" cm="1">
        <f t="array" ref="AQ19">flatInterpolation($AG19,$S$4:$S$9,AP$5:AP$10)</f>
        <v>7.4999999999999997E-3</v>
      </c>
      <c r="AR19" s="26">
        <f t="shared" ref="AR19" si="149">EXP(-AQ19*YearFraction)*AR18</f>
        <v>0.97226672862518693</v>
      </c>
      <c r="AS19" s="122">
        <f t="shared" si="9"/>
        <v>1.8247102474461263E-3</v>
      </c>
      <c r="AT19" s="116"/>
      <c r="AU19" s="18" cm="1">
        <f t="array" ref="AU19">flatInterpolation($AG19,$S$4:$S$9,AT$5:AT$10)</f>
        <v>7.5001E-3</v>
      </c>
      <c r="AV19" s="26">
        <f t="shared" ref="AV19" si="150">EXP(-AU19*YearFraction)*AV18</f>
        <v>0.97226675293185527</v>
      </c>
      <c r="AW19" s="122">
        <f t="shared" si="11"/>
        <v>1.8247346453508229E-3</v>
      </c>
      <c r="AX19" s="116"/>
      <c r="AY19" s="18" cm="1">
        <f t="array" ref="AY19">flatInterpolation($AG19,$S$4:$S$9,AX$5:AX$10)</f>
        <v>7.4999999999999997E-3</v>
      </c>
      <c r="AZ19" s="26">
        <f t="shared" ref="AZ19" si="151">EXP(-AY19*YearFraction)*AZ18</f>
        <v>0.97226682585186452</v>
      </c>
      <c r="BA19" s="122">
        <f t="shared" si="13"/>
        <v>1.8247104299171646E-3</v>
      </c>
      <c r="BB19" s="116"/>
      <c r="BC19" s="18" cm="1">
        <f t="array" ref="BC19">flatInterpolation($AG19,$S$4:$S$9,BB$5:BB$10)</f>
        <v>7.4999999999999997E-3</v>
      </c>
      <c r="BD19" s="26">
        <f t="shared" ref="BD19" si="152">EXP(-BC19*YearFraction)*BD18</f>
        <v>0.97226682585186452</v>
      </c>
      <c r="BE19" s="122">
        <f t="shared" si="15"/>
        <v>1.8247104299171646E-3</v>
      </c>
    </row>
    <row r="20" spans="3:57" x14ac:dyDescent="0.3">
      <c r="C20" t="s">
        <v>331</v>
      </c>
      <c r="X20" s="24">
        <f t="shared" ref="X20" si="153">X19+YearFraction</f>
        <v>4</v>
      </c>
      <c r="Y20" s="25" cm="1">
        <f t="array" ref="Y20">flatInterpolation(X20,$S$4:$S$9,$T$4:$T$9)</f>
        <v>7.4999999999999997E-3</v>
      </c>
      <c r="Z20" s="26">
        <f t="shared" ref="Z20" si="154">EXP(-Y20*YearFraction)*Z19</f>
        <v>0.97044553354850838</v>
      </c>
      <c r="AA20" s="26">
        <f t="shared" si="3"/>
        <v>1.8212923033561479E-3</v>
      </c>
      <c r="AB20" s="27" cm="1">
        <f t="array" ref="AB20">cubicInterpolation(CurveResults.Times,CurveResults.DFs,$X20)</f>
        <v>0.84616093081343713</v>
      </c>
      <c r="AG20" s="24">
        <f t="shared" ref="AG20" si="155">AG19+YearFraction</f>
        <v>4</v>
      </c>
      <c r="AI20" s="18" cm="1">
        <f t="array" ref="AI20">flatInterpolation($AG20,$S$4:$S$9,AH$5:AH$10)</f>
        <v>7.4999999999999997E-3</v>
      </c>
      <c r="AJ20" s="26">
        <f t="shared" ref="AJ20" si="156">EXP(-AI20*YearFraction)*AJ19</f>
        <v>0.97044543650395976</v>
      </c>
      <c r="AK20" s="122">
        <f t="shared" si="5"/>
        <v>1.8212921212269473E-3</v>
      </c>
      <c r="AL20" s="116"/>
      <c r="AM20" s="18" cm="1">
        <f t="array" ref="AM20">flatInterpolation($AG20,$S$4:$S$9,AL$5:AL$10)</f>
        <v>7.4999999999999997E-3</v>
      </c>
      <c r="AN20" s="26">
        <f t="shared" ref="AN20" si="157">EXP(-AM20*YearFraction)*AN19</f>
        <v>0.97044543650395998</v>
      </c>
      <c r="AO20" s="122">
        <f t="shared" si="7"/>
        <v>1.8212921212269473E-3</v>
      </c>
      <c r="AP20" s="116"/>
      <c r="AQ20" s="18" cm="1">
        <f t="array" ref="AQ20">flatInterpolation($AG20,$S$4:$S$9,AP$5:AP$10)</f>
        <v>7.4999999999999997E-3</v>
      </c>
      <c r="AR20" s="26">
        <f t="shared" ref="AR20" si="158">EXP(-AQ20*YearFraction)*AR19</f>
        <v>0.97044543650395998</v>
      </c>
      <c r="AS20" s="122">
        <f t="shared" si="9"/>
        <v>1.8212921212269473E-3</v>
      </c>
      <c r="AT20" s="116"/>
      <c r="AU20" s="18" cm="1">
        <f t="array" ref="AU20">flatInterpolation($AG20,$S$4:$S$9,AT$5:AT$10)</f>
        <v>7.5001E-3</v>
      </c>
      <c r="AV20" s="26">
        <f t="shared" ref="AV20" si="159">EXP(-AU20*YearFraction)*AV19</f>
        <v>0.97044543650395976</v>
      </c>
      <c r="AW20" s="122">
        <f t="shared" si="11"/>
        <v>1.8213164278955141E-3</v>
      </c>
      <c r="AX20" s="116"/>
      <c r="AY20" s="18" cm="1">
        <f t="array" ref="AY20">flatInterpolation($AG20,$S$4:$S$9,AX$5:AX$10)</f>
        <v>7.4999999999999997E-3</v>
      </c>
      <c r="AZ20" s="26">
        <f t="shared" ref="AZ20" si="160">EXP(-AY20*YearFraction)*AZ19</f>
        <v>0.97044553354850838</v>
      </c>
      <c r="BA20" s="122">
        <f t="shared" si="13"/>
        <v>1.8212923033561479E-3</v>
      </c>
      <c r="BB20" s="116"/>
      <c r="BC20" s="18" cm="1">
        <f t="array" ref="BC20">flatInterpolation($AG20,$S$4:$S$9,BB$5:BB$10)</f>
        <v>7.4999999999999997E-3</v>
      </c>
      <c r="BD20" s="26">
        <f t="shared" ref="BD20" si="161">EXP(-BC20*YearFraction)*BD19</f>
        <v>0.97044553354850838</v>
      </c>
      <c r="BE20" s="122">
        <f t="shared" si="15"/>
        <v>1.8212923033561479E-3</v>
      </c>
    </row>
    <row r="21" spans="3:57" x14ac:dyDescent="0.3">
      <c r="X21" s="24">
        <f t="shared" ref="X21" si="162">X20+YearFraction</f>
        <v>4.25</v>
      </c>
      <c r="Y21" s="25" cm="1">
        <f t="array" ref="Y21">flatInterpolation(X21,$S$4:$S$9,$T$4:$T$9)</f>
        <v>7.4999999999999997E-3</v>
      </c>
      <c r="Z21" s="26">
        <f t="shared" ref="Z21" si="163">EXP(-Y21*YearFraction)*Z20</f>
        <v>0.96862765296873066</v>
      </c>
      <c r="AA21" s="26">
        <f t="shared" si="3"/>
        <v>1.8178805797777198E-3</v>
      </c>
      <c r="AB21" s="27" cm="1">
        <f t="array" ref="AB21">cubicInterpolation(CurveResults.Times,CurveResults.DFs,$X21)</f>
        <v>0.83819214507342643</v>
      </c>
      <c r="AG21" s="24">
        <f t="shared" ref="AG21" si="164">AG20+YearFraction</f>
        <v>4.25</v>
      </c>
      <c r="AI21" s="18" cm="1">
        <f t="array" ref="AI21">flatInterpolation($AG21,$S$4:$S$9,AH$5:AH$10)</f>
        <v>7.4999999999999997E-3</v>
      </c>
      <c r="AJ21" s="26">
        <f t="shared" ref="AJ21" si="165">EXP(-AI21*YearFraction)*AJ20</f>
        <v>0.96862755610597007</v>
      </c>
      <c r="AK21" s="122">
        <f t="shared" si="5"/>
        <v>1.8178803979896907E-3</v>
      </c>
      <c r="AL21" s="116"/>
      <c r="AM21" s="18" cm="1">
        <f t="array" ref="AM21">flatInterpolation($AG21,$S$4:$S$9,AL$5:AL$10)</f>
        <v>7.4999999999999997E-3</v>
      </c>
      <c r="AN21" s="26">
        <f t="shared" ref="AN21" si="166">EXP(-AM21*YearFraction)*AN20</f>
        <v>0.96862755610597029</v>
      </c>
      <c r="AO21" s="122">
        <f t="shared" si="7"/>
        <v>1.8178803979896907E-3</v>
      </c>
      <c r="AP21" s="116"/>
      <c r="AQ21" s="18" cm="1">
        <f t="array" ref="AQ21">flatInterpolation($AG21,$S$4:$S$9,AP$5:AP$10)</f>
        <v>7.4999999999999997E-3</v>
      </c>
      <c r="AR21" s="26">
        <f t="shared" ref="AR21" si="167">EXP(-AQ21*YearFraction)*AR20</f>
        <v>0.96862755610597029</v>
      </c>
      <c r="AS21" s="122">
        <f t="shared" si="9"/>
        <v>1.8178803979896907E-3</v>
      </c>
      <c r="AT21" s="116"/>
      <c r="AU21" s="18" cm="1">
        <f t="array" ref="AU21">flatInterpolation($AG21,$S$4:$S$9,AT$5:AT$10)</f>
        <v>7.4999999999999997E-3</v>
      </c>
      <c r="AV21" s="26">
        <f t="shared" ref="AV21" si="168">EXP(-AU21*YearFraction)*AV20</f>
        <v>0.96862755610597007</v>
      </c>
      <c r="AW21" s="122">
        <f t="shared" si="11"/>
        <v>1.8178803979896907E-3</v>
      </c>
      <c r="AX21" s="116"/>
      <c r="AY21" s="18" cm="1">
        <f t="array" ref="AY21">flatInterpolation($AG21,$S$4:$S$9,AX$5:AX$10)</f>
        <v>7.5001E-3</v>
      </c>
      <c r="AZ21" s="26">
        <f t="shared" ref="AZ21" si="169">EXP(-AY21*YearFraction)*AZ20</f>
        <v>0.96862762875303965</v>
      </c>
      <c r="BA21" s="122">
        <f t="shared" si="13"/>
        <v>1.8179047954687277E-3</v>
      </c>
      <c r="BB21" s="116"/>
      <c r="BC21" s="18" cm="1">
        <f t="array" ref="BC21">flatInterpolation($AG21,$S$4:$S$9,BB$5:BB$10)</f>
        <v>7.4999999999999997E-3</v>
      </c>
      <c r="BD21" s="26">
        <f t="shared" ref="BD21" si="170">EXP(-BC21*YearFraction)*BD20</f>
        <v>0.96862765296873066</v>
      </c>
      <c r="BE21" s="122">
        <f t="shared" si="15"/>
        <v>1.8178805797777198E-3</v>
      </c>
    </row>
    <row r="22" spans="3:57" x14ac:dyDescent="0.3">
      <c r="K22" s="1" t="s">
        <v>157</v>
      </c>
      <c r="M22" s="1"/>
      <c r="N22" s="1"/>
      <c r="O22" s="56" t="s">
        <v>145</v>
      </c>
      <c r="Q22" s="2" t="s">
        <v>43</v>
      </c>
      <c r="S22" s="1" t="s">
        <v>155</v>
      </c>
      <c r="X22" s="24">
        <f t="shared" ref="X22" si="171">X21+YearFraction</f>
        <v>4.5</v>
      </c>
      <c r="Y22" s="25" cm="1">
        <f t="array" ref="Y22">flatInterpolation(X22,$S$4:$S$9,$T$4:$T$9)</f>
        <v>7.4999999999999997E-3</v>
      </c>
      <c r="Z22" s="26">
        <f t="shared" ref="Z22" si="172">EXP(-Y22*YearFraction)*Z21</f>
        <v>0.96681317772154307</v>
      </c>
      <c r="AA22" s="26">
        <f t="shared" si="3"/>
        <v>1.8144752471875858E-3</v>
      </c>
      <c r="AB22" s="27" cm="1">
        <f t="array" ref="AB22">cubicInterpolation(CurveResults.Times,CurveResults.DFs,$X22)</f>
        <v>0.8303546218014306</v>
      </c>
      <c r="AG22" s="24">
        <f t="shared" ref="AG22" si="173">AG21+YearFraction</f>
        <v>4.5</v>
      </c>
      <c r="AI22" s="18" cm="1">
        <f t="array" ref="AI22">flatInterpolation($AG22,$S$4:$S$9,AH$5:AH$10)</f>
        <v>7.4999999999999997E-3</v>
      </c>
      <c r="AJ22" s="26">
        <f t="shared" ref="AJ22" si="174">EXP(-AI22*YearFraction)*AJ21</f>
        <v>0.96681308104023</v>
      </c>
      <c r="AK22" s="122">
        <f t="shared" si="5"/>
        <v>1.8144750657400621E-3</v>
      </c>
      <c r="AL22" s="116"/>
      <c r="AM22" s="18" cm="1">
        <f t="array" ref="AM22">flatInterpolation($AG22,$S$4:$S$9,AL$5:AL$10)</f>
        <v>7.4999999999999997E-3</v>
      </c>
      <c r="AN22" s="26">
        <f t="shared" ref="AN22" si="175">EXP(-AM22*YearFraction)*AN21</f>
        <v>0.96681308104023023</v>
      </c>
      <c r="AO22" s="122">
        <f t="shared" si="7"/>
        <v>1.8144750657400621E-3</v>
      </c>
      <c r="AP22" s="116"/>
      <c r="AQ22" s="18" cm="1">
        <f t="array" ref="AQ22">flatInterpolation($AG22,$S$4:$S$9,AP$5:AP$10)</f>
        <v>7.4999999999999997E-3</v>
      </c>
      <c r="AR22" s="26">
        <f t="shared" ref="AR22" si="176">EXP(-AQ22*YearFraction)*AR21</f>
        <v>0.96681308104023023</v>
      </c>
      <c r="AS22" s="122">
        <f t="shared" si="9"/>
        <v>1.8144750657400621E-3</v>
      </c>
      <c r="AT22" s="116"/>
      <c r="AU22" s="18" cm="1">
        <f t="array" ref="AU22">flatInterpolation($AG22,$S$4:$S$9,AT$5:AT$10)</f>
        <v>7.4999999999999997E-3</v>
      </c>
      <c r="AV22" s="26">
        <f t="shared" ref="AV22" si="177">EXP(-AU22*YearFraction)*AV21</f>
        <v>0.96681308104023</v>
      </c>
      <c r="AW22" s="122">
        <f t="shared" si="11"/>
        <v>1.8144750657400621E-3</v>
      </c>
      <c r="AX22" s="116"/>
      <c r="AY22" s="18" cm="1">
        <f t="array" ref="AY22">flatInterpolation($AG22,$S$4:$S$9,AX$5:AX$10)</f>
        <v>7.5001E-3</v>
      </c>
      <c r="AZ22" s="26">
        <f t="shared" ref="AZ22" si="178">EXP(-AY22*YearFraction)*AZ21</f>
        <v>0.96681312938088537</v>
      </c>
      <c r="BA22" s="122">
        <f t="shared" si="13"/>
        <v>1.8144993721542768E-3</v>
      </c>
      <c r="BB22" s="116"/>
      <c r="BC22" s="18" cm="1">
        <f t="array" ref="BC22">flatInterpolation($AG22,$S$4:$S$9,BB$5:BB$10)</f>
        <v>7.4999999999999997E-3</v>
      </c>
      <c r="BD22" s="26">
        <f t="shared" ref="BD22" si="179">EXP(-BC22*YearFraction)*BD21</f>
        <v>0.96681317772154307</v>
      </c>
      <c r="BE22" s="122">
        <f t="shared" si="15"/>
        <v>1.8144752471875858E-3</v>
      </c>
    </row>
    <row r="23" spans="3:57" ht="16.8" x14ac:dyDescent="0.35">
      <c r="K23" t="s">
        <v>44</v>
      </c>
      <c r="N23" s="1"/>
      <c r="O23" s="57">
        <v>1E-8</v>
      </c>
      <c r="Q23" s="58">
        <f>SQRT(SUMPRODUCT(Q27:Q32,Q27:Q32))</f>
        <v>5.3821826748469217E-9</v>
      </c>
      <c r="S23" s="2" t="s">
        <v>156</v>
      </c>
      <c r="T23" s="2" t="s">
        <v>20</v>
      </c>
      <c r="X23" s="24">
        <f t="shared" ref="X23" si="180">X22+YearFraction</f>
        <v>4.75</v>
      </c>
      <c r="Y23" s="25" cm="1">
        <f t="array" ref="Y23">flatInterpolation(X23,$S$4:$S$9,$T$4:$T$9)</f>
        <v>7.4999999999999997E-3</v>
      </c>
      <c r="Z23" s="26">
        <f t="shared" ref="Z23" si="181">EXP(-Y23*YearFraction)*Z22</f>
        <v>0.96500210142792919</v>
      </c>
      <c r="AA23" s="26">
        <f t="shared" si="3"/>
        <v>1.811076293613878E-3</v>
      </c>
      <c r="AB23" s="27" cm="1">
        <f t="array" ref="AB23">cubicInterpolation(CurveResults.Times,CurveResults.DFs,$X23)</f>
        <v>0.82262044965312253</v>
      </c>
      <c r="AG23" s="24">
        <f t="shared" ref="AG23" si="182">AG22+YearFraction</f>
        <v>4.75</v>
      </c>
      <c r="AI23" s="18" cm="1">
        <f t="array" ref="AI23">flatInterpolation($AG23,$S$4:$S$9,AH$5:AH$10)</f>
        <v>7.4999999999999997E-3</v>
      </c>
      <c r="AJ23" s="26">
        <f t="shared" ref="AJ23" si="183">EXP(-AI23*YearFraction)*AJ22</f>
        <v>0.9650020049277237</v>
      </c>
      <c r="AK23" s="122">
        <f t="shared" si="5"/>
        <v>1.8110761125063046E-3</v>
      </c>
      <c r="AL23" s="116"/>
      <c r="AM23" s="18" cm="1">
        <f t="array" ref="AM23">flatInterpolation($AG23,$S$4:$S$9,AL$5:AL$10)</f>
        <v>7.4999999999999997E-3</v>
      </c>
      <c r="AN23" s="26">
        <f t="shared" ref="AN23" si="184">EXP(-AM23*YearFraction)*AN22</f>
        <v>0.96500200492772392</v>
      </c>
      <c r="AO23" s="122">
        <f t="shared" si="7"/>
        <v>1.8110761125063046E-3</v>
      </c>
      <c r="AP23" s="116"/>
      <c r="AQ23" s="18" cm="1">
        <f t="array" ref="AQ23">flatInterpolation($AG23,$S$4:$S$9,AP$5:AP$10)</f>
        <v>7.4999999999999997E-3</v>
      </c>
      <c r="AR23" s="26">
        <f t="shared" ref="AR23" si="185">EXP(-AQ23*YearFraction)*AR22</f>
        <v>0.96500200492772392</v>
      </c>
      <c r="AS23" s="122">
        <f t="shared" si="9"/>
        <v>1.8110761125063046E-3</v>
      </c>
      <c r="AT23" s="116"/>
      <c r="AU23" s="18" cm="1">
        <f t="array" ref="AU23">flatInterpolation($AG23,$S$4:$S$9,AT$5:AT$10)</f>
        <v>7.4999999999999997E-3</v>
      </c>
      <c r="AV23" s="26">
        <f t="shared" ref="AV23" si="186">EXP(-AU23*YearFraction)*AV22</f>
        <v>0.9650020049277237</v>
      </c>
      <c r="AW23" s="122">
        <f t="shared" si="11"/>
        <v>1.8110761125063046E-3</v>
      </c>
      <c r="AX23" s="116"/>
      <c r="AY23" s="18" cm="1">
        <f t="array" ref="AY23">flatInterpolation($AG23,$S$4:$S$9,AX$5:AX$10)</f>
        <v>7.5001E-3</v>
      </c>
      <c r="AZ23" s="26">
        <f t="shared" ref="AZ23" si="187">EXP(-AY23*YearFraction)*AZ22</f>
        <v>0.96500202905277421</v>
      </c>
      <c r="BA23" s="122">
        <f t="shared" si="13"/>
        <v>1.8111003281111593E-3</v>
      </c>
      <c r="BB23" s="116"/>
      <c r="BC23" s="18" cm="1">
        <f t="array" ref="BC23">flatInterpolation($AG23,$S$4:$S$9,BB$5:BB$10)</f>
        <v>7.4999999999999997E-3</v>
      </c>
      <c r="BD23" s="26">
        <f t="shared" ref="BD23" si="188">EXP(-BC23*YearFraction)*BD22</f>
        <v>0.96500210142792919</v>
      </c>
      <c r="BE23" s="122">
        <f t="shared" si="15"/>
        <v>1.811076293613878E-3</v>
      </c>
    </row>
    <row r="24" spans="3:57" x14ac:dyDescent="0.3">
      <c r="S24" s="17">
        <v>0</v>
      </c>
      <c r="T24" s="18" cm="1">
        <f t="array" ref="T24">flatInterpolation(S24,Calibration.Times,Calibration.HazardRates)</f>
        <v>7.4999999999999997E-3</v>
      </c>
      <c r="X24" s="24">
        <f t="shared" ref="X24" si="189">X23+YearFraction</f>
        <v>5</v>
      </c>
      <c r="Y24" s="25" cm="1">
        <f t="array" ref="Y24">flatInterpolation(X24,$S$4:$S$9,$T$4:$T$9)</f>
        <v>7.4999999999999997E-3</v>
      </c>
      <c r="Z24" s="26">
        <f t="shared" ref="Z24" si="190">EXP(-Y24*YearFraction)*Z23</f>
        <v>0.96319441772082204</v>
      </c>
      <c r="AA24" s="26">
        <f t="shared" si="3"/>
        <v>1.807683707107155E-3</v>
      </c>
      <c r="AB24" s="27" cm="1">
        <f t="array" ref="AB24">cubicInterpolation(CurveResults.Times,CurveResults.DFs,$X24)</f>
        <v>0.81496171728417521</v>
      </c>
      <c r="AG24" s="24">
        <f t="shared" ref="AG24" si="191">AG23+YearFraction</f>
        <v>5</v>
      </c>
      <c r="AI24" s="18" cm="1">
        <f t="array" ref="AI24">flatInterpolation($AG24,$S$4:$S$9,AH$5:AH$10)</f>
        <v>7.4999999999999997E-3</v>
      </c>
      <c r="AJ24" s="26">
        <f t="shared" ref="AJ24" si="192">EXP(-AI24*YearFraction)*AJ23</f>
        <v>0.96319432140138495</v>
      </c>
      <c r="AK24" s="122">
        <f t="shared" si="5"/>
        <v>1.8076835263387547E-3</v>
      </c>
      <c r="AL24" s="116"/>
      <c r="AM24" s="18" cm="1">
        <f t="array" ref="AM24">flatInterpolation($AG24,$S$4:$S$9,AL$5:AL$10)</f>
        <v>7.4999999999999997E-3</v>
      </c>
      <c r="AN24" s="26">
        <f t="shared" ref="AN24" si="193">EXP(-AM24*YearFraction)*AN23</f>
        <v>0.96319432140138517</v>
      </c>
      <c r="AO24" s="122">
        <f t="shared" si="7"/>
        <v>1.8076835263387547E-3</v>
      </c>
      <c r="AP24" s="116"/>
      <c r="AQ24" s="18" cm="1">
        <f t="array" ref="AQ24">flatInterpolation($AG24,$S$4:$S$9,AP$5:AP$10)</f>
        <v>7.4999999999999997E-3</v>
      </c>
      <c r="AR24" s="26">
        <f t="shared" ref="AR24" si="194">EXP(-AQ24*YearFraction)*AR23</f>
        <v>0.96319432140138517</v>
      </c>
      <c r="AS24" s="122">
        <f t="shared" si="9"/>
        <v>1.8076835263387547E-3</v>
      </c>
      <c r="AT24" s="116"/>
      <c r="AU24" s="18" cm="1">
        <f t="array" ref="AU24">flatInterpolation($AG24,$S$4:$S$9,AT$5:AT$10)</f>
        <v>7.4999999999999997E-3</v>
      </c>
      <c r="AV24" s="26">
        <f t="shared" ref="AV24" si="195">EXP(-AU24*YearFraction)*AV23</f>
        <v>0.96319432140138495</v>
      </c>
      <c r="AW24" s="122">
        <f t="shared" si="11"/>
        <v>1.8076835263387547E-3</v>
      </c>
      <c r="AX24" s="116"/>
      <c r="AY24" s="18" cm="1">
        <f t="array" ref="AY24">flatInterpolation($AG24,$S$4:$S$9,AX$5:AX$10)</f>
        <v>7.5001E-3</v>
      </c>
      <c r="AZ24" s="26">
        <f t="shared" ref="AZ24" si="196">EXP(-AY24*YearFraction)*AZ23</f>
        <v>0.96319432140138495</v>
      </c>
      <c r="BA24" s="122">
        <f t="shared" si="13"/>
        <v>1.8077076513892676E-3</v>
      </c>
      <c r="BB24" s="116"/>
      <c r="BC24" s="18" cm="1">
        <f t="array" ref="BC24">flatInterpolation($AG24,$S$4:$S$9,BB$5:BB$10)</f>
        <v>7.4999999999999997E-3</v>
      </c>
      <c r="BD24" s="26">
        <f t="shared" ref="BD24" si="197">EXP(-BC24*YearFraction)*BD23</f>
        <v>0.96319441772082204</v>
      </c>
      <c r="BE24" s="122">
        <f t="shared" si="15"/>
        <v>1.807683707107155E-3</v>
      </c>
    </row>
    <row r="25" spans="3:57" x14ac:dyDescent="0.3">
      <c r="K25" s="43" t="s">
        <v>338</v>
      </c>
      <c r="M25" s="1"/>
      <c r="O25" s="169" t="s">
        <v>146</v>
      </c>
      <c r="R25" s="2"/>
      <c r="S25" s="17">
        <v>1</v>
      </c>
      <c r="T25" s="18" cm="1">
        <f t="array" ref="T25">flatInterpolation(S25,Calibration.Times,Calibration.HazardRates)</f>
        <v>7.4999999999999997E-3</v>
      </c>
      <c r="X25" s="24">
        <f t="shared" ref="X25" si="198">X24+YearFraction</f>
        <v>5.25</v>
      </c>
      <c r="Y25" s="25" cm="1">
        <f t="array" ref="Y25">flatInterpolation(X25,$S$4:$S$9,$T$4:$T$9)</f>
        <v>7.4999999999999997E-3</v>
      </c>
      <c r="Z25" s="26">
        <f t="shared" ref="Z25" si="199">EXP(-Y25*YearFraction)*Z24</f>
        <v>0.96139012024508175</v>
      </c>
      <c r="AA25" s="26">
        <f t="shared" si="3"/>
        <v>1.8042974757402908E-3</v>
      </c>
      <c r="AB25" s="27" cm="1">
        <f t="array" ref="AB25">cubicInterpolation(CurveResults.Times,CurveResults.DFs,$X25)</f>
        <v>0.80737798558678209</v>
      </c>
      <c r="AG25" s="24">
        <f t="shared" ref="AG25" si="200">AG24+YearFraction</f>
        <v>5.25</v>
      </c>
      <c r="AI25" s="18" cm="1">
        <f t="array" ref="AI25">flatInterpolation($AG25,$S$4:$S$9,AH$5:AH$10)</f>
        <v>7.4999999999999997E-3</v>
      </c>
      <c r="AJ25" s="26">
        <f t="shared" ref="AJ25" si="201">EXP(-AI25*YearFraction)*AJ24</f>
        <v>0.96139002410607444</v>
      </c>
      <c r="AK25" s="122">
        <f t="shared" si="5"/>
        <v>1.8042972953105085E-3</v>
      </c>
      <c r="AL25" s="116"/>
      <c r="AM25" s="18" cm="1">
        <f t="array" ref="AM25">flatInterpolation($AG25,$S$4:$S$9,AL$5:AL$10)</f>
        <v>7.4999999999999997E-3</v>
      </c>
      <c r="AN25" s="26">
        <f t="shared" ref="AN25" si="202">EXP(-AM25*YearFraction)*AN24</f>
        <v>0.96139002410607466</v>
      </c>
      <c r="AO25" s="122">
        <f t="shared" si="7"/>
        <v>1.8042972953105085E-3</v>
      </c>
      <c r="AP25" s="116"/>
      <c r="AQ25" s="18" cm="1">
        <f t="array" ref="AQ25">flatInterpolation($AG25,$S$4:$S$9,AP$5:AP$10)</f>
        <v>7.4999999999999997E-3</v>
      </c>
      <c r="AR25" s="26">
        <f t="shared" ref="AR25" si="203">EXP(-AQ25*YearFraction)*AR24</f>
        <v>0.96139002410607466</v>
      </c>
      <c r="AS25" s="122">
        <f t="shared" si="9"/>
        <v>1.8042972953105085E-3</v>
      </c>
      <c r="AT25" s="116"/>
      <c r="AU25" s="18" cm="1">
        <f t="array" ref="AU25">flatInterpolation($AG25,$S$4:$S$9,AT$5:AT$10)</f>
        <v>7.4999999999999997E-3</v>
      </c>
      <c r="AV25" s="26">
        <f t="shared" ref="AV25" si="204">EXP(-AU25*YearFraction)*AV24</f>
        <v>0.96139002410607444</v>
      </c>
      <c r="AW25" s="122">
        <f t="shared" si="11"/>
        <v>1.8042972953105085E-3</v>
      </c>
      <c r="AX25" s="116"/>
      <c r="AY25" s="18" cm="1">
        <f t="array" ref="AY25">flatInterpolation($AG25,$S$4:$S$9,AX$5:AX$10)</f>
        <v>7.4999999999999997E-3</v>
      </c>
      <c r="AZ25" s="26">
        <f t="shared" ref="AZ25" si="205">EXP(-AY25*YearFraction)*AZ24</f>
        <v>0.96139002410607444</v>
      </c>
      <c r="BA25" s="122">
        <f t="shared" si="13"/>
        <v>1.8042972953105085E-3</v>
      </c>
      <c r="BB25" s="116"/>
      <c r="BC25" s="18" cm="1">
        <f t="array" ref="BC25">flatInterpolation($AG25,$S$4:$S$9,BB$5:BB$10)</f>
        <v>7.5001E-3</v>
      </c>
      <c r="BD25" s="26">
        <f t="shared" ref="BD25" si="206">EXP(-BC25*YearFraction)*BD24</f>
        <v>0.961390096210329</v>
      </c>
      <c r="BE25" s="122">
        <f t="shared" si="15"/>
        <v>1.8043215104930344E-3</v>
      </c>
    </row>
    <row r="26" spans="3:57" ht="15.6" x14ac:dyDescent="0.3">
      <c r="K26" s="54" t="s">
        <v>10</v>
      </c>
      <c r="L26" s="54" t="s">
        <v>21</v>
      </c>
      <c r="M26" s="54" t="s">
        <v>45</v>
      </c>
      <c r="N26" s="54" t="s">
        <v>46</v>
      </c>
      <c r="O26" s="2" t="s">
        <v>31</v>
      </c>
      <c r="P26" s="54" t="s">
        <v>47</v>
      </c>
      <c r="Q26" s="59" t="s">
        <v>29</v>
      </c>
      <c r="S26" s="17">
        <f>S25+0.01</f>
        <v>1.01</v>
      </c>
      <c r="T26" s="18" cm="1">
        <f t="array" ref="T26">flatInterpolation(S26,Calibration.Times,Calibration.HazardRates)</f>
        <v>7.4999999999999997E-3</v>
      </c>
      <c r="X26" s="24">
        <f t="shared" ref="X26" si="207">X25+YearFraction</f>
        <v>5.5</v>
      </c>
      <c r="Y26" s="25" cm="1">
        <f t="array" ref="Y26">flatInterpolation(X26,$S$4:$S$9,$T$4:$T$9)</f>
        <v>7.4999999999999997E-3</v>
      </c>
      <c r="Z26" s="26">
        <f t="shared" ref="Z26" si="208">EXP(-Y26*YearFraction)*Z25</f>
        <v>0.95958920265747316</v>
      </c>
      <c r="AA26" s="26">
        <f t="shared" si="3"/>
        <v>1.8009175876085859E-3</v>
      </c>
      <c r="AB26" s="27" cm="1">
        <f t="array" ref="AB26">cubicInterpolation(CurveResults.Times,CurveResults.DFs,$X26)</f>
        <v>0.79988180597213521</v>
      </c>
      <c r="AG26" s="24">
        <f t="shared" ref="AG26" si="209">AG25+YearFraction</f>
        <v>5.5</v>
      </c>
      <c r="AI26" s="18" cm="1">
        <f t="array" ref="AI26">flatInterpolation($AG26,$S$4:$S$9,AH$5:AH$10)</f>
        <v>7.4999999999999997E-3</v>
      </c>
      <c r="AJ26" s="26">
        <f t="shared" ref="AJ26" si="210">EXP(-AI26*YearFraction)*AJ25</f>
        <v>0.95958910669855757</v>
      </c>
      <c r="AK26" s="122">
        <f t="shared" si="5"/>
        <v>1.8009174075168666E-3</v>
      </c>
      <c r="AL26" s="116"/>
      <c r="AM26" s="18" cm="1">
        <f t="array" ref="AM26">flatInterpolation($AG26,$S$4:$S$9,AL$5:AL$10)</f>
        <v>7.4999999999999997E-3</v>
      </c>
      <c r="AN26" s="26">
        <f t="shared" ref="AN26" si="211">EXP(-AM26*YearFraction)*AN25</f>
        <v>0.95958910669855779</v>
      </c>
      <c r="AO26" s="122">
        <f t="shared" si="7"/>
        <v>1.8009174075168666E-3</v>
      </c>
      <c r="AP26" s="116"/>
      <c r="AQ26" s="18" cm="1">
        <f t="array" ref="AQ26">flatInterpolation($AG26,$S$4:$S$9,AP$5:AP$10)</f>
        <v>7.4999999999999997E-3</v>
      </c>
      <c r="AR26" s="26">
        <f t="shared" ref="AR26" si="212">EXP(-AQ26*YearFraction)*AR25</f>
        <v>0.95958910669855779</v>
      </c>
      <c r="AS26" s="122">
        <f t="shared" si="9"/>
        <v>1.8009174075168666E-3</v>
      </c>
      <c r="AT26" s="116"/>
      <c r="AU26" s="18" cm="1">
        <f t="array" ref="AU26">flatInterpolation($AG26,$S$4:$S$9,AT$5:AT$10)</f>
        <v>7.4999999999999997E-3</v>
      </c>
      <c r="AV26" s="26">
        <f t="shared" ref="AV26" si="213">EXP(-AU26*YearFraction)*AV25</f>
        <v>0.95958910669855757</v>
      </c>
      <c r="AW26" s="122">
        <f t="shared" si="11"/>
        <v>1.8009174075168666E-3</v>
      </c>
      <c r="AX26" s="116"/>
      <c r="AY26" s="18" cm="1">
        <f t="array" ref="AY26">flatInterpolation($AG26,$S$4:$S$9,AX$5:AX$10)</f>
        <v>7.4999999999999997E-3</v>
      </c>
      <c r="AZ26" s="26">
        <f t="shared" ref="AZ26" si="214">EXP(-AY26*YearFraction)*AZ25</f>
        <v>0.95958910669855757</v>
      </c>
      <c r="BA26" s="122">
        <f t="shared" si="13"/>
        <v>1.8009174075168666E-3</v>
      </c>
      <c r="BB26" s="116"/>
      <c r="BC26" s="18" cm="1">
        <f t="array" ref="BC26">flatInterpolation($AG26,$S$4:$S$9,BB$5:BB$10)</f>
        <v>7.5001E-3</v>
      </c>
      <c r="BD26" s="26">
        <f t="shared" ref="BD26" si="215">EXP(-BC26*YearFraction)*BD25</f>
        <v>0.9595891546780142</v>
      </c>
      <c r="BE26" s="122">
        <f t="shared" si="15"/>
        <v>1.8009415323148037E-3</v>
      </c>
    </row>
    <row r="27" spans="3:57" x14ac:dyDescent="0.3">
      <c r="K27" s="62" t="s">
        <v>11</v>
      </c>
      <c r="L27" s="63">
        <v>1</v>
      </c>
      <c r="M27" s="64" cm="1">
        <f t="array" ref="M27:M32">N27:N32-MMULT(K64:P69,P27:P32)</f>
        <v>7.500002197266876E-3</v>
      </c>
      <c r="N27" s="65">
        <v>7.4999999999999997E-3</v>
      </c>
      <c r="O27" s="66">
        <f t="shared" ref="O27" si="216">Q4/(1-RecoveryRate)</f>
        <v>7.4999999999999997E-3</v>
      </c>
      <c r="P27" s="65">
        <f t="shared" ref="P27:P32" si="217">V14</f>
        <v>-1.3183589688686714E-9</v>
      </c>
      <c r="Q27" s="83">
        <f t="shared" ref="Q27:Q32" si="218">M27-N27</f>
        <v>2.1972668762595959E-9</v>
      </c>
      <c r="S27" s="17">
        <f>S5</f>
        <v>2</v>
      </c>
      <c r="T27" s="18" cm="1">
        <f t="array" ref="T27">flatInterpolation(S27,Calibration.Times,Calibration.HazardRates)</f>
        <v>7.4999999999999997E-3</v>
      </c>
      <c r="X27" s="24">
        <f t="shared" ref="X27" si="219">X26+YearFraction</f>
        <v>5.75</v>
      </c>
      <c r="Y27" s="25" cm="1">
        <f t="array" ref="Y27">flatInterpolation(X27,$S$4:$S$9,$T$4:$T$9)</f>
        <v>7.4999999999999997E-3</v>
      </c>
      <c r="Z27" s="26">
        <f t="shared" ref="Z27" si="220">EXP(-Y27*YearFraction)*Z26</f>
        <v>0.95779165862664351</v>
      </c>
      <c r="AA27" s="26">
        <f t="shared" si="3"/>
        <v>1.7975440308296564E-3</v>
      </c>
      <c r="AB27" s="27" cm="1">
        <f t="array" ref="AB27">cubicInterpolation(CurveResults.Times,CurveResults.DFs,$X27)</f>
        <v>0.79246475287440499</v>
      </c>
      <c r="AG27" s="24">
        <f t="shared" ref="AG27" si="221">AG26+YearFraction</f>
        <v>5.75</v>
      </c>
      <c r="AI27" s="18" cm="1">
        <f t="array" ref="AI27">flatInterpolation($AG27,$S$4:$S$9,AH$5:AH$10)</f>
        <v>7.4999999999999997E-3</v>
      </c>
      <c r="AJ27" s="26">
        <f t="shared" ref="AJ27" si="222">EXP(-AI27*YearFraction)*AJ26</f>
        <v>0.95779156284748235</v>
      </c>
      <c r="AK27" s="122">
        <f t="shared" si="5"/>
        <v>1.7975438510752229E-3</v>
      </c>
      <c r="AL27" s="116"/>
      <c r="AM27" s="18" cm="1">
        <f t="array" ref="AM27">flatInterpolation($AG27,$S$4:$S$9,AL$5:AL$10)</f>
        <v>7.4999999999999997E-3</v>
      </c>
      <c r="AN27" s="26">
        <f t="shared" ref="AN27" si="223">EXP(-AM27*YearFraction)*AN26</f>
        <v>0.95779156284748257</v>
      </c>
      <c r="AO27" s="122">
        <f t="shared" si="7"/>
        <v>1.7975438510752229E-3</v>
      </c>
      <c r="AP27" s="116"/>
      <c r="AQ27" s="18" cm="1">
        <f t="array" ref="AQ27">flatInterpolation($AG27,$S$4:$S$9,AP$5:AP$10)</f>
        <v>7.4999999999999997E-3</v>
      </c>
      <c r="AR27" s="26">
        <f t="shared" ref="AR27" si="224">EXP(-AQ27*YearFraction)*AR26</f>
        <v>0.95779156284748257</v>
      </c>
      <c r="AS27" s="122">
        <f t="shared" si="9"/>
        <v>1.7975438510752229E-3</v>
      </c>
      <c r="AT27" s="116"/>
      <c r="AU27" s="18" cm="1">
        <f t="array" ref="AU27">flatInterpolation($AG27,$S$4:$S$9,AT$5:AT$10)</f>
        <v>7.4999999999999997E-3</v>
      </c>
      <c r="AV27" s="26">
        <f t="shared" ref="AV27" si="225">EXP(-AU27*YearFraction)*AV26</f>
        <v>0.95779156284748235</v>
      </c>
      <c r="AW27" s="122">
        <f t="shared" si="11"/>
        <v>1.7975438510752229E-3</v>
      </c>
      <c r="AX27" s="116"/>
      <c r="AY27" s="18" cm="1">
        <f t="array" ref="AY27">flatInterpolation($AG27,$S$4:$S$9,AX$5:AX$10)</f>
        <v>7.4999999999999997E-3</v>
      </c>
      <c r="AZ27" s="26">
        <f t="shared" ref="AZ27" si="226">EXP(-AY27*YearFraction)*AZ26</f>
        <v>0.95779156284748235</v>
      </c>
      <c r="BA27" s="122">
        <f t="shared" si="13"/>
        <v>1.7975438510752229E-3</v>
      </c>
      <c r="BB27" s="116"/>
      <c r="BC27" s="18" cm="1">
        <f t="array" ref="BC27">flatInterpolation($AG27,$S$4:$S$9,BB$5:BB$10)</f>
        <v>7.5001E-3</v>
      </c>
      <c r="BD27" s="26">
        <f t="shared" ref="BD27" si="227">EXP(-BC27*YearFraction)*BD26</f>
        <v>0.95779158679227172</v>
      </c>
      <c r="BE27" s="122">
        <f t="shared" si="15"/>
        <v>1.7975678857424793E-3</v>
      </c>
    </row>
    <row r="28" spans="3:57" x14ac:dyDescent="0.3">
      <c r="K28" s="67" t="s">
        <v>12</v>
      </c>
      <c r="L28" s="17">
        <v>2</v>
      </c>
      <c r="M28" s="60">
        <v>7.5000021972668855E-3</v>
      </c>
      <c r="N28" s="45">
        <v>7.4999999999999997E-3</v>
      </c>
      <c r="O28" s="61">
        <f t="shared" ref="O28" si="228">Q5/(1-RecoveryRate)</f>
        <v>7.4999999999999997E-3</v>
      </c>
      <c r="P28" s="45">
        <f t="shared" si="217"/>
        <v>-1.3183589723381184E-9</v>
      </c>
      <c r="Q28" s="84">
        <f t="shared" si="218"/>
        <v>2.1972668858005751E-9</v>
      </c>
      <c r="S28" s="17">
        <f>S27+0.01</f>
        <v>2.0099999999999998</v>
      </c>
      <c r="T28" s="18" cm="1">
        <f t="array" ref="T28">flatInterpolation(S28,Calibration.Times,Calibration.HazardRates)</f>
        <v>7.4999999999999997E-3</v>
      </c>
      <c r="X28" s="24">
        <f t="shared" ref="X28" si="229">X27+YearFraction</f>
        <v>6</v>
      </c>
      <c r="Y28" s="25" cm="1">
        <f t="array" ref="Y28">flatInterpolation(X28,$S$4:$S$9,$T$4:$T$9)</f>
        <v>7.4999999999999997E-3</v>
      </c>
      <c r="Z28" s="26">
        <f t="shared" ref="Z28" si="230">EXP(-Y28*YearFraction)*Z27</f>
        <v>0.95599748183310018</v>
      </c>
      <c r="AA28" s="26">
        <f t="shared" si="3"/>
        <v>1.7941767935433228E-3</v>
      </c>
      <c r="AB28" s="27" cm="1">
        <f t="array" ref="AB28">cubicInterpolation(CurveResults.Times,CurveResults.DFs,$X28)</f>
        <v>0.78511840072776184</v>
      </c>
      <c r="AG28" s="24">
        <f t="shared" ref="AG28" si="231">AG27+YearFraction</f>
        <v>6</v>
      </c>
      <c r="AI28" s="18" cm="1">
        <f t="array" ref="AI28">flatInterpolation($AG28,$S$4:$S$9,AH$5:AH$10)</f>
        <v>7.4999999999999997E-3</v>
      </c>
      <c r="AJ28" s="26">
        <f t="shared" ref="AJ28" si="232">EXP(-AI28*YearFraction)*AJ27</f>
        <v>0.95599738623335673</v>
      </c>
      <c r="AK28" s="122">
        <f t="shared" si="5"/>
        <v>1.7941766141256199E-3</v>
      </c>
      <c r="AL28" s="116"/>
      <c r="AM28" s="18" cm="1">
        <f t="array" ref="AM28">flatInterpolation($AG28,$S$4:$S$9,AL$5:AL$10)</f>
        <v>7.4999999999999997E-3</v>
      </c>
      <c r="AN28" s="26">
        <f t="shared" ref="AN28" si="233">EXP(-AM28*YearFraction)*AN27</f>
        <v>0.95599738623335695</v>
      </c>
      <c r="AO28" s="122">
        <f t="shared" si="7"/>
        <v>1.7941766141256199E-3</v>
      </c>
      <c r="AP28" s="116"/>
      <c r="AQ28" s="18" cm="1">
        <f t="array" ref="AQ28">flatInterpolation($AG28,$S$4:$S$9,AP$5:AP$10)</f>
        <v>7.4999999999999997E-3</v>
      </c>
      <c r="AR28" s="26">
        <f t="shared" ref="AR28" si="234">EXP(-AQ28*YearFraction)*AR27</f>
        <v>0.95599738623335695</v>
      </c>
      <c r="AS28" s="122">
        <f t="shared" si="9"/>
        <v>1.7941766141256199E-3</v>
      </c>
      <c r="AT28" s="116"/>
      <c r="AU28" s="18" cm="1">
        <f t="array" ref="AU28">flatInterpolation($AG28,$S$4:$S$9,AT$5:AT$10)</f>
        <v>7.4999999999999997E-3</v>
      </c>
      <c r="AV28" s="26">
        <f t="shared" ref="AV28" si="235">EXP(-AU28*YearFraction)*AV27</f>
        <v>0.95599738623335673</v>
      </c>
      <c r="AW28" s="122">
        <f t="shared" si="11"/>
        <v>1.7941766141256199E-3</v>
      </c>
      <c r="AX28" s="116"/>
      <c r="AY28" s="18" cm="1">
        <f t="array" ref="AY28">flatInterpolation($AG28,$S$4:$S$9,AX$5:AX$10)</f>
        <v>7.4999999999999997E-3</v>
      </c>
      <c r="AZ28" s="26">
        <f t="shared" ref="AZ28" si="236">EXP(-AY28*YearFraction)*AZ27</f>
        <v>0.95599738623335673</v>
      </c>
      <c r="BA28" s="122">
        <f t="shared" si="13"/>
        <v>1.7941766141256199E-3</v>
      </c>
      <c r="BB28" s="116"/>
      <c r="BC28" s="18" cm="1">
        <f t="array" ref="BC28">flatInterpolation($AG28,$S$4:$S$9,BB$5:BB$10)</f>
        <v>7.5001E-3</v>
      </c>
      <c r="BD28" s="26">
        <f t="shared" ref="BD28" si="237">EXP(-BC28*YearFraction)*BD27</f>
        <v>0.95599738623335673</v>
      </c>
      <c r="BE28" s="122">
        <f t="shared" si="15"/>
        <v>1.7942005589149934E-3</v>
      </c>
    </row>
    <row r="29" spans="3:57" x14ac:dyDescent="0.3">
      <c r="K29" s="67" t="s">
        <v>13</v>
      </c>
      <c r="L29" s="17">
        <v>3</v>
      </c>
      <c r="M29" s="60">
        <v>7.5000021972667849E-3</v>
      </c>
      <c r="N29" s="45">
        <v>7.4999999999999997E-3</v>
      </c>
      <c r="O29" s="61">
        <f t="shared" ref="O29" si="238">Q6/(1-RecoveryRate)</f>
        <v>7.4999999999999997E-3</v>
      </c>
      <c r="P29" s="45">
        <f t="shared" si="217"/>
        <v>-1.3183589523887984E-9</v>
      </c>
      <c r="Q29" s="84">
        <f t="shared" si="218"/>
        <v>2.1972667851866134E-9</v>
      </c>
      <c r="S29" s="17">
        <f>S6</f>
        <v>3</v>
      </c>
      <c r="T29" s="18" cm="1">
        <f t="array" ref="T29">flatInterpolation(S29,Calibration.Times,Calibration.HazardRates)</f>
        <v>7.4999999999999997E-3</v>
      </c>
      <c r="X29" s="24">
        <f t="shared" ref="X29" si="239">X28+YearFraction</f>
        <v>6.25</v>
      </c>
      <c r="Y29" s="25" cm="1">
        <f t="array" ref="Y29">flatInterpolation(X29,$S$4:$S$9,$T$4:$T$9)</f>
        <v>7.4999999999999997E-3</v>
      </c>
      <c r="Z29" s="26">
        <f t="shared" ref="Z29" si="240">EXP(-Y29*YearFraction)*Z28</f>
        <v>0.95420666596918857</v>
      </c>
      <c r="AA29" s="26">
        <f t="shared" si="3"/>
        <v>1.7908158639116101E-3</v>
      </c>
      <c r="AB29" s="27" cm="1">
        <f t="array" ref="AB29">cubicInterpolation(CurveResults.Times,CurveResults.DFs,$X29)</f>
        <v>0.77784547446757579</v>
      </c>
      <c r="AG29" s="24">
        <f t="shared" ref="AG29" si="241">AG28+YearFraction</f>
        <v>6.25</v>
      </c>
      <c r="AI29" s="18" cm="1">
        <f t="array" ref="AI29">flatInterpolation($AG29,$S$4:$S$9,AH$5:AH$10)</f>
        <v>7.4999999999999997E-3</v>
      </c>
      <c r="AJ29" s="26">
        <f t="shared" ref="AJ29" si="242">EXP(-AI29*YearFraction)*AJ28</f>
        <v>0.95420657054852676</v>
      </c>
      <c r="AK29" s="122">
        <f t="shared" si="5"/>
        <v>1.7908156848299717E-3</v>
      </c>
      <c r="AL29" s="116"/>
      <c r="AM29" s="18" cm="1">
        <f t="array" ref="AM29">flatInterpolation($AG29,$S$4:$S$9,AL$5:AL$10)</f>
        <v>7.4999999999999997E-3</v>
      </c>
      <c r="AN29" s="26">
        <f t="shared" ref="AN29" si="243">EXP(-AM29*YearFraction)*AN28</f>
        <v>0.95420657054852698</v>
      </c>
      <c r="AO29" s="122">
        <f t="shared" si="7"/>
        <v>1.7908156848299717E-3</v>
      </c>
      <c r="AP29" s="116"/>
      <c r="AQ29" s="18" cm="1">
        <f t="array" ref="AQ29">flatInterpolation($AG29,$S$4:$S$9,AP$5:AP$10)</f>
        <v>7.4999999999999997E-3</v>
      </c>
      <c r="AR29" s="26">
        <f t="shared" ref="AR29" si="244">EXP(-AQ29*YearFraction)*AR28</f>
        <v>0.95420657054852698</v>
      </c>
      <c r="AS29" s="122">
        <f t="shared" si="9"/>
        <v>1.7908156848299717E-3</v>
      </c>
      <c r="AT29" s="116"/>
      <c r="AU29" s="18" cm="1">
        <f t="array" ref="AU29">flatInterpolation($AG29,$S$4:$S$9,AT$5:AT$10)</f>
        <v>7.4999999999999997E-3</v>
      </c>
      <c r="AV29" s="26">
        <f t="shared" ref="AV29" si="245">EXP(-AU29*YearFraction)*AV28</f>
        <v>0.95420657054852676</v>
      </c>
      <c r="AW29" s="122">
        <f t="shared" si="11"/>
        <v>1.7908156848299717E-3</v>
      </c>
      <c r="AX29" s="116"/>
      <c r="AY29" s="18" cm="1">
        <f t="array" ref="AY29">flatInterpolation($AG29,$S$4:$S$9,AX$5:AX$10)</f>
        <v>7.4999999999999997E-3</v>
      </c>
      <c r="AZ29" s="26">
        <f t="shared" ref="AZ29" si="246">EXP(-AY29*YearFraction)*AZ28</f>
        <v>0.95420657054852676</v>
      </c>
      <c r="BA29" s="122">
        <f t="shared" si="13"/>
        <v>1.7908156848299717E-3</v>
      </c>
      <c r="BB29" s="116"/>
      <c r="BC29" s="18" cm="1">
        <f t="array" ref="BC29">flatInterpolation($AG29,$S$4:$S$9,BB$5:BB$10)</f>
        <v>7.5001E-3</v>
      </c>
      <c r="BD29" s="26">
        <f t="shared" ref="BD29" si="247">EXP(-BC29*YearFraction)*BD28</f>
        <v>0.95420654669336269</v>
      </c>
      <c r="BE29" s="122">
        <f t="shared" si="15"/>
        <v>1.790839539994038E-3</v>
      </c>
    </row>
    <row r="30" spans="3:57" x14ac:dyDescent="0.3">
      <c r="K30" s="67" t="s">
        <v>14</v>
      </c>
      <c r="L30" s="17">
        <v>4</v>
      </c>
      <c r="M30" s="60">
        <v>7.5000021972667771E-3</v>
      </c>
      <c r="N30" s="45">
        <v>7.4999999999999997E-3</v>
      </c>
      <c r="O30" s="61">
        <f t="shared" ref="O30" si="248">Q7/(1-RecoveryRate)</f>
        <v>7.4999999999999997E-3</v>
      </c>
      <c r="P30" s="45">
        <f t="shared" si="217"/>
        <v>-1.3183589419804576E-9</v>
      </c>
      <c r="Q30" s="84">
        <f t="shared" si="218"/>
        <v>2.1972667773803578E-9</v>
      </c>
      <c r="S30" s="17">
        <f>S29+0.01</f>
        <v>3.01</v>
      </c>
      <c r="T30" s="18" cm="1">
        <f t="array" ref="T30">flatInterpolation(S30,Calibration.Times,Calibration.HazardRates)</f>
        <v>7.4999999999999997E-3</v>
      </c>
      <c r="X30" s="24">
        <f t="shared" ref="X30" si="249">X29+YearFraction</f>
        <v>6.5</v>
      </c>
      <c r="Y30" s="25" cm="1">
        <f t="array" ref="Y30">flatInterpolation(X30,$S$4:$S$9,$T$4:$T$9)</f>
        <v>7.4999999999999997E-3</v>
      </c>
      <c r="Z30" s="26">
        <f t="shared" ref="Z30" si="250">EXP(-Y30*YearFraction)*Z29</f>
        <v>0.95241920473906982</v>
      </c>
      <c r="AA30" s="26">
        <f t="shared" si="3"/>
        <v>1.7874612301187476E-3</v>
      </c>
      <c r="AB30" s="27" cm="1">
        <f t="array" ref="AB30">cubicInterpolation(CurveResults.Times,CurveResults.DFs,$X30)</f>
        <v>0.77064881047798106</v>
      </c>
      <c r="AG30" s="24">
        <f t="shared" ref="AG30" si="251">AG29+YearFraction</f>
        <v>6.5</v>
      </c>
      <c r="AI30" s="18" cm="1">
        <f t="array" ref="AI30">flatInterpolation($AG30,$S$4:$S$9,AH$5:AH$10)</f>
        <v>7.4999999999999997E-3</v>
      </c>
      <c r="AJ30" s="26">
        <f t="shared" ref="AJ30" si="252">EXP(-AI30*YearFraction)*AJ29</f>
        <v>0.95241910949715414</v>
      </c>
      <c r="AK30" s="122">
        <f t="shared" si="5"/>
        <v>1.7874610513726186E-3</v>
      </c>
      <c r="AL30" s="116"/>
      <c r="AM30" s="18" cm="1">
        <f t="array" ref="AM30">flatInterpolation($AG30,$S$4:$S$9,AL$5:AL$10)</f>
        <v>7.4999999999999997E-3</v>
      </c>
      <c r="AN30" s="26">
        <f t="shared" ref="AN30" si="253">EXP(-AM30*YearFraction)*AN29</f>
        <v>0.95241910949715436</v>
      </c>
      <c r="AO30" s="122">
        <f t="shared" si="7"/>
        <v>1.7874610513726186E-3</v>
      </c>
      <c r="AP30" s="116"/>
      <c r="AQ30" s="18" cm="1">
        <f t="array" ref="AQ30">flatInterpolation($AG30,$S$4:$S$9,AP$5:AP$10)</f>
        <v>7.4999999999999997E-3</v>
      </c>
      <c r="AR30" s="26">
        <f t="shared" ref="AR30" si="254">EXP(-AQ30*YearFraction)*AR29</f>
        <v>0.95241910949715436</v>
      </c>
      <c r="AS30" s="122">
        <f t="shared" si="9"/>
        <v>1.7874610513726186E-3</v>
      </c>
      <c r="AT30" s="116"/>
      <c r="AU30" s="18" cm="1">
        <f t="array" ref="AU30">flatInterpolation($AG30,$S$4:$S$9,AT$5:AT$10)</f>
        <v>7.4999999999999997E-3</v>
      </c>
      <c r="AV30" s="26">
        <f t="shared" ref="AV30" si="255">EXP(-AU30*YearFraction)*AV29</f>
        <v>0.95241910949715414</v>
      </c>
      <c r="AW30" s="122">
        <f t="shared" si="11"/>
        <v>1.7874610513726186E-3</v>
      </c>
      <c r="AX30" s="116"/>
      <c r="AY30" s="18" cm="1">
        <f t="array" ref="AY30">flatInterpolation($AG30,$S$4:$S$9,AX$5:AX$10)</f>
        <v>7.4999999999999997E-3</v>
      </c>
      <c r="AZ30" s="26">
        <f t="shared" ref="AZ30" si="256">EXP(-AY30*YearFraction)*AZ29</f>
        <v>0.95241910949715414</v>
      </c>
      <c r="BA30" s="122">
        <f t="shared" si="13"/>
        <v>1.7874610513726186E-3</v>
      </c>
      <c r="BB30" s="116"/>
      <c r="BC30" s="18" cm="1">
        <f t="array" ref="BC30">flatInterpolation($AG30,$S$4:$S$9,BB$5:BB$10)</f>
        <v>7.5001E-3</v>
      </c>
      <c r="BD30" s="26">
        <f t="shared" ref="BD30" si="257">EXP(-BC30*YearFraction)*BD29</f>
        <v>0.95241906187619974</v>
      </c>
      <c r="BE30" s="122">
        <f t="shared" si="15"/>
        <v>1.7874848171629543E-3</v>
      </c>
    </row>
    <row r="31" spans="3:57" x14ac:dyDescent="0.3">
      <c r="K31" s="67" t="s">
        <v>15</v>
      </c>
      <c r="L31" s="17">
        <v>5</v>
      </c>
      <c r="M31" s="60">
        <v>7.5000021972668586E-3</v>
      </c>
      <c r="N31" s="45">
        <v>7.4999999999999997E-3</v>
      </c>
      <c r="O31" s="61">
        <f t="shared" ref="O31" si="258">Q8/(1-RecoveryRate)</f>
        <v>7.4999999999999997E-3</v>
      </c>
      <c r="P31" s="45">
        <f t="shared" si="217"/>
        <v>-1.3183589454499045E-9</v>
      </c>
      <c r="Q31" s="84">
        <f t="shared" si="218"/>
        <v>2.1972668589123612E-9</v>
      </c>
      <c r="S31" s="17">
        <f>S7</f>
        <v>4</v>
      </c>
      <c r="T31" s="18" cm="1">
        <f t="array" ref="T31">flatInterpolation(S31,Calibration.Times,Calibration.HazardRates)</f>
        <v>7.4999999999999997E-3</v>
      </c>
      <c r="X31" s="24">
        <f t="shared" ref="X31" si="259">X30+YearFraction</f>
        <v>6.75</v>
      </c>
      <c r="Y31" s="25" cm="1">
        <f t="array" ref="Y31">flatInterpolation(X31,$S$4:$S$9,$T$4:$T$9)</f>
        <v>7.4999999999999997E-3</v>
      </c>
      <c r="Z31" s="26">
        <f t="shared" ref="Z31" si="260">EXP(-Y31*YearFraction)*Z30</f>
        <v>0.95063509185869877</v>
      </c>
      <c r="AA31" s="26">
        <f t="shared" si="3"/>
        <v>1.7841128803710582E-3</v>
      </c>
      <c r="AB31" s="27" cm="1">
        <f t="array" ref="AB31">cubicInterpolation(CurveResults.Times,CurveResults.DFs,$X31)</f>
        <v>0.76352015036629473</v>
      </c>
      <c r="AG31" s="24">
        <f t="shared" ref="AG31" si="261">AG30+YearFraction</f>
        <v>6.75</v>
      </c>
      <c r="AI31" s="18" cm="1">
        <f t="array" ref="AI31">flatInterpolation($AG31,$S$4:$S$9,AH$5:AH$10)</f>
        <v>7.4999999999999997E-3</v>
      </c>
      <c r="AJ31" s="26">
        <f t="shared" ref="AJ31" si="262">EXP(-AI31*YearFraction)*AJ30</f>
        <v>0.95063499679519436</v>
      </c>
      <c r="AK31" s="122">
        <f t="shared" si="5"/>
        <v>1.7841127019597725E-3</v>
      </c>
      <c r="AL31" s="116"/>
      <c r="AM31" s="18" cm="1">
        <f t="array" ref="AM31">flatInterpolation($AG31,$S$4:$S$9,AL$5:AL$10)</f>
        <v>7.4999999999999997E-3</v>
      </c>
      <c r="AN31" s="26">
        <f t="shared" ref="AN31" si="263">EXP(-AM31*YearFraction)*AN30</f>
        <v>0.95063499679519459</v>
      </c>
      <c r="AO31" s="122">
        <f t="shared" si="7"/>
        <v>1.7841127019597725E-3</v>
      </c>
      <c r="AP31" s="116"/>
      <c r="AQ31" s="18" cm="1">
        <f t="array" ref="AQ31">flatInterpolation($AG31,$S$4:$S$9,AP$5:AP$10)</f>
        <v>7.4999999999999997E-3</v>
      </c>
      <c r="AR31" s="26">
        <f t="shared" ref="AR31" si="264">EXP(-AQ31*YearFraction)*AR30</f>
        <v>0.95063499679519459</v>
      </c>
      <c r="AS31" s="122">
        <f t="shared" si="9"/>
        <v>1.7841127019597725E-3</v>
      </c>
      <c r="AT31" s="116"/>
      <c r="AU31" s="18" cm="1">
        <f t="array" ref="AU31">flatInterpolation($AG31,$S$4:$S$9,AT$5:AT$10)</f>
        <v>7.4999999999999997E-3</v>
      </c>
      <c r="AV31" s="26">
        <f t="shared" ref="AV31" si="265">EXP(-AU31*YearFraction)*AV30</f>
        <v>0.95063499679519436</v>
      </c>
      <c r="AW31" s="122">
        <f t="shared" si="11"/>
        <v>1.7841127019597725E-3</v>
      </c>
      <c r="AX31" s="116"/>
      <c r="AY31" s="18" cm="1">
        <f t="array" ref="AY31">flatInterpolation($AG31,$S$4:$S$9,AX$5:AX$10)</f>
        <v>7.4999999999999997E-3</v>
      </c>
      <c r="AZ31" s="26">
        <f t="shared" ref="AZ31" si="266">EXP(-AY31*YearFraction)*AZ30</f>
        <v>0.95063499679519436</v>
      </c>
      <c r="BA31" s="122">
        <f t="shared" si="13"/>
        <v>1.7841127019597725E-3</v>
      </c>
      <c r="BB31" s="116"/>
      <c r="BC31" s="18" cm="1">
        <f t="array" ref="BC31">flatInterpolation($AG31,$S$4:$S$9,BB$5:BB$10)</f>
        <v>7.5001E-3</v>
      </c>
      <c r="BD31" s="26">
        <f t="shared" ref="BD31" si="267">EXP(-BC31*YearFraction)*BD30</f>
        <v>0.95063492549757211</v>
      </c>
      <c r="BE31" s="122">
        <f t="shared" si="15"/>
        <v>1.784136378627621E-3</v>
      </c>
    </row>
    <row r="32" spans="3:57" x14ac:dyDescent="0.3">
      <c r="K32" s="68" t="s">
        <v>16</v>
      </c>
      <c r="L32" s="69">
        <v>10</v>
      </c>
      <c r="M32" s="70">
        <v>7.500002197267072E-3</v>
      </c>
      <c r="N32" s="71">
        <v>7.4999999999999997E-3</v>
      </c>
      <c r="O32" s="72">
        <f t="shared" ref="O32" si="268">Q9/(1-RecoveryRate)</f>
        <v>7.4999999999999997E-3</v>
      </c>
      <c r="P32" s="71">
        <f t="shared" si="217"/>
        <v>-1.318358943715181E-9</v>
      </c>
      <c r="Q32" s="85">
        <f t="shared" si="218"/>
        <v>2.1972670722833487E-9</v>
      </c>
      <c r="S32" s="17">
        <f>S31+0.01</f>
        <v>4.01</v>
      </c>
      <c r="T32" s="18" cm="1">
        <f t="array" ref="T32">flatInterpolation(S32,Calibration.Times,Calibration.HazardRates)</f>
        <v>7.4999999999999997E-3</v>
      </c>
      <c r="X32" s="24">
        <f t="shared" ref="X32" si="269">X31+YearFraction</f>
        <v>7</v>
      </c>
      <c r="Y32" s="25" cm="1">
        <f t="array" ref="Y32">flatInterpolation(X32,$S$4:$S$9,$T$4:$T$9)</f>
        <v>7.4999999999999997E-3</v>
      </c>
      <c r="Z32" s="26">
        <f t="shared" ref="Z32" si="270">EXP(-Y32*YearFraction)*Z31</f>
        <v>0.94885432105580159</v>
      </c>
      <c r="AA32" s="26">
        <f t="shared" si="3"/>
        <v>1.7807708028971803E-3</v>
      </c>
      <c r="AB32" s="27" cm="1">
        <f t="array" ref="AB32">cubicInterpolation(CurveResults.Times,CurveResults.DFs,$X32)</f>
        <v>0.75645123573983353</v>
      </c>
      <c r="AG32" s="24">
        <f t="shared" ref="AG32" si="271">AG31+YearFraction</f>
        <v>7</v>
      </c>
      <c r="AI32" s="18" cm="1">
        <f t="array" ref="AI32">flatInterpolation($AG32,$S$4:$S$9,AH$5:AH$10)</f>
        <v>7.4999999999999997E-3</v>
      </c>
      <c r="AJ32" s="26">
        <f t="shared" ref="AJ32" si="272">EXP(-AI32*YearFraction)*AJ31</f>
        <v>0.94885422617037429</v>
      </c>
      <c r="AK32" s="122">
        <f t="shared" si="5"/>
        <v>1.7807706248200716E-3</v>
      </c>
      <c r="AL32" s="116"/>
      <c r="AM32" s="18" cm="1">
        <f t="array" ref="AM32">flatInterpolation($AG32,$S$4:$S$9,AL$5:AL$10)</f>
        <v>7.4999999999999997E-3</v>
      </c>
      <c r="AN32" s="26">
        <f t="shared" ref="AN32" si="273">EXP(-AM32*YearFraction)*AN31</f>
        <v>0.94885422617037452</v>
      </c>
      <c r="AO32" s="122">
        <f t="shared" si="7"/>
        <v>1.7807706248200716E-3</v>
      </c>
      <c r="AP32" s="116"/>
      <c r="AQ32" s="18" cm="1">
        <f t="array" ref="AQ32">flatInterpolation($AG32,$S$4:$S$9,AP$5:AP$10)</f>
        <v>7.4999999999999997E-3</v>
      </c>
      <c r="AR32" s="26">
        <f t="shared" ref="AR32" si="274">EXP(-AQ32*YearFraction)*AR31</f>
        <v>0.94885422617037452</v>
      </c>
      <c r="AS32" s="122">
        <f t="shared" si="9"/>
        <v>1.7807706248200716E-3</v>
      </c>
      <c r="AT32" s="116"/>
      <c r="AU32" s="18" cm="1">
        <f t="array" ref="AU32">flatInterpolation($AG32,$S$4:$S$9,AT$5:AT$10)</f>
        <v>7.4999999999999997E-3</v>
      </c>
      <c r="AV32" s="26">
        <f t="shared" ref="AV32" si="275">EXP(-AU32*YearFraction)*AV31</f>
        <v>0.94885422617037429</v>
      </c>
      <c r="AW32" s="122">
        <f t="shared" si="11"/>
        <v>1.7807706248200716E-3</v>
      </c>
      <c r="AX32" s="116"/>
      <c r="AY32" s="18" cm="1">
        <f t="array" ref="AY32">flatInterpolation($AG32,$S$4:$S$9,AX$5:AX$10)</f>
        <v>7.4999999999999997E-3</v>
      </c>
      <c r="AZ32" s="26">
        <f t="shared" ref="AZ32" si="276">EXP(-AY32*YearFraction)*AZ31</f>
        <v>0.94885422617037429</v>
      </c>
      <c r="BA32" s="122">
        <f t="shared" si="13"/>
        <v>1.7807706248200716E-3</v>
      </c>
      <c r="BB32" s="116"/>
      <c r="BC32" s="18" cm="1">
        <f t="array" ref="BC32">flatInterpolation($AG32,$S$4:$S$9,BB$5:BB$10)</f>
        <v>7.5001E-3</v>
      </c>
      <c r="BD32" s="26">
        <f t="shared" ref="BD32" si="277">EXP(-BC32*YearFraction)*BD31</f>
        <v>0.94885413128495621</v>
      </c>
      <c r="BE32" s="122">
        <f t="shared" si="15"/>
        <v>1.7807942126158993E-3</v>
      </c>
    </row>
    <row r="33" spans="3:57" x14ac:dyDescent="0.3">
      <c r="S33" s="17">
        <f>S8</f>
        <v>5</v>
      </c>
      <c r="T33" s="18" cm="1">
        <f t="array" ref="T33">flatInterpolation(S33,Calibration.Times,Calibration.HazardRates)</f>
        <v>7.4999999999999997E-3</v>
      </c>
      <c r="X33" s="24">
        <f t="shared" ref="X33" si="278">X32+YearFraction</f>
        <v>7.25</v>
      </c>
      <c r="Y33" s="25" cm="1">
        <f t="array" ref="Y33">flatInterpolation(X33,$S$4:$S$9,$T$4:$T$9)</f>
        <v>7.4999999999999997E-3</v>
      </c>
      <c r="Z33" s="26">
        <f t="shared" ref="Z33" si="279">EXP(-Y33*YearFraction)*Z32</f>
        <v>0.94707688606985418</v>
      </c>
      <c r="AA33" s="26">
        <f t="shared" si="3"/>
        <v>1.7774349859474015E-3</v>
      </c>
      <c r="AB33" s="27" cm="1">
        <f t="array" ref="AB33">cubicInterpolation(CurveResults.Times,CurveResults.DFs,$X33)</f>
        <v>0.74944730018205008</v>
      </c>
      <c r="AG33" s="24">
        <f t="shared" ref="AG33" si="280">AG32+YearFraction</f>
        <v>7.25</v>
      </c>
      <c r="AI33" s="18" cm="1">
        <f t="array" ref="AI33">flatInterpolation($AG33,$S$4:$S$9,AH$5:AH$10)</f>
        <v>7.4999999999999997E-3</v>
      </c>
      <c r="AJ33" s="26">
        <f t="shared" ref="AJ33" si="281">EXP(-AI33*YearFraction)*AJ32</f>
        <v>0.94707679136217038</v>
      </c>
      <c r="AK33" s="122">
        <f t="shared" si="5"/>
        <v>1.7774348082039149E-3</v>
      </c>
      <c r="AL33" s="116"/>
      <c r="AM33" s="18" cm="1">
        <f t="array" ref="AM33">flatInterpolation($AG33,$S$4:$S$9,AL$5:AL$10)</f>
        <v>7.4999999999999997E-3</v>
      </c>
      <c r="AN33" s="26">
        <f t="shared" ref="AN33" si="282">EXP(-AM33*YearFraction)*AN32</f>
        <v>0.9470767913621706</v>
      </c>
      <c r="AO33" s="122">
        <f t="shared" si="7"/>
        <v>1.7774348082039149E-3</v>
      </c>
      <c r="AP33" s="116"/>
      <c r="AQ33" s="18" cm="1">
        <f t="array" ref="AQ33">flatInterpolation($AG33,$S$4:$S$9,AP$5:AP$10)</f>
        <v>7.4999999999999997E-3</v>
      </c>
      <c r="AR33" s="26">
        <f t="shared" ref="AR33" si="283">EXP(-AQ33*YearFraction)*AR32</f>
        <v>0.9470767913621706</v>
      </c>
      <c r="AS33" s="122">
        <f t="shared" si="9"/>
        <v>1.7774348082039149E-3</v>
      </c>
      <c r="AT33" s="116"/>
      <c r="AU33" s="18" cm="1">
        <f t="array" ref="AU33">flatInterpolation($AG33,$S$4:$S$9,AT$5:AT$10)</f>
        <v>7.4999999999999997E-3</v>
      </c>
      <c r="AV33" s="26">
        <f t="shared" ref="AV33" si="284">EXP(-AU33*YearFraction)*AV32</f>
        <v>0.94707679136217038</v>
      </c>
      <c r="AW33" s="122">
        <f t="shared" si="11"/>
        <v>1.7774348082039149E-3</v>
      </c>
      <c r="AX33" s="116"/>
      <c r="AY33" s="18" cm="1">
        <f t="array" ref="AY33">flatInterpolation($AG33,$S$4:$S$9,AX$5:AX$10)</f>
        <v>7.4999999999999997E-3</v>
      </c>
      <c r="AZ33" s="26">
        <f t="shared" ref="AZ33" si="285">EXP(-AY33*YearFraction)*AZ32</f>
        <v>0.94707679136217038</v>
      </c>
      <c r="BA33" s="122">
        <f t="shared" si="13"/>
        <v>1.7774348082039149E-3</v>
      </c>
      <c r="BB33" s="116"/>
      <c r="BC33" s="18" cm="1">
        <f t="array" ref="BC33">flatInterpolation($AG33,$S$4:$S$9,BB$5:BB$10)</f>
        <v>7.5001E-3</v>
      </c>
      <c r="BD33" s="26">
        <f t="shared" ref="BD33" si="286">EXP(-BC33*YearFraction)*BD32</f>
        <v>0.94707667297757858</v>
      </c>
      <c r="BE33" s="122">
        <f t="shared" si="15"/>
        <v>1.7774583073776329E-3</v>
      </c>
    </row>
    <row r="34" spans="3:57" x14ac:dyDescent="0.3">
      <c r="K34" s="169" t="s">
        <v>333</v>
      </c>
      <c r="S34" s="17">
        <f>S33+0.01</f>
        <v>5.01</v>
      </c>
      <c r="T34" s="18" cm="1">
        <f t="array" ref="T34">flatInterpolation(S34,Calibration.Times,Calibration.HazardRates)</f>
        <v>7.4999999999999997E-3</v>
      </c>
      <c r="X34" s="24">
        <f t="shared" ref="X34" si="287">X33+YearFraction</f>
        <v>7.5</v>
      </c>
      <c r="Y34" s="25" cm="1">
        <f t="array" ref="Y34">flatInterpolation(X34,$S$4:$S$9,$T$4:$T$9)</f>
        <v>7.4999999999999997E-3</v>
      </c>
      <c r="Z34" s="26">
        <f t="shared" ref="Z34" si="288">EXP(-Y34*YearFraction)*Z33</f>
        <v>0.94530278065205986</v>
      </c>
      <c r="AA34" s="26">
        <f t="shared" si="3"/>
        <v>1.774105417794325E-3</v>
      </c>
      <c r="AB34" s="27" cm="1">
        <f t="array" ref="AB34">cubicInterpolation(CurveResults.Times,CurveResults.DFs,$X34)</f>
        <v>0.74251026956187482</v>
      </c>
      <c r="AG34" s="24">
        <f t="shared" ref="AG34" si="289">AG33+YearFraction</f>
        <v>7.5</v>
      </c>
      <c r="AI34" s="18" cm="1">
        <f t="array" ref="AI34">flatInterpolation($AG34,$S$4:$S$9,AH$5:AH$10)</f>
        <v>7.4999999999999997E-3</v>
      </c>
      <c r="AJ34" s="26">
        <f t="shared" ref="AJ34" si="290">EXP(-AI34*YearFraction)*AJ33</f>
        <v>0.94530268612178658</v>
      </c>
      <c r="AK34" s="122">
        <f t="shared" si="5"/>
        <v>1.7741052403837942E-3</v>
      </c>
      <c r="AL34" s="116"/>
      <c r="AM34" s="18" cm="1">
        <f t="array" ref="AM34">flatInterpolation($AG34,$S$4:$S$9,AL$5:AL$10)</f>
        <v>7.4999999999999997E-3</v>
      </c>
      <c r="AN34" s="26">
        <f t="shared" ref="AN34" si="291">EXP(-AM34*YearFraction)*AN33</f>
        <v>0.94530268612178681</v>
      </c>
      <c r="AO34" s="122">
        <f t="shared" si="7"/>
        <v>1.7741052403837942E-3</v>
      </c>
      <c r="AP34" s="116"/>
      <c r="AQ34" s="18" cm="1">
        <f t="array" ref="AQ34">flatInterpolation($AG34,$S$4:$S$9,AP$5:AP$10)</f>
        <v>7.4999999999999997E-3</v>
      </c>
      <c r="AR34" s="26">
        <f t="shared" ref="AR34" si="292">EXP(-AQ34*YearFraction)*AR33</f>
        <v>0.94530268612178681</v>
      </c>
      <c r="AS34" s="122">
        <f t="shared" si="9"/>
        <v>1.7741052403837942E-3</v>
      </c>
      <c r="AT34" s="116"/>
      <c r="AU34" s="18" cm="1">
        <f t="array" ref="AU34">flatInterpolation($AG34,$S$4:$S$9,AT$5:AT$10)</f>
        <v>7.4999999999999997E-3</v>
      </c>
      <c r="AV34" s="26">
        <f t="shared" ref="AV34" si="293">EXP(-AU34*YearFraction)*AV33</f>
        <v>0.94530268612178658</v>
      </c>
      <c r="AW34" s="122">
        <f t="shared" si="11"/>
        <v>1.7741052403837942E-3</v>
      </c>
      <c r="AX34" s="116"/>
      <c r="AY34" s="18" cm="1">
        <f t="array" ref="AY34">flatInterpolation($AG34,$S$4:$S$9,AX$5:AX$10)</f>
        <v>7.4999999999999997E-3</v>
      </c>
      <c r="AZ34" s="26">
        <f t="shared" ref="AZ34" si="294">EXP(-AY34*YearFraction)*AZ33</f>
        <v>0.94530268612178658</v>
      </c>
      <c r="BA34" s="122">
        <f t="shared" si="13"/>
        <v>1.7741052403837942E-3</v>
      </c>
      <c r="BB34" s="116"/>
      <c r="BC34" s="18" cm="1">
        <f t="array" ref="BC34">flatInterpolation($AG34,$S$4:$S$9,BB$5:BB$10)</f>
        <v>7.5001E-3</v>
      </c>
      <c r="BD34" s="26">
        <f t="shared" ref="BD34" si="295">EXP(-BC34*YearFraction)*BD33</f>
        <v>0.94530254432639393</v>
      </c>
      <c r="BE34" s="122">
        <f t="shared" si="15"/>
        <v>1.7741286511846477E-3</v>
      </c>
    </row>
    <row r="35" spans="3:57" x14ac:dyDescent="0.3">
      <c r="S35" s="17">
        <f>S9</f>
        <v>10</v>
      </c>
      <c r="T35" s="18" cm="1">
        <f t="array" ref="T35">flatInterpolation(S35,Calibration.Times,Calibration.HazardRates)</f>
        <v>7.4999999999999997E-3</v>
      </c>
      <c r="X35" s="24">
        <f t="shared" ref="X35" si="296">X34+YearFraction</f>
        <v>7.75</v>
      </c>
      <c r="Y35" s="25" cm="1">
        <f t="array" ref="Y35">flatInterpolation(X35,$S$4:$S$9,$T$4:$T$9)</f>
        <v>7.4999999999999997E-3</v>
      </c>
      <c r="Z35" s="26">
        <f t="shared" ref="Z35" si="297">EXP(-Y35*YearFraction)*Z34</f>
        <v>0.94353199856532732</v>
      </c>
      <c r="AA35" s="26">
        <f t="shared" si="3"/>
        <v>1.7707820867325363E-3</v>
      </c>
      <c r="AB35" s="27" cm="1">
        <f t="array" ref="AB35">cubicInterpolation(CurveResults.Times,CurveResults.DFs,$X35)</f>
        <v>0.73562692391484197</v>
      </c>
      <c r="AG35" s="24">
        <f t="shared" ref="AG35" si="298">AG34+YearFraction</f>
        <v>7.75</v>
      </c>
      <c r="AI35" s="18" cm="1">
        <f t="array" ref="AI35">flatInterpolation($AG35,$S$4:$S$9,AH$5:AH$10)</f>
        <v>7.4999999999999997E-3</v>
      </c>
      <c r="AJ35" s="26">
        <f t="shared" ref="AJ35" si="299">EXP(-AI35*YearFraction)*AJ34</f>
        <v>0.94353190421213229</v>
      </c>
      <c r="AK35" s="122">
        <f t="shared" si="5"/>
        <v>1.7707819096542954E-3</v>
      </c>
      <c r="AL35" s="116"/>
      <c r="AM35" s="18" cm="1">
        <f t="array" ref="AM35">flatInterpolation($AG35,$S$4:$S$9,AL$5:AL$10)</f>
        <v>7.4999999999999997E-3</v>
      </c>
      <c r="AN35" s="26">
        <f t="shared" ref="AN35" si="300">EXP(-AM35*YearFraction)*AN34</f>
        <v>0.94353190421213251</v>
      </c>
      <c r="AO35" s="122">
        <f t="shared" si="7"/>
        <v>1.7707819096542954E-3</v>
      </c>
      <c r="AP35" s="116"/>
      <c r="AQ35" s="18" cm="1">
        <f t="array" ref="AQ35">flatInterpolation($AG35,$S$4:$S$9,AP$5:AP$10)</f>
        <v>7.4999999999999997E-3</v>
      </c>
      <c r="AR35" s="26">
        <f t="shared" ref="AR35" si="301">EXP(-AQ35*YearFraction)*AR34</f>
        <v>0.94353190421213251</v>
      </c>
      <c r="AS35" s="122">
        <f t="shared" si="9"/>
        <v>1.7707819096542954E-3</v>
      </c>
      <c r="AT35" s="116"/>
      <c r="AU35" s="18" cm="1">
        <f t="array" ref="AU35">flatInterpolation($AG35,$S$4:$S$9,AT$5:AT$10)</f>
        <v>7.4999999999999997E-3</v>
      </c>
      <c r="AV35" s="26">
        <f t="shared" ref="AV35" si="302">EXP(-AU35*YearFraction)*AV34</f>
        <v>0.94353190421213229</v>
      </c>
      <c r="AW35" s="122">
        <f t="shared" si="11"/>
        <v>1.7707819096542954E-3</v>
      </c>
      <c r="AX35" s="116"/>
      <c r="AY35" s="18" cm="1">
        <f t="array" ref="AY35">flatInterpolation($AG35,$S$4:$S$9,AX$5:AX$10)</f>
        <v>7.4999999999999997E-3</v>
      </c>
      <c r="AZ35" s="26">
        <f t="shared" ref="AZ35" si="303">EXP(-AY35*YearFraction)*AZ34</f>
        <v>0.94353190421213229</v>
      </c>
      <c r="BA35" s="122">
        <f t="shared" si="13"/>
        <v>1.7707819096542954E-3</v>
      </c>
      <c r="BB35" s="116"/>
      <c r="BC35" s="18" cm="1">
        <f t="array" ref="BC35">flatInterpolation($AG35,$S$4:$S$9,BB$5:BB$10)</f>
        <v>7.5001E-3</v>
      </c>
      <c r="BD35" s="26">
        <f t="shared" ref="BD35" si="304">EXP(-BC35*YearFraction)*BD34</f>
        <v>0.94353173909406307</v>
      </c>
      <c r="BE35" s="122">
        <f t="shared" si="15"/>
        <v>1.7708052323308632E-3</v>
      </c>
    </row>
    <row r="36" spans="3:57" x14ac:dyDescent="0.3">
      <c r="O36" s="55" t="s">
        <v>147</v>
      </c>
      <c r="T36" s="2"/>
      <c r="X36" s="24">
        <f t="shared" ref="X36" si="305">X35+YearFraction</f>
        <v>8</v>
      </c>
      <c r="Y36" s="25" cm="1">
        <f t="array" ref="Y36">flatInterpolation(X36,$S$4:$S$9,$T$4:$T$9)</f>
        <v>7.4999999999999997E-3</v>
      </c>
      <c r="Z36" s="26">
        <f t="shared" ref="Z36" si="306">EXP(-Y36*YearFraction)*Z35</f>
        <v>0.94176453358424905</v>
      </c>
      <c r="AA36" s="26">
        <f t="shared" si="3"/>
        <v>1.7674649810782705E-3</v>
      </c>
      <c r="AB36" s="27" cm="1">
        <f t="array" ref="AB36">cubicInterpolation(CurveResults.Times,CurveResults.DFs,$X36)</f>
        <v>0.72878404327648572</v>
      </c>
      <c r="AG36" s="24">
        <f t="shared" ref="AG36" si="307">AG35+YearFraction</f>
        <v>8</v>
      </c>
      <c r="AI36" s="18" cm="1">
        <f t="array" ref="AI36">flatInterpolation($AG36,$S$4:$S$9,AH$5:AH$10)</f>
        <v>7.4999999999999997E-3</v>
      </c>
      <c r="AJ36" s="26">
        <f t="shared" ref="AJ36" si="308">EXP(-AI36*YearFraction)*AJ35</f>
        <v>0.94176443940780052</v>
      </c>
      <c r="AK36" s="122">
        <f t="shared" si="5"/>
        <v>1.7674648043317642E-3</v>
      </c>
      <c r="AL36" s="116"/>
      <c r="AM36" s="18" cm="1">
        <f t="array" ref="AM36">flatInterpolation($AG36,$S$4:$S$9,AL$5:AL$10)</f>
        <v>7.4999999999999997E-3</v>
      </c>
      <c r="AN36" s="26">
        <f t="shared" ref="AN36" si="309">EXP(-AM36*YearFraction)*AN35</f>
        <v>0.94176443940780075</v>
      </c>
      <c r="AO36" s="122">
        <f t="shared" si="7"/>
        <v>1.7674648043317642E-3</v>
      </c>
      <c r="AP36" s="116"/>
      <c r="AQ36" s="18" cm="1">
        <f t="array" ref="AQ36">flatInterpolation($AG36,$S$4:$S$9,AP$5:AP$10)</f>
        <v>7.4999999999999997E-3</v>
      </c>
      <c r="AR36" s="26">
        <f t="shared" ref="AR36" si="310">EXP(-AQ36*YearFraction)*AR35</f>
        <v>0.94176443940780075</v>
      </c>
      <c r="AS36" s="122">
        <f t="shared" si="9"/>
        <v>1.7674648043317642E-3</v>
      </c>
      <c r="AT36" s="116"/>
      <c r="AU36" s="18" cm="1">
        <f t="array" ref="AU36">flatInterpolation($AG36,$S$4:$S$9,AT$5:AT$10)</f>
        <v>7.4999999999999997E-3</v>
      </c>
      <c r="AV36" s="26">
        <f t="shared" ref="AV36" si="311">EXP(-AU36*YearFraction)*AV35</f>
        <v>0.94176443940780052</v>
      </c>
      <c r="AW36" s="122">
        <f t="shared" si="11"/>
        <v>1.7674648043317642E-3</v>
      </c>
      <c r="AX36" s="116"/>
      <c r="AY36" s="18" cm="1">
        <f t="array" ref="AY36">flatInterpolation($AG36,$S$4:$S$9,AX$5:AX$10)</f>
        <v>7.4999999999999997E-3</v>
      </c>
      <c r="AZ36" s="26">
        <f t="shared" ref="AZ36" si="312">EXP(-AY36*YearFraction)*AZ35</f>
        <v>0.94176443940780052</v>
      </c>
      <c r="BA36" s="122">
        <f t="shared" si="13"/>
        <v>1.7674648043317642E-3</v>
      </c>
      <c r="BB36" s="116"/>
      <c r="BC36" s="18" cm="1">
        <f t="array" ref="BC36">flatInterpolation($AG36,$S$4:$S$9,BB$5:BB$10)</f>
        <v>7.5001E-3</v>
      </c>
      <c r="BD36" s="26">
        <f t="shared" ref="BD36" si="313">EXP(-BC36*YearFraction)*BD35</f>
        <v>0.941764251054931</v>
      </c>
      <c r="BE36" s="122">
        <f t="shared" si="15"/>
        <v>1.7674880391320702E-3</v>
      </c>
    </row>
    <row r="37" spans="3:57" x14ac:dyDescent="0.3">
      <c r="O37" s="46" t="b">
        <v>0</v>
      </c>
      <c r="X37" s="24">
        <f t="shared" ref="X37" si="314">X36+YearFraction</f>
        <v>8.25</v>
      </c>
      <c r="Y37" s="25" cm="1">
        <f t="array" ref="Y37">flatInterpolation(X37,$S$4:$S$9,$T$4:$T$9)</f>
        <v>7.4999999999999997E-3</v>
      </c>
      <c r="Z37" s="26">
        <f t="shared" ref="Z37" si="315">EXP(-Y37*YearFraction)*Z36</f>
        <v>0.9400003794950792</v>
      </c>
      <c r="AA37" s="26">
        <f t="shared" si="3"/>
        <v>1.7641540891698559E-3</v>
      </c>
      <c r="AB37" s="27" cm="1">
        <f t="array" ref="AB37">cubicInterpolation(CurveResults.Times,CurveResults.DFs,$X37)</f>
        <v>0.72197918670630057</v>
      </c>
      <c r="AG37" s="24">
        <f t="shared" ref="AG37" si="316">AG36+YearFraction</f>
        <v>8.25</v>
      </c>
      <c r="AI37" s="18" cm="1">
        <f t="array" ref="AI37">flatInterpolation($AG37,$S$4:$S$9,AH$5:AH$10)</f>
        <v>7.4999999999999997E-3</v>
      </c>
      <c r="AJ37" s="26">
        <f t="shared" ref="AJ37" si="317">EXP(-AI37*YearFraction)*AJ36</f>
        <v>0.94000028549504611</v>
      </c>
      <c r="AK37" s="122">
        <f t="shared" si="5"/>
        <v>1.7641539127544181E-3</v>
      </c>
      <c r="AL37" s="116"/>
      <c r="AM37" s="18" cm="1">
        <f t="array" ref="AM37">flatInterpolation($AG37,$S$4:$S$9,AL$5:AL$10)</f>
        <v>7.4999999999999997E-3</v>
      </c>
      <c r="AN37" s="26">
        <f t="shared" ref="AN37" si="318">EXP(-AM37*YearFraction)*AN36</f>
        <v>0.94000028549504633</v>
      </c>
      <c r="AO37" s="122">
        <f t="shared" si="7"/>
        <v>1.7641539127544181E-3</v>
      </c>
      <c r="AP37" s="116"/>
      <c r="AQ37" s="18" cm="1">
        <f t="array" ref="AQ37">flatInterpolation($AG37,$S$4:$S$9,AP$5:AP$10)</f>
        <v>7.4999999999999997E-3</v>
      </c>
      <c r="AR37" s="26">
        <f t="shared" ref="AR37" si="319">EXP(-AQ37*YearFraction)*AR36</f>
        <v>0.94000028549504633</v>
      </c>
      <c r="AS37" s="122">
        <f t="shared" si="9"/>
        <v>1.7641539127544181E-3</v>
      </c>
      <c r="AT37" s="116"/>
      <c r="AU37" s="18" cm="1">
        <f t="array" ref="AU37">flatInterpolation($AG37,$S$4:$S$9,AT$5:AT$10)</f>
        <v>7.4999999999999997E-3</v>
      </c>
      <c r="AV37" s="26">
        <f t="shared" ref="AV37" si="320">EXP(-AU37*YearFraction)*AV36</f>
        <v>0.94000028549504611</v>
      </c>
      <c r="AW37" s="122">
        <f t="shared" si="11"/>
        <v>1.7641539127544181E-3</v>
      </c>
      <c r="AX37" s="116"/>
      <c r="AY37" s="18" cm="1">
        <f t="array" ref="AY37">flatInterpolation($AG37,$S$4:$S$9,AX$5:AX$10)</f>
        <v>7.4999999999999997E-3</v>
      </c>
      <c r="AZ37" s="26">
        <f t="shared" ref="AZ37" si="321">EXP(-AY37*YearFraction)*AZ36</f>
        <v>0.94000028549504611</v>
      </c>
      <c r="BA37" s="122">
        <f t="shared" si="13"/>
        <v>1.7641539127544181E-3</v>
      </c>
      <c r="BB37" s="116"/>
      <c r="BC37" s="18" cm="1">
        <f t="array" ref="BC37">flatInterpolation($AG37,$S$4:$S$9,BB$5:BB$10)</f>
        <v>7.5001E-3</v>
      </c>
      <c r="BD37" s="26">
        <f t="shared" ref="BD37" si="322">EXP(-BC37*YearFraction)*BD36</f>
        <v>0.94000007399500507</v>
      </c>
      <c r="BE37" s="122">
        <f t="shared" si="15"/>
        <v>1.764177059925931E-3</v>
      </c>
    </row>
    <row r="38" spans="3:57" x14ac:dyDescent="0.3">
      <c r="X38" s="24">
        <f t="shared" ref="X38" si="323">X37+YearFraction</f>
        <v>8.5</v>
      </c>
      <c r="Y38" s="25" cm="1">
        <f t="array" ref="Y38">flatInterpolation(X38,$S$4:$S$9,$T$4:$T$9)</f>
        <v>7.4999999999999997E-3</v>
      </c>
      <c r="Z38" s="26">
        <f t="shared" ref="Z38" si="324">EXP(-Y38*YearFraction)*Z37</f>
        <v>0.9382395300957117</v>
      </c>
      <c r="AA38" s="26">
        <f t="shared" si="3"/>
        <v>1.7608493993674923E-3</v>
      </c>
      <c r="AB38" s="27" cm="1">
        <f t="array" ref="AB38">cubicInterpolation(CurveResults.Times,CurveResults.DFs,$X38)</f>
        <v>0.71521904339088416</v>
      </c>
      <c r="AG38" s="24">
        <f t="shared" ref="AG38" si="325">AG37+YearFraction</f>
        <v>8.5</v>
      </c>
      <c r="AI38" s="18" cm="1">
        <f t="array" ref="AI38">flatInterpolation($AG38,$S$4:$S$9,AH$5:AH$10)</f>
        <v>7.4999999999999997E-3</v>
      </c>
      <c r="AJ38" s="26">
        <f t="shared" ref="AJ38" si="326">EXP(-AI38*YearFraction)*AJ37</f>
        <v>0.93823943627176354</v>
      </c>
      <c r="AK38" s="122">
        <f t="shared" si="5"/>
        <v>1.7608492232825679E-3</v>
      </c>
      <c r="AL38" s="116"/>
      <c r="AM38" s="18" cm="1">
        <f t="array" ref="AM38">flatInterpolation($AG38,$S$4:$S$9,AL$5:AL$10)</f>
        <v>7.4999999999999997E-3</v>
      </c>
      <c r="AN38" s="26">
        <f t="shared" ref="AN38" si="327">EXP(-AM38*YearFraction)*AN37</f>
        <v>0.93823943627176376</v>
      </c>
      <c r="AO38" s="122">
        <f t="shared" si="7"/>
        <v>1.7608492232825679E-3</v>
      </c>
      <c r="AP38" s="116"/>
      <c r="AQ38" s="18" cm="1">
        <f t="array" ref="AQ38">flatInterpolation($AG38,$S$4:$S$9,AP$5:AP$10)</f>
        <v>7.4999999999999997E-3</v>
      </c>
      <c r="AR38" s="26">
        <f t="shared" ref="AR38" si="328">EXP(-AQ38*YearFraction)*AR37</f>
        <v>0.93823943627176376</v>
      </c>
      <c r="AS38" s="122">
        <f t="shared" si="9"/>
        <v>1.7608492232825679E-3</v>
      </c>
      <c r="AT38" s="116"/>
      <c r="AU38" s="18" cm="1">
        <f t="array" ref="AU38">flatInterpolation($AG38,$S$4:$S$9,AT$5:AT$10)</f>
        <v>7.4999999999999997E-3</v>
      </c>
      <c r="AV38" s="26">
        <f t="shared" ref="AV38" si="329">EXP(-AU38*YearFraction)*AV37</f>
        <v>0.93823943627176354</v>
      </c>
      <c r="AW38" s="122">
        <f t="shared" si="11"/>
        <v>1.7608492232825679E-3</v>
      </c>
      <c r="AX38" s="116"/>
      <c r="AY38" s="18" cm="1">
        <f t="array" ref="AY38">flatInterpolation($AG38,$S$4:$S$9,AX$5:AX$10)</f>
        <v>7.4999999999999997E-3</v>
      </c>
      <c r="AZ38" s="26">
        <f t="shared" ref="AZ38" si="330">EXP(-AY38*YearFraction)*AZ37</f>
        <v>0.93823943627176354</v>
      </c>
      <c r="BA38" s="122">
        <f t="shared" si="13"/>
        <v>1.7608492232825679E-3</v>
      </c>
      <c r="BB38" s="116"/>
      <c r="BC38" s="18" cm="1">
        <f t="array" ref="BC38">flatInterpolation($AG38,$S$4:$S$9,BB$5:BB$10)</f>
        <v>7.5001E-3</v>
      </c>
      <c r="BD38" s="26">
        <f t="shared" ref="BD38" si="331">EXP(-BC38*YearFraction)*BD37</f>
        <v>0.93823920171193309</v>
      </c>
      <c r="BE38" s="122">
        <f t="shared" si="15"/>
        <v>1.7608722830719792E-3</v>
      </c>
    </row>
    <row r="39" spans="3:57" x14ac:dyDescent="0.3">
      <c r="U39" s="2"/>
      <c r="V39" s="2"/>
      <c r="W39" s="2"/>
      <c r="X39" s="24">
        <f t="shared" ref="X39" si="332">X38+YearFraction</f>
        <v>8.75</v>
      </c>
      <c r="Y39" s="25" cm="1">
        <f t="array" ref="Y39">flatInterpolation(X39,$S$4:$S$9,$T$4:$T$9)</f>
        <v>7.4999999999999997E-3</v>
      </c>
      <c r="Z39" s="26">
        <f t="shared" ref="Z39" si="333">EXP(-Y39*YearFraction)*Z38</f>
        <v>0.93648197919565856</v>
      </c>
      <c r="AA39" s="26">
        <f t="shared" si="3"/>
        <v>1.7575509000531397E-3</v>
      </c>
      <c r="AB39" s="27" cm="1">
        <f t="array" ref="AB39">cubicInterpolation(CurveResults.Times,CurveResults.DFs,$X39)</f>
        <v>0.70850408855642577</v>
      </c>
      <c r="AG39" s="24">
        <f t="shared" ref="AG39" si="334">AG38+YearFraction</f>
        <v>8.75</v>
      </c>
      <c r="AI39" s="18" cm="1">
        <f t="array" ref="AI39">flatInterpolation($AG39,$S$4:$S$9,AH$5:AH$10)</f>
        <v>7.4999999999999997E-3</v>
      </c>
      <c r="AJ39" s="26">
        <f t="shared" ref="AJ39" si="335">EXP(-AI39*YearFraction)*AJ38</f>
        <v>0.93648188554746548</v>
      </c>
      <c r="AK39" s="122">
        <f t="shared" si="5"/>
        <v>1.7575507242980626E-3</v>
      </c>
      <c r="AL39" s="116"/>
      <c r="AM39" s="18" cm="1">
        <f t="array" ref="AM39">flatInterpolation($AG39,$S$4:$S$9,AL$5:AL$10)</f>
        <v>7.4999999999999997E-3</v>
      </c>
      <c r="AN39" s="26">
        <f t="shared" ref="AN39" si="336">EXP(-AM39*YearFraction)*AN38</f>
        <v>0.9364818855474657</v>
      </c>
      <c r="AO39" s="122">
        <f t="shared" si="7"/>
        <v>1.7575507242980626E-3</v>
      </c>
      <c r="AP39" s="116"/>
      <c r="AQ39" s="18" cm="1">
        <f t="array" ref="AQ39">flatInterpolation($AG39,$S$4:$S$9,AP$5:AP$10)</f>
        <v>7.4999999999999997E-3</v>
      </c>
      <c r="AR39" s="26">
        <f t="shared" ref="AR39" si="337">EXP(-AQ39*YearFraction)*AR38</f>
        <v>0.9364818855474657</v>
      </c>
      <c r="AS39" s="122">
        <f t="shared" si="9"/>
        <v>1.7575507242980626E-3</v>
      </c>
      <c r="AT39" s="116"/>
      <c r="AU39" s="18" cm="1">
        <f t="array" ref="AU39">flatInterpolation($AG39,$S$4:$S$9,AT$5:AT$10)</f>
        <v>7.4999999999999997E-3</v>
      </c>
      <c r="AV39" s="26">
        <f t="shared" ref="AV39" si="338">EXP(-AU39*YearFraction)*AV38</f>
        <v>0.93648188554746548</v>
      </c>
      <c r="AW39" s="122">
        <f t="shared" si="11"/>
        <v>1.7575507242980626E-3</v>
      </c>
      <c r="AX39" s="116"/>
      <c r="AY39" s="18" cm="1">
        <f t="array" ref="AY39">flatInterpolation($AG39,$S$4:$S$9,AX$5:AX$10)</f>
        <v>7.4999999999999997E-3</v>
      </c>
      <c r="AZ39" s="26">
        <f t="shared" ref="AZ39" si="339">EXP(-AY39*YearFraction)*AZ38</f>
        <v>0.93648188554746548</v>
      </c>
      <c r="BA39" s="122">
        <f t="shared" si="13"/>
        <v>1.7575507242980626E-3</v>
      </c>
      <c r="BB39" s="116"/>
      <c r="BC39" s="18" cm="1">
        <f t="array" ref="BC39">flatInterpolation($AG39,$S$4:$S$9,BB$5:BB$10)</f>
        <v>7.5001E-3</v>
      </c>
      <c r="BD39" s="26">
        <f t="shared" ref="BD39" si="340">EXP(-BC39*YearFraction)*BD38</f>
        <v>0.93648162801498158</v>
      </c>
      <c r="BE39" s="122">
        <f t="shared" si="15"/>
        <v>1.7575736969515088E-3</v>
      </c>
    </row>
    <row r="40" spans="3:57" x14ac:dyDescent="0.3">
      <c r="K40" s="44" t="s">
        <v>42</v>
      </c>
      <c r="L40" s="2"/>
      <c r="M40" s="2"/>
      <c r="N40" s="2"/>
      <c r="O40" s="2"/>
      <c r="P40" s="45"/>
      <c r="Q40" s="2"/>
      <c r="R40" s="2"/>
      <c r="X40" s="24">
        <f t="shared" ref="X40" si="341">X39+YearFraction</f>
        <v>9</v>
      </c>
      <c r="Y40" s="25" cm="1">
        <f t="array" ref="Y40">flatInterpolation(X40,$S$4:$S$9,$T$4:$T$9)</f>
        <v>7.4999999999999997E-3</v>
      </c>
      <c r="Z40" s="26">
        <f t="shared" ref="Z40" si="342">EXP(-Y40*YearFraction)*Z39</f>
        <v>0.93472772061602805</v>
      </c>
      <c r="AA40" s="26">
        <f t="shared" si="3"/>
        <v>1.7542585796305188E-3</v>
      </c>
      <c r="AB40" s="27" cm="1">
        <f t="array" ref="AB40">cubicInterpolation(CurveResults.Times,CurveResults.DFs,$X40)</f>
        <v>0.70183479742911425</v>
      </c>
      <c r="AG40" s="24">
        <f t="shared" ref="AG40" si="343">AG39+YearFraction</f>
        <v>9</v>
      </c>
      <c r="AI40" s="18" cm="1">
        <f t="array" ref="AI40">flatInterpolation($AG40,$S$4:$S$9,AH$5:AH$10)</f>
        <v>7.4999999999999997E-3</v>
      </c>
      <c r="AJ40" s="26">
        <f t="shared" ref="AJ40" si="344">EXP(-AI40*YearFraction)*AJ39</f>
        <v>0.93472762714326085</v>
      </c>
      <c r="AK40" s="122">
        <f t="shared" si="5"/>
        <v>1.7542584042046228E-3</v>
      </c>
      <c r="AL40" s="116"/>
      <c r="AM40" s="18" cm="1">
        <f t="array" ref="AM40">flatInterpolation($AG40,$S$4:$S$9,AL$5:AL$10)</f>
        <v>7.4999999999999997E-3</v>
      </c>
      <c r="AN40" s="26">
        <f t="shared" ref="AN40" si="345">EXP(-AM40*YearFraction)*AN39</f>
        <v>0.93472762714326108</v>
      </c>
      <c r="AO40" s="122">
        <f t="shared" si="7"/>
        <v>1.7542584042046228E-3</v>
      </c>
      <c r="AP40" s="116"/>
      <c r="AQ40" s="18" cm="1">
        <f t="array" ref="AQ40">flatInterpolation($AG40,$S$4:$S$9,AP$5:AP$10)</f>
        <v>7.4999999999999997E-3</v>
      </c>
      <c r="AR40" s="26">
        <f t="shared" ref="AR40" si="346">EXP(-AQ40*YearFraction)*AR39</f>
        <v>0.93472762714326108</v>
      </c>
      <c r="AS40" s="122">
        <f t="shared" si="9"/>
        <v>1.7542584042046228E-3</v>
      </c>
      <c r="AT40" s="116"/>
      <c r="AU40" s="18" cm="1">
        <f t="array" ref="AU40">flatInterpolation($AG40,$S$4:$S$9,AT$5:AT$10)</f>
        <v>7.4999999999999997E-3</v>
      </c>
      <c r="AV40" s="26">
        <f t="shared" ref="AV40" si="347">EXP(-AU40*YearFraction)*AV39</f>
        <v>0.93472762714326085</v>
      </c>
      <c r="AW40" s="122">
        <f t="shared" si="11"/>
        <v>1.7542584042046228E-3</v>
      </c>
      <c r="AX40" s="116"/>
      <c r="AY40" s="18" cm="1">
        <f t="array" ref="AY40">flatInterpolation($AG40,$S$4:$S$9,AX$5:AX$10)</f>
        <v>7.4999999999999997E-3</v>
      </c>
      <c r="AZ40" s="26">
        <f t="shared" ref="AZ40" si="348">EXP(-AY40*YearFraction)*AZ39</f>
        <v>0.93472762714326085</v>
      </c>
      <c r="BA40" s="122">
        <f t="shared" si="13"/>
        <v>1.7542584042046228E-3</v>
      </c>
      <c r="BB40" s="116"/>
      <c r="BC40" s="18" cm="1">
        <f t="array" ref="BC40">flatInterpolation($AG40,$S$4:$S$9,BB$5:BB$10)</f>
        <v>7.5001E-3</v>
      </c>
      <c r="BD40" s="26">
        <f t="shared" ref="BD40" si="349">EXP(-BC40*YearFraction)*BD39</f>
        <v>0.9347273467250139</v>
      </c>
      <c r="BE40" s="122">
        <f t="shared" si="15"/>
        <v>1.7542812899676852E-3</v>
      </c>
    </row>
    <row r="41" spans="3:57" ht="15.6" x14ac:dyDescent="0.3">
      <c r="C41" s="54"/>
      <c r="D41" s="54"/>
      <c r="E41" s="54"/>
      <c r="F41" s="54"/>
      <c r="G41" s="54"/>
      <c r="H41" s="54"/>
      <c r="J41" s="54" t="s">
        <v>30</v>
      </c>
      <c r="K41" s="2" t="s">
        <v>31</v>
      </c>
      <c r="L41" s="2" t="s">
        <v>32</v>
      </c>
      <c r="M41" s="2" t="s">
        <v>33</v>
      </c>
      <c r="N41" s="2" t="s">
        <v>34</v>
      </c>
      <c r="O41" s="2" t="s">
        <v>35</v>
      </c>
      <c r="P41" s="2" t="s">
        <v>36</v>
      </c>
      <c r="Q41" s="2" t="s">
        <v>37</v>
      </c>
      <c r="R41" s="2" t="s">
        <v>38</v>
      </c>
      <c r="S41" s="2" t="s">
        <v>39</v>
      </c>
      <c r="T41" s="2" t="s">
        <v>40</v>
      </c>
      <c r="U41" s="2" t="s">
        <v>41</v>
      </c>
      <c r="V41" s="2"/>
      <c r="W41" s="2"/>
      <c r="X41" s="24">
        <f t="shared" ref="X41" si="350">X40+YearFraction</f>
        <v>9.25</v>
      </c>
      <c r="Y41" s="25" cm="1">
        <f t="array" ref="Y41">flatInterpolation(X41,$S$4:$S$9,$T$4:$T$9)</f>
        <v>7.4999999999999997E-3</v>
      </c>
      <c r="Z41" s="26">
        <f t="shared" ref="Z41" si="351">EXP(-Y41*YearFraction)*Z40</f>
        <v>0.93297674818950305</v>
      </c>
      <c r="AA41" s="26">
        <f t="shared" si="3"/>
        <v>1.7509724265249993E-3</v>
      </c>
      <c r="AB41" s="27" cm="1">
        <f t="array" ref="AB41">cubicInterpolation(CurveResults.Times,CurveResults.DFs,$X41)</f>
        <v>0.69522831370022098</v>
      </c>
      <c r="AG41" s="24">
        <f t="shared" ref="AG41" si="352">AG40+YearFraction</f>
        <v>9.25</v>
      </c>
      <c r="AI41" s="18" cm="1">
        <f t="array" ref="AI41">flatInterpolation($AG41,$S$4:$S$9,AH$5:AH$10)</f>
        <v>7.4999999999999997E-3</v>
      </c>
      <c r="AJ41" s="26">
        <f t="shared" ref="AJ41" si="353">EXP(-AI41*YearFraction)*AJ40</f>
        <v>0.93297665489183312</v>
      </c>
      <c r="AK41" s="122">
        <f t="shared" si="5"/>
        <v>1.7509722514277293E-3</v>
      </c>
      <c r="AL41" s="116"/>
      <c r="AM41" s="18" cm="1">
        <f t="array" ref="AM41">flatInterpolation($AG41,$S$4:$S$9,AL$5:AL$10)</f>
        <v>7.4999999999999997E-3</v>
      </c>
      <c r="AN41" s="26">
        <f t="shared" ref="AN41" si="354">EXP(-AM41*YearFraction)*AN40</f>
        <v>0.93297665489183335</v>
      </c>
      <c r="AO41" s="122">
        <f t="shared" si="7"/>
        <v>1.7509722514277293E-3</v>
      </c>
      <c r="AP41" s="116"/>
      <c r="AQ41" s="18" cm="1">
        <f t="array" ref="AQ41">flatInterpolation($AG41,$S$4:$S$9,AP$5:AP$10)</f>
        <v>7.4999999999999997E-3</v>
      </c>
      <c r="AR41" s="26">
        <f t="shared" ref="AR41" si="355">EXP(-AQ41*YearFraction)*AR40</f>
        <v>0.93297665489183335</v>
      </c>
      <c r="AS41" s="122">
        <f t="shared" si="9"/>
        <v>1.7509722514277293E-3</v>
      </c>
      <c r="AT41" s="116"/>
      <c r="AU41" s="18" cm="1">
        <f t="array" ref="AU41">flatInterpolation($AG41,$S$4:$S$9,AT$5:AT$10)</f>
        <v>7.4999999999999997E-3</v>
      </c>
      <c r="AV41" s="26">
        <f t="shared" ref="AV41" si="356">EXP(-AU41*YearFraction)*AV40</f>
        <v>0.93297665489183312</v>
      </c>
      <c r="AW41" s="122">
        <f t="shared" si="11"/>
        <v>1.7509722514277293E-3</v>
      </c>
      <c r="AX41" s="116"/>
      <c r="AY41" s="18" cm="1">
        <f t="array" ref="AY41">flatInterpolation($AG41,$S$4:$S$9,AX$5:AX$10)</f>
        <v>7.4999999999999997E-3</v>
      </c>
      <c r="AZ41" s="26">
        <f t="shared" ref="AZ41" si="357">EXP(-AY41*YearFraction)*AZ40</f>
        <v>0.93297665489183312</v>
      </c>
      <c r="BA41" s="122">
        <f t="shared" si="13"/>
        <v>1.7509722514277293E-3</v>
      </c>
      <c r="BB41" s="116"/>
      <c r="BC41" s="18" cm="1">
        <f t="array" ref="BC41">flatInterpolation($AG41,$S$4:$S$9,BB$5:BB$10)</f>
        <v>7.5001E-3</v>
      </c>
      <c r="BD41" s="26">
        <f t="shared" ref="BD41" si="358">EXP(-BC41*YearFraction)*BD40</f>
        <v>0.93297635167446857</v>
      </c>
      <c r="BE41" s="122">
        <f t="shared" si="15"/>
        <v>1.7509950505453231E-3</v>
      </c>
    </row>
    <row r="42" spans="3:57" x14ac:dyDescent="0.3">
      <c r="C42" s="2"/>
      <c r="D42" s="2"/>
      <c r="E42" s="2"/>
      <c r="F42" s="2"/>
      <c r="G42" s="2"/>
      <c r="H42" s="2"/>
      <c r="J42" s="2" t="s">
        <v>11</v>
      </c>
      <c r="K42" s="107">
        <v>7.4999999999999997E-3</v>
      </c>
      <c r="L42" s="108">
        <v>7.500002197266876E-3</v>
      </c>
      <c r="M42" s="108"/>
      <c r="N42" s="108"/>
      <c r="O42" s="108"/>
      <c r="P42" s="108"/>
      <c r="Q42" s="108"/>
      <c r="R42" s="108"/>
      <c r="S42" s="108"/>
      <c r="T42" s="108"/>
      <c r="U42" s="109"/>
      <c r="V42" s="103"/>
      <c r="W42" s="103"/>
      <c r="X42" s="24">
        <f t="shared" ref="X42" si="359">X41+YearFraction</f>
        <v>9.5</v>
      </c>
      <c r="Y42" s="25" cm="1">
        <f t="array" ref="Y42">flatInterpolation(X42,$S$4:$S$9,$T$4:$T$9)</f>
        <v>7.4999999999999997E-3</v>
      </c>
      <c r="Z42" s="26">
        <f t="shared" ref="Z42" si="360">EXP(-Y42*YearFraction)*Z41</f>
        <v>0.93122905576031934</v>
      </c>
      <c r="AA42" s="26">
        <f t="shared" si="3"/>
        <v>1.7476924291837115E-3</v>
      </c>
      <c r="AB42" s="27" cm="1">
        <f t="array" ref="AB42">cubicInterpolation(CurveResults.Times,CurveResults.DFs,$X42)</f>
        <v>0.68867871159434935</v>
      </c>
      <c r="AG42" s="24">
        <f t="shared" ref="AG42" si="361">AG41+YearFraction</f>
        <v>9.5</v>
      </c>
      <c r="AI42" s="18" cm="1">
        <f t="array" ref="AI42">flatInterpolation($AG42,$S$4:$S$9,AH$5:AH$10)</f>
        <v>7.4999999999999997E-3</v>
      </c>
      <c r="AJ42" s="26">
        <f t="shared" ref="AJ42" si="362">EXP(-AI42*YearFraction)*AJ41</f>
        <v>0.93122896263741861</v>
      </c>
      <c r="AK42" s="122">
        <f t="shared" si="5"/>
        <v>1.7476922544145124E-3</v>
      </c>
      <c r="AL42" s="116"/>
      <c r="AM42" s="18" cm="1">
        <f t="array" ref="AM42">flatInterpolation($AG42,$S$4:$S$9,AL$5:AL$10)</f>
        <v>7.4999999999999997E-3</v>
      </c>
      <c r="AN42" s="26">
        <f t="shared" ref="AN42" si="363">EXP(-AM42*YearFraction)*AN41</f>
        <v>0.93122896263741883</v>
      </c>
      <c r="AO42" s="122">
        <f t="shared" si="7"/>
        <v>1.7476922544145124E-3</v>
      </c>
      <c r="AP42" s="116"/>
      <c r="AQ42" s="18" cm="1">
        <f t="array" ref="AQ42">flatInterpolation($AG42,$S$4:$S$9,AP$5:AP$10)</f>
        <v>7.4999999999999997E-3</v>
      </c>
      <c r="AR42" s="26">
        <f t="shared" ref="AR42" si="364">EXP(-AQ42*YearFraction)*AR41</f>
        <v>0.93122896263741883</v>
      </c>
      <c r="AS42" s="122">
        <f t="shared" si="9"/>
        <v>1.7476922544145124E-3</v>
      </c>
      <c r="AT42" s="116"/>
      <c r="AU42" s="18" cm="1">
        <f t="array" ref="AU42">flatInterpolation($AG42,$S$4:$S$9,AT$5:AT$10)</f>
        <v>7.4999999999999997E-3</v>
      </c>
      <c r="AV42" s="26">
        <f t="shared" ref="AV42" si="365">EXP(-AU42*YearFraction)*AV41</f>
        <v>0.93122896263741861</v>
      </c>
      <c r="AW42" s="122">
        <f t="shared" si="11"/>
        <v>1.7476922544145124E-3</v>
      </c>
      <c r="AX42" s="116"/>
      <c r="AY42" s="18" cm="1">
        <f t="array" ref="AY42">flatInterpolation($AG42,$S$4:$S$9,AX$5:AX$10)</f>
        <v>7.4999999999999997E-3</v>
      </c>
      <c r="AZ42" s="26">
        <f t="shared" ref="AZ42" si="366">EXP(-AY42*YearFraction)*AZ41</f>
        <v>0.93122896263741861</v>
      </c>
      <c r="BA42" s="122">
        <f t="shared" si="13"/>
        <v>1.7476922544145124E-3</v>
      </c>
      <c r="BB42" s="116"/>
      <c r="BC42" s="18" cm="1">
        <f t="array" ref="BC42">flatInterpolation($AG42,$S$4:$S$9,BB$5:BB$10)</f>
        <v>7.5001E-3</v>
      </c>
      <c r="BD42" s="26">
        <f t="shared" ref="BD42" si="367">EXP(-BC42*YearFraction)*BD41</f>
        <v>0.9312286367073378</v>
      </c>
      <c r="BE42" s="122">
        <f t="shared" si="15"/>
        <v>1.7477149671307757E-3</v>
      </c>
    </row>
    <row r="43" spans="3:57" x14ac:dyDescent="0.3">
      <c r="C43" s="2"/>
      <c r="D43" s="2"/>
      <c r="E43" s="2"/>
      <c r="F43" s="2"/>
      <c r="G43" s="2"/>
      <c r="H43" s="2"/>
      <c r="J43" s="2" t="s">
        <v>12</v>
      </c>
      <c r="K43" s="110">
        <v>7.4999999999999997E-3</v>
      </c>
      <c r="L43" s="103">
        <v>7.5000021972668855E-3</v>
      </c>
      <c r="M43" s="103"/>
      <c r="N43" s="103"/>
      <c r="O43" s="103"/>
      <c r="P43" s="103"/>
      <c r="Q43" s="103"/>
      <c r="R43" s="103"/>
      <c r="S43" s="103"/>
      <c r="T43" s="103"/>
      <c r="U43" s="104"/>
      <c r="V43" s="103"/>
      <c r="W43" s="103"/>
      <c r="X43" s="24">
        <f t="shared" ref="X43" si="368">X42+YearFraction</f>
        <v>9.75</v>
      </c>
      <c r="Y43" s="25" cm="1">
        <f t="array" ref="Y43">flatInterpolation(X43,$S$4:$S$9,$T$4:$T$9)</f>
        <v>7.4999999999999997E-3</v>
      </c>
      <c r="Z43" s="26">
        <f t="shared" ref="Z43" si="369">EXP(-Y43*YearFraction)*Z42</f>
        <v>0.9294846371842439</v>
      </c>
      <c r="AA43" s="26">
        <f t="shared" si="3"/>
        <v>1.7444185760754349E-3</v>
      </c>
      <c r="AB43" s="27" cm="1">
        <f t="array" ref="AB43">cubicInterpolation(CurveResults.Times,CurveResults.DFs,$X43)</f>
        <v>0.6821518621376863</v>
      </c>
      <c r="AG43" s="24">
        <f t="shared" ref="AG43" si="370">AG42+YearFraction</f>
        <v>9.75</v>
      </c>
      <c r="AI43" s="18" cm="1">
        <f t="array" ref="AI43">flatInterpolation($AG43,$S$4:$S$9,AH$5:AH$10)</f>
        <v>7.4999999999999997E-3</v>
      </c>
      <c r="AJ43" s="26">
        <f t="shared" ref="AJ43" si="371">EXP(-AI43*YearFraction)*AJ42</f>
        <v>0.92948454423578508</v>
      </c>
      <c r="AK43" s="122">
        <f t="shared" si="5"/>
        <v>1.7444184016335296E-3</v>
      </c>
      <c r="AL43" s="116"/>
      <c r="AM43" s="18" cm="1">
        <f t="array" ref="AM43">flatInterpolation($AG43,$S$4:$S$9,AL$5:AL$10)</f>
        <v>7.4999999999999997E-3</v>
      </c>
      <c r="AN43" s="26">
        <f t="shared" ref="AN43" si="372">EXP(-AM43*YearFraction)*AN42</f>
        <v>0.9294845442357853</v>
      </c>
      <c r="AO43" s="122">
        <f t="shared" si="7"/>
        <v>1.7444184016335296E-3</v>
      </c>
      <c r="AP43" s="116"/>
      <c r="AQ43" s="18" cm="1">
        <f t="array" ref="AQ43">flatInterpolation($AG43,$S$4:$S$9,AP$5:AP$10)</f>
        <v>7.4999999999999997E-3</v>
      </c>
      <c r="AR43" s="26">
        <f t="shared" ref="AR43" si="373">EXP(-AQ43*YearFraction)*AR42</f>
        <v>0.9294845442357853</v>
      </c>
      <c r="AS43" s="122">
        <f t="shared" si="9"/>
        <v>1.7444184016335296E-3</v>
      </c>
      <c r="AT43" s="116"/>
      <c r="AU43" s="18" cm="1">
        <f t="array" ref="AU43">flatInterpolation($AG43,$S$4:$S$9,AT$5:AT$10)</f>
        <v>7.4999999999999997E-3</v>
      </c>
      <c r="AV43" s="26">
        <f t="shared" ref="AV43" si="374">EXP(-AU43*YearFraction)*AV42</f>
        <v>0.92948454423578508</v>
      </c>
      <c r="AW43" s="122">
        <f t="shared" si="11"/>
        <v>1.7444184016335296E-3</v>
      </c>
      <c r="AX43" s="116"/>
      <c r="AY43" s="18" cm="1">
        <f t="array" ref="AY43">flatInterpolation($AG43,$S$4:$S$9,AX$5:AX$10)</f>
        <v>7.4999999999999997E-3</v>
      </c>
      <c r="AZ43" s="26">
        <f t="shared" ref="AZ43" si="375">EXP(-AY43*YearFraction)*AZ42</f>
        <v>0.92948454423578508</v>
      </c>
      <c r="BA43" s="122">
        <f t="shared" si="13"/>
        <v>1.7444184016335296E-3</v>
      </c>
      <c r="BB43" s="116"/>
      <c r="BC43" s="18" cm="1">
        <f t="array" ref="BC43">flatInterpolation($AG43,$S$4:$S$9,BB$5:BB$10)</f>
        <v>7.5001E-3</v>
      </c>
      <c r="BD43" s="26">
        <f t="shared" ref="BD43" si="376">EXP(-BC43*YearFraction)*BD42</f>
        <v>0.92948419567914531</v>
      </c>
      <c r="BE43" s="122">
        <f t="shared" si="15"/>
        <v>1.7444410281924894E-3</v>
      </c>
    </row>
    <row r="44" spans="3:57" x14ac:dyDescent="0.3">
      <c r="C44" s="2"/>
      <c r="D44" s="2"/>
      <c r="E44" s="2"/>
      <c r="F44" s="2"/>
      <c r="G44" s="2"/>
      <c r="H44" s="2"/>
      <c r="J44" s="2" t="s">
        <v>13</v>
      </c>
      <c r="K44" s="110">
        <v>7.4999999999999997E-3</v>
      </c>
      <c r="L44" s="103">
        <v>7.5000021972667849E-3</v>
      </c>
      <c r="M44" s="103"/>
      <c r="N44" s="103"/>
      <c r="O44" s="103"/>
      <c r="P44" s="103"/>
      <c r="Q44" s="103"/>
      <c r="R44" s="103"/>
      <c r="S44" s="103"/>
      <c r="T44" s="103"/>
      <c r="U44" s="104"/>
      <c r="V44" s="103"/>
      <c r="W44" s="103"/>
      <c r="X44" s="9">
        <f t="shared" ref="X44" si="377">X43+YearFraction</f>
        <v>10</v>
      </c>
      <c r="Y44" s="19" cm="1">
        <f t="array" ref="Y44">flatInterpolation(X44,$S$4:$S$9,$T$4:$T$9)</f>
        <v>7.4999999999999997E-3</v>
      </c>
      <c r="Z44" s="14">
        <f t="shared" ref="Z44" si="378">EXP(-Y44*YearFraction)*Z43</f>
        <v>0.92774348632855341</v>
      </c>
      <c r="AA44" s="14">
        <f t="shared" si="3"/>
        <v>1.7411508556904876E-3</v>
      </c>
      <c r="AB44" s="15" cm="1">
        <f t="array" ref="AB44">cubicInterpolation(CurveResults.Times,CurveResults.DFs,$X44)</f>
        <v>0.67561363635641902</v>
      </c>
      <c r="AG44" s="9">
        <f t="shared" ref="AG44" si="379">AG43+YearFraction</f>
        <v>10</v>
      </c>
      <c r="AH44" s="113"/>
      <c r="AI44" s="36" cm="1">
        <f t="array" ref="AI44">flatInterpolation($AG44,$S$4:$S$9,AH$5:AH$10)</f>
        <v>7.4999999999999997E-3</v>
      </c>
      <c r="AJ44" s="14">
        <f t="shared" ref="AJ44" si="380">EXP(-AI44*YearFraction)*AJ43</f>
        <v>0.92774339355420965</v>
      </c>
      <c r="AK44" s="123">
        <f t="shared" si="5"/>
        <v>1.7411506815754318E-3</v>
      </c>
      <c r="AL44" s="112"/>
      <c r="AM44" s="36" cm="1">
        <f t="array" ref="AM44">flatInterpolation($AG44,$S$4:$S$9,AL$5:AL$10)</f>
        <v>7.4999999999999997E-3</v>
      </c>
      <c r="AN44" s="14">
        <f t="shared" ref="AN44" si="381">EXP(-AM44*YearFraction)*AN43</f>
        <v>0.92774339355420987</v>
      </c>
      <c r="AO44" s="123">
        <f t="shared" si="7"/>
        <v>1.7411506815754318E-3</v>
      </c>
      <c r="AP44" s="112"/>
      <c r="AQ44" s="36" cm="1">
        <f t="array" ref="AQ44">flatInterpolation($AG44,$S$4:$S$9,AP$5:AP$10)</f>
        <v>7.4999999999999997E-3</v>
      </c>
      <c r="AR44" s="14">
        <f t="shared" ref="AR44" si="382">EXP(-AQ44*YearFraction)*AR43</f>
        <v>0.92774339355420987</v>
      </c>
      <c r="AS44" s="123">
        <f t="shared" si="9"/>
        <v>1.7411506815754318E-3</v>
      </c>
      <c r="AT44" s="112"/>
      <c r="AU44" s="36" cm="1">
        <f t="array" ref="AU44">flatInterpolation($AG44,$S$4:$S$9,AT$5:AT$10)</f>
        <v>7.4999999999999997E-3</v>
      </c>
      <c r="AV44" s="14">
        <f t="shared" ref="AV44" si="383">EXP(-AU44*YearFraction)*AV43</f>
        <v>0.92774339355420965</v>
      </c>
      <c r="AW44" s="123">
        <f t="shared" si="11"/>
        <v>1.7411506815754318E-3</v>
      </c>
      <c r="AX44" s="112"/>
      <c r="AY44" s="36" cm="1">
        <f t="array" ref="AY44">flatInterpolation($AG44,$S$4:$S$9,AX$5:AX$10)</f>
        <v>7.4999999999999997E-3</v>
      </c>
      <c r="AZ44" s="14">
        <f t="shared" ref="AZ44" si="384">EXP(-AY44*YearFraction)*AZ43</f>
        <v>0.92774339355420965</v>
      </c>
      <c r="BA44" s="123">
        <f t="shared" si="13"/>
        <v>1.7411506815754318E-3</v>
      </c>
      <c r="BB44" s="112"/>
      <c r="BC44" s="36" cm="1">
        <f t="array" ref="BC44">flatInterpolation($AG44,$S$4:$S$9,BB$5:BB$10)</f>
        <v>7.5001E-3</v>
      </c>
      <c r="BD44" s="14">
        <f t="shared" ref="BD44" si="385">EXP(-BC44*YearFraction)*BD43</f>
        <v>0.92774302245692541</v>
      </c>
      <c r="BE44" s="123">
        <f t="shared" si="15"/>
        <v>1.7411732222198939E-3</v>
      </c>
    </row>
    <row r="45" spans="3:57" x14ac:dyDescent="0.3">
      <c r="C45" s="2"/>
      <c r="D45" s="2"/>
      <c r="E45" s="2"/>
      <c r="F45" s="2"/>
      <c r="G45" s="2"/>
      <c r="H45" s="2"/>
      <c r="J45" s="2" t="s">
        <v>14</v>
      </c>
      <c r="K45" s="110">
        <v>7.4999999999999997E-3</v>
      </c>
      <c r="L45" s="103">
        <v>7.5000021972667771E-3</v>
      </c>
      <c r="M45" s="103"/>
      <c r="N45" s="103"/>
      <c r="O45" s="103"/>
      <c r="P45" s="103"/>
      <c r="Q45" s="103"/>
      <c r="R45" s="103"/>
      <c r="S45" s="103"/>
      <c r="T45" s="103"/>
      <c r="U45" s="104"/>
      <c r="V45" s="103"/>
      <c r="W45" s="103"/>
    </row>
    <row r="46" spans="3:57" x14ac:dyDescent="0.3">
      <c r="C46" s="2"/>
      <c r="D46" s="2"/>
      <c r="E46" s="2"/>
      <c r="F46" s="2"/>
      <c r="G46" s="2"/>
      <c r="H46" s="2"/>
      <c r="J46" s="2" t="s">
        <v>15</v>
      </c>
      <c r="K46" s="110">
        <v>7.4999999999999997E-3</v>
      </c>
      <c r="L46" s="103">
        <v>7.5000021972668586E-3</v>
      </c>
      <c r="M46" s="103"/>
      <c r="N46" s="103"/>
      <c r="O46" s="103"/>
      <c r="P46" s="103"/>
      <c r="Q46" s="103"/>
      <c r="R46" s="103"/>
      <c r="S46" s="103"/>
      <c r="T46" s="103"/>
      <c r="U46" s="104"/>
      <c r="V46" s="103"/>
      <c r="W46" s="103"/>
    </row>
    <row r="47" spans="3:57" x14ac:dyDescent="0.3">
      <c r="C47" s="2"/>
      <c r="D47" s="2"/>
      <c r="E47" s="2"/>
      <c r="F47" s="2"/>
      <c r="G47" s="2"/>
      <c r="H47" s="2"/>
      <c r="J47" s="2" t="s">
        <v>16</v>
      </c>
      <c r="K47" s="111">
        <v>7.4999999999999997E-3</v>
      </c>
      <c r="L47" s="105">
        <v>7.500002197267072E-3</v>
      </c>
      <c r="M47" s="105"/>
      <c r="N47" s="105"/>
      <c r="O47" s="105"/>
      <c r="P47" s="105"/>
      <c r="Q47" s="105"/>
      <c r="R47" s="105"/>
      <c r="S47" s="105"/>
      <c r="T47" s="105"/>
      <c r="U47" s="106"/>
      <c r="V47" s="103"/>
      <c r="W47" s="103"/>
      <c r="AH47" s="39" t="s">
        <v>107</v>
      </c>
    </row>
    <row r="48" spans="3:57" x14ac:dyDescent="0.3">
      <c r="AH48" s="148">
        <v>9.9999999999999995E-8</v>
      </c>
    </row>
    <row r="50" spans="3:49" x14ac:dyDescent="0.3">
      <c r="K50" s="55" t="s">
        <v>332</v>
      </c>
      <c r="Y50" s="1" t="s">
        <v>87</v>
      </c>
      <c r="AH50" s="1" t="s">
        <v>86</v>
      </c>
    </row>
    <row r="51" spans="3:49" x14ac:dyDescent="0.3">
      <c r="K51" s="171" t="s">
        <v>108</v>
      </c>
      <c r="L51" s="43" t="s">
        <v>109</v>
      </c>
    </row>
    <row r="52" spans="3:49" ht="15.6" x14ac:dyDescent="0.3">
      <c r="C52" s="39"/>
      <c r="D52" s="39"/>
      <c r="E52" s="39"/>
      <c r="F52" s="39"/>
      <c r="G52" s="39"/>
      <c r="H52" s="39"/>
      <c r="I52" s="39"/>
      <c r="J52" s="39" t="s">
        <v>52</v>
      </c>
      <c r="K52" s="2" t="s">
        <v>54</v>
      </c>
      <c r="L52" s="2" t="s">
        <v>55</v>
      </c>
      <c r="M52" s="2" t="s">
        <v>56</v>
      </c>
      <c r="N52" s="2" t="s">
        <v>57</v>
      </c>
      <c r="O52" s="2" t="s">
        <v>58</v>
      </c>
      <c r="P52" s="2" t="s">
        <v>59</v>
      </c>
      <c r="X52" s="39" t="s">
        <v>52</v>
      </c>
      <c r="Y52" s="2" t="s">
        <v>54</v>
      </c>
      <c r="Z52" s="2" t="s">
        <v>55</v>
      </c>
      <c r="AA52" s="2" t="s">
        <v>56</v>
      </c>
      <c r="AB52" s="2" t="s">
        <v>57</v>
      </c>
      <c r="AC52" s="2" t="s">
        <v>58</v>
      </c>
      <c r="AD52" s="2" t="s">
        <v>59</v>
      </c>
      <c r="AG52" s="39" t="s">
        <v>52</v>
      </c>
      <c r="AH52" s="2" t="s">
        <v>54</v>
      </c>
      <c r="AI52" s="2" t="s">
        <v>55</v>
      </c>
      <c r="AJ52" s="2" t="s">
        <v>56</v>
      </c>
      <c r="AK52" s="2" t="s">
        <v>57</v>
      </c>
      <c r="AL52" s="2" t="s">
        <v>58</v>
      </c>
      <c r="AM52" s="2" t="s">
        <v>59</v>
      </c>
    </row>
    <row r="53" spans="3:49" ht="15.6" x14ac:dyDescent="0.3">
      <c r="C53" s="2"/>
      <c r="D53" s="2"/>
      <c r="E53" s="2"/>
      <c r="F53" s="2"/>
      <c r="G53" s="2"/>
      <c r="H53" s="2"/>
      <c r="I53" s="2"/>
      <c r="J53" s="2" t="s">
        <v>60</v>
      </c>
      <c r="K53" s="89">
        <f t="shared" ref="K53:P58" si="386">IF($K$51="ANALYTICAL",Y53,AH53)</f>
        <v>0.59999947339510473</v>
      </c>
      <c r="L53" s="90">
        <f t="shared" si="386"/>
        <v>0</v>
      </c>
      <c r="M53" s="90">
        <f t="shared" si="386"/>
        <v>0</v>
      </c>
      <c r="N53" s="90">
        <f t="shared" si="386"/>
        <v>0</v>
      </c>
      <c r="O53" s="90">
        <f t="shared" si="386"/>
        <v>0</v>
      </c>
      <c r="P53" s="91">
        <f t="shared" si="386"/>
        <v>0</v>
      </c>
      <c r="X53" s="2" t="s">
        <v>60</v>
      </c>
      <c r="Y53" s="89">
        <f>(Y64*RiskyAnnuity1Y-Protection1Y*Y75)/RiskyAnnuity1Y^2*Notional</f>
        <v>0.59999947265655906</v>
      </c>
      <c r="Z53" s="90">
        <v>0</v>
      </c>
      <c r="AA53" s="90">
        <v>0</v>
      </c>
      <c r="AB53" s="90">
        <v>0</v>
      </c>
      <c r="AC53" s="90">
        <v>0</v>
      </c>
      <c r="AD53" s="91">
        <v>0</v>
      </c>
      <c r="AG53" s="2" t="s">
        <v>60</v>
      </c>
      <c r="AH53" s="89">
        <f t="shared" ref="AH53:AH58" si="387">(AH64-$U14)/ShiftSize</f>
        <v>0.59999947339510473</v>
      </c>
      <c r="AI53" s="90">
        <v>0</v>
      </c>
      <c r="AJ53" s="90">
        <v>0</v>
      </c>
      <c r="AK53" s="90">
        <v>0</v>
      </c>
      <c r="AL53" s="90">
        <v>0</v>
      </c>
      <c r="AM53" s="91">
        <v>0</v>
      </c>
      <c r="AO53" s="120"/>
      <c r="AP53" s="120"/>
      <c r="AQ53" s="120"/>
      <c r="AR53" s="120"/>
      <c r="AS53" s="120"/>
      <c r="AT53" s="120"/>
      <c r="AU53" s="120"/>
      <c r="AV53" s="120"/>
      <c r="AW53" s="120"/>
    </row>
    <row r="54" spans="3:49" ht="15.6" x14ac:dyDescent="0.3">
      <c r="C54" s="2"/>
      <c r="D54" s="2"/>
      <c r="E54" s="2"/>
      <c r="F54" s="2"/>
      <c r="G54" s="2"/>
      <c r="H54" s="2"/>
      <c r="I54" s="2"/>
      <c r="J54" s="2" t="s">
        <v>61</v>
      </c>
      <c r="K54" s="92">
        <f t="shared" si="386"/>
        <v>0.30773691983565499</v>
      </c>
      <c r="L54" s="93">
        <f t="shared" si="386"/>
        <v>0.29226255393241529</v>
      </c>
      <c r="M54" s="94">
        <f t="shared" si="386"/>
        <v>0</v>
      </c>
      <c r="N54" s="94">
        <f t="shared" si="386"/>
        <v>0</v>
      </c>
      <c r="O54" s="94">
        <f t="shared" si="386"/>
        <v>0</v>
      </c>
      <c r="P54" s="95">
        <f t="shared" si="386"/>
        <v>0</v>
      </c>
      <c r="X54" s="2" t="s">
        <v>61</v>
      </c>
      <c r="Y54" s="92">
        <f>(Y65*RiskyAnnuity2Y-Protection2Y*Y76)/RiskyAnnuity2Y^2*Notional</f>
        <v>0.30938083497625846</v>
      </c>
      <c r="Z54" s="93">
        <f>(Z65*RiskyAnnuity2Y-Protection2Y*Z76)/RiskyAnnuity2Y^2*Notional</f>
        <v>0.29226256121966249</v>
      </c>
      <c r="AA54" s="94">
        <v>0</v>
      </c>
      <c r="AB54" s="94">
        <v>0</v>
      </c>
      <c r="AC54" s="94">
        <v>0</v>
      </c>
      <c r="AD54" s="95">
        <v>0</v>
      </c>
      <c r="AG54" s="2" t="s">
        <v>61</v>
      </c>
      <c r="AH54" s="92">
        <f t="shared" si="387"/>
        <v>0.30773691983565499</v>
      </c>
      <c r="AI54" s="93">
        <f>(AI65-$U15)/ShiftSize</f>
        <v>0.29226255393241529</v>
      </c>
      <c r="AJ54" s="94">
        <v>0</v>
      </c>
      <c r="AK54" s="94">
        <v>0</v>
      </c>
      <c r="AL54" s="94">
        <v>0</v>
      </c>
      <c r="AM54" s="95">
        <v>0</v>
      </c>
      <c r="AO54" s="120"/>
      <c r="AP54" s="120"/>
      <c r="AQ54" s="120"/>
      <c r="AR54" s="120"/>
      <c r="AS54" s="120"/>
      <c r="AT54" s="120"/>
      <c r="AU54" s="120"/>
      <c r="AV54" s="120"/>
      <c r="AW54" s="120"/>
    </row>
    <row r="55" spans="3:49" ht="15.6" x14ac:dyDescent="0.3">
      <c r="C55" s="2"/>
      <c r="D55" s="2"/>
      <c r="E55" s="2"/>
      <c r="F55" s="2"/>
      <c r="G55" s="2"/>
      <c r="H55" s="2"/>
      <c r="I55" s="2"/>
      <c r="J55" s="2" t="s">
        <v>62</v>
      </c>
      <c r="K55" s="92">
        <f t="shared" si="386"/>
        <v>0.2101966651082976</v>
      </c>
      <c r="L55" s="93">
        <f t="shared" si="386"/>
        <v>0.19962705538091596</v>
      </c>
      <c r="M55" s="93">
        <f t="shared" si="386"/>
        <v>0.19017575246353668</v>
      </c>
      <c r="N55" s="94">
        <f t="shared" si="386"/>
        <v>0</v>
      </c>
      <c r="O55" s="94">
        <f t="shared" si="386"/>
        <v>0</v>
      </c>
      <c r="P55" s="95">
        <f t="shared" si="386"/>
        <v>0</v>
      </c>
      <c r="X55" s="2" t="s">
        <v>62</v>
      </c>
      <c r="Y55" s="92">
        <f>(Y66*RiskyAnnuity3Y-Protection3Y*Y77)/RiskyAnnuity3Y^2*Notional</f>
        <v>0.2153122327534798</v>
      </c>
      <c r="Z55" s="93">
        <f>(Z66*RiskyAnnuity3Y-Protection3Y*Z77)/RiskyAnnuity3Y^2*Notional</f>
        <v>0.20069676183328955</v>
      </c>
      <c r="AA55" s="93">
        <f>(AA66*RiskyAnnuity3Y-Protection3Y*AA77)/RiskyAnnuity3Y^2*Notional</f>
        <v>0.19017575902027492</v>
      </c>
      <c r="AB55" s="94">
        <v>0</v>
      </c>
      <c r="AC55" s="94">
        <v>0</v>
      </c>
      <c r="AD55" s="95">
        <v>0</v>
      </c>
      <c r="AG55" s="2" t="s">
        <v>62</v>
      </c>
      <c r="AH55" s="92">
        <f t="shared" si="387"/>
        <v>0.2101966651082976</v>
      </c>
      <c r="AI55" s="93">
        <f>(AI66-$U16)/ShiftSize</f>
        <v>0.19962705538091596</v>
      </c>
      <c r="AJ55" s="93">
        <f>(AJ66-$U16)/ShiftSize</f>
        <v>0.19017575246353668</v>
      </c>
      <c r="AK55" s="94">
        <v>0</v>
      </c>
      <c r="AL55" s="94">
        <v>0</v>
      </c>
      <c r="AM55" s="95">
        <v>0</v>
      </c>
      <c r="AO55" s="120"/>
      <c r="AP55" s="120"/>
      <c r="AQ55" s="120"/>
      <c r="AR55" s="120"/>
      <c r="AS55" s="120"/>
      <c r="AT55" s="120"/>
      <c r="AU55" s="120"/>
      <c r="AV55" s="120"/>
      <c r="AW55" s="120"/>
    </row>
    <row r="56" spans="3:49" ht="15.6" x14ac:dyDescent="0.3">
      <c r="C56" s="2"/>
      <c r="D56" s="2"/>
      <c r="E56" s="2"/>
      <c r="F56" s="2"/>
      <c r="G56" s="2"/>
      <c r="H56" s="2"/>
      <c r="I56" s="2"/>
      <c r="J56" s="2" t="s">
        <v>63</v>
      </c>
      <c r="K56" s="92">
        <f t="shared" si="386"/>
        <v>0.16137129874548017</v>
      </c>
      <c r="L56" s="93">
        <f t="shared" si="386"/>
        <v>0.15325684367406556</v>
      </c>
      <c r="M56" s="93">
        <f t="shared" si="386"/>
        <v>0.14600093022586191</v>
      </c>
      <c r="N56" s="93">
        <f t="shared" si="386"/>
        <v>0.13937040020325919</v>
      </c>
      <c r="O56" s="94">
        <f t="shared" si="386"/>
        <v>0</v>
      </c>
      <c r="P56" s="95">
        <f t="shared" si="386"/>
        <v>0</v>
      </c>
      <c r="X56" s="2" t="s">
        <v>63</v>
      </c>
      <c r="Y56" s="92">
        <f>(Y67*RiskyAnnuity4Y-Protection4Y*Y78)/RiskyAnnuity4Y^2*Notional</f>
        <v>0.17041579880870505</v>
      </c>
      <c r="Z56" s="93">
        <f>(Z67*RiskyAnnuity4Y-Protection4Y*Z78)/RiskyAnnuity4Y^2*Notional</f>
        <v>0.15700193261993423</v>
      </c>
      <c r="AA56" s="93">
        <f>(AA67*RiskyAnnuity4Y-Protection4Y*AA78)/RiskyAnnuity4Y^2*Notional</f>
        <v>0.14678486805915991</v>
      </c>
      <c r="AB56" s="93">
        <f>(AB67*RiskyAnnuity4Y-Protection4Y*AB78)/RiskyAnnuity4Y^2*Notional</f>
        <v>0.13937040535916223</v>
      </c>
      <c r="AC56" s="94">
        <v>0</v>
      </c>
      <c r="AD56" s="95">
        <v>0</v>
      </c>
      <c r="AG56" s="2" t="s">
        <v>63</v>
      </c>
      <c r="AH56" s="92">
        <f t="shared" si="387"/>
        <v>0.16137129874548017</v>
      </c>
      <c r="AI56" s="93">
        <f>(AI67-$U17)/ShiftSize</f>
        <v>0.15325684367406556</v>
      </c>
      <c r="AJ56" s="93">
        <f>(AJ67-$U17)/ShiftSize</f>
        <v>0.14600093022586191</v>
      </c>
      <c r="AK56" s="93">
        <f>(AK67-$U17)/ShiftSize</f>
        <v>0.13937040020325919</v>
      </c>
      <c r="AL56" s="94">
        <v>0</v>
      </c>
      <c r="AM56" s="95">
        <v>0</v>
      </c>
      <c r="AO56" s="120"/>
      <c r="AP56" s="120"/>
      <c r="AQ56" s="120"/>
      <c r="AR56" s="120"/>
      <c r="AS56" s="120"/>
      <c r="AT56" s="120"/>
      <c r="AU56" s="120"/>
      <c r="AV56" s="120"/>
      <c r="AW56" s="120"/>
    </row>
    <row r="57" spans="3:49" ht="15.6" x14ac:dyDescent="0.3">
      <c r="C57" s="2"/>
      <c r="D57" s="2"/>
      <c r="E57" s="2"/>
      <c r="F57" s="2"/>
      <c r="G57" s="2"/>
      <c r="H57" s="2"/>
      <c r="I57" s="2"/>
      <c r="J57" s="2" t="s">
        <v>64</v>
      </c>
      <c r="K57" s="92">
        <f t="shared" si="386"/>
        <v>0.13205640793552409</v>
      </c>
      <c r="L57" s="93">
        <f t="shared" si="386"/>
        <v>0.12541603446741822</v>
      </c>
      <c r="M57" s="93">
        <f t="shared" si="386"/>
        <v>0.11947823889968401</v>
      </c>
      <c r="N57" s="93">
        <f t="shared" si="386"/>
        <v>0.11405221881505279</v>
      </c>
      <c r="O57" s="93">
        <f t="shared" si="386"/>
        <v>0.10899657304323795</v>
      </c>
      <c r="P57" s="95">
        <f t="shared" si="386"/>
        <v>0</v>
      </c>
      <c r="X57" s="2" t="s">
        <v>64</v>
      </c>
      <c r="Y57" s="92">
        <f>(Y68*RiskyAnnuity5Y-Protection5Y*Y79)/RiskyAnnuity5Y^2*Notional</f>
        <v>0.14521181967769442</v>
      </c>
      <c r="Z57" s="93">
        <f>(Z68*RiskyAnnuity5Y-Protection5Y*Z79)/RiskyAnnuity5Y^2*Notional</f>
        <v>0.13247900299983975</v>
      </c>
      <c r="AA57" s="93">
        <f>(AA68*RiskyAnnuity5Y-Protection5Y*AA79)/RiskyAnnuity5Y^2*Notional</f>
        <v>0.12240544495011134</v>
      </c>
      <c r="AB57" s="93">
        <f>(AB68*RiskyAnnuity5Y-Protection5Y*AB79)/RiskyAnnuity5Y^2*Notional</f>
        <v>0.11466530932979706</v>
      </c>
      <c r="AC57" s="93">
        <f>(AC68*RiskyAnnuity5Y-Protection5Y*AC79)/RiskyAnnuity5Y^2*Notional</f>
        <v>0.10899657730493244</v>
      </c>
      <c r="AD57" s="95">
        <v>0</v>
      </c>
      <c r="AG57" s="2" t="s">
        <v>64</v>
      </c>
      <c r="AH57" s="92">
        <f t="shared" si="387"/>
        <v>0.13205640793552409</v>
      </c>
      <c r="AI57" s="93">
        <f>(AI68-$U18)/ShiftSize</f>
        <v>0.12541603446741822</v>
      </c>
      <c r="AJ57" s="93">
        <f>(AJ68-$U18)/ShiftSize</f>
        <v>0.11947823889968401</v>
      </c>
      <c r="AK57" s="93">
        <f>(AK68-$U18)/ShiftSize</f>
        <v>0.11405221881505279</v>
      </c>
      <c r="AL57" s="93">
        <f>(AL68-$U18)/ShiftSize</f>
        <v>0.10899657304323795</v>
      </c>
      <c r="AM57" s="95">
        <v>0</v>
      </c>
      <c r="AO57" s="120"/>
      <c r="AP57" s="120"/>
      <c r="AQ57" s="120"/>
      <c r="AR57" s="120"/>
      <c r="AS57" s="120"/>
      <c r="AT57" s="120"/>
      <c r="AU57" s="120"/>
      <c r="AV57" s="120"/>
      <c r="AW57" s="120"/>
    </row>
    <row r="58" spans="3:49" ht="15.6" x14ac:dyDescent="0.3">
      <c r="C58" s="2"/>
      <c r="D58" s="2"/>
      <c r="E58" s="2"/>
      <c r="F58" s="2"/>
      <c r="G58" s="2"/>
      <c r="H58" s="2"/>
      <c r="I58" s="2"/>
      <c r="J58" s="2" t="s">
        <v>65</v>
      </c>
      <c r="K58" s="96">
        <f t="shared" si="386"/>
        <v>7.3546476625843682E-2</v>
      </c>
      <c r="L58" s="97">
        <f t="shared" si="386"/>
        <v>6.9848238928860162E-2</v>
      </c>
      <c r="M58" s="97">
        <f t="shared" si="386"/>
        <v>6.6541289448981966E-2</v>
      </c>
      <c r="N58" s="97">
        <f t="shared" si="386"/>
        <v>6.3519364195546713E-2</v>
      </c>
      <c r="O58" s="97">
        <f t="shared" si="386"/>
        <v>6.070371226518656E-2</v>
      </c>
      <c r="P58" s="98">
        <f t="shared" si="386"/>
        <v>0.2658403626138589</v>
      </c>
      <c r="X58" s="2" t="s">
        <v>65</v>
      </c>
      <c r="Y58" s="118">
        <f t="shared" ref="Y58:AD58" si="388">(Y69*RiskyAnnuity10Y-Protection10Y*Y80)/RiskyAnnuity10Y^2*Notional</f>
        <v>0.10802705017074314</v>
      </c>
      <c r="Z58" s="97">
        <f t="shared" si="388"/>
        <v>9.6347358685531778E-2</v>
      </c>
      <c r="AA58" s="97">
        <f t="shared" si="388"/>
        <v>8.6264862434104E-2</v>
      </c>
      <c r="AB58" s="97">
        <f t="shared" si="388"/>
        <v>7.7589261773088239E-2</v>
      </c>
      <c r="AC58" s="97">
        <f t="shared" si="388"/>
        <v>7.0168471813839034E-2</v>
      </c>
      <c r="AD58" s="98">
        <f t="shared" si="388"/>
        <v>0.26584039780347368</v>
      </c>
      <c r="AG58" s="2" t="s">
        <v>65</v>
      </c>
      <c r="AH58" s="118">
        <f t="shared" si="387"/>
        <v>7.3546476625843682E-2</v>
      </c>
      <c r="AI58" s="119">
        <f>(AI69-$U19)/ShiftSize</f>
        <v>6.9848238928860162E-2</v>
      </c>
      <c r="AJ58" s="119">
        <f>(AJ69-$U19)/ShiftSize</f>
        <v>6.6541289448981966E-2</v>
      </c>
      <c r="AK58" s="119">
        <f>(AK69-$U19)/ShiftSize</f>
        <v>6.3519364195546713E-2</v>
      </c>
      <c r="AL58" s="119">
        <f>(AL69-$U19)/ShiftSize</f>
        <v>6.070371226518656E-2</v>
      </c>
      <c r="AM58" s="98">
        <f>(AM69-$U19)/ShiftSize</f>
        <v>0.2658403626138589</v>
      </c>
      <c r="AO58" s="120"/>
      <c r="AP58" s="120"/>
      <c r="AQ58" s="120"/>
      <c r="AR58" s="120"/>
      <c r="AS58" s="120"/>
      <c r="AT58" s="120"/>
      <c r="AU58" s="120"/>
      <c r="AV58" s="120"/>
      <c r="AW58" s="120"/>
    </row>
    <row r="61" spans="3:49" x14ac:dyDescent="0.3">
      <c r="K61" s="1" t="s">
        <v>51</v>
      </c>
      <c r="Y61" s="1" t="s">
        <v>70</v>
      </c>
      <c r="AH61" s="1" t="s">
        <v>106</v>
      </c>
    </row>
    <row r="63" spans="3:49" ht="15.6" x14ac:dyDescent="0.3">
      <c r="C63" s="39"/>
      <c r="D63" s="39"/>
      <c r="E63" s="39"/>
      <c r="F63" s="39"/>
      <c r="G63" s="39"/>
      <c r="H63" s="39"/>
      <c r="I63" s="39"/>
      <c r="J63" s="39" t="s">
        <v>53</v>
      </c>
      <c r="K63" s="2" t="s">
        <v>60</v>
      </c>
      <c r="L63" s="2" t="s">
        <v>61</v>
      </c>
      <c r="M63" s="2" t="s">
        <v>62</v>
      </c>
      <c r="N63" s="2" t="s">
        <v>63</v>
      </c>
      <c r="O63" s="2" t="s">
        <v>64</v>
      </c>
      <c r="P63" s="2" t="s">
        <v>65</v>
      </c>
      <c r="X63" s="39" t="s">
        <v>84</v>
      </c>
      <c r="Y63" s="2" t="s">
        <v>54</v>
      </c>
      <c r="Z63" s="2" t="s">
        <v>55</v>
      </c>
      <c r="AA63" s="2" t="s">
        <v>56</v>
      </c>
      <c r="AB63" s="2" t="s">
        <v>57</v>
      </c>
      <c r="AC63" s="2" t="s">
        <v>58</v>
      </c>
      <c r="AD63" s="2" t="s">
        <v>59</v>
      </c>
      <c r="AG63" s="39" t="s">
        <v>105</v>
      </c>
      <c r="AH63" s="2" t="s">
        <v>54</v>
      </c>
      <c r="AI63" s="2" t="s">
        <v>55</v>
      </c>
      <c r="AJ63" s="2" t="s">
        <v>56</v>
      </c>
      <c r="AK63" s="2" t="s">
        <v>57</v>
      </c>
      <c r="AL63" s="2" t="s">
        <v>58</v>
      </c>
      <c r="AM63" s="2" t="s">
        <v>59</v>
      </c>
    </row>
    <row r="64" spans="3:49" ht="15.6" x14ac:dyDescent="0.3">
      <c r="C64" s="2"/>
      <c r="D64" s="2"/>
      <c r="E64" s="2"/>
      <c r="F64" s="2"/>
      <c r="G64" s="2"/>
      <c r="H64" s="2"/>
      <c r="I64" s="2"/>
      <c r="J64" s="2" t="s">
        <v>54</v>
      </c>
      <c r="K64" s="89" cm="1">
        <f t="array" ref="K64:P69">MINVERSE(K53:P58)</f>
        <v>1.6666681294593262</v>
      </c>
      <c r="L64" s="90">
        <v>0</v>
      </c>
      <c r="M64" s="90">
        <v>0</v>
      </c>
      <c r="N64" s="90">
        <v>0</v>
      </c>
      <c r="O64" s="90">
        <v>0</v>
      </c>
      <c r="P64" s="91">
        <v>0</v>
      </c>
      <c r="X64" s="2" t="s">
        <v>72</v>
      </c>
      <c r="Y64" s="89">
        <f>(1-RecoveryRate)*YearFraction*(SUMPRODUCT($Z$5:$Z$8,$AB$5:$AB$8))</f>
        <v>0.5803681173817854</v>
      </c>
      <c r="Z64" s="90">
        <v>0</v>
      </c>
      <c r="AA64" s="90">
        <v>0</v>
      </c>
      <c r="AB64" s="90">
        <v>0</v>
      </c>
      <c r="AC64" s="90">
        <v>0</v>
      </c>
      <c r="AD64" s="91">
        <v>0</v>
      </c>
      <c r="AG64" s="2" t="s">
        <v>99</v>
      </c>
      <c r="AH64" s="133">
        <f t="shared" ref="AH64:AM69" si="389">AH75/AH86</f>
        <v>4.5000586815883703E-3</v>
      </c>
      <c r="AI64" s="30">
        <v>0</v>
      </c>
      <c r="AJ64" s="30">
        <v>0</v>
      </c>
      <c r="AK64" s="30">
        <v>0</v>
      </c>
      <c r="AL64" s="30">
        <v>0</v>
      </c>
      <c r="AM64" s="134">
        <v>0</v>
      </c>
    </row>
    <row r="65" spans="3:39" ht="15.6" x14ac:dyDescent="0.3">
      <c r="C65" s="2"/>
      <c r="D65" s="2"/>
      <c r="E65" s="2"/>
      <c r="F65" s="2"/>
      <c r="G65" s="2"/>
      <c r="H65" s="2"/>
      <c r="I65" s="2"/>
      <c r="J65" s="2" t="s">
        <v>55</v>
      </c>
      <c r="K65" s="92">
        <v>-1.7549128673756509</v>
      </c>
      <c r="L65" s="93">
        <v>3.4215809947080889</v>
      </c>
      <c r="M65" s="94">
        <v>0</v>
      </c>
      <c r="N65" s="94">
        <v>0</v>
      </c>
      <c r="O65" s="94">
        <v>0</v>
      </c>
      <c r="P65" s="95">
        <v>0</v>
      </c>
      <c r="X65" s="2" t="s">
        <v>73</v>
      </c>
      <c r="Y65" s="92">
        <f>(1-RecoveryRate)*YearFraction*(SUMPRODUCT($Z$5:$Z$8,$AB$5:$AB$8)-SUMPRODUCT($AA$9:$AA$12,$AB$9:$AB$12))</f>
        <v>0.57933367661320512</v>
      </c>
      <c r="Z65" s="93">
        <f>(1-RecoveryRate)*YearFraction*(SUMPRODUCT($Z$9:$Z$12,$AB$9:$AB$12))</f>
        <v>0.55118468448987445</v>
      </c>
      <c r="AA65" s="94">
        <v>0</v>
      </c>
      <c r="AB65" s="94">
        <v>0</v>
      </c>
      <c r="AC65" s="94">
        <v>0</v>
      </c>
      <c r="AD65" s="95">
        <v>0</v>
      </c>
      <c r="AG65" s="2" t="s">
        <v>100</v>
      </c>
      <c r="AH65" s="135">
        <f t="shared" si="389"/>
        <v>4.5000294553330109E-3</v>
      </c>
      <c r="AI65" s="136">
        <f t="shared" si="389"/>
        <v>4.5000279078964206E-3</v>
      </c>
      <c r="AJ65" s="18">
        <v>0</v>
      </c>
      <c r="AK65" s="18">
        <v>0</v>
      </c>
      <c r="AL65" s="18">
        <v>0</v>
      </c>
      <c r="AM65" s="137">
        <v>0</v>
      </c>
    </row>
    <row r="66" spans="3:39" ht="15.6" x14ac:dyDescent="0.3">
      <c r="C66" s="2"/>
      <c r="D66" s="2"/>
      <c r="E66" s="2"/>
      <c r="F66" s="2"/>
      <c r="G66" s="2"/>
      <c r="H66" s="2"/>
      <c r="I66" s="2"/>
      <c r="J66" s="2" t="s">
        <v>56</v>
      </c>
      <c r="K66" s="99">
        <v>2.8971339820633184E-8</v>
      </c>
      <c r="L66" s="93">
        <v>-3.5916257980987552</v>
      </c>
      <c r="M66" s="93">
        <v>5.2582939046960515</v>
      </c>
      <c r="N66" s="94">
        <v>0</v>
      </c>
      <c r="O66" s="94">
        <v>0</v>
      </c>
      <c r="P66" s="95">
        <v>0</v>
      </c>
      <c r="X66" s="2" t="s">
        <v>74</v>
      </c>
      <c r="Y66" s="92">
        <f>(1-RecoveryRate)*YearFraction*(SUMPRODUCT($Z$5:$Z$8,$AB$5:$AB$8)-SUMPRODUCT($AA$9:$AA$16,$AB$9:$AB$16))</f>
        <v>0.57834821120343005</v>
      </c>
      <c r="Z66" s="93">
        <f>(1-RecoveryRate)*YearFraction*(SUMPRODUCT($Z$9:$Z$12,$AB$9:$AB$12)-SUMPRODUCT($AA$13:$AA$16,$AB$13:$AB$16))</f>
        <v>0.5501992190800995</v>
      </c>
      <c r="AA66" s="93">
        <f>(1-RecoveryRate)*YearFraction*(SUMPRODUCT($Z$13:$Z$16,$AB$13:$AB$16))</f>
        <v>0.52508897315406411</v>
      </c>
      <c r="AB66" s="94">
        <v>0</v>
      </c>
      <c r="AC66" s="94">
        <v>0</v>
      </c>
      <c r="AD66" s="95">
        <v>0</v>
      </c>
      <c r="AG66" s="2" t="s">
        <v>101</v>
      </c>
      <c r="AH66" s="135">
        <f t="shared" si="389"/>
        <v>4.5000197013075581E-3</v>
      </c>
      <c r="AI66" s="136">
        <f t="shared" si="389"/>
        <v>4.5000186443465854E-3</v>
      </c>
      <c r="AJ66" s="136">
        <f t="shared" si="389"/>
        <v>4.5000176992162936E-3</v>
      </c>
      <c r="AK66" s="18">
        <v>0</v>
      </c>
      <c r="AL66" s="18">
        <v>0</v>
      </c>
      <c r="AM66" s="137">
        <v>0</v>
      </c>
    </row>
    <row r="67" spans="3:39" ht="15.6" x14ac:dyDescent="0.3">
      <c r="C67" s="2"/>
      <c r="D67" s="2"/>
      <c r="E67" s="2"/>
      <c r="F67" s="2"/>
      <c r="G67" s="2"/>
      <c r="H67" s="2"/>
      <c r="I67" s="2"/>
      <c r="J67" s="2" t="s">
        <v>57</v>
      </c>
      <c r="K67" s="99">
        <v>1.5201234606300953E-8</v>
      </c>
      <c r="L67" s="100">
        <v>2.8137183871102237E-8</v>
      </c>
      <c r="M67" s="93">
        <v>-5.5084566046087167</v>
      </c>
      <c r="N67" s="93">
        <v>7.1751246932030757</v>
      </c>
      <c r="O67" s="94">
        <v>0</v>
      </c>
      <c r="P67" s="95">
        <v>0</v>
      </c>
      <c r="X67" s="2" t="s">
        <v>75</v>
      </c>
      <c r="Y67" s="92">
        <f>(1-RecoveryRate)*YearFraction*(SUMPRODUCT($Z$5:$Z$8,$AB$5:$AB$8)-SUMPRODUCT($AA$9:$AA$20,$AB$9:$AB$20))</f>
        <v>0.57740749999503294</v>
      </c>
      <c r="Z67" s="93">
        <f>(1-RecoveryRate)*YearFraction*(SUMPRODUCT($Z$9:$Z$12,$AB$9:$AB$12)-SUMPRODUCT($AA$13:$AA$20,$AB$13:$AB$20))</f>
        <v>0.54925850787170227</v>
      </c>
      <c r="AA67" s="93">
        <f>(1-RecoveryRate)*YearFraction*(SUMPRODUCT($Z$13:$Z$16,$AB$13:$AB$16)-SUMPRODUCT($AA$17:$AA$20,$AB$17:$AB$20))</f>
        <v>0.52414826194566688</v>
      </c>
      <c r="AB67" s="93">
        <f>(1-RecoveryRate)*YearFraction*(SUMPRODUCT($Z$17:$Z$20,$AB$17:$AB$20))</f>
        <v>0.50124243586041273</v>
      </c>
      <c r="AC67" s="94">
        <v>0</v>
      </c>
      <c r="AD67" s="95">
        <v>0</v>
      </c>
      <c r="AG67" s="2" t="s">
        <v>102</v>
      </c>
      <c r="AH67" s="135">
        <f t="shared" si="389"/>
        <v>4.5000148187709322E-3</v>
      </c>
      <c r="AI67" s="136">
        <f t="shared" si="389"/>
        <v>4.5000140073254251E-3</v>
      </c>
      <c r="AJ67" s="136">
        <f t="shared" si="389"/>
        <v>4.5000132817340803E-3</v>
      </c>
      <c r="AK67" s="136">
        <f t="shared" si="389"/>
        <v>4.500012618681078E-3</v>
      </c>
      <c r="AL67" s="18">
        <v>0</v>
      </c>
      <c r="AM67" s="137">
        <v>0</v>
      </c>
    </row>
    <row r="68" spans="3:39" ht="15.6" x14ac:dyDescent="0.3">
      <c r="C68" s="2"/>
      <c r="D68" s="2"/>
      <c r="E68" s="2"/>
      <c r="F68" s="2"/>
      <c r="G68" s="2"/>
      <c r="H68" s="2"/>
      <c r="I68" s="2"/>
      <c r="J68" s="2" t="s">
        <v>58</v>
      </c>
      <c r="K68" s="99">
        <v>9.8159373694129569E-9</v>
      </c>
      <c r="L68" s="100">
        <v>1.8065065413323591E-8</v>
      </c>
      <c r="M68" s="100">
        <v>2.4331305615845782E-8</v>
      </c>
      <c r="N68" s="93">
        <v>-7.5079323017784976</v>
      </c>
      <c r="O68" s="93">
        <v>9.1746003757687777</v>
      </c>
      <c r="P68" s="95">
        <v>0</v>
      </c>
      <c r="X68" s="2" t="s">
        <v>76</v>
      </c>
      <c r="Y68" s="92">
        <f>(1-RecoveryRate)*YearFraction*(SUMPRODUCT($Z$5:$Z$8,$AB$5:$AB$8)-SUMPRODUCT($AA$9:$AA$24,$AB$9:$AB$24))</f>
        <v>0.57650848811349942</v>
      </c>
      <c r="Z68" s="93">
        <f>(1-RecoveryRate)*YearFraction*(SUMPRODUCT($Z$9:$Z$12,$AB$9:$AB$12)-SUMPRODUCT($AA$13:$AA$24,$AB$13:$AB$24))</f>
        <v>0.54835949599016875</v>
      </c>
      <c r="AA68" s="93">
        <f>(1-RecoveryRate)*YearFraction*(SUMPRODUCT($Z$13:$Z$16,$AB$13:$AB$16)-SUMPRODUCT($AA$17:$AA$24,$AB$17:$AB$24))</f>
        <v>0.52324925006413336</v>
      </c>
      <c r="AB68" s="93">
        <f>(1-RecoveryRate)*YearFraction*(SUMPRODUCT($Z$17:$Z$20,$AB$17:$AB$20)-SUMPRODUCT($AA$21:$AA$24,$AB$21:$AB$24))</f>
        <v>0.5003434239788791</v>
      </c>
      <c r="AC68" s="93">
        <f>(1-RecoveryRate)*YearFraction*(SUMPRODUCT($Z$21:$Z$24,$AB$21:$AB$24))</f>
        <v>0.47902363801440812</v>
      </c>
      <c r="AD68" s="95">
        <v>0</v>
      </c>
      <c r="AG68" s="2" t="s">
        <v>103</v>
      </c>
      <c r="AH68" s="135">
        <f t="shared" si="389"/>
        <v>4.5000118872818478E-3</v>
      </c>
      <c r="AI68" s="136">
        <f t="shared" si="389"/>
        <v>4.500011223244501E-3</v>
      </c>
      <c r="AJ68" s="136">
        <f t="shared" si="389"/>
        <v>4.5000106294649442E-3</v>
      </c>
      <c r="AK68" s="136">
        <f t="shared" si="389"/>
        <v>4.5000100868629357E-3</v>
      </c>
      <c r="AL68" s="136">
        <f t="shared" si="389"/>
        <v>4.5000095812983585E-3</v>
      </c>
      <c r="AM68" s="137">
        <v>0</v>
      </c>
    </row>
    <row r="69" spans="3:39" ht="15.6" x14ac:dyDescent="0.3">
      <c r="C69" s="2"/>
      <c r="D69" s="2"/>
      <c r="E69" s="2"/>
      <c r="F69" s="2"/>
      <c r="G69" s="2"/>
      <c r="H69" s="2"/>
      <c r="I69" s="2"/>
      <c r="J69" s="2" t="s">
        <v>59</v>
      </c>
      <c r="K69" s="101">
        <v>4.3042361275374489E-9</v>
      </c>
      <c r="L69" s="102">
        <v>7.9259219376173511E-9</v>
      </c>
      <c r="M69" s="102">
        <v>1.1383928181238678E-8</v>
      </c>
      <c r="N69" s="102">
        <v>1.3608299190689518E-8</v>
      </c>
      <c r="O69" s="97">
        <v>-2.0949877433311408</v>
      </c>
      <c r="P69" s="98">
        <v>3.7616560185502377</v>
      </c>
      <c r="X69" s="2" t="s">
        <v>77</v>
      </c>
      <c r="Y69" s="96">
        <f>(1-RecoveryRate)*YearFraction*(SUMPRODUCT($Z$5:$Z$8,$AB$5:$AB$8)-SUMPRODUCT($AA$9:$AA$44,$AB$9:$AB$44))</f>
        <v>0.57257143604982563</v>
      </c>
      <c r="Z69" s="119">
        <f>(1-RecoveryRate)*YearFraction*(SUMPRODUCT($Z$9:$Z$12,$AB$9:$AB$12)-SUMPRODUCT($AA$13:$AA$44,$AB$13:$AB$44))</f>
        <v>0.54442244392649486</v>
      </c>
      <c r="AA69" s="119">
        <f>(1-RecoveryRate)*YearFraction*(SUMPRODUCT($Z$13:$Z$16,$AB$13:$AB$16)-SUMPRODUCT($AA$17:$AA$44,$AB$17:$AB$44))</f>
        <v>0.51931219800045947</v>
      </c>
      <c r="AB69" s="119">
        <f>(1-RecoveryRate)*YearFraction*(SUMPRODUCT($Z$17:$Z$20,$AB$17:$AB$20)-SUMPRODUCT($AA$21:$AA$44,$AB$21:$AB$44))</f>
        <v>0.49640637191520531</v>
      </c>
      <c r="AC69" s="119">
        <f>(1-RecoveryRate)*YearFraction*(SUMPRODUCT($Z$21:$Z$24,$AB$21:$AB$24)-SUMPRODUCT($AA$25:$AA$44,$AB$25:$AB$44))</f>
        <v>0.47508658595073433</v>
      </c>
      <c r="AD69" s="98">
        <f>(1-RecoveryRate)*YearFraction*(SUMPRODUCT($Z$25:$Z$44,$AB$25:$AB$44))</f>
        <v>2.0977931897585593</v>
      </c>
      <c r="AG69" s="2" t="s">
        <v>104</v>
      </c>
      <c r="AH69" s="138">
        <f t="shared" si="389"/>
        <v>4.5000060362887185E-3</v>
      </c>
      <c r="AI69" s="146">
        <f t="shared" si="389"/>
        <v>4.5000056664649488E-3</v>
      </c>
      <c r="AJ69" s="146">
        <f t="shared" si="389"/>
        <v>4.5000053357700008E-3</v>
      </c>
      <c r="AK69" s="146">
        <f t="shared" si="389"/>
        <v>4.5000050335774755E-3</v>
      </c>
      <c r="AL69" s="146">
        <f t="shared" si="389"/>
        <v>4.5000047520122825E-3</v>
      </c>
      <c r="AM69" s="147">
        <f t="shared" si="389"/>
        <v>4.5000252656773173E-3</v>
      </c>
    </row>
    <row r="72" spans="3:39" x14ac:dyDescent="0.3">
      <c r="Y72" s="1" t="s">
        <v>71</v>
      </c>
      <c r="AH72" s="1" t="s">
        <v>97</v>
      </c>
    </row>
    <row r="74" spans="3:39" ht="15.6" x14ac:dyDescent="0.3">
      <c r="X74" s="39" t="s">
        <v>85</v>
      </c>
      <c r="Y74" s="2" t="s">
        <v>54</v>
      </c>
      <c r="Z74" s="2" t="s">
        <v>55</v>
      </c>
      <c r="AA74" s="2" t="s">
        <v>56</v>
      </c>
      <c r="AB74" s="2" t="s">
        <v>57</v>
      </c>
      <c r="AC74" s="2" t="s">
        <v>58</v>
      </c>
      <c r="AD74" s="2" t="s">
        <v>59</v>
      </c>
      <c r="AG74" s="39" t="s">
        <v>84</v>
      </c>
      <c r="AH74" s="2" t="s">
        <v>54</v>
      </c>
      <c r="AI74" s="2" t="s">
        <v>55</v>
      </c>
      <c r="AJ74" s="2" t="s">
        <v>56</v>
      </c>
      <c r="AK74" s="2" t="s">
        <v>57</v>
      </c>
      <c r="AL74" s="2" t="s">
        <v>58</v>
      </c>
      <c r="AM74" s="2" t="s">
        <v>59</v>
      </c>
    </row>
    <row r="75" spans="3:39" ht="15.6" x14ac:dyDescent="0.3">
      <c r="X75" s="2" t="s">
        <v>78</v>
      </c>
      <c r="Y75" s="89">
        <f>-YearFraction*(0.5*YearFraction*SUMPRODUCT($Z$5:$Z$8,$AB$5:$AB$8))</f>
        <v>-0.12091002445453862</v>
      </c>
      <c r="Z75" s="90">
        <v>0</v>
      </c>
      <c r="AA75" s="90">
        <v>0</v>
      </c>
      <c r="AB75" s="90">
        <v>0</v>
      </c>
      <c r="AC75" s="90">
        <v>0</v>
      </c>
      <c r="AD75" s="91">
        <v>0</v>
      </c>
      <c r="AG75" s="2" t="s">
        <v>72</v>
      </c>
      <c r="AH75" s="139">
        <f>LGD*SUMPRODUCT($AK$5:$AK$8,DiscFactors1Y)</f>
        <v>4356.9020205785682</v>
      </c>
      <c r="AI75" s="32">
        <v>0</v>
      </c>
      <c r="AJ75" s="32">
        <v>0</v>
      </c>
      <c r="AK75" s="32">
        <v>0</v>
      </c>
      <c r="AL75" s="32">
        <v>0</v>
      </c>
      <c r="AM75" s="33">
        <v>0</v>
      </c>
    </row>
    <row r="76" spans="3:39" ht="15.6" x14ac:dyDescent="0.3">
      <c r="X76" s="2" t="s">
        <v>79</v>
      </c>
      <c r="Y76" s="92">
        <f>-YearFraction*(0.5*YearFraction*SUMPRODUCT($Z$5:$Z$8,$AB$5:$AB$8)+SUM($AB$9:$AB$12)*(YearFraction*SUM($Z$9:$Z$12)+0.5*YearFraction*SUM($AA$9:$AA$12)))</f>
        <v>-1.0403904081933288</v>
      </c>
      <c r="Z76" s="93">
        <f>-YearFraction*(0.5*YearFraction*SUMPRODUCT($Z$9:$Z$12,$AB$9:$AB$12))</f>
        <v>-0.11483014260205718</v>
      </c>
      <c r="AA76" s="94">
        <v>0</v>
      </c>
      <c r="AB76" s="94">
        <v>0</v>
      </c>
      <c r="AC76" s="94">
        <v>0</v>
      </c>
      <c r="AD76" s="95">
        <v>0</v>
      </c>
      <c r="AG76" s="2" t="s">
        <v>73</v>
      </c>
      <c r="AH76" s="140">
        <f>LGD*SUMPRODUCT($AK$5:$AK$12,DiscFactors2Y)</f>
        <v>8494.6646811233368</v>
      </c>
      <c r="AI76" s="141">
        <f>LGD*SUMPRODUCT($AO$5:$AO$12,DiscFactors2Y)</f>
        <v>8494.662184560997</v>
      </c>
      <c r="AJ76" s="28">
        <v>0</v>
      </c>
      <c r="AK76" s="28">
        <v>0</v>
      </c>
      <c r="AL76" s="28">
        <v>0</v>
      </c>
      <c r="AM76" s="142">
        <v>0</v>
      </c>
    </row>
    <row r="77" spans="3:39" ht="15.6" x14ac:dyDescent="0.3">
      <c r="X77" s="2" t="s">
        <v>80</v>
      </c>
      <c r="Y77" s="92">
        <f>-YearFraction*(0.5*YearFraction*SUMPRODUCT($Z$5:$Z$8,$AB$5:$AB$8)+SUM($AB$9:$AB$16)*(YearFraction*SUM($Z$9:$Z$16)+0.5*YearFraction*SUM($AA$9:$AA$16)))</f>
        <v>-3.7114930192444007</v>
      </c>
      <c r="Z77" s="93">
        <f>-YearFraction*(0.5*YearFraction*SUMPRODUCT($Z$9:$Z$12,$AB$9:$AB$12)+SUM($AB$13:$AB$16)*(YearFraction*SUM($Z$13:$Z$16)+0.5*YearFraction*SUM($AA$13:$AA$16)))</f>
        <v>-0.99077925172282166</v>
      </c>
      <c r="AA77" s="93">
        <f>-YearFraction*(0.5*YearFraction*SUMPRODUCT($Z$13:$Z$16,$AB$13:$AB$16))</f>
        <v>-0.10939353607376336</v>
      </c>
      <c r="AB77" s="94">
        <v>0</v>
      </c>
      <c r="AC77" s="94">
        <v>0</v>
      </c>
      <c r="AD77" s="95">
        <v>0</v>
      </c>
      <c r="AG77" s="2" t="s">
        <v>74</v>
      </c>
      <c r="AH77" s="140">
        <f>LGD*SUMPRODUCT($AK$5:$AK$16,DiscFactors3Y)</f>
        <v>12436.525926037064</v>
      </c>
      <c r="AI77" s="141">
        <f>LGD*SUMPRODUCT($AO$5:$AO$16,DiscFactors3Y)</f>
        <v>12436.523429474724</v>
      </c>
      <c r="AJ77" s="141">
        <f>LGD*SUMPRODUCT($AS$5:$AS$16,DiscFactors3Y)</f>
        <v>12436.521221281258</v>
      </c>
      <c r="AK77" s="28">
        <v>0</v>
      </c>
      <c r="AL77" s="28">
        <v>0</v>
      </c>
      <c r="AM77" s="142">
        <v>0</v>
      </c>
    </row>
    <row r="78" spans="3:39" ht="15.6" x14ac:dyDescent="0.3">
      <c r="X78" s="2" t="s">
        <v>81</v>
      </c>
      <c r="Y78" s="92">
        <f>-YearFraction*(0.5*YearFraction*SUMPRODUCT($Z$5:$Z$8,$AB$5:$AB$8)+SUM($AB$9:$AB$20)*(YearFraction*SUM($Z$9:$Z$20)+0.5*YearFraction*SUM($AA$9:$AA$20)))</f>
        <v>-8.014127870374347</v>
      </c>
      <c r="Z78" s="93">
        <f>-YearFraction*(0.5*YearFraction*SUMPRODUCT($Z$9:$Z$12,$AB$9:$AB$12)+SUM($AB$13:$AB$20)*(YearFraction*SUM($Z$13:$Z$20)+0.5*YearFraction*SUM($AA$13:$AA$20)))</f>
        <v>-3.5388166666680965</v>
      </c>
      <c r="AA78" s="93">
        <f>-YearFraction*(0.5*YearFraction*SUMPRODUCT($Z$13:$Z$16,$AB$13:$AB$16)+SUM($AB$17:$AB$20)*(YearFraction*SUM($Z$17:$Z$20)+0.5*YearFraction*SUM($AA$17:$AA$20)))</f>
        <v>-0.94556278807143157</v>
      </c>
      <c r="AB78" s="93">
        <f>-YearFraction*(0.5*YearFraction*SUMPRODUCT($Z$17:$Z$20,$AB$17:$AB$20))</f>
        <v>-0.10442550747091932</v>
      </c>
      <c r="AC78" s="94">
        <v>0</v>
      </c>
      <c r="AD78" s="95">
        <v>0</v>
      </c>
      <c r="AG78" s="2" t="s">
        <v>75</v>
      </c>
      <c r="AH78" s="140">
        <f>LGD*SUMPRODUCT($AK$5:$AK$20,DiscFactors4Y)</f>
        <v>16199.370383341275</v>
      </c>
      <c r="AI78" s="141">
        <f>LGD*SUMPRODUCT($AO$5:$AO$20,DiscFactors4Y)</f>
        <v>16199.367886778933</v>
      </c>
      <c r="AJ78" s="141">
        <f>LGD*SUMPRODUCT($AS$5:$AS$20,DiscFactors4Y)</f>
        <v>16199.365678585467</v>
      </c>
      <c r="AK78" s="141">
        <f>LGD*SUMPRODUCT($AW$5:$AW$20,DiscFactors4Y)</f>
        <v>16199.363676819061</v>
      </c>
      <c r="AL78" s="28">
        <v>0</v>
      </c>
      <c r="AM78" s="142">
        <v>0</v>
      </c>
    </row>
    <row r="79" spans="3:39" ht="15.6" x14ac:dyDescent="0.3">
      <c r="X79" s="2" t="s">
        <v>82</v>
      </c>
      <c r="Y79" s="92">
        <f>-YearFraction*(0.5*YearFraction*SUMPRODUCT($Z$5:$Z$8,$AB$5:$AB$8)+SUM($AB$9:$AB$24)*(YearFraction*SUM($Z$9:$Z$24)+0.5*YearFraction*SUM($AA$9:$AA$24)))</f>
        <v>-13.838674145448582</v>
      </c>
      <c r="Z79" s="93">
        <f>-YearFraction*(0.5*YearFraction*SUMPRODUCT($Z$9:$Z$12,$AB$9:$AB$12)+SUM($AB$13:$AB$24)*(YearFraction*SUM($Z$13:$Z$24)+0.5*YearFraction*SUM($AA$13:$AA$24)))</f>
        <v>-7.6470518497818762</v>
      </c>
      <c r="AA79" s="93">
        <f>-YearFraction*(0.5*YearFraction*SUMPRODUCT($Z$13:$Z$16,$AB$13:$AB$16)+SUM($AB$17:$AB$24)*(YearFraction*SUM($Z$17:$Z$24)+0.5*YearFraction*SUM($AA$17:$AA$24)))</f>
        <v>-3.3797087673224344</v>
      </c>
      <c r="AB79" s="93">
        <f>-YearFraction*(0.5*YearFraction*SUMPRODUCT($Z$17:$Z$20,$AB$17:$AB$20)+SUM($AB$21:$AB$24)*(YearFraction*SUM($Z$21:$Z$24)+0.5*YearFraction*SUM($AA$21:$AA$24)))</f>
        <v>-0.90352986959468706</v>
      </c>
      <c r="AC79" s="93">
        <f>-YearFraction*(0.5*YearFraction*SUMPRODUCT($Z$21:$Z$24,$AB$21:$AB$24))</f>
        <v>-9.9796591253001693E-2</v>
      </c>
      <c r="AD79" s="95">
        <v>0</v>
      </c>
      <c r="AG79" s="2" t="s">
        <v>76</v>
      </c>
      <c r="AH79" s="140">
        <f>LGD*SUMPRODUCT($AK$5:$AK$24,DiscFactors5Y)</f>
        <v>19795.417549870836</v>
      </c>
      <c r="AI79" s="141">
        <f>LGD*SUMPRODUCT($AO$5:$AO$24,DiscFactors5Y)</f>
        <v>19795.415053308494</v>
      </c>
      <c r="AJ79" s="141">
        <f>LGD*SUMPRODUCT($AS$5:$AS$24,DiscFactors5Y)</f>
        <v>19795.412845115028</v>
      </c>
      <c r="AK79" s="141">
        <f>LGD*SUMPRODUCT($AW$5:$AW$24,DiscFactors5Y)</f>
        <v>19795.410843348622</v>
      </c>
      <c r="AL79" s="141">
        <f>LGD*SUMPRODUCT($BA$5:$BA$24,DiscFactors5Y)</f>
        <v>19795.408987247454</v>
      </c>
      <c r="AM79" s="142">
        <v>0</v>
      </c>
    </row>
    <row r="80" spans="3:39" ht="15.6" x14ac:dyDescent="0.3">
      <c r="X80" s="2" t="s">
        <v>83</v>
      </c>
      <c r="Y80" s="96">
        <f>-YearFraction*(0.5*YearFraction*SUMPRODUCT($Z$5:$Z$8,$AB$5:$AB$8)+SUM($AB$9:$AB$44)*(YearFraction*SUM($Z$9:$Z$44)+0.5*YearFraction*SUM($AA$9:$AA$44)))</f>
        <v>-62.375160269204542</v>
      </c>
      <c r="Z80" s="97">
        <f>-YearFraction*(0.5*YearFraction*SUMPRODUCT($Z$9:$Z$12,$AB$9:$AB$12)+SUM($AB$13:$AB$44)*(YearFraction*SUM($Z$13:$Z$44)+0.5*YearFraction*SUM($AA$13:$AA$44)))</f>
        <v>-48.129843365045112</v>
      </c>
      <c r="AA80" s="97">
        <f>-YearFraction*(0.5*YearFraction*SUMPRODUCT($Z$13:$Z$16,$AB$13:$AB$16)+SUM($AB$17:$AB$44)*(YearFraction*SUM($Z$17:$Z$44)+0.5*YearFraction*SUM($AA$17:$AA$44)))</f>
        <v>-36.012708738609192</v>
      </c>
      <c r="AB80" s="97">
        <f>-YearFraction*(0.5*YearFraction*SUMPRODUCT($Z$17:$Z$20,$AB$17:$AB$20)+SUM($AB$21:$AB$44)*(YearFraction*SUM($Z$21:$Z$44)+0.5*YearFraction*SUM($AA$21:$AA$44)))</f>
        <v>-25.875140940322396</v>
      </c>
      <c r="AC80" s="97">
        <f>-YearFraction*(0.5*YearFraction*SUMPRODUCT($Z$21:$Z$24,$AB$21:$AB$24)+SUM($AB$25:$AB$44)*(YearFraction*SUM($Z$25:$Z$44)+0.5*YearFraction*SUM($AA$25:$AA$44)))</f>
        <v>-17.587612394010929</v>
      </c>
      <c r="AD80" s="98">
        <f>-YearFraction*(0.5*YearFraction*SUMPRODUCT($Z$25:$Z$44,$AB$25:$AB$44))</f>
        <v>-0.43704024786636653</v>
      </c>
      <c r="AG80" s="2" t="s">
        <v>77</v>
      </c>
      <c r="AH80" s="143">
        <f>LGD*SUMPRODUCT($AK$5:$AK$44,DiscFactors10Y)</f>
        <v>35543.624229745168</v>
      </c>
      <c r="AI80" s="144">
        <f>LGD*SUMPRODUCT($AO$5:$AO$44,DiscFactors10Y)</f>
        <v>35543.62173318283</v>
      </c>
      <c r="AJ80" s="144">
        <f>LGD*SUMPRODUCT($AS$5:$AS$44,DiscFactors10Y)</f>
        <v>35543.619524989357</v>
      </c>
      <c r="AK80" s="144">
        <f>LGD*SUMPRODUCT($AW$5:$AW$44,DiscFactors10Y)</f>
        <v>35543.617523222958</v>
      </c>
      <c r="AL80" s="144">
        <f>LGD*SUMPRODUCT($BA$5:$BA$44,DiscFactors10Y)</f>
        <v>35543.615667121783</v>
      </c>
      <c r="AM80" s="145">
        <f>LGD*SUMPRODUCT($BE$5:$BE$44,DiscFactors10Y)</f>
        <v>35543.775659172075</v>
      </c>
    </row>
    <row r="83" spans="33:39" x14ac:dyDescent="0.3">
      <c r="AH83" s="1" t="s">
        <v>98</v>
      </c>
    </row>
    <row r="85" spans="33:39" ht="15.6" x14ac:dyDescent="0.3">
      <c r="AG85" s="39" t="s">
        <v>85</v>
      </c>
      <c r="AH85" s="2" t="s">
        <v>54</v>
      </c>
      <c r="AI85" s="2" t="s">
        <v>55</v>
      </c>
      <c r="AJ85" s="2" t="s">
        <v>56</v>
      </c>
      <c r="AK85" s="2" t="s">
        <v>57</v>
      </c>
      <c r="AL85" s="2" t="s">
        <v>58</v>
      </c>
      <c r="AM85" s="2" t="s">
        <v>59</v>
      </c>
    </row>
    <row r="86" spans="33:39" ht="15.6" x14ac:dyDescent="0.3">
      <c r="AG86" s="2" t="s">
        <v>78</v>
      </c>
      <c r="AH86" s="139">
        <f>Notional*YearFraction*(SUMPRODUCT($AJ$5:$AJ$8,DiscFactors1Y)+0.5*SUMPRODUCT($AK$5:$AK$8,DiscFactors1Y))</f>
        <v>968187.82350649859</v>
      </c>
      <c r="AI86" s="32">
        <v>0</v>
      </c>
      <c r="AJ86" s="32">
        <v>0</v>
      </c>
      <c r="AK86" s="32">
        <v>0</v>
      </c>
      <c r="AL86" s="32">
        <v>0</v>
      </c>
      <c r="AM86" s="33">
        <v>0</v>
      </c>
    </row>
    <row r="87" spans="33:39" ht="15.6" x14ac:dyDescent="0.3">
      <c r="AG87" s="2" t="s">
        <v>79</v>
      </c>
      <c r="AH87" s="140">
        <f>Notional*YearFraction*(SUMPRODUCT($AJ$5:$AJ$12,DiscFactors2Y)+0.5*SUMPRODUCT($AK$5:$AK$12,DiscFactors2Y))</f>
        <v>1887690.9063464596</v>
      </c>
      <c r="AI87" s="141">
        <f>Notional*YearFraction*(SUMPRODUCT($AN$5:$AN$12,DiscFactors2Y)+0.5*SUMPRODUCT($AO$5:$AO$12,DiscFactors2Y))</f>
        <v>1887691.0006835724</v>
      </c>
      <c r="AJ87" s="28">
        <v>0</v>
      </c>
      <c r="AK87" s="28">
        <v>0</v>
      </c>
      <c r="AL87" s="28">
        <v>0</v>
      </c>
      <c r="AM87" s="142">
        <v>0</v>
      </c>
    </row>
    <row r="88" spans="33:39" ht="15.6" x14ac:dyDescent="0.3">
      <c r="AG88" s="2" t="s">
        <v>80</v>
      </c>
      <c r="AH88" s="140">
        <f>Notional*YearFraction*(SUMPRODUCT($AJ$5:$AJ$16,DiscFactors3Y)+0.5*SUMPRODUCT($AK$5:$AK$16,DiscFactors3Y))</f>
        <v>2763660.3285144325</v>
      </c>
      <c r="AI88" s="141">
        <f>Notional*YearFraction*(SUMPRODUCT($AN$5:$AN$16,DiscFactors3Y)+0.5*SUMPRODUCT($AO$5:$AO$16,DiscFactors3Y))</f>
        <v>2763660.4228515457</v>
      </c>
      <c r="AJ88" s="141">
        <f>Notional*YearFraction*(SUMPRODUCT($AR$5:$AR$16,DiscFactors3Y)+0.5*SUMPRODUCT($AS$5:$AS$16,DiscFactors3Y))</f>
        <v>2763660.5125902407</v>
      </c>
      <c r="AK88" s="28">
        <v>0</v>
      </c>
      <c r="AL88" s="28">
        <v>0</v>
      </c>
      <c r="AM88" s="142">
        <v>0</v>
      </c>
    </row>
    <row r="89" spans="33:39" ht="15.6" x14ac:dyDescent="0.3">
      <c r="AG89" s="2" t="s">
        <v>81</v>
      </c>
      <c r="AH89" s="140">
        <f>Notional*YearFraction*(SUMPRODUCT($AJ$5:$AJ$20,DiscFactors4Y)+0.5*SUMPRODUCT($AK$5:$AK$20,DiscFactors4Y))</f>
        <v>3599848.2306699897</v>
      </c>
      <c r="AI89" s="141">
        <f>Notional*YearFraction*(SUMPRODUCT($AN$5:$AN$20,DiscFactors4Y)+0.5*SUMPRODUCT($AO$5:$AO$20,DiscFactors4Y))</f>
        <v>3599848.3250071029</v>
      </c>
      <c r="AJ89" s="141">
        <f>Notional*YearFraction*(SUMPRODUCT($AR$5:$AR$20,DiscFactors4Y)+0.5*SUMPRODUCT($AS$5:$AS$20,DiscFactors4Y))</f>
        <v>3599848.4147457983</v>
      </c>
      <c r="AK89" s="141">
        <f>Notional*YearFraction*(SUMPRODUCT($AV$5:$AV$20,DiscFactors4Y)+0.5*SUMPRODUCT($AW$5:$AW$20,DiscFactors4Y))</f>
        <v>3599848.500328646</v>
      </c>
      <c r="AL89" s="28">
        <v>0</v>
      </c>
      <c r="AM89" s="142">
        <v>0</v>
      </c>
    </row>
    <row r="90" spans="33:39" ht="15.6" x14ac:dyDescent="0.3">
      <c r="AG90" s="2" t="s">
        <v>82</v>
      </c>
      <c r="AH90" s="140">
        <f>Notional*YearFraction*(SUMPRODUCT($AJ$5:$AJ$24,DiscFactors5Y)+0.5*SUMPRODUCT($AK$5:$AK$24,DiscFactors5Y))</f>
        <v>4398970.057349761</v>
      </c>
      <c r="AI90" s="141">
        <f>Notional*YearFraction*(SUMPRODUCT($AN$5:$AN$24,DiscFactors5Y)+0.5*SUMPRODUCT($AO$5:$AO$24,DiscFactors5Y))</f>
        <v>4398970.1516868733</v>
      </c>
      <c r="AJ90" s="141">
        <f>Notional*YearFraction*(SUMPRODUCT($AR$5:$AR$24,DiscFactors5Y)+0.5*SUMPRODUCT($AS$5:$AS$24,DiscFactors5Y))</f>
        <v>4398970.2414255682</v>
      </c>
      <c r="AK90" s="141">
        <f>Notional*YearFraction*(SUMPRODUCT($AV$5:$AV$24,DiscFactors5Y)+0.5*SUMPRODUCT($AW$5:$AW$24,DiscFactors5Y))</f>
        <v>4398970.3270084169</v>
      </c>
      <c r="AL90" s="141">
        <f>Notional*YearFraction*(SUMPRODUCT($AZ$5:$AZ$24,DiscFactors5Y)+0.5*SUMPRODUCT($BA$5:$BA$24,DiscFactors5Y))</f>
        <v>4398970.408755444</v>
      </c>
      <c r="AM90" s="142">
        <v>0</v>
      </c>
    </row>
    <row r="91" spans="33:39" ht="15.6" x14ac:dyDescent="0.3">
      <c r="AG91" s="2" t="s">
        <v>83</v>
      </c>
      <c r="AH91" s="143">
        <f>Notional*YearFraction*(SUMPRODUCT($AJ$5:$AJ$44,DiscFactors10Y)+0.5*SUMPRODUCT($AK$5:$AK$44,DiscFactors10Y))</f>
        <v>7898572.5670401528</v>
      </c>
      <c r="AI91" s="144">
        <f>Notional*YearFraction*(SUMPRODUCT($AN$5:$AN$44,DiscFactors10Y)+0.5*SUMPRODUCT($AO$5:$AO$44,DiscFactors10Y))</f>
        <v>7898572.661377266</v>
      </c>
      <c r="AJ91" s="144">
        <f>Notional*YearFraction*(SUMPRODUCT($AR$5:$AR$44,DiscFactors10Y)+0.5*SUMPRODUCT($AS$5:$AS$44,DiscFactors10Y))</f>
        <v>7898572.751115961</v>
      </c>
      <c r="AK91" s="144">
        <f>Notional*YearFraction*(SUMPRODUCT($AV$5:$AV$44,DiscFactors10Y)+0.5*SUMPRODUCT($AW$5:$AW$44,DiscFactors10Y))</f>
        <v>7898572.8366988087</v>
      </c>
      <c r="AL91" s="144">
        <f>Notional*YearFraction*(SUMPRODUCT($AZ$5:$AZ$44,DiscFactors10Y)+0.5*SUMPRODUCT($BA$5:$BA$44,DiscFactors10Y))</f>
        <v>7898572.9184458358</v>
      </c>
      <c r="AM91" s="145">
        <f>Notional*YearFraction*(SUMPRODUCT($BD$5:$BD$44,DiscFactors10Y)+0.5*SUMPRODUCT($BE$5:$BE$44,DiscFactors10Y))</f>
        <v>7898572.4658641974</v>
      </c>
    </row>
  </sheetData>
  <mergeCells count="7">
    <mergeCell ref="K9:L9"/>
    <mergeCell ref="K3:L3"/>
    <mergeCell ref="K4:L4"/>
    <mergeCell ref="K5:L5"/>
    <mergeCell ref="K6:L6"/>
    <mergeCell ref="K7:L7"/>
    <mergeCell ref="K8:L8"/>
  </mergeCells>
  <dataValidations count="2">
    <dataValidation type="list" allowBlank="1" showInputMessage="1" showErrorMessage="1" sqref="O37" xr:uid="{57AEADCB-573F-44A9-BD4B-5E7A6C9E2FF5}">
      <formula1>"TRUE,FALSE"</formula1>
    </dataValidation>
    <dataValidation type="list" allowBlank="1" showInputMessage="1" showErrorMessage="1" sqref="K51" xr:uid="{651FA587-D7B4-4A80-8447-E68DAE17B452}">
      <formula1>"ANALYTICAL,NUMERICAL"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CreditSolver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>
    <tabColor theme="9" tint="0.39997558519241921"/>
  </sheetPr>
  <dimension ref="B1:Z44"/>
  <sheetViews>
    <sheetView showGridLines="0" zoomScaleNormal="100" workbookViewId="0"/>
  </sheetViews>
  <sheetFormatPr defaultRowHeight="14.4" outlineLevelCol="1" x14ac:dyDescent="0.3"/>
  <cols>
    <col min="1" max="1" width="5.33203125" customWidth="1"/>
    <col min="2" max="3" width="12.6640625" customWidth="1"/>
    <col min="4" max="4" width="15.6640625" customWidth="1"/>
    <col min="5" max="5" width="5.33203125" customWidth="1"/>
    <col min="6" max="8" width="12.6640625" customWidth="1" outlineLevel="1"/>
    <col min="9" max="9" width="15.109375" customWidth="1" outlineLevel="1"/>
    <col min="10" max="10" width="12.6640625" customWidth="1" outlineLevel="1"/>
    <col min="11" max="11" width="14.44140625" customWidth="1" outlineLevel="1"/>
    <col min="12" max="14" width="12.6640625" customWidth="1" outlineLevel="1"/>
    <col min="15" max="15" width="15.6640625" customWidth="1"/>
    <col min="16" max="16" width="5.33203125" customWidth="1"/>
    <col min="17" max="19" width="12.6640625" customWidth="1" outlineLevel="1"/>
    <col min="20" max="20" width="15.109375" customWidth="1" outlineLevel="1"/>
    <col min="21" max="21" width="12.6640625" customWidth="1" outlineLevel="1"/>
    <col min="22" max="22" width="14.44140625" customWidth="1" outlineLevel="1"/>
    <col min="23" max="23" width="12.6640625" customWidth="1" outlineLevel="1"/>
    <col min="24" max="24" width="15.6640625" customWidth="1"/>
  </cols>
  <sheetData>
    <row r="1" spans="2:26" x14ac:dyDescent="0.3">
      <c r="O1" s="124" t="s">
        <v>111</v>
      </c>
      <c r="P1" s="124"/>
      <c r="X1" s="124" t="s">
        <v>130</v>
      </c>
    </row>
    <row r="2" spans="2:26" x14ac:dyDescent="0.3">
      <c r="B2" s="337" t="s">
        <v>322</v>
      </c>
      <c r="F2" s="1" t="s">
        <v>111</v>
      </c>
      <c r="Q2" s="1" t="s">
        <v>130</v>
      </c>
      <c r="Z2" s="1"/>
    </row>
    <row r="3" spans="2:26" x14ac:dyDescent="0.3">
      <c r="F3" s="41" t="s">
        <v>6</v>
      </c>
      <c r="G3" s="2" t="s">
        <v>2</v>
      </c>
      <c r="H3" s="2" t="s">
        <v>127</v>
      </c>
      <c r="I3" s="41" t="s">
        <v>8</v>
      </c>
      <c r="J3" s="41" t="s">
        <v>24</v>
      </c>
      <c r="K3" s="41" t="s">
        <v>134</v>
      </c>
      <c r="L3" s="41" t="s">
        <v>128</v>
      </c>
      <c r="M3" s="41" t="s">
        <v>129</v>
      </c>
      <c r="N3" s="41" t="s">
        <v>28</v>
      </c>
      <c r="Q3" s="41" t="s">
        <v>6</v>
      </c>
      <c r="R3" s="2" t="s">
        <v>131</v>
      </c>
      <c r="S3" s="2" t="s">
        <v>127</v>
      </c>
      <c r="T3" s="41" t="s">
        <v>8</v>
      </c>
      <c r="U3" s="41" t="s">
        <v>24</v>
      </c>
      <c r="V3" s="41" t="s">
        <v>134</v>
      </c>
      <c r="W3" s="41" t="s">
        <v>28</v>
      </c>
    </row>
    <row r="4" spans="2:26" x14ac:dyDescent="0.3">
      <c r="F4" s="17">
        <v>0</v>
      </c>
      <c r="G4" s="117" t="s">
        <v>121</v>
      </c>
      <c r="H4" s="117" t="s">
        <v>121</v>
      </c>
      <c r="I4" s="10">
        <v>1</v>
      </c>
      <c r="J4" s="10">
        <v>0</v>
      </c>
      <c r="K4" s="94">
        <v>1</v>
      </c>
      <c r="L4" s="159" t="s">
        <v>121</v>
      </c>
      <c r="M4" s="159" t="s">
        <v>121</v>
      </c>
      <c r="N4" s="117" t="s">
        <v>121</v>
      </c>
      <c r="Q4" s="17">
        <v>0</v>
      </c>
      <c r="R4" s="117" t="str">
        <f>"-"</f>
        <v>-</v>
      </c>
      <c r="S4" s="2" t="str">
        <f>"-"</f>
        <v>-</v>
      </c>
      <c r="T4" s="10">
        <v>1</v>
      </c>
      <c r="U4" s="10">
        <v>0</v>
      </c>
      <c r="V4" s="94">
        <v>1</v>
      </c>
      <c r="W4" s="2" t="str">
        <f>"-"</f>
        <v>-</v>
      </c>
    </row>
    <row r="5" spans="2:26" x14ac:dyDescent="0.3">
      <c r="B5" s="1" t="s">
        <v>132</v>
      </c>
      <c r="F5" s="155">
        <f t="shared" ref="F5:F44" si="0">F4+YearFraction</f>
        <v>0.25</v>
      </c>
      <c r="G5" s="32">
        <f t="shared" ref="G5:G44" si="1">IF($F5&gt;CDS.Tenor,"-",CDS.PremiumSign*CDS.Notional*CDS.YearFraction*CDS.CreditSpread)</f>
        <v>-25000</v>
      </c>
      <c r="H5" s="30" cm="1">
        <f t="array" aca="1" ref="H5" ca="1">IF($F5&gt;CDS.Tenor,"-",flatInterpolation(F5,INDIRECT(HazardRateTimes),INDIRECT(HazardRateValues)))</f>
        <v>5.0000000000000001E-3</v>
      </c>
      <c r="I5" s="132">
        <f t="shared" ref="I5:I44" ca="1" si="2">IF($F5&gt;CDS.Tenor,"-",EXP(-H5*YearFraction)*I4)</f>
        <v>0.99875078092458092</v>
      </c>
      <c r="J5" s="132">
        <f t="shared" ref="J5:J44" ca="1" si="3">IF($F5&gt;CDS.Tenor,"-",I4-I5)</f>
        <v>1.2492190754190835E-3</v>
      </c>
      <c r="K5" s="90" cm="1">
        <f t="array" ref="K5">IF($F5&gt;CDS.Tenor,"-",cubicInterpolation(CurveResults.Times,CurveResults.DFs,$F5))</f>
        <v>0.98868042001719347</v>
      </c>
      <c r="L5" s="32">
        <f t="shared" ref="L5:L44" ca="1" si="4">IF($F5&gt;CDS.Tenor,"-",G5*I5*K5)</f>
        <v>-24686.133539425366</v>
      </c>
      <c r="M5" s="32">
        <f t="shared" ref="M5:M44" ca="1" si="5">IF($F5&gt;CDS.Tenor,"-",0.5*G5*J5*K5)</f>
        <v>-15.43848050223537</v>
      </c>
      <c r="N5" s="33">
        <f t="shared" ref="N5:N44" ca="1" si="6">IF($F5&gt;CDS.Tenor,"-",L5+M5)</f>
        <v>-24701.5720199276</v>
      </c>
      <c r="Q5" s="155">
        <f t="shared" ref="Q5:Q44" si="7">Q4+YearFraction</f>
        <v>0.25</v>
      </c>
      <c r="R5" s="32">
        <f t="shared" ref="R5:R44" si="8">IF($F5&gt;CDS.Tenor,"-",CDS.ProtectionSign*CDS.Notional*(1-CDS.RecoveryRate))</f>
        <v>6000000</v>
      </c>
      <c r="S5" s="30" cm="1">
        <f t="array" aca="1" ref="S5" ca="1">IF($F5&gt;CDS.Tenor,"-",flatInterpolation(Q5,INDIRECT(HazardRateTimes),INDIRECT(HazardRateValues)))</f>
        <v>5.0000000000000001E-3</v>
      </c>
      <c r="T5" s="132">
        <f t="shared" ref="T5:T44" ca="1" si="9">IF($F5&gt;CDS.Tenor,"-",EXP(-S5*YearFraction)*T4)</f>
        <v>0.99875078092458092</v>
      </c>
      <c r="U5" s="132">
        <f t="shared" ref="U5:U44" ca="1" si="10">IF($F5&gt;CDS.Tenor,"-",T4-T5)</f>
        <v>1.2492190754190835E-3</v>
      </c>
      <c r="V5" s="90" cm="1">
        <f t="array" ref="V5">IF($Q5&gt;CDS.Tenor,"-",cubicInterpolation(CurveResults.Times,CurveResults.DFs,$F5))</f>
        <v>0.98868042001719347</v>
      </c>
      <c r="W5" s="33">
        <f ca="1">IF($F5&gt;CDS.Tenor,"-",R5*U5*V5)</f>
        <v>7410.4706410729768</v>
      </c>
    </row>
    <row r="6" spans="2:26" x14ac:dyDescent="0.3">
      <c r="B6" s="114" t="s">
        <v>113</v>
      </c>
      <c r="C6" s="115"/>
      <c r="D6" s="154" t="s">
        <v>114</v>
      </c>
      <c r="F6" s="156">
        <f t="shared" si="0"/>
        <v>0.5</v>
      </c>
      <c r="G6" s="28">
        <f t="shared" si="1"/>
        <v>-25000</v>
      </c>
      <c r="H6" s="18" cm="1">
        <f t="array" aca="1" ref="H6" ca="1">IF($F6&gt;CDS.Tenor,"-",flatInterpolation(F6,INDIRECT(HazardRateTimes),INDIRECT(HazardRateValues)))</f>
        <v>5.0000000000000001E-3</v>
      </c>
      <c r="I6" s="10">
        <f t="shared" ca="1" si="2"/>
        <v>0.9975031223974602</v>
      </c>
      <c r="J6" s="10">
        <f t="shared" ca="1" si="3"/>
        <v>1.2476585271207208E-3</v>
      </c>
      <c r="K6" s="94" cm="1">
        <f t="array" ref="K6">IF($F6&gt;CDS.Tenor,"-",cubicInterpolation(CurveResults.Times,CurveResults.DFs,$F6))</f>
        <v>0.97728436827331244</v>
      </c>
      <c r="L6" s="28">
        <f t="shared" ca="1" si="4"/>
        <v>-24371.105220571466</v>
      </c>
      <c r="M6" s="28">
        <f t="shared" ca="1" si="5"/>
        <v>-15.241464693724813</v>
      </c>
      <c r="N6" s="142">
        <f t="shared" ca="1" si="6"/>
        <v>-24386.346685265191</v>
      </c>
      <c r="Q6" s="156">
        <f t="shared" si="7"/>
        <v>0.5</v>
      </c>
      <c r="R6" s="28">
        <f t="shared" si="8"/>
        <v>6000000</v>
      </c>
      <c r="S6" s="18" cm="1">
        <f t="array" aca="1" ref="S6" ca="1">IF($F6&gt;CDS.Tenor,"-",flatInterpolation(Q6,INDIRECT(HazardRateTimes),INDIRECT(HazardRateValues)))</f>
        <v>5.0000000000000001E-3</v>
      </c>
      <c r="T6" s="10">
        <f t="shared" ca="1" si="9"/>
        <v>0.9975031223974602</v>
      </c>
      <c r="U6" s="10">
        <f t="shared" ca="1" si="10"/>
        <v>1.2476585271207208E-3</v>
      </c>
      <c r="V6" s="94" cm="1">
        <f t="array" ref="V6">IF($Q6&gt;CDS.Tenor,"-",cubicInterpolation(CurveResults.Times,CurveResults.DFs,$F6))</f>
        <v>0.97728436827331244</v>
      </c>
      <c r="W6" s="142">
        <f t="shared" ref="W6:W44" ca="1" si="11">IF($F6&gt;CDS.Tenor,"-",R6*U6*V6)</f>
        <v>7315.9030529879101</v>
      </c>
    </row>
    <row r="7" spans="2:26" x14ac:dyDescent="0.3">
      <c r="B7" s="116" t="s">
        <v>339</v>
      </c>
      <c r="D7" s="50" t="s">
        <v>335</v>
      </c>
      <c r="F7" s="156">
        <f t="shared" si="0"/>
        <v>0.75</v>
      </c>
      <c r="G7" s="28">
        <f t="shared" si="1"/>
        <v>-25000</v>
      </c>
      <c r="H7" s="18" cm="1">
        <f t="array" aca="1" ref="H7" ca="1">IF($F7&gt;CDS.Tenor,"-",flatInterpolation(F7,INDIRECT(HazardRateTimes),INDIRECT(HazardRateValues)))</f>
        <v>5.0000000000000001E-3</v>
      </c>
      <c r="I7" s="10">
        <f t="shared" ca="1" si="2"/>
        <v>0.99625702246917114</v>
      </c>
      <c r="J7" s="10">
        <f t="shared" ca="1" si="3"/>
        <v>1.2460999282890572E-3</v>
      </c>
      <c r="K7" s="94" cm="1">
        <f t="array" ref="K7">IF($F7&gt;CDS.Tenor,"-",cubicInterpolation(CurveResults.Times,CurveResults.DFs,$F7))</f>
        <v>0.96604126005158042</v>
      </c>
      <c r="L7" s="28">
        <f t="shared" ca="1" si="4"/>
        <v>-24060.634733033847</v>
      </c>
      <c r="M7" s="28">
        <f t="shared" ca="1" si="5"/>
        <v>-15.047299310931811</v>
      </c>
      <c r="N7" s="142">
        <f t="shared" ca="1" si="6"/>
        <v>-24075.682032344779</v>
      </c>
      <c r="Q7" s="156">
        <f t="shared" si="7"/>
        <v>0.75</v>
      </c>
      <c r="R7" s="28">
        <f t="shared" si="8"/>
        <v>6000000</v>
      </c>
      <c r="S7" s="18" cm="1">
        <f t="array" aca="1" ref="S7" ca="1">IF($F7&gt;CDS.Tenor,"-",flatInterpolation(Q7,INDIRECT(HazardRateTimes),INDIRECT(HazardRateValues)))</f>
        <v>5.0000000000000001E-3</v>
      </c>
      <c r="T7" s="10">
        <f t="shared" ca="1" si="9"/>
        <v>0.99625702246917114</v>
      </c>
      <c r="U7" s="10">
        <f t="shared" ca="1" si="10"/>
        <v>1.2460999282890572E-3</v>
      </c>
      <c r="V7" s="94" cm="1">
        <f t="array" ref="V7">IF($Q7&gt;CDS.Tenor,"-",cubicInterpolation(CurveResults.Times,CurveResults.DFs,$F7))</f>
        <v>0.96604126005158042</v>
      </c>
      <c r="W7" s="142">
        <f t="shared" ca="1" si="11"/>
        <v>7222.7036692472693</v>
      </c>
    </row>
    <row r="8" spans="2:26" x14ac:dyDescent="0.3">
      <c r="B8" s="116" t="s">
        <v>18</v>
      </c>
      <c r="D8" s="50">
        <v>10000000</v>
      </c>
      <c r="F8" s="156">
        <f t="shared" si="0"/>
        <v>1</v>
      </c>
      <c r="G8" s="28">
        <f t="shared" si="1"/>
        <v>-25000</v>
      </c>
      <c r="H8" s="18" cm="1">
        <f t="array" aca="1" ref="H8" ca="1">IF($F8&gt;CDS.Tenor,"-",flatInterpolation(F8,INDIRECT(HazardRateTimes),INDIRECT(HazardRateValues)))</f>
        <v>5.0000000000000001E-3</v>
      </c>
      <c r="I8" s="10">
        <f t="shared" ca="1" si="2"/>
        <v>0.99501247919268243</v>
      </c>
      <c r="J8" s="10">
        <f t="shared" ca="1" si="3"/>
        <v>1.2445432764887077E-3</v>
      </c>
      <c r="K8" s="94" cm="1">
        <f t="array" ref="K8">IF($F8&gt;CDS.Tenor,"-",cubicInterpolation(CurveResults.Times,CurveResults.DFs,$F8))</f>
        <v>0.95518051063522103</v>
      </c>
      <c r="L8" s="28">
        <f t="shared" ca="1" si="4"/>
        <v>-23760.413199092091</v>
      </c>
      <c r="M8" s="28">
        <f t="shared" ca="1" si="5"/>
        <v>-14.859543529301435</v>
      </c>
      <c r="N8" s="142">
        <f t="shared" ca="1" si="6"/>
        <v>-23775.272742621393</v>
      </c>
      <c r="Q8" s="156">
        <f t="shared" si="7"/>
        <v>1</v>
      </c>
      <c r="R8" s="28">
        <f t="shared" si="8"/>
        <v>6000000</v>
      </c>
      <c r="S8" s="18" cm="1">
        <f t="array" aca="1" ref="S8" ca="1">IF($F8&gt;CDS.Tenor,"-",flatInterpolation(Q8,INDIRECT(HazardRateTimes),INDIRECT(HazardRateValues)))</f>
        <v>5.0000000000000001E-3</v>
      </c>
      <c r="T8" s="10">
        <f t="shared" ca="1" si="9"/>
        <v>0.99501247919268243</v>
      </c>
      <c r="U8" s="10">
        <f t="shared" ca="1" si="10"/>
        <v>1.2445432764887077E-3</v>
      </c>
      <c r="V8" s="94" cm="1">
        <f t="array" ref="V8">IF($Q8&gt;CDS.Tenor,"-",cubicInterpolation(CurveResults.Times,CurveResults.DFs,$F8))</f>
        <v>0.95518051063522103</v>
      </c>
      <c r="W8" s="142">
        <f t="shared" ca="1" si="11"/>
        <v>7132.5808940646884</v>
      </c>
    </row>
    <row r="9" spans="2:26" x14ac:dyDescent="0.3">
      <c r="B9" s="116" t="s">
        <v>112</v>
      </c>
      <c r="D9" s="149">
        <v>100</v>
      </c>
      <c r="F9" s="156">
        <f t="shared" si="0"/>
        <v>1.25</v>
      </c>
      <c r="G9" s="28">
        <f t="shared" si="1"/>
        <v>-25000</v>
      </c>
      <c r="H9" s="18" cm="1">
        <f t="array" aca="1" ref="H9" ca="1">IF($F9&gt;CDS.Tenor,"-",flatInterpolation(F9,INDIRECT(HazardRateTimes),INDIRECT(HazardRateValues)))</f>
        <v>5.0000000000000001E-3</v>
      </c>
      <c r="I9" s="10">
        <f t="shared" ca="1" si="2"/>
        <v>0.99376949062339492</v>
      </c>
      <c r="J9" s="10">
        <f t="shared" ca="1" si="3"/>
        <v>1.2429885692875065E-3</v>
      </c>
      <c r="K9" s="94" cm="1">
        <f t="array" ref="K9">IF($F9&gt;CDS.Tenor,"-",cubicInterpolation(CurveResults.Times,CurveResults.DFs,$F9))</f>
        <v>0.94476174559314918</v>
      </c>
      <c r="L9" s="28">
        <f t="shared" ca="1" si="4"/>
        <v>-23471.884966964331</v>
      </c>
      <c r="M9" s="28">
        <f t="shared" ca="1" si="5"/>
        <v>-14.679100630904944</v>
      </c>
      <c r="N9" s="142">
        <f t="shared" ca="1" si="6"/>
        <v>-23486.564067595238</v>
      </c>
      <c r="Q9" s="156">
        <f t="shared" si="7"/>
        <v>1.25</v>
      </c>
      <c r="R9" s="28">
        <f t="shared" si="8"/>
        <v>6000000</v>
      </c>
      <c r="S9" s="18" cm="1">
        <f t="array" aca="1" ref="S9" ca="1">IF($F9&gt;CDS.Tenor,"-",flatInterpolation(Q9,INDIRECT(HazardRateTimes),INDIRECT(HazardRateValues)))</f>
        <v>5.0000000000000001E-3</v>
      </c>
      <c r="T9" s="10">
        <f t="shared" ca="1" si="9"/>
        <v>0.99376949062339492</v>
      </c>
      <c r="U9" s="10">
        <f t="shared" ca="1" si="10"/>
        <v>1.2429885692875065E-3</v>
      </c>
      <c r="V9" s="94" cm="1">
        <f t="array" ref="V9">IF($Q9&gt;CDS.Tenor,"-",cubicInterpolation(CurveResults.Times,CurveResults.DFs,$F9))</f>
        <v>0.94476174559314918</v>
      </c>
      <c r="W9" s="142">
        <f t="shared" ca="1" si="11"/>
        <v>7045.9683028343734</v>
      </c>
    </row>
    <row r="10" spans="2:26" x14ac:dyDescent="0.3">
      <c r="B10" s="116" t="s">
        <v>133</v>
      </c>
      <c r="C10" s="165"/>
      <c r="D10" s="167">
        <v>5</v>
      </c>
      <c r="F10" s="156">
        <f t="shared" si="0"/>
        <v>1.5</v>
      </c>
      <c r="G10" s="28">
        <f t="shared" si="1"/>
        <v>-25000</v>
      </c>
      <c r="H10" s="18" cm="1">
        <f t="array" aca="1" ref="H10" ca="1">IF($F10&gt;CDS.Tenor,"-",flatInterpolation(F10,INDIRECT(HazardRateTimes),INDIRECT(HazardRateValues)))</f>
        <v>5.0000000000000001E-3</v>
      </c>
      <c r="I10" s="10">
        <f t="shared" ca="1" si="2"/>
        <v>0.99252805481913864</v>
      </c>
      <c r="J10" s="10">
        <f t="shared" ca="1" si="3"/>
        <v>1.2414358042562856E-3</v>
      </c>
      <c r="K10" s="94" cm="1">
        <f t="array" ref="K10">IF($F10&gt;CDS.Tenor,"-",cubicInterpolation(CurveResults.Times,CurveResults.DFs,$F10))</f>
        <v>0.93466312738762736</v>
      </c>
      <c r="L10" s="28">
        <f t="shared" ca="1" si="4"/>
        <v>-23191.984393430364</v>
      </c>
      <c r="M10" s="28">
        <f t="shared" ca="1" si="5"/>
        <v>-14.504053390714429</v>
      </c>
      <c r="N10" s="142">
        <f t="shared" ca="1" si="6"/>
        <v>-23206.48844682108</v>
      </c>
      <c r="Q10" s="156">
        <f t="shared" si="7"/>
        <v>1.5</v>
      </c>
      <c r="R10" s="28">
        <f t="shared" si="8"/>
        <v>6000000</v>
      </c>
      <c r="S10" s="18" cm="1">
        <f t="array" aca="1" ref="S10" ca="1">IF($F10&gt;CDS.Tenor,"-",flatInterpolation(Q10,INDIRECT(HazardRateTimes),INDIRECT(HazardRateValues)))</f>
        <v>5.0000000000000001E-3</v>
      </c>
      <c r="T10" s="10">
        <f t="shared" ca="1" si="9"/>
        <v>0.99252805481913864</v>
      </c>
      <c r="U10" s="10">
        <f t="shared" ca="1" si="10"/>
        <v>1.2414358042562856E-3</v>
      </c>
      <c r="V10" s="94" cm="1">
        <f t="array" ref="V10">IF($Q10&gt;CDS.Tenor,"-",cubicInterpolation(CurveResults.Times,CurveResults.DFs,$F10))</f>
        <v>0.93466312738762736</v>
      </c>
      <c r="W10" s="142">
        <f t="shared" ca="1" si="11"/>
        <v>6961.9456275429256</v>
      </c>
    </row>
    <row r="11" spans="2:26" x14ac:dyDescent="0.3">
      <c r="B11" s="112" t="s">
        <v>115</v>
      </c>
      <c r="C11" s="166"/>
      <c r="D11" s="168">
        <v>0.4</v>
      </c>
      <c r="F11" s="156">
        <f t="shared" si="0"/>
        <v>1.75</v>
      </c>
      <c r="G11" s="28">
        <f t="shared" si="1"/>
        <v>-25000</v>
      </c>
      <c r="H11" s="18" cm="1">
        <f t="array" aca="1" ref="H11" ca="1">IF($F11&gt;CDS.Tenor,"-",flatInterpolation(F11,INDIRECT(HazardRateTimes),INDIRECT(HazardRateValues)))</f>
        <v>5.0000000000000001E-3</v>
      </c>
      <c r="I11" s="10">
        <f t="shared" ca="1" si="2"/>
        <v>0.99128816984016999</v>
      </c>
      <c r="J11" s="10">
        <f t="shared" ca="1" si="3"/>
        <v>1.2398849789686528E-3</v>
      </c>
      <c r="K11" s="94" cm="1">
        <f t="array" ref="K11">IF($F11&gt;CDS.Tenor,"-",cubicInterpolation(CurveResults.Times,CurveResults.DFs,$F11))</f>
        <v>0.92484187664189998</v>
      </c>
      <c r="L11" s="28">
        <f t="shared" ca="1" si="4"/>
        <v>-22919.620282197433</v>
      </c>
      <c r="M11" s="28">
        <f t="shared" ca="1" si="5"/>
        <v>-14.333719384618394</v>
      </c>
      <c r="N11" s="142">
        <f t="shared" ca="1" si="6"/>
        <v>-22933.954001582053</v>
      </c>
      <c r="Q11" s="156">
        <f t="shared" si="7"/>
        <v>1.75</v>
      </c>
      <c r="R11" s="28">
        <f t="shared" si="8"/>
        <v>6000000</v>
      </c>
      <c r="S11" s="18" cm="1">
        <f t="array" aca="1" ref="S11" ca="1">IF($F11&gt;CDS.Tenor,"-",flatInterpolation(Q11,INDIRECT(HazardRateTimes),INDIRECT(HazardRateValues)))</f>
        <v>5.0000000000000001E-3</v>
      </c>
      <c r="T11" s="10">
        <f t="shared" ca="1" si="9"/>
        <v>0.99128816984016999</v>
      </c>
      <c r="U11" s="10">
        <f t="shared" ca="1" si="10"/>
        <v>1.2398849789686528E-3</v>
      </c>
      <c r="V11" s="94" cm="1">
        <f t="array" ref="V11">IF($Q11&gt;CDS.Tenor,"-",cubicInterpolation(CurveResults.Times,CurveResults.DFs,$F11))</f>
        <v>0.92484187664189998</v>
      </c>
      <c r="W11" s="142">
        <f t="shared" ca="1" si="11"/>
        <v>6880.1853046168299</v>
      </c>
    </row>
    <row r="12" spans="2:26" x14ac:dyDescent="0.3">
      <c r="F12" s="156">
        <f t="shared" si="0"/>
        <v>2</v>
      </c>
      <c r="G12" s="28">
        <f t="shared" si="1"/>
        <v>-25000</v>
      </c>
      <c r="H12" s="18" cm="1">
        <f t="array" aca="1" ref="H12" ca="1">IF($F12&gt;CDS.Tenor,"-",flatInterpolation(F12,INDIRECT(HazardRateTimes),INDIRECT(HazardRateValues)))</f>
        <v>5.0000000000000001E-3</v>
      </c>
      <c r="I12" s="10">
        <f t="shared" ca="1" si="2"/>
        <v>0.99004983374916833</v>
      </c>
      <c r="J12" s="10">
        <f t="shared" ca="1" si="3"/>
        <v>1.2383360910016572E-3</v>
      </c>
      <c r="K12" s="94" cm="1">
        <f t="array" ref="K12">IF($F12&gt;CDS.Tenor,"-",cubicInterpolation(CurveResults.Times,CurveResults.DFs,$F12))</f>
        <v>0.91525521397921195</v>
      </c>
      <c r="L12" s="28">
        <f t="shared" ca="1" si="4"/>
        <v>-22653.706810954456</v>
      </c>
      <c r="M12" s="28">
        <f t="shared" ca="1" si="5"/>
        <v>-14.167419549348782</v>
      </c>
      <c r="N12" s="142">
        <f t="shared" ca="1" si="6"/>
        <v>-22667.874230503807</v>
      </c>
      <c r="Q12" s="156">
        <f t="shared" si="7"/>
        <v>2</v>
      </c>
      <c r="R12" s="28">
        <f t="shared" si="8"/>
        <v>6000000</v>
      </c>
      <c r="S12" s="18" cm="1">
        <f t="array" aca="1" ref="S12" ca="1">IF($F12&gt;CDS.Tenor,"-",flatInterpolation(Q12,INDIRECT(HazardRateTimes),INDIRECT(HazardRateValues)))</f>
        <v>5.0000000000000001E-3</v>
      </c>
      <c r="T12" s="10">
        <f t="shared" ca="1" si="9"/>
        <v>0.99004983374916833</v>
      </c>
      <c r="U12" s="10">
        <f t="shared" ca="1" si="10"/>
        <v>1.2383360910016572E-3</v>
      </c>
      <c r="V12" s="94" cm="1">
        <f t="array" ref="V12">IF($Q12&gt;CDS.Tenor,"-",cubicInterpolation(CurveResults.Times,CurveResults.DFs,$F12))</f>
        <v>0.91525521397921195</v>
      </c>
      <c r="W12" s="142">
        <f t="shared" ca="1" si="11"/>
        <v>6800.3613836874156</v>
      </c>
    </row>
    <row r="13" spans="2:26" x14ac:dyDescent="0.3">
      <c r="B13" s="1" t="s">
        <v>116</v>
      </c>
      <c r="F13" s="156">
        <f t="shared" si="0"/>
        <v>2.25</v>
      </c>
      <c r="G13" s="28">
        <f t="shared" si="1"/>
        <v>-25000</v>
      </c>
      <c r="H13" s="18" cm="1">
        <f t="array" aca="1" ref="H13" ca="1">IF($F13&gt;CDS.Tenor,"-",flatInterpolation(F13,INDIRECT(HazardRateTimes),INDIRECT(HazardRateValues)))</f>
        <v>5.0000000000000001E-3</v>
      </c>
      <c r="I13" s="10">
        <f t="shared" ca="1" si="2"/>
        <v>0.98881304461123343</v>
      </c>
      <c r="J13" s="10">
        <f t="shared" ca="1" si="3"/>
        <v>1.2367891379349016E-3</v>
      </c>
      <c r="K13" s="94" cm="1">
        <f t="array" ref="K13">IF($F13&gt;CDS.Tenor,"-",cubicInterpolation(CurveResults.Times,CurveResults.DFs,$F13))</f>
        <v>0.90592386234408706</v>
      </c>
      <c r="L13" s="28">
        <f t="shared" ca="1" si="4"/>
        <v>-22394.733312760618</v>
      </c>
      <c r="M13" s="28">
        <f t="shared" ca="1" si="5"/>
        <v>-14.00545990929</v>
      </c>
      <c r="N13" s="142">
        <f t="shared" ca="1" si="6"/>
        <v>-22408.738772669909</v>
      </c>
      <c r="Q13" s="156">
        <f t="shared" si="7"/>
        <v>2.25</v>
      </c>
      <c r="R13" s="28">
        <f t="shared" si="8"/>
        <v>6000000</v>
      </c>
      <c r="S13" s="18" cm="1">
        <f t="array" aca="1" ref="S13" ca="1">IF($F13&gt;CDS.Tenor,"-",flatInterpolation(Q13,INDIRECT(HazardRateTimes),INDIRECT(HazardRateValues)))</f>
        <v>5.0000000000000001E-3</v>
      </c>
      <c r="T13" s="10">
        <f t="shared" ca="1" si="9"/>
        <v>0.98881304461123343</v>
      </c>
      <c r="U13" s="10">
        <f t="shared" ca="1" si="10"/>
        <v>1.2367891379349016E-3</v>
      </c>
      <c r="V13" s="94" cm="1">
        <f t="array" ref="V13">IF($Q13&gt;CDS.Tenor,"-",cubicInterpolation(CurveResults.Times,CurveResults.DFs,$F13))</f>
        <v>0.90592386234408706</v>
      </c>
      <c r="W13" s="142">
        <f t="shared" ca="1" si="11"/>
        <v>6722.6207564591996</v>
      </c>
    </row>
    <row r="14" spans="2:26" x14ac:dyDescent="0.3">
      <c r="B14" s="114" t="s">
        <v>119</v>
      </c>
      <c r="C14" s="115"/>
      <c r="D14" s="150">
        <f>IF(D6="BUY",-1,1)</f>
        <v>-1</v>
      </c>
      <c r="F14" s="156">
        <f t="shared" si="0"/>
        <v>2.5</v>
      </c>
      <c r="G14" s="28">
        <f t="shared" si="1"/>
        <v>-25000</v>
      </c>
      <c r="H14" s="18" cm="1">
        <f t="array" aca="1" ref="H14" ca="1">IF($F14&gt;CDS.Tenor,"-",flatInterpolation(F14,INDIRECT(HazardRateTimes),INDIRECT(HazardRateValues)))</f>
        <v>5.0000000000000001E-3</v>
      </c>
      <c r="I14" s="10">
        <f t="shared" ca="1" si="2"/>
        <v>0.98757780049388189</v>
      </c>
      <c r="J14" s="10">
        <f t="shared" ca="1" si="3"/>
        <v>1.2352441173515416E-3</v>
      </c>
      <c r="K14" s="94" cm="1">
        <f t="array" ref="K14">IF($F14&gt;CDS.Tenor,"-",cubicInterpolation(CurveResults.Times,CurveResults.DFs,$F14))</f>
        <v>0.89685992714468643</v>
      </c>
      <c r="L14" s="28">
        <f t="shared" ca="1" si="4"/>
        <v>-22142.973855016317</v>
      </c>
      <c r="M14" s="28">
        <f t="shared" ca="1" si="5"/>
        <v>-13.848011863672577</v>
      </c>
      <c r="N14" s="142">
        <f t="shared" ca="1" si="6"/>
        <v>-22156.821866879989</v>
      </c>
      <c r="Q14" s="156">
        <f t="shared" si="7"/>
        <v>2.5</v>
      </c>
      <c r="R14" s="28">
        <f t="shared" si="8"/>
        <v>6000000</v>
      </c>
      <c r="S14" s="18" cm="1">
        <f t="array" aca="1" ref="S14" ca="1">IF($F14&gt;CDS.Tenor,"-",flatInterpolation(Q14,INDIRECT(HazardRateTimes),INDIRECT(HazardRateValues)))</f>
        <v>5.0000000000000001E-3</v>
      </c>
      <c r="T14" s="10">
        <f t="shared" ca="1" si="9"/>
        <v>0.98757780049388189</v>
      </c>
      <c r="U14" s="10">
        <f t="shared" ca="1" si="10"/>
        <v>1.2352441173515416E-3</v>
      </c>
      <c r="V14" s="94" cm="1">
        <f t="array" ref="V14">IF($Q14&gt;CDS.Tenor,"-",cubicInterpolation(CurveResults.Times,CurveResults.DFs,$F14))</f>
        <v>0.89685992714468643</v>
      </c>
      <c r="W14" s="142">
        <f t="shared" ca="1" si="11"/>
        <v>6647.0456945628366</v>
      </c>
    </row>
    <row r="15" spans="2:26" x14ac:dyDescent="0.3">
      <c r="B15" s="116" t="s">
        <v>120</v>
      </c>
      <c r="D15" s="151">
        <f>-D14</f>
        <v>1</v>
      </c>
      <c r="F15" s="156">
        <f t="shared" si="0"/>
        <v>2.75</v>
      </c>
      <c r="G15" s="28">
        <f t="shared" si="1"/>
        <v>-25000</v>
      </c>
      <c r="H15" s="18" cm="1">
        <f t="array" aca="1" ref="H15" ca="1">IF($F15&gt;CDS.Tenor,"-",flatInterpolation(F15,INDIRECT(HazardRateTimes),INDIRECT(HazardRateValues)))</f>
        <v>5.0000000000000001E-3</v>
      </c>
      <c r="I15" s="10">
        <f t="shared" ca="1" si="2"/>
        <v>0.98634409946704449</v>
      </c>
      <c r="J15" s="10">
        <f t="shared" ca="1" si="3"/>
        <v>1.2337010268373971E-3</v>
      </c>
      <c r="K15" s="94" cm="1">
        <f t="array" ref="K15">IF($F15&gt;CDS.Tenor,"-",cubicInterpolation(CurveResults.Times,CurveResults.DFs,$F15))</f>
        <v>0.8880077026997103</v>
      </c>
      <c r="L15" s="28">
        <f t="shared" ca="1" si="4"/>
        <v>-21897.028945978618</v>
      </c>
      <c r="M15" s="28">
        <f t="shared" ca="1" si="5"/>
        <v>-13.694200183251883</v>
      </c>
      <c r="N15" s="142">
        <f t="shared" ca="1" si="6"/>
        <v>-21910.723146161868</v>
      </c>
      <c r="Q15" s="156">
        <f t="shared" si="7"/>
        <v>2.75</v>
      </c>
      <c r="R15" s="28">
        <f t="shared" si="8"/>
        <v>6000000</v>
      </c>
      <c r="S15" s="18" cm="1">
        <f t="array" aca="1" ref="S15" ca="1">IF($F15&gt;CDS.Tenor,"-",flatInterpolation(Q15,INDIRECT(HazardRateTimes),INDIRECT(HazardRateValues)))</f>
        <v>5.0000000000000001E-3</v>
      </c>
      <c r="T15" s="10">
        <f t="shared" ca="1" si="9"/>
        <v>0.98634409946704449</v>
      </c>
      <c r="U15" s="10">
        <f t="shared" ca="1" si="10"/>
        <v>1.2337010268373971E-3</v>
      </c>
      <c r="V15" s="94" cm="1">
        <f t="array" ref="V15">IF($Q15&gt;CDS.Tenor,"-",cubicInterpolation(CurveResults.Times,CurveResults.DFs,$F15))</f>
        <v>0.8880077026997103</v>
      </c>
      <c r="W15" s="142">
        <f t="shared" ca="1" si="11"/>
        <v>6573.2160879609037</v>
      </c>
    </row>
    <row r="16" spans="2:26" x14ac:dyDescent="0.3">
      <c r="B16" s="116" t="s">
        <v>117</v>
      </c>
      <c r="D16" s="152">
        <f>D9/10000</f>
        <v>0.01</v>
      </c>
      <c r="F16" s="156">
        <f t="shared" si="0"/>
        <v>3</v>
      </c>
      <c r="G16" s="28">
        <f t="shared" si="1"/>
        <v>-25000</v>
      </c>
      <c r="H16" s="18" cm="1">
        <f t="array" aca="1" ref="H16" ca="1">IF($F16&gt;CDS.Tenor,"-",flatInterpolation(F16,INDIRECT(HazardRateTimes),INDIRECT(HazardRateValues)))</f>
        <v>5.0000000000000001E-3</v>
      </c>
      <c r="I16" s="10">
        <f t="shared" ca="1" si="2"/>
        <v>0.9851119396030632</v>
      </c>
      <c r="J16" s="10">
        <f t="shared" ca="1" si="3"/>
        <v>1.2321598639812859E-3</v>
      </c>
      <c r="K16" s="94" cm="1">
        <f t="array" ref="K16">IF($F16&gt;CDS.Tenor,"-",cubicInterpolation(CurveResults.Times,CurveResults.DFs,$F16))</f>
        <v>0.87931148332785924</v>
      </c>
      <c r="L16" s="28">
        <f t="shared" ca="1" si="4"/>
        <v>-21655.506021408852</v>
      </c>
      <c r="M16" s="28">
        <f t="shared" ca="1" si="5"/>
        <v>-13.543153971180473</v>
      </c>
      <c r="N16" s="142">
        <f t="shared" ca="1" si="6"/>
        <v>-21669.049175380031</v>
      </c>
      <c r="Q16" s="156">
        <f t="shared" si="7"/>
        <v>3</v>
      </c>
      <c r="R16" s="28">
        <f t="shared" si="8"/>
        <v>6000000</v>
      </c>
      <c r="S16" s="18" cm="1">
        <f t="array" aca="1" ref="S16" ca="1">IF($F16&gt;CDS.Tenor,"-",flatInterpolation(Q16,INDIRECT(HazardRateTimes),INDIRECT(HazardRateValues)))</f>
        <v>5.0000000000000001E-3</v>
      </c>
      <c r="T16" s="10">
        <f t="shared" ca="1" si="9"/>
        <v>0.9851119396030632</v>
      </c>
      <c r="U16" s="10">
        <f t="shared" ca="1" si="10"/>
        <v>1.2321598639812859E-3</v>
      </c>
      <c r="V16" s="94" cm="1">
        <f t="array" ref="V16">IF($Q16&gt;CDS.Tenor,"-",cubicInterpolation(CurveResults.Times,CurveResults.DFs,$F16))</f>
        <v>0.87931148332785924</v>
      </c>
      <c r="W16" s="142">
        <f t="shared" ca="1" si="11"/>
        <v>6500.7139061666267</v>
      </c>
    </row>
    <row r="17" spans="2:23" x14ac:dyDescent="0.3">
      <c r="B17" s="112" t="s">
        <v>118</v>
      </c>
      <c r="C17" s="113"/>
      <c r="D17" s="153">
        <v>0.25</v>
      </c>
      <c r="F17" s="156">
        <f t="shared" si="0"/>
        <v>3.25</v>
      </c>
      <c r="G17" s="28">
        <f t="shared" si="1"/>
        <v>-25000</v>
      </c>
      <c r="H17" s="18" cm="1">
        <f t="array" aca="1" ref="H17" ca="1">IF($F17&gt;CDS.Tenor,"-",flatInterpolation(F17,INDIRECT(HazardRateTimes),INDIRECT(HazardRateValues)))</f>
        <v>5.0000000000000001E-3</v>
      </c>
      <c r="I17" s="10">
        <f t="shared" ca="1" si="2"/>
        <v>0.98388131897668796</v>
      </c>
      <c r="J17" s="10">
        <f t="shared" ca="1" si="3"/>
        <v>1.2306206263752451E-3</v>
      </c>
      <c r="K17" s="94" cm="1">
        <f t="array" ref="K17">IF($F17&gt;CDS.Tenor,"-",cubicInterpolation(CurveResults.Times,CurveResults.DFs,$F17))</f>
        <v>0.87078171535403615</v>
      </c>
      <c r="L17" s="28">
        <f t="shared" ca="1" si="4"/>
        <v>-21418.646566082796</v>
      </c>
      <c r="M17" s="28">
        <f t="shared" ca="1" si="5"/>
        <v>-13.395024249813678</v>
      </c>
      <c r="N17" s="142">
        <f t="shared" ca="1" si="6"/>
        <v>-21432.04159033261</v>
      </c>
      <c r="Q17" s="156">
        <f t="shared" si="7"/>
        <v>3.25</v>
      </c>
      <c r="R17" s="28">
        <f t="shared" si="8"/>
        <v>6000000</v>
      </c>
      <c r="S17" s="18" cm="1">
        <f t="array" aca="1" ref="S17" ca="1">IF($F17&gt;CDS.Tenor,"-",flatInterpolation(Q17,INDIRECT(HazardRateTimes),INDIRECT(HazardRateValues)))</f>
        <v>5.0000000000000001E-3</v>
      </c>
      <c r="T17" s="10">
        <f t="shared" ca="1" si="9"/>
        <v>0.98388131897668796</v>
      </c>
      <c r="U17" s="10">
        <f t="shared" ca="1" si="10"/>
        <v>1.2306206263752451E-3</v>
      </c>
      <c r="V17" s="94" cm="1">
        <f t="array" ref="V17">IF($Q17&gt;CDS.Tenor,"-",cubicInterpolation(CurveResults.Times,CurveResults.DFs,$F17))</f>
        <v>0.87078171535403615</v>
      </c>
      <c r="W17" s="142">
        <f t="shared" ca="1" si="11"/>
        <v>6429.6116399105658</v>
      </c>
    </row>
    <row r="18" spans="2:23" x14ac:dyDescent="0.3">
      <c r="F18" s="156">
        <f t="shared" si="0"/>
        <v>3.5</v>
      </c>
      <c r="G18" s="28">
        <f t="shared" si="1"/>
        <v>-25000</v>
      </c>
      <c r="H18" s="18" cm="1">
        <f t="array" aca="1" ref="H18" ca="1">IF($F18&gt;CDS.Tenor,"-",flatInterpolation(F18,INDIRECT(HazardRateTimes),INDIRECT(HazardRateValues)))</f>
        <v>5.0000000000000001E-3</v>
      </c>
      <c r="I18" s="10">
        <f t="shared" ca="1" si="2"/>
        <v>0.98265223566507376</v>
      </c>
      <c r="J18" s="10">
        <f t="shared" ca="1" si="3"/>
        <v>1.2290833116141986E-3</v>
      </c>
      <c r="K18" s="94" cm="1">
        <f t="array" ref="K18">IF($F18&gt;CDS.Tenor,"-",cubicInterpolation(CurveResults.Times,CurveResults.DFs,$F18))</f>
        <v>0.86243967475051753</v>
      </c>
      <c r="L18" s="28">
        <f t="shared" ca="1" si="4"/>
        <v>-21186.95686299638</v>
      </c>
      <c r="M18" s="28">
        <f t="shared" ca="1" si="5"/>
        <v>-13.250127643872979</v>
      </c>
      <c r="N18" s="142">
        <f t="shared" ca="1" si="6"/>
        <v>-21200.206990640254</v>
      </c>
      <c r="Q18" s="156">
        <f t="shared" si="7"/>
        <v>3.5</v>
      </c>
      <c r="R18" s="28">
        <f t="shared" si="8"/>
        <v>6000000</v>
      </c>
      <c r="S18" s="18" cm="1">
        <f t="array" aca="1" ref="S18" ca="1">IF($F18&gt;CDS.Tenor,"-",flatInterpolation(Q18,INDIRECT(HazardRateTimes),INDIRECT(HazardRateValues)))</f>
        <v>5.0000000000000001E-3</v>
      </c>
      <c r="T18" s="10">
        <f t="shared" ca="1" si="9"/>
        <v>0.98265223566507376</v>
      </c>
      <c r="U18" s="10">
        <f t="shared" ca="1" si="10"/>
        <v>1.2290833116141986E-3</v>
      </c>
      <c r="V18" s="94" cm="1">
        <f t="array" ref="V18">IF($Q18&gt;CDS.Tenor,"-",cubicInterpolation(CurveResults.Times,CurveResults.DFs,$F18))</f>
        <v>0.86243967475051753</v>
      </c>
      <c r="W18" s="142">
        <f t="shared" ca="1" si="11"/>
        <v>6360.0612690590306</v>
      </c>
    </row>
    <row r="19" spans="2:23" x14ac:dyDescent="0.3">
      <c r="B19" s="1" t="s">
        <v>122</v>
      </c>
      <c r="F19" s="156">
        <f t="shared" si="0"/>
        <v>3.75</v>
      </c>
      <c r="G19" s="28">
        <f t="shared" si="1"/>
        <v>-25000</v>
      </c>
      <c r="H19" s="18" cm="1">
        <f t="array" aca="1" ref="H19" ca="1">IF($F19&gt;CDS.Tenor,"-",flatInterpolation(F19,INDIRECT(HazardRateTimes),INDIRECT(HazardRateValues)))</f>
        <v>5.0000000000000001E-3</v>
      </c>
      <c r="I19" s="10">
        <f t="shared" ca="1" si="2"/>
        <v>0.98142468774777769</v>
      </c>
      <c r="J19" s="10">
        <f t="shared" ca="1" si="3"/>
        <v>1.2275479172960679E-3</v>
      </c>
      <c r="K19" s="94" cm="1">
        <f t="array" ref="K19">IF($F19&gt;CDS.Tenor,"-",cubicInterpolation(CurveResults.Times,CurveResults.DFs,$F19))</f>
        <v>0.85424590030706427</v>
      </c>
      <c r="L19" s="28">
        <f t="shared" ca="1" si="4"/>
        <v>-20959.450399216992</v>
      </c>
      <c r="M19" s="28">
        <f t="shared" ca="1" si="5"/>
        <v>-13.107847197258016</v>
      </c>
      <c r="N19" s="142">
        <f t="shared" ca="1" si="6"/>
        <v>-20972.55824641425</v>
      </c>
      <c r="Q19" s="156">
        <f t="shared" si="7"/>
        <v>3.75</v>
      </c>
      <c r="R19" s="28">
        <f t="shared" si="8"/>
        <v>6000000</v>
      </c>
      <c r="S19" s="18" cm="1">
        <f t="array" aca="1" ref="S19" ca="1">IF($F19&gt;CDS.Tenor,"-",flatInterpolation(Q19,INDIRECT(HazardRateTimes),INDIRECT(HazardRateValues)))</f>
        <v>5.0000000000000001E-3</v>
      </c>
      <c r="T19" s="10">
        <f t="shared" ca="1" si="9"/>
        <v>0.98142468774777769</v>
      </c>
      <c r="U19" s="10">
        <f t="shared" ca="1" si="10"/>
        <v>1.2275479172960679E-3</v>
      </c>
      <c r="V19" s="94" cm="1">
        <f t="array" ref="V19">IF($Q19&gt;CDS.Tenor,"-",cubicInterpolation(CurveResults.Times,CurveResults.DFs,$F19))</f>
        <v>0.85424590030706427</v>
      </c>
      <c r="W19" s="142">
        <f t="shared" ca="1" si="11"/>
        <v>6291.7666546838473</v>
      </c>
    </row>
    <row r="20" spans="2:23" x14ac:dyDescent="0.3">
      <c r="B20" s="114" t="s">
        <v>123</v>
      </c>
      <c r="C20" s="164"/>
      <c r="D20" s="344">
        <f ca="1">SUM(D21:D22)</f>
        <v>-309783.32054167008</v>
      </c>
      <c r="F20" s="156">
        <f t="shared" si="0"/>
        <v>4</v>
      </c>
      <c r="G20" s="28">
        <f t="shared" si="1"/>
        <v>-25000</v>
      </c>
      <c r="H20" s="18" cm="1">
        <f t="array" aca="1" ref="H20" ca="1">IF($F20&gt;CDS.Tenor,"-",flatInterpolation(F20,INDIRECT(HazardRateTimes),INDIRECT(HazardRateValues)))</f>
        <v>5.0000000000000001E-3</v>
      </c>
      <c r="I20" s="10">
        <f t="shared" ca="1" si="2"/>
        <v>0.98019867330675592</v>
      </c>
      <c r="J20" s="10">
        <f t="shared" ca="1" si="3"/>
        <v>1.2260144410217722E-3</v>
      </c>
      <c r="K20" s="94" cm="1">
        <f t="array" ref="K20">IF($F20&gt;CDS.Tenor,"-",cubicInterpolation(CurveResults.Times,CurveResults.DFs,$F20))</f>
        <v>0.84616093081343713</v>
      </c>
      <c r="L20" s="28">
        <f t="shared" ca="1" si="4"/>
        <v>-20735.145544683521</v>
      </c>
      <c r="M20" s="28">
        <f t="shared" ca="1" si="5"/>
        <v>-12.967569007571232</v>
      </c>
      <c r="N20" s="142">
        <f t="shared" ca="1" si="6"/>
        <v>-20748.113113691092</v>
      </c>
      <c r="Q20" s="156">
        <f t="shared" si="7"/>
        <v>4</v>
      </c>
      <c r="R20" s="28">
        <f t="shared" si="8"/>
        <v>6000000</v>
      </c>
      <c r="S20" s="18" cm="1">
        <f t="array" aca="1" ref="S20" ca="1">IF($F20&gt;CDS.Tenor,"-",flatInterpolation(Q20,INDIRECT(HazardRateTimes),INDIRECT(HazardRateValues)))</f>
        <v>5.0000000000000001E-3</v>
      </c>
      <c r="T20" s="10">
        <f t="shared" ca="1" si="9"/>
        <v>0.98019867330675592</v>
      </c>
      <c r="U20" s="10">
        <f t="shared" ca="1" si="10"/>
        <v>1.2260144410217722E-3</v>
      </c>
      <c r="V20" s="94" cm="1">
        <f t="array" ref="V20">IF($Q20&gt;CDS.Tenor,"-",cubicInterpolation(CurveResults.Times,CurveResults.DFs,$F20))</f>
        <v>0.84616093081343713</v>
      </c>
      <c r="W20" s="142">
        <f t="shared" ca="1" si="11"/>
        <v>6224.4331236341914</v>
      </c>
    </row>
    <row r="21" spans="2:23" x14ac:dyDescent="0.3">
      <c r="B21" s="116" t="s">
        <v>124</v>
      </c>
      <c r="C21" s="165"/>
      <c r="D21" s="160">
        <f ca="1">SUM($N$4:$N$44)</f>
        <v>-442547.5760780765</v>
      </c>
      <c r="F21" s="156">
        <f t="shared" si="0"/>
        <v>4.25</v>
      </c>
      <c r="G21" s="28">
        <f t="shared" si="1"/>
        <v>-25000</v>
      </c>
      <c r="H21" s="18" cm="1">
        <f t="array" aca="1" ref="H21" ca="1">IF($F21&gt;CDS.Tenor,"-",flatInterpolation(F21,INDIRECT(HazardRateTimes),INDIRECT(HazardRateValues)))</f>
        <v>5.0000000000000001E-3</v>
      </c>
      <c r="I21" s="10">
        <f t="shared" ca="1" si="2"/>
        <v>0.97897419042636069</v>
      </c>
      <c r="J21" s="10">
        <f t="shared" ca="1" si="3"/>
        <v>1.2244828803952279E-3</v>
      </c>
      <c r="K21" s="94" cm="1">
        <f t="array" ref="K21">IF($F21&gt;CDS.Tenor,"-",cubicInterpolation(CurveResults.Times,CurveResults.DFs,$F21))</f>
        <v>0.83819214507342643</v>
      </c>
      <c r="L21" s="28">
        <f t="shared" ca="1" si="4"/>
        <v>-20514.211916124808</v>
      </c>
      <c r="M21" s="28">
        <f t="shared" ca="1" si="5"/>
        <v>-12.82939915155205</v>
      </c>
      <c r="N21" s="142">
        <f t="shared" ca="1" si="6"/>
        <v>-20527.041315276361</v>
      </c>
      <c r="Q21" s="156">
        <f t="shared" si="7"/>
        <v>4.25</v>
      </c>
      <c r="R21" s="28">
        <f t="shared" si="8"/>
        <v>6000000</v>
      </c>
      <c r="S21" s="18" cm="1">
        <f t="array" aca="1" ref="S21" ca="1">IF($F21&gt;CDS.Tenor,"-",flatInterpolation(Q21,INDIRECT(HazardRateTimes),INDIRECT(HazardRateValues)))</f>
        <v>5.0000000000000001E-3</v>
      </c>
      <c r="T21" s="10">
        <f t="shared" ca="1" si="9"/>
        <v>0.97897419042636069</v>
      </c>
      <c r="U21" s="10">
        <f t="shared" ca="1" si="10"/>
        <v>1.2244828803952279E-3</v>
      </c>
      <c r="V21" s="94" cm="1">
        <f t="array" ref="V21">IF($Q21&gt;CDS.Tenor,"-",cubicInterpolation(CurveResults.Times,CurveResults.DFs,$F21))</f>
        <v>0.83819214507342643</v>
      </c>
      <c r="W21" s="142">
        <f t="shared" ca="1" si="11"/>
        <v>6158.1115927449837</v>
      </c>
    </row>
    <row r="22" spans="2:23" x14ac:dyDescent="0.3">
      <c r="B22" s="116" t="s">
        <v>125</v>
      </c>
      <c r="C22" s="165"/>
      <c r="D22" s="160">
        <f ca="1">SUM($W$5:$W$44)</f>
        <v>132764.25553640642</v>
      </c>
      <c r="F22" s="156">
        <f t="shared" si="0"/>
        <v>4.5</v>
      </c>
      <c r="G22" s="28">
        <f t="shared" si="1"/>
        <v>-25000</v>
      </c>
      <c r="H22" s="18" cm="1">
        <f t="array" aca="1" ref="H22" ca="1">IF($F22&gt;CDS.Tenor,"-",flatInterpolation(F22,INDIRECT(HazardRateTimes),INDIRECT(HazardRateValues)))</f>
        <v>5.0000000000000001E-3</v>
      </c>
      <c r="I22" s="10">
        <f t="shared" ca="1" si="2"/>
        <v>0.97775123719333712</v>
      </c>
      <c r="J22" s="10">
        <f t="shared" ca="1" si="3"/>
        <v>1.2229532330235715E-3</v>
      </c>
      <c r="K22" s="94" cm="1">
        <f t="array" ref="K22">IF($F22&gt;CDS.Tenor,"-",cubicInterpolation(CurveResults.Times,CurveResults.DFs,$F22))</f>
        <v>0.8303546218014306</v>
      </c>
      <c r="L22" s="28">
        <f t="shared" ca="1" si="4"/>
        <v>-20297.00646938886</v>
      </c>
      <c r="M22" s="28">
        <f t="shared" ca="1" si="5"/>
        <v>-12.693560866101556</v>
      </c>
      <c r="N22" s="142">
        <f t="shared" ca="1" si="6"/>
        <v>-20309.70003025496</v>
      </c>
      <c r="Q22" s="156">
        <f t="shared" si="7"/>
        <v>4.5</v>
      </c>
      <c r="R22" s="28">
        <f t="shared" si="8"/>
        <v>6000000</v>
      </c>
      <c r="S22" s="18" cm="1">
        <f t="array" aca="1" ref="S22" ca="1">IF($F22&gt;CDS.Tenor,"-",flatInterpolation(Q22,INDIRECT(HazardRateTimes),INDIRECT(HazardRateValues)))</f>
        <v>5.0000000000000001E-3</v>
      </c>
      <c r="T22" s="10">
        <f t="shared" ca="1" si="9"/>
        <v>0.97775123719333712</v>
      </c>
      <c r="U22" s="10">
        <f t="shared" ca="1" si="10"/>
        <v>1.2229532330235715E-3</v>
      </c>
      <c r="V22" s="94" cm="1">
        <f t="array" ref="V22">IF($Q22&gt;CDS.Tenor,"-",cubicInterpolation(CurveResults.Times,CurveResults.DFs,$F22))</f>
        <v>0.8303546218014306</v>
      </c>
      <c r="W22" s="142">
        <f t="shared" ca="1" si="11"/>
        <v>6092.9092157287478</v>
      </c>
    </row>
    <row r="23" spans="2:23" x14ac:dyDescent="0.3">
      <c r="B23" s="116" t="s">
        <v>49</v>
      </c>
      <c r="C23" s="165"/>
      <c r="D23" s="161">
        <f ca="1">ABS(CDS.PremiumLegPV/CDS.CreditSpread)</f>
        <v>44254757.607807651</v>
      </c>
      <c r="F23" s="156">
        <f t="shared" si="0"/>
        <v>4.75</v>
      </c>
      <c r="G23" s="28">
        <f t="shared" si="1"/>
        <v>-25000</v>
      </c>
      <c r="H23" s="18" cm="1">
        <f t="array" aca="1" ref="H23" ca="1">IF($F23&gt;CDS.Tenor,"-",flatInterpolation(F23,INDIRECT(HazardRateTimes),INDIRECT(HazardRateValues)))</f>
        <v>5.0000000000000001E-3</v>
      </c>
      <c r="I23" s="10">
        <f t="shared" ca="1" si="2"/>
        <v>0.97652981169682063</v>
      </c>
      <c r="J23" s="10">
        <f t="shared" ca="1" si="3"/>
        <v>1.2214254965164928E-3</v>
      </c>
      <c r="K23" s="94" cm="1">
        <f t="array" ref="K23">IF($F23&gt;CDS.Tenor,"-",cubicInterpolation(CurveResults.Times,CurveResults.DFs,$F23))</f>
        <v>0.82262044965312253</v>
      </c>
      <c r="L23" s="28">
        <f t="shared" ca="1" si="4"/>
        <v>-20082.834819942942</v>
      </c>
      <c r="M23" s="28">
        <f t="shared" ca="1" si="5"/>
        <v>-12.559619889527321</v>
      </c>
      <c r="N23" s="142">
        <f t="shared" ca="1" si="6"/>
        <v>-20095.394439832471</v>
      </c>
      <c r="Q23" s="156">
        <f t="shared" si="7"/>
        <v>4.75</v>
      </c>
      <c r="R23" s="28">
        <f t="shared" si="8"/>
        <v>6000000</v>
      </c>
      <c r="S23" s="18" cm="1">
        <f t="array" aca="1" ref="S23" ca="1">IF($F23&gt;CDS.Tenor,"-",flatInterpolation(Q23,INDIRECT(HazardRateTimes),INDIRECT(HazardRateValues)))</f>
        <v>5.0000000000000001E-3</v>
      </c>
      <c r="T23" s="10">
        <f t="shared" ca="1" si="9"/>
        <v>0.97652981169682063</v>
      </c>
      <c r="U23" s="10">
        <f t="shared" ca="1" si="10"/>
        <v>1.2214254965164928E-3</v>
      </c>
      <c r="V23" s="94" cm="1">
        <f t="array" ref="V23">IF($Q23&gt;CDS.Tenor,"-",cubicInterpolation(CurveResults.Times,CurveResults.DFs,$F23))</f>
        <v>0.82262044965312253</v>
      </c>
      <c r="W23" s="142">
        <f t="shared" ca="1" si="11"/>
        <v>6028.6175469731143</v>
      </c>
    </row>
    <row r="24" spans="2:23" x14ac:dyDescent="0.3">
      <c r="B24" s="116" t="s">
        <v>126</v>
      </c>
      <c r="C24" s="165"/>
      <c r="D24" s="162">
        <f ca="1">D23*0.01%</f>
        <v>4425.4757607807651</v>
      </c>
      <c r="F24" s="156">
        <f t="shared" si="0"/>
        <v>5</v>
      </c>
      <c r="G24" s="28">
        <f t="shared" si="1"/>
        <v>-25000</v>
      </c>
      <c r="H24" s="18" cm="1">
        <f t="array" aca="1" ref="H24" ca="1">IF($F24&gt;CDS.Tenor,"-",flatInterpolation(F24,INDIRECT(HazardRateTimes),INDIRECT(HazardRateValues)))</f>
        <v>5.0000000000000001E-3</v>
      </c>
      <c r="I24" s="10">
        <f t="shared" ca="1" si="2"/>
        <v>0.9753099120283335</v>
      </c>
      <c r="J24" s="10">
        <f t="shared" ca="1" si="3"/>
        <v>1.2198996684871233E-3</v>
      </c>
      <c r="K24" s="94" cm="1">
        <f t="array" ref="K24">IF($F24&gt;CDS.Tenor,"-",cubicInterpolation(CurveResults.Times,CurveResults.DFs,$F24))</f>
        <v>0.81496171728417521</v>
      </c>
      <c r="L24" s="28">
        <f t="shared" ca="1" si="4"/>
        <v>-19871.006019772212</v>
      </c>
      <c r="M24" s="28">
        <f t="shared" ca="1" si="5"/>
        <v>-12.427144109308275</v>
      </c>
      <c r="N24" s="142">
        <f t="shared" ca="1" si="6"/>
        <v>-19883.43316388152</v>
      </c>
      <c r="Q24" s="156">
        <f t="shared" si="7"/>
        <v>5</v>
      </c>
      <c r="R24" s="28">
        <f t="shared" si="8"/>
        <v>6000000</v>
      </c>
      <c r="S24" s="18" cm="1">
        <f t="array" aca="1" ref="S24" ca="1">IF($F24&gt;CDS.Tenor,"-",flatInterpolation(Q24,INDIRECT(HazardRateTimes),INDIRECT(HazardRateValues)))</f>
        <v>5.0000000000000001E-3</v>
      </c>
      <c r="T24" s="10">
        <f t="shared" ca="1" si="9"/>
        <v>0.9753099120283335</v>
      </c>
      <c r="U24" s="10">
        <f t="shared" ca="1" si="10"/>
        <v>1.2198996684871233E-3</v>
      </c>
      <c r="V24" s="94" cm="1">
        <f t="array" ref="V24">IF($Q24&gt;CDS.Tenor,"-",cubicInterpolation(CurveResults.Times,CurveResults.DFs,$F24))</f>
        <v>0.81496171728417521</v>
      </c>
      <c r="W24" s="142">
        <f t="shared" ca="1" si="11"/>
        <v>5965.0291724679719</v>
      </c>
    </row>
    <row r="25" spans="2:23" x14ac:dyDescent="0.3">
      <c r="B25" s="116" t="s">
        <v>110</v>
      </c>
      <c r="C25" s="165"/>
      <c r="D25" s="163">
        <f ca="1">ABS(D22/D23)</f>
        <v>2.9999996093749582E-3</v>
      </c>
      <c r="F25" s="156">
        <f t="shared" si="0"/>
        <v>5.25</v>
      </c>
      <c r="G25" s="28" t="str">
        <f t="shared" si="1"/>
        <v>-</v>
      </c>
      <c r="H25" s="18" t="str" cm="1">
        <f t="array" aca="1" ref="H25" ca="1">IF($F25&gt;CDS.Tenor,"-",flatInterpolation(F25,INDIRECT(HazardRateTimes),INDIRECT(HazardRateValues)))</f>
        <v>-</v>
      </c>
      <c r="I25" s="10" t="str">
        <f t="shared" si="2"/>
        <v>-</v>
      </c>
      <c r="J25" s="10" t="str">
        <f t="shared" si="3"/>
        <v>-</v>
      </c>
      <c r="K25" s="94" t="str" cm="1">
        <f t="array" ref="K25">IF($F25&gt;CDS.Tenor,"-",cubicInterpolation(CurveResults.Times,CurveResults.DFs,$F25))</f>
        <v>-</v>
      </c>
      <c r="L25" s="28" t="str">
        <f t="shared" si="4"/>
        <v>-</v>
      </c>
      <c r="M25" s="28" t="str">
        <f t="shared" si="5"/>
        <v>-</v>
      </c>
      <c r="N25" s="142" t="str">
        <f t="shared" si="6"/>
        <v>-</v>
      </c>
      <c r="Q25" s="156">
        <f t="shared" si="7"/>
        <v>5.25</v>
      </c>
      <c r="R25" s="28" t="str">
        <f t="shared" si="8"/>
        <v>-</v>
      </c>
      <c r="S25" s="18" t="str" cm="1">
        <f t="array" aca="1" ref="S25" ca="1">IF($F25&gt;CDS.Tenor,"-",flatInterpolation(Q25,INDIRECT(HazardRateTimes),INDIRECT(HazardRateValues)))</f>
        <v>-</v>
      </c>
      <c r="T25" s="10" t="str">
        <f t="shared" si="9"/>
        <v>-</v>
      </c>
      <c r="U25" s="10" t="str">
        <f t="shared" si="10"/>
        <v>-</v>
      </c>
      <c r="V25" s="94" t="str" cm="1">
        <f t="array" ref="V25">IF($Q25&gt;CDS.Tenor,"-",cubicInterpolation(CurveResults.Times,CurveResults.DFs,$F25))</f>
        <v>-</v>
      </c>
      <c r="W25" s="142" t="str">
        <f t="shared" si="11"/>
        <v>-</v>
      </c>
    </row>
    <row r="26" spans="2:23" x14ac:dyDescent="0.3">
      <c r="B26" s="112" t="s">
        <v>67</v>
      </c>
      <c r="C26" s="166"/>
      <c r="D26" s="343">
        <f ca="1">D25*10000</f>
        <v>29.999996093749584</v>
      </c>
      <c r="F26" s="156">
        <f t="shared" si="0"/>
        <v>5.5</v>
      </c>
      <c r="G26" s="28" t="str">
        <f t="shared" si="1"/>
        <v>-</v>
      </c>
      <c r="H26" s="18" t="str" cm="1">
        <f t="array" aca="1" ref="H26" ca="1">IF($F26&gt;CDS.Tenor,"-",flatInterpolation(F26,INDIRECT(HazardRateTimes),INDIRECT(HazardRateValues)))</f>
        <v>-</v>
      </c>
      <c r="I26" s="10" t="str">
        <f t="shared" si="2"/>
        <v>-</v>
      </c>
      <c r="J26" s="10" t="str">
        <f t="shared" si="3"/>
        <v>-</v>
      </c>
      <c r="K26" s="94" t="str" cm="1">
        <f t="array" ref="K26">IF($F26&gt;CDS.Tenor,"-",cubicInterpolation(CurveResults.Times,CurveResults.DFs,$F26))</f>
        <v>-</v>
      </c>
      <c r="L26" s="28" t="str">
        <f t="shared" si="4"/>
        <v>-</v>
      </c>
      <c r="M26" s="28" t="str">
        <f t="shared" si="5"/>
        <v>-</v>
      </c>
      <c r="N26" s="142" t="str">
        <f t="shared" si="6"/>
        <v>-</v>
      </c>
      <c r="Q26" s="156">
        <f t="shared" si="7"/>
        <v>5.5</v>
      </c>
      <c r="R26" s="28" t="str">
        <f t="shared" si="8"/>
        <v>-</v>
      </c>
      <c r="S26" s="18" t="str" cm="1">
        <f t="array" aca="1" ref="S26" ca="1">IF($F26&gt;CDS.Tenor,"-",flatInterpolation(Q26,INDIRECT(HazardRateTimes),INDIRECT(HazardRateValues)))</f>
        <v>-</v>
      </c>
      <c r="T26" s="10" t="str">
        <f t="shared" si="9"/>
        <v>-</v>
      </c>
      <c r="U26" s="10" t="str">
        <f t="shared" si="10"/>
        <v>-</v>
      </c>
      <c r="V26" s="94" t="str" cm="1">
        <f t="array" ref="V26">IF($Q26&gt;CDS.Tenor,"-",cubicInterpolation(CurveResults.Times,CurveResults.DFs,$F26))</f>
        <v>-</v>
      </c>
      <c r="W26" s="142" t="str">
        <f t="shared" si="11"/>
        <v>-</v>
      </c>
    </row>
    <row r="27" spans="2:23" x14ac:dyDescent="0.3">
      <c r="D27" s="125"/>
      <c r="F27" s="156">
        <f t="shared" si="0"/>
        <v>5.75</v>
      </c>
      <c r="G27" s="28" t="str">
        <f t="shared" si="1"/>
        <v>-</v>
      </c>
      <c r="H27" s="18" t="str" cm="1">
        <f t="array" aca="1" ref="H27" ca="1">IF($F27&gt;CDS.Tenor,"-",flatInterpolation(F27,INDIRECT(HazardRateTimes),INDIRECT(HazardRateValues)))</f>
        <v>-</v>
      </c>
      <c r="I27" s="10" t="str">
        <f t="shared" si="2"/>
        <v>-</v>
      </c>
      <c r="J27" s="10" t="str">
        <f t="shared" si="3"/>
        <v>-</v>
      </c>
      <c r="K27" s="94" t="str" cm="1">
        <f t="array" ref="K27">IF($F27&gt;CDS.Tenor,"-",cubicInterpolation(CurveResults.Times,CurveResults.DFs,$F27))</f>
        <v>-</v>
      </c>
      <c r="L27" s="28" t="str">
        <f t="shared" si="4"/>
        <v>-</v>
      </c>
      <c r="M27" s="28" t="str">
        <f t="shared" si="5"/>
        <v>-</v>
      </c>
      <c r="N27" s="142" t="str">
        <f t="shared" si="6"/>
        <v>-</v>
      </c>
      <c r="Q27" s="156">
        <f t="shared" si="7"/>
        <v>5.75</v>
      </c>
      <c r="R27" s="28" t="str">
        <f t="shared" si="8"/>
        <v>-</v>
      </c>
      <c r="S27" s="18" t="str" cm="1">
        <f t="array" aca="1" ref="S27" ca="1">IF($F27&gt;CDS.Tenor,"-",flatInterpolation(Q27,INDIRECT(HazardRateTimes),INDIRECT(HazardRateValues)))</f>
        <v>-</v>
      </c>
      <c r="T27" s="10" t="str">
        <f t="shared" si="9"/>
        <v>-</v>
      </c>
      <c r="U27" s="10" t="str">
        <f t="shared" si="10"/>
        <v>-</v>
      </c>
      <c r="V27" s="94" t="str" cm="1">
        <f t="array" ref="V27">IF($Q27&gt;CDS.Tenor,"-",cubicInterpolation(CurveResults.Times,CurveResults.DFs,$F27))</f>
        <v>-</v>
      </c>
      <c r="W27" s="142" t="str">
        <f t="shared" si="11"/>
        <v>-</v>
      </c>
    </row>
    <row r="28" spans="2:23" x14ac:dyDescent="0.3">
      <c r="B28" s="1" t="s">
        <v>340</v>
      </c>
      <c r="F28" s="156">
        <f t="shared" si="0"/>
        <v>6</v>
      </c>
      <c r="G28" s="28" t="str">
        <f t="shared" si="1"/>
        <v>-</v>
      </c>
      <c r="H28" s="18" t="str" cm="1">
        <f t="array" aca="1" ref="H28" ca="1">IF($F28&gt;CDS.Tenor,"-",flatInterpolation(F28,INDIRECT(HazardRateTimes),INDIRECT(HazardRateValues)))</f>
        <v>-</v>
      </c>
      <c r="I28" s="10" t="str">
        <f t="shared" si="2"/>
        <v>-</v>
      </c>
      <c r="J28" s="10" t="str">
        <f t="shared" si="3"/>
        <v>-</v>
      </c>
      <c r="K28" s="94" t="str" cm="1">
        <f t="array" ref="K28">IF($F28&gt;CDS.Tenor,"-",cubicInterpolation(CurveResults.Times,CurveResults.DFs,$F28))</f>
        <v>-</v>
      </c>
      <c r="L28" s="28" t="str">
        <f t="shared" si="4"/>
        <v>-</v>
      </c>
      <c r="M28" s="28" t="str">
        <f t="shared" si="5"/>
        <v>-</v>
      </c>
      <c r="N28" s="142" t="str">
        <f t="shared" si="6"/>
        <v>-</v>
      </c>
      <c r="Q28" s="156">
        <f t="shared" si="7"/>
        <v>6</v>
      </c>
      <c r="R28" s="28" t="str">
        <f t="shared" si="8"/>
        <v>-</v>
      </c>
      <c r="S28" s="18" t="str" cm="1">
        <f t="array" aca="1" ref="S28" ca="1">IF($F28&gt;CDS.Tenor,"-",flatInterpolation(Q28,INDIRECT(HazardRateTimes),INDIRECT(HazardRateValues)))</f>
        <v>-</v>
      </c>
      <c r="T28" s="10" t="str">
        <f t="shared" si="9"/>
        <v>-</v>
      </c>
      <c r="U28" s="10" t="str">
        <f t="shared" si="10"/>
        <v>-</v>
      </c>
      <c r="V28" s="94" t="str" cm="1">
        <f t="array" ref="V28">IF($Q28&gt;CDS.Tenor,"-",cubicInterpolation(CurveResults.Times,CurveResults.DFs,$F28))</f>
        <v>-</v>
      </c>
      <c r="W28" s="142" t="str">
        <f t="shared" si="11"/>
        <v>-</v>
      </c>
    </row>
    <row r="29" spans="2:23" x14ac:dyDescent="0.3">
      <c r="B29" s="346" t="str">
        <f>"Credit Curve "&amp;$D$7</f>
        <v>Credit Curve AAPL</v>
      </c>
      <c r="F29" s="156">
        <f t="shared" si="0"/>
        <v>6.25</v>
      </c>
      <c r="G29" s="28" t="str">
        <f t="shared" si="1"/>
        <v>-</v>
      </c>
      <c r="H29" s="18" t="str" cm="1">
        <f t="array" aca="1" ref="H29" ca="1">IF($F29&gt;CDS.Tenor,"-",flatInterpolation(F29,INDIRECT(HazardRateTimes),INDIRECT(HazardRateValues)))</f>
        <v>-</v>
      </c>
      <c r="I29" s="10" t="str">
        <f t="shared" si="2"/>
        <v>-</v>
      </c>
      <c r="J29" s="10" t="str">
        <f t="shared" si="3"/>
        <v>-</v>
      </c>
      <c r="K29" s="94" t="str" cm="1">
        <f t="array" ref="K29">IF($F29&gt;CDS.Tenor,"-",cubicInterpolation(CurveResults.Times,CurveResults.DFs,$F29))</f>
        <v>-</v>
      </c>
      <c r="L29" s="28" t="str">
        <f t="shared" si="4"/>
        <v>-</v>
      </c>
      <c r="M29" s="28" t="str">
        <f t="shared" si="5"/>
        <v>-</v>
      </c>
      <c r="N29" s="142" t="str">
        <f t="shared" si="6"/>
        <v>-</v>
      </c>
      <c r="Q29" s="156">
        <f t="shared" si="7"/>
        <v>6.25</v>
      </c>
      <c r="R29" s="28" t="str">
        <f t="shared" si="8"/>
        <v>-</v>
      </c>
      <c r="S29" s="18" t="str" cm="1">
        <f t="array" aca="1" ref="S29" ca="1">IF($F29&gt;CDS.Tenor,"-",flatInterpolation(Q29,INDIRECT(HazardRateTimes),INDIRECT(HazardRateValues)))</f>
        <v>-</v>
      </c>
      <c r="T29" s="10" t="str">
        <f t="shared" si="9"/>
        <v>-</v>
      </c>
      <c r="U29" s="10" t="str">
        <f t="shared" si="10"/>
        <v>-</v>
      </c>
      <c r="V29" s="94" t="str" cm="1">
        <f t="array" ref="V29">IF($Q29&gt;CDS.Tenor,"-",cubicInterpolation(CurveResults.Times,CurveResults.DFs,$F29))</f>
        <v>-</v>
      </c>
      <c r="W29" s="142" t="str">
        <f t="shared" si="11"/>
        <v>-</v>
      </c>
    </row>
    <row r="30" spans="2:23" x14ac:dyDescent="0.3">
      <c r="B30" s="346" t="str">
        <f>"'"&amp;CreditCurve&amp;"'!Calibration.Times"</f>
        <v>'Credit Curve AAPL'!Calibration.Times</v>
      </c>
      <c r="F30" s="156">
        <f t="shared" si="0"/>
        <v>6.5</v>
      </c>
      <c r="G30" s="28" t="str">
        <f t="shared" si="1"/>
        <v>-</v>
      </c>
      <c r="H30" s="18" t="str" cm="1">
        <f t="array" aca="1" ref="H30" ca="1">IF($F30&gt;CDS.Tenor,"-",flatInterpolation(F30,INDIRECT(HazardRateTimes),INDIRECT(HazardRateValues)))</f>
        <v>-</v>
      </c>
      <c r="I30" s="10" t="str">
        <f t="shared" si="2"/>
        <v>-</v>
      </c>
      <c r="J30" s="10" t="str">
        <f t="shared" si="3"/>
        <v>-</v>
      </c>
      <c r="K30" s="94" t="str" cm="1">
        <f t="array" ref="K30">IF($F30&gt;CDS.Tenor,"-",cubicInterpolation(CurveResults.Times,CurveResults.DFs,$F30))</f>
        <v>-</v>
      </c>
      <c r="L30" s="28" t="str">
        <f t="shared" si="4"/>
        <v>-</v>
      </c>
      <c r="M30" s="28" t="str">
        <f t="shared" si="5"/>
        <v>-</v>
      </c>
      <c r="N30" s="142" t="str">
        <f t="shared" si="6"/>
        <v>-</v>
      </c>
      <c r="Q30" s="156">
        <f t="shared" si="7"/>
        <v>6.5</v>
      </c>
      <c r="R30" s="28" t="str">
        <f t="shared" si="8"/>
        <v>-</v>
      </c>
      <c r="S30" s="18" t="str" cm="1">
        <f t="array" aca="1" ref="S30" ca="1">IF($F30&gt;CDS.Tenor,"-",flatInterpolation(Q30,INDIRECT(HazardRateTimes),INDIRECT(HazardRateValues)))</f>
        <v>-</v>
      </c>
      <c r="T30" s="10" t="str">
        <f t="shared" si="9"/>
        <v>-</v>
      </c>
      <c r="U30" s="10" t="str">
        <f t="shared" si="10"/>
        <v>-</v>
      </c>
      <c r="V30" s="94" t="str" cm="1">
        <f t="array" ref="V30">IF($Q30&gt;CDS.Tenor,"-",cubicInterpolation(CurveResults.Times,CurveResults.DFs,$F30))</f>
        <v>-</v>
      </c>
      <c r="W30" s="142" t="str">
        <f t="shared" si="11"/>
        <v>-</v>
      </c>
    </row>
    <row r="31" spans="2:23" x14ac:dyDescent="0.3">
      <c r="B31" s="346" t="str">
        <f>"'"&amp;CreditCurve&amp;"'!Calibration.HazardRates"</f>
        <v>'Credit Curve AAPL'!Calibration.HazardRates</v>
      </c>
      <c r="F31" s="156">
        <f t="shared" si="0"/>
        <v>6.75</v>
      </c>
      <c r="G31" s="28" t="str">
        <f t="shared" si="1"/>
        <v>-</v>
      </c>
      <c r="H31" s="18" t="str" cm="1">
        <f t="array" aca="1" ref="H31" ca="1">IF($F31&gt;CDS.Tenor,"-",flatInterpolation(F31,INDIRECT(HazardRateTimes),INDIRECT(HazardRateValues)))</f>
        <v>-</v>
      </c>
      <c r="I31" s="10" t="str">
        <f t="shared" si="2"/>
        <v>-</v>
      </c>
      <c r="J31" s="10" t="str">
        <f t="shared" si="3"/>
        <v>-</v>
      </c>
      <c r="K31" s="94" t="str" cm="1">
        <f t="array" ref="K31">IF($F31&gt;CDS.Tenor,"-",cubicInterpolation(CurveResults.Times,CurveResults.DFs,$F31))</f>
        <v>-</v>
      </c>
      <c r="L31" s="28" t="str">
        <f t="shared" si="4"/>
        <v>-</v>
      </c>
      <c r="M31" s="28" t="str">
        <f t="shared" si="5"/>
        <v>-</v>
      </c>
      <c r="N31" s="142" t="str">
        <f t="shared" si="6"/>
        <v>-</v>
      </c>
      <c r="Q31" s="156">
        <f t="shared" si="7"/>
        <v>6.75</v>
      </c>
      <c r="R31" s="28" t="str">
        <f t="shared" si="8"/>
        <v>-</v>
      </c>
      <c r="S31" s="18" t="str" cm="1">
        <f t="array" aca="1" ref="S31" ca="1">IF($F31&gt;CDS.Tenor,"-",flatInterpolation(Q31,INDIRECT(HazardRateTimes),INDIRECT(HazardRateValues)))</f>
        <v>-</v>
      </c>
      <c r="T31" s="10" t="str">
        <f t="shared" si="9"/>
        <v>-</v>
      </c>
      <c r="U31" s="10" t="str">
        <f t="shared" si="10"/>
        <v>-</v>
      </c>
      <c r="V31" s="94" t="str" cm="1">
        <f t="array" ref="V31">IF($Q31&gt;CDS.Tenor,"-",cubicInterpolation(CurveResults.Times,CurveResults.DFs,$F31))</f>
        <v>-</v>
      </c>
      <c r="W31" s="142" t="str">
        <f t="shared" si="11"/>
        <v>-</v>
      </c>
    </row>
    <row r="32" spans="2:23" x14ac:dyDescent="0.3">
      <c r="F32" s="156">
        <f t="shared" si="0"/>
        <v>7</v>
      </c>
      <c r="G32" s="28" t="str">
        <f t="shared" si="1"/>
        <v>-</v>
      </c>
      <c r="H32" s="18" t="str" cm="1">
        <f t="array" aca="1" ref="H32" ca="1">IF($F32&gt;CDS.Tenor,"-",flatInterpolation(F32,INDIRECT(HazardRateTimes),INDIRECT(HazardRateValues)))</f>
        <v>-</v>
      </c>
      <c r="I32" s="10" t="str">
        <f t="shared" si="2"/>
        <v>-</v>
      </c>
      <c r="J32" s="10" t="str">
        <f t="shared" si="3"/>
        <v>-</v>
      </c>
      <c r="K32" s="94" t="str" cm="1">
        <f t="array" ref="K32">IF($F32&gt;CDS.Tenor,"-",cubicInterpolation(CurveResults.Times,CurveResults.DFs,$F32))</f>
        <v>-</v>
      </c>
      <c r="L32" s="28" t="str">
        <f t="shared" si="4"/>
        <v>-</v>
      </c>
      <c r="M32" s="28" t="str">
        <f t="shared" si="5"/>
        <v>-</v>
      </c>
      <c r="N32" s="142" t="str">
        <f t="shared" si="6"/>
        <v>-</v>
      </c>
      <c r="Q32" s="156">
        <f t="shared" si="7"/>
        <v>7</v>
      </c>
      <c r="R32" s="28" t="str">
        <f t="shared" si="8"/>
        <v>-</v>
      </c>
      <c r="S32" s="18" t="str" cm="1">
        <f t="array" aca="1" ref="S32" ca="1">IF($F32&gt;CDS.Tenor,"-",flatInterpolation(Q32,INDIRECT(HazardRateTimes),INDIRECT(HazardRateValues)))</f>
        <v>-</v>
      </c>
      <c r="T32" s="10" t="str">
        <f t="shared" si="9"/>
        <v>-</v>
      </c>
      <c r="U32" s="10" t="str">
        <f t="shared" si="10"/>
        <v>-</v>
      </c>
      <c r="V32" s="94" t="str" cm="1">
        <f t="array" ref="V32">IF($Q32&gt;CDS.Tenor,"-",cubicInterpolation(CurveResults.Times,CurveResults.DFs,$F32))</f>
        <v>-</v>
      </c>
      <c r="W32" s="142" t="str">
        <f t="shared" si="11"/>
        <v>-</v>
      </c>
    </row>
    <row r="33" spans="6:23" x14ac:dyDescent="0.3">
      <c r="F33" s="156">
        <f t="shared" si="0"/>
        <v>7.25</v>
      </c>
      <c r="G33" s="28" t="str">
        <f t="shared" si="1"/>
        <v>-</v>
      </c>
      <c r="H33" s="18" t="str" cm="1">
        <f t="array" aca="1" ref="H33" ca="1">IF($F33&gt;CDS.Tenor,"-",flatInterpolation(F33,INDIRECT(HazardRateTimes),INDIRECT(HazardRateValues)))</f>
        <v>-</v>
      </c>
      <c r="I33" s="10" t="str">
        <f t="shared" si="2"/>
        <v>-</v>
      </c>
      <c r="J33" s="10" t="str">
        <f t="shared" si="3"/>
        <v>-</v>
      </c>
      <c r="K33" s="94" t="str" cm="1">
        <f t="array" ref="K33">IF($F33&gt;CDS.Tenor,"-",cubicInterpolation(CurveResults.Times,CurveResults.DFs,$F33))</f>
        <v>-</v>
      </c>
      <c r="L33" s="28" t="str">
        <f t="shared" si="4"/>
        <v>-</v>
      </c>
      <c r="M33" s="28" t="str">
        <f t="shared" si="5"/>
        <v>-</v>
      </c>
      <c r="N33" s="142" t="str">
        <f t="shared" si="6"/>
        <v>-</v>
      </c>
      <c r="Q33" s="156">
        <f t="shared" si="7"/>
        <v>7.25</v>
      </c>
      <c r="R33" s="28" t="str">
        <f t="shared" si="8"/>
        <v>-</v>
      </c>
      <c r="S33" s="18" t="str" cm="1">
        <f t="array" aca="1" ref="S33" ca="1">IF($F33&gt;CDS.Tenor,"-",flatInterpolation(Q33,INDIRECT(HazardRateTimes),INDIRECT(HazardRateValues)))</f>
        <v>-</v>
      </c>
      <c r="T33" s="10" t="str">
        <f t="shared" si="9"/>
        <v>-</v>
      </c>
      <c r="U33" s="10" t="str">
        <f t="shared" si="10"/>
        <v>-</v>
      </c>
      <c r="V33" s="94" t="str" cm="1">
        <f t="array" ref="V33">IF($Q33&gt;CDS.Tenor,"-",cubicInterpolation(CurveResults.Times,CurveResults.DFs,$F33))</f>
        <v>-</v>
      </c>
      <c r="W33" s="142" t="str">
        <f t="shared" si="11"/>
        <v>-</v>
      </c>
    </row>
    <row r="34" spans="6:23" x14ac:dyDescent="0.3">
      <c r="F34" s="156">
        <f t="shared" si="0"/>
        <v>7.5</v>
      </c>
      <c r="G34" s="28" t="str">
        <f t="shared" si="1"/>
        <v>-</v>
      </c>
      <c r="H34" s="18" t="str" cm="1">
        <f t="array" aca="1" ref="H34" ca="1">IF($F34&gt;CDS.Tenor,"-",flatInterpolation(F34,INDIRECT(HazardRateTimes),INDIRECT(HazardRateValues)))</f>
        <v>-</v>
      </c>
      <c r="I34" s="10" t="str">
        <f t="shared" si="2"/>
        <v>-</v>
      </c>
      <c r="J34" s="10" t="str">
        <f t="shared" si="3"/>
        <v>-</v>
      </c>
      <c r="K34" s="94" t="str" cm="1">
        <f t="array" ref="K34">IF($F34&gt;CDS.Tenor,"-",cubicInterpolation(CurveResults.Times,CurveResults.DFs,$F34))</f>
        <v>-</v>
      </c>
      <c r="L34" s="28" t="str">
        <f t="shared" si="4"/>
        <v>-</v>
      </c>
      <c r="M34" s="28" t="str">
        <f t="shared" si="5"/>
        <v>-</v>
      </c>
      <c r="N34" s="142" t="str">
        <f t="shared" si="6"/>
        <v>-</v>
      </c>
      <c r="Q34" s="156">
        <f t="shared" si="7"/>
        <v>7.5</v>
      </c>
      <c r="R34" s="28" t="str">
        <f t="shared" si="8"/>
        <v>-</v>
      </c>
      <c r="S34" s="18" t="str" cm="1">
        <f t="array" aca="1" ref="S34" ca="1">IF($F34&gt;CDS.Tenor,"-",flatInterpolation(Q34,INDIRECT(HazardRateTimes),INDIRECT(HazardRateValues)))</f>
        <v>-</v>
      </c>
      <c r="T34" s="10" t="str">
        <f t="shared" si="9"/>
        <v>-</v>
      </c>
      <c r="U34" s="10" t="str">
        <f t="shared" si="10"/>
        <v>-</v>
      </c>
      <c r="V34" s="94" t="str" cm="1">
        <f t="array" ref="V34">IF($Q34&gt;CDS.Tenor,"-",cubicInterpolation(CurveResults.Times,CurveResults.DFs,$F34))</f>
        <v>-</v>
      </c>
      <c r="W34" s="142" t="str">
        <f t="shared" si="11"/>
        <v>-</v>
      </c>
    </row>
    <row r="35" spans="6:23" x14ac:dyDescent="0.3">
      <c r="F35" s="156">
        <f t="shared" si="0"/>
        <v>7.75</v>
      </c>
      <c r="G35" s="28" t="str">
        <f t="shared" si="1"/>
        <v>-</v>
      </c>
      <c r="H35" s="18" t="str" cm="1">
        <f t="array" aca="1" ref="H35" ca="1">IF($F35&gt;CDS.Tenor,"-",flatInterpolation(F35,INDIRECT(HazardRateTimes),INDIRECT(HazardRateValues)))</f>
        <v>-</v>
      </c>
      <c r="I35" s="10" t="str">
        <f t="shared" si="2"/>
        <v>-</v>
      </c>
      <c r="J35" s="10" t="str">
        <f t="shared" si="3"/>
        <v>-</v>
      </c>
      <c r="K35" s="94" t="str" cm="1">
        <f t="array" ref="K35">IF($F35&gt;CDS.Tenor,"-",cubicInterpolation(CurveResults.Times,CurveResults.DFs,$F35))</f>
        <v>-</v>
      </c>
      <c r="L35" s="28" t="str">
        <f t="shared" si="4"/>
        <v>-</v>
      </c>
      <c r="M35" s="28" t="str">
        <f t="shared" si="5"/>
        <v>-</v>
      </c>
      <c r="N35" s="142" t="str">
        <f t="shared" si="6"/>
        <v>-</v>
      </c>
      <c r="Q35" s="156">
        <f t="shared" si="7"/>
        <v>7.75</v>
      </c>
      <c r="R35" s="28" t="str">
        <f t="shared" si="8"/>
        <v>-</v>
      </c>
      <c r="S35" s="18" t="str" cm="1">
        <f t="array" aca="1" ref="S35" ca="1">IF($F35&gt;CDS.Tenor,"-",flatInterpolation(Q35,INDIRECT(HazardRateTimes),INDIRECT(HazardRateValues)))</f>
        <v>-</v>
      </c>
      <c r="T35" s="10" t="str">
        <f t="shared" si="9"/>
        <v>-</v>
      </c>
      <c r="U35" s="10" t="str">
        <f t="shared" si="10"/>
        <v>-</v>
      </c>
      <c r="V35" s="94" t="str" cm="1">
        <f t="array" ref="V35">IF($Q35&gt;CDS.Tenor,"-",cubicInterpolation(CurveResults.Times,CurveResults.DFs,$F35))</f>
        <v>-</v>
      </c>
      <c r="W35" s="142" t="str">
        <f t="shared" si="11"/>
        <v>-</v>
      </c>
    </row>
    <row r="36" spans="6:23" x14ac:dyDescent="0.3">
      <c r="F36" s="156">
        <f t="shared" si="0"/>
        <v>8</v>
      </c>
      <c r="G36" s="28" t="str">
        <f t="shared" si="1"/>
        <v>-</v>
      </c>
      <c r="H36" s="18" t="str" cm="1">
        <f t="array" aca="1" ref="H36" ca="1">IF($F36&gt;CDS.Tenor,"-",flatInterpolation(F36,INDIRECT(HazardRateTimes),INDIRECT(HazardRateValues)))</f>
        <v>-</v>
      </c>
      <c r="I36" s="10" t="str">
        <f t="shared" si="2"/>
        <v>-</v>
      </c>
      <c r="J36" s="10" t="str">
        <f t="shared" si="3"/>
        <v>-</v>
      </c>
      <c r="K36" s="94" t="str" cm="1">
        <f t="array" ref="K36">IF($F36&gt;CDS.Tenor,"-",cubicInterpolation(CurveResults.Times,CurveResults.DFs,$F36))</f>
        <v>-</v>
      </c>
      <c r="L36" s="28" t="str">
        <f t="shared" si="4"/>
        <v>-</v>
      </c>
      <c r="M36" s="28" t="str">
        <f t="shared" si="5"/>
        <v>-</v>
      </c>
      <c r="N36" s="142" t="str">
        <f t="shared" si="6"/>
        <v>-</v>
      </c>
      <c r="Q36" s="156">
        <f t="shared" si="7"/>
        <v>8</v>
      </c>
      <c r="R36" s="28" t="str">
        <f t="shared" si="8"/>
        <v>-</v>
      </c>
      <c r="S36" s="18" t="str" cm="1">
        <f t="array" aca="1" ref="S36" ca="1">IF($F36&gt;CDS.Tenor,"-",flatInterpolation(Q36,INDIRECT(HazardRateTimes),INDIRECT(HazardRateValues)))</f>
        <v>-</v>
      </c>
      <c r="T36" s="10" t="str">
        <f t="shared" si="9"/>
        <v>-</v>
      </c>
      <c r="U36" s="10" t="str">
        <f t="shared" si="10"/>
        <v>-</v>
      </c>
      <c r="V36" s="94" t="str" cm="1">
        <f t="array" ref="V36">IF($Q36&gt;CDS.Tenor,"-",cubicInterpolation(CurveResults.Times,CurveResults.DFs,$F36))</f>
        <v>-</v>
      </c>
      <c r="W36" s="142" t="str">
        <f t="shared" si="11"/>
        <v>-</v>
      </c>
    </row>
    <row r="37" spans="6:23" x14ac:dyDescent="0.3">
      <c r="F37" s="156">
        <f t="shared" si="0"/>
        <v>8.25</v>
      </c>
      <c r="G37" s="28" t="str">
        <f t="shared" si="1"/>
        <v>-</v>
      </c>
      <c r="H37" s="18" t="str" cm="1">
        <f t="array" aca="1" ref="H37" ca="1">IF($F37&gt;CDS.Tenor,"-",flatInterpolation(F37,INDIRECT(HazardRateTimes),INDIRECT(HazardRateValues)))</f>
        <v>-</v>
      </c>
      <c r="I37" s="10" t="str">
        <f t="shared" si="2"/>
        <v>-</v>
      </c>
      <c r="J37" s="10" t="str">
        <f t="shared" si="3"/>
        <v>-</v>
      </c>
      <c r="K37" s="94" t="str" cm="1">
        <f t="array" ref="K37">IF($F37&gt;CDS.Tenor,"-",cubicInterpolation(CurveResults.Times,CurveResults.DFs,$F37))</f>
        <v>-</v>
      </c>
      <c r="L37" s="28" t="str">
        <f t="shared" si="4"/>
        <v>-</v>
      </c>
      <c r="M37" s="28" t="str">
        <f t="shared" si="5"/>
        <v>-</v>
      </c>
      <c r="N37" s="142" t="str">
        <f t="shared" si="6"/>
        <v>-</v>
      </c>
      <c r="Q37" s="156">
        <f t="shared" si="7"/>
        <v>8.25</v>
      </c>
      <c r="R37" s="28" t="str">
        <f t="shared" si="8"/>
        <v>-</v>
      </c>
      <c r="S37" s="18" t="str" cm="1">
        <f t="array" aca="1" ref="S37" ca="1">IF($F37&gt;CDS.Tenor,"-",flatInterpolation(Q37,INDIRECT(HazardRateTimes),INDIRECT(HazardRateValues)))</f>
        <v>-</v>
      </c>
      <c r="T37" s="10" t="str">
        <f t="shared" si="9"/>
        <v>-</v>
      </c>
      <c r="U37" s="10" t="str">
        <f t="shared" si="10"/>
        <v>-</v>
      </c>
      <c r="V37" s="94" t="str" cm="1">
        <f t="array" ref="V37">IF($Q37&gt;CDS.Tenor,"-",cubicInterpolation(CurveResults.Times,CurveResults.DFs,$F37))</f>
        <v>-</v>
      </c>
      <c r="W37" s="142" t="str">
        <f t="shared" si="11"/>
        <v>-</v>
      </c>
    </row>
    <row r="38" spans="6:23" x14ac:dyDescent="0.3">
      <c r="F38" s="156">
        <f t="shared" si="0"/>
        <v>8.5</v>
      </c>
      <c r="G38" s="28" t="str">
        <f t="shared" si="1"/>
        <v>-</v>
      </c>
      <c r="H38" s="18" t="str" cm="1">
        <f t="array" aca="1" ref="H38" ca="1">IF($F38&gt;CDS.Tenor,"-",flatInterpolation(F38,INDIRECT(HazardRateTimes),INDIRECT(HazardRateValues)))</f>
        <v>-</v>
      </c>
      <c r="I38" s="10" t="str">
        <f t="shared" si="2"/>
        <v>-</v>
      </c>
      <c r="J38" s="10" t="str">
        <f t="shared" si="3"/>
        <v>-</v>
      </c>
      <c r="K38" s="94" t="str" cm="1">
        <f t="array" ref="K38">IF($F38&gt;CDS.Tenor,"-",cubicInterpolation(CurveResults.Times,CurveResults.DFs,$F38))</f>
        <v>-</v>
      </c>
      <c r="L38" s="28" t="str">
        <f t="shared" si="4"/>
        <v>-</v>
      </c>
      <c r="M38" s="28" t="str">
        <f t="shared" si="5"/>
        <v>-</v>
      </c>
      <c r="N38" s="142" t="str">
        <f t="shared" si="6"/>
        <v>-</v>
      </c>
      <c r="Q38" s="156">
        <f t="shared" si="7"/>
        <v>8.5</v>
      </c>
      <c r="R38" s="28" t="str">
        <f t="shared" si="8"/>
        <v>-</v>
      </c>
      <c r="S38" s="18" t="str" cm="1">
        <f t="array" aca="1" ref="S38" ca="1">IF($F38&gt;CDS.Tenor,"-",flatInterpolation(Q38,INDIRECT(HazardRateTimes),INDIRECT(HazardRateValues)))</f>
        <v>-</v>
      </c>
      <c r="T38" s="10" t="str">
        <f t="shared" si="9"/>
        <v>-</v>
      </c>
      <c r="U38" s="10" t="str">
        <f t="shared" si="10"/>
        <v>-</v>
      </c>
      <c r="V38" s="94" t="str" cm="1">
        <f t="array" ref="V38">IF($Q38&gt;CDS.Tenor,"-",cubicInterpolation(CurveResults.Times,CurveResults.DFs,$F38))</f>
        <v>-</v>
      </c>
      <c r="W38" s="142" t="str">
        <f t="shared" si="11"/>
        <v>-</v>
      </c>
    </row>
    <row r="39" spans="6:23" x14ac:dyDescent="0.3">
      <c r="F39" s="156">
        <f t="shared" si="0"/>
        <v>8.75</v>
      </c>
      <c r="G39" s="28" t="str">
        <f t="shared" si="1"/>
        <v>-</v>
      </c>
      <c r="H39" s="18" t="str" cm="1">
        <f t="array" aca="1" ref="H39" ca="1">IF($F39&gt;CDS.Tenor,"-",flatInterpolation(F39,INDIRECT(HazardRateTimes),INDIRECT(HazardRateValues)))</f>
        <v>-</v>
      </c>
      <c r="I39" s="10" t="str">
        <f t="shared" si="2"/>
        <v>-</v>
      </c>
      <c r="J39" s="10" t="str">
        <f t="shared" si="3"/>
        <v>-</v>
      </c>
      <c r="K39" s="94" t="str" cm="1">
        <f t="array" ref="K39">IF($F39&gt;CDS.Tenor,"-",cubicInterpolation(CurveResults.Times,CurveResults.DFs,$F39))</f>
        <v>-</v>
      </c>
      <c r="L39" s="28" t="str">
        <f t="shared" si="4"/>
        <v>-</v>
      </c>
      <c r="M39" s="28" t="str">
        <f t="shared" si="5"/>
        <v>-</v>
      </c>
      <c r="N39" s="142" t="str">
        <f t="shared" si="6"/>
        <v>-</v>
      </c>
      <c r="Q39" s="156">
        <f t="shared" si="7"/>
        <v>8.75</v>
      </c>
      <c r="R39" s="28" t="str">
        <f t="shared" si="8"/>
        <v>-</v>
      </c>
      <c r="S39" s="18" t="str" cm="1">
        <f t="array" aca="1" ref="S39" ca="1">IF($F39&gt;CDS.Tenor,"-",flatInterpolation(Q39,INDIRECT(HazardRateTimes),INDIRECT(HazardRateValues)))</f>
        <v>-</v>
      </c>
      <c r="T39" s="10" t="str">
        <f t="shared" si="9"/>
        <v>-</v>
      </c>
      <c r="U39" s="10" t="str">
        <f t="shared" si="10"/>
        <v>-</v>
      </c>
      <c r="V39" s="94" t="str" cm="1">
        <f t="array" ref="V39">IF($Q39&gt;CDS.Tenor,"-",cubicInterpolation(CurveResults.Times,CurveResults.DFs,$F39))</f>
        <v>-</v>
      </c>
      <c r="W39" s="142" t="str">
        <f t="shared" si="11"/>
        <v>-</v>
      </c>
    </row>
    <row r="40" spans="6:23" x14ac:dyDescent="0.3">
      <c r="F40" s="156">
        <f t="shared" si="0"/>
        <v>9</v>
      </c>
      <c r="G40" s="28" t="str">
        <f t="shared" si="1"/>
        <v>-</v>
      </c>
      <c r="H40" s="18" t="str" cm="1">
        <f t="array" aca="1" ref="H40" ca="1">IF($F40&gt;CDS.Tenor,"-",flatInterpolation(F40,INDIRECT(HazardRateTimes),INDIRECT(HazardRateValues)))</f>
        <v>-</v>
      </c>
      <c r="I40" s="10" t="str">
        <f t="shared" si="2"/>
        <v>-</v>
      </c>
      <c r="J40" s="10" t="str">
        <f t="shared" si="3"/>
        <v>-</v>
      </c>
      <c r="K40" s="94" t="str" cm="1">
        <f t="array" ref="K40">IF($F40&gt;CDS.Tenor,"-",cubicInterpolation(CurveResults.Times,CurveResults.DFs,$F40))</f>
        <v>-</v>
      </c>
      <c r="L40" s="28" t="str">
        <f t="shared" si="4"/>
        <v>-</v>
      </c>
      <c r="M40" s="28" t="str">
        <f t="shared" si="5"/>
        <v>-</v>
      </c>
      <c r="N40" s="142" t="str">
        <f t="shared" si="6"/>
        <v>-</v>
      </c>
      <c r="Q40" s="156">
        <f t="shared" si="7"/>
        <v>9</v>
      </c>
      <c r="R40" s="28" t="str">
        <f t="shared" si="8"/>
        <v>-</v>
      </c>
      <c r="S40" s="18" t="str" cm="1">
        <f t="array" aca="1" ref="S40" ca="1">IF($F40&gt;CDS.Tenor,"-",flatInterpolation(Q40,INDIRECT(HazardRateTimes),INDIRECT(HazardRateValues)))</f>
        <v>-</v>
      </c>
      <c r="T40" s="10" t="str">
        <f t="shared" si="9"/>
        <v>-</v>
      </c>
      <c r="U40" s="10" t="str">
        <f t="shared" si="10"/>
        <v>-</v>
      </c>
      <c r="V40" s="94" t="str" cm="1">
        <f t="array" ref="V40">IF($Q40&gt;CDS.Tenor,"-",cubicInterpolation(CurveResults.Times,CurveResults.DFs,$F40))</f>
        <v>-</v>
      </c>
      <c r="W40" s="142" t="str">
        <f t="shared" si="11"/>
        <v>-</v>
      </c>
    </row>
    <row r="41" spans="6:23" x14ac:dyDescent="0.3">
      <c r="F41" s="156">
        <f t="shared" si="0"/>
        <v>9.25</v>
      </c>
      <c r="G41" s="28" t="str">
        <f t="shared" si="1"/>
        <v>-</v>
      </c>
      <c r="H41" s="18" t="str" cm="1">
        <f t="array" aca="1" ref="H41" ca="1">IF($F41&gt;CDS.Tenor,"-",flatInterpolation(F41,INDIRECT(HazardRateTimes),INDIRECT(HazardRateValues)))</f>
        <v>-</v>
      </c>
      <c r="I41" s="10" t="str">
        <f t="shared" si="2"/>
        <v>-</v>
      </c>
      <c r="J41" s="10" t="str">
        <f t="shared" si="3"/>
        <v>-</v>
      </c>
      <c r="K41" s="94" t="str" cm="1">
        <f t="array" ref="K41">IF($F41&gt;CDS.Tenor,"-",cubicInterpolation(CurveResults.Times,CurveResults.DFs,$F41))</f>
        <v>-</v>
      </c>
      <c r="L41" s="28" t="str">
        <f t="shared" si="4"/>
        <v>-</v>
      </c>
      <c r="M41" s="28" t="str">
        <f t="shared" si="5"/>
        <v>-</v>
      </c>
      <c r="N41" s="142" t="str">
        <f t="shared" si="6"/>
        <v>-</v>
      </c>
      <c r="Q41" s="156">
        <f t="shared" si="7"/>
        <v>9.25</v>
      </c>
      <c r="R41" s="28" t="str">
        <f t="shared" si="8"/>
        <v>-</v>
      </c>
      <c r="S41" s="18" t="str" cm="1">
        <f t="array" aca="1" ref="S41" ca="1">IF($F41&gt;CDS.Tenor,"-",flatInterpolation(Q41,INDIRECT(HazardRateTimes),INDIRECT(HazardRateValues)))</f>
        <v>-</v>
      </c>
      <c r="T41" s="10" t="str">
        <f t="shared" si="9"/>
        <v>-</v>
      </c>
      <c r="U41" s="10" t="str">
        <f t="shared" si="10"/>
        <v>-</v>
      </c>
      <c r="V41" s="94" t="str" cm="1">
        <f t="array" ref="V41">IF($Q41&gt;CDS.Tenor,"-",cubicInterpolation(CurveResults.Times,CurveResults.DFs,$F41))</f>
        <v>-</v>
      </c>
      <c r="W41" s="142" t="str">
        <f t="shared" si="11"/>
        <v>-</v>
      </c>
    </row>
    <row r="42" spans="6:23" x14ac:dyDescent="0.3">
      <c r="F42" s="156">
        <f t="shared" si="0"/>
        <v>9.5</v>
      </c>
      <c r="G42" s="28" t="str">
        <f t="shared" si="1"/>
        <v>-</v>
      </c>
      <c r="H42" s="18" t="str" cm="1">
        <f t="array" aca="1" ref="H42" ca="1">IF($F42&gt;CDS.Tenor,"-",flatInterpolation(F42,INDIRECT(HazardRateTimes),INDIRECT(HazardRateValues)))</f>
        <v>-</v>
      </c>
      <c r="I42" s="10" t="str">
        <f t="shared" si="2"/>
        <v>-</v>
      </c>
      <c r="J42" s="10" t="str">
        <f t="shared" si="3"/>
        <v>-</v>
      </c>
      <c r="K42" s="94" t="str" cm="1">
        <f t="array" ref="K42">IF($F42&gt;CDS.Tenor,"-",cubicInterpolation(CurveResults.Times,CurveResults.DFs,$F42))</f>
        <v>-</v>
      </c>
      <c r="L42" s="28" t="str">
        <f t="shared" si="4"/>
        <v>-</v>
      </c>
      <c r="M42" s="28" t="str">
        <f t="shared" si="5"/>
        <v>-</v>
      </c>
      <c r="N42" s="142" t="str">
        <f t="shared" si="6"/>
        <v>-</v>
      </c>
      <c r="Q42" s="156">
        <f t="shared" si="7"/>
        <v>9.5</v>
      </c>
      <c r="R42" s="28" t="str">
        <f t="shared" si="8"/>
        <v>-</v>
      </c>
      <c r="S42" s="18" t="str" cm="1">
        <f t="array" aca="1" ref="S42" ca="1">IF($F42&gt;CDS.Tenor,"-",flatInterpolation(Q42,INDIRECT(HazardRateTimes),INDIRECT(HazardRateValues)))</f>
        <v>-</v>
      </c>
      <c r="T42" s="10" t="str">
        <f t="shared" si="9"/>
        <v>-</v>
      </c>
      <c r="U42" s="10" t="str">
        <f t="shared" si="10"/>
        <v>-</v>
      </c>
      <c r="V42" s="94" t="str" cm="1">
        <f t="array" ref="V42">IF($Q42&gt;CDS.Tenor,"-",cubicInterpolation(CurveResults.Times,CurveResults.DFs,$F42))</f>
        <v>-</v>
      </c>
      <c r="W42" s="142" t="str">
        <f t="shared" si="11"/>
        <v>-</v>
      </c>
    </row>
    <row r="43" spans="6:23" x14ac:dyDescent="0.3">
      <c r="F43" s="156">
        <f t="shared" si="0"/>
        <v>9.75</v>
      </c>
      <c r="G43" s="28" t="str">
        <f t="shared" si="1"/>
        <v>-</v>
      </c>
      <c r="H43" s="18" t="str" cm="1">
        <f t="array" aca="1" ref="H43" ca="1">IF($F43&gt;CDS.Tenor,"-",flatInterpolation(F43,INDIRECT(HazardRateTimes),INDIRECT(HazardRateValues)))</f>
        <v>-</v>
      </c>
      <c r="I43" s="10" t="str">
        <f t="shared" si="2"/>
        <v>-</v>
      </c>
      <c r="J43" s="10" t="str">
        <f t="shared" si="3"/>
        <v>-</v>
      </c>
      <c r="K43" s="94" t="str" cm="1">
        <f t="array" ref="K43">IF($F43&gt;CDS.Tenor,"-",cubicInterpolation(CurveResults.Times,CurveResults.DFs,$F43))</f>
        <v>-</v>
      </c>
      <c r="L43" s="28" t="str">
        <f t="shared" si="4"/>
        <v>-</v>
      </c>
      <c r="M43" s="28" t="str">
        <f t="shared" si="5"/>
        <v>-</v>
      </c>
      <c r="N43" s="142" t="str">
        <f t="shared" si="6"/>
        <v>-</v>
      </c>
      <c r="Q43" s="156">
        <f t="shared" si="7"/>
        <v>9.75</v>
      </c>
      <c r="R43" s="28" t="str">
        <f t="shared" si="8"/>
        <v>-</v>
      </c>
      <c r="S43" s="18" t="str" cm="1">
        <f t="array" aca="1" ref="S43" ca="1">IF($F43&gt;CDS.Tenor,"-",flatInterpolation(Q43,INDIRECT(HazardRateTimes),INDIRECT(HazardRateValues)))</f>
        <v>-</v>
      </c>
      <c r="T43" s="10" t="str">
        <f t="shared" si="9"/>
        <v>-</v>
      </c>
      <c r="U43" s="10" t="str">
        <f t="shared" si="10"/>
        <v>-</v>
      </c>
      <c r="V43" s="94" t="str" cm="1">
        <f t="array" ref="V43">IF($Q43&gt;CDS.Tenor,"-",cubicInterpolation(CurveResults.Times,CurveResults.DFs,$F43))</f>
        <v>-</v>
      </c>
      <c r="W43" s="142" t="str">
        <f t="shared" si="11"/>
        <v>-</v>
      </c>
    </row>
    <row r="44" spans="6:23" x14ac:dyDescent="0.3">
      <c r="F44" s="157">
        <f t="shared" si="0"/>
        <v>10</v>
      </c>
      <c r="G44" s="38" t="str">
        <f t="shared" si="1"/>
        <v>-</v>
      </c>
      <c r="H44" s="36" t="str" cm="1">
        <f t="array" aca="1" ref="H44" ca="1">IF($F44&gt;CDS.Tenor,"-",flatInterpolation(F44,INDIRECT(HazardRateTimes),INDIRECT(HazardRateValues)))</f>
        <v>-</v>
      </c>
      <c r="I44" s="131" t="str">
        <f t="shared" si="2"/>
        <v>-</v>
      </c>
      <c r="J44" s="131" t="str">
        <f t="shared" si="3"/>
        <v>-</v>
      </c>
      <c r="K44" s="102" t="str" cm="1">
        <f t="array" ref="K44">IF($F44&gt;CDS.Tenor,"-",cubicInterpolation(CurveResults.Times,CurveResults.DFs,$F44))</f>
        <v>-</v>
      </c>
      <c r="L44" s="38" t="str">
        <f t="shared" si="4"/>
        <v>-</v>
      </c>
      <c r="M44" s="38" t="str">
        <f t="shared" si="5"/>
        <v>-</v>
      </c>
      <c r="N44" s="158" t="str">
        <f t="shared" si="6"/>
        <v>-</v>
      </c>
      <c r="Q44" s="157">
        <f t="shared" si="7"/>
        <v>10</v>
      </c>
      <c r="R44" s="38" t="str">
        <f t="shared" si="8"/>
        <v>-</v>
      </c>
      <c r="S44" s="36" t="str" cm="1">
        <f t="array" aca="1" ref="S44" ca="1">IF($F44&gt;CDS.Tenor,"-",flatInterpolation(Q44,INDIRECT(HazardRateTimes),INDIRECT(HazardRateValues)))</f>
        <v>-</v>
      </c>
      <c r="T44" s="131" t="str">
        <f t="shared" si="9"/>
        <v>-</v>
      </c>
      <c r="U44" s="131" t="str">
        <f t="shared" si="10"/>
        <v>-</v>
      </c>
      <c r="V44" s="102" t="str" cm="1">
        <f t="array" ref="V44">IF($Q44&gt;CDS.Tenor,"-",cubicInterpolation(CurveResults.Times,CurveResults.DFs,$F44))</f>
        <v>-</v>
      </c>
      <c r="W44" s="158" t="str">
        <f t="shared" si="11"/>
        <v>-</v>
      </c>
    </row>
  </sheetData>
  <dataValidations count="2">
    <dataValidation type="list" allowBlank="1" showInputMessage="1" showErrorMessage="1" sqref="D6" xr:uid="{81AFAF33-EA2B-4038-A6BA-61682DDB7E32}">
      <formula1>"BUY,SELL"</formula1>
    </dataValidation>
    <dataValidation type="list" allowBlank="1" showInputMessage="1" showErrorMessage="1" sqref="D7" xr:uid="{A4BD40D2-A820-42FF-975B-D2BEFDE01C93}">
      <formula1>"AAPL,MSFT,NVDA"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33075-52D5-48B7-842A-11830B3A7245}">
  <sheetPr codeName="Sheet5">
    <tabColor theme="9" tint="0.39997558519241921"/>
  </sheetPr>
  <dimension ref="B1:QW52"/>
  <sheetViews>
    <sheetView showGridLines="0" tabSelected="1" zoomScaleNormal="100" workbookViewId="0"/>
  </sheetViews>
  <sheetFormatPr defaultRowHeight="14.4" outlineLevelCol="2" x14ac:dyDescent="0.3"/>
  <cols>
    <col min="1" max="1" width="5.33203125" customWidth="1"/>
    <col min="2" max="3" width="12.6640625" customWidth="1"/>
    <col min="4" max="4" width="15.6640625" customWidth="1"/>
    <col min="5" max="5" width="9.21875" customWidth="1"/>
    <col min="6" max="8" width="12.77734375" customWidth="1"/>
    <col min="9" max="9" width="9.21875" customWidth="1"/>
    <col min="10" max="11" width="12.6640625" hidden="1" customWidth="1" outlineLevel="1"/>
    <col min="12" max="12" width="15.109375" hidden="1" customWidth="1" outlineLevel="1"/>
    <col min="13" max="13" width="12.6640625" hidden="1" customWidth="1" outlineLevel="1"/>
    <col min="14" max="14" width="14.44140625" hidden="1" customWidth="1" outlineLevel="1"/>
    <col min="15" max="17" width="12.6640625" hidden="1" customWidth="1" outlineLevel="1"/>
    <col min="18" max="18" width="15.6640625" customWidth="1" collapsed="1"/>
    <col min="19" max="19" width="5.33203125" customWidth="1"/>
    <col min="20" max="21" width="12.6640625" hidden="1" customWidth="1" outlineLevel="1"/>
    <col min="22" max="22" width="15.109375" hidden="1" customWidth="1" outlineLevel="1"/>
    <col min="23" max="23" width="12.6640625" hidden="1" customWidth="1" outlineLevel="1"/>
    <col min="24" max="24" width="14.44140625" hidden="1" customWidth="1" outlineLevel="1"/>
    <col min="25" max="25" width="12.6640625" hidden="1" customWidth="1" outlineLevel="1"/>
    <col min="26" max="26" width="15.6640625" customWidth="1" collapsed="1"/>
    <col min="27" max="27" width="9.21875" customWidth="1"/>
    <col min="28" max="28" width="9.21875" hidden="1" customWidth="1" outlineLevel="1"/>
    <col min="29" max="32" width="12.77734375" hidden="1" customWidth="1" outlineLevel="1"/>
    <col min="33" max="33" width="9.21875" hidden="1" customWidth="1" outlineLevel="1"/>
    <col min="34" max="34" width="8.88671875" hidden="1" customWidth="1" outlineLevel="1"/>
    <col min="35" max="35" width="12" hidden="1" customWidth="1" outlineLevel="1"/>
    <col min="36" max="78" width="8.88671875" hidden="1" customWidth="1" outlineLevel="1"/>
    <col min="79" max="79" width="9.21875" customWidth="1" collapsed="1"/>
    <col min="80" max="83" width="12.77734375" hidden="1" customWidth="1" outlineLevel="1"/>
    <col min="84" max="129" width="9.21875" hidden="1" customWidth="1" outlineLevel="1"/>
    <col min="130" max="130" width="9.21875" customWidth="1" collapsed="1"/>
    <col min="131" max="134" width="12.77734375" hidden="1" customWidth="1" outlineLevel="1"/>
    <col min="135" max="158" width="9.21875" hidden="1" customWidth="1" outlineLevel="1"/>
    <col min="159" max="180" width="9.21875" hidden="1" customWidth="1" outlineLevel="2"/>
    <col min="181" max="181" width="9.21875" customWidth="1" collapsed="1"/>
    <col min="182" max="203" width="9.21875" hidden="1" customWidth="1" outlineLevel="1"/>
    <col min="204" max="204" width="10.5546875" bestFit="1" customWidth="1" collapsed="1"/>
    <col min="205" max="207" width="9.21875" hidden="1" customWidth="1" outlineLevel="1"/>
    <col min="208" max="208" width="15" bestFit="1" customWidth="1" collapsed="1"/>
    <col min="209" max="209" width="9.21875" customWidth="1"/>
  </cols>
  <sheetData>
    <row r="1" spans="2:228" x14ac:dyDescent="0.3">
      <c r="R1" s="124" t="s">
        <v>111</v>
      </c>
      <c r="S1" s="124"/>
      <c r="Z1" s="124" t="s">
        <v>130</v>
      </c>
      <c r="AH1" s="43" t="s">
        <v>347</v>
      </c>
      <c r="BE1" s="43" t="s">
        <v>349</v>
      </c>
      <c r="CA1" s="39" t="str">
        <f>CreditRef1</f>
        <v>AAPL</v>
      </c>
      <c r="CH1" s="43" t="s">
        <v>347</v>
      </c>
      <c r="DD1" s="43" t="s">
        <v>349</v>
      </c>
      <c r="DZ1" s="39" t="str">
        <f>CreditRef2</f>
        <v>MSFT</v>
      </c>
      <c r="EG1" s="43" t="s">
        <v>347</v>
      </c>
      <c r="FC1" s="43" t="s">
        <v>349</v>
      </c>
      <c r="FY1" s="39" t="str">
        <f>CreditRef3</f>
        <v>NVDA</v>
      </c>
      <c r="FZ1" s="43" t="s">
        <v>349</v>
      </c>
      <c r="GV1" s="39" t="s">
        <v>356</v>
      </c>
      <c r="GW1" s="43" t="s">
        <v>354</v>
      </c>
      <c r="GZ1" s="39" t="s">
        <v>355</v>
      </c>
      <c r="HA1" s="39"/>
    </row>
    <row r="2" spans="2:228" x14ac:dyDescent="0.3">
      <c r="B2" s="337" t="s">
        <v>322</v>
      </c>
      <c r="J2" s="1" t="s">
        <v>111</v>
      </c>
      <c r="T2" s="1" t="s">
        <v>130</v>
      </c>
      <c r="AC2" s="39" t="str">
        <f>CreditRef1</f>
        <v>AAPL</v>
      </c>
      <c r="AD2" s="39" t="str">
        <f>CreditRef1</f>
        <v>AAPL</v>
      </c>
      <c r="AE2" s="39" t="str">
        <f>CreditRef1</f>
        <v>AAPL</v>
      </c>
      <c r="AF2" s="39" t="str">
        <f>CreditRef1</f>
        <v>AAPL</v>
      </c>
      <c r="AG2" s="39"/>
      <c r="AH2" s="1" t="str">
        <f>"P(CONDITIONAL DEFAULT), "&amp;CreditRef1</f>
        <v>P(CONDITIONAL DEFAULT), AAPL</v>
      </c>
      <c r="AI2" s="1"/>
      <c r="BE2" s="1" t="str">
        <f>"P(CONDITIONAL SURVIVAL), "&amp;CreditRef1</f>
        <v>P(CONDITIONAL SURVIVAL), AAPL</v>
      </c>
      <c r="BF2" s="1"/>
      <c r="CA2" s="39"/>
      <c r="CB2" s="39" t="str">
        <f>CreditRef2</f>
        <v>MSFT</v>
      </c>
      <c r="CC2" s="39" t="str">
        <f>CreditRef2</f>
        <v>MSFT</v>
      </c>
      <c r="CD2" s="39" t="str">
        <f>CreditRef2</f>
        <v>MSFT</v>
      </c>
      <c r="CE2" s="39" t="str">
        <f>CreditRef2</f>
        <v>MSFT</v>
      </c>
      <c r="CF2" s="39"/>
      <c r="CG2" s="1"/>
      <c r="CH2" s="1" t="str">
        <f>"P(CONDITIONAL DEFAULT), "&amp;CreditRef2</f>
        <v>P(CONDITIONAL DEFAULT), MSFT</v>
      </c>
      <c r="DD2" s="1" t="str">
        <f>"P(CONDITIONAL SURVIVAL), "&amp;CreditRef2</f>
        <v>P(CONDITIONAL SURVIVAL), MSFT</v>
      </c>
      <c r="DE2" s="1"/>
      <c r="DZ2" s="39"/>
      <c r="EA2" s="39" t="str">
        <f>CreditRef3</f>
        <v>NVDA</v>
      </c>
      <c r="EB2" s="39" t="str">
        <f>CreditRef3</f>
        <v>NVDA</v>
      </c>
      <c r="EC2" s="39" t="str">
        <f>CreditRef3</f>
        <v>NVDA</v>
      </c>
      <c r="ED2" s="39" t="str">
        <f>CreditRef3</f>
        <v>NVDA</v>
      </c>
      <c r="EF2" s="1"/>
      <c r="EG2" s="1" t="str">
        <f>"P(CONDITIONAL DEFAULT), "&amp;CreditRef3</f>
        <v>P(CONDITIONAL DEFAULT), NVDA</v>
      </c>
      <c r="FC2" s="1" t="str">
        <f>"P(CONDITIONAL SURVIVAL), "&amp;CreditRef3</f>
        <v>P(CONDITIONAL SURVIVAL), NVDA</v>
      </c>
      <c r="FD2" s="1"/>
      <c r="FZ2" s="1" t="s">
        <v>348</v>
      </c>
      <c r="GA2" s="1"/>
      <c r="GW2" s="43" t="s">
        <v>353</v>
      </c>
      <c r="GX2" s="1"/>
      <c r="HT2" s="1"/>
    </row>
    <row r="3" spans="2:228" x14ac:dyDescent="0.3">
      <c r="J3" s="41" t="s">
        <v>6</v>
      </c>
      <c r="K3" s="2" t="s">
        <v>2</v>
      </c>
      <c r="L3" s="41" t="s">
        <v>8</v>
      </c>
      <c r="M3" s="41" t="s">
        <v>24</v>
      </c>
      <c r="N3" s="41" t="s">
        <v>134</v>
      </c>
      <c r="O3" s="41" t="s">
        <v>128</v>
      </c>
      <c r="P3" s="41" t="s">
        <v>129</v>
      </c>
      <c r="Q3" s="41" t="s">
        <v>28</v>
      </c>
      <c r="T3" s="41" t="s">
        <v>6</v>
      </c>
      <c r="U3" s="2" t="s">
        <v>131</v>
      </c>
      <c r="V3" s="41" t="s">
        <v>8</v>
      </c>
      <c r="W3" s="41" t="s">
        <v>24</v>
      </c>
      <c r="X3" s="41" t="s">
        <v>134</v>
      </c>
      <c r="Y3" s="41" t="s">
        <v>28</v>
      </c>
      <c r="AB3" s="41" t="s">
        <v>6</v>
      </c>
      <c r="AC3" s="2" t="s">
        <v>127</v>
      </c>
      <c r="AD3" s="41" t="s">
        <v>8</v>
      </c>
      <c r="AE3" s="41" t="s">
        <v>342</v>
      </c>
      <c r="AF3" s="41" t="s">
        <v>344</v>
      </c>
      <c r="AG3" s="41"/>
      <c r="AH3" s="41" t="s">
        <v>346</v>
      </c>
      <c r="AI3" s="364">
        <v>-5</v>
      </c>
      <c r="AJ3" s="364">
        <f>AI3+dm</f>
        <v>-4.5</v>
      </c>
      <c r="AK3" s="364">
        <f>AJ3+dm</f>
        <v>-4</v>
      </c>
      <c r="AL3" s="364">
        <f>AK3+dm</f>
        <v>-3.5</v>
      </c>
      <c r="AM3" s="364">
        <f>AL3+dm</f>
        <v>-3</v>
      </c>
      <c r="AN3" s="364">
        <f>AM3+dm</f>
        <v>-2.5</v>
      </c>
      <c r="AO3" s="364">
        <f>AN3+dm</f>
        <v>-2</v>
      </c>
      <c r="AP3" s="364">
        <f>AO3+dm</f>
        <v>-1.5</v>
      </c>
      <c r="AQ3" s="364">
        <f>AP3+dm</f>
        <v>-1</v>
      </c>
      <c r="AR3" s="364">
        <f>AQ3+dm</f>
        <v>-0.5</v>
      </c>
      <c r="AS3" s="364">
        <f>AR3+dm</f>
        <v>0</v>
      </c>
      <c r="AT3" s="364">
        <f>AS3+dm</f>
        <v>0.5</v>
      </c>
      <c r="AU3" s="364">
        <f>AT3+dm</f>
        <v>1</v>
      </c>
      <c r="AV3" s="364">
        <f>AU3+dm</f>
        <v>1.5</v>
      </c>
      <c r="AW3" s="364">
        <f>AV3+dm</f>
        <v>2</v>
      </c>
      <c r="AX3" s="364">
        <f>AW3+dm</f>
        <v>2.5</v>
      </c>
      <c r="AY3" s="364">
        <f>AX3+dm</f>
        <v>3</v>
      </c>
      <c r="AZ3" s="364">
        <f>AY3+dm</f>
        <v>3.5</v>
      </c>
      <c r="BA3" s="364">
        <f>AZ3+dm</f>
        <v>4</v>
      </c>
      <c r="BB3" s="364">
        <f>BA3+dm</f>
        <v>4.5</v>
      </c>
      <c r="BC3" s="364">
        <f>BB3+dm</f>
        <v>5</v>
      </c>
      <c r="BD3" s="364"/>
      <c r="BE3" s="41" t="s">
        <v>346</v>
      </c>
      <c r="BF3" s="364">
        <f t="shared" ref="BF3:BO4" si="0">AI3</f>
        <v>-5</v>
      </c>
      <c r="BG3" s="364">
        <f t="shared" si="0"/>
        <v>-4.5</v>
      </c>
      <c r="BH3" s="364">
        <f t="shared" si="0"/>
        <v>-4</v>
      </c>
      <c r="BI3" s="364">
        <f t="shared" si="0"/>
        <v>-3.5</v>
      </c>
      <c r="BJ3" s="364">
        <f t="shared" si="0"/>
        <v>-3</v>
      </c>
      <c r="BK3" s="364">
        <f t="shared" si="0"/>
        <v>-2.5</v>
      </c>
      <c r="BL3" s="364">
        <f t="shared" si="0"/>
        <v>-2</v>
      </c>
      <c r="BM3" s="364">
        <f t="shared" si="0"/>
        <v>-1.5</v>
      </c>
      <c r="BN3" s="364">
        <f t="shared" si="0"/>
        <v>-1</v>
      </c>
      <c r="BO3" s="364">
        <f t="shared" si="0"/>
        <v>-0.5</v>
      </c>
      <c r="BP3" s="364">
        <f t="shared" ref="BP3:BY4" si="1">AS3</f>
        <v>0</v>
      </c>
      <c r="BQ3" s="364">
        <f t="shared" si="1"/>
        <v>0.5</v>
      </c>
      <c r="BR3" s="364">
        <f t="shared" si="1"/>
        <v>1</v>
      </c>
      <c r="BS3" s="364">
        <f t="shared" si="1"/>
        <v>1.5</v>
      </c>
      <c r="BT3" s="364">
        <f t="shared" si="1"/>
        <v>2</v>
      </c>
      <c r="BU3" s="364">
        <f t="shared" si="1"/>
        <v>2.5</v>
      </c>
      <c r="BV3" s="364">
        <f t="shared" si="1"/>
        <v>3</v>
      </c>
      <c r="BW3" s="364">
        <f t="shared" si="1"/>
        <v>3.5</v>
      </c>
      <c r="BX3" s="364">
        <f t="shared" si="1"/>
        <v>4</v>
      </c>
      <c r="BY3" s="364">
        <f t="shared" si="1"/>
        <v>4.5</v>
      </c>
      <c r="BZ3" s="364">
        <f>BC3</f>
        <v>5</v>
      </c>
      <c r="CA3" s="41"/>
      <c r="CB3" s="2" t="s">
        <v>127</v>
      </c>
      <c r="CC3" s="41" t="s">
        <v>8</v>
      </c>
      <c r="CD3" s="41" t="s">
        <v>342</v>
      </c>
      <c r="CE3" s="41" t="s">
        <v>344</v>
      </c>
      <c r="CF3" s="41"/>
      <c r="CG3" s="41" t="s">
        <v>346</v>
      </c>
      <c r="CH3" s="364">
        <v>-5</v>
      </c>
      <c r="CI3" s="364">
        <f>CH3+dm</f>
        <v>-4.5</v>
      </c>
      <c r="CJ3" s="364">
        <f>CI3+dm</f>
        <v>-4</v>
      </c>
      <c r="CK3" s="364">
        <f>CJ3+dm</f>
        <v>-3.5</v>
      </c>
      <c r="CL3" s="364">
        <f>CK3+dm</f>
        <v>-3</v>
      </c>
      <c r="CM3" s="364">
        <f>CL3+dm</f>
        <v>-2.5</v>
      </c>
      <c r="CN3" s="364">
        <f>CM3+dm</f>
        <v>-2</v>
      </c>
      <c r="CO3" s="364">
        <f>CN3+dm</f>
        <v>-1.5</v>
      </c>
      <c r="CP3" s="364">
        <f>CO3+dm</f>
        <v>-1</v>
      </c>
      <c r="CQ3" s="364">
        <f>CP3+dm</f>
        <v>-0.5</v>
      </c>
      <c r="CR3" s="364">
        <f>CQ3+dm</f>
        <v>0</v>
      </c>
      <c r="CS3" s="364">
        <f>CR3+dm</f>
        <v>0.5</v>
      </c>
      <c r="CT3" s="364">
        <f>CS3+dm</f>
        <v>1</v>
      </c>
      <c r="CU3" s="364">
        <f>CT3+dm</f>
        <v>1.5</v>
      </c>
      <c r="CV3" s="364">
        <f>CU3+dm</f>
        <v>2</v>
      </c>
      <c r="CW3" s="364">
        <f>CV3+dm</f>
        <v>2.5</v>
      </c>
      <c r="CX3" s="364">
        <f>CW3+dm</f>
        <v>3</v>
      </c>
      <c r="CY3" s="364">
        <f>CX3+dm</f>
        <v>3.5</v>
      </c>
      <c r="CZ3" s="364">
        <f>CY3+dm</f>
        <v>4</v>
      </c>
      <c r="DA3" s="364">
        <f>CZ3+dm</f>
        <v>4.5</v>
      </c>
      <c r="DB3" s="364">
        <f>DA3+dm</f>
        <v>5</v>
      </c>
      <c r="DC3" s="364"/>
      <c r="DD3" s="41" t="s">
        <v>346</v>
      </c>
      <c r="DE3" s="364">
        <f t="shared" ref="DE3:DE4" si="2">CH3</f>
        <v>-5</v>
      </c>
      <c r="DF3" s="364">
        <f t="shared" ref="DF3:DF4" si="3">CI3</f>
        <v>-4.5</v>
      </c>
      <c r="DG3" s="364">
        <f t="shared" ref="DG3:DG4" si="4">CJ3</f>
        <v>-4</v>
      </c>
      <c r="DH3" s="364">
        <f t="shared" ref="DH3:DH4" si="5">CK3</f>
        <v>-3.5</v>
      </c>
      <c r="DI3" s="364">
        <f t="shared" ref="DI3:DI4" si="6">CL3</f>
        <v>-3</v>
      </c>
      <c r="DJ3" s="364">
        <f t="shared" ref="DJ3:DJ4" si="7">CM3</f>
        <v>-2.5</v>
      </c>
      <c r="DK3" s="364">
        <f t="shared" ref="DK3:DK4" si="8">CN3</f>
        <v>-2</v>
      </c>
      <c r="DL3" s="364">
        <f t="shared" ref="DL3:DL4" si="9">CO3</f>
        <v>-1.5</v>
      </c>
      <c r="DM3" s="364">
        <f t="shared" ref="DM3:DM4" si="10">CP3</f>
        <v>-1</v>
      </c>
      <c r="DN3" s="364">
        <f t="shared" ref="DN3:DN4" si="11">CQ3</f>
        <v>-0.5</v>
      </c>
      <c r="DO3" s="364">
        <f t="shared" ref="DO3:DO4" si="12">CR3</f>
        <v>0</v>
      </c>
      <c r="DP3" s="364">
        <f t="shared" ref="DP3:DP4" si="13">CS3</f>
        <v>0.5</v>
      </c>
      <c r="DQ3" s="364">
        <f t="shared" ref="DQ3:DQ4" si="14">CT3</f>
        <v>1</v>
      </c>
      <c r="DR3" s="364">
        <f t="shared" ref="DR3:DR4" si="15">CU3</f>
        <v>1.5</v>
      </c>
      <c r="DS3" s="364">
        <f t="shared" ref="DS3:DS4" si="16">CV3</f>
        <v>2</v>
      </c>
      <c r="DT3" s="364">
        <f t="shared" ref="DT3:DT4" si="17">CW3</f>
        <v>2.5</v>
      </c>
      <c r="DU3" s="364">
        <f t="shared" ref="DU3:DU4" si="18">CX3</f>
        <v>3</v>
      </c>
      <c r="DV3" s="364">
        <f t="shared" ref="DV3:DV4" si="19">CY3</f>
        <v>3.5</v>
      </c>
      <c r="DW3" s="364">
        <f t="shared" ref="DW3:DW4" si="20">CZ3</f>
        <v>4</v>
      </c>
      <c r="DX3" s="364">
        <f t="shared" ref="DX3:DX4" si="21">DA3</f>
        <v>4.5</v>
      </c>
      <c r="DY3" s="364">
        <f>DB3</f>
        <v>5</v>
      </c>
      <c r="DZ3" s="41"/>
      <c r="EA3" s="2" t="s">
        <v>127</v>
      </c>
      <c r="EB3" s="41" t="s">
        <v>8</v>
      </c>
      <c r="EC3" s="41" t="s">
        <v>342</v>
      </c>
      <c r="ED3" s="41" t="s">
        <v>343</v>
      </c>
      <c r="EF3" s="41" t="s">
        <v>346</v>
      </c>
      <c r="EG3" s="364">
        <v>-5</v>
      </c>
      <c r="EH3" s="364">
        <f>EG3+dm</f>
        <v>-4.5</v>
      </c>
      <c r="EI3" s="364">
        <f>EH3+dm</f>
        <v>-4</v>
      </c>
      <c r="EJ3" s="364">
        <f>EI3+dm</f>
        <v>-3.5</v>
      </c>
      <c r="EK3" s="364">
        <f>EJ3+dm</f>
        <v>-3</v>
      </c>
      <c r="EL3" s="364">
        <f>EK3+dm</f>
        <v>-2.5</v>
      </c>
      <c r="EM3" s="364">
        <f>EL3+dm</f>
        <v>-2</v>
      </c>
      <c r="EN3" s="364">
        <f>EM3+dm</f>
        <v>-1.5</v>
      </c>
      <c r="EO3" s="364">
        <f>EN3+dm</f>
        <v>-1</v>
      </c>
      <c r="EP3" s="364">
        <f>EO3+dm</f>
        <v>-0.5</v>
      </c>
      <c r="EQ3" s="364">
        <f>EP3+dm</f>
        <v>0</v>
      </c>
      <c r="ER3" s="364">
        <f>EQ3+dm</f>
        <v>0.5</v>
      </c>
      <c r="ES3" s="364">
        <f>ER3+dm</f>
        <v>1</v>
      </c>
      <c r="ET3" s="364">
        <f>ES3+dm</f>
        <v>1.5</v>
      </c>
      <c r="EU3" s="364">
        <f>ET3+dm</f>
        <v>2</v>
      </c>
      <c r="EV3" s="364">
        <f>EU3+dm</f>
        <v>2.5</v>
      </c>
      <c r="EW3" s="364">
        <f>EV3+dm</f>
        <v>3</v>
      </c>
      <c r="EX3" s="364">
        <f>EW3+dm</f>
        <v>3.5</v>
      </c>
      <c r="EY3" s="364">
        <f>EX3+dm</f>
        <v>4</v>
      </c>
      <c r="EZ3" s="364">
        <f>EY3+dm</f>
        <v>4.5</v>
      </c>
      <c r="FA3" s="364">
        <f>EZ3+dm</f>
        <v>5</v>
      </c>
      <c r="FB3" s="364"/>
      <c r="FC3" s="41" t="s">
        <v>346</v>
      </c>
      <c r="FD3" s="364">
        <f t="shared" ref="FD3:FD4" si="22">EG3</f>
        <v>-5</v>
      </c>
      <c r="FE3" s="364">
        <f t="shared" ref="FE3:FE4" si="23">EH3</f>
        <v>-4.5</v>
      </c>
      <c r="FF3" s="364">
        <f t="shared" ref="FF3:FF4" si="24">EI3</f>
        <v>-4</v>
      </c>
      <c r="FG3" s="364">
        <f t="shared" ref="FG3:FG4" si="25">EJ3</f>
        <v>-3.5</v>
      </c>
      <c r="FH3" s="364">
        <f t="shared" ref="FH3:FH4" si="26">EK3</f>
        <v>-3</v>
      </c>
      <c r="FI3" s="364">
        <f t="shared" ref="FI3:FI4" si="27">EL3</f>
        <v>-2.5</v>
      </c>
      <c r="FJ3" s="364">
        <f t="shared" ref="FJ3:FJ4" si="28">EM3</f>
        <v>-2</v>
      </c>
      <c r="FK3" s="364">
        <f t="shared" ref="FK3:FK4" si="29">EN3</f>
        <v>-1.5</v>
      </c>
      <c r="FL3" s="364">
        <f t="shared" ref="FL3:FL4" si="30">EO3</f>
        <v>-1</v>
      </c>
      <c r="FM3" s="364">
        <f t="shared" ref="FM3:FM4" si="31">EP3</f>
        <v>-0.5</v>
      </c>
      <c r="FN3" s="364">
        <f t="shared" ref="FN3:FN4" si="32">EQ3</f>
        <v>0</v>
      </c>
      <c r="FO3" s="364">
        <f t="shared" ref="FO3:FO4" si="33">ER3</f>
        <v>0.5</v>
      </c>
      <c r="FP3" s="364">
        <f t="shared" ref="FP3:FP4" si="34">ES3</f>
        <v>1</v>
      </c>
      <c r="FQ3" s="364">
        <f t="shared" ref="FQ3:FQ4" si="35">ET3</f>
        <v>1.5</v>
      </c>
      <c r="FR3" s="364">
        <f t="shared" ref="FR3:FR4" si="36">EU3</f>
        <v>2</v>
      </c>
      <c r="FS3" s="364">
        <f t="shared" ref="FS3:FS4" si="37">EV3</f>
        <v>2.5</v>
      </c>
      <c r="FT3" s="364">
        <f t="shared" ref="FT3:FT4" si="38">EW3</f>
        <v>3</v>
      </c>
      <c r="FU3" s="364">
        <f t="shared" ref="FU3:FU4" si="39">EX3</f>
        <v>3.5</v>
      </c>
      <c r="FV3" s="364">
        <f t="shared" ref="FV3:FV4" si="40">EY3</f>
        <v>4</v>
      </c>
      <c r="FW3" s="364">
        <f t="shared" ref="FW3:FW4" si="41">EZ3</f>
        <v>4.5</v>
      </c>
      <c r="FX3" s="364">
        <f>FA3</f>
        <v>5</v>
      </c>
      <c r="FZ3" s="41" t="s">
        <v>346</v>
      </c>
      <c r="GA3" s="364">
        <f t="shared" ref="GA3:GA4" si="42">FD3</f>
        <v>-5</v>
      </c>
      <c r="GB3" s="364">
        <f t="shared" ref="GB3:GB4" si="43">FE3</f>
        <v>-4.5</v>
      </c>
      <c r="GC3" s="364">
        <f t="shared" ref="GC3:GC4" si="44">FF3</f>
        <v>-4</v>
      </c>
      <c r="GD3" s="364">
        <f t="shared" ref="GD3:GD4" si="45">FG3</f>
        <v>-3.5</v>
      </c>
      <c r="GE3" s="364">
        <f t="shared" ref="GE3:GE4" si="46">FH3</f>
        <v>-3</v>
      </c>
      <c r="GF3" s="364">
        <f t="shared" ref="GF3:GF4" si="47">FI3</f>
        <v>-2.5</v>
      </c>
      <c r="GG3" s="364">
        <f t="shared" ref="GG3:GG4" si="48">FJ3</f>
        <v>-2</v>
      </c>
      <c r="GH3" s="364">
        <f t="shared" ref="GH3:GH4" si="49">FK3</f>
        <v>-1.5</v>
      </c>
      <c r="GI3" s="364">
        <f t="shared" ref="GI3:GI4" si="50">FL3</f>
        <v>-1</v>
      </c>
      <c r="GJ3" s="364">
        <f t="shared" ref="GJ3:GJ4" si="51">FM3</f>
        <v>-0.5</v>
      </c>
      <c r="GK3" s="364">
        <f t="shared" ref="GK3:GK4" si="52">FN3</f>
        <v>0</v>
      </c>
      <c r="GL3" s="364">
        <f t="shared" ref="GL3:GL4" si="53">FO3</f>
        <v>0.5</v>
      </c>
      <c r="GM3" s="364">
        <f t="shared" ref="GM3:GM4" si="54">FP3</f>
        <v>1</v>
      </c>
      <c r="GN3" s="364">
        <f t="shared" ref="GN3:GN4" si="55">FQ3</f>
        <v>1.5</v>
      </c>
      <c r="GO3" s="364">
        <f t="shared" ref="GO3:GO4" si="56">FR3</f>
        <v>2</v>
      </c>
      <c r="GP3" s="364">
        <f t="shared" ref="GP3:GP4" si="57">FS3</f>
        <v>2.5</v>
      </c>
      <c r="GQ3" s="364">
        <f t="shared" ref="GQ3:GQ4" si="58">FT3</f>
        <v>3</v>
      </c>
      <c r="GR3" s="364">
        <f t="shared" ref="GR3:GR4" si="59">FU3</f>
        <v>3.5</v>
      </c>
      <c r="GS3" s="364">
        <f t="shared" ref="GS3:GS4" si="60">FV3</f>
        <v>4</v>
      </c>
      <c r="GT3" s="364">
        <f t="shared" ref="GT3:GT4" si="61">FW3</f>
        <v>4.5</v>
      </c>
      <c r="GU3" s="364">
        <f>FX3</f>
        <v>5</v>
      </c>
      <c r="GV3" s="364"/>
      <c r="GW3" s="41"/>
      <c r="GX3" s="374" t="s">
        <v>351</v>
      </c>
      <c r="GY3" s="376" t="s">
        <v>352</v>
      </c>
    </row>
    <row r="4" spans="2:228" x14ac:dyDescent="0.3">
      <c r="J4" s="17">
        <v>0</v>
      </c>
      <c r="K4" s="117" t="s">
        <v>121</v>
      </c>
      <c r="L4" s="10">
        <v>1</v>
      </c>
      <c r="M4" s="10">
        <v>0</v>
      </c>
      <c r="N4" s="94">
        <v>1</v>
      </c>
      <c r="O4" s="159" t="s">
        <v>121</v>
      </c>
      <c r="P4" s="159" t="s">
        <v>121</v>
      </c>
      <c r="Q4" s="117" t="s">
        <v>121</v>
      </c>
      <c r="T4" s="17">
        <v>0</v>
      </c>
      <c r="U4" s="117" t="str">
        <f>"-"</f>
        <v>-</v>
      </c>
      <c r="V4" s="10">
        <v>1</v>
      </c>
      <c r="W4" s="10">
        <v>0</v>
      </c>
      <c r="X4" s="94">
        <v>1</v>
      </c>
      <c r="Y4" s="2" t="str">
        <f>"-"</f>
        <v>-</v>
      </c>
      <c r="AB4" s="17">
        <v>0</v>
      </c>
      <c r="AC4" s="117" t="s">
        <v>121</v>
      </c>
      <c r="AD4" s="10">
        <v>1</v>
      </c>
      <c r="AE4" s="10">
        <v>0</v>
      </c>
      <c r="AF4" s="41" t="s">
        <v>343</v>
      </c>
      <c r="AG4" s="41"/>
      <c r="AH4" s="368" t="s">
        <v>345</v>
      </c>
      <c r="AI4" s="42">
        <f>_xlfn.NORM.S.DIST(AI3,FALSE)</f>
        <v>1.4867195147342977E-6</v>
      </c>
      <c r="AJ4" s="42">
        <f t="shared" ref="AJ4:BC4" si="62">_xlfn.NORM.S.DIST(AJ3,FALSE)</f>
        <v>1.5983741106905475E-5</v>
      </c>
      <c r="AK4" s="42">
        <f t="shared" si="62"/>
        <v>1.3383022576488537E-4</v>
      </c>
      <c r="AL4" s="42">
        <f t="shared" si="62"/>
        <v>8.7268269504576015E-4</v>
      </c>
      <c r="AM4" s="42">
        <f t="shared" si="62"/>
        <v>4.4318484119380075E-3</v>
      </c>
      <c r="AN4" s="42">
        <f t="shared" si="62"/>
        <v>1.752830049356854E-2</v>
      </c>
      <c r="AO4" s="42">
        <f t="shared" si="62"/>
        <v>5.3990966513188063E-2</v>
      </c>
      <c r="AP4" s="42">
        <f t="shared" si="62"/>
        <v>0.12951759566589174</v>
      </c>
      <c r="AQ4" s="42">
        <f t="shared" si="62"/>
        <v>0.24197072451914337</v>
      </c>
      <c r="AR4" s="42">
        <f t="shared" si="62"/>
        <v>0.35206532676429952</v>
      </c>
      <c r="AS4" s="42">
        <f t="shared" si="62"/>
        <v>0.3989422804014327</v>
      </c>
      <c r="AT4" s="42">
        <f t="shared" si="62"/>
        <v>0.35206532676429952</v>
      </c>
      <c r="AU4" s="42">
        <f t="shared" si="62"/>
        <v>0.24197072451914337</v>
      </c>
      <c r="AV4" s="42">
        <f t="shared" si="62"/>
        <v>0.12951759566589174</v>
      </c>
      <c r="AW4" s="42">
        <f t="shared" si="62"/>
        <v>5.3990966513188063E-2</v>
      </c>
      <c r="AX4" s="42">
        <f t="shared" si="62"/>
        <v>1.752830049356854E-2</v>
      </c>
      <c r="AY4" s="42">
        <f t="shared" si="62"/>
        <v>4.4318484119380075E-3</v>
      </c>
      <c r="AZ4" s="42">
        <f t="shared" si="62"/>
        <v>8.7268269504576015E-4</v>
      </c>
      <c r="BA4" s="42">
        <f t="shared" si="62"/>
        <v>1.3383022576488537E-4</v>
      </c>
      <c r="BB4" s="42">
        <f t="shared" si="62"/>
        <v>1.5983741106905475E-5</v>
      </c>
      <c r="BC4" s="42">
        <f t="shared" si="62"/>
        <v>1.4867195147342977E-6</v>
      </c>
      <c r="BD4" s="42"/>
      <c r="BE4" s="368" t="s">
        <v>345</v>
      </c>
      <c r="BF4" s="42">
        <f t="shared" si="0"/>
        <v>1.4867195147342977E-6</v>
      </c>
      <c r="BG4" s="42">
        <f t="shared" si="0"/>
        <v>1.5983741106905475E-5</v>
      </c>
      <c r="BH4" s="42">
        <f t="shared" si="0"/>
        <v>1.3383022576488537E-4</v>
      </c>
      <c r="BI4" s="42">
        <f t="shared" si="0"/>
        <v>8.7268269504576015E-4</v>
      </c>
      <c r="BJ4" s="42">
        <f t="shared" si="0"/>
        <v>4.4318484119380075E-3</v>
      </c>
      <c r="BK4" s="42">
        <f t="shared" si="0"/>
        <v>1.752830049356854E-2</v>
      </c>
      <c r="BL4" s="42">
        <f t="shared" si="0"/>
        <v>5.3990966513188063E-2</v>
      </c>
      <c r="BM4" s="42">
        <f t="shared" si="0"/>
        <v>0.12951759566589174</v>
      </c>
      <c r="BN4" s="42">
        <f t="shared" si="0"/>
        <v>0.24197072451914337</v>
      </c>
      <c r="BO4" s="42">
        <f t="shared" si="0"/>
        <v>0.35206532676429952</v>
      </c>
      <c r="BP4" s="42">
        <f t="shared" si="1"/>
        <v>0.3989422804014327</v>
      </c>
      <c r="BQ4" s="42">
        <f t="shared" si="1"/>
        <v>0.35206532676429952</v>
      </c>
      <c r="BR4" s="42">
        <f t="shared" si="1"/>
        <v>0.24197072451914337</v>
      </c>
      <c r="BS4" s="42">
        <f t="shared" si="1"/>
        <v>0.12951759566589174</v>
      </c>
      <c r="BT4" s="42">
        <f t="shared" si="1"/>
        <v>5.3990966513188063E-2</v>
      </c>
      <c r="BU4" s="42">
        <f t="shared" si="1"/>
        <v>1.752830049356854E-2</v>
      </c>
      <c r="BV4" s="42">
        <f t="shared" si="1"/>
        <v>4.4318484119380075E-3</v>
      </c>
      <c r="BW4" s="42">
        <f t="shared" si="1"/>
        <v>8.7268269504576015E-4</v>
      </c>
      <c r="BX4" s="42">
        <f t="shared" si="1"/>
        <v>1.3383022576488537E-4</v>
      </c>
      <c r="BY4" s="42">
        <f t="shared" si="1"/>
        <v>1.5983741106905475E-5</v>
      </c>
      <c r="BZ4" s="42">
        <f>BC4</f>
        <v>1.4867195147342977E-6</v>
      </c>
      <c r="CA4" s="372"/>
      <c r="CB4" s="117" t="s">
        <v>121</v>
      </c>
      <c r="CC4" s="10">
        <v>1</v>
      </c>
      <c r="CD4" s="10">
        <v>0</v>
      </c>
      <c r="CE4" s="41" t="s">
        <v>343</v>
      </c>
      <c r="CF4" s="41"/>
      <c r="CG4" s="368" t="s">
        <v>345</v>
      </c>
      <c r="CH4" s="42">
        <f>_xlfn.NORM.S.DIST(CH3,FALSE)</f>
        <v>1.4867195147342977E-6</v>
      </c>
      <c r="CI4" s="42">
        <f t="shared" ref="CI4" si="63">_xlfn.NORM.S.DIST(CI3,FALSE)</f>
        <v>1.5983741106905475E-5</v>
      </c>
      <c r="CJ4" s="42">
        <f t="shared" ref="CJ4" si="64">_xlfn.NORM.S.DIST(CJ3,FALSE)</f>
        <v>1.3383022576488537E-4</v>
      </c>
      <c r="CK4" s="42">
        <f t="shared" ref="CK4" si="65">_xlfn.NORM.S.DIST(CK3,FALSE)</f>
        <v>8.7268269504576015E-4</v>
      </c>
      <c r="CL4" s="42">
        <f t="shared" ref="CL4" si="66">_xlfn.NORM.S.DIST(CL3,FALSE)</f>
        <v>4.4318484119380075E-3</v>
      </c>
      <c r="CM4" s="42">
        <f t="shared" ref="CM4" si="67">_xlfn.NORM.S.DIST(CM3,FALSE)</f>
        <v>1.752830049356854E-2</v>
      </c>
      <c r="CN4" s="42">
        <f t="shared" ref="CN4" si="68">_xlfn.NORM.S.DIST(CN3,FALSE)</f>
        <v>5.3990966513188063E-2</v>
      </c>
      <c r="CO4" s="42">
        <f t="shared" ref="CO4" si="69">_xlfn.NORM.S.DIST(CO3,FALSE)</f>
        <v>0.12951759566589174</v>
      </c>
      <c r="CP4" s="42">
        <f t="shared" ref="CP4" si="70">_xlfn.NORM.S.DIST(CP3,FALSE)</f>
        <v>0.24197072451914337</v>
      </c>
      <c r="CQ4" s="42">
        <f t="shared" ref="CQ4" si="71">_xlfn.NORM.S.DIST(CQ3,FALSE)</f>
        <v>0.35206532676429952</v>
      </c>
      <c r="CR4" s="42">
        <f t="shared" ref="CR4" si="72">_xlfn.NORM.S.DIST(CR3,FALSE)</f>
        <v>0.3989422804014327</v>
      </c>
      <c r="CS4" s="42">
        <f t="shared" ref="CS4" si="73">_xlfn.NORM.S.DIST(CS3,FALSE)</f>
        <v>0.35206532676429952</v>
      </c>
      <c r="CT4" s="42">
        <f t="shared" ref="CT4" si="74">_xlfn.NORM.S.DIST(CT3,FALSE)</f>
        <v>0.24197072451914337</v>
      </c>
      <c r="CU4" s="42">
        <f t="shared" ref="CU4" si="75">_xlfn.NORM.S.DIST(CU3,FALSE)</f>
        <v>0.12951759566589174</v>
      </c>
      <c r="CV4" s="42">
        <f t="shared" ref="CV4" si="76">_xlfn.NORM.S.DIST(CV3,FALSE)</f>
        <v>5.3990966513188063E-2</v>
      </c>
      <c r="CW4" s="42">
        <f t="shared" ref="CW4" si="77">_xlfn.NORM.S.DIST(CW3,FALSE)</f>
        <v>1.752830049356854E-2</v>
      </c>
      <c r="CX4" s="42">
        <f t="shared" ref="CX4" si="78">_xlfn.NORM.S.DIST(CX3,FALSE)</f>
        <v>4.4318484119380075E-3</v>
      </c>
      <c r="CY4" s="42">
        <f t="shared" ref="CY4" si="79">_xlfn.NORM.S.DIST(CY3,FALSE)</f>
        <v>8.7268269504576015E-4</v>
      </c>
      <c r="CZ4" s="42">
        <f t="shared" ref="CZ4" si="80">_xlfn.NORM.S.DIST(CZ3,FALSE)</f>
        <v>1.3383022576488537E-4</v>
      </c>
      <c r="DA4" s="42">
        <f t="shared" ref="DA4" si="81">_xlfn.NORM.S.DIST(DA3,FALSE)</f>
        <v>1.5983741106905475E-5</v>
      </c>
      <c r="DB4" s="42">
        <f t="shared" ref="DB4" si="82">_xlfn.NORM.S.DIST(DB3,FALSE)</f>
        <v>1.4867195147342977E-6</v>
      </c>
      <c r="DC4" s="42"/>
      <c r="DD4" s="368" t="s">
        <v>345</v>
      </c>
      <c r="DE4" s="42">
        <f t="shared" si="2"/>
        <v>1.4867195147342977E-6</v>
      </c>
      <c r="DF4" s="42">
        <f t="shared" si="3"/>
        <v>1.5983741106905475E-5</v>
      </c>
      <c r="DG4" s="42">
        <f t="shared" si="4"/>
        <v>1.3383022576488537E-4</v>
      </c>
      <c r="DH4" s="42">
        <f t="shared" si="5"/>
        <v>8.7268269504576015E-4</v>
      </c>
      <c r="DI4" s="42">
        <f t="shared" si="6"/>
        <v>4.4318484119380075E-3</v>
      </c>
      <c r="DJ4" s="42">
        <f t="shared" si="7"/>
        <v>1.752830049356854E-2</v>
      </c>
      <c r="DK4" s="42">
        <f t="shared" si="8"/>
        <v>5.3990966513188063E-2</v>
      </c>
      <c r="DL4" s="42">
        <f t="shared" si="9"/>
        <v>0.12951759566589174</v>
      </c>
      <c r="DM4" s="42">
        <f t="shared" si="10"/>
        <v>0.24197072451914337</v>
      </c>
      <c r="DN4" s="42">
        <f t="shared" si="11"/>
        <v>0.35206532676429952</v>
      </c>
      <c r="DO4" s="42">
        <f t="shared" si="12"/>
        <v>0.3989422804014327</v>
      </c>
      <c r="DP4" s="42">
        <f t="shared" si="13"/>
        <v>0.35206532676429952</v>
      </c>
      <c r="DQ4" s="42">
        <f t="shared" si="14"/>
        <v>0.24197072451914337</v>
      </c>
      <c r="DR4" s="42">
        <f t="shared" si="15"/>
        <v>0.12951759566589174</v>
      </c>
      <c r="DS4" s="42">
        <f t="shared" si="16"/>
        <v>5.3990966513188063E-2</v>
      </c>
      <c r="DT4" s="42">
        <f t="shared" si="17"/>
        <v>1.752830049356854E-2</v>
      </c>
      <c r="DU4" s="42">
        <f t="shared" si="18"/>
        <v>4.4318484119380075E-3</v>
      </c>
      <c r="DV4" s="42">
        <f t="shared" si="19"/>
        <v>8.7268269504576015E-4</v>
      </c>
      <c r="DW4" s="42">
        <f t="shared" si="20"/>
        <v>1.3383022576488537E-4</v>
      </c>
      <c r="DX4" s="42">
        <f t="shared" si="21"/>
        <v>1.5983741106905475E-5</v>
      </c>
      <c r="DY4" s="42">
        <f>DB4</f>
        <v>1.4867195147342977E-6</v>
      </c>
      <c r="DZ4" s="41"/>
      <c r="EA4" s="117" t="s">
        <v>121</v>
      </c>
      <c r="EB4" s="10">
        <v>1</v>
      </c>
      <c r="EC4" s="10">
        <v>0</v>
      </c>
      <c r="ED4" s="10"/>
      <c r="EF4" s="368" t="s">
        <v>345</v>
      </c>
      <c r="EG4" s="42">
        <f>_xlfn.NORM.S.DIST(EG3,FALSE)</f>
        <v>1.4867195147342977E-6</v>
      </c>
      <c r="EH4" s="42">
        <f t="shared" ref="EH4" si="83">_xlfn.NORM.S.DIST(EH3,FALSE)</f>
        <v>1.5983741106905475E-5</v>
      </c>
      <c r="EI4" s="42">
        <f t="shared" ref="EI4" si="84">_xlfn.NORM.S.DIST(EI3,FALSE)</f>
        <v>1.3383022576488537E-4</v>
      </c>
      <c r="EJ4" s="42">
        <f t="shared" ref="EJ4" si="85">_xlfn.NORM.S.DIST(EJ3,FALSE)</f>
        <v>8.7268269504576015E-4</v>
      </c>
      <c r="EK4" s="42">
        <f t="shared" ref="EK4" si="86">_xlfn.NORM.S.DIST(EK3,FALSE)</f>
        <v>4.4318484119380075E-3</v>
      </c>
      <c r="EL4" s="42">
        <f t="shared" ref="EL4" si="87">_xlfn.NORM.S.DIST(EL3,FALSE)</f>
        <v>1.752830049356854E-2</v>
      </c>
      <c r="EM4" s="42">
        <f t="shared" ref="EM4" si="88">_xlfn.NORM.S.DIST(EM3,FALSE)</f>
        <v>5.3990966513188063E-2</v>
      </c>
      <c r="EN4" s="42">
        <f t="shared" ref="EN4" si="89">_xlfn.NORM.S.DIST(EN3,FALSE)</f>
        <v>0.12951759566589174</v>
      </c>
      <c r="EO4" s="42">
        <f t="shared" ref="EO4" si="90">_xlfn.NORM.S.DIST(EO3,FALSE)</f>
        <v>0.24197072451914337</v>
      </c>
      <c r="EP4" s="42">
        <f t="shared" ref="EP4" si="91">_xlfn.NORM.S.DIST(EP3,FALSE)</f>
        <v>0.35206532676429952</v>
      </c>
      <c r="EQ4" s="42">
        <f t="shared" ref="EQ4" si="92">_xlfn.NORM.S.DIST(EQ3,FALSE)</f>
        <v>0.3989422804014327</v>
      </c>
      <c r="ER4" s="42">
        <f t="shared" ref="ER4" si="93">_xlfn.NORM.S.DIST(ER3,FALSE)</f>
        <v>0.35206532676429952</v>
      </c>
      <c r="ES4" s="42">
        <f t="shared" ref="ES4" si="94">_xlfn.NORM.S.DIST(ES3,FALSE)</f>
        <v>0.24197072451914337</v>
      </c>
      <c r="ET4" s="42">
        <f t="shared" ref="ET4" si="95">_xlfn.NORM.S.DIST(ET3,FALSE)</f>
        <v>0.12951759566589174</v>
      </c>
      <c r="EU4" s="42">
        <f t="shared" ref="EU4" si="96">_xlfn.NORM.S.DIST(EU3,FALSE)</f>
        <v>5.3990966513188063E-2</v>
      </c>
      <c r="EV4" s="42">
        <f t="shared" ref="EV4" si="97">_xlfn.NORM.S.DIST(EV3,FALSE)</f>
        <v>1.752830049356854E-2</v>
      </c>
      <c r="EW4" s="42">
        <f t="shared" ref="EW4" si="98">_xlfn.NORM.S.DIST(EW3,FALSE)</f>
        <v>4.4318484119380075E-3</v>
      </c>
      <c r="EX4" s="42">
        <f t="shared" ref="EX4" si="99">_xlfn.NORM.S.DIST(EX3,FALSE)</f>
        <v>8.7268269504576015E-4</v>
      </c>
      <c r="EY4" s="42">
        <f t="shared" ref="EY4" si="100">_xlfn.NORM.S.DIST(EY3,FALSE)</f>
        <v>1.3383022576488537E-4</v>
      </c>
      <c r="EZ4" s="42">
        <f t="shared" ref="EZ4" si="101">_xlfn.NORM.S.DIST(EZ3,FALSE)</f>
        <v>1.5983741106905475E-5</v>
      </c>
      <c r="FA4" s="42">
        <f t="shared" ref="FA4" si="102">_xlfn.NORM.S.DIST(FA3,FALSE)</f>
        <v>1.4867195147342977E-6</v>
      </c>
      <c r="FB4" s="42"/>
      <c r="FC4" s="368" t="s">
        <v>345</v>
      </c>
      <c r="FD4" s="42">
        <f t="shared" si="22"/>
        <v>1.4867195147342977E-6</v>
      </c>
      <c r="FE4" s="42">
        <f t="shared" si="23"/>
        <v>1.5983741106905475E-5</v>
      </c>
      <c r="FF4" s="42">
        <f t="shared" si="24"/>
        <v>1.3383022576488537E-4</v>
      </c>
      <c r="FG4" s="42">
        <f t="shared" si="25"/>
        <v>8.7268269504576015E-4</v>
      </c>
      <c r="FH4" s="42">
        <f t="shared" si="26"/>
        <v>4.4318484119380075E-3</v>
      </c>
      <c r="FI4" s="42">
        <f t="shared" si="27"/>
        <v>1.752830049356854E-2</v>
      </c>
      <c r="FJ4" s="42">
        <f t="shared" si="28"/>
        <v>5.3990966513188063E-2</v>
      </c>
      <c r="FK4" s="42">
        <f t="shared" si="29"/>
        <v>0.12951759566589174</v>
      </c>
      <c r="FL4" s="42">
        <f t="shared" si="30"/>
        <v>0.24197072451914337</v>
      </c>
      <c r="FM4" s="42">
        <f t="shared" si="31"/>
        <v>0.35206532676429952</v>
      </c>
      <c r="FN4" s="42">
        <f t="shared" si="32"/>
        <v>0.3989422804014327</v>
      </c>
      <c r="FO4" s="42">
        <f t="shared" si="33"/>
        <v>0.35206532676429952</v>
      </c>
      <c r="FP4" s="42">
        <f t="shared" si="34"/>
        <v>0.24197072451914337</v>
      </c>
      <c r="FQ4" s="42">
        <f t="shared" si="35"/>
        <v>0.12951759566589174</v>
      </c>
      <c r="FR4" s="42">
        <f t="shared" si="36"/>
        <v>5.3990966513188063E-2</v>
      </c>
      <c r="FS4" s="42">
        <f t="shared" si="37"/>
        <v>1.752830049356854E-2</v>
      </c>
      <c r="FT4" s="42">
        <f t="shared" si="38"/>
        <v>4.4318484119380075E-3</v>
      </c>
      <c r="FU4" s="42">
        <f t="shared" si="39"/>
        <v>8.7268269504576015E-4</v>
      </c>
      <c r="FV4" s="42">
        <f t="shared" si="40"/>
        <v>1.3383022576488537E-4</v>
      </c>
      <c r="FW4" s="42">
        <f t="shared" si="41"/>
        <v>1.5983741106905475E-5</v>
      </c>
      <c r="FX4" s="42">
        <f>FA4</f>
        <v>1.4867195147342977E-6</v>
      </c>
      <c r="FZ4" s="368" t="s">
        <v>345</v>
      </c>
      <c r="GA4" s="42">
        <f t="shared" si="42"/>
        <v>1.4867195147342977E-6</v>
      </c>
      <c r="GB4" s="42">
        <f t="shared" si="43"/>
        <v>1.5983741106905475E-5</v>
      </c>
      <c r="GC4" s="42">
        <f t="shared" si="44"/>
        <v>1.3383022576488537E-4</v>
      </c>
      <c r="GD4" s="42">
        <f t="shared" si="45"/>
        <v>8.7268269504576015E-4</v>
      </c>
      <c r="GE4" s="42">
        <f t="shared" si="46"/>
        <v>4.4318484119380075E-3</v>
      </c>
      <c r="GF4" s="42">
        <f t="shared" si="47"/>
        <v>1.752830049356854E-2</v>
      </c>
      <c r="GG4" s="42">
        <f t="shared" si="48"/>
        <v>5.3990966513188063E-2</v>
      </c>
      <c r="GH4" s="42">
        <f t="shared" si="49"/>
        <v>0.12951759566589174</v>
      </c>
      <c r="GI4" s="42">
        <f t="shared" si="50"/>
        <v>0.24197072451914337</v>
      </c>
      <c r="GJ4" s="42">
        <f t="shared" si="51"/>
        <v>0.35206532676429952</v>
      </c>
      <c r="GK4" s="42">
        <f t="shared" si="52"/>
        <v>0.3989422804014327</v>
      </c>
      <c r="GL4" s="42">
        <f t="shared" si="53"/>
        <v>0.35206532676429952</v>
      </c>
      <c r="GM4" s="42">
        <f t="shared" si="54"/>
        <v>0.24197072451914337</v>
      </c>
      <c r="GN4" s="42">
        <f t="shared" si="55"/>
        <v>0.12951759566589174</v>
      </c>
      <c r="GO4" s="42">
        <f t="shared" si="56"/>
        <v>5.3990966513188063E-2</v>
      </c>
      <c r="GP4" s="42">
        <f t="shared" si="57"/>
        <v>1.752830049356854E-2</v>
      </c>
      <c r="GQ4" s="42">
        <f t="shared" si="58"/>
        <v>4.4318484119380075E-3</v>
      </c>
      <c r="GR4" s="42">
        <f t="shared" si="59"/>
        <v>8.7268269504576015E-4</v>
      </c>
      <c r="GS4" s="42">
        <f t="shared" si="60"/>
        <v>1.3383022576488537E-4</v>
      </c>
      <c r="GT4" s="42">
        <f t="shared" si="61"/>
        <v>1.5983741106905475E-5</v>
      </c>
      <c r="GU4" s="42">
        <f>FX4</f>
        <v>1.4867195147342977E-6</v>
      </c>
      <c r="GV4" s="42"/>
      <c r="GW4" s="368" t="s">
        <v>156</v>
      </c>
      <c r="GX4" s="10">
        <v>1</v>
      </c>
      <c r="GY4" s="10">
        <v>0</v>
      </c>
    </row>
    <row r="5" spans="2:228" x14ac:dyDescent="0.3">
      <c r="B5" s="1" t="s">
        <v>132</v>
      </c>
      <c r="F5" s="1" t="s">
        <v>359</v>
      </c>
      <c r="J5" s="155">
        <f t="shared" ref="J5:J44" si="103">J4+YearFraction</f>
        <v>0.25</v>
      </c>
      <c r="K5" s="32">
        <f>IF($J5&gt;CDS.Tenor,"-",CDS.PremiumSign*CDS.Notional*CDS.YearFraction*CDS.CreditSpread)</f>
        <v>-25000</v>
      </c>
      <c r="L5" s="132">
        <f ca="1">GX5</f>
        <v>0.99542704058199794</v>
      </c>
      <c r="M5" s="132">
        <f ca="1">IF($J5&gt;CDS.Tenor,"-",L4-L5)</f>
        <v>4.572959418002065E-3</v>
      </c>
      <c r="N5" s="90" cm="1">
        <f t="array" ref="N5">IF($J5&gt;CDS.Tenor,"-",cubicInterpolation(CurveResults.Times,CurveResults.DFs,$J5))</f>
        <v>0.98868042001719347</v>
      </c>
      <c r="O5" s="32">
        <f ca="1">IF($J5&gt;CDS.Tenor,"-",K5*L5*N5)</f>
        <v>-24603.980614477041</v>
      </c>
      <c r="P5" s="32">
        <f ca="1">IF($J5&gt;CDS.Tenor,"-",0.5*K5*M5*N5)</f>
        <v>-56.514942976398274</v>
      </c>
      <c r="Q5" s="33">
        <f ca="1">IF($J5&gt;CDS.Tenor,"-",O5+P5)</f>
        <v>-24660.49555745344</v>
      </c>
      <c r="T5" s="155">
        <f t="shared" ref="T5:T44" si="104">T4+YearFraction</f>
        <v>0.25</v>
      </c>
      <c r="U5" s="32">
        <f>IF($J5&gt;CDS.Tenor,"-",CDS.ProtectionSign*CDS.Notional*(1-CDS.RecoveryRate))</f>
        <v>6000000</v>
      </c>
      <c r="V5" s="132">
        <f ca="1">IF($J5&gt;CDS.Tenor,"-",GX5)</f>
        <v>0.99542704058199794</v>
      </c>
      <c r="W5" s="132">
        <f ca="1">IF($J5&gt;CDS.Tenor,"-",V4-V5)</f>
        <v>4.572959418002065E-3</v>
      </c>
      <c r="X5" s="90" cm="1">
        <f t="array" ref="X5">IF($T5&gt;CDS.Tenor,"-",cubicInterpolation(CurveResults.Times,CurveResults.DFs,$J5))</f>
        <v>0.98868042001719347</v>
      </c>
      <c r="Y5" s="33">
        <f ca="1">IF($J5&gt;CDS.Tenor,"-",U5*W5*X5)</f>
        <v>27127.172628671175</v>
      </c>
      <c r="AB5" s="155">
        <f t="shared" ref="AB5:AB44" si="105">AB4+YearFraction</f>
        <v>0.25</v>
      </c>
      <c r="AC5" s="351" cm="1">
        <f t="array" aca="1" ref="AC5" ca="1">IF($AB5&gt;CDS.Tenor,"-",flatInterpolation(AA5,INDIRECT(HazardRateTimes1),INDIRECT(HazardRateValues1)))</f>
        <v>5.0000000000000001E-3</v>
      </c>
      <c r="AD5" s="132">
        <f t="shared" ref="AD5:AD44" ca="1" si="106">IF($AB5&gt;CDS.Tenor,"-",EXP(-AC5*YearFraction)*AD4)</f>
        <v>0.99875078092458092</v>
      </c>
      <c r="AE5" s="132">
        <f t="shared" ref="AE5:AE44" ca="1" si="107">IF($AB5&gt;CDS.Tenor,"-",1-AD5)</f>
        <v>1.2492190754190835E-3</v>
      </c>
      <c r="AF5" s="248">
        <f ca="1">IF($AB5&gt;CDS.Tenor,"-",NORMSINV(AE5))</f>
        <v>-3.023530533768839</v>
      </c>
      <c r="AG5" s="248"/>
      <c r="AH5" s="369">
        <f t="shared" ref="AH5:AH44" si="108">$AB5</f>
        <v>0.25</v>
      </c>
      <c r="AI5" s="365">
        <f ca="1">IF($AB5&gt;CDS.Tenor,"-",_xlfn.NORM.S.DIST(($AF5-SQRT(ImpliedCorrelation)*AI$3)/SQRT(1-ImpliedCorrelation),TRUE))</f>
        <v>1.2492190754190848E-3</v>
      </c>
      <c r="AJ5" s="365">
        <f ca="1">IF($AB5&gt;CDS.Tenor,"-",_xlfn.NORM.S.DIST(($AF5-SQRT(ImpliedCorrelation)*AJ$3)/SQRT(1-ImpliedCorrelation),TRUE))</f>
        <v>1.2492190754190848E-3</v>
      </c>
      <c r="AK5" s="365">
        <f ca="1">IF($AB5&gt;CDS.Tenor,"-",_xlfn.NORM.S.DIST(($AF5-SQRT(ImpliedCorrelation)*AK$3)/SQRT(1-ImpliedCorrelation),TRUE))</f>
        <v>1.2492190754190848E-3</v>
      </c>
      <c r="AL5" s="365">
        <f ca="1">IF($AB5&gt;CDS.Tenor,"-",_xlfn.NORM.S.DIST(($AF5-SQRT(ImpliedCorrelation)*AL$3)/SQRT(1-ImpliedCorrelation),TRUE))</f>
        <v>1.2492190754190848E-3</v>
      </c>
      <c r="AM5" s="365">
        <f ca="1">IF($AB5&gt;CDS.Tenor,"-",_xlfn.NORM.S.DIST(($AF5-SQRT(ImpliedCorrelation)*AM$3)/SQRT(1-ImpliedCorrelation),TRUE))</f>
        <v>1.2492190754190848E-3</v>
      </c>
      <c r="AN5" s="365">
        <f ca="1">IF($AB5&gt;CDS.Tenor,"-",_xlfn.NORM.S.DIST(($AF5-SQRT(ImpliedCorrelation)*AN$3)/SQRT(1-ImpliedCorrelation),TRUE))</f>
        <v>1.2492190754190848E-3</v>
      </c>
      <c r="AO5" s="365">
        <f ca="1">IF($AB5&gt;CDS.Tenor,"-",_xlfn.NORM.S.DIST(($AF5-SQRT(ImpliedCorrelation)*AO$3)/SQRT(1-ImpliedCorrelation),TRUE))</f>
        <v>1.2492190754190848E-3</v>
      </c>
      <c r="AP5" s="365">
        <f ca="1">IF($AB5&gt;CDS.Tenor,"-",_xlfn.NORM.S.DIST(($AF5-SQRT(ImpliedCorrelation)*AP$3)/SQRT(1-ImpliedCorrelation),TRUE))</f>
        <v>1.2492190754190848E-3</v>
      </c>
      <c r="AQ5" s="365">
        <f ca="1">IF($AB5&gt;CDS.Tenor,"-",_xlfn.NORM.S.DIST(($AF5-SQRT(ImpliedCorrelation)*AQ$3)/SQRT(1-ImpliedCorrelation),TRUE))</f>
        <v>1.2492190754190848E-3</v>
      </c>
      <c r="AR5" s="365">
        <f ca="1">IF($AB5&gt;CDS.Tenor,"-",_xlfn.NORM.S.DIST(($AF5-SQRT(ImpliedCorrelation)*AR$3)/SQRT(1-ImpliedCorrelation),TRUE))</f>
        <v>1.2492190754190848E-3</v>
      </c>
      <c r="AS5" s="365">
        <f ca="1">IF($AB5&gt;CDS.Tenor,"-",_xlfn.NORM.S.DIST(($AF5-SQRT(ImpliedCorrelation)*AS$3)/SQRT(1-ImpliedCorrelation),TRUE))</f>
        <v>1.2492190754190848E-3</v>
      </c>
      <c r="AT5" s="365">
        <f ca="1">IF($AB5&gt;CDS.Tenor,"-",_xlfn.NORM.S.DIST(($AF5-SQRT(ImpliedCorrelation)*AT$3)/SQRT(1-ImpliedCorrelation),TRUE))</f>
        <v>1.2492190754190848E-3</v>
      </c>
      <c r="AU5" s="365">
        <f ca="1">IF($AB5&gt;CDS.Tenor,"-",_xlfn.NORM.S.DIST(($AF5-SQRT(ImpliedCorrelation)*AU$3)/SQRT(1-ImpliedCorrelation),TRUE))</f>
        <v>1.2492190754190848E-3</v>
      </c>
      <c r="AV5" s="365">
        <f ca="1">IF($AB5&gt;CDS.Tenor,"-",_xlfn.NORM.S.DIST(($AF5-SQRT(ImpliedCorrelation)*AV$3)/SQRT(1-ImpliedCorrelation),TRUE))</f>
        <v>1.2492190754190848E-3</v>
      </c>
      <c r="AW5" s="365">
        <f ca="1">IF($AB5&gt;CDS.Tenor,"-",_xlfn.NORM.S.DIST(($AF5-SQRT(ImpliedCorrelation)*AW$3)/SQRT(1-ImpliedCorrelation),TRUE))</f>
        <v>1.2492190754190848E-3</v>
      </c>
      <c r="AX5" s="365">
        <f ca="1">IF($AB5&gt;CDS.Tenor,"-",_xlfn.NORM.S.DIST(($AF5-SQRT(ImpliedCorrelation)*AX$3)/SQRT(1-ImpliedCorrelation),TRUE))</f>
        <v>1.2492190754190848E-3</v>
      </c>
      <c r="AY5" s="365">
        <f ca="1">IF($AB5&gt;CDS.Tenor,"-",_xlfn.NORM.S.DIST(($AF5-SQRT(ImpliedCorrelation)*AY$3)/SQRT(1-ImpliedCorrelation),TRUE))</f>
        <v>1.2492190754190848E-3</v>
      </c>
      <c r="AZ5" s="365">
        <f ca="1">IF($AB5&gt;CDS.Tenor,"-",_xlfn.NORM.S.DIST(($AF5-SQRT(ImpliedCorrelation)*AZ$3)/SQRT(1-ImpliedCorrelation),TRUE))</f>
        <v>1.2492190754190848E-3</v>
      </c>
      <c r="BA5" s="365">
        <f ca="1">IF($AB5&gt;CDS.Tenor,"-",_xlfn.NORM.S.DIST(($AF5-SQRT(ImpliedCorrelation)*BA$3)/SQRT(1-ImpliedCorrelation),TRUE))</f>
        <v>1.2492190754190848E-3</v>
      </c>
      <c r="BB5" s="365">
        <f ca="1">IF($AB5&gt;CDS.Tenor,"-",_xlfn.NORM.S.DIST(($AF5-SQRT(ImpliedCorrelation)*BB$3)/SQRT(1-ImpliedCorrelation),TRUE))</f>
        <v>1.2492190754190848E-3</v>
      </c>
      <c r="BC5" s="365">
        <f ca="1">IF($AB5&gt;CDS.Tenor,"-",_xlfn.NORM.S.DIST(($AF5-SQRT(ImpliedCorrelation)*BC$3)/SQRT(1-ImpliedCorrelation),TRUE))</f>
        <v>1.2492190754190848E-3</v>
      </c>
      <c r="BD5" s="365"/>
      <c r="BE5" s="369">
        <f t="shared" ref="BE5:BE44" si="109">$AB5</f>
        <v>0.25</v>
      </c>
      <c r="BF5" s="365">
        <f ca="1">IF($AB5&gt;CDS.Tenor,"-",1-AI5)</f>
        <v>0.99875078092458092</v>
      </c>
      <c r="BG5" s="365">
        <f ca="1">IF($AB5&gt;CDS.Tenor,"-",1-AJ5)</f>
        <v>0.99875078092458092</v>
      </c>
      <c r="BH5" s="365">
        <f ca="1">IF($AB5&gt;CDS.Tenor,"-",1-AK5)</f>
        <v>0.99875078092458092</v>
      </c>
      <c r="BI5" s="365">
        <f ca="1">IF($AB5&gt;CDS.Tenor,"-",1-AL5)</f>
        <v>0.99875078092458092</v>
      </c>
      <c r="BJ5" s="365">
        <f ca="1">IF($AB5&gt;CDS.Tenor,"-",1-AM5)</f>
        <v>0.99875078092458092</v>
      </c>
      <c r="BK5" s="365">
        <f ca="1">IF($AB5&gt;CDS.Tenor,"-",1-AN5)</f>
        <v>0.99875078092458092</v>
      </c>
      <c r="BL5" s="365">
        <f ca="1">IF($AB5&gt;CDS.Tenor,"-",1-AO5)</f>
        <v>0.99875078092458092</v>
      </c>
      <c r="BM5" s="365">
        <f ca="1">IF($AB5&gt;CDS.Tenor,"-",1-AP5)</f>
        <v>0.99875078092458092</v>
      </c>
      <c r="BN5" s="365">
        <f ca="1">IF($AB5&gt;CDS.Tenor,"-",1-AQ5)</f>
        <v>0.99875078092458092</v>
      </c>
      <c r="BO5" s="365">
        <f ca="1">IF($AB5&gt;CDS.Tenor,"-",1-AR5)</f>
        <v>0.99875078092458092</v>
      </c>
      <c r="BP5" s="365">
        <f ca="1">IF($AB5&gt;CDS.Tenor,"-",1-AS5)</f>
        <v>0.99875078092458092</v>
      </c>
      <c r="BQ5" s="365">
        <f ca="1">IF($AB5&gt;CDS.Tenor,"-",1-AT5)</f>
        <v>0.99875078092458092</v>
      </c>
      <c r="BR5" s="365">
        <f ca="1">IF($AB5&gt;CDS.Tenor,"-",1-AU5)</f>
        <v>0.99875078092458092</v>
      </c>
      <c r="BS5" s="365">
        <f ca="1">IF($AB5&gt;CDS.Tenor,"-",1-AV5)</f>
        <v>0.99875078092458092</v>
      </c>
      <c r="BT5" s="365">
        <f ca="1">IF($AB5&gt;CDS.Tenor,"-",1-AW5)</f>
        <v>0.99875078092458092</v>
      </c>
      <c r="BU5" s="365">
        <f ca="1">IF($AB5&gt;CDS.Tenor,"-",1-AX5)</f>
        <v>0.99875078092458092</v>
      </c>
      <c r="BV5" s="365">
        <f ca="1">IF($AB5&gt;CDS.Tenor,"-",1-AY5)</f>
        <v>0.99875078092458092</v>
      </c>
      <c r="BW5" s="365">
        <f ca="1">IF($AB5&gt;CDS.Tenor,"-",1-AZ5)</f>
        <v>0.99875078092458092</v>
      </c>
      <c r="BX5" s="365">
        <f ca="1">IF($AB5&gt;CDS.Tenor,"-",1-BA5)</f>
        <v>0.99875078092458092</v>
      </c>
      <c r="BY5" s="365">
        <f ca="1">IF($AB5&gt;CDS.Tenor,"-",1-BB5)</f>
        <v>0.99875078092458092</v>
      </c>
      <c r="BZ5" s="365">
        <f ca="1">IF($AB5&gt;CDS.Tenor,"-",1-BC5)</f>
        <v>0.99875078092458092</v>
      </c>
      <c r="CA5" s="360"/>
      <c r="CB5" s="351" cm="1">
        <f t="array" aca="1" ref="CB5" ca="1">IF($AB5&gt;CDS.Tenor,"-",flatInterpolation(AB5,INDIRECT(HazardRateTimes2),INDIRECT(HazardRateValues2)))</f>
        <v>5.8333333333333336E-3</v>
      </c>
      <c r="CC5" s="132">
        <f t="shared" ref="CC5:CC44" ca="1" si="110">IF($AB5&gt;CDS.Tenor,"-",EXP(-CB5*YearFraction)*CC4)</f>
        <v>0.99854272951799561</v>
      </c>
      <c r="CD5" s="132">
        <f t="shared" ref="CD5:CD44" ca="1" si="111">IF($AB5&gt;CDS.Tenor,"-",1-CC5)</f>
        <v>1.4572704820043914E-3</v>
      </c>
      <c r="CE5" s="80">
        <f t="shared" ref="CE5:CE44" ca="1" si="112">IF($AB5&gt;CDS.Tenor,"-",NORMSINV(CD5))</f>
        <v>-2.9766104306213141</v>
      </c>
      <c r="CF5" s="248"/>
      <c r="CG5" s="369">
        <f t="shared" ref="CG5:CG44" si="113">$AB5</f>
        <v>0.25</v>
      </c>
      <c r="CH5" s="365">
        <f ca="1">IF($AB5&gt;CDS.Tenor,"-",_xlfn.NORM.S.DIST(($CE5-SQRT(ImpliedCorrelation)*CH$3)/SQRT(1-ImpliedCorrelation),TRUE))</f>
        <v>1.4572704820043914E-3</v>
      </c>
      <c r="CI5" s="365">
        <f ca="1">IF($AB5&gt;CDS.Tenor,"-",_xlfn.NORM.S.DIST(($CE5-SQRT(ImpliedCorrelation)*CI$3)/SQRT(1-ImpliedCorrelation),TRUE))</f>
        <v>1.4572704820043914E-3</v>
      </c>
      <c r="CJ5" s="365">
        <f ca="1">IF($AB5&gt;CDS.Tenor,"-",_xlfn.NORM.S.DIST(($CE5-SQRT(ImpliedCorrelation)*CJ$3)/SQRT(1-ImpliedCorrelation),TRUE))</f>
        <v>1.4572704820043914E-3</v>
      </c>
      <c r="CK5" s="365">
        <f ca="1">IF($AB5&gt;CDS.Tenor,"-",_xlfn.NORM.S.DIST(($CE5-SQRT(ImpliedCorrelation)*CK$3)/SQRT(1-ImpliedCorrelation),TRUE))</f>
        <v>1.4572704820043914E-3</v>
      </c>
      <c r="CL5" s="365">
        <f ca="1">IF($AB5&gt;CDS.Tenor,"-",_xlfn.NORM.S.DIST(($CE5-SQRT(ImpliedCorrelation)*CL$3)/SQRT(1-ImpliedCorrelation),TRUE))</f>
        <v>1.4572704820043914E-3</v>
      </c>
      <c r="CM5" s="365">
        <f ca="1">IF($AB5&gt;CDS.Tenor,"-",_xlfn.NORM.S.DIST(($CE5-SQRT(ImpliedCorrelation)*CM$3)/SQRT(1-ImpliedCorrelation),TRUE))</f>
        <v>1.4572704820043914E-3</v>
      </c>
      <c r="CN5" s="365">
        <f ca="1">IF($AB5&gt;CDS.Tenor,"-",_xlfn.NORM.S.DIST(($CE5-SQRT(ImpliedCorrelation)*CN$3)/SQRT(1-ImpliedCorrelation),TRUE))</f>
        <v>1.4572704820043914E-3</v>
      </c>
      <c r="CO5" s="365">
        <f ca="1">IF($AB5&gt;CDS.Tenor,"-",_xlfn.NORM.S.DIST(($CE5-SQRT(ImpliedCorrelation)*CO$3)/SQRT(1-ImpliedCorrelation),TRUE))</f>
        <v>1.4572704820043914E-3</v>
      </c>
      <c r="CP5" s="365">
        <f ca="1">IF($AB5&gt;CDS.Tenor,"-",_xlfn.NORM.S.DIST(($CE5-SQRT(ImpliedCorrelation)*CP$3)/SQRT(1-ImpliedCorrelation),TRUE))</f>
        <v>1.4572704820043914E-3</v>
      </c>
      <c r="CQ5" s="365">
        <f ca="1">IF($AB5&gt;CDS.Tenor,"-",_xlfn.NORM.S.DIST(($CE5-SQRT(ImpliedCorrelation)*CQ$3)/SQRT(1-ImpliedCorrelation),TRUE))</f>
        <v>1.4572704820043914E-3</v>
      </c>
      <c r="CR5" s="365">
        <f ca="1">IF($AB5&gt;CDS.Tenor,"-",_xlfn.NORM.S.DIST(($CE5-SQRT(ImpliedCorrelation)*CR$3)/SQRT(1-ImpliedCorrelation),TRUE))</f>
        <v>1.4572704820043914E-3</v>
      </c>
      <c r="CS5" s="365">
        <f ca="1">IF($AB5&gt;CDS.Tenor,"-",_xlfn.NORM.S.DIST(($CE5-SQRT(ImpliedCorrelation)*CS$3)/SQRT(1-ImpliedCorrelation),TRUE))</f>
        <v>1.4572704820043914E-3</v>
      </c>
      <c r="CT5" s="365">
        <f ca="1">IF($AB5&gt;CDS.Tenor,"-",_xlfn.NORM.S.DIST(($CE5-SQRT(ImpliedCorrelation)*CT$3)/SQRT(1-ImpliedCorrelation),TRUE))</f>
        <v>1.4572704820043914E-3</v>
      </c>
      <c r="CU5" s="365">
        <f ca="1">IF($AB5&gt;CDS.Tenor,"-",_xlfn.NORM.S.DIST(($CE5-SQRT(ImpliedCorrelation)*CU$3)/SQRT(1-ImpliedCorrelation),TRUE))</f>
        <v>1.4572704820043914E-3</v>
      </c>
      <c r="CV5" s="365">
        <f ca="1">IF($AB5&gt;CDS.Tenor,"-",_xlfn.NORM.S.DIST(($CE5-SQRT(ImpliedCorrelation)*CV$3)/SQRT(1-ImpliedCorrelation),TRUE))</f>
        <v>1.4572704820043914E-3</v>
      </c>
      <c r="CW5" s="365">
        <f ca="1">IF($AB5&gt;CDS.Tenor,"-",_xlfn.NORM.S.DIST(($CE5-SQRT(ImpliedCorrelation)*CW$3)/SQRT(1-ImpliedCorrelation),TRUE))</f>
        <v>1.4572704820043914E-3</v>
      </c>
      <c r="CX5" s="365">
        <f ca="1">IF($AB5&gt;CDS.Tenor,"-",_xlfn.NORM.S.DIST(($CE5-SQRT(ImpliedCorrelation)*CX$3)/SQRT(1-ImpliedCorrelation),TRUE))</f>
        <v>1.4572704820043914E-3</v>
      </c>
      <c r="CY5" s="365">
        <f ca="1">IF($AB5&gt;CDS.Tenor,"-",_xlfn.NORM.S.DIST(($CE5-SQRT(ImpliedCorrelation)*CY$3)/SQRT(1-ImpliedCorrelation),TRUE))</f>
        <v>1.4572704820043914E-3</v>
      </c>
      <c r="CZ5" s="365">
        <f ca="1">IF($AB5&gt;CDS.Tenor,"-",_xlfn.NORM.S.DIST(($CE5-SQRT(ImpliedCorrelation)*CZ$3)/SQRT(1-ImpliedCorrelation),TRUE))</f>
        <v>1.4572704820043914E-3</v>
      </c>
      <c r="DA5" s="365">
        <f ca="1">IF($AB5&gt;CDS.Tenor,"-",_xlfn.NORM.S.DIST(($CE5-SQRT(ImpliedCorrelation)*DA$3)/SQRT(1-ImpliedCorrelation),TRUE))</f>
        <v>1.4572704820043914E-3</v>
      </c>
      <c r="DB5" s="365">
        <f ca="1">IF($AB5&gt;CDS.Tenor,"-",_xlfn.NORM.S.DIST(($CE5-SQRT(ImpliedCorrelation)*DB$3)/SQRT(1-ImpliedCorrelation),TRUE))</f>
        <v>1.4572704820043914E-3</v>
      </c>
      <c r="DC5" s="365"/>
      <c r="DD5" s="369">
        <f t="shared" ref="DD5:DD44" si="114">$AB5</f>
        <v>0.25</v>
      </c>
      <c r="DE5" s="365">
        <f ca="1">IF($AB5&gt;CDS.Tenor,"-",1-CH5)</f>
        <v>0.99854272951799561</v>
      </c>
      <c r="DF5" s="365">
        <f ca="1">IF($AB5&gt;CDS.Tenor,"-",1-CI5)</f>
        <v>0.99854272951799561</v>
      </c>
      <c r="DG5" s="365">
        <f ca="1">IF($AB5&gt;CDS.Tenor,"-",1-CJ5)</f>
        <v>0.99854272951799561</v>
      </c>
      <c r="DH5" s="365">
        <f ca="1">IF($AB5&gt;CDS.Tenor,"-",1-CK5)</f>
        <v>0.99854272951799561</v>
      </c>
      <c r="DI5" s="365">
        <f ca="1">IF($AB5&gt;CDS.Tenor,"-",1-CL5)</f>
        <v>0.99854272951799561</v>
      </c>
      <c r="DJ5" s="365">
        <f ca="1">IF($AB5&gt;CDS.Tenor,"-",1-CM5)</f>
        <v>0.99854272951799561</v>
      </c>
      <c r="DK5" s="365">
        <f ca="1">IF($AB5&gt;CDS.Tenor,"-",1-CN5)</f>
        <v>0.99854272951799561</v>
      </c>
      <c r="DL5" s="365">
        <f ca="1">IF($AB5&gt;CDS.Tenor,"-",1-CO5)</f>
        <v>0.99854272951799561</v>
      </c>
      <c r="DM5" s="365">
        <f ca="1">IF($AB5&gt;CDS.Tenor,"-",1-CP5)</f>
        <v>0.99854272951799561</v>
      </c>
      <c r="DN5" s="365">
        <f ca="1">IF($AB5&gt;CDS.Tenor,"-",1-CQ5)</f>
        <v>0.99854272951799561</v>
      </c>
      <c r="DO5" s="365">
        <f ca="1">IF($AB5&gt;CDS.Tenor,"-",1-CR5)</f>
        <v>0.99854272951799561</v>
      </c>
      <c r="DP5" s="365">
        <f ca="1">IF($AB5&gt;CDS.Tenor,"-",1-CS5)</f>
        <v>0.99854272951799561</v>
      </c>
      <c r="DQ5" s="365">
        <f ca="1">IF($AB5&gt;CDS.Tenor,"-",1-CT5)</f>
        <v>0.99854272951799561</v>
      </c>
      <c r="DR5" s="365">
        <f ca="1">IF($AB5&gt;CDS.Tenor,"-",1-CU5)</f>
        <v>0.99854272951799561</v>
      </c>
      <c r="DS5" s="365">
        <f ca="1">IF($AB5&gt;CDS.Tenor,"-",1-CV5)</f>
        <v>0.99854272951799561</v>
      </c>
      <c r="DT5" s="365">
        <f ca="1">IF($AB5&gt;CDS.Tenor,"-",1-CW5)</f>
        <v>0.99854272951799561</v>
      </c>
      <c r="DU5" s="365">
        <f ca="1">IF($AB5&gt;CDS.Tenor,"-",1-CX5)</f>
        <v>0.99854272951799561</v>
      </c>
      <c r="DV5" s="365">
        <f ca="1">IF($AB5&gt;CDS.Tenor,"-",1-CY5)</f>
        <v>0.99854272951799561</v>
      </c>
      <c r="DW5" s="365">
        <f ca="1">IF($AB5&gt;CDS.Tenor,"-",1-CZ5)</f>
        <v>0.99854272951799561</v>
      </c>
      <c r="DX5" s="365">
        <f ca="1">IF($AB5&gt;CDS.Tenor,"-",1-DA5)</f>
        <v>0.99854272951799561</v>
      </c>
      <c r="DY5" s="361">
        <f ca="1">IF($AB5&gt;CDS.Tenor,"-",1-DB5)</f>
        <v>0.99854272951799561</v>
      </c>
      <c r="DZ5" s="360"/>
      <c r="EA5" s="351" cm="1">
        <f t="array" aca="1" ref="EA5" ca="1">IF($AB5&gt;CDS.Tenor,"-",flatInterpolation(CC5,INDIRECT(HazardRateTimes3),INDIRECT(HazardRateValues3)))</f>
        <v>7.4999999999999997E-3</v>
      </c>
      <c r="EB5" s="132">
        <f t="shared" ref="EB5:EB44" ca="1" si="115">IF($AB5&gt;CDS.Tenor,"-",EXP(-EA5*YearFraction)*EB4)</f>
        <v>0.998126756714382</v>
      </c>
      <c r="EC5" s="132">
        <f t="shared" ref="EC5:EC44" ca="1" si="116">IF($AB5&gt;CDS.Tenor,"-",1-EB5)</f>
        <v>1.8732432856179981E-3</v>
      </c>
      <c r="ED5" s="80">
        <f t="shared" ref="ED5:ED44" ca="1" si="117">IF($AB5&gt;CDS.Tenor,"-",NORMSINV(EC5))</f>
        <v>-2.8987540476096902</v>
      </c>
      <c r="EE5" s="360"/>
      <c r="EF5" s="369">
        <f t="shared" ref="EF5:EF44" si="118">$AB5</f>
        <v>0.25</v>
      </c>
      <c r="EG5" s="365">
        <f ca="1">IF($AB5&gt;CDS.Tenor,"-",_xlfn.NORM.S.DIST(($ED5-SQRT(ImpliedCorrelation)*EG$3)/SQRT(1-ImpliedCorrelation),TRUE))</f>
        <v>1.873243285617996E-3</v>
      </c>
      <c r="EH5" s="365">
        <f ca="1">IF($AB5&gt;CDS.Tenor,"-",_xlfn.NORM.S.DIST(($ED5-SQRT(ImpliedCorrelation)*EH$3)/SQRT(1-ImpliedCorrelation),TRUE))</f>
        <v>1.873243285617996E-3</v>
      </c>
      <c r="EI5" s="365">
        <f ca="1">IF($AB5&gt;CDS.Tenor,"-",_xlfn.NORM.S.DIST(($ED5-SQRT(ImpliedCorrelation)*EI$3)/SQRT(1-ImpliedCorrelation),TRUE))</f>
        <v>1.873243285617996E-3</v>
      </c>
      <c r="EJ5" s="365">
        <f ca="1">IF($AB5&gt;CDS.Tenor,"-",_xlfn.NORM.S.DIST(($ED5-SQRT(ImpliedCorrelation)*EJ$3)/SQRT(1-ImpliedCorrelation),TRUE))</f>
        <v>1.873243285617996E-3</v>
      </c>
      <c r="EK5" s="365">
        <f ca="1">IF($AB5&gt;CDS.Tenor,"-",_xlfn.NORM.S.DIST(($ED5-SQRT(ImpliedCorrelation)*EK$3)/SQRT(1-ImpliedCorrelation),TRUE))</f>
        <v>1.873243285617996E-3</v>
      </c>
      <c r="EL5" s="365">
        <f ca="1">IF($AB5&gt;CDS.Tenor,"-",_xlfn.NORM.S.DIST(($ED5-SQRT(ImpliedCorrelation)*EL$3)/SQRT(1-ImpliedCorrelation),TRUE))</f>
        <v>1.873243285617996E-3</v>
      </c>
      <c r="EM5" s="365">
        <f ca="1">IF($AB5&gt;CDS.Tenor,"-",_xlfn.NORM.S.DIST(($ED5-SQRT(ImpliedCorrelation)*EM$3)/SQRT(1-ImpliedCorrelation),TRUE))</f>
        <v>1.873243285617996E-3</v>
      </c>
      <c r="EN5" s="365">
        <f ca="1">IF($AB5&gt;CDS.Tenor,"-",_xlfn.NORM.S.DIST(($ED5-SQRT(ImpliedCorrelation)*EN$3)/SQRT(1-ImpliedCorrelation),TRUE))</f>
        <v>1.873243285617996E-3</v>
      </c>
      <c r="EO5" s="365">
        <f ca="1">IF($AB5&gt;CDS.Tenor,"-",_xlfn.NORM.S.DIST(($ED5-SQRT(ImpliedCorrelation)*EO$3)/SQRT(1-ImpliedCorrelation),TRUE))</f>
        <v>1.873243285617996E-3</v>
      </c>
      <c r="EP5" s="365">
        <f ca="1">IF($AB5&gt;CDS.Tenor,"-",_xlfn.NORM.S.DIST(($ED5-SQRT(ImpliedCorrelation)*EP$3)/SQRT(1-ImpliedCorrelation),TRUE))</f>
        <v>1.873243285617996E-3</v>
      </c>
      <c r="EQ5" s="365">
        <f ca="1">IF($AB5&gt;CDS.Tenor,"-",_xlfn.NORM.S.DIST(($ED5-SQRT(ImpliedCorrelation)*EQ$3)/SQRT(1-ImpliedCorrelation),TRUE))</f>
        <v>1.873243285617996E-3</v>
      </c>
      <c r="ER5" s="365">
        <f ca="1">IF($AB5&gt;CDS.Tenor,"-",_xlfn.NORM.S.DIST(($ED5-SQRT(ImpliedCorrelation)*ER$3)/SQRT(1-ImpliedCorrelation),TRUE))</f>
        <v>1.873243285617996E-3</v>
      </c>
      <c r="ES5" s="365">
        <f ca="1">IF($AB5&gt;CDS.Tenor,"-",_xlfn.NORM.S.DIST(($ED5-SQRT(ImpliedCorrelation)*ES$3)/SQRT(1-ImpliedCorrelation),TRUE))</f>
        <v>1.873243285617996E-3</v>
      </c>
      <c r="ET5" s="365">
        <f ca="1">IF($AB5&gt;CDS.Tenor,"-",_xlfn.NORM.S.DIST(($ED5-SQRT(ImpliedCorrelation)*ET$3)/SQRT(1-ImpliedCorrelation),TRUE))</f>
        <v>1.873243285617996E-3</v>
      </c>
      <c r="EU5" s="365">
        <f ca="1">IF($AB5&gt;CDS.Tenor,"-",_xlfn.NORM.S.DIST(($ED5-SQRT(ImpliedCorrelation)*EU$3)/SQRT(1-ImpliedCorrelation),TRUE))</f>
        <v>1.873243285617996E-3</v>
      </c>
      <c r="EV5" s="365">
        <f ca="1">IF($AB5&gt;CDS.Tenor,"-",_xlfn.NORM.S.DIST(($ED5-SQRT(ImpliedCorrelation)*EV$3)/SQRT(1-ImpliedCorrelation),TRUE))</f>
        <v>1.873243285617996E-3</v>
      </c>
      <c r="EW5" s="365">
        <f ca="1">IF($AB5&gt;CDS.Tenor,"-",_xlfn.NORM.S.DIST(($ED5-SQRT(ImpliedCorrelation)*EW$3)/SQRT(1-ImpliedCorrelation),TRUE))</f>
        <v>1.873243285617996E-3</v>
      </c>
      <c r="EX5" s="365">
        <f ca="1">IF($AB5&gt;CDS.Tenor,"-",_xlfn.NORM.S.DIST(($ED5-SQRT(ImpliedCorrelation)*EX$3)/SQRT(1-ImpliedCorrelation),TRUE))</f>
        <v>1.873243285617996E-3</v>
      </c>
      <c r="EY5" s="365">
        <f ca="1">IF($AB5&gt;CDS.Tenor,"-",_xlfn.NORM.S.DIST(($ED5-SQRT(ImpliedCorrelation)*EY$3)/SQRT(1-ImpliedCorrelation),TRUE))</f>
        <v>1.873243285617996E-3</v>
      </c>
      <c r="EZ5" s="365">
        <f ca="1">IF($AB5&gt;CDS.Tenor,"-",_xlfn.NORM.S.DIST(($ED5-SQRT(ImpliedCorrelation)*EZ$3)/SQRT(1-ImpliedCorrelation),TRUE))</f>
        <v>1.873243285617996E-3</v>
      </c>
      <c r="FA5" s="365">
        <f ca="1">IF($AB5&gt;CDS.Tenor,"-",_xlfn.NORM.S.DIST(($ED5-SQRT(ImpliedCorrelation)*FA$3)/SQRT(1-ImpliedCorrelation),TRUE))</f>
        <v>1.873243285617996E-3</v>
      </c>
      <c r="FB5" s="366"/>
      <c r="FC5" s="369">
        <f t="shared" ref="FC5:FC44" si="119">$AB5</f>
        <v>0.25</v>
      </c>
      <c r="FD5" s="365">
        <f ca="1">IF($AB5&gt;CDS.Tenor,"-",1-EG5)</f>
        <v>0.998126756714382</v>
      </c>
      <c r="FE5" s="365">
        <f ca="1">IF($AB5&gt;CDS.Tenor,"-",1-EH5)</f>
        <v>0.998126756714382</v>
      </c>
      <c r="FF5" s="365">
        <f ca="1">IF($AB5&gt;CDS.Tenor,"-",1-EI5)</f>
        <v>0.998126756714382</v>
      </c>
      <c r="FG5" s="365">
        <f ca="1">IF($AB5&gt;CDS.Tenor,"-",1-EJ5)</f>
        <v>0.998126756714382</v>
      </c>
      <c r="FH5" s="365">
        <f ca="1">IF($AB5&gt;CDS.Tenor,"-",1-EK5)</f>
        <v>0.998126756714382</v>
      </c>
      <c r="FI5" s="365">
        <f ca="1">IF($AB5&gt;CDS.Tenor,"-",1-EL5)</f>
        <v>0.998126756714382</v>
      </c>
      <c r="FJ5" s="365">
        <f ca="1">IF($AB5&gt;CDS.Tenor,"-",1-EM5)</f>
        <v>0.998126756714382</v>
      </c>
      <c r="FK5" s="365">
        <f ca="1">IF($AB5&gt;CDS.Tenor,"-",1-EN5)</f>
        <v>0.998126756714382</v>
      </c>
      <c r="FL5" s="365">
        <f ca="1">IF($AB5&gt;CDS.Tenor,"-",1-EO5)</f>
        <v>0.998126756714382</v>
      </c>
      <c r="FM5" s="365">
        <f ca="1">IF($AB5&gt;CDS.Tenor,"-",1-EP5)</f>
        <v>0.998126756714382</v>
      </c>
      <c r="FN5" s="365">
        <f ca="1">IF($AB5&gt;CDS.Tenor,"-",1-EQ5)</f>
        <v>0.998126756714382</v>
      </c>
      <c r="FO5" s="365">
        <f ca="1">IF($AB5&gt;CDS.Tenor,"-",1-ER5)</f>
        <v>0.998126756714382</v>
      </c>
      <c r="FP5" s="365">
        <f ca="1">IF($AB5&gt;CDS.Tenor,"-",1-ES5)</f>
        <v>0.998126756714382</v>
      </c>
      <c r="FQ5" s="365">
        <f ca="1">IF($AB5&gt;CDS.Tenor,"-",1-ET5)</f>
        <v>0.998126756714382</v>
      </c>
      <c r="FR5" s="365">
        <f ca="1">IF($AB5&gt;CDS.Tenor,"-",1-EU5)</f>
        <v>0.998126756714382</v>
      </c>
      <c r="FS5" s="365">
        <f ca="1">IF($AB5&gt;CDS.Tenor,"-",1-EV5)</f>
        <v>0.998126756714382</v>
      </c>
      <c r="FT5" s="365">
        <f ca="1">IF($AB5&gt;CDS.Tenor,"-",1-EW5)</f>
        <v>0.998126756714382</v>
      </c>
      <c r="FU5" s="365">
        <f ca="1">IF($AB5&gt;CDS.Tenor,"-",1-EX5)</f>
        <v>0.998126756714382</v>
      </c>
      <c r="FV5" s="365">
        <f ca="1">IF($AB5&gt;CDS.Tenor,"-",1-EY5)</f>
        <v>0.998126756714382</v>
      </c>
      <c r="FW5" s="365">
        <f ca="1">IF($AB5&gt;CDS.Tenor,"-",1-EZ5)</f>
        <v>0.998126756714382</v>
      </c>
      <c r="FX5" s="361">
        <f ca="1">IF($AB5&gt;CDS.Tenor,"-",1-FA5)</f>
        <v>0.998126756714382</v>
      </c>
      <c r="FZ5" s="369">
        <f t="shared" ref="FZ5:FZ44" si="120">$AB5</f>
        <v>0.25</v>
      </c>
      <c r="GA5" s="365">
        <f ca="1">IF($AB5&gt;CDS.Tenor,"-",BF5*DE5*FD5)</f>
        <v>0.99542715411028782</v>
      </c>
      <c r="GB5" s="365">
        <f ca="1">IF($AB5&gt;CDS.Tenor,"-",BG5*DF5*FE5)</f>
        <v>0.99542715411028782</v>
      </c>
      <c r="GC5" s="365">
        <f ca="1">IF($AB5&gt;CDS.Tenor,"-",BH5*DG5*FF5)</f>
        <v>0.99542715411028782</v>
      </c>
      <c r="GD5" s="365">
        <f ca="1">IF($AB5&gt;CDS.Tenor,"-",BI5*DH5*FG5)</f>
        <v>0.99542715411028782</v>
      </c>
      <c r="GE5" s="365">
        <f ca="1">IF($AB5&gt;CDS.Tenor,"-",BJ5*DI5*FH5)</f>
        <v>0.99542715411028782</v>
      </c>
      <c r="GF5" s="365">
        <f ca="1">IF($AB5&gt;CDS.Tenor,"-",BK5*DJ5*FI5)</f>
        <v>0.99542715411028782</v>
      </c>
      <c r="GG5" s="365">
        <f ca="1">IF($AB5&gt;CDS.Tenor,"-",BL5*DK5*FJ5)</f>
        <v>0.99542715411028782</v>
      </c>
      <c r="GH5" s="365">
        <f ca="1">IF($AB5&gt;CDS.Tenor,"-",BM5*DL5*FK5)</f>
        <v>0.99542715411028782</v>
      </c>
      <c r="GI5" s="365">
        <f ca="1">IF($AB5&gt;CDS.Tenor,"-",BN5*DM5*FL5)</f>
        <v>0.99542715411028782</v>
      </c>
      <c r="GJ5" s="365">
        <f ca="1">IF($AB5&gt;CDS.Tenor,"-",BO5*DN5*FM5)</f>
        <v>0.99542715411028782</v>
      </c>
      <c r="GK5" s="365">
        <f ca="1">IF($AB5&gt;CDS.Tenor,"-",BP5*DO5*FN5)</f>
        <v>0.99542715411028782</v>
      </c>
      <c r="GL5" s="365">
        <f ca="1">IF($AB5&gt;CDS.Tenor,"-",BQ5*DP5*FO5)</f>
        <v>0.99542715411028782</v>
      </c>
      <c r="GM5" s="365">
        <f ca="1">IF($AB5&gt;CDS.Tenor,"-",BR5*DQ5*FP5)</f>
        <v>0.99542715411028782</v>
      </c>
      <c r="GN5" s="365">
        <f ca="1">IF($AB5&gt;CDS.Tenor,"-",BS5*DR5*FQ5)</f>
        <v>0.99542715411028782</v>
      </c>
      <c r="GO5" s="365">
        <f ca="1">IF($AB5&gt;CDS.Tenor,"-",BT5*DS5*FR5)</f>
        <v>0.99542715411028782</v>
      </c>
      <c r="GP5" s="365">
        <f ca="1">IF($AB5&gt;CDS.Tenor,"-",BU5*DT5*FS5)</f>
        <v>0.99542715411028782</v>
      </c>
      <c r="GQ5" s="365">
        <f ca="1">IF($AB5&gt;CDS.Tenor,"-",BV5*DU5*FT5)</f>
        <v>0.99542715411028782</v>
      </c>
      <c r="GR5" s="365">
        <f ca="1">IF($AB5&gt;CDS.Tenor,"-",BW5*DV5*FU5)</f>
        <v>0.99542715411028782</v>
      </c>
      <c r="GS5" s="365">
        <f ca="1">IF($AB5&gt;CDS.Tenor,"-",BX5*DW5*FV5)</f>
        <v>0.99542715411028782</v>
      </c>
      <c r="GT5" s="365">
        <f ca="1">IF($AB5&gt;CDS.Tenor,"-",BY5*DX5*FW5)</f>
        <v>0.99542715411028782</v>
      </c>
      <c r="GU5" s="361">
        <f ca="1">IF($AB5&gt;CDS.Tenor,"-",BZ5*DY5*FX5)</f>
        <v>0.99542715411028782</v>
      </c>
      <c r="GV5" s="42"/>
      <c r="GW5" s="369">
        <f t="shared" ref="GW5:GW44" si="121">$AB5</f>
        <v>0.25</v>
      </c>
      <c r="GX5" s="377">
        <f ca="1">IF($AB5&gt;CDS.Tenor,"-",SUMPRODUCT($GA5:$GU5,$GA$4:$GU$4)*dm)</f>
        <v>0.99542704058199794</v>
      </c>
      <c r="GY5" s="380">
        <f ca="1">IF($AB5&gt;CDS.Tenor,"-",GX4-GX5)</f>
        <v>4.572959418002065E-3</v>
      </c>
    </row>
    <row r="6" spans="2:228" x14ac:dyDescent="0.3">
      <c r="B6" s="114" t="s">
        <v>113</v>
      </c>
      <c r="C6" s="115"/>
      <c r="D6" s="154" t="s">
        <v>114</v>
      </c>
      <c r="F6" s="114" t="s">
        <v>123</v>
      </c>
      <c r="G6" s="164"/>
      <c r="H6" s="344">
        <f ca="1">SUM(H7:H8)</f>
        <v>42865.680072067888</v>
      </c>
      <c r="I6" s="347"/>
      <c r="J6" s="156">
        <f t="shared" si="103"/>
        <v>0.5</v>
      </c>
      <c r="K6" s="28">
        <f>IF($J6&gt;CDS.Tenor,"-",CDS.PremiumSign*CDS.Notional*CDS.YearFraction*CDS.CreditSpread)</f>
        <v>-25000</v>
      </c>
      <c r="L6" s="10">
        <f ca="1">GX6</f>
        <v>0.9908751061309643</v>
      </c>
      <c r="M6" s="10">
        <f ca="1">IF($J6&gt;CDS.Tenor,"-",L5-L6)</f>
        <v>4.5519344510336346E-3</v>
      </c>
      <c r="N6" s="94" cm="1">
        <f t="array" ref="N6">IF($J6&gt;CDS.Tenor,"-",cubicInterpolation(CurveResults.Times,CurveResults.DFs,$J6))</f>
        <v>0.97728436827331244</v>
      </c>
      <c r="O6" s="28">
        <f ca="1">IF($J6&gt;CDS.Tenor,"-",K6*L6*N6)</f>
        <v>-24209.16880332377</v>
      </c>
      <c r="P6" s="28">
        <f ca="1">IF($J6&gt;CDS.Tenor,"-",0.5*K6*M6*N6)</f>
        <v>-55.60667980499916</v>
      </c>
      <c r="Q6" s="142">
        <f ca="1">IF($J6&gt;CDS.Tenor,"-",O6+P6)</f>
        <v>-24264.775483128768</v>
      </c>
      <c r="T6" s="156">
        <f t="shared" si="104"/>
        <v>0.5</v>
      </c>
      <c r="U6" s="28">
        <f>IF($J6&gt;CDS.Tenor,"-",CDS.ProtectionSign*CDS.Notional*(1-CDS.RecoveryRate))</f>
        <v>6000000</v>
      </c>
      <c r="V6" s="10">
        <f ca="1">IF($J6&gt;CDS.Tenor,"-",GX6)</f>
        <v>0.9908751061309643</v>
      </c>
      <c r="W6" s="10">
        <f ca="1">IF($J6&gt;CDS.Tenor,"-",V5-V6)</f>
        <v>4.5519344510336346E-3</v>
      </c>
      <c r="X6" s="94" cm="1">
        <f t="array" ref="X6">IF($T6&gt;CDS.Tenor,"-",cubicInterpolation(CurveResults.Times,CurveResults.DFs,$J6))</f>
        <v>0.97728436827331244</v>
      </c>
      <c r="Y6" s="142">
        <f ca="1">IF($J6&gt;CDS.Tenor,"-",U6*W6*X6)</f>
        <v>26691.206306399599</v>
      </c>
      <c r="AB6" s="156">
        <f t="shared" si="105"/>
        <v>0.5</v>
      </c>
      <c r="AC6" s="352" cm="1">
        <f t="array" aca="1" ref="AC6" ca="1">IF($AB6&gt;CDS.Tenor,"-",flatInterpolation(AA6,INDIRECT(HazardRateTimes1),INDIRECT(HazardRateValues1)))</f>
        <v>5.0000000000000001E-3</v>
      </c>
      <c r="AD6" s="10">
        <f t="shared" ca="1" si="106"/>
        <v>0.9975031223974602</v>
      </c>
      <c r="AE6" s="10">
        <f t="shared" ca="1" si="107"/>
        <v>2.4968776025398043E-3</v>
      </c>
      <c r="AF6" s="360">
        <f ca="1">IF($AB6&gt;CDS.Tenor,"-",NORMSINV(AE6))</f>
        <v>-2.8074363201932657</v>
      </c>
      <c r="AG6" s="360"/>
      <c r="AH6" s="370">
        <f t="shared" si="108"/>
        <v>0.5</v>
      </c>
      <c r="AI6" s="366">
        <f ca="1">IF($AB6&gt;CDS.Tenor,"-",_xlfn.NORM.S.DIST(($AF6-SQRT(ImpliedCorrelation)*AI$3)/SQRT(1-ImpliedCorrelation),TRUE))</f>
        <v>2.4968776025398065E-3</v>
      </c>
      <c r="AJ6" s="366">
        <f ca="1">IF($AB6&gt;CDS.Tenor,"-",_xlfn.NORM.S.DIST(($AF6-SQRT(ImpliedCorrelation)*AJ$3)/SQRT(1-ImpliedCorrelation),TRUE))</f>
        <v>2.4968776025398065E-3</v>
      </c>
      <c r="AK6" s="366">
        <f ca="1">IF($AB6&gt;CDS.Tenor,"-",_xlfn.NORM.S.DIST(($AF6-SQRT(ImpliedCorrelation)*AK$3)/SQRT(1-ImpliedCorrelation),TRUE))</f>
        <v>2.4968776025398065E-3</v>
      </c>
      <c r="AL6" s="366">
        <f ca="1">IF($AB6&gt;CDS.Tenor,"-",_xlfn.NORM.S.DIST(($AF6-SQRT(ImpliedCorrelation)*AL$3)/SQRT(1-ImpliedCorrelation),TRUE))</f>
        <v>2.4968776025398065E-3</v>
      </c>
      <c r="AM6" s="366">
        <f ca="1">IF($AB6&gt;CDS.Tenor,"-",_xlfn.NORM.S.DIST(($AF6-SQRT(ImpliedCorrelation)*AM$3)/SQRT(1-ImpliedCorrelation),TRUE))</f>
        <v>2.4968776025398065E-3</v>
      </c>
      <c r="AN6" s="366">
        <f ca="1">IF($AB6&gt;CDS.Tenor,"-",_xlfn.NORM.S.DIST(($AF6-SQRT(ImpliedCorrelation)*AN$3)/SQRT(1-ImpliedCorrelation),TRUE))</f>
        <v>2.4968776025398065E-3</v>
      </c>
      <c r="AO6" s="366">
        <f ca="1">IF($AB6&gt;CDS.Tenor,"-",_xlfn.NORM.S.DIST(($AF6-SQRT(ImpliedCorrelation)*AO$3)/SQRT(1-ImpliedCorrelation),TRUE))</f>
        <v>2.4968776025398065E-3</v>
      </c>
      <c r="AP6" s="366">
        <f ca="1">IF($AB6&gt;CDS.Tenor,"-",_xlfn.NORM.S.DIST(($AF6-SQRT(ImpliedCorrelation)*AP$3)/SQRT(1-ImpliedCorrelation),TRUE))</f>
        <v>2.4968776025398065E-3</v>
      </c>
      <c r="AQ6" s="366">
        <f ca="1">IF($AB6&gt;CDS.Tenor,"-",_xlfn.NORM.S.DIST(($AF6-SQRT(ImpliedCorrelation)*AQ$3)/SQRT(1-ImpliedCorrelation),TRUE))</f>
        <v>2.4968776025398065E-3</v>
      </c>
      <c r="AR6" s="366">
        <f ca="1">IF($AB6&gt;CDS.Tenor,"-",_xlfn.NORM.S.DIST(($AF6-SQRT(ImpliedCorrelation)*AR$3)/SQRT(1-ImpliedCorrelation),TRUE))</f>
        <v>2.4968776025398065E-3</v>
      </c>
      <c r="AS6" s="366">
        <f ca="1">IF($AB6&gt;CDS.Tenor,"-",_xlfn.NORM.S.DIST(($AF6-SQRT(ImpliedCorrelation)*AS$3)/SQRT(1-ImpliedCorrelation),TRUE))</f>
        <v>2.4968776025398065E-3</v>
      </c>
      <c r="AT6" s="366">
        <f ca="1">IF($AB6&gt;CDS.Tenor,"-",_xlfn.NORM.S.DIST(($AF6-SQRT(ImpliedCorrelation)*AT$3)/SQRT(1-ImpliedCorrelation),TRUE))</f>
        <v>2.4968776025398065E-3</v>
      </c>
      <c r="AU6" s="366">
        <f ca="1">IF($AB6&gt;CDS.Tenor,"-",_xlfn.NORM.S.DIST(($AF6-SQRT(ImpliedCorrelation)*AU$3)/SQRT(1-ImpliedCorrelation),TRUE))</f>
        <v>2.4968776025398065E-3</v>
      </c>
      <c r="AV6" s="366">
        <f ca="1">IF($AB6&gt;CDS.Tenor,"-",_xlfn.NORM.S.DIST(($AF6-SQRT(ImpliedCorrelation)*AV$3)/SQRT(1-ImpliedCorrelation),TRUE))</f>
        <v>2.4968776025398065E-3</v>
      </c>
      <c r="AW6" s="366">
        <f ca="1">IF($AB6&gt;CDS.Tenor,"-",_xlfn.NORM.S.DIST(($AF6-SQRT(ImpliedCorrelation)*AW$3)/SQRT(1-ImpliedCorrelation),TRUE))</f>
        <v>2.4968776025398065E-3</v>
      </c>
      <c r="AX6" s="366">
        <f ca="1">IF($AB6&gt;CDS.Tenor,"-",_xlfn.NORM.S.DIST(($AF6-SQRT(ImpliedCorrelation)*AX$3)/SQRT(1-ImpliedCorrelation),TRUE))</f>
        <v>2.4968776025398065E-3</v>
      </c>
      <c r="AY6" s="366">
        <f ca="1">IF($AB6&gt;CDS.Tenor,"-",_xlfn.NORM.S.DIST(($AF6-SQRT(ImpliedCorrelation)*AY$3)/SQRT(1-ImpliedCorrelation),TRUE))</f>
        <v>2.4968776025398065E-3</v>
      </c>
      <c r="AZ6" s="366">
        <f ca="1">IF($AB6&gt;CDS.Tenor,"-",_xlfn.NORM.S.DIST(($AF6-SQRT(ImpliedCorrelation)*AZ$3)/SQRT(1-ImpliedCorrelation),TRUE))</f>
        <v>2.4968776025398065E-3</v>
      </c>
      <c r="BA6" s="366">
        <f ca="1">IF($AB6&gt;CDS.Tenor,"-",_xlfn.NORM.S.DIST(($AF6-SQRT(ImpliedCorrelation)*BA$3)/SQRT(1-ImpliedCorrelation),TRUE))</f>
        <v>2.4968776025398065E-3</v>
      </c>
      <c r="BB6" s="366">
        <f ca="1">IF($AB6&gt;CDS.Tenor,"-",_xlfn.NORM.S.DIST(($AF6-SQRT(ImpliedCorrelation)*BB$3)/SQRT(1-ImpliedCorrelation),TRUE))</f>
        <v>2.4968776025398065E-3</v>
      </c>
      <c r="BC6" s="366">
        <f ca="1">IF($AB6&gt;CDS.Tenor,"-",_xlfn.NORM.S.DIST(($AF6-SQRT(ImpliedCorrelation)*BC$3)/SQRT(1-ImpliedCorrelation),TRUE))</f>
        <v>2.4968776025398065E-3</v>
      </c>
      <c r="BD6" s="366"/>
      <c r="BE6" s="370">
        <f t="shared" si="109"/>
        <v>0.5</v>
      </c>
      <c r="BF6" s="366">
        <f ca="1">IF($AB6&gt;CDS.Tenor,"-",1-AI6)</f>
        <v>0.9975031223974602</v>
      </c>
      <c r="BG6" s="366">
        <f ca="1">IF($AB6&gt;CDS.Tenor,"-",1-AJ6)</f>
        <v>0.9975031223974602</v>
      </c>
      <c r="BH6" s="366">
        <f ca="1">IF($AB6&gt;CDS.Tenor,"-",1-AK6)</f>
        <v>0.9975031223974602</v>
      </c>
      <c r="BI6" s="366">
        <f ca="1">IF($AB6&gt;CDS.Tenor,"-",1-AL6)</f>
        <v>0.9975031223974602</v>
      </c>
      <c r="BJ6" s="366">
        <f ca="1">IF($AB6&gt;CDS.Tenor,"-",1-AM6)</f>
        <v>0.9975031223974602</v>
      </c>
      <c r="BK6" s="366">
        <f ca="1">IF($AB6&gt;CDS.Tenor,"-",1-AN6)</f>
        <v>0.9975031223974602</v>
      </c>
      <c r="BL6" s="366">
        <f ca="1">IF($AB6&gt;CDS.Tenor,"-",1-AO6)</f>
        <v>0.9975031223974602</v>
      </c>
      <c r="BM6" s="366">
        <f ca="1">IF($AB6&gt;CDS.Tenor,"-",1-AP6)</f>
        <v>0.9975031223974602</v>
      </c>
      <c r="BN6" s="366">
        <f ca="1">IF($AB6&gt;CDS.Tenor,"-",1-AQ6)</f>
        <v>0.9975031223974602</v>
      </c>
      <c r="BO6" s="366">
        <f ca="1">IF($AB6&gt;CDS.Tenor,"-",1-AR6)</f>
        <v>0.9975031223974602</v>
      </c>
      <c r="BP6" s="366">
        <f ca="1">IF($AB6&gt;CDS.Tenor,"-",1-AS6)</f>
        <v>0.9975031223974602</v>
      </c>
      <c r="BQ6" s="366">
        <f ca="1">IF($AB6&gt;CDS.Tenor,"-",1-AT6)</f>
        <v>0.9975031223974602</v>
      </c>
      <c r="BR6" s="366">
        <f ca="1">IF($AB6&gt;CDS.Tenor,"-",1-AU6)</f>
        <v>0.9975031223974602</v>
      </c>
      <c r="BS6" s="366">
        <f ca="1">IF($AB6&gt;CDS.Tenor,"-",1-AV6)</f>
        <v>0.9975031223974602</v>
      </c>
      <c r="BT6" s="366">
        <f ca="1">IF($AB6&gt;CDS.Tenor,"-",1-AW6)</f>
        <v>0.9975031223974602</v>
      </c>
      <c r="BU6" s="366">
        <f ca="1">IF($AB6&gt;CDS.Tenor,"-",1-AX6)</f>
        <v>0.9975031223974602</v>
      </c>
      <c r="BV6" s="366">
        <f ca="1">IF($AB6&gt;CDS.Tenor,"-",1-AY6)</f>
        <v>0.9975031223974602</v>
      </c>
      <c r="BW6" s="366">
        <f ca="1">IF($AB6&gt;CDS.Tenor,"-",1-AZ6)</f>
        <v>0.9975031223974602</v>
      </c>
      <c r="BX6" s="366">
        <f ca="1">IF($AB6&gt;CDS.Tenor,"-",1-BA6)</f>
        <v>0.9975031223974602</v>
      </c>
      <c r="BY6" s="366">
        <f ca="1">IF($AB6&gt;CDS.Tenor,"-",1-BB6)</f>
        <v>0.9975031223974602</v>
      </c>
      <c r="BZ6" s="366">
        <f ca="1">IF($AB6&gt;CDS.Tenor,"-",1-BC6)</f>
        <v>0.9975031223974602</v>
      </c>
      <c r="CA6" s="17"/>
      <c r="CB6" s="352" cm="1">
        <f t="array" aca="1" ref="CB6" ca="1">IF($AB6&gt;CDS.Tenor,"-",flatInterpolation(AB6,INDIRECT(HazardRateTimes2),INDIRECT(HazardRateValues2)))</f>
        <v>5.8333333333333336E-3</v>
      </c>
      <c r="CC6" s="10">
        <f t="shared" ca="1" si="110"/>
        <v>0.99708758267324893</v>
      </c>
      <c r="CD6" s="10">
        <f t="shared" ca="1" si="111"/>
        <v>2.9124173267510711E-3</v>
      </c>
      <c r="CE6" s="81">
        <f t="shared" ca="1" si="112"/>
        <v>-2.7574824132146483</v>
      </c>
      <c r="CF6" s="360"/>
      <c r="CG6" s="370">
        <f t="shared" si="113"/>
        <v>0.5</v>
      </c>
      <c r="CH6" s="366">
        <f ca="1">IF($AB6&gt;CDS.Tenor,"-",_xlfn.NORM.S.DIST(($CE6-SQRT(ImpliedCorrelation)*CH$3)/SQRT(1-ImpliedCorrelation),TRUE))</f>
        <v>2.9124173267510768E-3</v>
      </c>
      <c r="CI6" s="366">
        <f ca="1">IF($AB6&gt;CDS.Tenor,"-",_xlfn.NORM.S.DIST(($CE6-SQRT(ImpliedCorrelation)*CI$3)/SQRT(1-ImpliedCorrelation),TRUE))</f>
        <v>2.9124173267510768E-3</v>
      </c>
      <c r="CJ6" s="366">
        <f ca="1">IF($AB6&gt;CDS.Tenor,"-",_xlfn.NORM.S.DIST(($CE6-SQRT(ImpliedCorrelation)*CJ$3)/SQRT(1-ImpliedCorrelation),TRUE))</f>
        <v>2.9124173267510768E-3</v>
      </c>
      <c r="CK6" s="366">
        <f ca="1">IF($AB6&gt;CDS.Tenor,"-",_xlfn.NORM.S.DIST(($CE6-SQRT(ImpliedCorrelation)*CK$3)/SQRT(1-ImpliedCorrelation),TRUE))</f>
        <v>2.9124173267510768E-3</v>
      </c>
      <c r="CL6" s="366">
        <f ca="1">IF($AB6&gt;CDS.Tenor,"-",_xlfn.NORM.S.DIST(($CE6-SQRT(ImpliedCorrelation)*CL$3)/SQRT(1-ImpliedCorrelation),TRUE))</f>
        <v>2.9124173267510768E-3</v>
      </c>
      <c r="CM6" s="366">
        <f ca="1">IF($AB6&gt;CDS.Tenor,"-",_xlfn.NORM.S.DIST(($CE6-SQRT(ImpliedCorrelation)*CM$3)/SQRT(1-ImpliedCorrelation),TRUE))</f>
        <v>2.9124173267510768E-3</v>
      </c>
      <c r="CN6" s="366">
        <f ca="1">IF($AB6&gt;CDS.Tenor,"-",_xlfn.NORM.S.DIST(($CE6-SQRT(ImpliedCorrelation)*CN$3)/SQRT(1-ImpliedCorrelation),TRUE))</f>
        <v>2.9124173267510768E-3</v>
      </c>
      <c r="CO6" s="366">
        <f ca="1">IF($AB6&gt;CDS.Tenor,"-",_xlfn.NORM.S.DIST(($CE6-SQRT(ImpliedCorrelation)*CO$3)/SQRT(1-ImpliedCorrelation),TRUE))</f>
        <v>2.9124173267510768E-3</v>
      </c>
      <c r="CP6" s="366">
        <f ca="1">IF($AB6&gt;CDS.Tenor,"-",_xlfn.NORM.S.DIST(($CE6-SQRT(ImpliedCorrelation)*CP$3)/SQRT(1-ImpliedCorrelation),TRUE))</f>
        <v>2.9124173267510768E-3</v>
      </c>
      <c r="CQ6" s="366">
        <f ca="1">IF($AB6&gt;CDS.Tenor,"-",_xlfn.NORM.S.DIST(($CE6-SQRT(ImpliedCorrelation)*CQ$3)/SQRT(1-ImpliedCorrelation),TRUE))</f>
        <v>2.9124173267510768E-3</v>
      </c>
      <c r="CR6" s="366">
        <f ca="1">IF($AB6&gt;CDS.Tenor,"-",_xlfn.NORM.S.DIST(($CE6-SQRT(ImpliedCorrelation)*CR$3)/SQRT(1-ImpliedCorrelation),TRUE))</f>
        <v>2.9124173267510768E-3</v>
      </c>
      <c r="CS6" s="366">
        <f ca="1">IF($AB6&gt;CDS.Tenor,"-",_xlfn.NORM.S.DIST(($CE6-SQRT(ImpliedCorrelation)*CS$3)/SQRT(1-ImpliedCorrelation),TRUE))</f>
        <v>2.9124173267510768E-3</v>
      </c>
      <c r="CT6" s="366">
        <f ca="1">IF($AB6&gt;CDS.Tenor,"-",_xlfn.NORM.S.DIST(($CE6-SQRT(ImpliedCorrelation)*CT$3)/SQRT(1-ImpliedCorrelation),TRUE))</f>
        <v>2.9124173267510768E-3</v>
      </c>
      <c r="CU6" s="366">
        <f ca="1">IF($AB6&gt;CDS.Tenor,"-",_xlfn.NORM.S.DIST(($CE6-SQRT(ImpliedCorrelation)*CU$3)/SQRT(1-ImpliedCorrelation),TRUE))</f>
        <v>2.9124173267510768E-3</v>
      </c>
      <c r="CV6" s="366">
        <f ca="1">IF($AB6&gt;CDS.Tenor,"-",_xlfn.NORM.S.DIST(($CE6-SQRT(ImpliedCorrelation)*CV$3)/SQRT(1-ImpliedCorrelation),TRUE))</f>
        <v>2.9124173267510768E-3</v>
      </c>
      <c r="CW6" s="366">
        <f ca="1">IF($AB6&gt;CDS.Tenor,"-",_xlfn.NORM.S.DIST(($CE6-SQRT(ImpliedCorrelation)*CW$3)/SQRT(1-ImpliedCorrelation),TRUE))</f>
        <v>2.9124173267510768E-3</v>
      </c>
      <c r="CX6" s="366">
        <f ca="1">IF($AB6&gt;CDS.Tenor,"-",_xlfn.NORM.S.DIST(($CE6-SQRT(ImpliedCorrelation)*CX$3)/SQRT(1-ImpliedCorrelation),TRUE))</f>
        <v>2.9124173267510768E-3</v>
      </c>
      <c r="CY6" s="366">
        <f ca="1">IF($AB6&gt;CDS.Tenor,"-",_xlfn.NORM.S.DIST(($CE6-SQRT(ImpliedCorrelation)*CY$3)/SQRT(1-ImpliedCorrelation),TRUE))</f>
        <v>2.9124173267510768E-3</v>
      </c>
      <c r="CZ6" s="366">
        <f ca="1">IF($AB6&gt;CDS.Tenor,"-",_xlfn.NORM.S.DIST(($CE6-SQRT(ImpliedCorrelation)*CZ$3)/SQRT(1-ImpliedCorrelation),TRUE))</f>
        <v>2.9124173267510768E-3</v>
      </c>
      <c r="DA6" s="366">
        <f ca="1">IF($AB6&gt;CDS.Tenor,"-",_xlfn.NORM.S.DIST(($CE6-SQRT(ImpliedCorrelation)*DA$3)/SQRT(1-ImpliedCorrelation),TRUE))</f>
        <v>2.9124173267510768E-3</v>
      </c>
      <c r="DB6" s="366">
        <f ca="1">IF($AB6&gt;CDS.Tenor,"-",_xlfn.NORM.S.DIST(($CE6-SQRT(ImpliedCorrelation)*DB$3)/SQRT(1-ImpliedCorrelation),TRUE))</f>
        <v>2.9124173267510768E-3</v>
      </c>
      <c r="DC6" s="366"/>
      <c r="DD6" s="370">
        <f t="shared" si="114"/>
        <v>0.5</v>
      </c>
      <c r="DE6" s="366">
        <f ca="1">IF($AB6&gt;CDS.Tenor,"-",1-CH6)</f>
        <v>0.99708758267324893</v>
      </c>
      <c r="DF6" s="366">
        <f ca="1">IF($AB6&gt;CDS.Tenor,"-",1-CI6)</f>
        <v>0.99708758267324893</v>
      </c>
      <c r="DG6" s="366">
        <f ca="1">IF($AB6&gt;CDS.Tenor,"-",1-CJ6)</f>
        <v>0.99708758267324893</v>
      </c>
      <c r="DH6" s="366">
        <f ca="1">IF($AB6&gt;CDS.Tenor,"-",1-CK6)</f>
        <v>0.99708758267324893</v>
      </c>
      <c r="DI6" s="366">
        <f ca="1">IF($AB6&gt;CDS.Tenor,"-",1-CL6)</f>
        <v>0.99708758267324893</v>
      </c>
      <c r="DJ6" s="366">
        <f ca="1">IF($AB6&gt;CDS.Tenor,"-",1-CM6)</f>
        <v>0.99708758267324893</v>
      </c>
      <c r="DK6" s="366">
        <f ca="1">IF($AB6&gt;CDS.Tenor,"-",1-CN6)</f>
        <v>0.99708758267324893</v>
      </c>
      <c r="DL6" s="366">
        <f ca="1">IF($AB6&gt;CDS.Tenor,"-",1-CO6)</f>
        <v>0.99708758267324893</v>
      </c>
      <c r="DM6" s="366">
        <f ca="1">IF($AB6&gt;CDS.Tenor,"-",1-CP6)</f>
        <v>0.99708758267324893</v>
      </c>
      <c r="DN6" s="366">
        <f ca="1">IF($AB6&gt;CDS.Tenor,"-",1-CQ6)</f>
        <v>0.99708758267324893</v>
      </c>
      <c r="DO6" s="366">
        <f ca="1">IF($AB6&gt;CDS.Tenor,"-",1-CR6)</f>
        <v>0.99708758267324893</v>
      </c>
      <c r="DP6" s="366">
        <f ca="1">IF($AB6&gt;CDS.Tenor,"-",1-CS6)</f>
        <v>0.99708758267324893</v>
      </c>
      <c r="DQ6" s="366">
        <f ca="1">IF($AB6&gt;CDS.Tenor,"-",1-CT6)</f>
        <v>0.99708758267324893</v>
      </c>
      <c r="DR6" s="366">
        <f ca="1">IF($AB6&gt;CDS.Tenor,"-",1-CU6)</f>
        <v>0.99708758267324893</v>
      </c>
      <c r="DS6" s="366">
        <f ca="1">IF($AB6&gt;CDS.Tenor,"-",1-CV6)</f>
        <v>0.99708758267324893</v>
      </c>
      <c r="DT6" s="366">
        <f ca="1">IF($AB6&gt;CDS.Tenor,"-",1-CW6)</f>
        <v>0.99708758267324893</v>
      </c>
      <c r="DU6" s="366">
        <f ca="1">IF($AB6&gt;CDS.Tenor,"-",1-CX6)</f>
        <v>0.99708758267324893</v>
      </c>
      <c r="DV6" s="366">
        <f ca="1">IF($AB6&gt;CDS.Tenor,"-",1-CY6)</f>
        <v>0.99708758267324893</v>
      </c>
      <c r="DW6" s="366">
        <f ca="1">IF($AB6&gt;CDS.Tenor,"-",1-CZ6)</f>
        <v>0.99708758267324893</v>
      </c>
      <c r="DX6" s="366">
        <f ca="1">IF($AB6&gt;CDS.Tenor,"-",1-DA6)</f>
        <v>0.99708758267324893</v>
      </c>
      <c r="DY6" s="362">
        <f ca="1">IF($AB6&gt;CDS.Tenor,"-",1-DB6)</f>
        <v>0.99708758267324893</v>
      </c>
      <c r="DZ6" s="360"/>
      <c r="EA6" s="352" cm="1">
        <f t="array" aca="1" ref="EA6" ca="1">IF($AB6&gt;CDS.Tenor,"-",flatInterpolation(CC6,INDIRECT(HazardRateTimes3),INDIRECT(HazardRateValues3)))</f>
        <v>7.4999999999999997E-3</v>
      </c>
      <c r="EB6" s="10">
        <f t="shared" ca="1" si="115"/>
        <v>0.99625702246917114</v>
      </c>
      <c r="EC6" s="10">
        <f t="shared" ca="1" si="116"/>
        <v>3.7429775308288615E-3</v>
      </c>
      <c r="ED6" s="81">
        <f t="shared" ca="1" si="117"/>
        <v>-2.674415895292356</v>
      </c>
      <c r="EF6" s="370">
        <f t="shared" si="118"/>
        <v>0.5</v>
      </c>
      <c r="EG6" s="366">
        <f ca="1">IF($AB6&gt;CDS.Tenor,"-",_xlfn.NORM.S.DIST(($ED6-SQRT(ImpliedCorrelation)*EG$3)/SQRT(1-ImpliedCorrelation),TRUE))</f>
        <v>3.7429775308288581E-3</v>
      </c>
      <c r="EH6" s="366">
        <f ca="1">IF($AB6&gt;CDS.Tenor,"-",_xlfn.NORM.S.DIST(($ED6-SQRT(ImpliedCorrelation)*EH$3)/SQRT(1-ImpliedCorrelation),TRUE))</f>
        <v>3.7429775308288581E-3</v>
      </c>
      <c r="EI6" s="366">
        <f ca="1">IF($AB6&gt;CDS.Tenor,"-",_xlfn.NORM.S.DIST(($ED6-SQRT(ImpliedCorrelation)*EI$3)/SQRT(1-ImpliedCorrelation),TRUE))</f>
        <v>3.7429775308288581E-3</v>
      </c>
      <c r="EJ6" s="366">
        <f ca="1">IF($AB6&gt;CDS.Tenor,"-",_xlfn.NORM.S.DIST(($ED6-SQRT(ImpliedCorrelation)*EJ$3)/SQRT(1-ImpliedCorrelation),TRUE))</f>
        <v>3.7429775308288581E-3</v>
      </c>
      <c r="EK6" s="366">
        <f ca="1">IF($AB6&gt;CDS.Tenor,"-",_xlfn.NORM.S.DIST(($ED6-SQRT(ImpliedCorrelation)*EK$3)/SQRT(1-ImpliedCorrelation),TRUE))</f>
        <v>3.7429775308288581E-3</v>
      </c>
      <c r="EL6" s="366">
        <f ca="1">IF($AB6&gt;CDS.Tenor,"-",_xlfn.NORM.S.DIST(($ED6-SQRT(ImpliedCorrelation)*EL$3)/SQRT(1-ImpliedCorrelation),TRUE))</f>
        <v>3.7429775308288581E-3</v>
      </c>
      <c r="EM6" s="366">
        <f ca="1">IF($AB6&gt;CDS.Tenor,"-",_xlfn.NORM.S.DIST(($ED6-SQRT(ImpliedCorrelation)*EM$3)/SQRT(1-ImpliedCorrelation),TRUE))</f>
        <v>3.7429775308288581E-3</v>
      </c>
      <c r="EN6" s="366">
        <f ca="1">IF($AB6&gt;CDS.Tenor,"-",_xlfn.NORM.S.DIST(($ED6-SQRT(ImpliedCorrelation)*EN$3)/SQRT(1-ImpliedCorrelation),TRUE))</f>
        <v>3.7429775308288581E-3</v>
      </c>
      <c r="EO6" s="366">
        <f ca="1">IF($AB6&gt;CDS.Tenor,"-",_xlfn.NORM.S.DIST(($ED6-SQRT(ImpliedCorrelation)*EO$3)/SQRT(1-ImpliedCorrelation),TRUE))</f>
        <v>3.7429775308288581E-3</v>
      </c>
      <c r="EP6" s="366">
        <f ca="1">IF($AB6&gt;CDS.Tenor,"-",_xlfn.NORM.S.DIST(($ED6-SQRT(ImpliedCorrelation)*EP$3)/SQRT(1-ImpliedCorrelation),TRUE))</f>
        <v>3.7429775308288581E-3</v>
      </c>
      <c r="EQ6" s="366">
        <f ca="1">IF($AB6&gt;CDS.Tenor,"-",_xlfn.NORM.S.DIST(($ED6-SQRT(ImpliedCorrelation)*EQ$3)/SQRT(1-ImpliedCorrelation),TRUE))</f>
        <v>3.7429775308288581E-3</v>
      </c>
      <c r="ER6" s="366">
        <f ca="1">IF($AB6&gt;CDS.Tenor,"-",_xlfn.NORM.S.DIST(($ED6-SQRT(ImpliedCorrelation)*ER$3)/SQRT(1-ImpliedCorrelation),TRUE))</f>
        <v>3.7429775308288581E-3</v>
      </c>
      <c r="ES6" s="366">
        <f ca="1">IF($AB6&gt;CDS.Tenor,"-",_xlfn.NORM.S.DIST(($ED6-SQRT(ImpliedCorrelation)*ES$3)/SQRT(1-ImpliedCorrelation),TRUE))</f>
        <v>3.7429775308288581E-3</v>
      </c>
      <c r="ET6" s="366">
        <f ca="1">IF($AB6&gt;CDS.Tenor,"-",_xlfn.NORM.S.DIST(($ED6-SQRT(ImpliedCorrelation)*ET$3)/SQRT(1-ImpliedCorrelation),TRUE))</f>
        <v>3.7429775308288581E-3</v>
      </c>
      <c r="EU6" s="366">
        <f ca="1">IF($AB6&gt;CDS.Tenor,"-",_xlfn.NORM.S.DIST(($ED6-SQRT(ImpliedCorrelation)*EU$3)/SQRT(1-ImpliedCorrelation),TRUE))</f>
        <v>3.7429775308288581E-3</v>
      </c>
      <c r="EV6" s="366">
        <f ca="1">IF($AB6&gt;CDS.Tenor,"-",_xlfn.NORM.S.DIST(($ED6-SQRT(ImpliedCorrelation)*EV$3)/SQRT(1-ImpliedCorrelation),TRUE))</f>
        <v>3.7429775308288581E-3</v>
      </c>
      <c r="EW6" s="366">
        <f ca="1">IF($AB6&gt;CDS.Tenor,"-",_xlfn.NORM.S.DIST(($ED6-SQRT(ImpliedCorrelation)*EW$3)/SQRT(1-ImpliedCorrelation),TRUE))</f>
        <v>3.7429775308288581E-3</v>
      </c>
      <c r="EX6" s="366">
        <f ca="1">IF($AB6&gt;CDS.Tenor,"-",_xlfn.NORM.S.DIST(($ED6-SQRT(ImpliedCorrelation)*EX$3)/SQRT(1-ImpliedCorrelation),TRUE))</f>
        <v>3.7429775308288581E-3</v>
      </c>
      <c r="EY6" s="366">
        <f ca="1">IF($AB6&gt;CDS.Tenor,"-",_xlfn.NORM.S.DIST(($ED6-SQRT(ImpliedCorrelation)*EY$3)/SQRT(1-ImpliedCorrelation),TRUE))</f>
        <v>3.7429775308288581E-3</v>
      </c>
      <c r="EZ6" s="366">
        <f ca="1">IF($AB6&gt;CDS.Tenor,"-",_xlfn.NORM.S.DIST(($ED6-SQRT(ImpliedCorrelation)*EZ$3)/SQRT(1-ImpliedCorrelation),TRUE))</f>
        <v>3.7429775308288581E-3</v>
      </c>
      <c r="FA6" s="366">
        <f ca="1">IF($AB6&gt;CDS.Tenor,"-",_xlfn.NORM.S.DIST(($ED6-SQRT(ImpliedCorrelation)*FA$3)/SQRT(1-ImpliedCorrelation),TRUE))</f>
        <v>3.7429775308288581E-3</v>
      </c>
      <c r="FB6" s="366"/>
      <c r="FC6" s="370">
        <f t="shared" si="119"/>
        <v>0.5</v>
      </c>
      <c r="FD6" s="366">
        <f ca="1">IF($AB6&gt;CDS.Tenor,"-",1-EG6)</f>
        <v>0.99625702246917114</v>
      </c>
      <c r="FE6" s="366">
        <f ca="1">IF($AB6&gt;CDS.Tenor,"-",1-EH6)</f>
        <v>0.99625702246917114</v>
      </c>
      <c r="FF6" s="366">
        <f ca="1">IF($AB6&gt;CDS.Tenor,"-",1-EI6)</f>
        <v>0.99625702246917114</v>
      </c>
      <c r="FG6" s="366">
        <f ca="1">IF($AB6&gt;CDS.Tenor,"-",1-EJ6)</f>
        <v>0.99625702246917114</v>
      </c>
      <c r="FH6" s="366">
        <f ca="1">IF($AB6&gt;CDS.Tenor,"-",1-EK6)</f>
        <v>0.99625702246917114</v>
      </c>
      <c r="FI6" s="366">
        <f ca="1">IF($AB6&gt;CDS.Tenor,"-",1-EL6)</f>
        <v>0.99625702246917114</v>
      </c>
      <c r="FJ6" s="366">
        <f ca="1">IF($AB6&gt;CDS.Tenor,"-",1-EM6)</f>
        <v>0.99625702246917114</v>
      </c>
      <c r="FK6" s="366">
        <f ca="1">IF($AB6&gt;CDS.Tenor,"-",1-EN6)</f>
        <v>0.99625702246917114</v>
      </c>
      <c r="FL6" s="366">
        <f ca="1">IF($AB6&gt;CDS.Tenor,"-",1-EO6)</f>
        <v>0.99625702246917114</v>
      </c>
      <c r="FM6" s="366">
        <f ca="1">IF($AB6&gt;CDS.Tenor,"-",1-EP6)</f>
        <v>0.99625702246917114</v>
      </c>
      <c r="FN6" s="366">
        <f ca="1">IF($AB6&gt;CDS.Tenor,"-",1-EQ6)</f>
        <v>0.99625702246917114</v>
      </c>
      <c r="FO6" s="366">
        <f ca="1">IF($AB6&gt;CDS.Tenor,"-",1-ER6)</f>
        <v>0.99625702246917114</v>
      </c>
      <c r="FP6" s="366">
        <f ca="1">IF($AB6&gt;CDS.Tenor,"-",1-ES6)</f>
        <v>0.99625702246917114</v>
      </c>
      <c r="FQ6" s="366">
        <f ca="1">IF($AB6&gt;CDS.Tenor,"-",1-ET6)</f>
        <v>0.99625702246917114</v>
      </c>
      <c r="FR6" s="366">
        <f ca="1">IF($AB6&gt;CDS.Tenor,"-",1-EU6)</f>
        <v>0.99625702246917114</v>
      </c>
      <c r="FS6" s="366">
        <f ca="1">IF($AB6&gt;CDS.Tenor,"-",1-EV6)</f>
        <v>0.99625702246917114</v>
      </c>
      <c r="FT6" s="366">
        <f ca="1">IF($AB6&gt;CDS.Tenor,"-",1-EW6)</f>
        <v>0.99625702246917114</v>
      </c>
      <c r="FU6" s="366">
        <f ca="1">IF($AB6&gt;CDS.Tenor,"-",1-EX6)</f>
        <v>0.99625702246917114</v>
      </c>
      <c r="FV6" s="366">
        <f ca="1">IF($AB6&gt;CDS.Tenor,"-",1-EY6)</f>
        <v>0.99625702246917114</v>
      </c>
      <c r="FW6" s="366">
        <f ca="1">IF($AB6&gt;CDS.Tenor,"-",1-EZ6)</f>
        <v>0.99625702246917114</v>
      </c>
      <c r="FX6" s="362">
        <f ca="1">IF($AB6&gt;CDS.Tenor,"-",1-FA6)</f>
        <v>0.99625702246917114</v>
      </c>
      <c r="FZ6" s="370">
        <f t="shared" si="120"/>
        <v>0.5</v>
      </c>
      <c r="GA6" s="366">
        <f ca="1">IF($AB6&gt;CDS.Tenor,"-",BF6*DE6*FD6)</f>
        <v>0.99087521914010668</v>
      </c>
      <c r="GB6" s="366">
        <f ca="1">IF($AB6&gt;CDS.Tenor,"-",BG6*DF6*FE6)</f>
        <v>0.99087521914010668</v>
      </c>
      <c r="GC6" s="366">
        <f ca="1">IF($AB6&gt;CDS.Tenor,"-",BH6*DG6*FF6)</f>
        <v>0.99087521914010668</v>
      </c>
      <c r="GD6" s="366">
        <f ca="1">IF($AB6&gt;CDS.Tenor,"-",BI6*DH6*FG6)</f>
        <v>0.99087521914010668</v>
      </c>
      <c r="GE6" s="366">
        <f ca="1">IF($AB6&gt;CDS.Tenor,"-",BJ6*DI6*FH6)</f>
        <v>0.99087521914010668</v>
      </c>
      <c r="GF6" s="366">
        <f ca="1">IF($AB6&gt;CDS.Tenor,"-",BK6*DJ6*FI6)</f>
        <v>0.99087521914010668</v>
      </c>
      <c r="GG6" s="366">
        <f ca="1">IF($AB6&gt;CDS.Tenor,"-",BL6*DK6*FJ6)</f>
        <v>0.99087521914010668</v>
      </c>
      <c r="GH6" s="366">
        <f ca="1">IF($AB6&gt;CDS.Tenor,"-",BM6*DL6*FK6)</f>
        <v>0.99087521914010668</v>
      </c>
      <c r="GI6" s="366">
        <f ca="1">IF($AB6&gt;CDS.Tenor,"-",BN6*DM6*FL6)</f>
        <v>0.99087521914010668</v>
      </c>
      <c r="GJ6" s="366">
        <f ca="1">IF($AB6&gt;CDS.Tenor,"-",BO6*DN6*FM6)</f>
        <v>0.99087521914010668</v>
      </c>
      <c r="GK6" s="366">
        <f ca="1">IF($AB6&gt;CDS.Tenor,"-",BP6*DO6*FN6)</f>
        <v>0.99087521914010668</v>
      </c>
      <c r="GL6" s="366">
        <f ca="1">IF($AB6&gt;CDS.Tenor,"-",BQ6*DP6*FO6)</f>
        <v>0.99087521914010668</v>
      </c>
      <c r="GM6" s="366">
        <f ca="1">IF($AB6&gt;CDS.Tenor,"-",BR6*DQ6*FP6)</f>
        <v>0.99087521914010668</v>
      </c>
      <c r="GN6" s="366">
        <f ca="1">IF($AB6&gt;CDS.Tenor,"-",BS6*DR6*FQ6)</f>
        <v>0.99087521914010668</v>
      </c>
      <c r="GO6" s="366">
        <f ca="1">IF($AB6&gt;CDS.Tenor,"-",BT6*DS6*FR6)</f>
        <v>0.99087521914010668</v>
      </c>
      <c r="GP6" s="366">
        <f ca="1">IF($AB6&gt;CDS.Tenor,"-",BU6*DT6*FS6)</f>
        <v>0.99087521914010668</v>
      </c>
      <c r="GQ6" s="366">
        <f ca="1">IF($AB6&gt;CDS.Tenor,"-",BV6*DU6*FT6)</f>
        <v>0.99087521914010668</v>
      </c>
      <c r="GR6" s="366">
        <f ca="1">IF($AB6&gt;CDS.Tenor,"-",BW6*DV6*FU6)</f>
        <v>0.99087521914010668</v>
      </c>
      <c r="GS6" s="366">
        <f ca="1">IF($AB6&gt;CDS.Tenor,"-",BX6*DW6*FV6)</f>
        <v>0.99087521914010668</v>
      </c>
      <c r="GT6" s="366">
        <f ca="1">IF($AB6&gt;CDS.Tenor,"-",BY6*DX6*FW6)</f>
        <v>0.99087521914010668</v>
      </c>
      <c r="GU6" s="362">
        <f ca="1">IF($AB6&gt;CDS.Tenor,"-",BZ6*DY6*FX6)</f>
        <v>0.99087521914010668</v>
      </c>
      <c r="GV6" s="42"/>
      <c r="GW6" s="370">
        <f t="shared" si="121"/>
        <v>0.5</v>
      </c>
      <c r="GX6" s="378">
        <f ca="1">IF($AB6&gt;CDS.Tenor,"-",SUMPRODUCT($GA6:$GU6,$GA$4:$GU$4)*dm)</f>
        <v>0.9908751061309643</v>
      </c>
      <c r="GY6" s="381">
        <f ca="1">IF($AB6&gt;CDS.Tenor,"-",GX5-GX6)</f>
        <v>4.5519344510336346E-3</v>
      </c>
    </row>
    <row r="7" spans="2:228" x14ac:dyDescent="0.3">
      <c r="B7" s="116" t="s">
        <v>339</v>
      </c>
      <c r="D7" s="50" t="s">
        <v>335</v>
      </c>
      <c r="F7" s="116" t="s">
        <v>124</v>
      </c>
      <c r="G7" s="165"/>
      <c r="H7" s="160">
        <f ca="1">SUM($Q$4:$Q$44)</f>
        <v>-428658.30507925246</v>
      </c>
      <c r="I7" s="347"/>
      <c r="J7" s="156">
        <f t="shared" si="103"/>
        <v>0.75</v>
      </c>
      <c r="K7" s="28">
        <f>IF($J7&gt;CDS.Tenor,"-",CDS.PremiumSign*CDS.Notional*CDS.YearFraction*CDS.CreditSpread)</f>
        <v>-25000</v>
      </c>
      <c r="L7" s="10">
        <f ca="1">GX7</f>
        <v>0.98634398697467518</v>
      </c>
      <c r="M7" s="10">
        <f ca="1">IF($J7&gt;CDS.Tenor,"-",L6-L7)</f>
        <v>4.5311191562891207E-3</v>
      </c>
      <c r="N7" s="94" cm="1">
        <f t="array" ref="N7">IF($J7&gt;CDS.Tenor,"-",cubicInterpolation(CurveResults.Times,CurveResults.DFs,$J7))</f>
        <v>0.96604126005158042</v>
      </c>
      <c r="O7" s="28">
        <f ca="1">IF($J7&gt;CDS.Tenor,"-",K7*L7*N7)</f>
        <v>-23821.224700532872</v>
      </c>
      <c r="P7" s="28">
        <f ca="1">IF($J7&gt;CDS.Tenor,"-",0.5*K7*M7*N7)</f>
        <v>-54.715600739817454</v>
      </c>
      <c r="Q7" s="142">
        <f ca="1">IF($J7&gt;CDS.Tenor,"-",O7+P7)</f>
        <v>-23875.940301272691</v>
      </c>
      <c r="T7" s="156">
        <f t="shared" si="104"/>
        <v>0.75</v>
      </c>
      <c r="U7" s="28">
        <f>IF($J7&gt;CDS.Tenor,"-",CDS.ProtectionSign*CDS.Notional*(1-CDS.RecoveryRate))</f>
        <v>6000000</v>
      </c>
      <c r="V7" s="10">
        <f ca="1">IF($J7&gt;CDS.Tenor,"-",GX7)</f>
        <v>0.98634398697467518</v>
      </c>
      <c r="W7" s="10">
        <f ca="1">IF($J7&gt;CDS.Tenor,"-",V6-V7)</f>
        <v>4.5311191562891207E-3</v>
      </c>
      <c r="X7" s="94" cm="1">
        <f t="array" ref="X7">IF($T7&gt;CDS.Tenor,"-",cubicInterpolation(CurveResults.Times,CurveResults.DFs,$J7))</f>
        <v>0.96604126005158042</v>
      </c>
      <c r="Y7" s="142">
        <f ca="1">IF($J7&gt;CDS.Tenor,"-",U7*W7*X7)</f>
        <v>26263.488355112375</v>
      </c>
      <c r="AB7" s="156">
        <f t="shared" si="105"/>
        <v>0.75</v>
      </c>
      <c r="AC7" s="352" cm="1">
        <f t="array" aca="1" ref="AC7" ca="1">IF($AB7&gt;CDS.Tenor,"-",flatInterpolation(AA7,INDIRECT(HazardRateTimes1),INDIRECT(HazardRateValues1)))</f>
        <v>5.0000000000000001E-3</v>
      </c>
      <c r="AD7" s="10">
        <f t="shared" ca="1" si="106"/>
        <v>0.99625702246917114</v>
      </c>
      <c r="AE7" s="10">
        <f t="shared" ca="1" si="107"/>
        <v>3.7429775308288615E-3</v>
      </c>
      <c r="AF7" s="360">
        <f ca="1">IF($AB7&gt;CDS.Tenor,"-",NORMSINV(AE7))</f>
        <v>-2.674415895292356</v>
      </c>
      <c r="AG7" s="360"/>
      <c r="AH7" s="370">
        <f t="shared" si="108"/>
        <v>0.75</v>
      </c>
      <c r="AI7" s="366">
        <f ca="1">IF($AB7&gt;CDS.Tenor,"-",_xlfn.NORM.S.DIST(($AF7-SQRT(ImpliedCorrelation)*AI$3)/SQRT(1-ImpliedCorrelation),TRUE))</f>
        <v>3.7429775308288581E-3</v>
      </c>
      <c r="AJ7" s="366">
        <f ca="1">IF($AB7&gt;CDS.Tenor,"-",_xlfn.NORM.S.DIST(($AF7-SQRT(ImpliedCorrelation)*AJ$3)/SQRT(1-ImpliedCorrelation),TRUE))</f>
        <v>3.7429775308288581E-3</v>
      </c>
      <c r="AK7" s="366">
        <f ca="1">IF($AB7&gt;CDS.Tenor,"-",_xlfn.NORM.S.DIST(($AF7-SQRT(ImpliedCorrelation)*AK$3)/SQRT(1-ImpliedCorrelation),TRUE))</f>
        <v>3.7429775308288581E-3</v>
      </c>
      <c r="AL7" s="366">
        <f ca="1">IF($AB7&gt;CDS.Tenor,"-",_xlfn.NORM.S.DIST(($AF7-SQRT(ImpliedCorrelation)*AL$3)/SQRT(1-ImpliedCorrelation),TRUE))</f>
        <v>3.7429775308288581E-3</v>
      </c>
      <c r="AM7" s="366">
        <f ca="1">IF($AB7&gt;CDS.Tenor,"-",_xlfn.NORM.S.DIST(($AF7-SQRT(ImpliedCorrelation)*AM$3)/SQRT(1-ImpliedCorrelation),TRUE))</f>
        <v>3.7429775308288581E-3</v>
      </c>
      <c r="AN7" s="366">
        <f ca="1">IF($AB7&gt;CDS.Tenor,"-",_xlfn.NORM.S.DIST(($AF7-SQRT(ImpliedCorrelation)*AN$3)/SQRT(1-ImpliedCorrelation),TRUE))</f>
        <v>3.7429775308288581E-3</v>
      </c>
      <c r="AO7" s="366">
        <f ca="1">IF($AB7&gt;CDS.Tenor,"-",_xlfn.NORM.S.DIST(($AF7-SQRT(ImpliedCorrelation)*AO$3)/SQRT(1-ImpliedCorrelation),TRUE))</f>
        <v>3.7429775308288581E-3</v>
      </c>
      <c r="AP7" s="366">
        <f ca="1">IF($AB7&gt;CDS.Tenor,"-",_xlfn.NORM.S.DIST(($AF7-SQRT(ImpliedCorrelation)*AP$3)/SQRT(1-ImpliedCorrelation),TRUE))</f>
        <v>3.7429775308288581E-3</v>
      </c>
      <c r="AQ7" s="366">
        <f ca="1">IF($AB7&gt;CDS.Tenor,"-",_xlfn.NORM.S.DIST(($AF7-SQRT(ImpliedCorrelation)*AQ$3)/SQRT(1-ImpliedCorrelation),TRUE))</f>
        <v>3.7429775308288581E-3</v>
      </c>
      <c r="AR7" s="366">
        <f ca="1">IF($AB7&gt;CDS.Tenor,"-",_xlfn.NORM.S.DIST(($AF7-SQRT(ImpliedCorrelation)*AR$3)/SQRT(1-ImpliedCorrelation),TRUE))</f>
        <v>3.7429775308288581E-3</v>
      </c>
      <c r="AS7" s="366">
        <f ca="1">IF($AB7&gt;CDS.Tenor,"-",_xlfn.NORM.S.DIST(($AF7-SQRT(ImpliedCorrelation)*AS$3)/SQRT(1-ImpliedCorrelation),TRUE))</f>
        <v>3.7429775308288581E-3</v>
      </c>
      <c r="AT7" s="366">
        <f ca="1">IF($AB7&gt;CDS.Tenor,"-",_xlfn.NORM.S.DIST(($AF7-SQRT(ImpliedCorrelation)*AT$3)/SQRT(1-ImpliedCorrelation),TRUE))</f>
        <v>3.7429775308288581E-3</v>
      </c>
      <c r="AU7" s="366">
        <f ca="1">IF($AB7&gt;CDS.Tenor,"-",_xlfn.NORM.S.DIST(($AF7-SQRT(ImpliedCorrelation)*AU$3)/SQRT(1-ImpliedCorrelation),TRUE))</f>
        <v>3.7429775308288581E-3</v>
      </c>
      <c r="AV7" s="366">
        <f ca="1">IF($AB7&gt;CDS.Tenor,"-",_xlfn.NORM.S.DIST(($AF7-SQRT(ImpliedCorrelation)*AV$3)/SQRT(1-ImpliedCorrelation),TRUE))</f>
        <v>3.7429775308288581E-3</v>
      </c>
      <c r="AW7" s="366">
        <f ca="1">IF($AB7&gt;CDS.Tenor,"-",_xlfn.NORM.S.DIST(($AF7-SQRT(ImpliedCorrelation)*AW$3)/SQRT(1-ImpliedCorrelation),TRUE))</f>
        <v>3.7429775308288581E-3</v>
      </c>
      <c r="AX7" s="366">
        <f ca="1">IF($AB7&gt;CDS.Tenor,"-",_xlfn.NORM.S.DIST(($AF7-SQRT(ImpliedCorrelation)*AX$3)/SQRT(1-ImpliedCorrelation),TRUE))</f>
        <v>3.7429775308288581E-3</v>
      </c>
      <c r="AY7" s="366">
        <f ca="1">IF($AB7&gt;CDS.Tenor,"-",_xlfn.NORM.S.DIST(($AF7-SQRT(ImpliedCorrelation)*AY$3)/SQRT(1-ImpliedCorrelation),TRUE))</f>
        <v>3.7429775308288581E-3</v>
      </c>
      <c r="AZ7" s="366">
        <f ca="1">IF($AB7&gt;CDS.Tenor,"-",_xlfn.NORM.S.DIST(($AF7-SQRT(ImpliedCorrelation)*AZ$3)/SQRT(1-ImpliedCorrelation),TRUE))</f>
        <v>3.7429775308288581E-3</v>
      </c>
      <c r="BA7" s="366">
        <f ca="1">IF($AB7&gt;CDS.Tenor,"-",_xlfn.NORM.S.DIST(($AF7-SQRT(ImpliedCorrelation)*BA$3)/SQRT(1-ImpliedCorrelation),TRUE))</f>
        <v>3.7429775308288581E-3</v>
      </c>
      <c r="BB7" s="366">
        <f ca="1">IF($AB7&gt;CDS.Tenor,"-",_xlfn.NORM.S.DIST(($AF7-SQRT(ImpliedCorrelation)*BB$3)/SQRT(1-ImpliedCorrelation),TRUE))</f>
        <v>3.7429775308288581E-3</v>
      </c>
      <c r="BC7" s="366">
        <f ca="1">IF($AB7&gt;CDS.Tenor,"-",_xlfn.NORM.S.DIST(($AF7-SQRT(ImpliedCorrelation)*BC$3)/SQRT(1-ImpliedCorrelation),TRUE))</f>
        <v>3.7429775308288581E-3</v>
      </c>
      <c r="BD7" s="366"/>
      <c r="BE7" s="370">
        <f t="shared" si="109"/>
        <v>0.75</v>
      </c>
      <c r="BF7" s="366">
        <f ca="1">IF($AB7&gt;CDS.Tenor,"-",1-AI7)</f>
        <v>0.99625702246917114</v>
      </c>
      <c r="BG7" s="366">
        <f ca="1">IF($AB7&gt;CDS.Tenor,"-",1-AJ7)</f>
        <v>0.99625702246917114</v>
      </c>
      <c r="BH7" s="366">
        <f ca="1">IF($AB7&gt;CDS.Tenor,"-",1-AK7)</f>
        <v>0.99625702246917114</v>
      </c>
      <c r="BI7" s="366">
        <f ca="1">IF($AB7&gt;CDS.Tenor,"-",1-AL7)</f>
        <v>0.99625702246917114</v>
      </c>
      <c r="BJ7" s="366">
        <f ca="1">IF($AB7&gt;CDS.Tenor,"-",1-AM7)</f>
        <v>0.99625702246917114</v>
      </c>
      <c r="BK7" s="366">
        <f ca="1">IF($AB7&gt;CDS.Tenor,"-",1-AN7)</f>
        <v>0.99625702246917114</v>
      </c>
      <c r="BL7" s="366">
        <f ca="1">IF($AB7&gt;CDS.Tenor,"-",1-AO7)</f>
        <v>0.99625702246917114</v>
      </c>
      <c r="BM7" s="366">
        <f ca="1">IF($AB7&gt;CDS.Tenor,"-",1-AP7)</f>
        <v>0.99625702246917114</v>
      </c>
      <c r="BN7" s="366">
        <f ca="1">IF($AB7&gt;CDS.Tenor,"-",1-AQ7)</f>
        <v>0.99625702246917114</v>
      </c>
      <c r="BO7" s="366">
        <f ca="1">IF($AB7&gt;CDS.Tenor,"-",1-AR7)</f>
        <v>0.99625702246917114</v>
      </c>
      <c r="BP7" s="366">
        <f ca="1">IF($AB7&gt;CDS.Tenor,"-",1-AS7)</f>
        <v>0.99625702246917114</v>
      </c>
      <c r="BQ7" s="366">
        <f ca="1">IF($AB7&gt;CDS.Tenor,"-",1-AT7)</f>
        <v>0.99625702246917114</v>
      </c>
      <c r="BR7" s="366">
        <f ca="1">IF($AB7&gt;CDS.Tenor,"-",1-AU7)</f>
        <v>0.99625702246917114</v>
      </c>
      <c r="BS7" s="366">
        <f ca="1">IF($AB7&gt;CDS.Tenor,"-",1-AV7)</f>
        <v>0.99625702246917114</v>
      </c>
      <c r="BT7" s="366">
        <f ca="1">IF($AB7&gt;CDS.Tenor,"-",1-AW7)</f>
        <v>0.99625702246917114</v>
      </c>
      <c r="BU7" s="366">
        <f ca="1">IF($AB7&gt;CDS.Tenor,"-",1-AX7)</f>
        <v>0.99625702246917114</v>
      </c>
      <c r="BV7" s="366">
        <f ca="1">IF($AB7&gt;CDS.Tenor,"-",1-AY7)</f>
        <v>0.99625702246917114</v>
      </c>
      <c r="BW7" s="366">
        <f ca="1">IF($AB7&gt;CDS.Tenor,"-",1-AZ7)</f>
        <v>0.99625702246917114</v>
      </c>
      <c r="BX7" s="366">
        <f ca="1">IF($AB7&gt;CDS.Tenor,"-",1-BA7)</f>
        <v>0.99625702246917114</v>
      </c>
      <c r="BY7" s="366">
        <f ca="1">IF($AB7&gt;CDS.Tenor,"-",1-BB7)</f>
        <v>0.99625702246917114</v>
      </c>
      <c r="BZ7" s="366">
        <f ca="1">IF($AB7&gt;CDS.Tenor,"-",1-BC7)</f>
        <v>0.99625702246917114</v>
      </c>
      <c r="CA7" s="17"/>
      <c r="CB7" s="352" cm="1">
        <f t="array" aca="1" ref="CB7" ca="1">IF($AB7&gt;CDS.Tenor,"-",flatInterpolation(AB7,INDIRECT(HazardRateTimes2),INDIRECT(HazardRateValues2)))</f>
        <v>5.8333333333333336E-3</v>
      </c>
      <c r="CC7" s="10">
        <f t="shared" ca="1" si="110"/>
        <v>0.99563455637104614</v>
      </c>
      <c r="CD7" s="10">
        <f t="shared" ca="1" si="111"/>
        <v>4.3654436289538578E-3</v>
      </c>
      <c r="CE7" s="81">
        <f t="shared" ca="1" si="112"/>
        <v>-2.6224156678707979</v>
      </c>
      <c r="CF7" s="360"/>
      <c r="CG7" s="370">
        <f t="shared" si="113"/>
        <v>0.75</v>
      </c>
      <c r="CH7" s="366">
        <f ca="1">IF($AB7&gt;CDS.Tenor,"-",_xlfn.NORM.S.DIST(($CE7-SQRT(ImpliedCorrelation)*CH$3)/SQRT(1-ImpliedCorrelation),TRUE))</f>
        <v>4.3654436289538631E-3</v>
      </c>
      <c r="CI7" s="366">
        <f ca="1">IF($AB7&gt;CDS.Tenor,"-",_xlfn.NORM.S.DIST(($CE7-SQRT(ImpliedCorrelation)*CI$3)/SQRT(1-ImpliedCorrelation),TRUE))</f>
        <v>4.3654436289538631E-3</v>
      </c>
      <c r="CJ7" s="366">
        <f ca="1">IF($AB7&gt;CDS.Tenor,"-",_xlfn.NORM.S.DIST(($CE7-SQRT(ImpliedCorrelation)*CJ$3)/SQRT(1-ImpliedCorrelation),TRUE))</f>
        <v>4.3654436289538631E-3</v>
      </c>
      <c r="CK7" s="366">
        <f ca="1">IF($AB7&gt;CDS.Tenor,"-",_xlfn.NORM.S.DIST(($CE7-SQRT(ImpliedCorrelation)*CK$3)/SQRT(1-ImpliedCorrelation),TRUE))</f>
        <v>4.3654436289538631E-3</v>
      </c>
      <c r="CL7" s="366">
        <f ca="1">IF($AB7&gt;CDS.Tenor,"-",_xlfn.NORM.S.DIST(($CE7-SQRT(ImpliedCorrelation)*CL$3)/SQRT(1-ImpliedCorrelation),TRUE))</f>
        <v>4.3654436289538631E-3</v>
      </c>
      <c r="CM7" s="366">
        <f ca="1">IF($AB7&gt;CDS.Tenor,"-",_xlfn.NORM.S.DIST(($CE7-SQRT(ImpliedCorrelation)*CM$3)/SQRT(1-ImpliedCorrelation),TRUE))</f>
        <v>4.3654436289538631E-3</v>
      </c>
      <c r="CN7" s="366">
        <f ca="1">IF($AB7&gt;CDS.Tenor,"-",_xlfn.NORM.S.DIST(($CE7-SQRT(ImpliedCorrelation)*CN$3)/SQRT(1-ImpliedCorrelation),TRUE))</f>
        <v>4.3654436289538631E-3</v>
      </c>
      <c r="CO7" s="366">
        <f ca="1">IF($AB7&gt;CDS.Tenor,"-",_xlfn.NORM.S.DIST(($CE7-SQRT(ImpliedCorrelation)*CO$3)/SQRT(1-ImpliedCorrelation),TRUE))</f>
        <v>4.3654436289538631E-3</v>
      </c>
      <c r="CP7" s="366">
        <f ca="1">IF($AB7&gt;CDS.Tenor,"-",_xlfn.NORM.S.DIST(($CE7-SQRT(ImpliedCorrelation)*CP$3)/SQRT(1-ImpliedCorrelation),TRUE))</f>
        <v>4.3654436289538631E-3</v>
      </c>
      <c r="CQ7" s="366">
        <f ca="1">IF($AB7&gt;CDS.Tenor,"-",_xlfn.NORM.S.DIST(($CE7-SQRT(ImpliedCorrelation)*CQ$3)/SQRT(1-ImpliedCorrelation),TRUE))</f>
        <v>4.3654436289538631E-3</v>
      </c>
      <c r="CR7" s="366">
        <f ca="1">IF($AB7&gt;CDS.Tenor,"-",_xlfn.NORM.S.DIST(($CE7-SQRT(ImpliedCorrelation)*CR$3)/SQRT(1-ImpliedCorrelation),TRUE))</f>
        <v>4.3654436289538631E-3</v>
      </c>
      <c r="CS7" s="366">
        <f ca="1">IF($AB7&gt;CDS.Tenor,"-",_xlfn.NORM.S.DIST(($CE7-SQRT(ImpliedCorrelation)*CS$3)/SQRT(1-ImpliedCorrelation),TRUE))</f>
        <v>4.3654436289538631E-3</v>
      </c>
      <c r="CT7" s="366">
        <f ca="1">IF($AB7&gt;CDS.Tenor,"-",_xlfn.NORM.S.DIST(($CE7-SQRT(ImpliedCorrelation)*CT$3)/SQRT(1-ImpliedCorrelation),TRUE))</f>
        <v>4.3654436289538631E-3</v>
      </c>
      <c r="CU7" s="366">
        <f ca="1">IF($AB7&gt;CDS.Tenor,"-",_xlfn.NORM.S.DIST(($CE7-SQRT(ImpliedCorrelation)*CU$3)/SQRT(1-ImpliedCorrelation),TRUE))</f>
        <v>4.3654436289538631E-3</v>
      </c>
      <c r="CV7" s="366">
        <f ca="1">IF($AB7&gt;CDS.Tenor,"-",_xlfn.NORM.S.DIST(($CE7-SQRT(ImpliedCorrelation)*CV$3)/SQRT(1-ImpliedCorrelation),TRUE))</f>
        <v>4.3654436289538631E-3</v>
      </c>
      <c r="CW7" s="366">
        <f ca="1">IF($AB7&gt;CDS.Tenor,"-",_xlfn.NORM.S.DIST(($CE7-SQRT(ImpliedCorrelation)*CW$3)/SQRT(1-ImpliedCorrelation),TRUE))</f>
        <v>4.3654436289538631E-3</v>
      </c>
      <c r="CX7" s="366">
        <f ca="1">IF($AB7&gt;CDS.Tenor,"-",_xlfn.NORM.S.DIST(($CE7-SQRT(ImpliedCorrelation)*CX$3)/SQRT(1-ImpliedCorrelation),TRUE))</f>
        <v>4.3654436289538631E-3</v>
      </c>
      <c r="CY7" s="366">
        <f ca="1">IF($AB7&gt;CDS.Tenor,"-",_xlfn.NORM.S.DIST(($CE7-SQRT(ImpliedCorrelation)*CY$3)/SQRT(1-ImpliedCorrelation),TRUE))</f>
        <v>4.3654436289538631E-3</v>
      </c>
      <c r="CZ7" s="366">
        <f ca="1">IF($AB7&gt;CDS.Tenor,"-",_xlfn.NORM.S.DIST(($CE7-SQRT(ImpliedCorrelation)*CZ$3)/SQRT(1-ImpliedCorrelation),TRUE))</f>
        <v>4.3654436289538631E-3</v>
      </c>
      <c r="DA7" s="366">
        <f ca="1">IF($AB7&gt;CDS.Tenor,"-",_xlfn.NORM.S.DIST(($CE7-SQRT(ImpliedCorrelation)*DA$3)/SQRT(1-ImpliedCorrelation),TRUE))</f>
        <v>4.3654436289538631E-3</v>
      </c>
      <c r="DB7" s="366">
        <f ca="1">IF($AB7&gt;CDS.Tenor,"-",_xlfn.NORM.S.DIST(($CE7-SQRT(ImpliedCorrelation)*DB$3)/SQRT(1-ImpliedCorrelation),TRUE))</f>
        <v>4.3654436289538631E-3</v>
      </c>
      <c r="DC7" s="366"/>
      <c r="DD7" s="370">
        <f t="shared" si="114"/>
        <v>0.75</v>
      </c>
      <c r="DE7" s="366">
        <f ca="1">IF($AB7&gt;CDS.Tenor,"-",1-CH7)</f>
        <v>0.99563455637104614</v>
      </c>
      <c r="DF7" s="366">
        <f ca="1">IF($AB7&gt;CDS.Tenor,"-",1-CI7)</f>
        <v>0.99563455637104614</v>
      </c>
      <c r="DG7" s="366">
        <f ca="1">IF($AB7&gt;CDS.Tenor,"-",1-CJ7)</f>
        <v>0.99563455637104614</v>
      </c>
      <c r="DH7" s="366">
        <f ca="1">IF($AB7&gt;CDS.Tenor,"-",1-CK7)</f>
        <v>0.99563455637104614</v>
      </c>
      <c r="DI7" s="366">
        <f ca="1">IF($AB7&gt;CDS.Tenor,"-",1-CL7)</f>
        <v>0.99563455637104614</v>
      </c>
      <c r="DJ7" s="366">
        <f ca="1">IF($AB7&gt;CDS.Tenor,"-",1-CM7)</f>
        <v>0.99563455637104614</v>
      </c>
      <c r="DK7" s="366">
        <f ca="1">IF($AB7&gt;CDS.Tenor,"-",1-CN7)</f>
        <v>0.99563455637104614</v>
      </c>
      <c r="DL7" s="366">
        <f ca="1">IF($AB7&gt;CDS.Tenor,"-",1-CO7)</f>
        <v>0.99563455637104614</v>
      </c>
      <c r="DM7" s="366">
        <f ca="1">IF($AB7&gt;CDS.Tenor,"-",1-CP7)</f>
        <v>0.99563455637104614</v>
      </c>
      <c r="DN7" s="366">
        <f ca="1">IF($AB7&gt;CDS.Tenor,"-",1-CQ7)</f>
        <v>0.99563455637104614</v>
      </c>
      <c r="DO7" s="366">
        <f ca="1">IF($AB7&gt;CDS.Tenor,"-",1-CR7)</f>
        <v>0.99563455637104614</v>
      </c>
      <c r="DP7" s="366">
        <f ca="1">IF($AB7&gt;CDS.Tenor,"-",1-CS7)</f>
        <v>0.99563455637104614</v>
      </c>
      <c r="DQ7" s="366">
        <f ca="1">IF($AB7&gt;CDS.Tenor,"-",1-CT7)</f>
        <v>0.99563455637104614</v>
      </c>
      <c r="DR7" s="366">
        <f ca="1">IF($AB7&gt;CDS.Tenor,"-",1-CU7)</f>
        <v>0.99563455637104614</v>
      </c>
      <c r="DS7" s="366">
        <f ca="1">IF($AB7&gt;CDS.Tenor,"-",1-CV7)</f>
        <v>0.99563455637104614</v>
      </c>
      <c r="DT7" s="366">
        <f ca="1">IF($AB7&gt;CDS.Tenor,"-",1-CW7)</f>
        <v>0.99563455637104614</v>
      </c>
      <c r="DU7" s="366">
        <f ca="1">IF($AB7&gt;CDS.Tenor,"-",1-CX7)</f>
        <v>0.99563455637104614</v>
      </c>
      <c r="DV7" s="366">
        <f ca="1">IF($AB7&gt;CDS.Tenor,"-",1-CY7)</f>
        <v>0.99563455637104614</v>
      </c>
      <c r="DW7" s="366">
        <f ca="1">IF($AB7&gt;CDS.Tenor,"-",1-CZ7)</f>
        <v>0.99563455637104614</v>
      </c>
      <c r="DX7" s="366">
        <f ca="1">IF($AB7&gt;CDS.Tenor,"-",1-DA7)</f>
        <v>0.99563455637104614</v>
      </c>
      <c r="DY7" s="362">
        <f ca="1">IF($AB7&gt;CDS.Tenor,"-",1-DB7)</f>
        <v>0.99563455637104614</v>
      </c>
      <c r="DZ7" s="360"/>
      <c r="EA7" s="352" cm="1">
        <f t="array" aca="1" ref="EA7" ca="1">IF($AB7&gt;CDS.Tenor,"-",flatInterpolation(CC7,INDIRECT(HazardRateTimes3),INDIRECT(HazardRateValues3)))</f>
        <v>7.4999999999999997E-3</v>
      </c>
      <c r="EB7" s="10">
        <f t="shared" ca="1" si="115"/>
        <v>0.99439079069108094</v>
      </c>
      <c r="EC7" s="10">
        <f t="shared" ca="1" si="116"/>
        <v>5.6092093089190609E-3</v>
      </c>
      <c r="ED7" s="81">
        <f t="shared" ca="1" si="117"/>
        <v>-2.5358206071736928</v>
      </c>
      <c r="EF7" s="370">
        <f t="shared" si="118"/>
        <v>0.75</v>
      </c>
      <c r="EG7" s="366">
        <f ca="1">IF($AB7&gt;CDS.Tenor,"-",_xlfn.NORM.S.DIST(($ED7-SQRT(ImpliedCorrelation)*EG$3)/SQRT(1-ImpliedCorrelation),TRUE))</f>
        <v>5.60920930891906E-3</v>
      </c>
      <c r="EH7" s="366">
        <f ca="1">IF($AB7&gt;CDS.Tenor,"-",_xlfn.NORM.S.DIST(($ED7-SQRT(ImpliedCorrelation)*EH$3)/SQRT(1-ImpliedCorrelation),TRUE))</f>
        <v>5.60920930891906E-3</v>
      </c>
      <c r="EI7" s="366">
        <f ca="1">IF($AB7&gt;CDS.Tenor,"-",_xlfn.NORM.S.DIST(($ED7-SQRT(ImpliedCorrelation)*EI$3)/SQRT(1-ImpliedCorrelation),TRUE))</f>
        <v>5.60920930891906E-3</v>
      </c>
      <c r="EJ7" s="366">
        <f ca="1">IF($AB7&gt;CDS.Tenor,"-",_xlfn.NORM.S.DIST(($ED7-SQRT(ImpliedCorrelation)*EJ$3)/SQRT(1-ImpliedCorrelation),TRUE))</f>
        <v>5.60920930891906E-3</v>
      </c>
      <c r="EK7" s="366">
        <f ca="1">IF($AB7&gt;CDS.Tenor,"-",_xlfn.NORM.S.DIST(($ED7-SQRT(ImpliedCorrelation)*EK$3)/SQRT(1-ImpliedCorrelation),TRUE))</f>
        <v>5.60920930891906E-3</v>
      </c>
      <c r="EL7" s="366">
        <f ca="1">IF($AB7&gt;CDS.Tenor,"-",_xlfn.NORM.S.DIST(($ED7-SQRT(ImpliedCorrelation)*EL$3)/SQRT(1-ImpliedCorrelation),TRUE))</f>
        <v>5.60920930891906E-3</v>
      </c>
      <c r="EM7" s="366">
        <f ca="1">IF($AB7&gt;CDS.Tenor,"-",_xlfn.NORM.S.DIST(($ED7-SQRT(ImpliedCorrelation)*EM$3)/SQRT(1-ImpliedCorrelation),TRUE))</f>
        <v>5.60920930891906E-3</v>
      </c>
      <c r="EN7" s="366">
        <f ca="1">IF($AB7&gt;CDS.Tenor,"-",_xlfn.NORM.S.DIST(($ED7-SQRT(ImpliedCorrelation)*EN$3)/SQRT(1-ImpliedCorrelation),TRUE))</f>
        <v>5.60920930891906E-3</v>
      </c>
      <c r="EO7" s="366">
        <f ca="1">IF($AB7&gt;CDS.Tenor,"-",_xlfn.NORM.S.DIST(($ED7-SQRT(ImpliedCorrelation)*EO$3)/SQRT(1-ImpliedCorrelation),TRUE))</f>
        <v>5.60920930891906E-3</v>
      </c>
      <c r="EP7" s="366">
        <f ca="1">IF($AB7&gt;CDS.Tenor,"-",_xlfn.NORM.S.DIST(($ED7-SQRT(ImpliedCorrelation)*EP$3)/SQRT(1-ImpliedCorrelation),TRUE))</f>
        <v>5.60920930891906E-3</v>
      </c>
      <c r="EQ7" s="366">
        <f ca="1">IF($AB7&gt;CDS.Tenor,"-",_xlfn.NORM.S.DIST(($ED7-SQRT(ImpliedCorrelation)*EQ$3)/SQRT(1-ImpliedCorrelation),TRUE))</f>
        <v>5.60920930891906E-3</v>
      </c>
      <c r="ER7" s="366">
        <f ca="1">IF($AB7&gt;CDS.Tenor,"-",_xlfn.NORM.S.DIST(($ED7-SQRT(ImpliedCorrelation)*ER$3)/SQRT(1-ImpliedCorrelation),TRUE))</f>
        <v>5.60920930891906E-3</v>
      </c>
      <c r="ES7" s="366">
        <f ca="1">IF($AB7&gt;CDS.Tenor,"-",_xlfn.NORM.S.DIST(($ED7-SQRT(ImpliedCorrelation)*ES$3)/SQRT(1-ImpliedCorrelation),TRUE))</f>
        <v>5.60920930891906E-3</v>
      </c>
      <c r="ET7" s="366">
        <f ca="1">IF($AB7&gt;CDS.Tenor,"-",_xlfn.NORM.S.DIST(($ED7-SQRT(ImpliedCorrelation)*ET$3)/SQRT(1-ImpliedCorrelation),TRUE))</f>
        <v>5.60920930891906E-3</v>
      </c>
      <c r="EU7" s="366">
        <f ca="1">IF($AB7&gt;CDS.Tenor,"-",_xlfn.NORM.S.DIST(($ED7-SQRT(ImpliedCorrelation)*EU$3)/SQRT(1-ImpliedCorrelation),TRUE))</f>
        <v>5.60920930891906E-3</v>
      </c>
      <c r="EV7" s="366">
        <f ca="1">IF($AB7&gt;CDS.Tenor,"-",_xlfn.NORM.S.DIST(($ED7-SQRT(ImpliedCorrelation)*EV$3)/SQRT(1-ImpliedCorrelation),TRUE))</f>
        <v>5.60920930891906E-3</v>
      </c>
      <c r="EW7" s="366">
        <f ca="1">IF($AB7&gt;CDS.Tenor,"-",_xlfn.NORM.S.DIST(($ED7-SQRT(ImpliedCorrelation)*EW$3)/SQRT(1-ImpliedCorrelation),TRUE))</f>
        <v>5.60920930891906E-3</v>
      </c>
      <c r="EX7" s="366">
        <f ca="1">IF($AB7&gt;CDS.Tenor,"-",_xlfn.NORM.S.DIST(($ED7-SQRT(ImpliedCorrelation)*EX$3)/SQRT(1-ImpliedCorrelation),TRUE))</f>
        <v>5.60920930891906E-3</v>
      </c>
      <c r="EY7" s="366">
        <f ca="1">IF($AB7&gt;CDS.Tenor,"-",_xlfn.NORM.S.DIST(($ED7-SQRT(ImpliedCorrelation)*EY$3)/SQRT(1-ImpliedCorrelation),TRUE))</f>
        <v>5.60920930891906E-3</v>
      </c>
      <c r="EZ7" s="366">
        <f ca="1">IF($AB7&gt;CDS.Tenor,"-",_xlfn.NORM.S.DIST(($ED7-SQRT(ImpliedCorrelation)*EZ$3)/SQRT(1-ImpliedCorrelation),TRUE))</f>
        <v>5.60920930891906E-3</v>
      </c>
      <c r="FA7" s="366">
        <f ca="1">IF($AB7&gt;CDS.Tenor,"-",_xlfn.NORM.S.DIST(($ED7-SQRT(ImpliedCorrelation)*FA$3)/SQRT(1-ImpliedCorrelation),TRUE))</f>
        <v>5.60920930891906E-3</v>
      </c>
      <c r="FB7" s="366"/>
      <c r="FC7" s="370">
        <f t="shared" si="119"/>
        <v>0.75</v>
      </c>
      <c r="FD7" s="366">
        <f ca="1">IF($AB7&gt;CDS.Tenor,"-",1-EG7)</f>
        <v>0.99439079069108094</v>
      </c>
      <c r="FE7" s="366">
        <f ca="1">IF($AB7&gt;CDS.Tenor,"-",1-EH7)</f>
        <v>0.99439079069108094</v>
      </c>
      <c r="FF7" s="366">
        <f ca="1">IF($AB7&gt;CDS.Tenor,"-",1-EI7)</f>
        <v>0.99439079069108094</v>
      </c>
      <c r="FG7" s="366">
        <f ca="1">IF($AB7&gt;CDS.Tenor,"-",1-EJ7)</f>
        <v>0.99439079069108094</v>
      </c>
      <c r="FH7" s="366">
        <f ca="1">IF($AB7&gt;CDS.Tenor,"-",1-EK7)</f>
        <v>0.99439079069108094</v>
      </c>
      <c r="FI7" s="366">
        <f ca="1">IF($AB7&gt;CDS.Tenor,"-",1-EL7)</f>
        <v>0.99439079069108094</v>
      </c>
      <c r="FJ7" s="366">
        <f ca="1">IF($AB7&gt;CDS.Tenor,"-",1-EM7)</f>
        <v>0.99439079069108094</v>
      </c>
      <c r="FK7" s="366">
        <f ca="1">IF($AB7&gt;CDS.Tenor,"-",1-EN7)</f>
        <v>0.99439079069108094</v>
      </c>
      <c r="FL7" s="366">
        <f ca="1">IF($AB7&gt;CDS.Tenor,"-",1-EO7)</f>
        <v>0.99439079069108094</v>
      </c>
      <c r="FM7" s="366">
        <f ca="1">IF($AB7&gt;CDS.Tenor,"-",1-EP7)</f>
        <v>0.99439079069108094</v>
      </c>
      <c r="FN7" s="366">
        <f ca="1">IF($AB7&gt;CDS.Tenor,"-",1-EQ7)</f>
        <v>0.99439079069108094</v>
      </c>
      <c r="FO7" s="366">
        <f ca="1">IF($AB7&gt;CDS.Tenor,"-",1-ER7)</f>
        <v>0.99439079069108094</v>
      </c>
      <c r="FP7" s="366">
        <f ca="1">IF($AB7&gt;CDS.Tenor,"-",1-ES7)</f>
        <v>0.99439079069108094</v>
      </c>
      <c r="FQ7" s="366">
        <f ca="1">IF($AB7&gt;CDS.Tenor,"-",1-ET7)</f>
        <v>0.99439079069108094</v>
      </c>
      <c r="FR7" s="366">
        <f ca="1">IF($AB7&gt;CDS.Tenor,"-",1-EU7)</f>
        <v>0.99439079069108094</v>
      </c>
      <c r="FS7" s="366">
        <f ca="1">IF($AB7&gt;CDS.Tenor,"-",1-EV7)</f>
        <v>0.99439079069108094</v>
      </c>
      <c r="FT7" s="366">
        <f ca="1">IF($AB7&gt;CDS.Tenor,"-",1-EW7)</f>
        <v>0.99439079069108094</v>
      </c>
      <c r="FU7" s="366">
        <f ca="1">IF($AB7&gt;CDS.Tenor,"-",1-EX7)</f>
        <v>0.99439079069108094</v>
      </c>
      <c r="FV7" s="366">
        <f ca="1">IF($AB7&gt;CDS.Tenor,"-",1-EY7)</f>
        <v>0.99439079069108094</v>
      </c>
      <c r="FW7" s="366">
        <f ca="1">IF($AB7&gt;CDS.Tenor,"-",1-EZ7)</f>
        <v>0.99439079069108094</v>
      </c>
      <c r="FX7" s="362">
        <f ca="1">IF($AB7&gt;CDS.Tenor,"-",1-FA7)</f>
        <v>0.99439079069108094</v>
      </c>
      <c r="FZ7" s="370">
        <f t="shared" si="120"/>
        <v>0.75</v>
      </c>
      <c r="GA7" s="366">
        <f ca="1">IF($AB7&gt;CDS.Tenor,"-",BF7*DE7*FD7)</f>
        <v>0.98634409946704427</v>
      </c>
      <c r="GB7" s="366">
        <f ca="1">IF($AB7&gt;CDS.Tenor,"-",BG7*DF7*FE7)</f>
        <v>0.98634409946704427</v>
      </c>
      <c r="GC7" s="366">
        <f ca="1">IF($AB7&gt;CDS.Tenor,"-",BH7*DG7*FF7)</f>
        <v>0.98634409946704427</v>
      </c>
      <c r="GD7" s="366">
        <f ca="1">IF($AB7&gt;CDS.Tenor,"-",BI7*DH7*FG7)</f>
        <v>0.98634409946704427</v>
      </c>
      <c r="GE7" s="366">
        <f ca="1">IF($AB7&gt;CDS.Tenor,"-",BJ7*DI7*FH7)</f>
        <v>0.98634409946704427</v>
      </c>
      <c r="GF7" s="366">
        <f ca="1">IF($AB7&gt;CDS.Tenor,"-",BK7*DJ7*FI7)</f>
        <v>0.98634409946704427</v>
      </c>
      <c r="GG7" s="366">
        <f ca="1">IF($AB7&gt;CDS.Tenor,"-",BL7*DK7*FJ7)</f>
        <v>0.98634409946704427</v>
      </c>
      <c r="GH7" s="366">
        <f ca="1">IF($AB7&gt;CDS.Tenor,"-",BM7*DL7*FK7)</f>
        <v>0.98634409946704427</v>
      </c>
      <c r="GI7" s="366">
        <f ca="1">IF($AB7&gt;CDS.Tenor,"-",BN7*DM7*FL7)</f>
        <v>0.98634409946704427</v>
      </c>
      <c r="GJ7" s="366">
        <f ca="1">IF($AB7&gt;CDS.Tenor,"-",BO7*DN7*FM7)</f>
        <v>0.98634409946704427</v>
      </c>
      <c r="GK7" s="366">
        <f ca="1">IF($AB7&gt;CDS.Tenor,"-",BP7*DO7*FN7)</f>
        <v>0.98634409946704427</v>
      </c>
      <c r="GL7" s="366">
        <f ca="1">IF($AB7&gt;CDS.Tenor,"-",BQ7*DP7*FO7)</f>
        <v>0.98634409946704427</v>
      </c>
      <c r="GM7" s="366">
        <f ca="1">IF($AB7&gt;CDS.Tenor,"-",BR7*DQ7*FP7)</f>
        <v>0.98634409946704427</v>
      </c>
      <c r="GN7" s="366">
        <f ca="1">IF($AB7&gt;CDS.Tenor,"-",BS7*DR7*FQ7)</f>
        <v>0.98634409946704427</v>
      </c>
      <c r="GO7" s="366">
        <f ca="1">IF($AB7&gt;CDS.Tenor,"-",BT7*DS7*FR7)</f>
        <v>0.98634409946704427</v>
      </c>
      <c r="GP7" s="366">
        <f ca="1">IF($AB7&gt;CDS.Tenor,"-",BU7*DT7*FS7)</f>
        <v>0.98634409946704427</v>
      </c>
      <c r="GQ7" s="366">
        <f ca="1">IF($AB7&gt;CDS.Tenor,"-",BV7*DU7*FT7)</f>
        <v>0.98634409946704427</v>
      </c>
      <c r="GR7" s="366">
        <f ca="1">IF($AB7&gt;CDS.Tenor,"-",BW7*DV7*FU7)</f>
        <v>0.98634409946704427</v>
      </c>
      <c r="GS7" s="366">
        <f ca="1">IF($AB7&gt;CDS.Tenor,"-",BX7*DW7*FV7)</f>
        <v>0.98634409946704427</v>
      </c>
      <c r="GT7" s="366">
        <f ca="1">IF($AB7&gt;CDS.Tenor,"-",BY7*DX7*FW7)</f>
        <v>0.98634409946704427</v>
      </c>
      <c r="GU7" s="362">
        <f ca="1">IF($AB7&gt;CDS.Tenor,"-",BZ7*DY7*FX7)</f>
        <v>0.98634409946704427</v>
      </c>
      <c r="GV7" s="42"/>
      <c r="GW7" s="370">
        <f t="shared" si="121"/>
        <v>0.75</v>
      </c>
      <c r="GX7" s="378">
        <f ca="1">IF($AB7&gt;CDS.Tenor,"-",SUMPRODUCT($GA7:$GU7,$GA$4:$GU$4)*dm)</f>
        <v>0.98634398697467518</v>
      </c>
      <c r="GY7" s="381">
        <f ca="1">IF($AB7&gt;CDS.Tenor,"-",GX6-GX7)</f>
        <v>4.5311191562891207E-3</v>
      </c>
    </row>
    <row r="8" spans="2:228" x14ac:dyDescent="0.3">
      <c r="B8" s="116" t="s">
        <v>18</v>
      </c>
      <c r="D8" s="50">
        <v>10000000</v>
      </c>
      <c r="F8" s="116" t="s">
        <v>125</v>
      </c>
      <c r="G8" s="165"/>
      <c r="H8" s="160">
        <f ca="1">SUM($Y$5:$Y$44)</f>
        <v>471523.98515132035</v>
      </c>
      <c r="I8" s="347"/>
      <c r="J8" s="156">
        <f t="shared" si="103"/>
        <v>1</v>
      </c>
      <c r="K8" s="28">
        <f>IF($J8&gt;CDS.Tenor,"-",CDS.PremiumSign*CDS.Notional*CDS.YearFraction*CDS.CreditSpread)</f>
        <v>-25000</v>
      </c>
      <c r="L8" s="10">
        <f ca="1">GX8</f>
        <v>0.98183358792799558</v>
      </c>
      <c r="M8" s="10">
        <f ca="1">IF($J8&gt;CDS.Tenor,"-",L7-L8)</f>
        <v>4.5103990466796029E-3</v>
      </c>
      <c r="N8" s="94" cm="1">
        <f t="array" ref="N8">IF($J8&gt;CDS.Tenor,"-",cubicInterpolation(CurveResults.Times,CurveResults.DFs,$J8))</f>
        <v>0.95518051063522103</v>
      </c>
      <c r="O8" s="28">
        <f ca="1">IF($J8&gt;CDS.Tenor,"-",K8*L8*N8)</f>
        <v>-23445.70769689685</v>
      </c>
      <c r="P8" s="28">
        <f ca="1">IF($J8&gt;CDS.Tenor,"-",0.5*K8*M8*N8)</f>
        <v>-53.853065807200466</v>
      </c>
      <c r="Q8" s="142">
        <f ca="1">IF($J8&gt;CDS.Tenor,"-",O8+P8)</f>
        <v>-23499.560762704052</v>
      </c>
      <c r="T8" s="156">
        <f t="shared" si="104"/>
        <v>1</v>
      </c>
      <c r="U8" s="28">
        <f>IF($J8&gt;CDS.Tenor,"-",CDS.ProtectionSign*CDS.Notional*(1-CDS.RecoveryRate))</f>
        <v>6000000</v>
      </c>
      <c r="V8" s="10">
        <f ca="1">IF($J8&gt;CDS.Tenor,"-",GX8)</f>
        <v>0.98183358792799558</v>
      </c>
      <c r="W8" s="10">
        <f ca="1">IF($J8&gt;CDS.Tenor,"-",V7-V8)</f>
        <v>4.5103990466796029E-3</v>
      </c>
      <c r="X8" s="94" cm="1">
        <f t="array" ref="X8">IF($T8&gt;CDS.Tenor,"-",cubicInterpolation(CurveResults.Times,CurveResults.DFs,$J8))</f>
        <v>0.95518051063522103</v>
      </c>
      <c r="Y8" s="142">
        <f ca="1">IF($J8&gt;CDS.Tenor,"-",U8*W8*X8)</f>
        <v>25849.471587456224</v>
      </c>
      <c r="AB8" s="156">
        <f t="shared" si="105"/>
        <v>1</v>
      </c>
      <c r="AC8" s="352" cm="1">
        <f t="array" aca="1" ref="AC8" ca="1">IF($AB8&gt;CDS.Tenor,"-",flatInterpolation(AA8,INDIRECT(HazardRateTimes1),INDIRECT(HazardRateValues1)))</f>
        <v>5.0000000000000001E-3</v>
      </c>
      <c r="AD8" s="10">
        <f t="shared" ca="1" si="106"/>
        <v>0.99501247919268243</v>
      </c>
      <c r="AE8" s="10">
        <f t="shared" ca="1" si="107"/>
        <v>4.9875208073175692E-3</v>
      </c>
      <c r="AF8" s="360">
        <f ca="1">IF($AB8&gt;CDS.Tenor,"-",NORMSINV(AE8))</f>
        <v>-2.5766932943916676</v>
      </c>
      <c r="AG8" s="360"/>
      <c r="AH8" s="370">
        <f t="shared" si="108"/>
        <v>1</v>
      </c>
      <c r="AI8" s="366">
        <f ca="1">IF($AB8&gt;CDS.Tenor,"-",_xlfn.NORM.S.DIST(($AF8-SQRT(ImpliedCorrelation)*AI$3)/SQRT(1-ImpliedCorrelation),TRUE))</f>
        <v>4.9875208073175675E-3</v>
      </c>
      <c r="AJ8" s="366">
        <f ca="1">IF($AB8&gt;CDS.Tenor,"-",_xlfn.NORM.S.DIST(($AF8-SQRT(ImpliedCorrelation)*AJ$3)/SQRT(1-ImpliedCorrelation),TRUE))</f>
        <v>4.9875208073175675E-3</v>
      </c>
      <c r="AK8" s="366">
        <f ca="1">IF($AB8&gt;CDS.Tenor,"-",_xlfn.NORM.S.DIST(($AF8-SQRT(ImpliedCorrelation)*AK$3)/SQRT(1-ImpliedCorrelation),TRUE))</f>
        <v>4.9875208073175675E-3</v>
      </c>
      <c r="AL8" s="366">
        <f ca="1">IF($AB8&gt;CDS.Tenor,"-",_xlfn.NORM.S.DIST(($AF8-SQRT(ImpliedCorrelation)*AL$3)/SQRT(1-ImpliedCorrelation),TRUE))</f>
        <v>4.9875208073175675E-3</v>
      </c>
      <c r="AM8" s="366">
        <f ca="1">IF($AB8&gt;CDS.Tenor,"-",_xlfn.NORM.S.DIST(($AF8-SQRT(ImpliedCorrelation)*AM$3)/SQRT(1-ImpliedCorrelation),TRUE))</f>
        <v>4.9875208073175675E-3</v>
      </c>
      <c r="AN8" s="366">
        <f ca="1">IF($AB8&gt;CDS.Tenor,"-",_xlfn.NORM.S.DIST(($AF8-SQRT(ImpliedCorrelation)*AN$3)/SQRT(1-ImpliedCorrelation),TRUE))</f>
        <v>4.9875208073175675E-3</v>
      </c>
      <c r="AO8" s="366">
        <f ca="1">IF($AB8&gt;CDS.Tenor,"-",_xlfn.NORM.S.DIST(($AF8-SQRT(ImpliedCorrelation)*AO$3)/SQRT(1-ImpliedCorrelation),TRUE))</f>
        <v>4.9875208073175675E-3</v>
      </c>
      <c r="AP8" s="366">
        <f ca="1">IF($AB8&gt;CDS.Tenor,"-",_xlfn.NORM.S.DIST(($AF8-SQRT(ImpliedCorrelation)*AP$3)/SQRT(1-ImpliedCorrelation),TRUE))</f>
        <v>4.9875208073175675E-3</v>
      </c>
      <c r="AQ8" s="366">
        <f ca="1">IF($AB8&gt;CDS.Tenor,"-",_xlfn.NORM.S.DIST(($AF8-SQRT(ImpliedCorrelation)*AQ$3)/SQRT(1-ImpliedCorrelation),TRUE))</f>
        <v>4.9875208073175675E-3</v>
      </c>
      <c r="AR8" s="366">
        <f ca="1">IF($AB8&gt;CDS.Tenor,"-",_xlfn.NORM.S.DIST(($AF8-SQRT(ImpliedCorrelation)*AR$3)/SQRT(1-ImpliedCorrelation),TRUE))</f>
        <v>4.9875208073175675E-3</v>
      </c>
      <c r="AS8" s="366">
        <f ca="1">IF($AB8&gt;CDS.Tenor,"-",_xlfn.NORM.S.DIST(($AF8-SQRT(ImpliedCorrelation)*AS$3)/SQRT(1-ImpliedCorrelation),TRUE))</f>
        <v>4.9875208073175675E-3</v>
      </c>
      <c r="AT8" s="366">
        <f ca="1">IF($AB8&gt;CDS.Tenor,"-",_xlfn.NORM.S.DIST(($AF8-SQRT(ImpliedCorrelation)*AT$3)/SQRT(1-ImpliedCorrelation),TRUE))</f>
        <v>4.9875208073175675E-3</v>
      </c>
      <c r="AU8" s="366">
        <f ca="1">IF($AB8&gt;CDS.Tenor,"-",_xlfn.NORM.S.DIST(($AF8-SQRT(ImpliedCorrelation)*AU$3)/SQRT(1-ImpliedCorrelation),TRUE))</f>
        <v>4.9875208073175675E-3</v>
      </c>
      <c r="AV8" s="366">
        <f ca="1">IF($AB8&gt;CDS.Tenor,"-",_xlfn.NORM.S.DIST(($AF8-SQRT(ImpliedCorrelation)*AV$3)/SQRT(1-ImpliedCorrelation),TRUE))</f>
        <v>4.9875208073175675E-3</v>
      </c>
      <c r="AW8" s="366">
        <f ca="1">IF($AB8&gt;CDS.Tenor,"-",_xlfn.NORM.S.DIST(($AF8-SQRT(ImpliedCorrelation)*AW$3)/SQRT(1-ImpliedCorrelation),TRUE))</f>
        <v>4.9875208073175675E-3</v>
      </c>
      <c r="AX8" s="366">
        <f ca="1">IF($AB8&gt;CDS.Tenor,"-",_xlfn.NORM.S.DIST(($AF8-SQRT(ImpliedCorrelation)*AX$3)/SQRT(1-ImpliedCorrelation),TRUE))</f>
        <v>4.9875208073175675E-3</v>
      </c>
      <c r="AY8" s="366">
        <f ca="1">IF($AB8&gt;CDS.Tenor,"-",_xlfn.NORM.S.DIST(($AF8-SQRT(ImpliedCorrelation)*AY$3)/SQRT(1-ImpliedCorrelation),TRUE))</f>
        <v>4.9875208073175675E-3</v>
      </c>
      <c r="AZ8" s="366">
        <f ca="1">IF($AB8&gt;CDS.Tenor,"-",_xlfn.NORM.S.DIST(($AF8-SQRT(ImpliedCorrelation)*AZ$3)/SQRT(1-ImpliedCorrelation),TRUE))</f>
        <v>4.9875208073175675E-3</v>
      </c>
      <c r="BA8" s="366">
        <f ca="1">IF($AB8&gt;CDS.Tenor,"-",_xlfn.NORM.S.DIST(($AF8-SQRT(ImpliedCorrelation)*BA$3)/SQRT(1-ImpliedCorrelation),TRUE))</f>
        <v>4.9875208073175675E-3</v>
      </c>
      <c r="BB8" s="366">
        <f ca="1">IF($AB8&gt;CDS.Tenor,"-",_xlfn.NORM.S.DIST(($AF8-SQRT(ImpliedCorrelation)*BB$3)/SQRT(1-ImpliedCorrelation),TRUE))</f>
        <v>4.9875208073175675E-3</v>
      </c>
      <c r="BC8" s="366">
        <f ca="1">IF($AB8&gt;CDS.Tenor,"-",_xlfn.NORM.S.DIST(($AF8-SQRT(ImpliedCorrelation)*BC$3)/SQRT(1-ImpliedCorrelation),TRUE))</f>
        <v>4.9875208073175675E-3</v>
      </c>
      <c r="BD8" s="366"/>
      <c r="BE8" s="370">
        <f t="shared" si="109"/>
        <v>1</v>
      </c>
      <c r="BF8" s="366">
        <f ca="1">IF($AB8&gt;CDS.Tenor,"-",1-AI8)</f>
        <v>0.99501247919268243</v>
      </c>
      <c r="BG8" s="366">
        <f ca="1">IF($AB8&gt;CDS.Tenor,"-",1-AJ8)</f>
        <v>0.99501247919268243</v>
      </c>
      <c r="BH8" s="366">
        <f ca="1">IF($AB8&gt;CDS.Tenor,"-",1-AK8)</f>
        <v>0.99501247919268243</v>
      </c>
      <c r="BI8" s="366">
        <f ca="1">IF($AB8&gt;CDS.Tenor,"-",1-AL8)</f>
        <v>0.99501247919268243</v>
      </c>
      <c r="BJ8" s="366">
        <f ca="1">IF($AB8&gt;CDS.Tenor,"-",1-AM8)</f>
        <v>0.99501247919268243</v>
      </c>
      <c r="BK8" s="366">
        <f ca="1">IF($AB8&gt;CDS.Tenor,"-",1-AN8)</f>
        <v>0.99501247919268243</v>
      </c>
      <c r="BL8" s="366">
        <f ca="1">IF($AB8&gt;CDS.Tenor,"-",1-AO8)</f>
        <v>0.99501247919268243</v>
      </c>
      <c r="BM8" s="366">
        <f ca="1">IF($AB8&gt;CDS.Tenor,"-",1-AP8)</f>
        <v>0.99501247919268243</v>
      </c>
      <c r="BN8" s="366">
        <f ca="1">IF($AB8&gt;CDS.Tenor,"-",1-AQ8)</f>
        <v>0.99501247919268243</v>
      </c>
      <c r="BO8" s="366">
        <f ca="1">IF($AB8&gt;CDS.Tenor,"-",1-AR8)</f>
        <v>0.99501247919268243</v>
      </c>
      <c r="BP8" s="366">
        <f ca="1">IF($AB8&gt;CDS.Tenor,"-",1-AS8)</f>
        <v>0.99501247919268243</v>
      </c>
      <c r="BQ8" s="366">
        <f ca="1">IF($AB8&gt;CDS.Tenor,"-",1-AT8)</f>
        <v>0.99501247919268243</v>
      </c>
      <c r="BR8" s="366">
        <f ca="1">IF($AB8&gt;CDS.Tenor,"-",1-AU8)</f>
        <v>0.99501247919268243</v>
      </c>
      <c r="BS8" s="366">
        <f ca="1">IF($AB8&gt;CDS.Tenor,"-",1-AV8)</f>
        <v>0.99501247919268243</v>
      </c>
      <c r="BT8" s="366">
        <f ca="1">IF($AB8&gt;CDS.Tenor,"-",1-AW8)</f>
        <v>0.99501247919268243</v>
      </c>
      <c r="BU8" s="366">
        <f ca="1">IF($AB8&gt;CDS.Tenor,"-",1-AX8)</f>
        <v>0.99501247919268243</v>
      </c>
      <c r="BV8" s="366">
        <f ca="1">IF($AB8&gt;CDS.Tenor,"-",1-AY8)</f>
        <v>0.99501247919268243</v>
      </c>
      <c r="BW8" s="366">
        <f ca="1">IF($AB8&gt;CDS.Tenor,"-",1-AZ8)</f>
        <v>0.99501247919268243</v>
      </c>
      <c r="BX8" s="366">
        <f ca="1">IF($AB8&gt;CDS.Tenor,"-",1-BA8)</f>
        <v>0.99501247919268243</v>
      </c>
      <c r="BY8" s="366">
        <f ca="1">IF($AB8&gt;CDS.Tenor,"-",1-BB8)</f>
        <v>0.99501247919268243</v>
      </c>
      <c r="BZ8" s="366">
        <f ca="1">IF($AB8&gt;CDS.Tenor,"-",1-BC8)</f>
        <v>0.99501247919268243</v>
      </c>
      <c r="CA8" s="17"/>
      <c r="CB8" s="352" cm="1">
        <f t="array" aca="1" ref="CB8" ca="1">IF($AB8&gt;CDS.Tenor,"-",flatInterpolation(AB8,INDIRECT(HazardRateTimes2),INDIRECT(HazardRateValues2)))</f>
        <v>5.8333333333333336E-3</v>
      </c>
      <c r="CC8" s="10">
        <f t="shared" ca="1" si="110"/>
        <v>0.99418364752118304</v>
      </c>
      <c r="CD8" s="10">
        <f t="shared" ca="1" si="111"/>
        <v>5.8163524788169552E-3</v>
      </c>
      <c r="CE8" s="81">
        <f t="shared" ca="1" si="112"/>
        <v>-2.5230947602990956</v>
      </c>
      <c r="CF8" s="360"/>
      <c r="CG8" s="370">
        <f t="shared" si="113"/>
        <v>1</v>
      </c>
      <c r="CH8" s="366">
        <f ca="1">IF($AB8&gt;CDS.Tenor,"-",_xlfn.NORM.S.DIST(($CE8-SQRT(ImpliedCorrelation)*CH$3)/SQRT(1-ImpliedCorrelation),TRUE))</f>
        <v>5.81635247881695E-3</v>
      </c>
      <c r="CI8" s="366">
        <f ca="1">IF($AB8&gt;CDS.Tenor,"-",_xlfn.NORM.S.DIST(($CE8-SQRT(ImpliedCorrelation)*CI$3)/SQRT(1-ImpliedCorrelation),TRUE))</f>
        <v>5.81635247881695E-3</v>
      </c>
      <c r="CJ8" s="366">
        <f ca="1">IF($AB8&gt;CDS.Tenor,"-",_xlfn.NORM.S.DIST(($CE8-SQRT(ImpliedCorrelation)*CJ$3)/SQRT(1-ImpliedCorrelation),TRUE))</f>
        <v>5.81635247881695E-3</v>
      </c>
      <c r="CK8" s="366">
        <f ca="1">IF($AB8&gt;CDS.Tenor,"-",_xlfn.NORM.S.DIST(($CE8-SQRT(ImpliedCorrelation)*CK$3)/SQRT(1-ImpliedCorrelation),TRUE))</f>
        <v>5.81635247881695E-3</v>
      </c>
      <c r="CL8" s="366">
        <f ca="1">IF($AB8&gt;CDS.Tenor,"-",_xlfn.NORM.S.DIST(($CE8-SQRT(ImpliedCorrelation)*CL$3)/SQRT(1-ImpliedCorrelation),TRUE))</f>
        <v>5.81635247881695E-3</v>
      </c>
      <c r="CM8" s="366">
        <f ca="1">IF($AB8&gt;CDS.Tenor,"-",_xlfn.NORM.S.DIST(($CE8-SQRT(ImpliedCorrelation)*CM$3)/SQRT(1-ImpliedCorrelation),TRUE))</f>
        <v>5.81635247881695E-3</v>
      </c>
      <c r="CN8" s="366">
        <f ca="1">IF($AB8&gt;CDS.Tenor,"-",_xlfn.NORM.S.DIST(($CE8-SQRT(ImpliedCorrelation)*CN$3)/SQRT(1-ImpliedCorrelation),TRUE))</f>
        <v>5.81635247881695E-3</v>
      </c>
      <c r="CO8" s="366">
        <f ca="1">IF($AB8&gt;CDS.Tenor,"-",_xlfn.NORM.S.DIST(($CE8-SQRT(ImpliedCorrelation)*CO$3)/SQRT(1-ImpliedCorrelation),TRUE))</f>
        <v>5.81635247881695E-3</v>
      </c>
      <c r="CP8" s="366">
        <f ca="1">IF($AB8&gt;CDS.Tenor,"-",_xlfn.NORM.S.DIST(($CE8-SQRT(ImpliedCorrelation)*CP$3)/SQRT(1-ImpliedCorrelation),TRUE))</f>
        <v>5.81635247881695E-3</v>
      </c>
      <c r="CQ8" s="366">
        <f ca="1">IF($AB8&gt;CDS.Tenor,"-",_xlfn.NORM.S.DIST(($CE8-SQRT(ImpliedCorrelation)*CQ$3)/SQRT(1-ImpliedCorrelation),TRUE))</f>
        <v>5.81635247881695E-3</v>
      </c>
      <c r="CR8" s="366">
        <f ca="1">IF($AB8&gt;CDS.Tenor,"-",_xlfn.NORM.S.DIST(($CE8-SQRT(ImpliedCorrelation)*CR$3)/SQRT(1-ImpliedCorrelation),TRUE))</f>
        <v>5.81635247881695E-3</v>
      </c>
      <c r="CS8" s="366">
        <f ca="1">IF($AB8&gt;CDS.Tenor,"-",_xlfn.NORM.S.DIST(($CE8-SQRT(ImpliedCorrelation)*CS$3)/SQRT(1-ImpliedCorrelation),TRUE))</f>
        <v>5.81635247881695E-3</v>
      </c>
      <c r="CT8" s="366">
        <f ca="1">IF($AB8&gt;CDS.Tenor,"-",_xlfn.NORM.S.DIST(($CE8-SQRT(ImpliedCorrelation)*CT$3)/SQRT(1-ImpliedCorrelation),TRUE))</f>
        <v>5.81635247881695E-3</v>
      </c>
      <c r="CU8" s="366">
        <f ca="1">IF($AB8&gt;CDS.Tenor,"-",_xlfn.NORM.S.DIST(($CE8-SQRT(ImpliedCorrelation)*CU$3)/SQRT(1-ImpliedCorrelation),TRUE))</f>
        <v>5.81635247881695E-3</v>
      </c>
      <c r="CV8" s="366">
        <f ca="1">IF($AB8&gt;CDS.Tenor,"-",_xlfn.NORM.S.DIST(($CE8-SQRT(ImpliedCorrelation)*CV$3)/SQRT(1-ImpliedCorrelation),TRUE))</f>
        <v>5.81635247881695E-3</v>
      </c>
      <c r="CW8" s="366">
        <f ca="1">IF($AB8&gt;CDS.Tenor,"-",_xlfn.NORM.S.DIST(($CE8-SQRT(ImpliedCorrelation)*CW$3)/SQRT(1-ImpliedCorrelation),TRUE))</f>
        <v>5.81635247881695E-3</v>
      </c>
      <c r="CX8" s="366">
        <f ca="1">IF($AB8&gt;CDS.Tenor,"-",_xlfn.NORM.S.DIST(($CE8-SQRT(ImpliedCorrelation)*CX$3)/SQRT(1-ImpliedCorrelation),TRUE))</f>
        <v>5.81635247881695E-3</v>
      </c>
      <c r="CY8" s="366">
        <f ca="1">IF($AB8&gt;CDS.Tenor,"-",_xlfn.NORM.S.DIST(($CE8-SQRT(ImpliedCorrelation)*CY$3)/SQRT(1-ImpliedCorrelation),TRUE))</f>
        <v>5.81635247881695E-3</v>
      </c>
      <c r="CZ8" s="366">
        <f ca="1">IF($AB8&gt;CDS.Tenor,"-",_xlfn.NORM.S.DIST(($CE8-SQRT(ImpliedCorrelation)*CZ$3)/SQRT(1-ImpliedCorrelation),TRUE))</f>
        <v>5.81635247881695E-3</v>
      </c>
      <c r="DA8" s="366">
        <f ca="1">IF($AB8&gt;CDS.Tenor,"-",_xlfn.NORM.S.DIST(($CE8-SQRT(ImpliedCorrelation)*DA$3)/SQRT(1-ImpliedCorrelation),TRUE))</f>
        <v>5.81635247881695E-3</v>
      </c>
      <c r="DB8" s="366">
        <f ca="1">IF($AB8&gt;CDS.Tenor,"-",_xlfn.NORM.S.DIST(($CE8-SQRT(ImpliedCorrelation)*DB$3)/SQRT(1-ImpliedCorrelation),TRUE))</f>
        <v>5.81635247881695E-3</v>
      </c>
      <c r="DC8" s="366"/>
      <c r="DD8" s="370">
        <f t="shared" si="114"/>
        <v>1</v>
      </c>
      <c r="DE8" s="366">
        <f ca="1">IF($AB8&gt;CDS.Tenor,"-",1-CH8)</f>
        <v>0.99418364752118304</v>
      </c>
      <c r="DF8" s="366">
        <f ca="1">IF($AB8&gt;CDS.Tenor,"-",1-CI8)</f>
        <v>0.99418364752118304</v>
      </c>
      <c r="DG8" s="366">
        <f ca="1">IF($AB8&gt;CDS.Tenor,"-",1-CJ8)</f>
        <v>0.99418364752118304</v>
      </c>
      <c r="DH8" s="366">
        <f ca="1">IF($AB8&gt;CDS.Tenor,"-",1-CK8)</f>
        <v>0.99418364752118304</v>
      </c>
      <c r="DI8" s="366">
        <f ca="1">IF($AB8&gt;CDS.Tenor,"-",1-CL8)</f>
        <v>0.99418364752118304</v>
      </c>
      <c r="DJ8" s="366">
        <f ca="1">IF($AB8&gt;CDS.Tenor,"-",1-CM8)</f>
        <v>0.99418364752118304</v>
      </c>
      <c r="DK8" s="366">
        <f ca="1">IF($AB8&gt;CDS.Tenor,"-",1-CN8)</f>
        <v>0.99418364752118304</v>
      </c>
      <c r="DL8" s="366">
        <f ca="1">IF($AB8&gt;CDS.Tenor,"-",1-CO8)</f>
        <v>0.99418364752118304</v>
      </c>
      <c r="DM8" s="366">
        <f ca="1">IF($AB8&gt;CDS.Tenor,"-",1-CP8)</f>
        <v>0.99418364752118304</v>
      </c>
      <c r="DN8" s="366">
        <f ca="1">IF($AB8&gt;CDS.Tenor,"-",1-CQ8)</f>
        <v>0.99418364752118304</v>
      </c>
      <c r="DO8" s="366">
        <f ca="1">IF($AB8&gt;CDS.Tenor,"-",1-CR8)</f>
        <v>0.99418364752118304</v>
      </c>
      <c r="DP8" s="366">
        <f ca="1">IF($AB8&gt;CDS.Tenor,"-",1-CS8)</f>
        <v>0.99418364752118304</v>
      </c>
      <c r="DQ8" s="366">
        <f ca="1">IF($AB8&gt;CDS.Tenor,"-",1-CT8)</f>
        <v>0.99418364752118304</v>
      </c>
      <c r="DR8" s="366">
        <f ca="1">IF($AB8&gt;CDS.Tenor,"-",1-CU8)</f>
        <v>0.99418364752118304</v>
      </c>
      <c r="DS8" s="366">
        <f ca="1">IF($AB8&gt;CDS.Tenor,"-",1-CV8)</f>
        <v>0.99418364752118304</v>
      </c>
      <c r="DT8" s="366">
        <f ca="1">IF($AB8&gt;CDS.Tenor,"-",1-CW8)</f>
        <v>0.99418364752118304</v>
      </c>
      <c r="DU8" s="366">
        <f ca="1">IF($AB8&gt;CDS.Tenor,"-",1-CX8)</f>
        <v>0.99418364752118304</v>
      </c>
      <c r="DV8" s="366">
        <f ca="1">IF($AB8&gt;CDS.Tenor,"-",1-CY8)</f>
        <v>0.99418364752118304</v>
      </c>
      <c r="DW8" s="366">
        <f ca="1">IF($AB8&gt;CDS.Tenor,"-",1-CZ8)</f>
        <v>0.99418364752118304</v>
      </c>
      <c r="DX8" s="366">
        <f ca="1">IF($AB8&gt;CDS.Tenor,"-",1-DA8)</f>
        <v>0.99418364752118304</v>
      </c>
      <c r="DY8" s="362">
        <f ca="1">IF($AB8&gt;CDS.Tenor,"-",1-DB8)</f>
        <v>0.99418364752118304</v>
      </c>
      <c r="DZ8" s="360"/>
      <c r="EA8" s="352" cm="1">
        <f t="array" aca="1" ref="EA8" ca="1">IF($AB8&gt;CDS.Tenor,"-",flatInterpolation(CC8,INDIRECT(HazardRateTimes3),INDIRECT(HazardRateValues3)))</f>
        <v>7.4999999999999997E-3</v>
      </c>
      <c r="EB8" s="10">
        <f t="shared" ca="1" si="115"/>
        <v>0.99252805481913853</v>
      </c>
      <c r="EC8" s="10">
        <f t="shared" ca="1" si="116"/>
        <v>7.4719451808614723E-3</v>
      </c>
      <c r="ED8" s="81">
        <f t="shared" ca="1" si="117"/>
        <v>-2.4337359926085269</v>
      </c>
      <c r="EF8" s="370">
        <f t="shared" si="118"/>
        <v>1</v>
      </c>
      <c r="EG8" s="366">
        <f ca="1">IF($AB8&gt;CDS.Tenor,"-",_xlfn.NORM.S.DIST(($ED8-SQRT(ImpliedCorrelation)*EG$3)/SQRT(1-ImpliedCorrelation),TRUE))</f>
        <v>7.4719451808614801E-3</v>
      </c>
      <c r="EH8" s="366">
        <f ca="1">IF($AB8&gt;CDS.Tenor,"-",_xlfn.NORM.S.DIST(($ED8-SQRT(ImpliedCorrelation)*EH$3)/SQRT(1-ImpliedCorrelation),TRUE))</f>
        <v>7.4719451808614801E-3</v>
      </c>
      <c r="EI8" s="366">
        <f ca="1">IF($AB8&gt;CDS.Tenor,"-",_xlfn.NORM.S.DIST(($ED8-SQRT(ImpliedCorrelation)*EI$3)/SQRT(1-ImpliedCorrelation),TRUE))</f>
        <v>7.4719451808614801E-3</v>
      </c>
      <c r="EJ8" s="366">
        <f ca="1">IF($AB8&gt;CDS.Tenor,"-",_xlfn.NORM.S.DIST(($ED8-SQRT(ImpliedCorrelation)*EJ$3)/SQRT(1-ImpliedCorrelation),TRUE))</f>
        <v>7.4719451808614801E-3</v>
      </c>
      <c r="EK8" s="366">
        <f ca="1">IF($AB8&gt;CDS.Tenor,"-",_xlfn.NORM.S.DIST(($ED8-SQRT(ImpliedCorrelation)*EK$3)/SQRT(1-ImpliedCorrelation),TRUE))</f>
        <v>7.4719451808614801E-3</v>
      </c>
      <c r="EL8" s="366">
        <f ca="1">IF($AB8&gt;CDS.Tenor,"-",_xlfn.NORM.S.DIST(($ED8-SQRT(ImpliedCorrelation)*EL$3)/SQRT(1-ImpliedCorrelation),TRUE))</f>
        <v>7.4719451808614801E-3</v>
      </c>
      <c r="EM8" s="366">
        <f ca="1">IF($AB8&gt;CDS.Tenor,"-",_xlfn.NORM.S.DIST(($ED8-SQRT(ImpliedCorrelation)*EM$3)/SQRT(1-ImpliedCorrelation),TRUE))</f>
        <v>7.4719451808614801E-3</v>
      </c>
      <c r="EN8" s="366">
        <f ca="1">IF($AB8&gt;CDS.Tenor,"-",_xlfn.NORM.S.DIST(($ED8-SQRT(ImpliedCorrelation)*EN$3)/SQRT(1-ImpliedCorrelation),TRUE))</f>
        <v>7.4719451808614801E-3</v>
      </c>
      <c r="EO8" s="366">
        <f ca="1">IF($AB8&gt;CDS.Tenor,"-",_xlfn.NORM.S.DIST(($ED8-SQRT(ImpliedCorrelation)*EO$3)/SQRT(1-ImpliedCorrelation),TRUE))</f>
        <v>7.4719451808614801E-3</v>
      </c>
      <c r="EP8" s="366">
        <f ca="1">IF($AB8&gt;CDS.Tenor,"-",_xlfn.NORM.S.DIST(($ED8-SQRT(ImpliedCorrelation)*EP$3)/SQRT(1-ImpliedCorrelation),TRUE))</f>
        <v>7.4719451808614801E-3</v>
      </c>
      <c r="EQ8" s="366">
        <f ca="1">IF($AB8&gt;CDS.Tenor,"-",_xlfn.NORM.S.DIST(($ED8-SQRT(ImpliedCorrelation)*EQ$3)/SQRT(1-ImpliedCorrelation),TRUE))</f>
        <v>7.4719451808614801E-3</v>
      </c>
      <c r="ER8" s="366">
        <f ca="1">IF($AB8&gt;CDS.Tenor,"-",_xlfn.NORM.S.DIST(($ED8-SQRT(ImpliedCorrelation)*ER$3)/SQRT(1-ImpliedCorrelation),TRUE))</f>
        <v>7.4719451808614801E-3</v>
      </c>
      <c r="ES8" s="366">
        <f ca="1">IF($AB8&gt;CDS.Tenor,"-",_xlfn.NORM.S.DIST(($ED8-SQRT(ImpliedCorrelation)*ES$3)/SQRT(1-ImpliedCorrelation),TRUE))</f>
        <v>7.4719451808614801E-3</v>
      </c>
      <c r="ET8" s="366">
        <f ca="1">IF($AB8&gt;CDS.Tenor,"-",_xlfn.NORM.S.DIST(($ED8-SQRT(ImpliedCorrelation)*ET$3)/SQRT(1-ImpliedCorrelation),TRUE))</f>
        <v>7.4719451808614801E-3</v>
      </c>
      <c r="EU8" s="366">
        <f ca="1">IF($AB8&gt;CDS.Tenor,"-",_xlfn.NORM.S.DIST(($ED8-SQRT(ImpliedCorrelation)*EU$3)/SQRT(1-ImpliedCorrelation),TRUE))</f>
        <v>7.4719451808614801E-3</v>
      </c>
      <c r="EV8" s="366">
        <f ca="1">IF($AB8&gt;CDS.Tenor,"-",_xlfn.NORM.S.DIST(($ED8-SQRT(ImpliedCorrelation)*EV$3)/SQRT(1-ImpliedCorrelation),TRUE))</f>
        <v>7.4719451808614801E-3</v>
      </c>
      <c r="EW8" s="366">
        <f ca="1">IF($AB8&gt;CDS.Tenor,"-",_xlfn.NORM.S.DIST(($ED8-SQRT(ImpliedCorrelation)*EW$3)/SQRT(1-ImpliedCorrelation),TRUE))</f>
        <v>7.4719451808614801E-3</v>
      </c>
      <c r="EX8" s="366">
        <f ca="1">IF($AB8&gt;CDS.Tenor,"-",_xlfn.NORM.S.DIST(($ED8-SQRT(ImpliedCorrelation)*EX$3)/SQRT(1-ImpliedCorrelation),TRUE))</f>
        <v>7.4719451808614801E-3</v>
      </c>
      <c r="EY8" s="366">
        <f ca="1">IF($AB8&gt;CDS.Tenor,"-",_xlfn.NORM.S.DIST(($ED8-SQRT(ImpliedCorrelation)*EY$3)/SQRT(1-ImpliedCorrelation),TRUE))</f>
        <v>7.4719451808614801E-3</v>
      </c>
      <c r="EZ8" s="366">
        <f ca="1">IF($AB8&gt;CDS.Tenor,"-",_xlfn.NORM.S.DIST(($ED8-SQRT(ImpliedCorrelation)*EZ$3)/SQRT(1-ImpliedCorrelation),TRUE))</f>
        <v>7.4719451808614801E-3</v>
      </c>
      <c r="FA8" s="366">
        <f ca="1">IF($AB8&gt;CDS.Tenor,"-",_xlfn.NORM.S.DIST(($ED8-SQRT(ImpliedCorrelation)*FA$3)/SQRT(1-ImpliedCorrelation),TRUE))</f>
        <v>7.4719451808614801E-3</v>
      </c>
      <c r="FB8" s="366"/>
      <c r="FC8" s="370">
        <f t="shared" si="119"/>
        <v>1</v>
      </c>
      <c r="FD8" s="366">
        <f ca="1">IF($AB8&gt;CDS.Tenor,"-",1-EG8)</f>
        <v>0.99252805481913853</v>
      </c>
      <c r="FE8" s="366">
        <f ca="1">IF($AB8&gt;CDS.Tenor,"-",1-EH8)</f>
        <v>0.99252805481913853</v>
      </c>
      <c r="FF8" s="366">
        <f ca="1">IF($AB8&gt;CDS.Tenor,"-",1-EI8)</f>
        <v>0.99252805481913853</v>
      </c>
      <c r="FG8" s="366">
        <f ca="1">IF($AB8&gt;CDS.Tenor,"-",1-EJ8)</f>
        <v>0.99252805481913853</v>
      </c>
      <c r="FH8" s="366">
        <f ca="1">IF($AB8&gt;CDS.Tenor,"-",1-EK8)</f>
        <v>0.99252805481913853</v>
      </c>
      <c r="FI8" s="366">
        <f ca="1">IF($AB8&gt;CDS.Tenor,"-",1-EL8)</f>
        <v>0.99252805481913853</v>
      </c>
      <c r="FJ8" s="366">
        <f ca="1">IF($AB8&gt;CDS.Tenor,"-",1-EM8)</f>
        <v>0.99252805481913853</v>
      </c>
      <c r="FK8" s="366">
        <f ca="1">IF($AB8&gt;CDS.Tenor,"-",1-EN8)</f>
        <v>0.99252805481913853</v>
      </c>
      <c r="FL8" s="366">
        <f ca="1">IF($AB8&gt;CDS.Tenor,"-",1-EO8)</f>
        <v>0.99252805481913853</v>
      </c>
      <c r="FM8" s="366">
        <f ca="1">IF($AB8&gt;CDS.Tenor,"-",1-EP8)</f>
        <v>0.99252805481913853</v>
      </c>
      <c r="FN8" s="366">
        <f ca="1">IF($AB8&gt;CDS.Tenor,"-",1-EQ8)</f>
        <v>0.99252805481913853</v>
      </c>
      <c r="FO8" s="366">
        <f ca="1">IF($AB8&gt;CDS.Tenor,"-",1-ER8)</f>
        <v>0.99252805481913853</v>
      </c>
      <c r="FP8" s="366">
        <f ca="1">IF($AB8&gt;CDS.Tenor,"-",1-ES8)</f>
        <v>0.99252805481913853</v>
      </c>
      <c r="FQ8" s="366">
        <f ca="1">IF($AB8&gt;CDS.Tenor,"-",1-ET8)</f>
        <v>0.99252805481913853</v>
      </c>
      <c r="FR8" s="366">
        <f ca="1">IF($AB8&gt;CDS.Tenor,"-",1-EU8)</f>
        <v>0.99252805481913853</v>
      </c>
      <c r="FS8" s="366">
        <f ca="1">IF($AB8&gt;CDS.Tenor,"-",1-EV8)</f>
        <v>0.99252805481913853</v>
      </c>
      <c r="FT8" s="366">
        <f ca="1">IF($AB8&gt;CDS.Tenor,"-",1-EW8)</f>
        <v>0.99252805481913853</v>
      </c>
      <c r="FU8" s="366">
        <f ca="1">IF($AB8&gt;CDS.Tenor,"-",1-EX8)</f>
        <v>0.99252805481913853</v>
      </c>
      <c r="FV8" s="366">
        <f ca="1">IF($AB8&gt;CDS.Tenor,"-",1-EY8)</f>
        <v>0.99252805481913853</v>
      </c>
      <c r="FW8" s="366">
        <f ca="1">IF($AB8&gt;CDS.Tenor,"-",1-EZ8)</f>
        <v>0.99252805481913853</v>
      </c>
      <c r="FX8" s="362">
        <f ca="1">IF($AB8&gt;CDS.Tenor,"-",1-FA8)</f>
        <v>0.99252805481913853</v>
      </c>
      <c r="FZ8" s="370">
        <f t="shared" si="120"/>
        <v>1</v>
      </c>
      <c r="GA8" s="366">
        <f ca="1">IF($AB8&gt;CDS.Tenor,"-",BF8*DE8*FD8)</f>
        <v>0.98183369990595448</v>
      </c>
      <c r="GB8" s="366">
        <f ca="1">IF($AB8&gt;CDS.Tenor,"-",BG8*DF8*FE8)</f>
        <v>0.98183369990595448</v>
      </c>
      <c r="GC8" s="366">
        <f ca="1">IF($AB8&gt;CDS.Tenor,"-",BH8*DG8*FF8)</f>
        <v>0.98183369990595448</v>
      </c>
      <c r="GD8" s="366">
        <f ca="1">IF($AB8&gt;CDS.Tenor,"-",BI8*DH8*FG8)</f>
        <v>0.98183369990595448</v>
      </c>
      <c r="GE8" s="366">
        <f ca="1">IF($AB8&gt;CDS.Tenor,"-",BJ8*DI8*FH8)</f>
        <v>0.98183369990595448</v>
      </c>
      <c r="GF8" s="366">
        <f ca="1">IF($AB8&gt;CDS.Tenor,"-",BK8*DJ8*FI8)</f>
        <v>0.98183369990595448</v>
      </c>
      <c r="GG8" s="366">
        <f ca="1">IF($AB8&gt;CDS.Tenor,"-",BL8*DK8*FJ8)</f>
        <v>0.98183369990595448</v>
      </c>
      <c r="GH8" s="366">
        <f ca="1">IF($AB8&gt;CDS.Tenor,"-",BM8*DL8*FK8)</f>
        <v>0.98183369990595448</v>
      </c>
      <c r="GI8" s="366">
        <f ca="1">IF($AB8&gt;CDS.Tenor,"-",BN8*DM8*FL8)</f>
        <v>0.98183369990595448</v>
      </c>
      <c r="GJ8" s="366">
        <f ca="1">IF($AB8&gt;CDS.Tenor,"-",BO8*DN8*FM8)</f>
        <v>0.98183369990595448</v>
      </c>
      <c r="GK8" s="366">
        <f ca="1">IF($AB8&gt;CDS.Tenor,"-",BP8*DO8*FN8)</f>
        <v>0.98183369990595448</v>
      </c>
      <c r="GL8" s="366">
        <f ca="1">IF($AB8&gt;CDS.Tenor,"-",BQ8*DP8*FO8)</f>
        <v>0.98183369990595448</v>
      </c>
      <c r="GM8" s="366">
        <f ca="1">IF($AB8&gt;CDS.Tenor,"-",BR8*DQ8*FP8)</f>
        <v>0.98183369990595448</v>
      </c>
      <c r="GN8" s="366">
        <f ca="1">IF($AB8&gt;CDS.Tenor,"-",BS8*DR8*FQ8)</f>
        <v>0.98183369990595448</v>
      </c>
      <c r="GO8" s="366">
        <f ca="1">IF($AB8&gt;CDS.Tenor,"-",BT8*DS8*FR8)</f>
        <v>0.98183369990595448</v>
      </c>
      <c r="GP8" s="366">
        <f ca="1">IF($AB8&gt;CDS.Tenor,"-",BU8*DT8*FS8)</f>
        <v>0.98183369990595448</v>
      </c>
      <c r="GQ8" s="366">
        <f ca="1">IF($AB8&gt;CDS.Tenor,"-",BV8*DU8*FT8)</f>
        <v>0.98183369990595448</v>
      </c>
      <c r="GR8" s="366">
        <f ca="1">IF($AB8&gt;CDS.Tenor,"-",BW8*DV8*FU8)</f>
        <v>0.98183369990595448</v>
      </c>
      <c r="GS8" s="366">
        <f ca="1">IF($AB8&gt;CDS.Tenor,"-",BX8*DW8*FV8)</f>
        <v>0.98183369990595448</v>
      </c>
      <c r="GT8" s="366">
        <f ca="1">IF($AB8&gt;CDS.Tenor,"-",BY8*DX8*FW8)</f>
        <v>0.98183369990595448</v>
      </c>
      <c r="GU8" s="362">
        <f ca="1">IF($AB8&gt;CDS.Tenor,"-",BZ8*DY8*FX8)</f>
        <v>0.98183369990595448</v>
      </c>
      <c r="GV8" s="42"/>
      <c r="GW8" s="370">
        <f t="shared" si="121"/>
        <v>1</v>
      </c>
      <c r="GX8" s="378">
        <f ca="1">IF($AB8&gt;CDS.Tenor,"-",SUMPRODUCT($GA8:$GU8,$GA$4:$GU$4)*dm)</f>
        <v>0.98183358792799558</v>
      </c>
      <c r="GY8" s="381">
        <f ca="1">IF($AB8&gt;CDS.Tenor,"-",GX7-GX8)</f>
        <v>4.5103990466796029E-3</v>
      </c>
    </row>
    <row r="9" spans="2:228" x14ac:dyDescent="0.3">
      <c r="B9" s="116" t="s">
        <v>112</v>
      </c>
      <c r="D9" s="149">
        <v>100</v>
      </c>
      <c r="F9" s="116" t="s">
        <v>49</v>
      </c>
      <c r="G9" s="165"/>
      <c r="H9" s="161">
        <f ca="1">ABS(CDS.PremiumLegPV/CDS.CreditSpread)</f>
        <v>42865830.507925242</v>
      </c>
      <c r="I9" s="28"/>
      <c r="J9" s="156">
        <f t="shared" si="103"/>
        <v>1.25</v>
      </c>
      <c r="K9" s="28">
        <f>IF($J9&gt;CDS.Tenor,"-",CDS.PremiumSign*CDS.Notional*CDS.YearFraction*CDS.CreditSpread)</f>
        <v>-25000</v>
      </c>
      <c r="L9" s="10">
        <f ca="1">GX9</f>
        <v>0.97734381424105754</v>
      </c>
      <c r="M9" s="10">
        <f ca="1">IF($J9&gt;CDS.Tenor,"-",L8-L9)</f>
        <v>4.4897736869380367E-3</v>
      </c>
      <c r="N9" s="94" cm="1">
        <f t="array" ref="N9">IF($J9&gt;CDS.Tenor,"-",cubicInterpolation(CurveResults.Times,CurveResults.DFs,$J9))</f>
        <v>0.94476174559314918</v>
      </c>
      <c r="O9" s="28">
        <f ca="1">IF($J9&gt;CDS.Tenor,"-",K9*L9*N9)</f>
        <v>-23083.926199676203</v>
      </c>
      <c r="P9" s="28">
        <f ca="1">IF($J9&gt;CDS.Tenor,"-",0.5*K9*M9*N9)</f>
        <v>-53.022080322372112</v>
      </c>
      <c r="Q9" s="142">
        <f ca="1">IF($J9&gt;CDS.Tenor,"-",O9+P9)</f>
        <v>-23136.948279998574</v>
      </c>
      <c r="T9" s="156">
        <f t="shared" si="104"/>
        <v>1.25</v>
      </c>
      <c r="U9" s="28">
        <f>IF($J9&gt;CDS.Tenor,"-",CDS.ProtectionSign*CDS.Notional*(1-CDS.RecoveryRate))</f>
        <v>6000000</v>
      </c>
      <c r="V9" s="10">
        <f ca="1">IF($J9&gt;CDS.Tenor,"-",GX9)</f>
        <v>0.97734381424105754</v>
      </c>
      <c r="W9" s="10">
        <f ca="1">IF($J9&gt;CDS.Tenor,"-",V8-V9)</f>
        <v>4.4897736869380367E-3</v>
      </c>
      <c r="X9" s="94" cm="1">
        <f t="array" ref="X9">IF($T9&gt;CDS.Tenor,"-",cubicInterpolation(CurveResults.Times,CurveResults.DFs,$J9))</f>
        <v>0.94476174559314918</v>
      </c>
      <c r="Y9" s="142">
        <f ca="1">IF($J9&gt;CDS.Tenor,"-",U9*W9*X9)</f>
        <v>25450.598554738615</v>
      </c>
      <c r="AB9" s="156">
        <f t="shared" si="105"/>
        <v>1.25</v>
      </c>
      <c r="AC9" s="352" cm="1">
        <f t="array" aca="1" ref="AC9" ca="1">IF($AB9&gt;CDS.Tenor,"-",flatInterpolation(AA9,INDIRECT(HazardRateTimes1),INDIRECT(HazardRateValues1)))</f>
        <v>5.0000000000000001E-3</v>
      </c>
      <c r="AD9" s="10">
        <f t="shared" ca="1" si="106"/>
        <v>0.99376949062339492</v>
      </c>
      <c r="AE9" s="10">
        <f t="shared" ca="1" si="107"/>
        <v>6.2305093766050756E-3</v>
      </c>
      <c r="AF9" s="360">
        <f ca="1">IF($AB9&gt;CDS.Tenor,"-",NORMSINV(AE9))</f>
        <v>-2.4988125983342369</v>
      </c>
      <c r="AG9" s="360"/>
      <c r="AH9" s="370">
        <f t="shared" si="108"/>
        <v>1.25</v>
      </c>
      <c r="AI9" s="366">
        <f ca="1">IF($AB9&gt;CDS.Tenor,"-",_xlfn.NORM.S.DIST(($AF9-SQRT(ImpliedCorrelation)*AI$3)/SQRT(1-ImpliedCorrelation),TRUE))</f>
        <v>6.2305093766050817E-3</v>
      </c>
      <c r="AJ9" s="366">
        <f ca="1">IF($AB9&gt;CDS.Tenor,"-",_xlfn.NORM.S.DIST(($AF9-SQRT(ImpliedCorrelation)*AJ$3)/SQRT(1-ImpliedCorrelation),TRUE))</f>
        <v>6.2305093766050817E-3</v>
      </c>
      <c r="AK9" s="366">
        <f ca="1">IF($AB9&gt;CDS.Tenor,"-",_xlfn.NORM.S.DIST(($AF9-SQRT(ImpliedCorrelation)*AK$3)/SQRT(1-ImpliedCorrelation),TRUE))</f>
        <v>6.2305093766050817E-3</v>
      </c>
      <c r="AL9" s="366">
        <f ca="1">IF($AB9&gt;CDS.Tenor,"-",_xlfn.NORM.S.DIST(($AF9-SQRT(ImpliedCorrelation)*AL$3)/SQRT(1-ImpliedCorrelation),TRUE))</f>
        <v>6.2305093766050817E-3</v>
      </c>
      <c r="AM9" s="366">
        <f ca="1">IF($AB9&gt;CDS.Tenor,"-",_xlfn.NORM.S.DIST(($AF9-SQRT(ImpliedCorrelation)*AM$3)/SQRT(1-ImpliedCorrelation),TRUE))</f>
        <v>6.2305093766050817E-3</v>
      </c>
      <c r="AN9" s="366">
        <f ca="1">IF($AB9&gt;CDS.Tenor,"-",_xlfn.NORM.S.DIST(($AF9-SQRT(ImpliedCorrelation)*AN$3)/SQRT(1-ImpliedCorrelation),TRUE))</f>
        <v>6.2305093766050817E-3</v>
      </c>
      <c r="AO9" s="366">
        <f ca="1">IF($AB9&gt;CDS.Tenor,"-",_xlfn.NORM.S.DIST(($AF9-SQRT(ImpliedCorrelation)*AO$3)/SQRT(1-ImpliedCorrelation),TRUE))</f>
        <v>6.2305093766050817E-3</v>
      </c>
      <c r="AP9" s="366">
        <f ca="1">IF($AB9&gt;CDS.Tenor,"-",_xlfn.NORM.S.DIST(($AF9-SQRT(ImpliedCorrelation)*AP$3)/SQRT(1-ImpliedCorrelation),TRUE))</f>
        <v>6.2305093766050817E-3</v>
      </c>
      <c r="AQ9" s="366">
        <f ca="1">IF($AB9&gt;CDS.Tenor,"-",_xlfn.NORM.S.DIST(($AF9-SQRT(ImpliedCorrelation)*AQ$3)/SQRT(1-ImpliedCorrelation),TRUE))</f>
        <v>6.2305093766050817E-3</v>
      </c>
      <c r="AR9" s="366">
        <f ca="1">IF($AB9&gt;CDS.Tenor,"-",_xlfn.NORM.S.DIST(($AF9-SQRT(ImpliedCorrelation)*AR$3)/SQRT(1-ImpliedCorrelation),TRUE))</f>
        <v>6.2305093766050817E-3</v>
      </c>
      <c r="AS9" s="366">
        <f ca="1">IF($AB9&gt;CDS.Tenor,"-",_xlfn.NORM.S.DIST(($AF9-SQRT(ImpliedCorrelation)*AS$3)/SQRT(1-ImpliedCorrelation),TRUE))</f>
        <v>6.2305093766050817E-3</v>
      </c>
      <c r="AT9" s="366">
        <f ca="1">IF($AB9&gt;CDS.Tenor,"-",_xlfn.NORM.S.DIST(($AF9-SQRT(ImpliedCorrelation)*AT$3)/SQRT(1-ImpliedCorrelation),TRUE))</f>
        <v>6.2305093766050817E-3</v>
      </c>
      <c r="AU9" s="366">
        <f ca="1">IF($AB9&gt;CDS.Tenor,"-",_xlfn.NORM.S.DIST(($AF9-SQRT(ImpliedCorrelation)*AU$3)/SQRT(1-ImpliedCorrelation),TRUE))</f>
        <v>6.2305093766050817E-3</v>
      </c>
      <c r="AV9" s="366">
        <f ca="1">IF($AB9&gt;CDS.Tenor,"-",_xlfn.NORM.S.DIST(($AF9-SQRT(ImpliedCorrelation)*AV$3)/SQRT(1-ImpliedCorrelation),TRUE))</f>
        <v>6.2305093766050817E-3</v>
      </c>
      <c r="AW9" s="366">
        <f ca="1">IF($AB9&gt;CDS.Tenor,"-",_xlfn.NORM.S.DIST(($AF9-SQRT(ImpliedCorrelation)*AW$3)/SQRT(1-ImpliedCorrelation),TRUE))</f>
        <v>6.2305093766050817E-3</v>
      </c>
      <c r="AX9" s="366">
        <f ca="1">IF($AB9&gt;CDS.Tenor,"-",_xlfn.NORM.S.DIST(($AF9-SQRT(ImpliedCorrelation)*AX$3)/SQRT(1-ImpliedCorrelation),TRUE))</f>
        <v>6.2305093766050817E-3</v>
      </c>
      <c r="AY9" s="366">
        <f ca="1">IF($AB9&gt;CDS.Tenor,"-",_xlfn.NORM.S.DIST(($AF9-SQRT(ImpliedCorrelation)*AY$3)/SQRT(1-ImpliedCorrelation),TRUE))</f>
        <v>6.2305093766050817E-3</v>
      </c>
      <c r="AZ9" s="366">
        <f ca="1">IF($AB9&gt;CDS.Tenor,"-",_xlfn.NORM.S.DIST(($AF9-SQRT(ImpliedCorrelation)*AZ$3)/SQRT(1-ImpliedCorrelation),TRUE))</f>
        <v>6.2305093766050817E-3</v>
      </c>
      <c r="BA9" s="366">
        <f ca="1">IF($AB9&gt;CDS.Tenor,"-",_xlfn.NORM.S.DIST(($AF9-SQRT(ImpliedCorrelation)*BA$3)/SQRT(1-ImpliedCorrelation),TRUE))</f>
        <v>6.2305093766050817E-3</v>
      </c>
      <c r="BB9" s="366">
        <f ca="1">IF($AB9&gt;CDS.Tenor,"-",_xlfn.NORM.S.DIST(($AF9-SQRT(ImpliedCorrelation)*BB$3)/SQRT(1-ImpliedCorrelation),TRUE))</f>
        <v>6.2305093766050817E-3</v>
      </c>
      <c r="BC9" s="366">
        <f ca="1">IF($AB9&gt;CDS.Tenor,"-",_xlfn.NORM.S.DIST(($AF9-SQRT(ImpliedCorrelation)*BC$3)/SQRT(1-ImpliedCorrelation),TRUE))</f>
        <v>6.2305093766050817E-3</v>
      </c>
      <c r="BD9" s="366"/>
      <c r="BE9" s="370">
        <f t="shared" si="109"/>
        <v>1.25</v>
      </c>
      <c r="BF9" s="366">
        <f ca="1">IF($AB9&gt;CDS.Tenor,"-",1-AI9)</f>
        <v>0.99376949062339492</v>
      </c>
      <c r="BG9" s="366">
        <f ca="1">IF($AB9&gt;CDS.Tenor,"-",1-AJ9)</f>
        <v>0.99376949062339492</v>
      </c>
      <c r="BH9" s="366">
        <f ca="1">IF($AB9&gt;CDS.Tenor,"-",1-AK9)</f>
        <v>0.99376949062339492</v>
      </c>
      <c r="BI9" s="366">
        <f ca="1">IF($AB9&gt;CDS.Tenor,"-",1-AL9)</f>
        <v>0.99376949062339492</v>
      </c>
      <c r="BJ9" s="366">
        <f ca="1">IF($AB9&gt;CDS.Tenor,"-",1-AM9)</f>
        <v>0.99376949062339492</v>
      </c>
      <c r="BK9" s="366">
        <f ca="1">IF($AB9&gt;CDS.Tenor,"-",1-AN9)</f>
        <v>0.99376949062339492</v>
      </c>
      <c r="BL9" s="366">
        <f ca="1">IF($AB9&gt;CDS.Tenor,"-",1-AO9)</f>
        <v>0.99376949062339492</v>
      </c>
      <c r="BM9" s="366">
        <f ca="1">IF($AB9&gt;CDS.Tenor,"-",1-AP9)</f>
        <v>0.99376949062339492</v>
      </c>
      <c r="BN9" s="366">
        <f ca="1">IF($AB9&gt;CDS.Tenor,"-",1-AQ9)</f>
        <v>0.99376949062339492</v>
      </c>
      <c r="BO9" s="366">
        <f ca="1">IF($AB9&gt;CDS.Tenor,"-",1-AR9)</f>
        <v>0.99376949062339492</v>
      </c>
      <c r="BP9" s="366">
        <f ca="1">IF($AB9&gt;CDS.Tenor,"-",1-AS9)</f>
        <v>0.99376949062339492</v>
      </c>
      <c r="BQ9" s="366">
        <f ca="1">IF($AB9&gt;CDS.Tenor,"-",1-AT9)</f>
        <v>0.99376949062339492</v>
      </c>
      <c r="BR9" s="366">
        <f ca="1">IF($AB9&gt;CDS.Tenor,"-",1-AU9)</f>
        <v>0.99376949062339492</v>
      </c>
      <c r="BS9" s="366">
        <f ca="1">IF($AB9&gt;CDS.Tenor,"-",1-AV9)</f>
        <v>0.99376949062339492</v>
      </c>
      <c r="BT9" s="366">
        <f ca="1">IF($AB9&gt;CDS.Tenor,"-",1-AW9)</f>
        <v>0.99376949062339492</v>
      </c>
      <c r="BU9" s="366">
        <f ca="1">IF($AB9&gt;CDS.Tenor,"-",1-AX9)</f>
        <v>0.99376949062339492</v>
      </c>
      <c r="BV9" s="366">
        <f ca="1">IF($AB9&gt;CDS.Tenor,"-",1-AY9)</f>
        <v>0.99376949062339492</v>
      </c>
      <c r="BW9" s="366">
        <f ca="1">IF($AB9&gt;CDS.Tenor,"-",1-AZ9)</f>
        <v>0.99376949062339492</v>
      </c>
      <c r="BX9" s="366">
        <f ca="1">IF($AB9&gt;CDS.Tenor,"-",1-BA9)</f>
        <v>0.99376949062339492</v>
      </c>
      <c r="BY9" s="366">
        <f ca="1">IF($AB9&gt;CDS.Tenor,"-",1-BB9)</f>
        <v>0.99376949062339492</v>
      </c>
      <c r="BZ9" s="366">
        <f ca="1">IF($AB9&gt;CDS.Tenor,"-",1-BC9)</f>
        <v>0.99376949062339492</v>
      </c>
      <c r="CA9" s="17"/>
      <c r="CB9" s="352" cm="1">
        <f t="array" aca="1" ref="CB9" ca="1">IF($AB9&gt;CDS.Tenor,"-",flatInterpolation(AB9,INDIRECT(HazardRateTimes2),INDIRECT(HazardRateValues2)))</f>
        <v>5.8333333333333336E-3</v>
      </c>
      <c r="CC9" s="10">
        <f t="shared" ca="1" si="110"/>
        <v>0.99273485303795894</v>
      </c>
      <c r="CD9" s="10">
        <f t="shared" ca="1" si="111"/>
        <v>7.265146962041058E-3</v>
      </c>
      <c r="CE9" s="81">
        <f t="shared" ca="1" si="112"/>
        <v>-2.4438791235978874</v>
      </c>
      <c r="CF9" s="360"/>
      <c r="CG9" s="370">
        <f t="shared" si="113"/>
        <v>1.25</v>
      </c>
      <c r="CH9" s="366">
        <f ca="1">IF($AB9&gt;CDS.Tenor,"-",_xlfn.NORM.S.DIST(($CE9-SQRT(ImpliedCorrelation)*CH$3)/SQRT(1-ImpliedCorrelation),TRUE))</f>
        <v>7.2651469620410554E-3</v>
      </c>
      <c r="CI9" s="366">
        <f ca="1">IF($AB9&gt;CDS.Tenor,"-",_xlfn.NORM.S.DIST(($CE9-SQRT(ImpliedCorrelation)*CI$3)/SQRT(1-ImpliedCorrelation),TRUE))</f>
        <v>7.2651469620410554E-3</v>
      </c>
      <c r="CJ9" s="366">
        <f ca="1">IF($AB9&gt;CDS.Tenor,"-",_xlfn.NORM.S.DIST(($CE9-SQRT(ImpliedCorrelation)*CJ$3)/SQRT(1-ImpliedCorrelation),TRUE))</f>
        <v>7.2651469620410554E-3</v>
      </c>
      <c r="CK9" s="366">
        <f ca="1">IF($AB9&gt;CDS.Tenor,"-",_xlfn.NORM.S.DIST(($CE9-SQRT(ImpliedCorrelation)*CK$3)/SQRT(1-ImpliedCorrelation),TRUE))</f>
        <v>7.2651469620410554E-3</v>
      </c>
      <c r="CL9" s="366">
        <f ca="1">IF($AB9&gt;CDS.Tenor,"-",_xlfn.NORM.S.DIST(($CE9-SQRT(ImpliedCorrelation)*CL$3)/SQRT(1-ImpliedCorrelation),TRUE))</f>
        <v>7.2651469620410554E-3</v>
      </c>
      <c r="CM9" s="366">
        <f ca="1">IF($AB9&gt;CDS.Tenor,"-",_xlfn.NORM.S.DIST(($CE9-SQRT(ImpliedCorrelation)*CM$3)/SQRT(1-ImpliedCorrelation),TRUE))</f>
        <v>7.2651469620410554E-3</v>
      </c>
      <c r="CN9" s="366">
        <f ca="1">IF($AB9&gt;CDS.Tenor,"-",_xlfn.NORM.S.DIST(($CE9-SQRT(ImpliedCorrelation)*CN$3)/SQRT(1-ImpliedCorrelation),TRUE))</f>
        <v>7.2651469620410554E-3</v>
      </c>
      <c r="CO9" s="366">
        <f ca="1">IF($AB9&gt;CDS.Tenor,"-",_xlfn.NORM.S.DIST(($CE9-SQRT(ImpliedCorrelation)*CO$3)/SQRT(1-ImpliedCorrelation),TRUE))</f>
        <v>7.2651469620410554E-3</v>
      </c>
      <c r="CP9" s="366">
        <f ca="1">IF($AB9&gt;CDS.Tenor,"-",_xlfn.NORM.S.DIST(($CE9-SQRT(ImpliedCorrelation)*CP$3)/SQRT(1-ImpliedCorrelation),TRUE))</f>
        <v>7.2651469620410554E-3</v>
      </c>
      <c r="CQ9" s="366">
        <f ca="1">IF($AB9&gt;CDS.Tenor,"-",_xlfn.NORM.S.DIST(($CE9-SQRT(ImpliedCorrelation)*CQ$3)/SQRT(1-ImpliedCorrelation),TRUE))</f>
        <v>7.2651469620410554E-3</v>
      </c>
      <c r="CR9" s="366">
        <f ca="1">IF($AB9&gt;CDS.Tenor,"-",_xlfn.NORM.S.DIST(($CE9-SQRT(ImpliedCorrelation)*CR$3)/SQRT(1-ImpliedCorrelation),TRUE))</f>
        <v>7.2651469620410554E-3</v>
      </c>
      <c r="CS9" s="366">
        <f ca="1">IF($AB9&gt;CDS.Tenor,"-",_xlfn.NORM.S.DIST(($CE9-SQRT(ImpliedCorrelation)*CS$3)/SQRT(1-ImpliedCorrelation),TRUE))</f>
        <v>7.2651469620410554E-3</v>
      </c>
      <c r="CT9" s="366">
        <f ca="1">IF($AB9&gt;CDS.Tenor,"-",_xlfn.NORM.S.DIST(($CE9-SQRT(ImpliedCorrelation)*CT$3)/SQRT(1-ImpliedCorrelation),TRUE))</f>
        <v>7.2651469620410554E-3</v>
      </c>
      <c r="CU9" s="366">
        <f ca="1">IF($AB9&gt;CDS.Tenor,"-",_xlfn.NORM.S.DIST(($CE9-SQRT(ImpliedCorrelation)*CU$3)/SQRT(1-ImpliedCorrelation),TRUE))</f>
        <v>7.2651469620410554E-3</v>
      </c>
      <c r="CV9" s="366">
        <f ca="1">IF($AB9&gt;CDS.Tenor,"-",_xlfn.NORM.S.DIST(($CE9-SQRT(ImpliedCorrelation)*CV$3)/SQRT(1-ImpliedCorrelation),TRUE))</f>
        <v>7.2651469620410554E-3</v>
      </c>
      <c r="CW9" s="366">
        <f ca="1">IF($AB9&gt;CDS.Tenor,"-",_xlfn.NORM.S.DIST(($CE9-SQRT(ImpliedCorrelation)*CW$3)/SQRT(1-ImpliedCorrelation),TRUE))</f>
        <v>7.2651469620410554E-3</v>
      </c>
      <c r="CX9" s="366">
        <f ca="1">IF($AB9&gt;CDS.Tenor,"-",_xlfn.NORM.S.DIST(($CE9-SQRT(ImpliedCorrelation)*CX$3)/SQRT(1-ImpliedCorrelation),TRUE))</f>
        <v>7.2651469620410554E-3</v>
      </c>
      <c r="CY9" s="366">
        <f ca="1">IF($AB9&gt;CDS.Tenor,"-",_xlfn.NORM.S.DIST(($CE9-SQRT(ImpliedCorrelation)*CY$3)/SQRT(1-ImpliedCorrelation),TRUE))</f>
        <v>7.2651469620410554E-3</v>
      </c>
      <c r="CZ9" s="366">
        <f ca="1">IF($AB9&gt;CDS.Tenor,"-",_xlfn.NORM.S.DIST(($CE9-SQRT(ImpliedCorrelation)*CZ$3)/SQRT(1-ImpliedCorrelation),TRUE))</f>
        <v>7.2651469620410554E-3</v>
      </c>
      <c r="DA9" s="366">
        <f ca="1">IF($AB9&gt;CDS.Tenor,"-",_xlfn.NORM.S.DIST(($CE9-SQRT(ImpliedCorrelation)*DA$3)/SQRT(1-ImpliedCorrelation),TRUE))</f>
        <v>7.2651469620410554E-3</v>
      </c>
      <c r="DB9" s="366">
        <f ca="1">IF($AB9&gt;CDS.Tenor,"-",_xlfn.NORM.S.DIST(($CE9-SQRT(ImpliedCorrelation)*DB$3)/SQRT(1-ImpliedCorrelation),TRUE))</f>
        <v>7.2651469620410554E-3</v>
      </c>
      <c r="DC9" s="366"/>
      <c r="DD9" s="370">
        <f t="shared" si="114"/>
        <v>1.25</v>
      </c>
      <c r="DE9" s="366">
        <f ca="1">IF($AB9&gt;CDS.Tenor,"-",1-CH9)</f>
        <v>0.99273485303795894</v>
      </c>
      <c r="DF9" s="366">
        <f ca="1">IF($AB9&gt;CDS.Tenor,"-",1-CI9)</f>
        <v>0.99273485303795894</v>
      </c>
      <c r="DG9" s="366">
        <f ca="1">IF($AB9&gt;CDS.Tenor,"-",1-CJ9)</f>
        <v>0.99273485303795894</v>
      </c>
      <c r="DH9" s="366">
        <f ca="1">IF($AB9&gt;CDS.Tenor,"-",1-CK9)</f>
        <v>0.99273485303795894</v>
      </c>
      <c r="DI9" s="366">
        <f ca="1">IF($AB9&gt;CDS.Tenor,"-",1-CL9)</f>
        <v>0.99273485303795894</v>
      </c>
      <c r="DJ9" s="366">
        <f ca="1">IF($AB9&gt;CDS.Tenor,"-",1-CM9)</f>
        <v>0.99273485303795894</v>
      </c>
      <c r="DK9" s="366">
        <f ca="1">IF($AB9&gt;CDS.Tenor,"-",1-CN9)</f>
        <v>0.99273485303795894</v>
      </c>
      <c r="DL9" s="366">
        <f ca="1">IF($AB9&gt;CDS.Tenor,"-",1-CO9)</f>
        <v>0.99273485303795894</v>
      </c>
      <c r="DM9" s="366">
        <f ca="1">IF($AB9&gt;CDS.Tenor,"-",1-CP9)</f>
        <v>0.99273485303795894</v>
      </c>
      <c r="DN9" s="366">
        <f ca="1">IF($AB9&gt;CDS.Tenor,"-",1-CQ9)</f>
        <v>0.99273485303795894</v>
      </c>
      <c r="DO9" s="366">
        <f ca="1">IF($AB9&gt;CDS.Tenor,"-",1-CR9)</f>
        <v>0.99273485303795894</v>
      </c>
      <c r="DP9" s="366">
        <f ca="1">IF($AB9&gt;CDS.Tenor,"-",1-CS9)</f>
        <v>0.99273485303795894</v>
      </c>
      <c r="DQ9" s="366">
        <f ca="1">IF($AB9&gt;CDS.Tenor,"-",1-CT9)</f>
        <v>0.99273485303795894</v>
      </c>
      <c r="DR9" s="366">
        <f ca="1">IF($AB9&gt;CDS.Tenor,"-",1-CU9)</f>
        <v>0.99273485303795894</v>
      </c>
      <c r="DS9" s="366">
        <f ca="1">IF($AB9&gt;CDS.Tenor,"-",1-CV9)</f>
        <v>0.99273485303795894</v>
      </c>
      <c r="DT9" s="366">
        <f ca="1">IF($AB9&gt;CDS.Tenor,"-",1-CW9)</f>
        <v>0.99273485303795894</v>
      </c>
      <c r="DU9" s="366">
        <f ca="1">IF($AB9&gt;CDS.Tenor,"-",1-CX9)</f>
        <v>0.99273485303795894</v>
      </c>
      <c r="DV9" s="366">
        <f ca="1">IF($AB9&gt;CDS.Tenor,"-",1-CY9)</f>
        <v>0.99273485303795894</v>
      </c>
      <c r="DW9" s="366">
        <f ca="1">IF($AB9&gt;CDS.Tenor,"-",1-CZ9)</f>
        <v>0.99273485303795894</v>
      </c>
      <c r="DX9" s="366">
        <f ca="1">IF($AB9&gt;CDS.Tenor,"-",1-DA9)</f>
        <v>0.99273485303795894</v>
      </c>
      <c r="DY9" s="362">
        <f ca="1">IF($AB9&gt;CDS.Tenor,"-",1-DB9)</f>
        <v>0.99273485303795894</v>
      </c>
      <c r="DZ9" s="360"/>
      <c r="EA9" s="352" cm="1">
        <f t="array" aca="1" ref="EA9" ca="1">IF($AB9&gt;CDS.Tenor,"-",flatInterpolation(CC9,INDIRECT(HazardRateTimes3),INDIRECT(HazardRateValues3)))</f>
        <v>7.4999999999999997E-3</v>
      </c>
      <c r="EB9" s="10">
        <f t="shared" ca="1" si="115"/>
        <v>0.99066880830466109</v>
      </c>
      <c r="EC9" s="10">
        <f t="shared" ca="1" si="116"/>
        <v>9.331191695338914E-3</v>
      </c>
      <c r="ED9" s="81">
        <f t="shared" ca="1" si="117"/>
        <v>-2.3522070539735651</v>
      </c>
      <c r="EF9" s="370">
        <f t="shared" si="118"/>
        <v>1.25</v>
      </c>
      <c r="EG9" s="366">
        <f ca="1">IF($AB9&gt;CDS.Tenor,"-",_xlfn.NORM.S.DIST(($ED9-SQRT(ImpliedCorrelation)*EG$3)/SQRT(1-ImpliedCorrelation),TRUE))</f>
        <v>9.3311916953389105E-3</v>
      </c>
      <c r="EH9" s="366">
        <f ca="1">IF($AB9&gt;CDS.Tenor,"-",_xlfn.NORM.S.DIST(($ED9-SQRT(ImpliedCorrelation)*EH$3)/SQRT(1-ImpliedCorrelation),TRUE))</f>
        <v>9.3311916953389105E-3</v>
      </c>
      <c r="EI9" s="366">
        <f ca="1">IF($AB9&gt;CDS.Tenor,"-",_xlfn.NORM.S.DIST(($ED9-SQRT(ImpliedCorrelation)*EI$3)/SQRT(1-ImpliedCorrelation),TRUE))</f>
        <v>9.3311916953389105E-3</v>
      </c>
      <c r="EJ9" s="366">
        <f ca="1">IF($AB9&gt;CDS.Tenor,"-",_xlfn.NORM.S.DIST(($ED9-SQRT(ImpliedCorrelation)*EJ$3)/SQRT(1-ImpliedCorrelation),TRUE))</f>
        <v>9.3311916953389105E-3</v>
      </c>
      <c r="EK9" s="366">
        <f ca="1">IF($AB9&gt;CDS.Tenor,"-",_xlfn.NORM.S.DIST(($ED9-SQRT(ImpliedCorrelation)*EK$3)/SQRT(1-ImpliedCorrelation),TRUE))</f>
        <v>9.3311916953389105E-3</v>
      </c>
      <c r="EL9" s="366">
        <f ca="1">IF($AB9&gt;CDS.Tenor,"-",_xlfn.NORM.S.DIST(($ED9-SQRT(ImpliedCorrelation)*EL$3)/SQRT(1-ImpliedCorrelation),TRUE))</f>
        <v>9.3311916953389105E-3</v>
      </c>
      <c r="EM9" s="366">
        <f ca="1">IF($AB9&gt;CDS.Tenor,"-",_xlfn.NORM.S.DIST(($ED9-SQRT(ImpliedCorrelation)*EM$3)/SQRT(1-ImpliedCorrelation),TRUE))</f>
        <v>9.3311916953389105E-3</v>
      </c>
      <c r="EN9" s="366">
        <f ca="1">IF($AB9&gt;CDS.Tenor,"-",_xlfn.NORM.S.DIST(($ED9-SQRT(ImpliedCorrelation)*EN$3)/SQRT(1-ImpliedCorrelation),TRUE))</f>
        <v>9.3311916953389105E-3</v>
      </c>
      <c r="EO9" s="366">
        <f ca="1">IF($AB9&gt;CDS.Tenor,"-",_xlfn.NORM.S.DIST(($ED9-SQRT(ImpliedCorrelation)*EO$3)/SQRT(1-ImpliedCorrelation),TRUE))</f>
        <v>9.3311916953389105E-3</v>
      </c>
      <c r="EP9" s="366">
        <f ca="1">IF($AB9&gt;CDS.Tenor,"-",_xlfn.NORM.S.DIST(($ED9-SQRT(ImpliedCorrelation)*EP$3)/SQRT(1-ImpliedCorrelation),TRUE))</f>
        <v>9.3311916953389105E-3</v>
      </c>
      <c r="EQ9" s="366">
        <f ca="1">IF($AB9&gt;CDS.Tenor,"-",_xlfn.NORM.S.DIST(($ED9-SQRT(ImpliedCorrelation)*EQ$3)/SQRT(1-ImpliedCorrelation),TRUE))</f>
        <v>9.3311916953389105E-3</v>
      </c>
      <c r="ER9" s="366">
        <f ca="1">IF($AB9&gt;CDS.Tenor,"-",_xlfn.NORM.S.DIST(($ED9-SQRT(ImpliedCorrelation)*ER$3)/SQRT(1-ImpliedCorrelation),TRUE))</f>
        <v>9.3311916953389105E-3</v>
      </c>
      <c r="ES9" s="366">
        <f ca="1">IF($AB9&gt;CDS.Tenor,"-",_xlfn.NORM.S.DIST(($ED9-SQRT(ImpliedCorrelation)*ES$3)/SQRT(1-ImpliedCorrelation),TRUE))</f>
        <v>9.3311916953389105E-3</v>
      </c>
      <c r="ET9" s="366">
        <f ca="1">IF($AB9&gt;CDS.Tenor,"-",_xlfn.NORM.S.DIST(($ED9-SQRT(ImpliedCorrelation)*ET$3)/SQRT(1-ImpliedCorrelation),TRUE))</f>
        <v>9.3311916953389105E-3</v>
      </c>
      <c r="EU9" s="366">
        <f ca="1">IF($AB9&gt;CDS.Tenor,"-",_xlfn.NORM.S.DIST(($ED9-SQRT(ImpliedCorrelation)*EU$3)/SQRT(1-ImpliedCorrelation),TRUE))</f>
        <v>9.3311916953389105E-3</v>
      </c>
      <c r="EV9" s="366">
        <f ca="1">IF($AB9&gt;CDS.Tenor,"-",_xlfn.NORM.S.DIST(($ED9-SQRT(ImpliedCorrelation)*EV$3)/SQRT(1-ImpliedCorrelation),TRUE))</f>
        <v>9.3311916953389105E-3</v>
      </c>
      <c r="EW9" s="366">
        <f ca="1">IF($AB9&gt;CDS.Tenor,"-",_xlfn.NORM.S.DIST(($ED9-SQRT(ImpliedCorrelation)*EW$3)/SQRT(1-ImpliedCorrelation),TRUE))</f>
        <v>9.3311916953389105E-3</v>
      </c>
      <c r="EX9" s="366">
        <f ca="1">IF($AB9&gt;CDS.Tenor,"-",_xlfn.NORM.S.DIST(($ED9-SQRT(ImpliedCorrelation)*EX$3)/SQRT(1-ImpliedCorrelation),TRUE))</f>
        <v>9.3311916953389105E-3</v>
      </c>
      <c r="EY9" s="366">
        <f ca="1">IF($AB9&gt;CDS.Tenor,"-",_xlfn.NORM.S.DIST(($ED9-SQRT(ImpliedCorrelation)*EY$3)/SQRT(1-ImpliedCorrelation),TRUE))</f>
        <v>9.3311916953389105E-3</v>
      </c>
      <c r="EZ9" s="366">
        <f ca="1">IF($AB9&gt;CDS.Tenor,"-",_xlfn.NORM.S.DIST(($ED9-SQRT(ImpliedCorrelation)*EZ$3)/SQRT(1-ImpliedCorrelation),TRUE))</f>
        <v>9.3311916953389105E-3</v>
      </c>
      <c r="FA9" s="366">
        <f ca="1">IF($AB9&gt;CDS.Tenor,"-",_xlfn.NORM.S.DIST(($ED9-SQRT(ImpliedCorrelation)*FA$3)/SQRT(1-ImpliedCorrelation),TRUE))</f>
        <v>9.3311916953389105E-3</v>
      </c>
      <c r="FB9" s="366"/>
      <c r="FC9" s="370">
        <f t="shared" si="119"/>
        <v>1.25</v>
      </c>
      <c r="FD9" s="366">
        <f ca="1">IF($AB9&gt;CDS.Tenor,"-",1-EG9)</f>
        <v>0.99066880830466109</v>
      </c>
      <c r="FE9" s="366">
        <f ca="1">IF($AB9&gt;CDS.Tenor,"-",1-EH9)</f>
        <v>0.99066880830466109</v>
      </c>
      <c r="FF9" s="366">
        <f ca="1">IF($AB9&gt;CDS.Tenor,"-",1-EI9)</f>
        <v>0.99066880830466109</v>
      </c>
      <c r="FG9" s="366">
        <f ca="1">IF($AB9&gt;CDS.Tenor,"-",1-EJ9)</f>
        <v>0.99066880830466109</v>
      </c>
      <c r="FH9" s="366">
        <f ca="1">IF($AB9&gt;CDS.Tenor,"-",1-EK9)</f>
        <v>0.99066880830466109</v>
      </c>
      <c r="FI9" s="366">
        <f ca="1">IF($AB9&gt;CDS.Tenor,"-",1-EL9)</f>
        <v>0.99066880830466109</v>
      </c>
      <c r="FJ9" s="366">
        <f ca="1">IF($AB9&gt;CDS.Tenor,"-",1-EM9)</f>
        <v>0.99066880830466109</v>
      </c>
      <c r="FK9" s="366">
        <f ca="1">IF($AB9&gt;CDS.Tenor,"-",1-EN9)</f>
        <v>0.99066880830466109</v>
      </c>
      <c r="FL9" s="366">
        <f ca="1">IF($AB9&gt;CDS.Tenor,"-",1-EO9)</f>
        <v>0.99066880830466109</v>
      </c>
      <c r="FM9" s="366">
        <f ca="1">IF($AB9&gt;CDS.Tenor,"-",1-EP9)</f>
        <v>0.99066880830466109</v>
      </c>
      <c r="FN9" s="366">
        <f ca="1">IF($AB9&gt;CDS.Tenor,"-",1-EQ9)</f>
        <v>0.99066880830466109</v>
      </c>
      <c r="FO9" s="366">
        <f ca="1">IF($AB9&gt;CDS.Tenor,"-",1-ER9)</f>
        <v>0.99066880830466109</v>
      </c>
      <c r="FP9" s="366">
        <f ca="1">IF($AB9&gt;CDS.Tenor,"-",1-ES9)</f>
        <v>0.99066880830466109</v>
      </c>
      <c r="FQ9" s="366">
        <f ca="1">IF($AB9&gt;CDS.Tenor,"-",1-ET9)</f>
        <v>0.99066880830466109</v>
      </c>
      <c r="FR9" s="366">
        <f ca="1">IF($AB9&gt;CDS.Tenor,"-",1-EU9)</f>
        <v>0.99066880830466109</v>
      </c>
      <c r="FS9" s="366">
        <f ca="1">IF($AB9&gt;CDS.Tenor,"-",1-EV9)</f>
        <v>0.99066880830466109</v>
      </c>
      <c r="FT9" s="366">
        <f ca="1">IF($AB9&gt;CDS.Tenor,"-",1-EW9)</f>
        <v>0.99066880830466109</v>
      </c>
      <c r="FU9" s="366">
        <f ca="1">IF($AB9&gt;CDS.Tenor,"-",1-EX9)</f>
        <v>0.99066880830466109</v>
      </c>
      <c r="FV9" s="366">
        <f ca="1">IF($AB9&gt;CDS.Tenor,"-",1-EY9)</f>
        <v>0.99066880830466109</v>
      </c>
      <c r="FW9" s="366">
        <f ca="1">IF($AB9&gt;CDS.Tenor,"-",1-EZ9)</f>
        <v>0.99066880830466109</v>
      </c>
      <c r="FX9" s="362">
        <f ca="1">IF($AB9&gt;CDS.Tenor,"-",1-FA9)</f>
        <v>0.99066880830466109</v>
      </c>
      <c r="FZ9" s="370">
        <f t="shared" si="120"/>
        <v>1.25</v>
      </c>
      <c r="GA9" s="366">
        <f ca="1">IF($AB9&gt;CDS.Tenor,"-",BF9*DE9*FD9)</f>
        <v>0.97734392570695861</v>
      </c>
      <c r="GB9" s="366">
        <f ca="1">IF($AB9&gt;CDS.Tenor,"-",BG9*DF9*FE9)</f>
        <v>0.97734392570695861</v>
      </c>
      <c r="GC9" s="366">
        <f ca="1">IF($AB9&gt;CDS.Tenor,"-",BH9*DG9*FF9)</f>
        <v>0.97734392570695861</v>
      </c>
      <c r="GD9" s="366">
        <f ca="1">IF($AB9&gt;CDS.Tenor,"-",BI9*DH9*FG9)</f>
        <v>0.97734392570695861</v>
      </c>
      <c r="GE9" s="366">
        <f ca="1">IF($AB9&gt;CDS.Tenor,"-",BJ9*DI9*FH9)</f>
        <v>0.97734392570695861</v>
      </c>
      <c r="GF9" s="366">
        <f ca="1">IF($AB9&gt;CDS.Tenor,"-",BK9*DJ9*FI9)</f>
        <v>0.97734392570695861</v>
      </c>
      <c r="GG9" s="366">
        <f ca="1">IF($AB9&gt;CDS.Tenor,"-",BL9*DK9*FJ9)</f>
        <v>0.97734392570695861</v>
      </c>
      <c r="GH9" s="366">
        <f ca="1">IF($AB9&gt;CDS.Tenor,"-",BM9*DL9*FK9)</f>
        <v>0.97734392570695861</v>
      </c>
      <c r="GI9" s="366">
        <f ca="1">IF($AB9&gt;CDS.Tenor,"-",BN9*DM9*FL9)</f>
        <v>0.97734392570695861</v>
      </c>
      <c r="GJ9" s="366">
        <f ca="1">IF($AB9&gt;CDS.Tenor,"-",BO9*DN9*FM9)</f>
        <v>0.97734392570695861</v>
      </c>
      <c r="GK9" s="366">
        <f ca="1">IF($AB9&gt;CDS.Tenor,"-",BP9*DO9*FN9)</f>
        <v>0.97734392570695861</v>
      </c>
      <c r="GL9" s="366">
        <f ca="1">IF($AB9&gt;CDS.Tenor,"-",BQ9*DP9*FO9)</f>
        <v>0.97734392570695861</v>
      </c>
      <c r="GM9" s="366">
        <f ca="1">IF($AB9&gt;CDS.Tenor,"-",BR9*DQ9*FP9)</f>
        <v>0.97734392570695861</v>
      </c>
      <c r="GN9" s="366">
        <f ca="1">IF($AB9&gt;CDS.Tenor,"-",BS9*DR9*FQ9)</f>
        <v>0.97734392570695861</v>
      </c>
      <c r="GO9" s="366">
        <f ca="1">IF($AB9&gt;CDS.Tenor,"-",BT9*DS9*FR9)</f>
        <v>0.97734392570695861</v>
      </c>
      <c r="GP9" s="366">
        <f ca="1">IF($AB9&gt;CDS.Tenor,"-",BU9*DT9*FS9)</f>
        <v>0.97734392570695861</v>
      </c>
      <c r="GQ9" s="366">
        <f ca="1">IF($AB9&gt;CDS.Tenor,"-",BV9*DU9*FT9)</f>
        <v>0.97734392570695861</v>
      </c>
      <c r="GR9" s="366">
        <f ca="1">IF($AB9&gt;CDS.Tenor,"-",BW9*DV9*FU9)</f>
        <v>0.97734392570695861</v>
      </c>
      <c r="GS9" s="366">
        <f ca="1">IF($AB9&gt;CDS.Tenor,"-",BX9*DW9*FV9)</f>
        <v>0.97734392570695861</v>
      </c>
      <c r="GT9" s="366">
        <f ca="1">IF($AB9&gt;CDS.Tenor,"-",BY9*DX9*FW9)</f>
        <v>0.97734392570695861</v>
      </c>
      <c r="GU9" s="362">
        <f ca="1">IF($AB9&gt;CDS.Tenor,"-",BZ9*DY9*FX9)</f>
        <v>0.97734392570695861</v>
      </c>
      <c r="GV9" s="42"/>
      <c r="GW9" s="370">
        <f t="shared" si="121"/>
        <v>1.25</v>
      </c>
      <c r="GX9" s="378">
        <f ca="1">IF($AB9&gt;CDS.Tenor,"-",SUMPRODUCT($GA9:$GU9,$GA$4:$GU$4)*dm)</f>
        <v>0.97734381424105754</v>
      </c>
      <c r="GY9" s="381">
        <f ca="1">IF($AB9&gt;CDS.Tenor,"-",GX8-GX9)</f>
        <v>4.4897736869380367E-3</v>
      </c>
    </row>
    <row r="10" spans="2:228" x14ac:dyDescent="0.3">
      <c r="B10" s="116" t="s">
        <v>133</v>
      </c>
      <c r="C10" s="165"/>
      <c r="D10" s="167">
        <v>5</v>
      </c>
      <c r="F10" s="116" t="s">
        <v>126</v>
      </c>
      <c r="G10" s="165"/>
      <c r="H10" s="162">
        <f ca="1">H9*0.01%</f>
        <v>4286.5830507925248</v>
      </c>
      <c r="I10" s="17"/>
      <c r="J10" s="156">
        <f t="shared" si="103"/>
        <v>1.5</v>
      </c>
      <c r="K10" s="28">
        <f>IF($J10&gt;CDS.Tenor,"-",CDS.PremiumSign*CDS.Notional*CDS.YearFraction*CDS.CreditSpread)</f>
        <v>-25000</v>
      </c>
      <c r="L10" s="10">
        <f ca="1">GX10</f>
        <v>0.97287457159726998</v>
      </c>
      <c r="M10" s="10">
        <f ca="1">IF($J10&gt;CDS.Tenor,"-",L9-L10)</f>
        <v>4.4692426437875632E-3</v>
      </c>
      <c r="N10" s="94" cm="1">
        <f t="array" ref="N10">IF($J10&gt;CDS.Tenor,"-",cubicInterpolation(CurveResults.Times,CurveResults.DFs,$J10))</f>
        <v>0.93466312738762736</v>
      </c>
      <c r="O10" s="28">
        <f ca="1">IF($J10&gt;CDS.Tenor,"-",K10*L10*N10)</f>
        <v>-22732.749741125062</v>
      </c>
      <c r="P10" s="28">
        <f ca="1">IF($J10&gt;CDS.Tenor,"-",0.5*K10*M10*N10)</f>
        <v>-52.215453831207896</v>
      </c>
      <c r="Q10" s="142">
        <f ca="1">IF($J10&gt;CDS.Tenor,"-",O10+P10)</f>
        <v>-22784.965194956269</v>
      </c>
      <c r="T10" s="156">
        <f t="shared" si="104"/>
        <v>1.5</v>
      </c>
      <c r="U10" s="28">
        <f>IF($J10&gt;CDS.Tenor,"-",CDS.ProtectionSign*CDS.Notional*(1-CDS.RecoveryRate))</f>
        <v>6000000</v>
      </c>
      <c r="V10" s="10">
        <f ca="1">IF($J10&gt;CDS.Tenor,"-",GX10)</f>
        <v>0.97287457159726998</v>
      </c>
      <c r="W10" s="10">
        <f ca="1">IF($J10&gt;CDS.Tenor,"-",V9-V10)</f>
        <v>4.4692426437875632E-3</v>
      </c>
      <c r="X10" s="94" cm="1">
        <f t="array" ref="X10">IF($T10&gt;CDS.Tenor,"-",cubicInterpolation(CurveResults.Times,CurveResults.DFs,$J10))</f>
        <v>0.93466312738762736</v>
      </c>
      <c r="Y10" s="142">
        <f ca="1">IF($J10&gt;CDS.Tenor,"-",U10*W10*X10)</f>
        <v>25063.417838979789</v>
      </c>
      <c r="AB10" s="156">
        <f t="shared" si="105"/>
        <v>1.5</v>
      </c>
      <c r="AC10" s="352" cm="1">
        <f t="array" aca="1" ref="AC10" ca="1">IF($AB10&gt;CDS.Tenor,"-",flatInterpolation(AA10,INDIRECT(HazardRateTimes1),INDIRECT(HazardRateValues1)))</f>
        <v>5.0000000000000001E-3</v>
      </c>
      <c r="AD10" s="10">
        <f t="shared" ca="1" si="106"/>
        <v>0.99252805481913864</v>
      </c>
      <c r="AE10" s="10">
        <f t="shared" ca="1" si="107"/>
        <v>7.4719451808613613E-3</v>
      </c>
      <c r="AF10" s="360">
        <f ca="1">IF($AB10&gt;CDS.Tenor,"-",NORMSINV(AE10))</f>
        <v>-2.4337359926085322</v>
      </c>
      <c r="AG10" s="360"/>
      <c r="AH10" s="370">
        <f t="shared" si="108"/>
        <v>1.5</v>
      </c>
      <c r="AI10" s="366">
        <f ca="1">IF($AB10&gt;CDS.Tenor,"-",_xlfn.NORM.S.DIST(($AF10-SQRT(ImpliedCorrelation)*AI$3)/SQRT(1-ImpliedCorrelation),TRUE))</f>
        <v>7.4719451808613708E-3</v>
      </c>
      <c r="AJ10" s="366">
        <f ca="1">IF($AB10&gt;CDS.Tenor,"-",_xlfn.NORM.S.DIST(($AF10-SQRT(ImpliedCorrelation)*AJ$3)/SQRT(1-ImpliedCorrelation),TRUE))</f>
        <v>7.4719451808613708E-3</v>
      </c>
      <c r="AK10" s="366">
        <f ca="1">IF($AB10&gt;CDS.Tenor,"-",_xlfn.NORM.S.DIST(($AF10-SQRT(ImpliedCorrelation)*AK$3)/SQRT(1-ImpliedCorrelation),TRUE))</f>
        <v>7.4719451808613708E-3</v>
      </c>
      <c r="AL10" s="366">
        <f ca="1">IF($AB10&gt;CDS.Tenor,"-",_xlfn.NORM.S.DIST(($AF10-SQRT(ImpliedCorrelation)*AL$3)/SQRT(1-ImpliedCorrelation),TRUE))</f>
        <v>7.4719451808613708E-3</v>
      </c>
      <c r="AM10" s="366">
        <f ca="1">IF($AB10&gt;CDS.Tenor,"-",_xlfn.NORM.S.DIST(($AF10-SQRT(ImpliedCorrelation)*AM$3)/SQRT(1-ImpliedCorrelation),TRUE))</f>
        <v>7.4719451808613708E-3</v>
      </c>
      <c r="AN10" s="366">
        <f ca="1">IF($AB10&gt;CDS.Tenor,"-",_xlfn.NORM.S.DIST(($AF10-SQRT(ImpliedCorrelation)*AN$3)/SQRT(1-ImpliedCorrelation),TRUE))</f>
        <v>7.4719451808613708E-3</v>
      </c>
      <c r="AO10" s="366">
        <f ca="1">IF($AB10&gt;CDS.Tenor,"-",_xlfn.NORM.S.DIST(($AF10-SQRT(ImpliedCorrelation)*AO$3)/SQRT(1-ImpliedCorrelation),TRUE))</f>
        <v>7.4719451808613708E-3</v>
      </c>
      <c r="AP10" s="366">
        <f ca="1">IF($AB10&gt;CDS.Tenor,"-",_xlfn.NORM.S.DIST(($AF10-SQRT(ImpliedCorrelation)*AP$3)/SQRT(1-ImpliedCorrelation),TRUE))</f>
        <v>7.4719451808613708E-3</v>
      </c>
      <c r="AQ10" s="366">
        <f ca="1">IF($AB10&gt;CDS.Tenor,"-",_xlfn.NORM.S.DIST(($AF10-SQRT(ImpliedCorrelation)*AQ$3)/SQRT(1-ImpliedCorrelation),TRUE))</f>
        <v>7.4719451808613708E-3</v>
      </c>
      <c r="AR10" s="366">
        <f ca="1">IF($AB10&gt;CDS.Tenor,"-",_xlfn.NORM.S.DIST(($AF10-SQRT(ImpliedCorrelation)*AR$3)/SQRT(1-ImpliedCorrelation),TRUE))</f>
        <v>7.4719451808613708E-3</v>
      </c>
      <c r="AS10" s="366">
        <f ca="1">IF($AB10&gt;CDS.Tenor,"-",_xlfn.NORM.S.DIST(($AF10-SQRT(ImpliedCorrelation)*AS$3)/SQRT(1-ImpliedCorrelation),TRUE))</f>
        <v>7.4719451808613708E-3</v>
      </c>
      <c r="AT10" s="366">
        <f ca="1">IF($AB10&gt;CDS.Tenor,"-",_xlfn.NORM.S.DIST(($AF10-SQRT(ImpliedCorrelation)*AT$3)/SQRT(1-ImpliedCorrelation),TRUE))</f>
        <v>7.4719451808613708E-3</v>
      </c>
      <c r="AU10" s="366">
        <f ca="1">IF($AB10&gt;CDS.Tenor,"-",_xlfn.NORM.S.DIST(($AF10-SQRT(ImpliedCorrelation)*AU$3)/SQRT(1-ImpliedCorrelation),TRUE))</f>
        <v>7.4719451808613708E-3</v>
      </c>
      <c r="AV10" s="366">
        <f ca="1">IF($AB10&gt;CDS.Tenor,"-",_xlfn.NORM.S.DIST(($AF10-SQRT(ImpliedCorrelation)*AV$3)/SQRT(1-ImpliedCorrelation),TRUE))</f>
        <v>7.4719451808613708E-3</v>
      </c>
      <c r="AW10" s="366">
        <f ca="1">IF($AB10&gt;CDS.Tenor,"-",_xlfn.NORM.S.DIST(($AF10-SQRT(ImpliedCorrelation)*AW$3)/SQRT(1-ImpliedCorrelation),TRUE))</f>
        <v>7.4719451808613708E-3</v>
      </c>
      <c r="AX10" s="366">
        <f ca="1">IF($AB10&gt;CDS.Tenor,"-",_xlfn.NORM.S.DIST(($AF10-SQRT(ImpliedCorrelation)*AX$3)/SQRT(1-ImpliedCorrelation),TRUE))</f>
        <v>7.4719451808613708E-3</v>
      </c>
      <c r="AY10" s="366">
        <f ca="1">IF($AB10&gt;CDS.Tenor,"-",_xlfn.NORM.S.DIST(($AF10-SQRT(ImpliedCorrelation)*AY$3)/SQRT(1-ImpliedCorrelation),TRUE))</f>
        <v>7.4719451808613708E-3</v>
      </c>
      <c r="AZ10" s="366">
        <f ca="1">IF($AB10&gt;CDS.Tenor,"-",_xlfn.NORM.S.DIST(($AF10-SQRT(ImpliedCorrelation)*AZ$3)/SQRT(1-ImpliedCorrelation),TRUE))</f>
        <v>7.4719451808613708E-3</v>
      </c>
      <c r="BA10" s="366">
        <f ca="1">IF($AB10&gt;CDS.Tenor,"-",_xlfn.NORM.S.DIST(($AF10-SQRT(ImpliedCorrelation)*BA$3)/SQRT(1-ImpliedCorrelation),TRUE))</f>
        <v>7.4719451808613708E-3</v>
      </c>
      <c r="BB10" s="366">
        <f ca="1">IF($AB10&gt;CDS.Tenor,"-",_xlfn.NORM.S.DIST(($AF10-SQRT(ImpliedCorrelation)*BB$3)/SQRT(1-ImpliedCorrelation),TRUE))</f>
        <v>7.4719451808613708E-3</v>
      </c>
      <c r="BC10" s="366">
        <f ca="1">IF($AB10&gt;CDS.Tenor,"-",_xlfn.NORM.S.DIST(($AF10-SQRT(ImpliedCorrelation)*BC$3)/SQRT(1-ImpliedCorrelation),TRUE))</f>
        <v>7.4719451808613708E-3</v>
      </c>
      <c r="BD10" s="366"/>
      <c r="BE10" s="370">
        <f t="shared" si="109"/>
        <v>1.5</v>
      </c>
      <c r="BF10" s="366">
        <f ca="1">IF($AB10&gt;CDS.Tenor,"-",1-AI10)</f>
        <v>0.99252805481913864</v>
      </c>
      <c r="BG10" s="366">
        <f ca="1">IF($AB10&gt;CDS.Tenor,"-",1-AJ10)</f>
        <v>0.99252805481913864</v>
      </c>
      <c r="BH10" s="366">
        <f ca="1">IF($AB10&gt;CDS.Tenor,"-",1-AK10)</f>
        <v>0.99252805481913864</v>
      </c>
      <c r="BI10" s="366">
        <f ca="1">IF($AB10&gt;CDS.Tenor,"-",1-AL10)</f>
        <v>0.99252805481913864</v>
      </c>
      <c r="BJ10" s="366">
        <f ca="1">IF($AB10&gt;CDS.Tenor,"-",1-AM10)</f>
        <v>0.99252805481913864</v>
      </c>
      <c r="BK10" s="366">
        <f ca="1">IF($AB10&gt;CDS.Tenor,"-",1-AN10)</f>
        <v>0.99252805481913864</v>
      </c>
      <c r="BL10" s="366">
        <f ca="1">IF($AB10&gt;CDS.Tenor,"-",1-AO10)</f>
        <v>0.99252805481913864</v>
      </c>
      <c r="BM10" s="366">
        <f ca="1">IF($AB10&gt;CDS.Tenor,"-",1-AP10)</f>
        <v>0.99252805481913864</v>
      </c>
      <c r="BN10" s="366">
        <f ca="1">IF($AB10&gt;CDS.Tenor,"-",1-AQ10)</f>
        <v>0.99252805481913864</v>
      </c>
      <c r="BO10" s="366">
        <f ca="1">IF($AB10&gt;CDS.Tenor,"-",1-AR10)</f>
        <v>0.99252805481913864</v>
      </c>
      <c r="BP10" s="366">
        <f ca="1">IF($AB10&gt;CDS.Tenor,"-",1-AS10)</f>
        <v>0.99252805481913864</v>
      </c>
      <c r="BQ10" s="366">
        <f ca="1">IF($AB10&gt;CDS.Tenor,"-",1-AT10)</f>
        <v>0.99252805481913864</v>
      </c>
      <c r="BR10" s="366">
        <f ca="1">IF($AB10&gt;CDS.Tenor,"-",1-AU10)</f>
        <v>0.99252805481913864</v>
      </c>
      <c r="BS10" s="366">
        <f ca="1">IF($AB10&gt;CDS.Tenor,"-",1-AV10)</f>
        <v>0.99252805481913864</v>
      </c>
      <c r="BT10" s="366">
        <f ca="1">IF($AB10&gt;CDS.Tenor,"-",1-AW10)</f>
        <v>0.99252805481913864</v>
      </c>
      <c r="BU10" s="366">
        <f ca="1">IF($AB10&gt;CDS.Tenor,"-",1-AX10)</f>
        <v>0.99252805481913864</v>
      </c>
      <c r="BV10" s="366">
        <f ca="1">IF($AB10&gt;CDS.Tenor,"-",1-AY10)</f>
        <v>0.99252805481913864</v>
      </c>
      <c r="BW10" s="366">
        <f ca="1">IF($AB10&gt;CDS.Tenor,"-",1-AZ10)</f>
        <v>0.99252805481913864</v>
      </c>
      <c r="BX10" s="366">
        <f ca="1">IF($AB10&gt;CDS.Tenor,"-",1-BA10)</f>
        <v>0.99252805481913864</v>
      </c>
      <c r="BY10" s="366">
        <f ca="1">IF($AB10&gt;CDS.Tenor,"-",1-BB10)</f>
        <v>0.99252805481913864</v>
      </c>
      <c r="BZ10" s="366">
        <f ca="1">IF($AB10&gt;CDS.Tenor,"-",1-BC10)</f>
        <v>0.99252805481913864</v>
      </c>
      <c r="CA10" s="17"/>
      <c r="CB10" s="352" cm="1">
        <f t="array" aca="1" ref="CB10" ca="1">IF($AB10&gt;CDS.Tenor,"-",flatInterpolation(AB10,INDIRECT(HazardRateTimes2),INDIRECT(HazardRateValues2)))</f>
        <v>5.8333333333333336E-3</v>
      </c>
      <c r="CC10" s="10">
        <f t="shared" ca="1" si="110"/>
        <v>0.99128816984016976</v>
      </c>
      <c r="CD10" s="10">
        <f t="shared" ca="1" si="111"/>
        <v>8.7118301598302361E-3</v>
      </c>
      <c r="CE10" s="81">
        <f t="shared" ca="1" si="112"/>
        <v>-2.377643535749058</v>
      </c>
      <c r="CF10" s="360"/>
      <c r="CG10" s="370">
        <f t="shared" si="113"/>
        <v>1.5</v>
      </c>
      <c r="CH10" s="366">
        <f ca="1">IF($AB10&gt;CDS.Tenor,"-",_xlfn.NORM.S.DIST(($CE10-SQRT(ImpliedCorrelation)*CH$3)/SQRT(1-ImpliedCorrelation),TRUE))</f>
        <v>8.7118301598302188E-3</v>
      </c>
      <c r="CI10" s="366">
        <f ca="1">IF($AB10&gt;CDS.Tenor,"-",_xlfn.NORM.S.DIST(($CE10-SQRT(ImpliedCorrelation)*CI$3)/SQRT(1-ImpliedCorrelation),TRUE))</f>
        <v>8.7118301598302188E-3</v>
      </c>
      <c r="CJ10" s="366">
        <f ca="1">IF($AB10&gt;CDS.Tenor,"-",_xlfn.NORM.S.DIST(($CE10-SQRT(ImpliedCorrelation)*CJ$3)/SQRT(1-ImpliedCorrelation),TRUE))</f>
        <v>8.7118301598302188E-3</v>
      </c>
      <c r="CK10" s="366">
        <f ca="1">IF($AB10&gt;CDS.Tenor,"-",_xlfn.NORM.S.DIST(($CE10-SQRT(ImpliedCorrelation)*CK$3)/SQRT(1-ImpliedCorrelation),TRUE))</f>
        <v>8.7118301598302188E-3</v>
      </c>
      <c r="CL10" s="366">
        <f ca="1">IF($AB10&gt;CDS.Tenor,"-",_xlfn.NORM.S.DIST(($CE10-SQRT(ImpliedCorrelation)*CL$3)/SQRT(1-ImpliedCorrelation),TRUE))</f>
        <v>8.7118301598302188E-3</v>
      </c>
      <c r="CM10" s="366">
        <f ca="1">IF($AB10&gt;CDS.Tenor,"-",_xlfn.NORM.S.DIST(($CE10-SQRT(ImpliedCorrelation)*CM$3)/SQRT(1-ImpliedCorrelation),TRUE))</f>
        <v>8.7118301598302188E-3</v>
      </c>
      <c r="CN10" s="366">
        <f ca="1">IF($AB10&gt;CDS.Tenor,"-",_xlfn.NORM.S.DIST(($CE10-SQRT(ImpliedCorrelation)*CN$3)/SQRT(1-ImpliedCorrelation),TRUE))</f>
        <v>8.7118301598302188E-3</v>
      </c>
      <c r="CO10" s="366">
        <f ca="1">IF($AB10&gt;CDS.Tenor,"-",_xlfn.NORM.S.DIST(($CE10-SQRT(ImpliedCorrelation)*CO$3)/SQRT(1-ImpliedCorrelation),TRUE))</f>
        <v>8.7118301598302188E-3</v>
      </c>
      <c r="CP10" s="366">
        <f ca="1">IF($AB10&gt;CDS.Tenor,"-",_xlfn.NORM.S.DIST(($CE10-SQRT(ImpliedCorrelation)*CP$3)/SQRT(1-ImpliedCorrelation),TRUE))</f>
        <v>8.7118301598302188E-3</v>
      </c>
      <c r="CQ10" s="366">
        <f ca="1">IF($AB10&gt;CDS.Tenor,"-",_xlfn.NORM.S.DIST(($CE10-SQRT(ImpliedCorrelation)*CQ$3)/SQRT(1-ImpliedCorrelation),TRUE))</f>
        <v>8.7118301598302188E-3</v>
      </c>
      <c r="CR10" s="366">
        <f ca="1">IF($AB10&gt;CDS.Tenor,"-",_xlfn.NORM.S.DIST(($CE10-SQRT(ImpliedCorrelation)*CR$3)/SQRT(1-ImpliedCorrelation),TRUE))</f>
        <v>8.7118301598302188E-3</v>
      </c>
      <c r="CS10" s="366">
        <f ca="1">IF($AB10&gt;CDS.Tenor,"-",_xlfn.NORM.S.DIST(($CE10-SQRT(ImpliedCorrelation)*CS$3)/SQRT(1-ImpliedCorrelation),TRUE))</f>
        <v>8.7118301598302188E-3</v>
      </c>
      <c r="CT10" s="366">
        <f ca="1">IF($AB10&gt;CDS.Tenor,"-",_xlfn.NORM.S.DIST(($CE10-SQRT(ImpliedCorrelation)*CT$3)/SQRT(1-ImpliedCorrelation),TRUE))</f>
        <v>8.7118301598302188E-3</v>
      </c>
      <c r="CU10" s="366">
        <f ca="1">IF($AB10&gt;CDS.Tenor,"-",_xlfn.NORM.S.DIST(($CE10-SQRT(ImpliedCorrelation)*CU$3)/SQRT(1-ImpliedCorrelation),TRUE))</f>
        <v>8.7118301598302188E-3</v>
      </c>
      <c r="CV10" s="366">
        <f ca="1">IF($AB10&gt;CDS.Tenor,"-",_xlfn.NORM.S.DIST(($CE10-SQRT(ImpliedCorrelation)*CV$3)/SQRT(1-ImpliedCorrelation),TRUE))</f>
        <v>8.7118301598302188E-3</v>
      </c>
      <c r="CW10" s="366">
        <f ca="1">IF($AB10&gt;CDS.Tenor,"-",_xlfn.NORM.S.DIST(($CE10-SQRT(ImpliedCorrelation)*CW$3)/SQRT(1-ImpliedCorrelation),TRUE))</f>
        <v>8.7118301598302188E-3</v>
      </c>
      <c r="CX10" s="366">
        <f ca="1">IF($AB10&gt;CDS.Tenor,"-",_xlfn.NORM.S.DIST(($CE10-SQRT(ImpliedCorrelation)*CX$3)/SQRT(1-ImpliedCorrelation),TRUE))</f>
        <v>8.7118301598302188E-3</v>
      </c>
      <c r="CY10" s="366">
        <f ca="1">IF($AB10&gt;CDS.Tenor,"-",_xlfn.NORM.S.DIST(($CE10-SQRT(ImpliedCorrelation)*CY$3)/SQRT(1-ImpliedCorrelation),TRUE))</f>
        <v>8.7118301598302188E-3</v>
      </c>
      <c r="CZ10" s="366">
        <f ca="1">IF($AB10&gt;CDS.Tenor,"-",_xlfn.NORM.S.DIST(($CE10-SQRT(ImpliedCorrelation)*CZ$3)/SQRT(1-ImpliedCorrelation),TRUE))</f>
        <v>8.7118301598302188E-3</v>
      </c>
      <c r="DA10" s="366">
        <f ca="1">IF($AB10&gt;CDS.Tenor,"-",_xlfn.NORM.S.DIST(($CE10-SQRT(ImpliedCorrelation)*DA$3)/SQRT(1-ImpliedCorrelation),TRUE))</f>
        <v>8.7118301598302188E-3</v>
      </c>
      <c r="DB10" s="366">
        <f ca="1">IF($AB10&gt;CDS.Tenor,"-",_xlfn.NORM.S.DIST(($CE10-SQRT(ImpliedCorrelation)*DB$3)/SQRT(1-ImpliedCorrelation),TRUE))</f>
        <v>8.7118301598302188E-3</v>
      </c>
      <c r="DC10" s="366"/>
      <c r="DD10" s="370">
        <f t="shared" si="114"/>
        <v>1.5</v>
      </c>
      <c r="DE10" s="366">
        <f ca="1">IF($AB10&gt;CDS.Tenor,"-",1-CH10)</f>
        <v>0.99128816984016976</v>
      </c>
      <c r="DF10" s="366">
        <f ca="1">IF($AB10&gt;CDS.Tenor,"-",1-CI10)</f>
        <v>0.99128816984016976</v>
      </c>
      <c r="DG10" s="366">
        <f ca="1">IF($AB10&gt;CDS.Tenor,"-",1-CJ10)</f>
        <v>0.99128816984016976</v>
      </c>
      <c r="DH10" s="366">
        <f ca="1">IF($AB10&gt;CDS.Tenor,"-",1-CK10)</f>
        <v>0.99128816984016976</v>
      </c>
      <c r="DI10" s="366">
        <f ca="1">IF($AB10&gt;CDS.Tenor,"-",1-CL10)</f>
        <v>0.99128816984016976</v>
      </c>
      <c r="DJ10" s="366">
        <f ca="1">IF($AB10&gt;CDS.Tenor,"-",1-CM10)</f>
        <v>0.99128816984016976</v>
      </c>
      <c r="DK10" s="366">
        <f ca="1">IF($AB10&gt;CDS.Tenor,"-",1-CN10)</f>
        <v>0.99128816984016976</v>
      </c>
      <c r="DL10" s="366">
        <f ca="1">IF($AB10&gt;CDS.Tenor,"-",1-CO10)</f>
        <v>0.99128816984016976</v>
      </c>
      <c r="DM10" s="366">
        <f ca="1">IF($AB10&gt;CDS.Tenor,"-",1-CP10)</f>
        <v>0.99128816984016976</v>
      </c>
      <c r="DN10" s="366">
        <f ca="1">IF($AB10&gt;CDS.Tenor,"-",1-CQ10)</f>
        <v>0.99128816984016976</v>
      </c>
      <c r="DO10" s="366">
        <f ca="1">IF($AB10&gt;CDS.Tenor,"-",1-CR10)</f>
        <v>0.99128816984016976</v>
      </c>
      <c r="DP10" s="366">
        <f ca="1">IF($AB10&gt;CDS.Tenor,"-",1-CS10)</f>
        <v>0.99128816984016976</v>
      </c>
      <c r="DQ10" s="366">
        <f ca="1">IF($AB10&gt;CDS.Tenor,"-",1-CT10)</f>
        <v>0.99128816984016976</v>
      </c>
      <c r="DR10" s="366">
        <f ca="1">IF($AB10&gt;CDS.Tenor,"-",1-CU10)</f>
        <v>0.99128816984016976</v>
      </c>
      <c r="DS10" s="366">
        <f ca="1">IF($AB10&gt;CDS.Tenor,"-",1-CV10)</f>
        <v>0.99128816984016976</v>
      </c>
      <c r="DT10" s="366">
        <f ca="1">IF($AB10&gt;CDS.Tenor,"-",1-CW10)</f>
        <v>0.99128816984016976</v>
      </c>
      <c r="DU10" s="366">
        <f ca="1">IF($AB10&gt;CDS.Tenor,"-",1-CX10)</f>
        <v>0.99128816984016976</v>
      </c>
      <c r="DV10" s="366">
        <f ca="1">IF($AB10&gt;CDS.Tenor,"-",1-CY10)</f>
        <v>0.99128816984016976</v>
      </c>
      <c r="DW10" s="366">
        <f ca="1">IF($AB10&gt;CDS.Tenor,"-",1-CZ10)</f>
        <v>0.99128816984016976</v>
      </c>
      <c r="DX10" s="366">
        <f ca="1">IF($AB10&gt;CDS.Tenor,"-",1-DA10)</f>
        <v>0.99128816984016976</v>
      </c>
      <c r="DY10" s="362">
        <f ca="1">IF($AB10&gt;CDS.Tenor,"-",1-DB10)</f>
        <v>0.99128816984016976</v>
      </c>
      <c r="DZ10" s="360"/>
      <c r="EA10" s="352" cm="1">
        <f t="array" aca="1" ref="EA10" ca="1">IF($AB10&gt;CDS.Tenor,"-",flatInterpolation(CC10,INDIRECT(HazardRateTimes3),INDIRECT(HazardRateValues3)))</f>
        <v>7.4999999999999997E-3</v>
      </c>
      <c r="EB10" s="10">
        <f t="shared" ca="1" si="115"/>
        <v>0.98881304461123321</v>
      </c>
      <c r="EC10" s="10">
        <f t="shared" ca="1" si="116"/>
        <v>1.1186955388766795E-2</v>
      </c>
      <c r="ED10" s="81">
        <f t="shared" ca="1" si="117"/>
        <v>-2.2839595080434103</v>
      </c>
      <c r="EF10" s="370">
        <f t="shared" si="118"/>
        <v>1.5</v>
      </c>
      <c r="EG10" s="366">
        <f ca="1">IF($AB10&gt;CDS.Tenor,"-",_xlfn.NORM.S.DIST(($ED10-SQRT(ImpliedCorrelation)*EG$3)/SQRT(1-ImpliedCorrelation),TRUE))</f>
        <v>1.1186955388766802E-2</v>
      </c>
      <c r="EH10" s="366">
        <f ca="1">IF($AB10&gt;CDS.Tenor,"-",_xlfn.NORM.S.DIST(($ED10-SQRT(ImpliedCorrelation)*EH$3)/SQRT(1-ImpliedCorrelation),TRUE))</f>
        <v>1.1186955388766802E-2</v>
      </c>
      <c r="EI10" s="366">
        <f ca="1">IF($AB10&gt;CDS.Tenor,"-",_xlfn.NORM.S.DIST(($ED10-SQRT(ImpliedCorrelation)*EI$3)/SQRT(1-ImpliedCorrelation),TRUE))</f>
        <v>1.1186955388766802E-2</v>
      </c>
      <c r="EJ10" s="366">
        <f ca="1">IF($AB10&gt;CDS.Tenor,"-",_xlfn.NORM.S.DIST(($ED10-SQRT(ImpliedCorrelation)*EJ$3)/SQRT(1-ImpliedCorrelation),TRUE))</f>
        <v>1.1186955388766802E-2</v>
      </c>
      <c r="EK10" s="366">
        <f ca="1">IF($AB10&gt;CDS.Tenor,"-",_xlfn.NORM.S.DIST(($ED10-SQRT(ImpliedCorrelation)*EK$3)/SQRT(1-ImpliedCorrelation),TRUE))</f>
        <v>1.1186955388766802E-2</v>
      </c>
      <c r="EL10" s="366">
        <f ca="1">IF($AB10&gt;CDS.Tenor,"-",_xlfn.NORM.S.DIST(($ED10-SQRT(ImpliedCorrelation)*EL$3)/SQRT(1-ImpliedCorrelation),TRUE))</f>
        <v>1.1186955388766802E-2</v>
      </c>
      <c r="EM10" s="366">
        <f ca="1">IF($AB10&gt;CDS.Tenor,"-",_xlfn.NORM.S.DIST(($ED10-SQRT(ImpliedCorrelation)*EM$3)/SQRT(1-ImpliedCorrelation),TRUE))</f>
        <v>1.1186955388766802E-2</v>
      </c>
      <c r="EN10" s="366">
        <f ca="1">IF($AB10&gt;CDS.Tenor,"-",_xlfn.NORM.S.DIST(($ED10-SQRT(ImpliedCorrelation)*EN$3)/SQRT(1-ImpliedCorrelation),TRUE))</f>
        <v>1.1186955388766802E-2</v>
      </c>
      <c r="EO10" s="366">
        <f ca="1">IF($AB10&gt;CDS.Tenor,"-",_xlfn.NORM.S.DIST(($ED10-SQRT(ImpliedCorrelation)*EO$3)/SQRT(1-ImpliedCorrelation),TRUE))</f>
        <v>1.1186955388766802E-2</v>
      </c>
      <c r="EP10" s="366">
        <f ca="1">IF($AB10&gt;CDS.Tenor,"-",_xlfn.NORM.S.DIST(($ED10-SQRT(ImpliedCorrelation)*EP$3)/SQRT(1-ImpliedCorrelation),TRUE))</f>
        <v>1.1186955388766802E-2</v>
      </c>
      <c r="EQ10" s="366">
        <f ca="1">IF($AB10&gt;CDS.Tenor,"-",_xlfn.NORM.S.DIST(($ED10-SQRT(ImpliedCorrelation)*EQ$3)/SQRT(1-ImpliedCorrelation),TRUE))</f>
        <v>1.1186955388766802E-2</v>
      </c>
      <c r="ER10" s="366">
        <f ca="1">IF($AB10&gt;CDS.Tenor,"-",_xlfn.NORM.S.DIST(($ED10-SQRT(ImpliedCorrelation)*ER$3)/SQRT(1-ImpliedCorrelation),TRUE))</f>
        <v>1.1186955388766802E-2</v>
      </c>
      <c r="ES10" s="366">
        <f ca="1">IF($AB10&gt;CDS.Tenor,"-",_xlfn.NORM.S.DIST(($ED10-SQRT(ImpliedCorrelation)*ES$3)/SQRT(1-ImpliedCorrelation),TRUE))</f>
        <v>1.1186955388766802E-2</v>
      </c>
      <c r="ET10" s="366">
        <f ca="1">IF($AB10&gt;CDS.Tenor,"-",_xlfn.NORM.S.DIST(($ED10-SQRT(ImpliedCorrelation)*ET$3)/SQRT(1-ImpliedCorrelation),TRUE))</f>
        <v>1.1186955388766802E-2</v>
      </c>
      <c r="EU10" s="366">
        <f ca="1">IF($AB10&gt;CDS.Tenor,"-",_xlfn.NORM.S.DIST(($ED10-SQRT(ImpliedCorrelation)*EU$3)/SQRT(1-ImpliedCorrelation),TRUE))</f>
        <v>1.1186955388766802E-2</v>
      </c>
      <c r="EV10" s="366">
        <f ca="1">IF($AB10&gt;CDS.Tenor,"-",_xlfn.NORM.S.DIST(($ED10-SQRT(ImpliedCorrelation)*EV$3)/SQRT(1-ImpliedCorrelation),TRUE))</f>
        <v>1.1186955388766802E-2</v>
      </c>
      <c r="EW10" s="366">
        <f ca="1">IF($AB10&gt;CDS.Tenor,"-",_xlfn.NORM.S.DIST(($ED10-SQRT(ImpliedCorrelation)*EW$3)/SQRT(1-ImpliedCorrelation),TRUE))</f>
        <v>1.1186955388766802E-2</v>
      </c>
      <c r="EX10" s="366">
        <f ca="1">IF($AB10&gt;CDS.Tenor,"-",_xlfn.NORM.S.DIST(($ED10-SQRT(ImpliedCorrelation)*EX$3)/SQRT(1-ImpliedCorrelation),TRUE))</f>
        <v>1.1186955388766802E-2</v>
      </c>
      <c r="EY10" s="366">
        <f ca="1">IF($AB10&gt;CDS.Tenor,"-",_xlfn.NORM.S.DIST(($ED10-SQRT(ImpliedCorrelation)*EY$3)/SQRT(1-ImpliedCorrelation),TRUE))</f>
        <v>1.1186955388766802E-2</v>
      </c>
      <c r="EZ10" s="366">
        <f ca="1">IF($AB10&gt;CDS.Tenor,"-",_xlfn.NORM.S.DIST(($ED10-SQRT(ImpliedCorrelation)*EZ$3)/SQRT(1-ImpliedCorrelation),TRUE))</f>
        <v>1.1186955388766802E-2</v>
      </c>
      <c r="FA10" s="366">
        <f ca="1">IF($AB10&gt;CDS.Tenor,"-",_xlfn.NORM.S.DIST(($ED10-SQRT(ImpliedCorrelation)*FA$3)/SQRT(1-ImpliedCorrelation),TRUE))</f>
        <v>1.1186955388766802E-2</v>
      </c>
      <c r="FB10" s="366"/>
      <c r="FC10" s="370">
        <f t="shared" si="119"/>
        <v>1.5</v>
      </c>
      <c r="FD10" s="366">
        <f ca="1">IF($AB10&gt;CDS.Tenor,"-",1-EG10)</f>
        <v>0.98881304461123321</v>
      </c>
      <c r="FE10" s="366">
        <f ca="1">IF($AB10&gt;CDS.Tenor,"-",1-EH10)</f>
        <v>0.98881304461123321</v>
      </c>
      <c r="FF10" s="366">
        <f ca="1">IF($AB10&gt;CDS.Tenor,"-",1-EI10)</f>
        <v>0.98881304461123321</v>
      </c>
      <c r="FG10" s="366">
        <f ca="1">IF($AB10&gt;CDS.Tenor,"-",1-EJ10)</f>
        <v>0.98881304461123321</v>
      </c>
      <c r="FH10" s="366">
        <f ca="1">IF($AB10&gt;CDS.Tenor,"-",1-EK10)</f>
        <v>0.98881304461123321</v>
      </c>
      <c r="FI10" s="366">
        <f ca="1">IF($AB10&gt;CDS.Tenor,"-",1-EL10)</f>
        <v>0.98881304461123321</v>
      </c>
      <c r="FJ10" s="366">
        <f ca="1">IF($AB10&gt;CDS.Tenor,"-",1-EM10)</f>
        <v>0.98881304461123321</v>
      </c>
      <c r="FK10" s="366">
        <f ca="1">IF($AB10&gt;CDS.Tenor,"-",1-EN10)</f>
        <v>0.98881304461123321</v>
      </c>
      <c r="FL10" s="366">
        <f ca="1">IF($AB10&gt;CDS.Tenor,"-",1-EO10)</f>
        <v>0.98881304461123321</v>
      </c>
      <c r="FM10" s="366">
        <f ca="1">IF($AB10&gt;CDS.Tenor,"-",1-EP10)</f>
        <v>0.98881304461123321</v>
      </c>
      <c r="FN10" s="366">
        <f ca="1">IF($AB10&gt;CDS.Tenor,"-",1-EQ10)</f>
        <v>0.98881304461123321</v>
      </c>
      <c r="FO10" s="366">
        <f ca="1">IF($AB10&gt;CDS.Tenor,"-",1-ER10)</f>
        <v>0.98881304461123321</v>
      </c>
      <c r="FP10" s="366">
        <f ca="1">IF($AB10&gt;CDS.Tenor,"-",1-ES10)</f>
        <v>0.98881304461123321</v>
      </c>
      <c r="FQ10" s="366">
        <f ca="1">IF($AB10&gt;CDS.Tenor,"-",1-ET10)</f>
        <v>0.98881304461123321</v>
      </c>
      <c r="FR10" s="366">
        <f ca="1">IF($AB10&gt;CDS.Tenor,"-",1-EU10)</f>
        <v>0.98881304461123321</v>
      </c>
      <c r="FS10" s="366">
        <f ca="1">IF($AB10&gt;CDS.Tenor,"-",1-EV10)</f>
        <v>0.98881304461123321</v>
      </c>
      <c r="FT10" s="366">
        <f ca="1">IF($AB10&gt;CDS.Tenor,"-",1-EW10)</f>
        <v>0.98881304461123321</v>
      </c>
      <c r="FU10" s="366">
        <f ca="1">IF($AB10&gt;CDS.Tenor,"-",1-EX10)</f>
        <v>0.98881304461123321</v>
      </c>
      <c r="FV10" s="366">
        <f ca="1">IF($AB10&gt;CDS.Tenor,"-",1-EY10)</f>
        <v>0.98881304461123321</v>
      </c>
      <c r="FW10" s="366">
        <f ca="1">IF($AB10&gt;CDS.Tenor,"-",1-EZ10)</f>
        <v>0.98881304461123321</v>
      </c>
      <c r="FX10" s="362">
        <f ca="1">IF($AB10&gt;CDS.Tenor,"-",1-FA10)</f>
        <v>0.98881304461123321</v>
      </c>
      <c r="FZ10" s="370">
        <f t="shared" si="120"/>
        <v>1.5</v>
      </c>
      <c r="GA10" s="366">
        <f ca="1">IF($AB10&gt;CDS.Tenor,"-",BF10*DE10*FD10)</f>
        <v>0.97287468255345444</v>
      </c>
      <c r="GB10" s="366">
        <f ca="1">IF($AB10&gt;CDS.Tenor,"-",BG10*DF10*FE10)</f>
        <v>0.97287468255345444</v>
      </c>
      <c r="GC10" s="366">
        <f ca="1">IF($AB10&gt;CDS.Tenor,"-",BH10*DG10*FF10)</f>
        <v>0.97287468255345444</v>
      </c>
      <c r="GD10" s="366">
        <f ca="1">IF($AB10&gt;CDS.Tenor,"-",BI10*DH10*FG10)</f>
        <v>0.97287468255345444</v>
      </c>
      <c r="GE10" s="366">
        <f ca="1">IF($AB10&gt;CDS.Tenor,"-",BJ10*DI10*FH10)</f>
        <v>0.97287468255345444</v>
      </c>
      <c r="GF10" s="366">
        <f ca="1">IF($AB10&gt;CDS.Tenor,"-",BK10*DJ10*FI10)</f>
        <v>0.97287468255345444</v>
      </c>
      <c r="GG10" s="366">
        <f ca="1">IF($AB10&gt;CDS.Tenor,"-",BL10*DK10*FJ10)</f>
        <v>0.97287468255345444</v>
      </c>
      <c r="GH10" s="366">
        <f ca="1">IF($AB10&gt;CDS.Tenor,"-",BM10*DL10*FK10)</f>
        <v>0.97287468255345444</v>
      </c>
      <c r="GI10" s="366">
        <f ca="1">IF($AB10&gt;CDS.Tenor,"-",BN10*DM10*FL10)</f>
        <v>0.97287468255345444</v>
      </c>
      <c r="GJ10" s="366">
        <f ca="1">IF($AB10&gt;CDS.Tenor,"-",BO10*DN10*FM10)</f>
        <v>0.97287468255345444</v>
      </c>
      <c r="GK10" s="366">
        <f ca="1">IF($AB10&gt;CDS.Tenor,"-",BP10*DO10*FN10)</f>
        <v>0.97287468255345444</v>
      </c>
      <c r="GL10" s="366">
        <f ca="1">IF($AB10&gt;CDS.Tenor,"-",BQ10*DP10*FO10)</f>
        <v>0.97287468255345444</v>
      </c>
      <c r="GM10" s="366">
        <f ca="1">IF($AB10&gt;CDS.Tenor,"-",BR10*DQ10*FP10)</f>
        <v>0.97287468255345444</v>
      </c>
      <c r="GN10" s="366">
        <f ca="1">IF($AB10&gt;CDS.Tenor,"-",BS10*DR10*FQ10)</f>
        <v>0.97287468255345444</v>
      </c>
      <c r="GO10" s="366">
        <f ca="1">IF($AB10&gt;CDS.Tenor,"-",BT10*DS10*FR10)</f>
        <v>0.97287468255345444</v>
      </c>
      <c r="GP10" s="366">
        <f ca="1">IF($AB10&gt;CDS.Tenor,"-",BU10*DT10*FS10)</f>
        <v>0.97287468255345444</v>
      </c>
      <c r="GQ10" s="366">
        <f ca="1">IF($AB10&gt;CDS.Tenor,"-",BV10*DU10*FT10)</f>
        <v>0.97287468255345444</v>
      </c>
      <c r="GR10" s="366">
        <f ca="1">IF($AB10&gt;CDS.Tenor,"-",BW10*DV10*FU10)</f>
        <v>0.97287468255345444</v>
      </c>
      <c r="GS10" s="366">
        <f ca="1">IF($AB10&gt;CDS.Tenor,"-",BX10*DW10*FV10)</f>
        <v>0.97287468255345444</v>
      </c>
      <c r="GT10" s="366">
        <f ca="1">IF($AB10&gt;CDS.Tenor,"-",BY10*DX10*FW10)</f>
        <v>0.97287468255345444</v>
      </c>
      <c r="GU10" s="362">
        <f ca="1">IF($AB10&gt;CDS.Tenor,"-",BZ10*DY10*FX10)</f>
        <v>0.97287468255345444</v>
      </c>
      <c r="GV10" s="42"/>
      <c r="GW10" s="370">
        <f t="shared" si="121"/>
        <v>1.5</v>
      </c>
      <c r="GX10" s="378">
        <f ca="1">IF($AB10&gt;CDS.Tenor,"-",SUMPRODUCT($GA10:$GU10,$GA$4:$GU$4)*dm)</f>
        <v>0.97287457159726998</v>
      </c>
      <c r="GY10" s="381">
        <f ca="1">IF($AB10&gt;CDS.Tenor,"-",GX9-GX10)</f>
        <v>4.4692426437875632E-3</v>
      </c>
    </row>
    <row r="11" spans="2:228" x14ac:dyDescent="0.3">
      <c r="B11" s="116" t="s">
        <v>115</v>
      </c>
      <c r="C11" s="165"/>
      <c r="D11" s="51">
        <v>0.4</v>
      </c>
      <c r="F11" s="116" t="s">
        <v>110</v>
      </c>
      <c r="G11" s="165"/>
      <c r="H11" s="163">
        <f ca="1">ABS(H8/H9)</f>
        <v>1.0999996490541404E-2</v>
      </c>
      <c r="I11" s="18"/>
      <c r="J11" s="156">
        <f t="shared" si="103"/>
        <v>1.75</v>
      </c>
      <c r="K11" s="28">
        <f>IF($J11&gt;CDS.Tenor,"-",CDS.PremiumSign*CDS.Notional*CDS.YearFraction*CDS.CreditSpread)</f>
        <v>-25000</v>
      </c>
      <c r="L11" s="10">
        <f ca="1">GX11</f>
        <v>0.96842576611133568</v>
      </c>
      <c r="M11" s="10">
        <f ca="1">IF($J11&gt;CDS.Tenor,"-",L10-L11)</f>
        <v>4.4488054859342929E-3</v>
      </c>
      <c r="N11" s="94" cm="1">
        <f t="array" ref="N11">IF($J11&gt;CDS.Tenor,"-",cubicInterpolation(CurveResults.Times,CurveResults.DFs,$J11))</f>
        <v>0.92484187664189998</v>
      </c>
      <c r="O11" s="28">
        <f ca="1">IF($J11&gt;CDS.Tenor,"-",K11*L11*N11)</f>
        <v>-22391.017572969435</v>
      </c>
      <c r="P11" s="28">
        <f ca="1">IF($J11&gt;CDS.Tenor,"-",0.5*K11*M11*N11)</f>
        <v>-51.430520180328138</v>
      </c>
      <c r="Q11" s="142">
        <f ca="1">IF($J11&gt;CDS.Tenor,"-",O11+P11)</f>
        <v>-22442.448093149764</v>
      </c>
      <c r="T11" s="156">
        <f t="shared" si="104"/>
        <v>1.75</v>
      </c>
      <c r="U11" s="28">
        <f>IF($J11&gt;CDS.Tenor,"-",CDS.ProtectionSign*CDS.Notional*(1-CDS.RecoveryRate))</f>
        <v>6000000</v>
      </c>
      <c r="V11" s="10">
        <f ca="1">IF($J11&gt;CDS.Tenor,"-",GX11)</f>
        <v>0.96842576611133568</v>
      </c>
      <c r="W11" s="10">
        <f ca="1">IF($J11&gt;CDS.Tenor,"-",V10-V11)</f>
        <v>4.4488054859342929E-3</v>
      </c>
      <c r="X11" s="94" cm="1">
        <f t="array" ref="X11">IF($T11&gt;CDS.Tenor,"-",cubicInterpolation(CurveResults.Times,CurveResults.DFs,$J11))</f>
        <v>0.92484187664189998</v>
      </c>
      <c r="Y11" s="142">
        <f ca="1">IF($J11&gt;CDS.Tenor,"-",U11*W11*X11)</f>
        <v>24686.64968655751</v>
      </c>
      <c r="AB11" s="156">
        <f t="shared" si="105"/>
        <v>1.75</v>
      </c>
      <c r="AC11" s="352" cm="1">
        <f t="array" aca="1" ref="AC11" ca="1">IF($AB11&gt;CDS.Tenor,"-",flatInterpolation(AA11,INDIRECT(HazardRateTimes1),INDIRECT(HazardRateValues1)))</f>
        <v>5.0000000000000001E-3</v>
      </c>
      <c r="AD11" s="10">
        <f t="shared" ca="1" si="106"/>
        <v>0.99128816984016999</v>
      </c>
      <c r="AE11" s="10">
        <f t="shared" ca="1" si="107"/>
        <v>8.7118301598300141E-3</v>
      </c>
      <c r="AF11" s="360">
        <f ca="1">IF($AB11&gt;CDS.Tenor,"-",NORMSINV(AE11))</f>
        <v>-2.377643535749066</v>
      </c>
      <c r="AG11" s="360"/>
      <c r="AH11" s="370">
        <f t="shared" si="108"/>
        <v>1.75</v>
      </c>
      <c r="AI11" s="366">
        <f ca="1">IF($AB11&gt;CDS.Tenor,"-",_xlfn.NORM.S.DIST(($AF11-SQRT(ImpliedCorrelation)*AI$3)/SQRT(1-ImpliedCorrelation),TRUE))</f>
        <v>8.711830159830028E-3</v>
      </c>
      <c r="AJ11" s="366">
        <f ca="1">IF($AB11&gt;CDS.Tenor,"-",_xlfn.NORM.S.DIST(($AF11-SQRT(ImpliedCorrelation)*AJ$3)/SQRT(1-ImpliedCorrelation),TRUE))</f>
        <v>8.711830159830028E-3</v>
      </c>
      <c r="AK11" s="366">
        <f ca="1">IF($AB11&gt;CDS.Tenor,"-",_xlfn.NORM.S.DIST(($AF11-SQRT(ImpliedCorrelation)*AK$3)/SQRT(1-ImpliedCorrelation),TRUE))</f>
        <v>8.711830159830028E-3</v>
      </c>
      <c r="AL11" s="366">
        <f ca="1">IF($AB11&gt;CDS.Tenor,"-",_xlfn.NORM.S.DIST(($AF11-SQRT(ImpliedCorrelation)*AL$3)/SQRT(1-ImpliedCorrelation),TRUE))</f>
        <v>8.711830159830028E-3</v>
      </c>
      <c r="AM11" s="366">
        <f ca="1">IF($AB11&gt;CDS.Tenor,"-",_xlfn.NORM.S.DIST(($AF11-SQRT(ImpliedCorrelation)*AM$3)/SQRT(1-ImpliedCorrelation),TRUE))</f>
        <v>8.711830159830028E-3</v>
      </c>
      <c r="AN11" s="366">
        <f ca="1">IF($AB11&gt;CDS.Tenor,"-",_xlfn.NORM.S.DIST(($AF11-SQRT(ImpliedCorrelation)*AN$3)/SQRT(1-ImpliedCorrelation),TRUE))</f>
        <v>8.711830159830028E-3</v>
      </c>
      <c r="AO11" s="366">
        <f ca="1">IF($AB11&gt;CDS.Tenor,"-",_xlfn.NORM.S.DIST(($AF11-SQRT(ImpliedCorrelation)*AO$3)/SQRT(1-ImpliedCorrelation),TRUE))</f>
        <v>8.711830159830028E-3</v>
      </c>
      <c r="AP11" s="366">
        <f ca="1">IF($AB11&gt;CDS.Tenor,"-",_xlfn.NORM.S.DIST(($AF11-SQRT(ImpliedCorrelation)*AP$3)/SQRT(1-ImpliedCorrelation),TRUE))</f>
        <v>8.711830159830028E-3</v>
      </c>
      <c r="AQ11" s="366">
        <f ca="1">IF($AB11&gt;CDS.Tenor,"-",_xlfn.NORM.S.DIST(($AF11-SQRT(ImpliedCorrelation)*AQ$3)/SQRT(1-ImpliedCorrelation),TRUE))</f>
        <v>8.711830159830028E-3</v>
      </c>
      <c r="AR11" s="366">
        <f ca="1">IF($AB11&gt;CDS.Tenor,"-",_xlfn.NORM.S.DIST(($AF11-SQRT(ImpliedCorrelation)*AR$3)/SQRT(1-ImpliedCorrelation),TRUE))</f>
        <v>8.711830159830028E-3</v>
      </c>
      <c r="AS11" s="366">
        <f ca="1">IF($AB11&gt;CDS.Tenor,"-",_xlfn.NORM.S.DIST(($AF11-SQRT(ImpliedCorrelation)*AS$3)/SQRT(1-ImpliedCorrelation),TRUE))</f>
        <v>8.711830159830028E-3</v>
      </c>
      <c r="AT11" s="366">
        <f ca="1">IF($AB11&gt;CDS.Tenor,"-",_xlfn.NORM.S.DIST(($AF11-SQRT(ImpliedCorrelation)*AT$3)/SQRT(1-ImpliedCorrelation),TRUE))</f>
        <v>8.711830159830028E-3</v>
      </c>
      <c r="AU11" s="366">
        <f ca="1">IF($AB11&gt;CDS.Tenor,"-",_xlfn.NORM.S.DIST(($AF11-SQRT(ImpliedCorrelation)*AU$3)/SQRT(1-ImpliedCorrelation),TRUE))</f>
        <v>8.711830159830028E-3</v>
      </c>
      <c r="AV11" s="366">
        <f ca="1">IF($AB11&gt;CDS.Tenor,"-",_xlfn.NORM.S.DIST(($AF11-SQRT(ImpliedCorrelation)*AV$3)/SQRT(1-ImpliedCorrelation),TRUE))</f>
        <v>8.711830159830028E-3</v>
      </c>
      <c r="AW11" s="366">
        <f ca="1">IF($AB11&gt;CDS.Tenor,"-",_xlfn.NORM.S.DIST(($AF11-SQRT(ImpliedCorrelation)*AW$3)/SQRT(1-ImpliedCorrelation),TRUE))</f>
        <v>8.711830159830028E-3</v>
      </c>
      <c r="AX11" s="366">
        <f ca="1">IF($AB11&gt;CDS.Tenor,"-",_xlfn.NORM.S.DIST(($AF11-SQRT(ImpliedCorrelation)*AX$3)/SQRT(1-ImpliedCorrelation),TRUE))</f>
        <v>8.711830159830028E-3</v>
      </c>
      <c r="AY11" s="366">
        <f ca="1">IF($AB11&gt;CDS.Tenor,"-",_xlfn.NORM.S.DIST(($AF11-SQRT(ImpliedCorrelation)*AY$3)/SQRT(1-ImpliedCorrelation),TRUE))</f>
        <v>8.711830159830028E-3</v>
      </c>
      <c r="AZ11" s="366">
        <f ca="1">IF($AB11&gt;CDS.Tenor,"-",_xlfn.NORM.S.DIST(($AF11-SQRT(ImpliedCorrelation)*AZ$3)/SQRT(1-ImpliedCorrelation),TRUE))</f>
        <v>8.711830159830028E-3</v>
      </c>
      <c r="BA11" s="366">
        <f ca="1">IF($AB11&gt;CDS.Tenor,"-",_xlfn.NORM.S.DIST(($AF11-SQRT(ImpliedCorrelation)*BA$3)/SQRT(1-ImpliedCorrelation),TRUE))</f>
        <v>8.711830159830028E-3</v>
      </c>
      <c r="BB11" s="366">
        <f ca="1">IF($AB11&gt;CDS.Tenor,"-",_xlfn.NORM.S.DIST(($AF11-SQRT(ImpliedCorrelation)*BB$3)/SQRT(1-ImpliedCorrelation),TRUE))</f>
        <v>8.711830159830028E-3</v>
      </c>
      <c r="BC11" s="366">
        <f ca="1">IF($AB11&gt;CDS.Tenor,"-",_xlfn.NORM.S.DIST(($AF11-SQRT(ImpliedCorrelation)*BC$3)/SQRT(1-ImpliedCorrelation),TRUE))</f>
        <v>8.711830159830028E-3</v>
      </c>
      <c r="BD11" s="366"/>
      <c r="BE11" s="370">
        <f t="shared" si="109"/>
        <v>1.75</v>
      </c>
      <c r="BF11" s="366">
        <f ca="1">IF($AB11&gt;CDS.Tenor,"-",1-AI11)</f>
        <v>0.99128816984016999</v>
      </c>
      <c r="BG11" s="366">
        <f ca="1">IF($AB11&gt;CDS.Tenor,"-",1-AJ11)</f>
        <v>0.99128816984016999</v>
      </c>
      <c r="BH11" s="366">
        <f ca="1">IF($AB11&gt;CDS.Tenor,"-",1-AK11)</f>
        <v>0.99128816984016999</v>
      </c>
      <c r="BI11" s="366">
        <f ca="1">IF($AB11&gt;CDS.Tenor,"-",1-AL11)</f>
        <v>0.99128816984016999</v>
      </c>
      <c r="BJ11" s="366">
        <f ca="1">IF($AB11&gt;CDS.Tenor,"-",1-AM11)</f>
        <v>0.99128816984016999</v>
      </c>
      <c r="BK11" s="366">
        <f ca="1">IF($AB11&gt;CDS.Tenor,"-",1-AN11)</f>
        <v>0.99128816984016999</v>
      </c>
      <c r="BL11" s="366">
        <f ca="1">IF($AB11&gt;CDS.Tenor,"-",1-AO11)</f>
        <v>0.99128816984016999</v>
      </c>
      <c r="BM11" s="366">
        <f ca="1">IF($AB11&gt;CDS.Tenor,"-",1-AP11)</f>
        <v>0.99128816984016999</v>
      </c>
      <c r="BN11" s="366">
        <f ca="1">IF($AB11&gt;CDS.Tenor,"-",1-AQ11)</f>
        <v>0.99128816984016999</v>
      </c>
      <c r="BO11" s="366">
        <f ca="1">IF($AB11&gt;CDS.Tenor,"-",1-AR11)</f>
        <v>0.99128816984016999</v>
      </c>
      <c r="BP11" s="366">
        <f ca="1">IF($AB11&gt;CDS.Tenor,"-",1-AS11)</f>
        <v>0.99128816984016999</v>
      </c>
      <c r="BQ11" s="366">
        <f ca="1">IF($AB11&gt;CDS.Tenor,"-",1-AT11)</f>
        <v>0.99128816984016999</v>
      </c>
      <c r="BR11" s="366">
        <f ca="1">IF($AB11&gt;CDS.Tenor,"-",1-AU11)</f>
        <v>0.99128816984016999</v>
      </c>
      <c r="BS11" s="366">
        <f ca="1">IF($AB11&gt;CDS.Tenor,"-",1-AV11)</f>
        <v>0.99128816984016999</v>
      </c>
      <c r="BT11" s="366">
        <f ca="1">IF($AB11&gt;CDS.Tenor,"-",1-AW11)</f>
        <v>0.99128816984016999</v>
      </c>
      <c r="BU11" s="366">
        <f ca="1">IF($AB11&gt;CDS.Tenor,"-",1-AX11)</f>
        <v>0.99128816984016999</v>
      </c>
      <c r="BV11" s="366">
        <f ca="1">IF($AB11&gt;CDS.Tenor,"-",1-AY11)</f>
        <v>0.99128816984016999</v>
      </c>
      <c r="BW11" s="366">
        <f ca="1">IF($AB11&gt;CDS.Tenor,"-",1-AZ11)</f>
        <v>0.99128816984016999</v>
      </c>
      <c r="BX11" s="366">
        <f ca="1">IF($AB11&gt;CDS.Tenor,"-",1-BA11)</f>
        <v>0.99128816984016999</v>
      </c>
      <c r="BY11" s="366">
        <f ca="1">IF($AB11&gt;CDS.Tenor,"-",1-BB11)</f>
        <v>0.99128816984016999</v>
      </c>
      <c r="BZ11" s="366">
        <f ca="1">IF($AB11&gt;CDS.Tenor,"-",1-BC11)</f>
        <v>0.99128816984016999</v>
      </c>
      <c r="CA11" s="17"/>
      <c r="CB11" s="352" cm="1">
        <f t="array" aca="1" ref="CB11" ca="1">IF($AB11&gt;CDS.Tenor,"-",flatInterpolation(AB11,INDIRECT(HazardRateTimes2),INDIRECT(HazardRateValues2)))</f>
        <v>5.8333333333333336E-3</v>
      </c>
      <c r="CC11" s="10">
        <f t="shared" ca="1" si="110"/>
        <v>0.98984359485110152</v>
      </c>
      <c r="CD11" s="10">
        <f t="shared" ca="1" si="111"/>
        <v>1.0156405148898484E-2</v>
      </c>
      <c r="CE11" s="81">
        <f t="shared" ca="1" si="112"/>
        <v>-2.3205191482409826</v>
      </c>
      <c r="CF11" s="360"/>
      <c r="CG11" s="370">
        <f t="shared" si="113"/>
        <v>1.75</v>
      </c>
      <c r="CH11" s="366">
        <f ca="1">IF($AB11&gt;CDS.Tenor,"-",_xlfn.NORM.S.DIST(($CE11-SQRT(ImpliedCorrelation)*CH$3)/SQRT(1-ImpliedCorrelation),TRUE))</f>
        <v>1.0156405148898482E-2</v>
      </c>
      <c r="CI11" s="366">
        <f ca="1">IF($AB11&gt;CDS.Tenor,"-",_xlfn.NORM.S.DIST(($CE11-SQRT(ImpliedCorrelation)*CI$3)/SQRT(1-ImpliedCorrelation),TRUE))</f>
        <v>1.0156405148898482E-2</v>
      </c>
      <c r="CJ11" s="366">
        <f ca="1">IF($AB11&gt;CDS.Tenor,"-",_xlfn.NORM.S.DIST(($CE11-SQRT(ImpliedCorrelation)*CJ$3)/SQRT(1-ImpliedCorrelation),TRUE))</f>
        <v>1.0156405148898482E-2</v>
      </c>
      <c r="CK11" s="366">
        <f ca="1">IF($AB11&gt;CDS.Tenor,"-",_xlfn.NORM.S.DIST(($CE11-SQRT(ImpliedCorrelation)*CK$3)/SQRT(1-ImpliedCorrelation),TRUE))</f>
        <v>1.0156405148898482E-2</v>
      </c>
      <c r="CL11" s="366">
        <f ca="1">IF($AB11&gt;CDS.Tenor,"-",_xlfn.NORM.S.DIST(($CE11-SQRT(ImpliedCorrelation)*CL$3)/SQRT(1-ImpliedCorrelation),TRUE))</f>
        <v>1.0156405148898482E-2</v>
      </c>
      <c r="CM11" s="366">
        <f ca="1">IF($AB11&gt;CDS.Tenor,"-",_xlfn.NORM.S.DIST(($CE11-SQRT(ImpliedCorrelation)*CM$3)/SQRT(1-ImpliedCorrelation),TRUE))</f>
        <v>1.0156405148898482E-2</v>
      </c>
      <c r="CN11" s="366">
        <f ca="1">IF($AB11&gt;CDS.Tenor,"-",_xlfn.NORM.S.DIST(($CE11-SQRT(ImpliedCorrelation)*CN$3)/SQRT(1-ImpliedCorrelation),TRUE))</f>
        <v>1.0156405148898482E-2</v>
      </c>
      <c r="CO11" s="366">
        <f ca="1">IF($AB11&gt;CDS.Tenor,"-",_xlfn.NORM.S.DIST(($CE11-SQRT(ImpliedCorrelation)*CO$3)/SQRT(1-ImpliedCorrelation),TRUE))</f>
        <v>1.0156405148898482E-2</v>
      </c>
      <c r="CP11" s="366">
        <f ca="1">IF($AB11&gt;CDS.Tenor,"-",_xlfn.NORM.S.DIST(($CE11-SQRT(ImpliedCorrelation)*CP$3)/SQRT(1-ImpliedCorrelation),TRUE))</f>
        <v>1.0156405148898482E-2</v>
      </c>
      <c r="CQ11" s="366">
        <f ca="1">IF($AB11&gt;CDS.Tenor,"-",_xlfn.NORM.S.DIST(($CE11-SQRT(ImpliedCorrelation)*CQ$3)/SQRT(1-ImpliedCorrelation),TRUE))</f>
        <v>1.0156405148898482E-2</v>
      </c>
      <c r="CR11" s="366">
        <f ca="1">IF($AB11&gt;CDS.Tenor,"-",_xlfn.NORM.S.DIST(($CE11-SQRT(ImpliedCorrelation)*CR$3)/SQRT(1-ImpliedCorrelation),TRUE))</f>
        <v>1.0156405148898482E-2</v>
      </c>
      <c r="CS11" s="366">
        <f ca="1">IF($AB11&gt;CDS.Tenor,"-",_xlfn.NORM.S.DIST(($CE11-SQRT(ImpliedCorrelation)*CS$3)/SQRT(1-ImpliedCorrelation),TRUE))</f>
        <v>1.0156405148898482E-2</v>
      </c>
      <c r="CT11" s="366">
        <f ca="1">IF($AB11&gt;CDS.Tenor,"-",_xlfn.NORM.S.DIST(($CE11-SQRT(ImpliedCorrelation)*CT$3)/SQRT(1-ImpliedCorrelation),TRUE))</f>
        <v>1.0156405148898482E-2</v>
      </c>
      <c r="CU11" s="366">
        <f ca="1">IF($AB11&gt;CDS.Tenor,"-",_xlfn.NORM.S.DIST(($CE11-SQRT(ImpliedCorrelation)*CU$3)/SQRT(1-ImpliedCorrelation),TRUE))</f>
        <v>1.0156405148898482E-2</v>
      </c>
      <c r="CV11" s="366">
        <f ca="1">IF($AB11&gt;CDS.Tenor,"-",_xlfn.NORM.S.DIST(($CE11-SQRT(ImpliedCorrelation)*CV$3)/SQRT(1-ImpliedCorrelation),TRUE))</f>
        <v>1.0156405148898482E-2</v>
      </c>
      <c r="CW11" s="366">
        <f ca="1">IF($AB11&gt;CDS.Tenor,"-",_xlfn.NORM.S.DIST(($CE11-SQRT(ImpliedCorrelation)*CW$3)/SQRT(1-ImpliedCorrelation),TRUE))</f>
        <v>1.0156405148898482E-2</v>
      </c>
      <c r="CX11" s="366">
        <f ca="1">IF($AB11&gt;CDS.Tenor,"-",_xlfn.NORM.S.DIST(($CE11-SQRT(ImpliedCorrelation)*CX$3)/SQRT(1-ImpliedCorrelation),TRUE))</f>
        <v>1.0156405148898482E-2</v>
      </c>
      <c r="CY11" s="366">
        <f ca="1">IF($AB11&gt;CDS.Tenor,"-",_xlfn.NORM.S.DIST(($CE11-SQRT(ImpliedCorrelation)*CY$3)/SQRT(1-ImpliedCorrelation),TRUE))</f>
        <v>1.0156405148898482E-2</v>
      </c>
      <c r="CZ11" s="366">
        <f ca="1">IF($AB11&gt;CDS.Tenor,"-",_xlfn.NORM.S.DIST(($CE11-SQRT(ImpliedCorrelation)*CZ$3)/SQRT(1-ImpliedCorrelation),TRUE))</f>
        <v>1.0156405148898482E-2</v>
      </c>
      <c r="DA11" s="366">
        <f ca="1">IF($AB11&gt;CDS.Tenor,"-",_xlfn.NORM.S.DIST(($CE11-SQRT(ImpliedCorrelation)*DA$3)/SQRT(1-ImpliedCorrelation),TRUE))</f>
        <v>1.0156405148898482E-2</v>
      </c>
      <c r="DB11" s="366">
        <f ca="1">IF($AB11&gt;CDS.Tenor,"-",_xlfn.NORM.S.DIST(($CE11-SQRT(ImpliedCorrelation)*DB$3)/SQRT(1-ImpliedCorrelation),TRUE))</f>
        <v>1.0156405148898482E-2</v>
      </c>
      <c r="DC11" s="366"/>
      <c r="DD11" s="370">
        <f t="shared" si="114"/>
        <v>1.75</v>
      </c>
      <c r="DE11" s="366">
        <f ca="1">IF($AB11&gt;CDS.Tenor,"-",1-CH11)</f>
        <v>0.98984359485110152</v>
      </c>
      <c r="DF11" s="366">
        <f ca="1">IF($AB11&gt;CDS.Tenor,"-",1-CI11)</f>
        <v>0.98984359485110152</v>
      </c>
      <c r="DG11" s="366">
        <f ca="1">IF($AB11&gt;CDS.Tenor,"-",1-CJ11)</f>
        <v>0.98984359485110152</v>
      </c>
      <c r="DH11" s="366">
        <f ca="1">IF($AB11&gt;CDS.Tenor,"-",1-CK11)</f>
        <v>0.98984359485110152</v>
      </c>
      <c r="DI11" s="366">
        <f ca="1">IF($AB11&gt;CDS.Tenor,"-",1-CL11)</f>
        <v>0.98984359485110152</v>
      </c>
      <c r="DJ11" s="366">
        <f ca="1">IF($AB11&gt;CDS.Tenor,"-",1-CM11)</f>
        <v>0.98984359485110152</v>
      </c>
      <c r="DK11" s="366">
        <f ca="1">IF($AB11&gt;CDS.Tenor,"-",1-CN11)</f>
        <v>0.98984359485110152</v>
      </c>
      <c r="DL11" s="366">
        <f ca="1">IF($AB11&gt;CDS.Tenor,"-",1-CO11)</f>
        <v>0.98984359485110152</v>
      </c>
      <c r="DM11" s="366">
        <f ca="1">IF($AB11&gt;CDS.Tenor,"-",1-CP11)</f>
        <v>0.98984359485110152</v>
      </c>
      <c r="DN11" s="366">
        <f ca="1">IF($AB11&gt;CDS.Tenor,"-",1-CQ11)</f>
        <v>0.98984359485110152</v>
      </c>
      <c r="DO11" s="366">
        <f ca="1">IF($AB11&gt;CDS.Tenor,"-",1-CR11)</f>
        <v>0.98984359485110152</v>
      </c>
      <c r="DP11" s="366">
        <f ca="1">IF($AB11&gt;CDS.Tenor,"-",1-CS11)</f>
        <v>0.98984359485110152</v>
      </c>
      <c r="DQ11" s="366">
        <f ca="1">IF($AB11&gt;CDS.Tenor,"-",1-CT11)</f>
        <v>0.98984359485110152</v>
      </c>
      <c r="DR11" s="366">
        <f ca="1">IF($AB11&gt;CDS.Tenor,"-",1-CU11)</f>
        <v>0.98984359485110152</v>
      </c>
      <c r="DS11" s="366">
        <f ca="1">IF($AB11&gt;CDS.Tenor,"-",1-CV11)</f>
        <v>0.98984359485110152</v>
      </c>
      <c r="DT11" s="366">
        <f ca="1">IF($AB11&gt;CDS.Tenor,"-",1-CW11)</f>
        <v>0.98984359485110152</v>
      </c>
      <c r="DU11" s="366">
        <f ca="1">IF($AB11&gt;CDS.Tenor,"-",1-CX11)</f>
        <v>0.98984359485110152</v>
      </c>
      <c r="DV11" s="366">
        <f ca="1">IF($AB11&gt;CDS.Tenor,"-",1-CY11)</f>
        <v>0.98984359485110152</v>
      </c>
      <c r="DW11" s="366">
        <f ca="1">IF($AB11&gt;CDS.Tenor,"-",1-CZ11)</f>
        <v>0.98984359485110152</v>
      </c>
      <c r="DX11" s="366">
        <f ca="1">IF($AB11&gt;CDS.Tenor,"-",1-DA11)</f>
        <v>0.98984359485110152</v>
      </c>
      <c r="DY11" s="362">
        <f ca="1">IF($AB11&gt;CDS.Tenor,"-",1-DB11)</f>
        <v>0.98984359485110152</v>
      </c>
      <c r="DZ11" s="360"/>
      <c r="EA11" s="352" cm="1">
        <f t="array" aca="1" ref="EA11" ca="1">IF($AB11&gt;CDS.Tenor,"-",flatInterpolation(CC11,INDIRECT(HazardRateTimes3),INDIRECT(HazardRateValues3)))</f>
        <v>7.4999999999999997E-3</v>
      </c>
      <c r="EB11" s="10">
        <f t="shared" ca="1" si="115"/>
        <v>0.98696075721468368</v>
      </c>
      <c r="EC11" s="10">
        <f t="shared" ca="1" si="116"/>
        <v>1.3039242785316318E-2</v>
      </c>
      <c r="ED11" s="81">
        <f t="shared" ca="1" si="117"/>
        <v>-2.2250410047056901</v>
      </c>
      <c r="EF11" s="370">
        <f t="shared" si="118"/>
        <v>1.75</v>
      </c>
      <c r="EG11" s="366">
        <f ca="1">IF($AB11&gt;CDS.Tenor,"-",_xlfn.NORM.S.DIST(($ED11-SQRT(ImpliedCorrelation)*EG$3)/SQRT(1-ImpliedCorrelation),TRUE))</f>
        <v>1.3039242785316336E-2</v>
      </c>
      <c r="EH11" s="366">
        <f ca="1">IF($AB11&gt;CDS.Tenor,"-",_xlfn.NORM.S.DIST(($ED11-SQRT(ImpliedCorrelation)*EH$3)/SQRT(1-ImpliedCorrelation),TRUE))</f>
        <v>1.3039242785316336E-2</v>
      </c>
      <c r="EI11" s="366">
        <f ca="1">IF($AB11&gt;CDS.Tenor,"-",_xlfn.NORM.S.DIST(($ED11-SQRT(ImpliedCorrelation)*EI$3)/SQRT(1-ImpliedCorrelation),TRUE))</f>
        <v>1.3039242785316336E-2</v>
      </c>
      <c r="EJ11" s="366">
        <f ca="1">IF($AB11&gt;CDS.Tenor,"-",_xlfn.NORM.S.DIST(($ED11-SQRT(ImpliedCorrelation)*EJ$3)/SQRT(1-ImpliedCorrelation),TRUE))</f>
        <v>1.3039242785316336E-2</v>
      </c>
      <c r="EK11" s="366">
        <f ca="1">IF($AB11&gt;CDS.Tenor,"-",_xlfn.NORM.S.DIST(($ED11-SQRT(ImpliedCorrelation)*EK$3)/SQRT(1-ImpliedCorrelation),TRUE))</f>
        <v>1.3039242785316336E-2</v>
      </c>
      <c r="EL11" s="366">
        <f ca="1">IF($AB11&gt;CDS.Tenor,"-",_xlfn.NORM.S.DIST(($ED11-SQRT(ImpliedCorrelation)*EL$3)/SQRT(1-ImpliedCorrelation),TRUE))</f>
        <v>1.3039242785316336E-2</v>
      </c>
      <c r="EM11" s="366">
        <f ca="1">IF($AB11&gt;CDS.Tenor,"-",_xlfn.NORM.S.DIST(($ED11-SQRT(ImpliedCorrelation)*EM$3)/SQRT(1-ImpliedCorrelation),TRUE))</f>
        <v>1.3039242785316336E-2</v>
      </c>
      <c r="EN11" s="366">
        <f ca="1">IF($AB11&gt;CDS.Tenor,"-",_xlfn.NORM.S.DIST(($ED11-SQRT(ImpliedCorrelation)*EN$3)/SQRT(1-ImpliedCorrelation),TRUE))</f>
        <v>1.3039242785316336E-2</v>
      </c>
      <c r="EO11" s="366">
        <f ca="1">IF($AB11&gt;CDS.Tenor,"-",_xlfn.NORM.S.DIST(($ED11-SQRT(ImpliedCorrelation)*EO$3)/SQRT(1-ImpliedCorrelation),TRUE))</f>
        <v>1.3039242785316336E-2</v>
      </c>
      <c r="EP11" s="366">
        <f ca="1">IF($AB11&gt;CDS.Tenor,"-",_xlfn.NORM.S.DIST(($ED11-SQRT(ImpliedCorrelation)*EP$3)/SQRT(1-ImpliedCorrelation),TRUE))</f>
        <v>1.3039242785316336E-2</v>
      </c>
      <c r="EQ11" s="366">
        <f ca="1">IF($AB11&gt;CDS.Tenor,"-",_xlfn.NORM.S.DIST(($ED11-SQRT(ImpliedCorrelation)*EQ$3)/SQRT(1-ImpliedCorrelation),TRUE))</f>
        <v>1.3039242785316336E-2</v>
      </c>
      <c r="ER11" s="366">
        <f ca="1">IF($AB11&gt;CDS.Tenor,"-",_xlfn.NORM.S.DIST(($ED11-SQRT(ImpliedCorrelation)*ER$3)/SQRT(1-ImpliedCorrelation),TRUE))</f>
        <v>1.3039242785316336E-2</v>
      </c>
      <c r="ES11" s="366">
        <f ca="1">IF($AB11&gt;CDS.Tenor,"-",_xlfn.NORM.S.DIST(($ED11-SQRT(ImpliedCorrelation)*ES$3)/SQRT(1-ImpliedCorrelation),TRUE))</f>
        <v>1.3039242785316336E-2</v>
      </c>
      <c r="ET11" s="366">
        <f ca="1">IF($AB11&gt;CDS.Tenor,"-",_xlfn.NORM.S.DIST(($ED11-SQRT(ImpliedCorrelation)*ET$3)/SQRT(1-ImpliedCorrelation),TRUE))</f>
        <v>1.3039242785316336E-2</v>
      </c>
      <c r="EU11" s="366">
        <f ca="1">IF($AB11&gt;CDS.Tenor,"-",_xlfn.NORM.S.DIST(($ED11-SQRT(ImpliedCorrelation)*EU$3)/SQRT(1-ImpliedCorrelation),TRUE))</f>
        <v>1.3039242785316336E-2</v>
      </c>
      <c r="EV11" s="366">
        <f ca="1">IF($AB11&gt;CDS.Tenor,"-",_xlfn.NORM.S.DIST(($ED11-SQRT(ImpliedCorrelation)*EV$3)/SQRT(1-ImpliedCorrelation),TRUE))</f>
        <v>1.3039242785316336E-2</v>
      </c>
      <c r="EW11" s="366">
        <f ca="1">IF($AB11&gt;CDS.Tenor,"-",_xlfn.NORM.S.DIST(($ED11-SQRT(ImpliedCorrelation)*EW$3)/SQRT(1-ImpliedCorrelation),TRUE))</f>
        <v>1.3039242785316336E-2</v>
      </c>
      <c r="EX11" s="366">
        <f ca="1">IF($AB11&gt;CDS.Tenor,"-",_xlfn.NORM.S.DIST(($ED11-SQRT(ImpliedCorrelation)*EX$3)/SQRT(1-ImpliedCorrelation),TRUE))</f>
        <v>1.3039242785316336E-2</v>
      </c>
      <c r="EY11" s="366">
        <f ca="1">IF($AB11&gt;CDS.Tenor,"-",_xlfn.NORM.S.DIST(($ED11-SQRT(ImpliedCorrelation)*EY$3)/SQRT(1-ImpliedCorrelation),TRUE))</f>
        <v>1.3039242785316336E-2</v>
      </c>
      <c r="EZ11" s="366">
        <f ca="1">IF($AB11&gt;CDS.Tenor,"-",_xlfn.NORM.S.DIST(($ED11-SQRT(ImpliedCorrelation)*EZ$3)/SQRT(1-ImpliedCorrelation),TRUE))</f>
        <v>1.3039242785316336E-2</v>
      </c>
      <c r="FA11" s="366">
        <f ca="1">IF($AB11&gt;CDS.Tenor,"-",_xlfn.NORM.S.DIST(($ED11-SQRT(ImpliedCorrelation)*FA$3)/SQRT(1-ImpliedCorrelation),TRUE))</f>
        <v>1.3039242785316336E-2</v>
      </c>
      <c r="FB11" s="366"/>
      <c r="FC11" s="370">
        <f t="shared" si="119"/>
        <v>1.75</v>
      </c>
      <c r="FD11" s="366">
        <f ca="1">IF($AB11&gt;CDS.Tenor,"-",1-EG11)</f>
        <v>0.98696075721468368</v>
      </c>
      <c r="FE11" s="366">
        <f ca="1">IF($AB11&gt;CDS.Tenor,"-",1-EH11)</f>
        <v>0.98696075721468368</v>
      </c>
      <c r="FF11" s="366">
        <f ca="1">IF($AB11&gt;CDS.Tenor,"-",1-EI11)</f>
        <v>0.98696075721468368</v>
      </c>
      <c r="FG11" s="366">
        <f ca="1">IF($AB11&gt;CDS.Tenor,"-",1-EJ11)</f>
        <v>0.98696075721468368</v>
      </c>
      <c r="FH11" s="366">
        <f ca="1">IF($AB11&gt;CDS.Tenor,"-",1-EK11)</f>
        <v>0.98696075721468368</v>
      </c>
      <c r="FI11" s="366">
        <f ca="1">IF($AB11&gt;CDS.Tenor,"-",1-EL11)</f>
        <v>0.98696075721468368</v>
      </c>
      <c r="FJ11" s="366">
        <f ca="1">IF($AB11&gt;CDS.Tenor,"-",1-EM11)</f>
        <v>0.98696075721468368</v>
      </c>
      <c r="FK11" s="366">
        <f ca="1">IF($AB11&gt;CDS.Tenor,"-",1-EN11)</f>
        <v>0.98696075721468368</v>
      </c>
      <c r="FL11" s="366">
        <f ca="1">IF($AB11&gt;CDS.Tenor,"-",1-EO11)</f>
        <v>0.98696075721468368</v>
      </c>
      <c r="FM11" s="366">
        <f ca="1">IF($AB11&gt;CDS.Tenor,"-",1-EP11)</f>
        <v>0.98696075721468368</v>
      </c>
      <c r="FN11" s="366">
        <f ca="1">IF($AB11&gt;CDS.Tenor,"-",1-EQ11)</f>
        <v>0.98696075721468368</v>
      </c>
      <c r="FO11" s="366">
        <f ca="1">IF($AB11&gt;CDS.Tenor,"-",1-ER11)</f>
        <v>0.98696075721468368</v>
      </c>
      <c r="FP11" s="366">
        <f ca="1">IF($AB11&gt;CDS.Tenor,"-",1-ES11)</f>
        <v>0.98696075721468368</v>
      </c>
      <c r="FQ11" s="366">
        <f ca="1">IF($AB11&gt;CDS.Tenor,"-",1-ET11)</f>
        <v>0.98696075721468368</v>
      </c>
      <c r="FR11" s="366">
        <f ca="1">IF($AB11&gt;CDS.Tenor,"-",1-EU11)</f>
        <v>0.98696075721468368</v>
      </c>
      <c r="FS11" s="366">
        <f ca="1">IF($AB11&gt;CDS.Tenor,"-",1-EV11)</f>
        <v>0.98696075721468368</v>
      </c>
      <c r="FT11" s="366">
        <f ca="1">IF($AB11&gt;CDS.Tenor,"-",1-EW11)</f>
        <v>0.98696075721468368</v>
      </c>
      <c r="FU11" s="366">
        <f ca="1">IF($AB11&gt;CDS.Tenor,"-",1-EX11)</f>
        <v>0.98696075721468368</v>
      </c>
      <c r="FV11" s="366">
        <f ca="1">IF($AB11&gt;CDS.Tenor,"-",1-EY11)</f>
        <v>0.98696075721468368</v>
      </c>
      <c r="FW11" s="366">
        <f ca="1">IF($AB11&gt;CDS.Tenor,"-",1-EZ11)</f>
        <v>0.98696075721468368</v>
      </c>
      <c r="FX11" s="362">
        <f ca="1">IF($AB11&gt;CDS.Tenor,"-",1-FA11)</f>
        <v>0.98696075721468368</v>
      </c>
      <c r="FZ11" s="370">
        <f t="shared" si="120"/>
        <v>1.75</v>
      </c>
      <c r="GA11" s="366">
        <f ca="1">IF($AB11&gt;CDS.Tenor,"-",BF11*DE11*FD11)</f>
        <v>0.96842587656013479</v>
      </c>
      <c r="GB11" s="366">
        <f ca="1">IF($AB11&gt;CDS.Tenor,"-",BG11*DF11*FE11)</f>
        <v>0.96842587656013479</v>
      </c>
      <c r="GC11" s="366">
        <f ca="1">IF($AB11&gt;CDS.Tenor,"-",BH11*DG11*FF11)</f>
        <v>0.96842587656013479</v>
      </c>
      <c r="GD11" s="366">
        <f ca="1">IF($AB11&gt;CDS.Tenor,"-",BI11*DH11*FG11)</f>
        <v>0.96842587656013479</v>
      </c>
      <c r="GE11" s="366">
        <f ca="1">IF($AB11&gt;CDS.Tenor,"-",BJ11*DI11*FH11)</f>
        <v>0.96842587656013479</v>
      </c>
      <c r="GF11" s="366">
        <f ca="1">IF($AB11&gt;CDS.Tenor,"-",BK11*DJ11*FI11)</f>
        <v>0.96842587656013479</v>
      </c>
      <c r="GG11" s="366">
        <f ca="1">IF($AB11&gt;CDS.Tenor,"-",BL11*DK11*FJ11)</f>
        <v>0.96842587656013479</v>
      </c>
      <c r="GH11" s="366">
        <f ca="1">IF($AB11&gt;CDS.Tenor,"-",BM11*DL11*FK11)</f>
        <v>0.96842587656013479</v>
      </c>
      <c r="GI11" s="366">
        <f ca="1">IF($AB11&gt;CDS.Tenor,"-",BN11*DM11*FL11)</f>
        <v>0.96842587656013479</v>
      </c>
      <c r="GJ11" s="366">
        <f ca="1">IF($AB11&gt;CDS.Tenor,"-",BO11*DN11*FM11)</f>
        <v>0.96842587656013479</v>
      </c>
      <c r="GK11" s="366">
        <f ca="1">IF($AB11&gt;CDS.Tenor,"-",BP11*DO11*FN11)</f>
        <v>0.96842587656013479</v>
      </c>
      <c r="GL11" s="366">
        <f ca="1">IF($AB11&gt;CDS.Tenor,"-",BQ11*DP11*FO11)</f>
        <v>0.96842587656013479</v>
      </c>
      <c r="GM11" s="366">
        <f ca="1">IF($AB11&gt;CDS.Tenor,"-",BR11*DQ11*FP11)</f>
        <v>0.96842587656013479</v>
      </c>
      <c r="GN11" s="366">
        <f ca="1">IF($AB11&gt;CDS.Tenor,"-",BS11*DR11*FQ11)</f>
        <v>0.96842587656013479</v>
      </c>
      <c r="GO11" s="366">
        <f ca="1">IF($AB11&gt;CDS.Tenor,"-",BT11*DS11*FR11)</f>
        <v>0.96842587656013479</v>
      </c>
      <c r="GP11" s="366">
        <f ca="1">IF($AB11&gt;CDS.Tenor,"-",BU11*DT11*FS11)</f>
        <v>0.96842587656013479</v>
      </c>
      <c r="GQ11" s="366">
        <f ca="1">IF($AB11&gt;CDS.Tenor,"-",BV11*DU11*FT11)</f>
        <v>0.96842587656013479</v>
      </c>
      <c r="GR11" s="366">
        <f ca="1">IF($AB11&gt;CDS.Tenor,"-",BW11*DV11*FU11)</f>
        <v>0.96842587656013479</v>
      </c>
      <c r="GS11" s="366">
        <f ca="1">IF($AB11&gt;CDS.Tenor,"-",BX11*DW11*FV11)</f>
        <v>0.96842587656013479</v>
      </c>
      <c r="GT11" s="366">
        <f ca="1">IF($AB11&gt;CDS.Tenor,"-",BY11*DX11*FW11)</f>
        <v>0.96842587656013479</v>
      </c>
      <c r="GU11" s="362">
        <f ca="1">IF($AB11&gt;CDS.Tenor,"-",BZ11*DY11*FX11)</f>
        <v>0.96842587656013479</v>
      </c>
      <c r="GV11" s="42"/>
      <c r="GW11" s="370">
        <f t="shared" si="121"/>
        <v>1.75</v>
      </c>
      <c r="GX11" s="378">
        <f ca="1">IF($AB11&gt;CDS.Tenor,"-",SUMPRODUCT($GA11:$GU11,$GA$4:$GU$4)*dm)</f>
        <v>0.96842576611133568</v>
      </c>
      <c r="GY11" s="381">
        <f ca="1">IF($AB11&gt;CDS.Tenor,"-",GX10-GX11)</f>
        <v>4.4488054859342929E-3</v>
      </c>
    </row>
    <row r="12" spans="2:228" x14ac:dyDescent="0.3">
      <c r="B12" s="112" t="s">
        <v>341</v>
      </c>
      <c r="C12" s="166"/>
      <c r="D12" s="349">
        <v>1000</v>
      </c>
      <c r="F12" s="112" t="s">
        <v>67</v>
      </c>
      <c r="G12" s="166"/>
      <c r="H12" s="343">
        <f ca="1">H11*10000</f>
        <v>109.99996490541405</v>
      </c>
      <c r="I12" s="348"/>
      <c r="J12" s="156">
        <f t="shared" si="103"/>
        <v>2</v>
      </c>
      <c r="K12" s="28">
        <f>IF($J12&gt;CDS.Tenor,"-",CDS.PremiumSign*CDS.Notional*CDS.YearFraction*CDS.CreditSpread)</f>
        <v>-25000</v>
      </c>
      <c r="L12" s="10">
        <f ca="1">GX12</f>
        <v>0.96399730432728226</v>
      </c>
      <c r="M12" s="10">
        <f ca="1">IF($J12&gt;CDS.Tenor,"-",L11-L12)</f>
        <v>4.4284617840534279E-3</v>
      </c>
      <c r="N12" s="94" cm="1">
        <f t="array" ref="N12">IF($J12&gt;CDS.Tenor,"-",cubicInterpolation(CurveResults.Times,CurveResults.DFs,$J12))</f>
        <v>0.91525521397921195</v>
      </c>
      <c r="O12" s="28">
        <f ca="1">IF($J12&gt;CDS.Tenor,"-",K12*L12*N12)</f>
        <v>-22057.588976186256</v>
      </c>
      <c r="P12" s="28">
        <f ca="1">IF($J12&gt;CDS.Tenor,"-",0.5*K12*M12*N12)</f>
        <v>-50.664659222032284</v>
      </c>
      <c r="Q12" s="142">
        <f ca="1">IF($J12&gt;CDS.Tenor,"-",O12+P12)</f>
        <v>-22108.253635408288</v>
      </c>
      <c r="T12" s="156">
        <f t="shared" si="104"/>
        <v>2</v>
      </c>
      <c r="U12" s="28">
        <f>IF($J12&gt;CDS.Tenor,"-",CDS.ProtectionSign*CDS.Notional*(1-CDS.RecoveryRate))</f>
        <v>6000000</v>
      </c>
      <c r="V12" s="10">
        <f ca="1">IF($J12&gt;CDS.Tenor,"-",GX12)</f>
        <v>0.96399730432728226</v>
      </c>
      <c r="W12" s="10">
        <f ca="1">IF($J12&gt;CDS.Tenor,"-",V11-V12)</f>
        <v>4.4284617840534279E-3</v>
      </c>
      <c r="X12" s="94" cm="1">
        <f t="array" ref="X12">IF($T12&gt;CDS.Tenor,"-",cubicInterpolation(CurveResults.Times,CurveResults.DFs,$J12))</f>
        <v>0.91525521397921195</v>
      </c>
      <c r="Y12" s="142">
        <f ca="1">IF($J12&gt;CDS.Tenor,"-",U12*W12*X12)</f>
        <v>24319.036426575498</v>
      </c>
      <c r="AA12" s="347"/>
      <c r="AB12" s="156">
        <f t="shared" si="105"/>
        <v>2</v>
      </c>
      <c r="AC12" s="352" cm="1">
        <f t="array" aca="1" ref="AC12" ca="1">IF($AB12&gt;CDS.Tenor,"-",flatInterpolation(AA12,INDIRECT(HazardRateTimes1),INDIRECT(HazardRateValues1)))</f>
        <v>5.0000000000000001E-3</v>
      </c>
      <c r="AD12" s="10">
        <f t="shared" ca="1" si="106"/>
        <v>0.99004983374916833</v>
      </c>
      <c r="AE12" s="10">
        <f t="shared" ca="1" si="107"/>
        <v>9.9501662508316713E-3</v>
      </c>
      <c r="AF12" s="360">
        <f ca="1">IF($AB12&gt;CDS.Tenor,"-",NORMSINV(AE12))</f>
        <v>-2.3282217375371861</v>
      </c>
      <c r="AG12" s="360"/>
      <c r="AH12" s="370">
        <f t="shared" si="108"/>
        <v>2</v>
      </c>
      <c r="AI12" s="366">
        <f ca="1">IF($AB12&gt;CDS.Tenor,"-",_xlfn.NORM.S.DIST(($AF12-SQRT(ImpliedCorrelation)*AI$3)/SQRT(1-ImpliedCorrelation),TRUE))</f>
        <v>9.9501662508316661E-3</v>
      </c>
      <c r="AJ12" s="366">
        <f ca="1">IF($AB12&gt;CDS.Tenor,"-",_xlfn.NORM.S.DIST(($AF12-SQRT(ImpliedCorrelation)*AJ$3)/SQRT(1-ImpliedCorrelation),TRUE))</f>
        <v>9.9501662508316661E-3</v>
      </c>
      <c r="AK12" s="366">
        <f ca="1">IF($AB12&gt;CDS.Tenor,"-",_xlfn.NORM.S.DIST(($AF12-SQRT(ImpliedCorrelation)*AK$3)/SQRT(1-ImpliedCorrelation),TRUE))</f>
        <v>9.9501662508316661E-3</v>
      </c>
      <c r="AL12" s="366">
        <f ca="1">IF($AB12&gt;CDS.Tenor,"-",_xlfn.NORM.S.DIST(($AF12-SQRT(ImpliedCorrelation)*AL$3)/SQRT(1-ImpliedCorrelation),TRUE))</f>
        <v>9.9501662508316661E-3</v>
      </c>
      <c r="AM12" s="366">
        <f ca="1">IF($AB12&gt;CDS.Tenor,"-",_xlfn.NORM.S.DIST(($AF12-SQRT(ImpliedCorrelation)*AM$3)/SQRT(1-ImpliedCorrelation),TRUE))</f>
        <v>9.9501662508316661E-3</v>
      </c>
      <c r="AN12" s="366">
        <f ca="1">IF($AB12&gt;CDS.Tenor,"-",_xlfn.NORM.S.DIST(($AF12-SQRT(ImpliedCorrelation)*AN$3)/SQRT(1-ImpliedCorrelation),TRUE))</f>
        <v>9.9501662508316661E-3</v>
      </c>
      <c r="AO12" s="366">
        <f ca="1">IF($AB12&gt;CDS.Tenor,"-",_xlfn.NORM.S.DIST(($AF12-SQRT(ImpliedCorrelation)*AO$3)/SQRT(1-ImpliedCorrelation),TRUE))</f>
        <v>9.9501662508316661E-3</v>
      </c>
      <c r="AP12" s="366">
        <f ca="1">IF($AB12&gt;CDS.Tenor,"-",_xlfn.NORM.S.DIST(($AF12-SQRT(ImpliedCorrelation)*AP$3)/SQRT(1-ImpliedCorrelation),TRUE))</f>
        <v>9.9501662508316661E-3</v>
      </c>
      <c r="AQ12" s="366">
        <f ca="1">IF($AB12&gt;CDS.Tenor,"-",_xlfn.NORM.S.DIST(($AF12-SQRT(ImpliedCorrelation)*AQ$3)/SQRT(1-ImpliedCorrelation),TRUE))</f>
        <v>9.9501662508316661E-3</v>
      </c>
      <c r="AR12" s="366">
        <f ca="1">IF($AB12&gt;CDS.Tenor,"-",_xlfn.NORM.S.DIST(($AF12-SQRT(ImpliedCorrelation)*AR$3)/SQRT(1-ImpliedCorrelation),TRUE))</f>
        <v>9.9501662508316661E-3</v>
      </c>
      <c r="AS12" s="366">
        <f ca="1">IF($AB12&gt;CDS.Tenor,"-",_xlfn.NORM.S.DIST(($AF12-SQRT(ImpliedCorrelation)*AS$3)/SQRT(1-ImpliedCorrelation),TRUE))</f>
        <v>9.9501662508316661E-3</v>
      </c>
      <c r="AT12" s="366">
        <f ca="1">IF($AB12&gt;CDS.Tenor,"-",_xlfn.NORM.S.DIST(($AF12-SQRT(ImpliedCorrelation)*AT$3)/SQRT(1-ImpliedCorrelation),TRUE))</f>
        <v>9.9501662508316661E-3</v>
      </c>
      <c r="AU12" s="366">
        <f ca="1">IF($AB12&gt;CDS.Tenor,"-",_xlfn.NORM.S.DIST(($AF12-SQRT(ImpliedCorrelation)*AU$3)/SQRT(1-ImpliedCorrelation),TRUE))</f>
        <v>9.9501662508316661E-3</v>
      </c>
      <c r="AV12" s="366">
        <f ca="1">IF($AB12&gt;CDS.Tenor,"-",_xlfn.NORM.S.DIST(($AF12-SQRT(ImpliedCorrelation)*AV$3)/SQRT(1-ImpliedCorrelation),TRUE))</f>
        <v>9.9501662508316661E-3</v>
      </c>
      <c r="AW12" s="366">
        <f ca="1">IF($AB12&gt;CDS.Tenor,"-",_xlfn.NORM.S.DIST(($AF12-SQRT(ImpliedCorrelation)*AW$3)/SQRT(1-ImpliedCorrelation),TRUE))</f>
        <v>9.9501662508316661E-3</v>
      </c>
      <c r="AX12" s="366">
        <f ca="1">IF($AB12&gt;CDS.Tenor,"-",_xlfn.NORM.S.DIST(($AF12-SQRT(ImpliedCorrelation)*AX$3)/SQRT(1-ImpliedCorrelation),TRUE))</f>
        <v>9.9501662508316661E-3</v>
      </c>
      <c r="AY12" s="366">
        <f ca="1">IF($AB12&gt;CDS.Tenor,"-",_xlfn.NORM.S.DIST(($AF12-SQRT(ImpliedCorrelation)*AY$3)/SQRT(1-ImpliedCorrelation),TRUE))</f>
        <v>9.9501662508316661E-3</v>
      </c>
      <c r="AZ12" s="366">
        <f ca="1">IF($AB12&gt;CDS.Tenor,"-",_xlfn.NORM.S.DIST(($AF12-SQRT(ImpliedCorrelation)*AZ$3)/SQRT(1-ImpliedCorrelation),TRUE))</f>
        <v>9.9501662508316661E-3</v>
      </c>
      <c r="BA12" s="366">
        <f ca="1">IF($AB12&gt;CDS.Tenor,"-",_xlfn.NORM.S.DIST(($AF12-SQRT(ImpliedCorrelation)*BA$3)/SQRT(1-ImpliedCorrelation),TRUE))</f>
        <v>9.9501662508316661E-3</v>
      </c>
      <c r="BB12" s="366">
        <f ca="1">IF($AB12&gt;CDS.Tenor,"-",_xlfn.NORM.S.DIST(($AF12-SQRT(ImpliedCorrelation)*BB$3)/SQRT(1-ImpliedCorrelation),TRUE))</f>
        <v>9.9501662508316661E-3</v>
      </c>
      <c r="BC12" s="366">
        <f ca="1">IF($AB12&gt;CDS.Tenor,"-",_xlfn.NORM.S.DIST(($AF12-SQRT(ImpliedCorrelation)*BC$3)/SQRT(1-ImpliedCorrelation),TRUE))</f>
        <v>9.9501662508316661E-3</v>
      </c>
      <c r="BD12" s="366"/>
      <c r="BE12" s="370">
        <f t="shared" si="109"/>
        <v>2</v>
      </c>
      <c r="BF12" s="366">
        <f ca="1">IF($AB12&gt;CDS.Tenor,"-",1-AI12)</f>
        <v>0.99004983374916833</v>
      </c>
      <c r="BG12" s="366">
        <f ca="1">IF($AB12&gt;CDS.Tenor,"-",1-AJ12)</f>
        <v>0.99004983374916833</v>
      </c>
      <c r="BH12" s="366">
        <f ca="1">IF($AB12&gt;CDS.Tenor,"-",1-AK12)</f>
        <v>0.99004983374916833</v>
      </c>
      <c r="BI12" s="366">
        <f ca="1">IF($AB12&gt;CDS.Tenor,"-",1-AL12)</f>
        <v>0.99004983374916833</v>
      </c>
      <c r="BJ12" s="366">
        <f ca="1">IF($AB12&gt;CDS.Tenor,"-",1-AM12)</f>
        <v>0.99004983374916833</v>
      </c>
      <c r="BK12" s="366">
        <f ca="1">IF($AB12&gt;CDS.Tenor,"-",1-AN12)</f>
        <v>0.99004983374916833</v>
      </c>
      <c r="BL12" s="366">
        <f ca="1">IF($AB12&gt;CDS.Tenor,"-",1-AO12)</f>
        <v>0.99004983374916833</v>
      </c>
      <c r="BM12" s="366">
        <f ca="1">IF($AB12&gt;CDS.Tenor,"-",1-AP12)</f>
        <v>0.99004983374916833</v>
      </c>
      <c r="BN12" s="366">
        <f ca="1">IF($AB12&gt;CDS.Tenor,"-",1-AQ12)</f>
        <v>0.99004983374916833</v>
      </c>
      <c r="BO12" s="366">
        <f ca="1">IF($AB12&gt;CDS.Tenor,"-",1-AR12)</f>
        <v>0.99004983374916833</v>
      </c>
      <c r="BP12" s="366">
        <f ca="1">IF($AB12&gt;CDS.Tenor,"-",1-AS12)</f>
        <v>0.99004983374916833</v>
      </c>
      <c r="BQ12" s="366">
        <f ca="1">IF($AB12&gt;CDS.Tenor,"-",1-AT12)</f>
        <v>0.99004983374916833</v>
      </c>
      <c r="BR12" s="366">
        <f ca="1">IF($AB12&gt;CDS.Tenor,"-",1-AU12)</f>
        <v>0.99004983374916833</v>
      </c>
      <c r="BS12" s="366">
        <f ca="1">IF($AB12&gt;CDS.Tenor,"-",1-AV12)</f>
        <v>0.99004983374916833</v>
      </c>
      <c r="BT12" s="366">
        <f ca="1">IF($AB12&gt;CDS.Tenor,"-",1-AW12)</f>
        <v>0.99004983374916833</v>
      </c>
      <c r="BU12" s="366">
        <f ca="1">IF($AB12&gt;CDS.Tenor,"-",1-AX12)</f>
        <v>0.99004983374916833</v>
      </c>
      <c r="BV12" s="366">
        <f ca="1">IF($AB12&gt;CDS.Tenor,"-",1-AY12)</f>
        <v>0.99004983374916833</v>
      </c>
      <c r="BW12" s="366">
        <f ca="1">IF($AB12&gt;CDS.Tenor,"-",1-AZ12)</f>
        <v>0.99004983374916833</v>
      </c>
      <c r="BX12" s="366">
        <f ca="1">IF($AB12&gt;CDS.Tenor,"-",1-BA12)</f>
        <v>0.99004983374916833</v>
      </c>
      <c r="BY12" s="366">
        <f ca="1">IF($AB12&gt;CDS.Tenor,"-",1-BB12)</f>
        <v>0.99004983374916833</v>
      </c>
      <c r="BZ12" s="366">
        <f ca="1">IF($AB12&gt;CDS.Tenor,"-",1-BC12)</f>
        <v>0.99004983374916833</v>
      </c>
      <c r="CA12" s="17"/>
      <c r="CB12" s="352" cm="1">
        <f t="array" aca="1" ref="CB12" ca="1">IF($AB12&gt;CDS.Tenor,"-",flatInterpolation(AB12,INDIRECT(HazardRateTimes2),INDIRECT(HazardRateValues2)))</f>
        <v>5.8333333333333336E-3</v>
      </c>
      <c r="CC12" s="10">
        <f t="shared" ca="1" si="110"/>
        <v>0.98840112499852384</v>
      </c>
      <c r="CD12" s="10">
        <f t="shared" ca="1" si="111"/>
        <v>1.1598875001476161E-2</v>
      </c>
      <c r="CE12" s="81">
        <f t="shared" ca="1" si="112"/>
        <v>-2.2701620935371136</v>
      </c>
      <c r="CF12" s="360"/>
      <c r="CG12" s="370">
        <f t="shared" si="113"/>
        <v>2</v>
      </c>
      <c r="CH12" s="366">
        <f ca="1">IF($AB12&gt;CDS.Tenor,"-",_xlfn.NORM.S.DIST(($CE12-SQRT(ImpliedCorrelation)*CH$3)/SQRT(1-ImpliedCorrelation),TRUE))</f>
        <v>1.1598875001476154E-2</v>
      </c>
      <c r="CI12" s="366">
        <f ca="1">IF($AB12&gt;CDS.Tenor,"-",_xlfn.NORM.S.DIST(($CE12-SQRT(ImpliedCorrelation)*CI$3)/SQRT(1-ImpliedCorrelation),TRUE))</f>
        <v>1.1598875001476154E-2</v>
      </c>
      <c r="CJ12" s="366">
        <f ca="1">IF($AB12&gt;CDS.Tenor,"-",_xlfn.NORM.S.DIST(($CE12-SQRT(ImpliedCorrelation)*CJ$3)/SQRT(1-ImpliedCorrelation),TRUE))</f>
        <v>1.1598875001476154E-2</v>
      </c>
      <c r="CK12" s="366">
        <f ca="1">IF($AB12&gt;CDS.Tenor,"-",_xlfn.NORM.S.DIST(($CE12-SQRT(ImpliedCorrelation)*CK$3)/SQRT(1-ImpliedCorrelation),TRUE))</f>
        <v>1.1598875001476154E-2</v>
      </c>
      <c r="CL12" s="366">
        <f ca="1">IF($AB12&gt;CDS.Tenor,"-",_xlfn.NORM.S.DIST(($CE12-SQRT(ImpliedCorrelation)*CL$3)/SQRT(1-ImpliedCorrelation),TRUE))</f>
        <v>1.1598875001476154E-2</v>
      </c>
      <c r="CM12" s="366">
        <f ca="1">IF($AB12&gt;CDS.Tenor,"-",_xlfn.NORM.S.DIST(($CE12-SQRT(ImpliedCorrelation)*CM$3)/SQRT(1-ImpliedCorrelation),TRUE))</f>
        <v>1.1598875001476154E-2</v>
      </c>
      <c r="CN12" s="366">
        <f ca="1">IF($AB12&gt;CDS.Tenor,"-",_xlfn.NORM.S.DIST(($CE12-SQRT(ImpliedCorrelation)*CN$3)/SQRT(1-ImpliedCorrelation),TRUE))</f>
        <v>1.1598875001476154E-2</v>
      </c>
      <c r="CO12" s="366">
        <f ca="1">IF($AB12&gt;CDS.Tenor,"-",_xlfn.NORM.S.DIST(($CE12-SQRT(ImpliedCorrelation)*CO$3)/SQRT(1-ImpliedCorrelation),TRUE))</f>
        <v>1.1598875001476154E-2</v>
      </c>
      <c r="CP12" s="366">
        <f ca="1">IF($AB12&gt;CDS.Tenor,"-",_xlfn.NORM.S.DIST(($CE12-SQRT(ImpliedCorrelation)*CP$3)/SQRT(1-ImpliedCorrelation),TRUE))</f>
        <v>1.1598875001476154E-2</v>
      </c>
      <c r="CQ12" s="366">
        <f ca="1">IF($AB12&gt;CDS.Tenor,"-",_xlfn.NORM.S.DIST(($CE12-SQRT(ImpliedCorrelation)*CQ$3)/SQRT(1-ImpliedCorrelation),TRUE))</f>
        <v>1.1598875001476154E-2</v>
      </c>
      <c r="CR12" s="366">
        <f ca="1">IF($AB12&gt;CDS.Tenor,"-",_xlfn.NORM.S.DIST(($CE12-SQRT(ImpliedCorrelation)*CR$3)/SQRT(1-ImpliedCorrelation),TRUE))</f>
        <v>1.1598875001476154E-2</v>
      </c>
      <c r="CS12" s="366">
        <f ca="1">IF($AB12&gt;CDS.Tenor,"-",_xlfn.NORM.S.DIST(($CE12-SQRT(ImpliedCorrelation)*CS$3)/SQRT(1-ImpliedCorrelation),TRUE))</f>
        <v>1.1598875001476154E-2</v>
      </c>
      <c r="CT12" s="366">
        <f ca="1">IF($AB12&gt;CDS.Tenor,"-",_xlfn.NORM.S.DIST(($CE12-SQRT(ImpliedCorrelation)*CT$3)/SQRT(1-ImpliedCorrelation),TRUE))</f>
        <v>1.1598875001476154E-2</v>
      </c>
      <c r="CU12" s="366">
        <f ca="1">IF($AB12&gt;CDS.Tenor,"-",_xlfn.NORM.S.DIST(($CE12-SQRT(ImpliedCorrelation)*CU$3)/SQRT(1-ImpliedCorrelation),TRUE))</f>
        <v>1.1598875001476154E-2</v>
      </c>
      <c r="CV12" s="366">
        <f ca="1">IF($AB12&gt;CDS.Tenor,"-",_xlfn.NORM.S.DIST(($CE12-SQRT(ImpliedCorrelation)*CV$3)/SQRT(1-ImpliedCorrelation),TRUE))</f>
        <v>1.1598875001476154E-2</v>
      </c>
      <c r="CW12" s="366">
        <f ca="1">IF($AB12&gt;CDS.Tenor,"-",_xlfn.NORM.S.DIST(($CE12-SQRT(ImpliedCorrelation)*CW$3)/SQRT(1-ImpliedCorrelation),TRUE))</f>
        <v>1.1598875001476154E-2</v>
      </c>
      <c r="CX12" s="366">
        <f ca="1">IF($AB12&gt;CDS.Tenor,"-",_xlfn.NORM.S.DIST(($CE12-SQRT(ImpliedCorrelation)*CX$3)/SQRT(1-ImpliedCorrelation),TRUE))</f>
        <v>1.1598875001476154E-2</v>
      </c>
      <c r="CY12" s="366">
        <f ca="1">IF($AB12&gt;CDS.Tenor,"-",_xlfn.NORM.S.DIST(($CE12-SQRT(ImpliedCorrelation)*CY$3)/SQRT(1-ImpliedCorrelation),TRUE))</f>
        <v>1.1598875001476154E-2</v>
      </c>
      <c r="CZ12" s="366">
        <f ca="1">IF($AB12&gt;CDS.Tenor,"-",_xlfn.NORM.S.DIST(($CE12-SQRT(ImpliedCorrelation)*CZ$3)/SQRT(1-ImpliedCorrelation),TRUE))</f>
        <v>1.1598875001476154E-2</v>
      </c>
      <c r="DA12" s="366">
        <f ca="1">IF($AB12&gt;CDS.Tenor,"-",_xlfn.NORM.S.DIST(($CE12-SQRT(ImpliedCorrelation)*DA$3)/SQRT(1-ImpliedCorrelation),TRUE))</f>
        <v>1.1598875001476154E-2</v>
      </c>
      <c r="DB12" s="366">
        <f ca="1">IF($AB12&gt;CDS.Tenor,"-",_xlfn.NORM.S.DIST(($CE12-SQRT(ImpliedCorrelation)*DB$3)/SQRT(1-ImpliedCorrelation),TRUE))</f>
        <v>1.1598875001476154E-2</v>
      </c>
      <c r="DC12" s="366"/>
      <c r="DD12" s="370">
        <f t="shared" si="114"/>
        <v>2</v>
      </c>
      <c r="DE12" s="366">
        <f ca="1">IF($AB12&gt;CDS.Tenor,"-",1-CH12)</f>
        <v>0.98840112499852384</v>
      </c>
      <c r="DF12" s="366">
        <f ca="1">IF($AB12&gt;CDS.Tenor,"-",1-CI12)</f>
        <v>0.98840112499852384</v>
      </c>
      <c r="DG12" s="366">
        <f ca="1">IF($AB12&gt;CDS.Tenor,"-",1-CJ12)</f>
        <v>0.98840112499852384</v>
      </c>
      <c r="DH12" s="366">
        <f ca="1">IF($AB12&gt;CDS.Tenor,"-",1-CK12)</f>
        <v>0.98840112499852384</v>
      </c>
      <c r="DI12" s="366">
        <f ca="1">IF($AB12&gt;CDS.Tenor,"-",1-CL12)</f>
        <v>0.98840112499852384</v>
      </c>
      <c r="DJ12" s="366">
        <f ca="1">IF($AB12&gt;CDS.Tenor,"-",1-CM12)</f>
        <v>0.98840112499852384</v>
      </c>
      <c r="DK12" s="366">
        <f ca="1">IF($AB12&gt;CDS.Tenor,"-",1-CN12)</f>
        <v>0.98840112499852384</v>
      </c>
      <c r="DL12" s="366">
        <f ca="1">IF($AB12&gt;CDS.Tenor,"-",1-CO12)</f>
        <v>0.98840112499852384</v>
      </c>
      <c r="DM12" s="366">
        <f ca="1">IF($AB12&gt;CDS.Tenor,"-",1-CP12)</f>
        <v>0.98840112499852384</v>
      </c>
      <c r="DN12" s="366">
        <f ca="1">IF($AB12&gt;CDS.Tenor,"-",1-CQ12)</f>
        <v>0.98840112499852384</v>
      </c>
      <c r="DO12" s="366">
        <f ca="1">IF($AB12&gt;CDS.Tenor,"-",1-CR12)</f>
        <v>0.98840112499852384</v>
      </c>
      <c r="DP12" s="366">
        <f ca="1">IF($AB12&gt;CDS.Tenor,"-",1-CS12)</f>
        <v>0.98840112499852384</v>
      </c>
      <c r="DQ12" s="366">
        <f ca="1">IF($AB12&gt;CDS.Tenor,"-",1-CT12)</f>
        <v>0.98840112499852384</v>
      </c>
      <c r="DR12" s="366">
        <f ca="1">IF($AB12&gt;CDS.Tenor,"-",1-CU12)</f>
        <v>0.98840112499852384</v>
      </c>
      <c r="DS12" s="366">
        <f ca="1">IF($AB12&gt;CDS.Tenor,"-",1-CV12)</f>
        <v>0.98840112499852384</v>
      </c>
      <c r="DT12" s="366">
        <f ca="1">IF($AB12&gt;CDS.Tenor,"-",1-CW12)</f>
        <v>0.98840112499852384</v>
      </c>
      <c r="DU12" s="366">
        <f ca="1">IF($AB12&gt;CDS.Tenor,"-",1-CX12)</f>
        <v>0.98840112499852384</v>
      </c>
      <c r="DV12" s="366">
        <f ca="1">IF($AB12&gt;CDS.Tenor,"-",1-CY12)</f>
        <v>0.98840112499852384</v>
      </c>
      <c r="DW12" s="366">
        <f ca="1">IF($AB12&gt;CDS.Tenor,"-",1-CZ12)</f>
        <v>0.98840112499852384</v>
      </c>
      <c r="DX12" s="366">
        <f ca="1">IF($AB12&gt;CDS.Tenor,"-",1-DA12)</f>
        <v>0.98840112499852384</v>
      </c>
      <c r="DY12" s="362">
        <f ca="1">IF($AB12&gt;CDS.Tenor,"-",1-DB12)</f>
        <v>0.98840112499852384</v>
      </c>
      <c r="DZ12" s="360"/>
      <c r="EA12" s="352" cm="1">
        <f t="array" aca="1" ref="EA12" ca="1">IF($AB12&gt;CDS.Tenor,"-",flatInterpolation(CC12,INDIRECT(HazardRateTimes3),INDIRECT(HazardRateValues3)))</f>
        <v>7.4999999999999997E-3</v>
      </c>
      <c r="EB12" s="10">
        <f t="shared" ca="1" si="115"/>
        <v>0.98511193960306287</v>
      </c>
      <c r="EC12" s="10">
        <f t="shared" ca="1" si="116"/>
        <v>1.4888060396937131E-2</v>
      </c>
      <c r="ED12" s="81">
        <f t="shared" ca="1" si="117"/>
        <v>-2.1730557604645462</v>
      </c>
      <c r="EE12" s="347"/>
      <c r="EF12" s="370">
        <f t="shared" si="118"/>
        <v>2</v>
      </c>
      <c r="EG12" s="366">
        <f ca="1">IF($AB12&gt;CDS.Tenor,"-",_xlfn.NORM.S.DIST(($ED12-SQRT(ImpliedCorrelation)*EG$3)/SQRT(1-ImpliedCorrelation),TRUE))</f>
        <v>1.4888060396937094E-2</v>
      </c>
      <c r="EH12" s="366">
        <f ca="1">IF($AB12&gt;CDS.Tenor,"-",_xlfn.NORM.S.DIST(($ED12-SQRT(ImpliedCorrelation)*EH$3)/SQRT(1-ImpliedCorrelation),TRUE))</f>
        <v>1.4888060396937094E-2</v>
      </c>
      <c r="EI12" s="366">
        <f ca="1">IF($AB12&gt;CDS.Tenor,"-",_xlfn.NORM.S.DIST(($ED12-SQRT(ImpliedCorrelation)*EI$3)/SQRT(1-ImpliedCorrelation),TRUE))</f>
        <v>1.4888060396937094E-2</v>
      </c>
      <c r="EJ12" s="366">
        <f ca="1">IF($AB12&gt;CDS.Tenor,"-",_xlfn.NORM.S.DIST(($ED12-SQRT(ImpliedCorrelation)*EJ$3)/SQRT(1-ImpliedCorrelation),TRUE))</f>
        <v>1.4888060396937094E-2</v>
      </c>
      <c r="EK12" s="366">
        <f ca="1">IF($AB12&gt;CDS.Tenor,"-",_xlfn.NORM.S.DIST(($ED12-SQRT(ImpliedCorrelation)*EK$3)/SQRT(1-ImpliedCorrelation),TRUE))</f>
        <v>1.4888060396937094E-2</v>
      </c>
      <c r="EL12" s="366">
        <f ca="1">IF($AB12&gt;CDS.Tenor,"-",_xlfn.NORM.S.DIST(($ED12-SQRT(ImpliedCorrelation)*EL$3)/SQRT(1-ImpliedCorrelation),TRUE))</f>
        <v>1.4888060396937094E-2</v>
      </c>
      <c r="EM12" s="366">
        <f ca="1">IF($AB12&gt;CDS.Tenor,"-",_xlfn.NORM.S.DIST(($ED12-SQRT(ImpliedCorrelation)*EM$3)/SQRT(1-ImpliedCorrelation),TRUE))</f>
        <v>1.4888060396937094E-2</v>
      </c>
      <c r="EN12" s="366">
        <f ca="1">IF($AB12&gt;CDS.Tenor,"-",_xlfn.NORM.S.DIST(($ED12-SQRT(ImpliedCorrelation)*EN$3)/SQRT(1-ImpliedCorrelation),TRUE))</f>
        <v>1.4888060396937094E-2</v>
      </c>
      <c r="EO12" s="366">
        <f ca="1">IF($AB12&gt;CDS.Tenor,"-",_xlfn.NORM.S.DIST(($ED12-SQRT(ImpliedCorrelation)*EO$3)/SQRT(1-ImpliedCorrelation),TRUE))</f>
        <v>1.4888060396937094E-2</v>
      </c>
      <c r="EP12" s="366">
        <f ca="1">IF($AB12&gt;CDS.Tenor,"-",_xlfn.NORM.S.DIST(($ED12-SQRT(ImpliedCorrelation)*EP$3)/SQRT(1-ImpliedCorrelation),TRUE))</f>
        <v>1.4888060396937094E-2</v>
      </c>
      <c r="EQ12" s="366">
        <f ca="1">IF($AB12&gt;CDS.Tenor,"-",_xlfn.NORM.S.DIST(($ED12-SQRT(ImpliedCorrelation)*EQ$3)/SQRT(1-ImpliedCorrelation),TRUE))</f>
        <v>1.4888060396937094E-2</v>
      </c>
      <c r="ER12" s="366">
        <f ca="1">IF($AB12&gt;CDS.Tenor,"-",_xlfn.NORM.S.DIST(($ED12-SQRT(ImpliedCorrelation)*ER$3)/SQRT(1-ImpliedCorrelation),TRUE))</f>
        <v>1.4888060396937094E-2</v>
      </c>
      <c r="ES12" s="366">
        <f ca="1">IF($AB12&gt;CDS.Tenor,"-",_xlfn.NORM.S.DIST(($ED12-SQRT(ImpliedCorrelation)*ES$3)/SQRT(1-ImpliedCorrelation),TRUE))</f>
        <v>1.4888060396937094E-2</v>
      </c>
      <c r="ET12" s="366">
        <f ca="1">IF($AB12&gt;CDS.Tenor,"-",_xlfn.NORM.S.DIST(($ED12-SQRT(ImpliedCorrelation)*ET$3)/SQRT(1-ImpliedCorrelation),TRUE))</f>
        <v>1.4888060396937094E-2</v>
      </c>
      <c r="EU12" s="366">
        <f ca="1">IF($AB12&gt;CDS.Tenor,"-",_xlfn.NORM.S.DIST(($ED12-SQRT(ImpliedCorrelation)*EU$3)/SQRT(1-ImpliedCorrelation),TRUE))</f>
        <v>1.4888060396937094E-2</v>
      </c>
      <c r="EV12" s="366">
        <f ca="1">IF($AB12&gt;CDS.Tenor,"-",_xlfn.NORM.S.DIST(($ED12-SQRT(ImpliedCorrelation)*EV$3)/SQRT(1-ImpliedCorrelation),TRUE))</f>
        <v>1.4888060396937094E-2</v>
      </c>
      <c r="EW12" s="366">
        <f ca="1">IF($AB12&gt;CDS.Tenor,"-",_xlfn.NORM.S.DIST(($ED12-SQRT(ImpliedCorrelation)*EW$3)/SQRT(1-ImpliedCorrelation),TRUE))</f>
        <v>1.4888060396937094E-2</v>
      </c>
      <c r="EX12" s="366">
        <f ca="1">IF($AB12&gt;CDS.Tenor,"-",_xlfn.NORM.S.DIST(($ED12-SQRT(ImpliedCorrelation)*EX$3)/SQRT(1-ImpliedCorrelation),TRUE))</f>
        <v>1.4888060396937094E-2</v>
      </c>
      <c r="EY12" s="366">
        <f ca="1">IF($AB12&gt;CDS.Tenor,"-",_xlfn.NORM.S.DIST(($ED12-SQRT(ImpliedCorrelation)*EY$3)/SQRT(1-ImpliedCorrelation),TRUE))</f>
        <v>1.4888060396937094E-2</v>
      </c>
      <c r="EZ12" s="366">
        <f ca="1">IF($AB12&gt;CDS.Tenor,"-",_xlfn.NORM.S.DIST(($ED12-SQRT(ImpliedCorrelation)*EZ$3)/SQRT(1-ImpliedCorrelation),TRUE))</f>
        <v>1.4888060396937094E-2</v>
      </c>
      <c r="FA12" s="366">
        <f ca="1">IF($AB12&gt;CDS.Tenor,"-",_xlfn.NORM.S.DIST(($ED12-SQRT(ImpliedCorrelation)*FA$3)/SQRT(1-ImpliedCorrelation),TRUE))</f>
        <v>1.4888060396937094E-2</v>
      </c>
      <c r="FB12" s="366"/>
      <c r="FC12" s="370">
        <f t="shared" si="119"/>
        <v>2</v>
      </c>
      <c r="FD12" s="366">
        <f ca="1">IF($AB12&gt;CDS.Tenor,"-",1-EG12)</f>
        <v>0.98511193960306287</v>
      </c>
      <c r="FE12" s="366">
        <f ca="1">IF($AB12&gt;CDS.Tenor,"-",1-EH12)</f>
        <v>0.98511193960306287</v>
      </c>
      <c r="FF12" s="366">
        <f ca="1">IF($AB12&gt;CDS.Tenor,"-",1-EI12)</f>
        <v>0.98511193960306287</v>
      </c>
      <c r="FG12" s="366">
        <f ca="1">IF($AB12&gt;CDS.Tenor,"-",1-EJ12)</f>
        <v>0.98511193960306287</v>
      </c>
      <c r="FH12" s="366">
        <f ca="1">IF($AB12&gt;CDS.Tenor,"-",1-EK12)</f>
        <v>0.98511193960306287</v>
      </c>
      <c r="FI12" s="366">
        <f ca="1">IF($AB12&gt;CDS.Tenor,"-",1-EL12)</f>
        <v>0.98511193960306287</v>
      </c>
      <c r="FJ12" s="366">
        <f ca="1">IF($AB12&gt;CDS.Tenor,"-",1-EM12)</f>
        <v>0.98511193960306287</v>
      </c>
      <c r="FK12" s="366">
        <f ca="1">IF($AB12&gt;CDS.Tenor,"-",1-EN12)</f>
        <v>0.98511193960306287</v>
      </c>
      <c r="FL12" s="366">
        <f ca="1">IF($AB12&gt;CDS.Tenor,"-",1-EO12)</f>
        <v>0.98511193960306287</v>
      </c>
      <c r="FM12" s="366">
        <f ca="1">IF($AB12&gt;CDS.Tenor,"-",1-EP12)</f>
        <v>0.98511193960306287</v>
      </c>
      <c r="FN12" s="366">
        <f ca="1">IF($AB12&gt;CDS.Tenor,"-",1-EQ12)</f>
        <v>0.98511193960306287</v>
      </c>
      <c r="FO12" s="366">
        <f ca="1">IF($AB12&gt;CDS.Tenor,"-",1-ER12)</f>
        <v>0.98511193960306287</v>
      </c>
      <c r="FP12" s="366">
        <f ca="1">IF($AB12&gt;CDS.Tenor,"-",1-ES12)</f>
        <v>0.98511193960306287</v>
      </c>
      <c r="FQ12" s="366">
        <f ca="1">IF($AB12&gt;CDS.Tenor,"-",1-ET12)</f>
        <v>0.98511193960306287</v>
      </c>
      <c r="FR12" s="366">
        <f ca="1">IF($AB12&gt;CDS.Tenor,"-",1-EU12)</f>
        <v>0.98511193960306287</v>
      </c>
      <c r="FS12" s="366">
        <f ca="1">IF($AB12&gt;CDS.Tenor,"-",1-EV12)</f>
        <v>0.98511193960306287</v>
      </c>
      <c r="FT12" s="366">
        <f ca="1">IF($AB12&gt;CDS.Tenor,"-",1-EW12)</f>
        <v>0.98511193960306287</v>
      </c>
      <c r="FU12" s="366">
        <f ca="1">IF($AB12&gt;CDS.Tenor,"-",1-EX12)</f>
        <v>0.98511193960306287</v>
      </c>
      <c r="FV12" s="366">
        <f ca="1">IF($AB12&gt;CDS.Tenor,"-",1-EY12)</f>
        <v>0.98511193960306287</v>
      </c>
      <c r="FW12" s="366">
        <f ca="1">IF($AB12&gt;CDS.Tenor,"-",1-EZ12)</f>
        <v>0.98511193960306287</v>
      </c>
      <c r="FX12" s="362">
        <f ca="1">IF($AB12&gt;CDS.Tenor,"-",1-FA12)</f>
        <v>0.98511193960306287</v>
      </c>
      <c r="FZ12" s="370">
        <f t="shared" si="120"/>
        <v>2</v>
      </c>
      <c r="GA12" s="366">
        <f ca="1">IF($AB12&gt;CDS.Tenor,"-",BF12*DE12*FD12)</f>
        <v>0.96399741427101582</v>
      </c>
      <c r="GB12" s="366">
        <f ca="1">IF($AB12&gt;CDS.Tenor,"-",BG12*DF12*FE12)</f>
        <v>0.96399741427101582</v>
      </c>
      <c r="GC12" s="366">
        <f ca="1">IF($AB12&gt;CDS.Tenor,"-",BH12*DG12*FF12)</f>
        <v>0.96399741427101582</v>
      </c>
      <c r="GD12" s="366">
        <f ca="1">IF($AB12&gt;CDS.Tenor,"-",BI12*DH12*FG12)</f>
        <v>0.96399741427101582</v>
      </c>
      <c r="GE12" s="366">
        <f ca="1">IF($AB12&gt;CDS.Tenor,"-",BJ12*DI12*FH12)</f>
        <v>0.96399741427101582</v>
      </c>
      <c r="GF12" s="366">
        <f ca="1">IF($AB12&gt;CDS.Tenor,"-",BK12*DJ12*FI12)</f>
        <v>0.96399741427101582</v>
      </c>
      <c r="GG12" s="366">
        <f ca="1">IF($AB12&gt;CDS.Tenor,"-",BL12*DK12*FJ12)</f>
        <v>0.96399741427101582</v>
      </c>
      <c r="GH12" s="366">
        <f ca="1">IF($AB12&gt;CDS.Tenor,"-",BM12*DL12*FK12)</f>
        <v>0.96399741427101582</v>
      </c>
      <c r="GI12" s="366">
        <f ca="1">IF($AB12&gt;CDS.Tenor,"-",BN12*DM12*FL12)</f>
        <v>0.96399741427101582</v>
      </c>
      <c r="GJ12" s="366">
        <f ca="1">IF($AB12&gt;CDS.Tenor,"-",BO12*DN12*FM12)</f>
        <v>0.96399741427101582</v>
      </c>
      <c r="GK12" s="366">
        <f ca="1">IF($AB12&gt;CDS.Tenor,"-",BP12*DO12*FN12)</f>
        <v>0.96399741427101582</v>
      </c>
      <c r="GL12" s="366">
        <f ca="1">IF($AB12&gt;CDS.Tenor,"-",BQ12*DP12*FO12)</f>
        <v>0.96399741427101582</v>
      </c>
      <c r="GM12" s="366">
        <f ca="1">IF($AB12&gt;CDS.Tenor,"-",BR12*DQ12*FP12)</f>
        <v>0.96399741427101582</v>
      </c>
      <c r="GN12" s="366">
        <f ca="1">IF($AB12&gt;CDS.Tenor,"-",BS12*DR12*FQ12)</f>
        <v>0.96399741427101582</v>
      </c>
      <c r="GO12" s="366">
        <f ca="1">IF($AB12&gt;CDS.Tenor,"-",BT12*DS12*FR12)</f>
        <v>0.96399741427101582</v>
      </c>
      <c r="GP12" s="366">
        <f ca="1">IF($AB12&gt;CDS.Tenor,"-",BU12*DT12*FS12)</f>
        <v>0.96399741427101582</v>
      </c>
      <c r="GQ12" s="366">
        <f ca="1">IF($AB12&gt;CDS.Tenor,"-",BV12*DU12*FT12)</f>
        <v>0.96399741427101582</v>
      </c>
      <c r="GR12" s="366">
        <f ca="1">IF($AB12&gt;CDS.Tenor,"-",BW12*DV12*FU12)</f>
        <v>0.96399741427101582</v>
      </c>
      <c r="GS12" s="366">
        <f ca="1">IF($AB12&gt;CDS.Tenor,"-",BX12*DW12*FV12)</f>
        <v>0.96399741427101582</v>
      </c>
      <c r="GT12" s="366">
        <f ca="1">IF($AB12&gt;CDS.Tenor,"-",BY12*DX12*FW12)</f>
        <v>0.96399741427101582</v>
      </c>
      <c r="GU12" s="362">
        <f ca="1">IF($AB12&gt;CDS.Tenor,"-",BZ12*DY12*FX12)</f>
        <v>0.96399741427101582</v>
      </c>
      <c r="GV12" s="42"/>
      <c r="GW12" s="370">
        <f t="shared" si="121"/>
        <v>2</v>
      </c>
      <c r="GX12" s="378">
        <f ca="1">IF($AB12&gt;CDS.Tenor,"-",SUMPRODUCT($GA12:$GU12,$GA$4:$GU$4)*dm)</f>
        <v>0.96399730432728226</v>
      </c>
      <c r="GY12" s="381">
        <f ca="1">IF($AB12&gt;CDS.Tenor,"-",GX11-GX12)</f>
        <v>4.4284617840534279E-3</v>
      </c>
    </row>
    <row r="13" spans="2:228" x14ac:dyDescent="0.3">
      <c r="J13" s="156">
        <f t="shared" si="103"/>
        <v>2.25</v>
      </c>
      <c r="K13" s="28">
        <f>IF($J13&gt;CDS.Tenor,"-",CDS.PremiumSign*CDS.Notional*CDS.YearFraction*CDS.CreditSpread)</f>
        <v>-25000</v>
      </c>
      <c r="L13" s="10">
        <f ca="1">GX13</f>
        <v>0.95958909321649533</v>
      </c>
      <c r="M13" s="10">
        <f ca="1">IF($J13&gt;CDS.Tenor,"-",L12-L13)</f>
        <v>4.4082111107869304E-3</v>
      </c>
      <c r="N13" s="94" cm="1">
        <f t="array" ref="N13">IF($J13&gt;CDS.Tenor,"-",cubicInterpolation(CurveResults.Times,CurveResults.DFs,$J13))</f>
        <v>0.90592386234408706</v>
      </c>
      <c r="O13" s="28">
        <f ca="1">IF($J13&gt;CDS.Tenor,"-",K13*L13*N13)</f>
        <v>-21732.866439748694</v>
      </c>
      <c r="P13" s="28">
        <f ca="1">IF($J13&gt;CDS.Tenor,"-",0.5*K13*M13*N13)</f>
        <v>-49.918795443902681</v>
      </c>
      <c r="Q13" s="142">
        <f ca="1">IF($J13&gt;CDS.Tenor,"-",O13+P13)</f>
        <v>-21782.785235192598</v>
      </c>
      <c r="T13" s="156">
        <f t="shared" si="104"/>
        <v>2.25</v>
      </c>
      <c r="U13" s="28">
        <f>IF($J13&gt;CDS.Tenor,"-",CDS.ProtectionSign*CDS.Notional*(1-CDS.RecoveryRate))</f>
        <v>6000000</v>
      </c>
      <c r="V13" s="10">
        <f ca="1">IF($J13&gt;CDS.Tenor,"-",GX13)</f>
        <v>0.95958909321649533</v>
      </c>
      <c r="W13" s="10">
        <f ca="1">IF($J13&gt;CDS.Tenor,"-",V12-V13)</f>
        <v>4.4082111107869304E-3</v>
      </c>
      <c r="X13" s="94" cm="1">
        <f t="array" ref="X13">IF($T13&gt;CDS.Tenor,"-",cubicInterpolation(CurveResults.Times,CurveResults.DFs,$J13))</f>
        <v>0.90592386234408706</v>
      </c>
      <c r="Y13" s="142">
        <f ca="1">IF($J13&gt;CDS.Tenor,"-",U13*W13*X13)</f>
        <v>23961.021813073283</v>
      </c>
      <c r="AA13" s="347"/>
      <c r="AB13" s="156">
        <f t="shared" si="105"/>
        <v>2.25</v>
      </c>
      <c r="AC13" s="352" cm="1">
        <f t="array" aca="1" ref="AC13" ca="1">IF($AB13&gt;CDS.Tenor,"-",flatInterpolation(AA13,INDIRECT(HazardRateTimes1),INDIRECT(HazardRateValues1)))</f>
        <v>5.0000000000000001E-3</v>
      </c>
      <c r="AD13" s="10">
        <f t="shared" ca="1" si="106"/>
        <v>0.98881304461123343</v>
      </c>
      <c r="AE13" s="10">
        <f t="shared" ca="1" si="107"/>
        <v>1.1186955388766573E-2</v>
      </c>
      <c r="AF13" s="360">
        <f ca="1">IF($AB13&gt;CDS.Tenor,"-",NORMSINV(AE13))</f>
        <v>-2.2839595080434183</v>
      </c>
      <c r="AG13" s="360"/>
      <c r="AH13" s="370">
        <f t="shared" si="108"/>
        <v>2.25</v>
      </c>
      <c r="AI13" s="366">
        <f ca="1">IF($AB13&gt;CDS.Tenor,"-",_xlfn.NORM.S.DIST(($AF13-SQRT(ImpliedCorrelation)*AI$3)/SQRT(1-ImpliedCorrelation),TRUE))</f>
        <v>1.1186955388766578E-2</v>
      </c>
      <c r="AJ13" s="366">
        <f ca="1">IF($AB13&gt;CDS.Tenor,"-",_xlfn.NORM.S.DIST(($AF13-SQRT(ImpliedCorrelation)*AJ$3)/SQRT(1-ImpliedCorrelation),TRUE))</f>
        <v>1.1186955388766578E-2</v>
      </c>
      <c r="AK13" s="366">
        <f ca="1">IF($AB13&gt;CDS.Tenor,"-",_xlfn.NORM.S.DIST(($AF13-SQRT(ImpliedCorrelation)*AK$3)/SQRT(1-ImpliedCorrelation),TRUE))</f>
        <v>1.1186955388766578E-2</v>
      </c>
      <c r="AL13" s="366">
        <f ca="1">IF($AB13&gt;CDS.Tenor,"-",_xlfn.NORM.S.DIST(($AF13-SQRT(ImpliedCorrelation)*AL$3)/SQRT(1-ImpliedCorrelation),TRUE))</f>
        <v>1.1186955388766578E-2</v>
      </c>
      <c r="AM13" s="366">
        <f ca="1">IF($AB13&gt;CDS.Tenor,"-",_xlfn.NORM.S.DIST(($AF13-SQRT(ImpliedCorrelation)*AM$3)/SQRT(1-ImpliedCorrelation),TRUE))</f>
        <v>1.1186955388766578E-2</v>
      </c>
      <c r="AN13" s="366">
        <f ca="1">IF($AB13&gt;CDS.Tenor,"-",_xlfn.NORM.S.DIST(($AF13-SQRT(ImpliedCorrelation)*AN$3)/SQRT(1-ImpliedCorrelation),TRUE))</f>
        <v>1.1186955388766578E-2</v>
      </c>
      <c r="AO13" s="366">
        <f ca="1">IF($AB13&gt;CDS.Tenor,"-",_xlfn.NORM.S.DIST(($AF13-SQRT(ImpliedCorrelation)*AO$3)/SQRT(1-ImpliedCorrelation),TRUE))</f>
        <v>1.1186955388766578E-2</v>
      </c>
      <c r="AP13" s="366">
        <f ca="1">IF($AB13&gt;CDS.Tenor,"-",_xlfn.NORM.S.DIST(($AF13-SQRT(ImpliedCorrelation)*AP$3)/SQRT(1-ImpliedCorrelation),TRUE))</f>
        <v>1.1186955388766578E-2</v>
      </c>
      <c r="AQ13" s="366">
        <f ca="1">IF($AB13&gt;CDS.Tenor,"-",_xlfn.NORM.S.DIST(($AF13-SQRT(ImpliedCorrelation)*AQ$3)/SQRT(1-ImpliedCorrelation),TRUE))</f>
        <v>1.1186955388766578E-2</v>
      </c>
      <c r="AR13" s="366">
        <f ca="1">IF($AB13&gt;CDS.Tenor,"-",_xlfn.NORM.S.DIST(($AF13-SQRT(ImpliedCorrelation)*AR$3)/SQRT(1-ImpliedCorrelation),TRUE))</f>
        <v>1.1186955388766578E-2</v>
      </c>
      <c r="AS13" s="366">
        <f ca="1">IF($AB13&gt;CDS.Tenor,"-",_xlfn.NORM.S.DIST(($AF13-SQRT(ImpliedCorrelation)*AS$3)/SQRT(1-ImpliedCorrelation),TRUE))</f>
        <v>1.1186955388766578E-2</v>
      </c>
      <c r="AT13" s="366">
        <f ca="1">IF($AB13&gt;CDS.Tenor,"-",_xlfn.NORM.S.DIST(($AF13-SQRT(ImpliedCorrelation)*AT$3)/SQRT(1-ImpliedCorrelation),TRUE))</f>
        <v>1.1186955388766578E-2</v>
      </c>
      <c r="AU13" s="366">
        <f ca="1">IF($AB13&gt;CDS.Tenor,"-",_xlfn.NORM.S.DIST(($AF13-SQRT(ImpliedCorrelation)*AU$3)/SQRT(1-ImpliedCorrelation),TRUE))</f>
        <v>1.1186955388766578E-2</v>
      </c>
      <c r="AV13" s="366">
        <f ca="1">IF($AB13&gt;CDS.Tenor,"-",_xlfn.NORM.S.DIST(($AF13-SQRT(ImpliedCorrelation)*AV$3)/SQRT(1-ImpliedCorrelation),TRUE))</f>
        <v>1.1186955388766578E-2</v>
      </c>
      <c r="AW13" s="366">
        <f ca="1">IF($AB13&gt;CDS.Tenor,"-",_xlfn.NORM.S.DIST(($AF13-SQRT(ImpliedCorrelation)*AW$3)/SQRT(1-ImpliedCorrelation),TRUE))</f>
        <v>1.1186955388766578E-2</v>
      </c>
      <c r="AX13" s="366">
        <f ca="1">IF($AB13&gt;CDS.Tenor,"-",_xlfn.NORM.S.DIST(($AF13-SQRT(ImpliedCorrelation)*AX$3)/SQRT(1-ImpliedCorrelation),TRUE))</f>
        <v>1.1186955388766578E-2</v>
      </c>
      <c r="AY13" s="366">
        <f ca="1">IF($AB13&gt;CDS.Tenor,"-",_xlfn.NORM.S.DIST(($AF13-SQRT(ImpliedCorrelation)*AY$3)/SQRT(1-ImpliedCorrelation),TRUE))</f>
        <v>1.1186955388766578E-2</v>
      </c>
      <c r="AZ13" s="366">
        <f ca="1">IF($AB13&gt;CDS.Tenor,"-",_xlfn.NORM.S.DIST(($AF13-SQRT(ImpliedCorrelation)*AZ$3)/SQRT(1-ImpliedCorrelation),TRUE))</f>
        <v>1.1186955388766578E-2</v>
      </c>
      <c r="BA13" s="366">
        <f ca="1">IF($AB13&gt;CDS.Tenor,"-",_xlfn.NORM.S.DIST(($AF13-SQRT(ImpliedCorrelation)*BA$3)/SQRT(1-ImpliedCorrelation),TRUE))</f>
        <v>1.1186955388766578E-2</v>
      </c>
      <c r="BB13" s="366">
        <f ca="1">IF($AB13&gt;CDS.Tenor,"-",_xlfn.NORM.S.DIST(($AF13-SQRT(ImpliedCorrelation)*BB$3)/SQRT(1-ImpliedCorrelation),TRUE))</f>
        <v>1.1186955388766578E-2</v>
      </c>
      <c r="BC13" s="366">
        <f ca="1">IF($AB13&gt;CDS.Tenor,"-",_xlfn.NORM.S.DIST(($AF13-SQRT(ImpliedCorrelation)*BC$3)/SQRT(1-ImpliedCorrelation),TRUE))</f>
        <v>1.1186955388766578E-2</v>
      </c>
      <c r="BD13" s="366"/>
      <c r="BE13" s="370">
        <f t="shared" si="109"/>
        <v>2.25</v>
      </c>
      <c r="BF13" s="366">
        <f ca="1">IF($AB13&gt;CDS.Tenor,"-",1-AI13)</f>
        <v>0.98881304461123343</v>
      </c>
      <c r="BG13" s="366">
        <f ca="1">IF($AB13&gt;CDS.Tenor,"-",1-AJ13)</f>
        <v>0.98881304461123343</v>
      </c>
      <c r="BH13" s="366">
        <f ca="1">IF($AB13&gt;CDS.Tenor,"-",1-AK13)</f>
        <v>0.98881304461123343</v>
      </c>
      <c r="BI13" s="366">
        <f ca="1">IF($AB13&gt;CDS.Tenor,"-",1-AL13)</f>
        <v>0.98881304461123343</v>
      </c>
      <c r="BJ13" s="366">
        <f ca="1">IF($AB13&gt;CDS.Tenor,"-",1-AM13)</f>
        <v>0.98881304461123343</v>
      </c>
      <c r="BK13" s="366">
        <f ca="1">IF($AB13&gt;CDS.Tenor,"-",1-AN13)</f>
        <v>0.98881304461123343</v>
      </c>
      <c r="BL13" s="366">
        <f ca="1">IF($AB13&gt;CDS.Tenor,"-",1-AO13)</f>
        <v>0.98881304461123343</v>
      </c>
      <c r="BM13" s="366">
        <f ca="1">IF($AB13&gt;CDS.Tenor,"-",1-AP13)</f>
        <v>0.98881304461123343</v>
      </c>
      <c r="BN13" s="366">
        <f ca="1">IF($AB13&gt;CDS.Tenor,"-",1-AQ13)</f>
        <v>0.98881304461123343</v>
      </c>
      <c r="BO13" s="366">
        <f ca="1">IF($AB13&gt;CDS.Tenor,"-",1-AR13)</f>
        <v>0.98881304461123343</v>
      </c>
      <c r="BP13" s="366">
        <f ca="1">IF($AB13&gt;CDS.Tenor,"-",1-AS13)</f>
        <v>0.98881304461123343</v>
      </c>
      <c r="BQ13" s="366">
        <f ca="1">IF($AB13&gt;CDS.Tenor,"-",1-AT13)</f>
        <v>0.98881304461123343</v>
      </c>
      <c r="BR13" s="366">
        <f ca="1">IF($AB13&gt;CDS.Tenor,"-",1-AU13)</f>
        <v>0.98881304461123343</v>
      </c>
      <c r="BS13" s="366">
        <f ca="1">IF($AB13&gt;CDS.Tenor,"-",1-AV13)</f>
        <v>0.98881304461123343</v>
      </c>
      <c r="BT13" s="366">
        <f ca="1">IF($AB13&gt;CDS.Tenor,"-",1-AW13)</f>
        <v>0.98881304461123343</v>
      </c>
      <c r="BU13" s="366">
        <f ca="1">IF($AB13&gt;CDS.Tenor,"-",1-AX13)</f>
        <v>0.98881304461123343</v>
      </c>
      <c r="BV13" s="366">
        <f ca="1">IF($AB13&gt;CDS.Tenor,"-",1-AY13)</f>
        <v>0.98881304461123343</v>
      </c>
      <c r="BW13" s="366">
        <f ca="1">IF($AB13&gt;CDS.Tenor,"-",1-AZ13)</f>
        <v>0.98881304461123343</v>
      </c>
      <c r="BX13" s="366">
        <f ca="1">IF($AB13&gt;CDS.Tenor,"-",1-BA13)</f>
        <v>0.98881304461123343</v>
      </c>
      <c r="BY13" s="366">
        <f ca="1">IF($AB13&gt;CDS.Tenor,"-",1-BB13)</f>
        <v>0.98881304461123343</v>
      </c>
      <c r="BZ13" s="366">
        <f ca="1">IF($AB13&gt;CDS.Tenor,"-",1-BC13)</f>
        <v>0.98881304461123343</v>
      </c>
      <c r="CA13" s="17"/>
      <c r="CB13" s="352" cm="1">
        <f t="array" aca="1" ref="CB13" ca="1">IF($AB13&gt;CDS.Tenor,"-",flatInterpolation(AB13,INDIRECT(HazardRateTimes2),INDIRECT(HazardRateValues2)))</f>
        <v>5.8333333333333336E-3</v>
      </c>
      <c r="CC13" s="10">
        <f t="shared" ca="1" si="110"/>
        <v>0.98696075721468357</v>
      </c>
      <c r="CD13" s="10">
        <f t="shared" ca="1" si="111"/>
        <v>1.3039242785316429E-2</v>
      </c>
      <c r="CE13" s="81">
        <f t="shared" ca="1" si="112"/>
        <v>-2.2250410047056879</v>
      </c>
      <c r="CF13" s="360"/>
      <c r="CG13" s="370">
        <f t="shared" si="113"/>
        <v>2.25</v>
      </c>
      <c r="CH13" s="366">
        <f ca="1">IF($AB13&gt;CDS.Tenor,"-",_xlfn.NORM.S.DIST(($CE13-SQRT(ImpliedCorrelation)*CH$3)/SQRT(1-ImpliedCorrelation),TRUE))</f>
        <v>1.3039242785316412E-2</v>
      </c>
      <c r="CI13" s="366">
        <f ca="1">IF($AB13&gt;CDS.Tenor,"-",_xlfn.NORM.S.DIST(($CE13-SQRT(ImpliedCorrelation)*CI$3)/SQRT(1-ImpliedCorrelation),TRUE))</f>
        <v>1.3039242785316412E-2</v>
      </c>
      <c r="CJ13" s="366">
        <f ca="1">IF($AB13&gt;CDS.Tenor,"-",_xlfn.NORM.S.DIST(($CE13-SQRT(ImpliedCorrelation)*CJ$3)/SQRT(1-ImpliedCorrelation),TRUE))</f>
        <v>1.3039242785316412E-2</v>
      </c>
      <c r="CK13" s="366">
        <f ca="1">IF($AB13&gt;CDS.Tenor,"-",_xlfn.NORM.S.DIST(($CE13-SQRT(ImpliedCorrelation)*CK$3)/SQRT(1-ImpliedCorrelation),TRUE))</f>
        <v>1.3039242785316412E-2</v>
      </c>
      <c r="CL13" s="366">
        <f ca="1">IF($AB13&gt;CDS.Tenor,"-",_xlfn.NORM.S.DIST(($CE13-SQRT(ImpliedCorrelation)*CL$3)/SQRT(1-ImpliedCorrelation),TRUE))</f>
        <v>1.3039242785316412E-2</v>
      </c>
      <c r="CM13" s="366">
        <f ca="1">IF($AB13&gt;CDS.Tenor,"-",_xlfn.NORM.S.DIST(($CE13-SQRT(ImpliedCorrelation)*CM$3)/SQRT(1-ImpliedCorrelation),TRUE))</f>
        <v>1.3039242785316412E-2</v>
      </c>
      <c r="CN13" s="366">
        <f ca="1">IF($AB13&gt;CDS.Tenor,"-",_xlfn.NORM.S.DIST(($CE13-SQRT(ImpliedCorrelation)*CN$3)/SQRT(1-ImpliedCorrelation),TRUE))</f>
        <v>1.3039242785316412E-2</v>
      </c>
      <c r="CO13" s="366">
        <f ca="1">IF($AB13&gt;CDS.Tenor,"-",_xlfn.NORM.S.DIST(($CE13-SQRT(ImpliedCorrelation)*CO$3)/SQRT(1-ImpliedCorrelation),TRUE))</f>
        <v>1.3039242785316412E-2</v>
      </c>
      <c r="CP13" s="366">
        <f ca="1">IF($AB13&gt;CDS.Tenor,"-",_xlfn.NORM.S.DIST(($CE13-SQRT(ImpliedCorrelation)*CP$3)/SQRT(1-ImpliedCorrelation),TRUE))</f>
        <v>1.3039242785316412E-2</v>
      </c>
      <c r="CQ13" s="366">
        <f ca="1">IF($AB13&gt;CDS.Tenor,"-",_xlfn.NORM.S.DIST(($CE13-SQRT(ImpliedCorrelation)*CQ$3)/SQRT(1-ImpliedCorrelation),TRUE))</f>
        <v>1.3039242785316412E-2</v>
      </c>
      <c r="CR13" s="366">
        <f ca="1">IF($AB13&gt;CDS.Tenor,"-",_xlfn.NORM.S.DIST(($CE13-SQRT(ImpliedCorrelation)*CR$3)/SQRT(1-ImpliedCorrelation),TRUE))</f>
        <v>1.3039242785316412E-2</v>
      </c>
      <c r="CS13" s="366">
        <f ca="1">IF($AB13&gt;CDS.Tenor,"-",_xlfn.NORM.S.DIST(($CE13-SQRT(ImpliedCorrelation)*CS$3)/SQRT(1-ImpliedCorrelation),TRUE))</f>
        <v>1.3039242785316412E-2</v>
      </c>
      <c r="CT13" s="366">
        <f ca="1">IF($AB13&gt;CDS.Tenor,"-",_xlfn.NORM.S.DIST(($CE13-SQRT(ImpliedCorrelation)*CT$3)/SQRT(1-ImpliedCorrelation),TRUE))</f>
        <v>1.3039242785316412E-2</v>
      </c>
      <c r="CU13" s="366">
        <f ca="1">IF($AB13&gt;CDS.Tenor,"-",_xlfn.NORM.S.DIST(($CE13-SQRT(ImpliedCorrelation)*CU$3)/SQRT(1-ImpliedCorrelation),TRUE))</f>
        <v>1.3039242785316412E-2</v>
      </c>
      <c r="CV13" s="366">
        <f ca="1">IF($AB13&gt;CDS.Tenor,"-",_xlfn.NORM.S.DIST(($CE13-SQRT(ImpliedCorrelation)*CV$3)/SQRT(1-ImpliedCorrelation),TRUE))</f>
        <v>1.3039242785316412E-2</v>
      </c>
      <c r="CW13" s="366">
        <f ca="1">IF($AB13&gt;CDS.Tenor,"-",_xlfn.NORM.S.DIST(($CE13-SQRT(ImpliedCorrelation)*CW$3)/SQRT(1-ImpliedCorrelation),TRUE))</f>
        <v>1.3039242785316412E-2</v>
      </c>
      <c r="CX13" s="366">
        <f ca="1">IF($AB13&gt;CDS.Tenor,"-",_xlfn.NORM.S.DIST(($CE13-SQRT(ImpliedCorrelation)*CX$3)/SQRT(1-ImpliedCorrelation),TRUE))</f>
        <v>1.3039242785316412E-2</v>
      </c>
      <c r="CY13" s="366">
        <f ca="1">IF($AB13&gt;CDS.Tenor,"-",_xlfn.NORM.S.DIST(($CE13-SQRT(ImpliedCorrelation)*CY$3)/SQRT(1-ImpliedCorrelation),TRUE))</f>
        <v>1.3039242785316412E-2</v>
      </c>
      <c r="CZ13" s="366">
        <f ca="1">IF($AB13&gt;CDS.Tenor,"-",_xlfn.NORM.S.DIST(($CE13-SQRT(ImpliedCorrelation)*CZ$3)/SQRT(1-ImpliedCorrelation),TRUE))</f>
        <v>1.3039242785316412E-2</v>
      </c>
      <c r="DA13" s="366">
        <f ca="1">IF($AB13&gt;CDS.Tenor,"-",_xlfn.NORM.S.DIST(($CE13-SQRT(ImpliedCorrelation)*DA$3)/SQRT(1-ImpliedCorrelation),TRUE))</f>
        <v>1.3039242785316412E-2</v>
      </c>
      <c r="DB13" s="366">
        <f ca="1">IF($AB13&gt;CDS.Tenor,"-",_xlfn.NORM.S.DIST(($CE13-SQRT(ImpliedCorrelation)*DB$3)/SQRT(1-ImpliedCorrelation),TRUE))</f>
        <v>1.3039242785316412E-2</v>
      </c>
      <c r="DC13" s="366"/>
      <c r="DD13" s="370">
        <f t="shared" si="114"/>
        <v>2.25</v>
      </c>
      <c r="DE13" s="366">
        <f ca="1">IF($AB13&gt;CDS.Tenor,"-",1-CH13)</f>
        <v>0.98696075721468357</v>
      </c>
      <c r="DF13" s="366">
        <f ca="1">IF($AB13&gt;CDS.Tenor,"-",1-CI13)</f>
        <v>0.98696075721468357</v>
      </c>
      <c r="DG13" s="366">
        <f ca="1">IF($AB13&gt;CDS.Tenor,"-",1-CJ13)</f>
        <v>0.98696075721468357</v>
      </c>
      <c r="DH13" s="366">
        <f ca="1">IF($AB13&gt;CDS.Tenor,"-",1-CK13)</f>
        <v>0.98696075721468357</v>
      </c>
      <c r="DI13" s="366">
        <f ca="1">IF($AB13&gt;CDS.Tenor,"-",1-CL13)</f>
        <v>0.98696075721468357</v>
      </c>
      <c r="DJ13" s="366">
        <f ca="1">IF($AB13&gt;CDS.Tenor,"-",1-CM13)</f>
        <v>0.98696075721468357</v>
      </c>
      <c r="DK13" s="366">
        <f ca="1">IF($AB13&gt;CDS.Tenor,"-",1-CN13)</f>
        <v>0.98696075721468357</v>
      </c>
      <c r="DL13" s="366">
        <f ca="1">IF($AB13&gt;CDS.Tenor,"-",1-CO13)</f>
        <v>0.98696075721468357</v>
      </c>
      <c r="DM13" s="366">
        <f ca="1">IF($AB13&gt;CDS.Tenor,"-",1-CP13)</f>
        <v>0.98696075721468357</v>
      </c>
      <c r="DN13" s="366">
        <f ca="1">IF($AB13&gt;CDS.Tenor,"-",1-CQ13)</f>
        <v>0.98696075721468357</v>
      </c>
      <c r="DO13" s="366">
        <f ca="1">IF($AB13&gt;CDS.Tenor,"-",1-CR13)</f>
        <v>0.98696075721468357</v>
      </c>
      <c r="DP13" s="366">
        <f ca="1">IF($AB13&gt;CDS.Tenor,"-",1-CS13)</f>
        <v>0.98696075721468357</v>
      </c>
      <c r="DQ13" s="366">
        <f ca="1">IF($AB13&gt;CDS.Tenor,"-",1-CT13)</f>
        <v>0.98696075721468357</v>
      </c>
      <c r="DR13" s="366">
        <f ca="1">IF($AB13&gt;CDS.Tenor,"-",1-CU13)</f>
        <v>0.98696075721468357</v>
      </c>
      <c r="DS13" s="366">
        <f ca="1">IF($AB13&gt;CDS.Tenor,"-",1-CV13)</f>
        <v>0.98696075721468357</v>
      </c>
      <c r="DT13" s="366">
        <f ca="1">IF($AB13&gt;CDS.Tenor,"-",1-CW13)</f>
        <v>0.98696075721468357</v>
      </c>
      <c r="DU13" s="366">
        <f ca="1">IF($AB13&gt;CDS.Tenor,"-",1-CX13)</f>
        <v>0.98696075721468357</v>
      </c>
      <c r="DV13" s="366">
        <f ca="1">IF($AB13&gt;CDS.Tenor,"-",1-CY13)</f>
        <v>0.98696075721468357</v>
      </c>
      <c r="DW13" s="366">
        <f ca="1">IF($AB13&gt;CDS.Tenor,"-",1-CZ13)</f>
        <v>0.98696075721468357</v>
      </c>
      <c r="DX13" s="366">
        <f ca="1">IF($AB13&gt;CDS.Tenor,"-",1-DA13)</f>
        <v>0.98696075721468357</v>
      </c>
      <c r="DY13" s="362">
        <f ca="1">IF($AB13&gt;CDS.Tenor,"-",1-DB13)</f>
        <v>0.98696075721468357</v>
      </c>
      <c r="DZ13" s="360"/>
      <c r="EA13" s="352" cm="1">
        <f t="array" aca="1" ref="EA13" ca="1">IF($AB13&gt;CDS.Tenor,"-",flatInterpolation(CC13,INDIRECT(HazardRateTimes3),INDIRECT(HazardRateValues3)))</f>
        <v>7.4999999999999997E-3</v>
      </c>
      <c r="EB13" s="10">
        <f t="shared" ca="1" si="115"/>
        <v>0.98326658527661925</v>
      </c>
      <c r="EC13" s="10">
        <f t="shared" ca="1" si="116"/>
        <v>1.6733414723380746E-2</v>
      </c>
      <c r="ED13" s="81">
        <f t="shared" ca="1" si="117"/>
        <v>-2.1264377244801667</v>
      </c>
      <c r="EE13" s="347"/>
      <c r="EF13" s="370">
        <f t="shared" si="118"/>
        <v>2.25</v>
      </c>
      <c r="EG13" s="366">
        <f ca="1">IF($AB13&gt;CDS.Tenor,"-",_xlfn.NORM.S.DIST(($ED13-SQRT(ImpliedCorrelation)*EG$3)/SQRT(1-ImpliedCorrelation),TRUE))</f>
        <v>1.6733414723380736E-2</v>
      </c>
      <c r="EH13" s="366">
        <f ca="1">IF($AB13&gt;CDS.Tenor,"-",_xlfn.NORM.S.DIST(($ED13-SQRT(ImpliedCorrelation)*EH$3)/SQRT(1-ImpliedCorrelation),TRUE))</f>
        <v>1.6733414723380736E-2</v>
      </c>
      <c r="EI13" s="366">
        <f ca="1">IF($AB13&gt;CDS.Tenor,"-",_xlfn.NORM.S.DIST(($ED13-SQRT(ImpliedCorrelation)*EI$3)/SQRT(1-ImpliedCorrelation),TRUE))</f>
        <v>1.6733414723380736E-2</v>
      </c>
      <c r="EJ13" s="366">
        <f ca="1">IF($AB13&gt;CDS.Tenor,"-",_xlfn.NORM.S.DIST(($ED13-SQRT(ImpliedCorrelation)*EJ$3)/SQRT(1-ImpliedCorrelation),TRUE))</f>
        <v>1.6733414723380736E-2</v>
      </c>
      <c r="EK13" s="366">
        <f ca="1">IF($AB13&gt;CDS.Tenor,"-",_xlfn.NORM.S.DIST(($ED13-SQRT(ImpliedCorrelation)*EK$3)/SQRT(1-ImpliedCorrelation),TRUE))</f>
        <v>1.6733414723380736E-2</v>
      </c>
      <c r="EL13" s="366">
        <f ca="1">IF($AB13&gt;CDS.Tenor,"-",_xlfn.NORM.S.DIST(($ED13-SQRT(ImpliedCorrelation)*EL$3)/SQRT(1-ImpliedCorrelation),TRUE))</f>
        <v>1.6733414723380736E-2</v>
      </c>
      <c r="EM13" s="366">
        <f ca="1">IF($AB13&gt;CDS.Tenor,"-",_xlfn.NORM.S.DIST(($ED13-SQRT(ImpliedCorrelation)*EM$3)/SQRT(1-ImpliedCorrelation),TRUE))</f>
        <v>1.6733414723380736E-2</v>
      </c>
      <c r="EN13" s="366">
        <f ca="1">IF($AB13&gt;CDS.Tenor,"-",_xlfn.NORM.S.DIST(($ED13-SQRT(ImpliedCorrelation)*EN$3)/SQRT(1-ImpliedCorrelation),TRUE))</f>
        <v>1.6733414723380736E-2</v>
      </c>
      <c r="EO13" s="366">
        <f ca="1">IF($AB13&gt;CDS.Tenor,"-",_xlfn.NORM.S.DIST(($ED13-SQRT(ImpliedCorrelation)*EO$3)/SQRT(1-ImpliedCorrelation),TRUE))</f>
        <v>1.6733414723380736E-2</v>
      </c>
      <c r="EP13" s="366">
        <f ca="1">IF($AB13&gt;CDS.Tenor,"-",_xlfn.NORM.S.DIST(($ED13-SQRT(ImpliedCorrelation)*EP$3)/SQRT(1-ImpliedCorrelation),TRUE))</f>
        <v>1.6733414723380736E-2</v>
      </c>
      <c r="EQ13" s="366">
        <f ca="1">IF($AB13&gt;CDS.Tenor,"-",_xlfn.NORM.S.DIST(($ED13-SQRT(ImpliedCorrelation)*EQ$3)/SQRT(1-ImpliedCorrelation),TRUE))</f>
        <v>1.6733414723380736E-2</v>
      </c>
      <c r="ER13" s="366">
        <f ca="1">IF($AB13&gt;CDS.Tenor,"-",_xlfn.NORM.S.DIST(($ED13-SQRT(ImpliedCorrelation)*ER$3)/SQRT(1-ImpliedCorrelation),TRUE))</f>
        <v>1.6733414723380736E-2</v>
      </c>
      <c r="ES13" s="366">
        <f ca="1">IF($AB13&gt;CDS.Tenor,"-",_xlfn.NORM.S.DIST(($ED13-SQRT(ImpliedCorrelation)*ES$3)/SQRT(1-ImpliedCorrelation),TRUE))</f>
        <v>1.6733414723380736E-2</v>
      </c>
      <c r="ET13" s="366">
        <f ca="1">IF($AB13&gt;CDS.Tenor,"-",_xlfn.NORM.S.DIST(($ED13-SQRT(ImpliedCorrelation)*ET$3)/SQRT(1-ImpliedCorrelation),TRUE))</f>
        <v>1.6733414723380736E-2</v>
      </c>
      <c r="EU13" s="366">
        <f ca="1">IF($AB13&gt;CDS.Tenor,"-",_xlfn.NORM.S.DIST(($ED13-SQRT(ImpliedCorrelation)*EU$3)/SQRT(1-ImpliedCorrelation),TRUE))</f>
        <v>1.6733414723380736E-2</v>
      </c>
      <c r="EV13" s="366">
        <f ca="1">IF($AB13&gt;CDS.Tenor,"-",_xlfn.NORM.S.DIST(($ED13-SQRT(ImpliedCorrelation)*EV$3)/SQRT(1-ImpliedCorrelation),TRUE))</f>
        <v>1.6733414723380736E-2</v>
      </c>
      <c r="EW13" s="366">
        <f ca="1">IF($AB13&gt;CDS.Tenor,"-",_xlfn.NORM.S.DIST(($ED13-SQRT(ImpliedCorrelation)*EW$3)/SQRT(1-ImpliedCorrelation),TRUE))</f>
        <v>1.6733414723380736E-2</v>
      </c>
      <c r="EX13" s="366">
        <f ca="1">IF($AB13&gt;CDS.Tenor,"-",_xlfn.NORM.S.DIST(($ED13-SQRT(ImpliedCorrelation)*EX$3)/SQRT(1-ImpliedCorrelation),TRUE))</f>
        <v>1.6733414723380736E-2</v>
      </c>
      <c r="EY13" s="366">
        <f ca="1">IF($AB13&gt;CDS.Tenor,"-",_xlfn.NORM.S.DIST(($ED13-SQRT(ImpliedCorrelation)*EY$3)/SQRT(1-ImpliedCorrelation),TRUE))</f>
        <v>1.6733414723380736E-2</v>
      </c>
      <c r="EZ13" s="366">
        <f ca="1">IF($AB13&gt;CDS.Tenor,"-",_xlfn.NORM.S.DIST(($ED13-SQRT(ImpliedCorrelation)*EZ$3)/SQRT(1-ImpliedCorrelation),TRUE))</f>
        <v>1.6733414723380736E-2</v>
      </c>
      <c r="FA13" s="366">
        <f ca="1">IF($AB13&gt;CDS.Tenor,"-",_xlfn.NORM.S.DIST(($ED13-SQRT(ImpliedCorrelation)*FA$3)/SQRT(1-ImpliedCorrelation),TRUE))</f>
        <v>1.6733414723380736E-2</v>
      </c>
      <c r="FB13" s="366"/>
      <c r="FC13" s="370">
        <f t="shared" si="119"/>
        <v>2.25</v>
      </c>
      <c r="FD13" s="366">
        <f ca="1">IF($AB13&gt;CDS.Tenor,"-",1-EG13)</f>
        <v>0.98326658527661925</v>
      </c>
      <c r="FE13" s="366">
        <f ca="1">IF($AB13&gt;CDS.Tenor,"-",1-EH13)</f>
        <v>0.98326658527661925</v>
      </c>
      <c r="FF13" s="366">
        <f ca="1">IF($AB13&gt;CDS.Tenor,"-",1-EI13)</f>
        <v>0.98326658527661925</v>
      </c>
      <c r="FG13" s="366">
        <f ca="1">IF($AB13&gt;CDS.Tenor,"-",1-EJ13)</f>
        <v>0.98326658527661925</v>
      </c>
      <c r="FH13" s="366">
        <f ca="1">IF($AB13&gt;CDS.Tenor,"-",1-EK13)</f>
        <v>0.98326658527661925</v>
      </c>
      <c r="FI13" s="366">
        <f ca="1">IF($AB13&gt;CDS.Tenor,"-",1-EL13)</f>
        <v>0.98326658527661925</v>
      </c>
      <c r="FJ13" s="366">
        <f ca="1">IF($AB13&gt;CDS.Tenor,"-",1-EM13)</f>
        <v>0.98326658527661925</v>
      </c>
      <c r="FK13" s="366">
        <f ca="1">IF($AB13&gt;CDS.Tenor,"-",1-EN13)</f>
        <v>0.98326658527661925</v>
      </c>
      <c r="FL13" s="366">
        <f ca="1">IF($AB13&gt;CDS.Tenor,"-",1-EO13)</f>
        <v>0.98326658527661925</v>
      </c>
      <c r="FM13" s="366">
        <f ca="1">IF($AB13&gt;CDS.Tenor,"-",1-EP13)</f>
        <v>0.98326658527661925</v>
      </c>
      <c r="FN13" s="366">
        <f ca="1">IF($AB13&gt;CDS.Tenor,"-",1-EQ13)</f>
        <v>0.98326658527661925</v>
      </c>
      <c r="FO13" s="366">
        <f ca="1">IF($AB13&gt;CDS.Tenor,"-",1-ER13)</f>
        <v>0.98326658527661925</v>
      </c>
      <c r="FP13" s="366">
        <f ca="1">IF($AB13&gt;CDS.Tenor,"-",1-ES13)</f>
        <v>0.98326658527661925</v>
      </c>
      <c r="FQ13" s="366">
        <f ca="1">IF($AB13&gt;CDS.Tenor,"-",1-ET13)</f>
        <v>0.98326658527661925</v>
      </c>
      <c r="FR13" s="366">
        <f ca="1">IF($AB13&gt;CDS.Tenor,"-",1-EU13)</f>
        <v>0.98326658527661925</v>
      </c>
      <c r="FS13" s="366">
        <f ca="1">IF($AB13&gt;CDS.Tenor,"-",1-EV13)</f>
        <v>0.98326658527661925</v>
      </c>
      <c r="FT13" s="366">
        <f ca="1">IF($AB13&gt;CDS.Tenor,"-",1-EW13)</f>
        <v>0.98326658527661925</v>
      </c>
      <c r="FU13" s="366">
        <f ca="1">IF($AB13&gt;CDS.Tenor,"-",1-EX13)</f>
        <v>0.98326658527661925</v>
      </c>
      <c r="FV13" s="366">
        <f ca="1">IF($AB13&gt;CDS.Tenor,"-",1-EY13)</f>
        <v>0.98326658527661925</v>
      </c>
      <c r="FW13" s="366">
        <f ca="1">IF($AB13&gt;CDS.Tenor,"-",1-EZ13)</f>
        <v>0.98326658527661925</v>
      </c>
      <c r="FX13" s="362">
        <f ca="1">IF($AB13&gt;CDS.Tenor,"-",1-FA13)</f>
        <v>0.98326658527661925</v>
      </c>
      <c r="FZ13" s="370">
        <f t="shared" si="120"/>
        <v>2.25</v>
      </c>
      <c r="GA13" s="366">
        <f ca="1">IF($AB13&gt;CDS.Tenor,"-",BF13*DE13*FD13)</f>
        <v>0.95958920265747338</v>
      </c>
      <c r="GB13" s="366">
        <f ca="1">IF($AB13&gt;CDS.Tenor,"-",BG13*DF13*FE13)</f>
        <v>0.95958920265747338</v>
      </c>
      <c r="GC13" s="366">
        <f ca="1">IF($AB13&gt;CDS.Tenor,"-",BH13*DG13*FF13)</f>
        <v>0.95958920265747338</v>
      </c>
      <c r="GD13" s="366">
        <f ca="1">IF($AB13&gt;CDS.Tenor,"-",BI13*DH13*FG13)</f>
        <v>0.95958920265747338</v>
      </c>
      <c r="GE13" s="366">
        <f ca="1">IF($AB13&gt;CDS.Tenor,"-",BJ13*DI13*FH13)</f>
        <v>0.95958920265747338</v>
      </c>
      <c r="GF13" s="366">
        <f ca="1">IF($AB13&gt;CDS.Tenor,"-",BK13*DJ13*FI13)</f>
        <v>0.95958920265747338</v>
      </c>
      <c r="GG13" s="366">
        <f ca="1">IF($AB13&gt;CDS.Tenor,"-",BL13*DK13*FJ13)</f>
        <v>0.95958920265747338</v>
      </c>
      <c r="GH13" s="366">
        <f ca="1">IF($AB13&gt;CDS.Tenor,"-",BM13*DL13*FK13)</f>
        <v>0.95958920265747338</v>
      </c>
      <c r="GI13" s="366">
        <f ca="1">IF($AB13&gt;CDS.Tenor,"-",BN13*DM13*FL13)</f>
        <v>0.95958920265747338</v>
      </c>
      <c r="GJ13" s="366">
        <f ca="1">IF($AB13&gt;CDS.Tenor,"-",BO13*DN13*FM13)</f>
        <v>0.95958920265747338</v>
      </c>
      <c r="GK13" s="366">
        <f ca="1">IF($AB13&gt;CDS.Tenor,"-",BP13*DO13*FN13)</f>
        <v>0.95958920265747338</v>
      </c>
      <c r="GL13" s="366">
        <f ca="1">IF($AB13&gt;CDS.Tenor,"-",BQ13*DP13*FO13)</f>
        <v>0.95958920265747338</v>
      </c>
      <c r="GM13" s="366">
        <f ca="1">IF($AB13&gt;CDS.Tenor,"-",BR13*DQ13*FP13)</f>
        <v>0.95958920265747338</v>
      </c>
      <c r="GN13" s="366">
        <f ca="1">IF($AB13&gt;CDS.Tenor,"-",BS13*DR13*FQ13)</f>
        <v>0.95958920265747338</v>
      </c>
      <c r="GO13" s="366">
        <f ca="1">IF($AB13&gt;CDS.Tenor,"-",BT13*DS13*FR13)</f>
        <v>0.95958920265747338</v>
      </c>
      <c r="GP13" s="366">
        <f ca="1">IF($AB13&gt;CDS.Tenor,"-",BU13*DT13*FS13)</f>
        <v>0.95958920265747338</v>
      </c>
      <c r="GQ13" s="366">
        <f ca="1">IF($AB13&gt;CDS.Tenor,"-",BV13*DU13*FT13)</f>
        <v>0.95958920265747338</v>
      </c>
      <c r="GR13" s="366">
        <f ca="1">IF($AB13&gt;CDS.Tenor,"-",BW13*DV13*FU13)</f>
        <v>0.95958920265747338</v>
      </c>
      <c r="GS13" s="366">
        <f ca="1">IF($AB13&gt;CDS.Tenor,"-",BX13*DW13*FV13)</f>
        <v>0.95958920265747338</v>
      </c>
      <c r="GT13" s="366">
        <f ca="1">IF($AB13&gt;CDS.Tenor,"-",BY13*DX13*FW13)</f>
        <v>0.95958920265747338</v>
      </c>
      <c r="GU13" s="362">
        <f ca="1">IF($AB13&gt;CDS.Tenor,"-",BZ13*DY13*FX13)</f>
        <v>0.95958920265747338</v>
      </c>
      <c r="GV13" s="42"/>
      <c r="GW13" s="370">
        <f t="shared" si="121"/>
        <v>2.25</v>
      </c>
      <c r="GX13" s="378">
        <f ca="1">IF($AB13&gt;CDS.Tenor,"-",SUMPRODUCT($GA13:$GU13,$GA$4:$GU$4)*dm)</f>
        <v>0.95958909321649533</v>
      </c>
      <c r="GY13" s="381">
        <f ca="1">IF($AB13&gt;CDS.Tenor,"-",GX12-GX13)</f>
        <v>4.4082111107869304E-3</v>
      </c>
    </row>
    <row r="14" spans="2:228" x14ac:dyDescent="0.3">
      <c r="B14" s="1" t="s">
        <v>116</v>
      </c>
      <c r="F14" s="1" t="s">
        <v>360</v>
      </c>
      <c r="J14" s="156">
        <f t="shared" si="103"/>
        <v>2.5</v>
      </c>
      <c r="K14" s="28">
        <f>IF($J14&gt;CDS.Tenor,"-",CDS.PremiumSign*CDS.Notional*CDS.YearFraction*CDS.CreditSpread)</f>
        <v>-25000</v>
      </c>
      <c r="L14" s="10">
        <f ca="1">GX14</f>
        <v>0.95520104017576768</v>
      </c>
      <c r="M14" s="10">
        <f ca="1">IF($J14&gt;CDS.Tenor,"-",L13-L14)</f>
        <v>4.3880530407276463E-3</v>
      </c>
      <c r="N14" s="94" cm="1">
        <f t="array" ref="N14">IF($J14&gt;CDS.Tenor,"-",cubicInterpolation(CurveResults.Times,CurveResults.DFs,$J14))</f>
        <v>0.89685992714468643</v>
      </c>
      <c r="O14" s="28">
        <f ca="1">IF($J14&gt;CDS.Tenor,"-",K14*L14*N14)</f>
        <v>-21417.038382514194</v>
      </c>
      <c r="P14" s="28">
        <f ca="1">IF($J14&gt;CDS.Tenor,"-",0.5*K14*M14*N14)</f>
        <v>-49.193361630175204</v>
      </c>
      <c r="Q14" s="142">
        <f ca="1">IF($J14&gt;CDS.Tenor,"-",O14+P14)</f>
        <v>-21466.23174414437</v>
      </c>
      <c r="T14" s="156">
        <f t="shared" si="104"/>
        <v>2.5</v>
      </c>
      <c r="U14" s="28">
        <f>IF($J14&gt;CDS.Tenor,"-",CDS.ProtectionSign*CDS.Notional*(1-CDS.RecoveryRate))</f>
        <v>6000000</v>
      </c>
      <c r="V14" s="10">
        <f ca="1">IF($J14&gt;CDS.Tenor,"-",GX14)</f>
        <v>0.95520104017576768</v>
      </c>
      <c r="W14" s="10">
        <f ca="1">IF($J14&gt;CDS.Tenor,"-",V13-V14)</f>
        <v>4.3880530407276463E-3</v>
      </c>
      <c r="X14" s="94" cm="1">
        <f t="array" ref="X14">IF($T14&gt;CDS.Tenor,"-",cubicInterpolation(CurveResults.Times,CurveResults.DFs,$J14))</f>
        <v>0.89685992714468643</v>
      </c>
      <c r="Y14" s="142">
        <f ca="1">IF($J14&gt;CDS.Tenor,"-",U14*W14*X14)</f>
        <v>23612.813582484097</v>
      </c>
      <c r="AA14" s="347"/>
      <c r="AB14" s="156">
        <f t="shared" si="105"/>
        <v>2.5</v>
      </c>
      <c r="AC14" s="352" cm="1">
        <f t="array" aca="1" ref="AC14" ca="1">IF($AB14&gt;CDS.Tenor,"-",flatInterpolation(AA14,INDIRECT(HazardRateTimes1),INDIRECT(HazardRateValues1)))</f>
        <v>5.0000000000000001E-3</v>
      </c>
      <c r="AD14" s="10">
        <f t="shared" ca="1" si="106"/>
        <v>0.98757780049388189</v>
      </c>
      <c r="AE14" s="10">
        <f t="shared" ca="1" si="107"/>
        <v>1.2422199506118115E-2</v>
      </c>
      <c r="AF14" s="360">
        <f ca="1">IF($AB14&gt;CDS.Tenor,"-",NORMSINV(AE14))</f>
        <v>-2.2438135687533376</v>
      </c>
      <c r="AG14" s="360"/>
      <c r="AH14" s="370">
        <f t="shared" si="108"/>
        <v>2.5</v>
      </c>
      <c r="AI14" s="366">
        <f ca="1">IF($AB14&gt;CDS.Tenor,"-",_xlfn.NORM.S.DIST(($AF14-SQRT(ImpliedCorrelation)*AI$3)/SQRT(1-ImpliedCorrelation),TRUE))</f>
        <v>1.2422199506118128E-2</v>
      </c>
      <c r="AJ14" s="366">
        <f ca="1">IF($AB14&gt;CDS.Tenor,"-",_xlfn.NORM.S.DIST(($AF14-SQRT(ImpliedCorrelation)*AJ$3)/SQRT(1-ImpliedCorrelation),TRUE))</f>
        <v>1.2422199506118128E-2</v>
      </c>
      <c r="AK14" s="366">
        <f ca="1">IF($AB14&gt;CDS.Tenor,"-",_xlfn.NORM.S.DIST(($AF14-SQRT(ImpliedCorrelation)*AK$3)/SQRT(1-ImpliedCorrelation),TRUE))</f>
        <v>1.2422199506118128E-2</v>
      </c>
      <c r="AL14" s="366">
        <f ca="1">IF($AB14&gt;CDS.Tenor,"-",_xlfn.NORM.S.DIST(($AF14-SQRT(ImpliedCorrelation)*AL$3)/SQRT(1-ImpliedCorrelation),TRUE))</f>
        <v>1.2422199506118128E-2</v>
      </c>
      <c r="AM14" s="366">
        <f ca="1">IF($AB14&gt;CDS.Tenor,"-",_xlfn.NORM.S.DIST(($AF14-SQRT(ImpliedCorrelation)*AM$3)/SQRT(1-ImpliedCorrelation),TRUE))</f>
        <v>1.2422199506118128E-2</v>
      </c>
      <c r="AN14" s="366">
        <f ca="1">IF($AB14&gt;CDS.Tenor,"-",_xlfn.NORM.S.DIST(($AF14-SQRT(ImpliedCorrelation)*AN$3)/SQRT(1-ImpliedCorrelation),TRUE))</f>
        <v>1.2422199506118128E-2</v>
      </c>
      <c r="AO14" s="366">
        <f ca="1">IF($AB14&gt;CDS.Tenor,"-",_xlfn.NORM.S.DIST(($AF14-SQRT(ImpliedCorrelation)*AO$3)/SQRT(1-ImpliedCorrelation),TRUE))</f>
        <v>1.2422199506118128E-2</v>
      </c>
      <c r="AP14" s="366">
        <f ca="1">IF($AB14&gt;CDS.Tenor,"-",_xlfn.NORM.S.DIST(($AF14-SQRT(ImpliedCorrelation)*AP$3)/SQRT(1-ImpliedCorrelation),TRUE))</f>
        <v>1.2422199506118128E-2</v>
      </c>
      <c r="AQ14" s="366">
        <f ca="1">IF($AB14&gt;CDS.Tenor,"-",_xlfn.NORM.S.DIST(($AF14-SQRT(ImpliedCorrelation)*AQ$3)/SQRT(1-ImpliedCorrelation),TRUE))</f>
        <v>1.2422199506118128E-2</v>
      </c>
      <c r="AR14" s="366">
        <f ca="1">IF($AB14&gt;CDS.Tenor,"-",_xlfn.NORM.S.DIST(($AF14-SQRT(ImpliedCorrelation)*AR$3)/SQRT(1-ImpliedCorrelation),TRUE))</f>
        <v>1.2422199506118128E-2</v>
      </c>
      <c r="AS14" s="366">
        <f ca="1">IF($AB14&gt;CDS.Tenor,"-",_xlfn.NORM.S.DIST(($AF14-SQRT(ImpliedCorrelation)*AS$3)/SQRT(1-ImpliedCorrelation),TRUE))</f>
        <v>1.2422199506118128E-2</v>
      </c>
      <c r="AT14" s="366">
        <f ca="1">IF($AB14&gt;CDS.Tenor,"-",_xlfn.NORM.S.DIST(($AF14-SQRT(ImpliedCorrelation)*AT$3)/SQRT(1-ImpliedCorrelation),TRUE))</f>
        <v>1.2422199506118128E-2</v>
      </c>
      <c r="AU14" s="366">
        <f ca="1">IF($AB14&gt;CDS.Tenor,"-",_xlfn.NORM.S.DIST(($AF14-SQRT(ImpliedCorrelation)*AU$3)/SQRT(1-ImpliedCorrelation),TRUE))</f>
        <v>1.2422199506118128E-2</v>
      </c>
      <c r="AV14" s="366">
        <f ca="1">IF($AB14&gt;CDS.Tenor,"-",_xlfn.NORM.S.DIST(($AF14-SQRT(ImpliedCorrelation)*AV$3)/SQRT(1-ImpliedCorrelation),TRUE))</f>
        <v>1.2422199506118128E-2</v>
      </c>
      <c r="AW14" s="366">
        <f ca="1">IF($AB14&gt;CDS.Tenor,"-",_xlfn.NORM.S.DIST(($AF14-SQRT(ImpliedCorrelation)*AW$3)/SQRT(1-ImpliedCorrelation),TRUE))</f>
        <v>1.2422199506118128E-2</v>
      </c>
      <c r="AX14" s="366">
        <f ca="1">IF($AB14&gt;CDS.Tenor,"-",_xlfn.NORM.S.DIST(($AF14-SQRT(ImpliedCorrelation)*AX$3)/SQRT(1-ImpliedCorrelation),TRUE))</f>
        <v>1.2422199506118128E-2</v>
      </c>
      <c r="AY14" s="366">
        <f ca="1">IF($AB14&gt;CDS.Tenor,"-",_xlfn.NORM.S.DIST(($AF14-SQRT(ImpliedCorrelation)*AY$3)/SQRT(1-ImpliedCorrelation),TRUE))</f>
        <v>1.2422199506118128E-2</v>
      </c>
      <c r="AZ14" s="366">
        <f ca="1">IF($AB14&gt;CDS.Tenor,"-",_xlfn.NORM.S.DIST(($AF14-SQRT(ImpliedCorrelation)*AZ$3)/SQRT(1-ImpliedCorrelation),TRUE))</f>
        <v>1.2422199506118128E-2</v>
      </c>
      <c r="BA14" s="366">
        <f ca="1">IF($AB14&gt;CDS.Tenor,"-",_xlfn.NORM.S.DIST(($AF14-SQRT(ImpliedCorrelation)*BA$3)/SQRT(1-ImpliedCorrelation),TRUE))</f>
        <v>1.2422199506118128E-2</v>
      </c>
      <c r="BB14" s="366">
        <f ca="1">IF($AB14&gt;CDS.Tenor,"-",_xlfn.NORM.S.DIST(($AF14-SQRT(ImpliedCorrelation)*BB$3)/SQRT(1-ImpliedCorrelation),TRUE))</f>
        <v>1.2422199506118128E-2</v>
      </c>
      <c r="BC14" s="366">
        <f ca="1">IF($AB14&gt;CDS.Tenor,"-",_xlfn.NORM.S.DIST(($AF14-SQRT(ImpliedCorrelation)*BC$3)/SQRT(1-ImpliedCorrelation),TRUE))</f>
        <v>1.2422199506118128E-2</v>
      </c>
      <c r="BD14" s="366"/>
      <c r="BE14" s="370">
        <f t="shared" si="109"/>
        <v>2.5</v>
      </c>
      <c r="BF14" s="366">
        <f ca="1">IF($AB14&gt;CDS.Tenor,"-",1-AI14)</f>
        <v>0.98757780049388189</v>
      </c>
      <c r="BG14" s="366">
        <f ca="1">IF($AB14&gt;CDS.Tenor,"-",1-AJ14)</f>
        <v>0.98757780049388189</v>
      </c>
      <c r="BH14" s="366">
        <f ca="1">IF($AB14&gt;CDS.Tenor,"-",1-AK14)</f>
        <v>0.98757780049388189</v>
      </c>
      <c r="BI14" s="366">
        <f ca="1">IF($AB14&gt;CDS.Tenor,"-",1-AL14)</f>
        <v>0.98757780049388189</v>
      </c>
      <c r="BJ14" s="366">
        <f ca="1">IF($AB14&gt;CDS.Tenor,"-",1-AM14)</f>
        <v>0.98757780049388189</v>
      </c>
      <c r="BK14" s="366">
        <f ca="1">IF($AB14&gt;CDS.Tenor,"-",1-AN14)</f>
        <v>0.98757780049388189</v>
      </c>
      <c r="BL14" s="366">
        <f ca="1">IF($AB14&gt;CDS.Tenor,"-",1-AO14)</f>
        <v>0.98757780049388189</v>
      </c>
      <c r="BM14" s="366">
        <f ca="1">IF($AB14&gt;CDS.Tenor,"-",1-AP14)</f>
        <v>0.98757780049388189</v>
      </c>
      <c r="BN14" s="366">
        <f ca="1">IF($AB14&gt;CDS.Tenor,"-",1-AQ14)</f>
        <v>0.98757780049388189</v>
      </c>
      <c r="BO14" s="366">
        <f ca="1">IF($AB14&gt;CDS.Tenor,"-",1-AR14)</f>
        <v>0.98757780049388189</v>
      </c>
      <c r="BP14" s="366">
        <f ca="1">IF($AB14&gt;CDS.Tenor,"-",1-AS14)</f>
        <v>0.98757780049388189</v>
      </c>
      <c r="BQ14" s="366">
        <f ca="1">IF($AB14&gt;CDS.Tenor,"-",1-AT14)</f>
        <v>0.98757780049388189</v>
      </c>
      <c r="BR14" s="366">
        <f ca="1">IF($AB14&gt;CDS.Tenor,"-",1-AU14)</f>
        <v>0.98757780049388189</v>
      </c>
      <c r="BS14" s="366">
        <f ca="1">IF($AB14&gt;CDS.Tenor,"-",1-AV14)</f>
        <v>0.98757780049388189</v>
      </c>
      <c r="BT14" s="366">
        <f ca="1">IF($AB14&gt;CDS.Tenor,"-",1-AW14)</f>
        <v>0.98757780049388189</v>
      </c>
      <c r="BU14" s="366">
        <f ca="1">IF($AB14&gt;CDS.Tenor,"-",1-AX14)</f>
        <v>0.98757780049388189</v>
      </c>
      <c r="BV14" s="366">
        <f ca="1">IF($AB14&gt;CDS.Tenor,"-",1-AY14)</f>
        <v>0.98757780049388189</v>
      </c>
      <c r="BW14" s="366">
        <f ca="1">IF($AB14&gt;CDS.Tenor,"-",1-AZ14)</f>
        <v>0.98757780049388189</v>
      </c>
      <c r="BX14" s="366">
        <f ca="1">IF($AB14&gt;CDS.Tenor,"-",1-BA14)</f>
        <v>0.98757780049388189</v>
      </c>
      <c r="BY14" s="366">
        <f ca="1">IF($AB14&gt;CDS.Tenor,"-",1-BB14)</f>
        <v>0.98757780049388189</v>
      </c>
      <c r="BZ14" s="366">
        <f ca="1">IF($AB14&gt;CDS.Tenor,"-",1-BC14)</f>
        <v>0.98757780049388189</v>
      </c>
      <c r="CA14" s="17"/>
      <c r="CB14" s="352" cm="1">
        <f t="array" aca="1" ref="CB14" ca="1">IF($AB14&gt;CDS.Tenor,"-",flatInterpolation(AB14,INDIRECT(HazardRateTimes2),INDIRECT(HazardRateValues2)))</f>
        <v>5.8333333333333336E-3</v>
      </c>
      <c r="CC14" s="10">
        <f t="shared" ca="1" si="110"/>
        <v>0.98552248843629786</v>
      </c>
      <c r="CD14" s="10">
        <f t="shared" ca="1" si="111"/>
        <v>1.4477511563702139E-2</v>
      </c>
      <c r="CE14" s="81">
        <f t="shared" ca="1" si="112"/>
        <v>-2.1840983334930759</v>
      </c>
      <c r="CF14" s="360"/>
      <c r="CG14" s="370">
        <f t="shared" si="113"/>
        <v>2.5</v>
      </c>
      <c r="CH14" s="366">
        <f ca="1">IF($AB14&gt;CDS.Tenor,"-",_xlfn.NORM.S.DIST(($CE14-SQRT(ImpliedCorrelation)*CH$3)/SQRT(1-ImpliedCorrelation),TRUE))</f>
        <v>1.4477511563702127E-2</v>
      </c>
      <c r="CI14" s="366">
        <f ca="1">IF($AB14&gt;CDS.Tenor,"-",_xlfn.NORM.S.DIST(($CE14-SQRT(ImpliedCorrelation)*CI$3)/SQRT(1-ImpliedCorrelation),TRUE))</f>
        <v>1.4477511563702127E-2</v>
      </c>
      <c r="CJ14" s="366">
        <f ca="1">IF($AB14&gt;CDS.Tenor,"-",_xlfn.NORM.S.DIST(($CE14-SQRT(ImpliedCorrelation)*CJ$3)/SQRT(1-ImpliedCorrelation),TRUE))</f>
        <v>1.4477511563702127E-2</v>
      </c>
      <c r="CK14" s="366">
        <f ca="1">IF($AB14&gt;CDS.Tenor,"-",_xlfn.NORM.S.DIST(($CE14-SQRT(ImpliedCorrelation)*CK$3)/SQRT(1-ImpliedCorrelation),TRUE))</f>
        <v>1.4477511563702127E-2</v>
      </c>
      <c r="CL14" s="366">
        <f ca="1">IF($AB14&gt;CDS.Tenor,"-",_xlfn.NORM.S.DIST(($CE14-SQRT(ImpliedCorrelation)*CL$3)/SQRT(1-ImpliedCorrelation),TRUE))</f>
        <v>1.4477511563702127E-2</v>
      </c>
      <c r="CM14" s="366">
        <f ca="1">IF($AB14&gt;CDS.Tenor,"-",_xlfn.NORM.S.DIST(($CE14-SQRT(ImpliedCorrelation)*CM$3)/SQRT(1-ImpliedCorrelation),TRUE))</f>
        <v>1.4477511563702127E-2</v>
      </c>
      <c r="CN14" s="366">
        <f ca="1">IF($AB14&gt;CDS.Tenor,"-",_xlfn.NORM.S.DIST(($CE14-SQRT(ImpliedCorrelation)*CN$3)/SQRT(1-ImpliedCorrelation),TRUE))</f>
        <v>1.4477511563702127E-2</v>
      </c>
      <c r="CO14" s="366">
        <f ca="1">IF($AB14&gt;CDS.Tenor,"-",_xlfn.NORM.S.DIST(($CE14-SQRT(ImpliedCorrelation)*CO$3)/SQRT(1-ImpliedCorrelation),TRUE))</f>
        <v>1.4477511563702127E-2</v>
      </c>
      <c r="CP14" s="366">
        <f ca="1">IF($AB14&gt;CDS.Tenor,"-",_xlfn.NORM.S.DIST(($CE14-SQRT(ImpliedCorrelation)*CP$3)/SQRT(1-ImpliedCorrelation),TRUE))</f>
        <v>1.4477511563702127E-2</v>
      </c>
      <c r="CQ14" s="366">
        <f ca="1">IF($AB14&gt;CDS.Tenor,"-",_xlfn.NORM.S.DIST(($CE14-SQRT(ImpliedCorrelation)*CQ$3)/SQRT(1-ImpliedCorrelation),TRUE))</f>
        <v>1.4477511563702127E-2</v>
      </c>
      <c r="CR14" s="366">
        <f ca="1">IF($AB14&gt;CDS.Tenor,"-",_xlfn.NORM.S.DIST(($CE14-SQRT(ImpliedCorrelation)*CR$3)/SQRT(1-ImpliedCorrelation),TRUE))</f>
        <v>1.4477511563702127E-2</v>
      </c>
      <c r="CS14" s="366">
        <f ca="1">IF($AB14&gt;CDS.Tenor,"-",_xlfn.NORM.S.DIST(($CE14-SQRT(ImpliedCorrelation)*CS$3)/SQRT(1-ImpliedCorrelation),TRUE))</f>
        <v>1.4477511563702127E-2</v>
      </c>
      <c r="CT14" s="366">
        <f ca="1">IF($AB14&gt;CDS.Tenor,"-",_xlfn.NORM.S.DIST(($CE14-SQRT(ImpliedCorrelation)*CT$3)/SQRT(1-ImpliedCorrelation),TRUE))</f>
        <v>1.4477511563702127E-2</v>
      </c>
      <c r="CU14" s="366">
        <f ca="1">IF($AB14&gt;CDS.Tenor,"-",_xlfn.NORM.S.DIST(($CE14-SQRT(ImpliedCorrelation)*CU$3)/SQRT(1-ImpliedCorrelation),TRUE))</f>
        <v>1.4477511563702127E-2</v>
      </c>
      <c r="CV14" s="366">
        <f ca="1">IF($AB14&gt;CDS.Tenor,"-",_xlfn.NORM.S.DIST(($CE14-SQRT(ImpliedCorrelation)*CV$3)/SQRT(1-ImpliedCorrelation),TRUE))</f>
        <v>1.4477511563702127E-2</v>
      </c>
      <c r="CW14" s="366">
        <f ca="1">IF($AB14&gt;CDS.Tenor,"-",_xlfn.NORM.S.DIST(($CE14-SQRT(ImpliedCorrelation)*CW$3)/SQRT(1-ImpliedCorrelation),TRUE))</f>
        <v>1.4477511563702127E-2</v>
      </c>
      <c r="CX14" s="366">
        <f ca="1">IF($AB14&gt;CDS.Tenor,"-",_xlfn.NORM.S.DIST(($CE14-SQRT(ImpliedCorrelation)*CX$3)/SQRT(1-ImpliedCorrelation),TRUE))</f>
        <v>1.4477511563702127E-2</v>
      </c>
      <c r="CY14" s="366">
        <f ca="1">IF($AB14&gt;CDS.Tenor,"-",_xlfn.NORM.S.DIST(($CE14-SQRT(ImpliedCorrelation)*CY$3)/SQRT(1-ImpliedCorrelation),TRUE))</f>
        <v>1.4477511563702127E-2</v>
      </c>
      <c r="CZ14" s="366">
        <f ca="1">IF($AB14&gt;CDS.Tenor,"-",_xlfn.NORM.S.DIST(($CE14-SQRT(ImpliedCorrelation)*CZ$3)/SQRT(1-ImpliedCorrelation),TRUE))</f>
        <v>1.4477511563702127E-2</v>
      </c>
      <c r="DA14" s="366">
        <f ca="1">IF($AB14&gt;CDS.Tenor,"-",_xlfn.NORM.S.DIST(($CE14-SQRT(ImpliedCorrelation)*DA$3)/SQRT(1-ImpliedCorrelation),TRUE))</f>
        <v>1.4477511563702127E-2</v>
      </c>
      <c r="DB14" s="366">
        <f ca="1">IF($AB14&gt;CDS.Tenor,"-",_xlfn.NORM.S.DIST(($CE14-SQRT(ImpliedCorrelation)*DB$3)/SQRT(1-ImpliedCorrelation),TRUE))</f>
        <v>1.4477511563702127E-2</v>
      </c>
      <c r="DC14" s="366"/>
      <c r="DD14" s="370">
        <f t="shared" si="114"/>
        <v>2.5</v>
      </c>
      <c r="DE14" s="366">
        <f ca="1">IF($AB14&gt;CDS.Tenor,"-",1-CH14)</f>
        <v>0.98552248843629786</v>
      </c>
      <c r="DF14" s="366">
        <f ca="1">IF($AB14&gt;CDS.Tenor,"-",1-CI14)</f>
        <v>0.98552248843629786</v>
      </c>
      <c r="DG14" s="366">
        <f ca="1">IF($AB14&gt;CDS.Tenor,"-",1-CJ14)</f>
        <v>0.98552248843629786</v>
      </c>
      <c r="DH14" s="366">
        <f ca="1">IF($AB14&gt;CDS.Tenor,"-",1-CK14)</f>
        <v>0.98552248843629786</v>
      </c>
      <c r="DI14" s="366">
        <f ca="1">IF($AB14&gt;CDS.Tenor,"-",1-CL14)</f>
        <v>0.98552248843629786</v>
      </c>
      <c r="DJ14" s="366">
        <f ca="1">IF($AB14&gt;CDS.Tenor,"-",1-CM14)</f>
        <v>0.98552248843629786</v>
      </c>
      <c r="DK14" s="366">
        <f ca="1">IF($AB14&gt;CDS.Tenor,"-",1-CN14)</f>
        <v>0.98552248843629786</v>
      </c>
      <c r="DL14" s="366">
        <f ca="1">IF($AB14&gt;CDS.Tenor,"-",1-CO14)</f>
        <v>0.98552248843629786</v>
      </c>
      <c r="DM14" s="366">
        <f ca="1">IF($AB14&gt;CDS.Tenor,"-",1-CP14)</f>
        <v>0.98552248843629786</v>
      </c>
      <c r="DN14" s="366">
        <f ca="1">IF($AB14&gt;CDS.Tenor,"-",1-CQ14)</f>
        <v>0.98552248843629786</v>
      </c>
      <c r="DO14" s="366">
        <f ca="1">IF($AB14&gt;CDS.Tenor,"-",1-CR14)</f>
        <v>0.98552248843629786</v>
      </c>
      <c r="DP14" s="366">
        <f ca="1">IF($AB14&gt;CDS.Tenor,"-",1-CS14)</f>
        <v>0.98552248843629786</v>
      </c>
      <c r="DQ14" s="366">
        <f ca="1">IF($AB14&gt;CDS.Tenor,"-",1-CT14)</f>
        <v>0.98552248843629786</v>
      </c>
      <c r="DR14" s="366">
        <f ca="1">IF($AB14&gt;CDS.Tenor,"-",1-CU14)</f>
        <v>0.98552248843629786</v>
      </c>
      <c r="DS14" s="366">
        <f ca="1">IF($AB14&gt;CDS.Tenor,"-",1-CV14)</f>
        <v>0.98552248843629786</v>
      </c>
      <c r="DT14" s="366">
        <f ca="1">IF($AB14&gt;CDS.Tenor,"-",1-CW14)</f>
        <v>0.98552248843629786</v>
      </c>
      <c r="DU14" s="366">
        <f ca="1">IF($AB14&gt;CDS.Tenor,"-",1-CX14)</f>
        <v>0.98552248843629786</v>
      </c>
      <c r="DV14" s="366">
        <f ca="1">IF($AB14&gt;CDS.Tenor,"-",1-CY14)</f>
        <v>0.98552248843629786</v>
      </c>
      <c r="DW14" s="366">
        <f ca="1">IF($AB14&gt;CDS.Tenor,"-",1-CZ14)</f>
        <v>0.98552248843629786</v>
      </c>
      <c r="DX14" s="366">
        <f ca="1">IF($AB14&gt;CDS.Tenor,"-",1-DA14)</f>
        <v>0.98552248843629786</v>
      </c>
      <c r="DY14" s="362">
        <f ca="1">IF($AB14&gt;CDS.Tenor,"-",1-DB14)</f>
        <v>0.98552248843629786</v>
      </c>
      <c r="DZ14" s="360"/>
      <c r="EA14" s="352" cm="1">
        <f t="array" aca="1" ref="EA14" ca="1">IF($AB14&gt;CDS.Tenor,"-",flatInterpolation(CC14,INDIRECT(HazardRateTimes3),INDIRECT(HazardRateValues3)))</f>
        <v>7.4999999999999997E-3</v>
      </c>
      <c r="EB14" s="10">
        <f t="shared" ca="1" si="115"/>
        <v>0.98142468774777725</v>
      </c>
      <c r="EC14" s="10">
        <f t="shared" ca="1" si="116"/>
        <v>1.8575312252222753E-2</v>
      </c>
      <c r="ED14" s="81">
        <f t="shared" ca="1" si="117"/>
        <v>-2.0841049213945411</v>
      </c>
      <c r="EE14" s="347"/>
      <c r="EF14" s="370">
        <f t="shared" si="118"/>
        <v>2.5</v>
      </c>
      <c r="EG14" s="366">
        <f ca="1">IF($AB14&gt;CDS.Tenor,"-",_xlfn.NORM.S.DIST(($ED14-SQRT(ImpliedCorrelation)*EG$3)/SQRT(1-ImpliedCorrelation),TRUE))</f>
        <v>1.8575312252222764E-2</v>
      </c>
      <c r="EH14" s="366">
        <f ca="1">IF($AB14&gt;CDS.Tenor,"-",_xlfn.NORM.S.DIST(($ED14-SQRT(ImpliedCorrelation)*EH$3)/SQRT(1-ImpliedCorrelation),TRUE))</f>
        <v>1.8575312252222764E-2</v>
      </c>
      <c r="EI14" s="366">
        <f ca="1">IF($AB14&gt;CDS.Tenor,"-",_xlfn.NORM.S.DIST(($ED14-SQRT(ImpliedCorrelation)*EI$3)/SQRT(1-ImpliedCorrelation),TRUE))</f>
        <v>1.8575312252222764E-2</v>
      </c>
      <c r="EJ14" s="366">
        <f ca="1">IF($AB14&gt;CDS.Tenor,"-",_xlfn.NORM.S.DIST(($ED14-SQRT(ImpliedCorrelation)*EJ$3)/SQRT(1-ImpliedCorrelation),TRUE))</f>
        <v>1.8575312252222764E-2</v>
      </c>
      <c r="EK14" s="366">
        <f ca="1">IF($AB14&gt;CDS.Tenor,"-",_xlfn.NORM.S.DIST(($ED14-SQRT(ImpliedCorrelation)*EK$3)/SQRT(1-ImpliedCorrelation),TRUE))</f>
        <v>1.8575312252222764E-2</v>
      </c>
      <c r="EL14" s="366">
        <f ca="1">IF($AB14&gt;CDS.Tenor,"-",_xlfn.NORM.S.DIST(($ED14-SQRT(ImpliedCorrelation)*EL$3)/SQRT(1-ImpliedCorrelation),TRUE))</f>
        <v>1.8575312252222764E-2</v>
      </c>
      <c r="EM14" s="366">
        <f ca="1">IF($AB14&gt;CDS.Tenor,"-",_xlfn.NORM.S.DIST(($ED14-SQRT(ImpliedCorrelation)*EM$3)/SQRT(1-ImpliedCorrelation),TRUE))</f>
        <v>1.8575312252222764E-2</v>
      </c>
      <c r="EN14" s="366">
        <f ca="1">IF($AB14&gt;CDS.Tenor,"-",_xlfn.NORM.S.DIST(($ED14-SQRT(ImpliedCorrelation)*EN$3)/SQRT(1-ImpliedCorrelation),TRUE))</f>
        <v>1.8575312252222764E-2</v>
      </c>
      <c r="EO14" s="366">
        <f ca="1">IF($AB14&gt;CDS.Tenor,"-",_xlfn.NORM.S.DIST(($ED14-SQRT(ImpliedCorrelation)*EO$3)/SQRT(1-ImpliedCorrelation),TRUE))</f>
        <v>1.8575312252222764E-2</v>
      </c>
      <c r="EP14" s="366">
        <f ca="1">IF($AB14&gt;CDS.Tenor,"-",_xlfn.NORM.S.DIST(($ED14-SQRT(ImpliedCorrelation)*EP$3)/SQRT(1-ImpliedCorrelation),TRUE))</f>
        <v>1.8575312252222764E-2</v>
      </c>
      <c r="EQ14" s="366">
        <f ca="1">IF($AB14&gt;CDS.Tenor,"-",_xlfn.NORM.S.DIST(($ED14-SQRT(ImpliedCorrelation)*EQ$3)/SQRT(1-ImpliedCorrelation),TRUE))</f>
        <v>1.8575312252222764E-2</v>
      </c>
      <c r="ER14" s="366">
        <f ca="1">IF($AB14&gt;CDS.Tenor,"-",_xlfn.NORM.S.DIST(($ED14-SQRT(ImpliedCorrelation)*ER$3)/SQRT(1-ImpliedCorrelation),TRUE))</f>
        <v>1.8575312252222764E-2</v>
      </c>
      <c r="ES14" s="366">
        <f ca="1">IF($AB14&gt;CDS.Tenor,"-",_xlfn.NORM.S.DIST(($ED14-SQRT(ImpliedCorrelation)*ES$3)/SQRT(1-ImpliedCorrelation),TRUE))</f>
        <v>1.8575312252222764E-2</v>
      </c>
      <c r="ET14" s="366">
        <f ca="1">IF($AB14&gt;CDS.Tenor,"-",_xlfn.NORM.S.DIST(($ED14-SQRT(ImpliedCorrelation)*ET$3)/SQRT(1-ImpliedCorrelation),TRUE))</f>
        <v>1.8575312252222764E-2</v>
      </c>
      <c r="EU14" s="366">
        <f ca="1">IF($AB14&gt;CDS.Tenor,"-",_xlfn.NORM.S.DIST(($ED14-SQRT(ImpliedCorrelation)*EU$3)/SQRT(1-ImpliedCorrelation),TRUE))</f>
        <v>1.8575312252222764E-2</v>
      </c>
      <c r="EV14" s="366">
        <f ca="1">IF($AB14&gt;CDS.Tenor,"-",_xlfn.NORM.S.DIST(($ED14-SQRT(ImpliedCorrelation)*EV$3)/SQRT(1-ImpliedCorrelation),TRUE))</f>
        <v>1.8575312252222764E-2</v>
      </c>
      <c r="EW14" s="366">
        <f ca="1">IF($AB14&gt;CDS.Tenor,"-",_xlfn.NORM.S.DIST(($ED14-SQRT(ImpliedCorrelation)*EW$3)/SQRT(1-ImpliedCorrelation),TRUE))</f>
        <v>1.8575312252222764E-2</v>
      </c>
      <c r="EX14" s="366">
        <f ca="1">IF($AB14&gt;CDS.Tenor,"-",_xlfn.NORM.S.DIST(($ED14-SQRT(ImpliedCorrelation)*EX$3)/SQRT(1-ImpliedCorrelation),TRUE))</f>
        <v>1.8575312252222764E-2</v>
      </c>
      <c r="EY14" s="366">
        <f ca="1">IF($AB14&gt;CDS.Tenor,"-",_xlfn.NORM.S.DIST(($ED14-SQRT(ImpliedCorrelation)*EY$3)/SQRT(1-ImpliedCorrelation),TRUE))</f>
        <v>1.8575312252222764E-2</v>
      </c>
      <c r="EZ14" s="366">
        <f ca="1">IF($AB14&gt;CDS.Tenor,"-",_xlfn.NORM.S.DIST(($ED14-SQRT(ImpliedCorrelation)*EZ$3)/SQRT(1-ImpliedCorrelation),TRUE))</f>
        <v>1.8575312252222764E-2</v>
      </c>
      <c r="FA14" s="366">
        <f ca="1">IF($AB14&gt;CDS.Tenor,"-",_xlfn.NORM.S.DIST(($ED14-SQRT(ImpliedCorrelation)*FA$3)/SQRT(1-ImpliedCorrelation),TRUE))</f>
        <v>1.8575312252222764E-2</v>
      </c>
      <c r="FB14" s="366"/>
      <c r="FC14" s="370">
        <f t="shared" si="119"/>
        <v>2.5</v>
      </c>
      <c r="FD14" s="366">
        <f ca="1">IF($AB14&gt;CDS.Tenor,"-",1-EG14)</f>
        <v>0.98142468774777725</v>
      </c>
      <c r="FE14" s="366">
        <f ca="1">IF($AB14&gt;CDS.Tenor,"-",1-EH14)</f>
        <v>0.98142468774777725</v>
      </c>
      <c r="FF14" s="366">
        <f ca="1">IF($AB14&gt;CDS.Tenor,"-",1-EI14)</f>
        <v>0.98142468774777725</v>
      </c>
      <c r="FG14" s="366">
        <f ca="1">IF($AB14&gt;CDS.Tenor,"-",1-EJ14)</f>
        <v>0.98142468774777725</v>
      </c>
      <c r="FH14" s="366">
        <f ca="1">IF($AB14&gt;CDS.Tenor,"-",1-EK14)</f>
        <v>0.98142468774777725</v>
      </c>
      <c r="FI14" s="366">
        <f ca="1">IF($AB14&gt;CDS.Tenor,"-",1-EL14)</f>
        <v>0.98142468774777725</v>
      </c>
      <c r="FJ14" s="366">
        <f ca="1">IF($AB14&gt;CDS.Tenor,"-",1-EM14)</f>
        <v>0.98142468774777725</v>
      </c>
      <c r="FK14" s="366">
        <f ca="1">IF($AB14&gt;CDS.Tenor,"-",1-EN14)</f>
        <v>0.98142468774777725</v>
      </c>
      <c r="FL14" s="366">
        <f ca="1">IF($AB14&gt;CDS.Tenor,"-",1-EO14)</f>
        <v>0.98142468774777725</v>
      </c>
      <c r="FM14" s="366">
        <f ca="1">IF($AB14&gt;CDS.Tenor,"-",1-EP14)</f>
        <v>0.98142468774777725</v>
      </c>
      <c r="FN14" s="366">
        <f ca="1">IF($AB14&gt;CDS.Tenor,"-",1-EQ14)</f>
        <v>0.98142468774777725</v>
      </c>
      <c r="FO14" s="366">
        <f ca="1">IF($AB14&gt;CDS.Tenor,"-",1-ER14)</f>
        <v>0.98142468774777725</v>
      </c>
      <c r="FP14" s="366">
        <f ca="1">IF($AB14&gt;CDS.Tenor,"-",1-ES14)</f>
        <v>0.98142468774777725</v>
      </c>
      <c r="FQ14" s="366">
        <f ca="1">IF($AB14&gt;CDS.Tenor,"-",1-ET14)</f>
        <v>0.98142468774777725</v>
      </c>
      <c r="FR14" s="366">
        <f ca="1">IF($AB14&gt;CDS.Tenor,"-",1-EU14)</f>
        <v>0.98142468774777725</v>
      </c>
      <c r="FS14" s="366">
        <f ca="1">IF($AB14&gt;CDS.Tenor,"-",1-EV14)</f>
        <v>0.98142468774777725</v>
      </c>
      <c r="FT14" s="366">
        <f ca="1">IF($AB14&gt;CDS.Tenor,"-",1-EW14)</f>
        <v>0.98142468774777725</v>
      </c>
      <c r="FU14" s="366">
        <f ca="1">IF($AB14&gt;CDS.Tenor,"-",1-EX14)</f>
        <v>0.98142468774777725</v>
      </c>
      <c r="FV14" s="366">
        <f ca="1">IF($AB14&gt;CDS.Tenor,"-",1-EY14)</f>
        <v>0.98142468774777725</v>
      </c>
      <c r="FW14" s="366">
        <f ca="1">IF($AB14&gt;CDS.Tenor,"-",1-EZ14)</f>
        <v>0.98142468774777725</v>
      </c>
      <c r="FX14" s="362">
        <f ca="1">IF($AB14&gt;CDS.Tenor,"-",1-FA14)</f>
        <v>0.98142468774777725</v>
      </c>
      <c r="FZ14" s="370">
        <f t="shared" si="120"/>
        <v>2.5</v>
      </c>
      <c r="GA14" s="366">
        <f ca="1">IF($AB14&gt;CDS.Tenor,"-",BF14*DE14*FD14)</f>
        <v>0.95520114911628895</v>
      </c>
      <c r="GB14" s="366">
        <f ca="1">IF($AB14&gt;CDS.Tenor,"-",BG14*DF14*FE14)</f>
        <v>0.95520114911628895</v>
      </c>
      <c r="GC14" s="366">
        <f ca="1">IF($AB14&gt;CDS.Tenor,"-",BH14*DG14*FF14)</f>
        <v>0.95520114911628895</v>
      </c>
      <c r="GD14" s="366">
        <f ca="1">IF($AB14&gt;CDS.Tenor,"-",BI14*DH14*FG14)</f>
        <v>0.95520114911628895</v>
      </c>
      <c r="GE14" s="366">
        <f ca="1">IF($AB14&gt;CDS.Tenor,"-",BJ14*DI14*FH14)</f>
        <v>0.95520114911628895</v>
      </c>
      <c r="GF14" s="366">
        <f ca="1">IF($AB14&gt;CDS.Tenor,"-",BK14*DJ14*FI14)</f>
        <v>0.95520114911628895</v>
      </c>
      <c r="GG14" s="366">
        <f ca="1">IF($AB14&gt;CDS.Tenor,"-",BL14*DK14*FJ14)</f>
        <v>0.95520114911628895</v>
      </c>
      <c r="GH14" s="366">
        <f ca="1">IF($AB14&gt;CDS.Tenor,"-",BM14*DL14*FK14)</f>
        <v>0.95520114911628895</v>
      </c>
      <c r="GI14" s="366">
        <f ca="1">IF($AB14&gt;CDS.Tenor,"-",BN14*DM14*FL14)</f>
        <v>0.95520114911628895</v>
      </c>
      <c r="GJ14" s="366">
        <f ca="1">IF($AB14&gt;CDS.Tenor,"-",BO14*DN14*FM14)</f>
        <v>0.95520114911628895</v>
      </c>
      <c r="GK14" s="366">
        <f ca="1">IF($AB14&gt;CDS.Tenor,"-",BP14*DO14*FN14)</f>
        <v>0.95520114911628895</v>
      </c>
      <c r="GL14" s="366">
        <f ca="1">IF($AB14&gt;CDS.Tenor,"-",BQ14*DP14*FO14)</f>
        <v>0.95520114911628895</v>
      </c>
      <c r="GM14" s="366">
        <f ca="1">IF($AB14&gt;CDS.Tenor,"-",BR14*DQ14*FP14)</f>
        <v>0.95520114911628895</v>
      </c>
      <c r="GN14" s="366">
        <f ca="1">IF($AB14&gt;CDS.Tenor,"-",BS14*DR14*FQ14)</f>
        <v>0.95520114911628895</v>
      </c>
      <c r="GO14" s="366">
        <f ca="1">IF($AB14&gt;CDS.Tenor,"-",BT14*DS14*FR14)</f>
        <v>0.95520114911628895</v>
      </c>
      <c r="GP14" s="366">
        <f ca="1">IF($AB14&gt;CDS.Tenor,"-",BU14*DT14*FS14)</f>
        <v>0.95520114911628895</v>
      </c>
      <c r="GQ14" s="366">
        <f ca="1">IF($AB14&gt;CDS.Tenor,"-",BV14*DU14*FT14)</f>
        <v>0.95520114911628895</v>
      </c>
      <c r="GR14" s="366">
        <f ca="1">IF($AB14&gt;CDS.Tenor,"-",BW14*DV14*FU14)</f>
        <v>0.95520114911628895</v>
      </c>
      <c r="GS14" s="366">
        <f ca="1">IF($AB14&gt;CDS.Tenor,"-",BX14*DW14*FV14)</f>
        <v>0.95520114911628895</v>
      </c>
      <c r="GT14" s="366">
        <f ca="1">IF($AB14&gt;CDS.Tenor,"-",BY14*DX14*FW14)</f>
        <v>0.95520114911628895</v>
      </c>
      <c r="GU14" s="362">
        <f ca="1">IF($AB14&gt;CDS.Tenor,"-",BZ14*DY14*FX14)</f>
        <v>0.95520114911628895</v>
      </c>
      <c r="GV14" s="42"/>
      <c r="GW14" s="370">
        <f t="shared" si="121"/>
        <v>2.5</v>
      </c>
      <c r="GX14" s="378">
        <f ca="1">IF($AB14&gt;CDS.Tenor,"-",SUMPRODUCT($GA14:$GU14,$GA$4:$GU$4)*dm)</f>
        <v>0.95520104017576768</v>
      </c>
      <c r="GY14" s="381">
        <f ca="1">IF($AB14&gt;CDS.Tenor,"-",GX13-GX14)</f>
        <v>4.3880530407276463E-3</v>
      </c>
    </row>
    <row r="15" spans="2:228" x14ac:dyDescent="0.3">
      <c r="B15" s="114" t="s">
        <v>119</v>
      </c>
      <c r="C15" s="115"/>
      <c r="D15" s="150">
        <f>IF(D6="BUY",-1,1)</f>
        <v>-1</v>
      </c>
      <c r="F15" s="17"/>
      <c r="G15" s="17"/>
      <c r="H15" s="17"/>
      <c r="I15" s="17"/>
      <c r="J15" s="156">
        <f t="shared" si="103"/>
        <v>2.75</v>
      </c>
      <c r="K15" s="28">
        <f>IF($J15&gt;CDS.Tenor,"-",CDS.PremiumSign*CDS.Notional*CDS.YearFraction*CDS.CreditSpread)</f>
        <v>-25000</v>
      </c>
      <c r="L15" s="10">
        <f ca="1">GX15</f>
        <v>0.95083305302535126</v>
      </c>
      <c r="M15" s="10">
        <f ca="1">IF($J15&gt;CDS.Tenor,"-",L14-L15)</f>
        <v>4.3679871504164192E-3</v>
      </c>
      <c r="N15" s="94" cm="1">
        <f t="array" ref="N15">IF($J15&gt;CDS.Tenor,"-",cubicInterpolation(CurveResults.Times,CurveResults.DFs,$J15))</f>
        <v>0.8880077026997103</v>
      </c>
      <c r="O15" s="28">
        <f ca="1">IF($J15&gt;CDS.Tenor,"-",K15*L15*N15)</f>
        <v>-21108.67687669985</v>
      </c>
      <c r="P15" s="28">
        <f ca="1">IF($J15&gt;CDS.Tenor,"-",0.5*K15*M15*N15)</f>
        <v>-48.485077935789228</v>
      </c>
      <c r="Q15" s="142">
        <f ca="1">IF($J15&gt;CDS.Tenor,"-",O15+P15)</f>
        <v>-21157.161954635638</v>
      </c>
      <c r="T15" s="156">
        <f t="shared" si="104"/>
        <v>2.75</v>
      </c>
      <c r="U15" s="28">
        <f>IF($J15&gt;CDS.Tenor,"-",CDS.ProtectionSign*CDS.Notional*(1-CDS.RecoveryRate))</f>
        <v>6000000</v>
      </c>
      <c r="V15" s="10">
        <f ca="1">IF($J15&gt;CDS.Tenor,"-",GX15)</f>
        <v>0.95083305302535126</v>
      </c>
      <c r="W15" s="10">
        <f ca="1">IF($J15&gt;CDS.Tenor,"-",V14-V15)</f>
        <v>4.3679871504164192E-3</v>
      </c>
      <c r="X15" s="94" cm="1">
        <f t="array" ref="X15">IF($T15&gt;CDS.Tenor,"-",cubicInterpolation(CurveResults.Times,CurveResults.DFs,$J15))</f>
        <v>0.8880077026997103</v>
      </c>
      <c r="Y15" s="142">
        <f ca="1">IF($J15&gt;CDS.Tenor,"-",U15*W15*X15)</f>
        <v>23272.837409178828</v>
      </c>
      <c r="AA15" s="28"/>
      <c r="AB15" s="156">
        <f t="shared" si="105"/>
        <v>2.75</v>
      </c>
      <c r="AC15" s="352" cm="1">
        <f t="array" aca="1" ref="AC15" ca="1">IF($AB15&gt;CDS.Tenor,"-",flatInterpolation(AA15,INDIRECT(HazardRateTimes1),INDIRECT(HazardRateValues1)))</f>
        <v>5.0000000000000001E-3</v>
      </c>
      <c r="AD15" s="10">
        <f t="shared" ca="1" si="106"/>
        <v>0.98634409946704449</v>
      </c>
      <c r="AE15" s="10">
        <f t="shared" ca="1" si="107"/>
        <v>1.3655900532955512E-2</v>
      </c>
      <c r="AF15" s="360">
        <f ca="1">IF($AB15&gt;CDS.Tenor,"-",NORMSINV(AE15))</f>
        <v>-2.2070323254021287</v>
      </c>
      <c r="AG15" s="360"/>
      <c r="AH15" s="370">
        <f t="shared" si="108"/>
        <v>2.75</v>
      </c>
      <c r="AI15" s="366">
        <f ca="1">IF($AB15&gt;CDS.Tenor,"-",_xlfn.NORM.S.DIST(($AF15-SQRT(ImpliedCorrelation)*AI$3)/SQRT(1-ImpliedCorrelation),TRUE))</f>
        <v>1.3655900532955517E-2</v>
      </c>
      <c r="AJ15" s="366">
        <f ca="1">IF($AB15&gt;CDS.Tenor,"-",_xlfn.NORM.S.DIST(($AF15-SQRT(ImpliedCorrelation)*AJ$3)/SQRT(1-ImpliedCorrelation),TRUE))</f>
        <v>1.3655900532955517E-2</v>
      </c>
      <c r="AK15" s="366">
        <f ca="1">IF($AB15&gt;CDS.Tenor,"-",_xlfn.NORM.S.DIST(($AF15-SQRT(ImpliedCorrelation)*AK$3)/SQRT(1-ImpliedCorrelation),TRUE))</f>
        <v>1.3655900532955517E-2</v>
      </c>
      <c r="AL15" s="366">
        <f ca="1">IF($AB15&gt;CDS.Tenor,"-",_xlfn.NORM.S.DIST(($AF15-SQRT(ImpliedCorrelation)*AL$3)/SQRT(1-ImpliedCorrelation),TRUE))</f>
        <v>1.3655900532955517E-2</v>
      </c>
      <c r="AM15" s="366">
        <f ca="1">IF($AB15&gt;CDS.Tenor,"-",_xlfn.NORM.S.DIST(($AF15-SQRT(ImpliedCorrelation)*AM$3)/SQRT(1-ImpliedCorrelation),TRUE))</f>
        <v>1.3655900532955517E-2</v>
      </c>
      <c r="AN15" s="366">
        <f ca="1">IF($AB15&gt;CDS.Tenor,"-",_xlfn.NORM.S.DIST(($AF15-SQRT(ImpliedCorrelation)*AN$3)/SQRT(1-ImpliedCorrelation),TRUE))</f>
        <v>1.3655900532955517E-2</v>
      </c>
      <c r="AO15" s="366">
        <f ca="1">IF($AB15&gt;CDS.Tenor,"-",_xlfn.NORM.S.DIST(($AF15-SQRT(ImpliedCorrelation)*AO$3)/SQRT(1-ImpliedCorrelation),TRUE))</f>
        <v>1.3655900532955517E-2</v>
      </c>
      <c r="AP15" s="366">
        <f ca="1">IF($AB15&gt;CDS.Tenor,"-",_xlfn.NORM.S.DIST(($AF15-SQRT(ImpliedCorrelation)*AP$3)/SQRT(1-ImpliedCorrelation),TRUE))</f>
        <v>1.3655900532955517E-2</v>
      </c>
      <c r="AQ15" s="366">
        <f ca="1">IF($AB15&gt;CDS.Tenor,"-",_xlfn.NORM.S.DIST(($AF15-SQRT(ImpliedCorrelation)*AQ$3)/SQRT(1-ImpliedCorrelation),TRUE))</f>
        <v>1.3655900532955517E-2</v>
      </c>
      <c r="AR15" s="366">
        <f ca="1">IF($AB15&gt;CDS.Tenor,"-",_xlfn.NORM.S.DIST(($AF15-SQRT(ImpliedCorrelation)*AR$3)/SQRT(1-ImpliedCorrelation),TRUE))</f>
        <v>1.3655900532955517E-2</v>
      </c>
      <c r="AS15" s="366">
        <f ca="1">IF($AB15&gt;CDS.Tenor,"-",_xlfn.NORM.S.DIST(($AF15-SQRT(ImpliedCorrelation)*AS$3)/SQRT(1-ImpliedCorrelation),TRUE))</f>
        <v>1.3655900532955517E-2</v>
      </c>
      <c r="AT15" s="366">
        <f ca="1">IF($AB15&gt;CDS.Tenor,"-",_xlfn.NORM.S.DIST(($AF15-SQRT(ImpliedCorrelation)*AT$3)/SQRT(1-ImpliedCorrelation),TRUE))</f>
        <v>1.3655900532955517E-2</v>
      </c>
      <c r="AU15" s="366">
        <f ca="1">IF($AB15&gt;CDS.Tenor,"-",_xlfn.NORM.S.DIST(($AF15-SQRT(ImpliedCorrelation)*AU$3)/SQRT(1-ImpliedCorrelation),TRUE))</f>
        <v>1.3655900532955517E-2</v>
      </c>
      <c r="AV15" s="366">
        <f ca="1">IF($AB15&gt;CDS.Tenor,"-",_xlfn.NORM.S.DIST(($AF15-SQRT(ImpliedCorrelation)*AV$3)/SQRT(1-ImpliedCorrelation),TRUE))</f>
        <v>1.3655900532955517E-2</v>
      </c>
      <c r="AW15" s="366">
        <f ca="1">IF($AB15&gt;CDS.Tenor,"-",_xlfn.NORM.S.DIST(($AF15-SQRT(ImpliedCorrelation)*AW$3)/SQRT(1-ImpliedCorrelation),TRUE))</f>
        <v>1.3655900532955517E-2</v>
      </c>
      <c r="AX15" s="366">
        <f ca="1">IF($AB15&gt;CDS.Tenor,"-",_xlfn.NORM.S.DIST(($AF15-SQRT(ImpliedCorrelation)*AX$3)/SQRT(1-ImpliedCorrelation),TRUE))</f>
        <v>1.3655900532955517E-2</v>
      </c>
      <c r="AY15" s="366">
        <f ca="1">IF($AB15&gt;CDS.Tenor,"-",_xlfn.NORM.S.DIST(($AF15-SQRT(ImpliedCorrelation)*AY$3)/SQRT(1-ImpliedCorrelation),TRUE))</f>
        <v>1.3655900532955517E-2</v>
      </c>
      <c r="AZ15" s="366">
        <f ca="1">IF($AB15&gt;CDS.Tenor,"-",_xlfn.NORM.S.DIST(($AF15-SQRT(ImpliedCorrelation)*AZ$3)/SQRT(1-ImpliedCorrelation),TRUE))</f>
        <v>1.3655900532955517E-2</v>
      </c>
      <c r="BA15" s="366">
        <f ca="1">IF($AB15&gt;CDS.Tenor,"-",_xlfn.NORM.S.DIST(($AF15-SQRT(ImpliedCorrelation)*BA$3)/SQRT(1-ImpliedCorrelation),TRUE))</f>
        <v>1.3655900532955517E-2</v>
      </c>
      <c r="BB15" s="366">
        <f ca="1">IF($AB15&gt;CDS.Tenor,"-",_xlfn.NORM.S.DIST(($AF15-SQRT(ImpliedCorrelation)*BB$3)/SQRT(1-ImpliedCorrelation),TRUE))</f>
        <v>1.3655900532955517E-2</v>
      </c>
      <c r="BC15" s="366">
        <f ca="1">IF($AB15&gt;CDS.Tenor,"-",_xlfn.NORM.S.DIST(($AF15-SQRT(ImpliedCorrelation)*BC$3)/SQRT(1-ImpliedCorrelation),TRUE))</f>
        <v>1.3655900532955517E-2</v>
      </c>
      <c r="BD15" s="366"/>
      <c r="BE15" s="370">
        <f t="shared" si="109"/>
        <v>2.75</v>
      </c>
      <c r="BF15" s="366">
        <f ca="1">IF($AB15&gt;CDS.Tenor,"-",1-AI15)</f>
        <v>0.98634409946704449</v>
      </c>
      <c r="BG15" s="366">
        <f ca="1">IF($AB15&gt;CDS.Tenor,"-",1-AJ15)</f>
        <v>0.98634409946704449</v>
      </c>
      <c r="BH15" s="366">
        <f ca="1">IF($AB15&gt;CDS.Tenor,"-",1-AK15)</f>
        <v>0.98634409946704449</v>
      </c>
      <c r="BI15" s="366">
        <f ca="1">IF($AB15&gt;CDS.Tenor,"-",1-AL15)</f>
        <v>0.98634409946704449</v>
      </c>
      <c r="BJ15" s="366">
        <f ca="1">IF($AB15&gt;CDS.Tenor,"-",1-AM15)</f>
        <v>0.98634409946704449</v>
      </c>
      <c r="BK15" s="366">
        <f ca="1">IF($AB15&gt;CDS.Tenor,"-",1-AN15)</f>
        <v>0.98634409946704449</v>
      </c>
      <c r="BL15" s="366">
        <f ca="1">IF($AB15&gt;CDS.Tenor,"-",1-AO15)</f>
        <v>0.98634409946704449</v>
      </c>
      <c r="BM15" s="366">
        <f ca="1">IF($AB15&gt;CDS.Tenor,"-",1-AP15)</f>
        <v>0.98634409946704449</v>
      </c>
      <c r="BN15" s="366">
        <f ca="1">IF($AB15&gt;CDS.Tenor,"-",1-AQ15)</f>
        <v>0.98634409946704449</v>
      </c>
      <c r="BO15" s="366">
        <f ca="1">IF($AB15&gt;CDS.Tenor,"-",1-AR15)</f>
        <v>0.98634409946704449</v>
      </c>
      <c r="BP15" s="366">
        <f ca="1">IF($AB15&gt;CDS.Tenor,"-",1-AS15)</f>
        <v>0.98634409946704449</v>
      </c>
      <c r="BQ15" s="366">
        <f ca="1">IF($AB15&gt;CDS.Tenor,"-",1-AT15)</f>
        <v>0.98634409946704449</v>
      </c>
      <c r="BR15" s="366">
        <f ca="1">IF($AB15&gt;CDS.Tenor,"-",1-AU15)</f>
        <v>0.98634409946704449</v>
      </c>
      <c r="BS15" s="366">
        <f ca="1">IF($AB15&gt;CDS.Tenor,"-",1-AV15)</f>
        <v>0.98634409946704449</v>
      </c>
      <c r="BT15" s="366">
        <f ca="1">IF($AB15&gt;CDS.Tenor,"-",1-AW15)</f>
        <v>0.98634409946704449</v>
      </c>
      <c r="BU15" s="366">
        <f ca="1">IF($AB15&gt;CDS.Tenor,"-",1-AX15)</f>
        <v>0.98634409946704449</v>
      </c>
      <c r="BV15" s="366">
        <f ca="1">IF($AB15&gt;CDS.Tenor,"-",1-AY15)</f>
        <v>0.98634409946704449</v>
      </c>
      <c r="BW15" s="366">
        <f ca="1">IF($AB15&gt;CDS.Tenor,"-",1-AZ15)</f>
        <v>0.98634409946704449</v>
      </c>
      <c r="BX15" s="366">
        <f ca="1">IF($AB15&gt;CDS.Tenor,"-",1-BA15)</f>
        <v>0.98634409946704449</v>
      </c>
      <c r="BY15" s="366">
        <f ca="1">IF($AB15&gt;CDS.Tenor,"-",1-BB15)</f>
        <v>0.98634409946704449</v>
      </c>
      <c r="BZ15" s="366">
        <f ca="1">IF($AB15&gt;CDS.Tenor,"-",1-BC15)</f>
        <v>0.98634409946704449</v>
      </c>
      <c r="CA15" s="17"/>
      <c r="CB15" s="352" cm="1">
        <f t="array" aca="1" ref="CB15" ca="1">IF($AB15&gt;CDS.Tenor,"-",flatInterpolation(AB15,INDIRECT(HazardRateTimes2),INDIRECT(HazardRateValues2)))</f>
        <v>5.8333333333333336E-3</v>
      </c>
      <c r="CC15" s="10">
        <f t="shared" ca="1" si="110"/>
        <v>0.98408631560454818</v>
      </c>
      <c r="CD15" s="10">
        <f t="shared" ca="1" si="111"/>
        <v>1.5913684395451821E-2</v>
      </c>
      <c r="CE15" s="81">
        <f t="shared" ca="1" si="112"/>
        <v>-2.146572028052919</v>
      </c>
      <c r="CF15" s="360"/>
      <c r="CG15" s="370">
        <f t="shared" si="113"/>
        <v>2.75</v>
      </c>
      <c r="CH15" s="366">
        <f ca="1">IF($AB15&gt;CDS.Tenor,"-",_xlfn.NORM.S.DIST(($CE15-SQRT(ImpliedCorrelation)*CH$3)/SQRT(1-ImpliedCorrelation),TRUE))</f>
        <v>1.5913684395451839E-2</v>
      </c>
      <c r="CI15" s="366">
        <f ca="1">IF($AB15&gt;CDS.Tenor,"-",_xlfn.NORM.S.DIST(($CE15-SQRT(ImpliedCorrelation)*CI$3)/SQRT(1-ImpliedCorrelation),TRUE))</f>
        <v>1.5913684395451839E-2</v>
      </c>
      <c r="CJ15" s="366">
        <f ca="1">IF($AB15&gt;CDS.Tenor,"-",_xlfn.NORM.S.DIST(($CE15-SQRT(ImpliedCorrelation)*CJ$3)/SQRT(1-ImpliedCorrelation),TRUE))</f>
        <v>1.5913684395451839E-2</v>
      </c>
      <c r="CK15" s="366">
        <f ca="1">IF($AB15&gt;CDS.Tenor,"-",_xlfn.NORM.S.DIST(($CE15-SQRT(ImpliedCorrelation)*CK$3)/SQRT(1-ImpliedCorrelation),TRUE))</f>
        <v>1.5913684395451839E-2</v>
      </c>
      <c r="CL15" s="366">
        <f ca="1">IF($AB15&gt;CDS.Tenor,"-",_xlfn.NORM.S.DIST(($CE15-SQRT(ImpliedCorrelation)*CL$3)/SQRT(1-ImpliedCorrelation),TRUE))</f>
        <v>1.5913684395451839E-2</v>
      </c>
      <c r="CM15" s="366">
        <f ca="1">IF($AB15&gt;CDS.Tenor,"-",_xlfn.NORM.S.DIST(($CE15-SQRT(ImpliedCorrelation)*CM$3)/SQRT(1-ImpliedCorrelation),TRUE))</f>
        <v>1.5913684395451839E-2</v>
      </c>
      <c r="CN15" s="366">
        <f ca="1">IF($AB15&gt;CDS.Tenor,"-",_xlfn.NORM.S.DIST(($CE15-SQRT(ImpliedCorrelation)*CN$3)/SQRT(1-ImpliedCorrelation),TRUE))</f>
        <v>1.5913684395451839E-2</v>
      </c>
      <c r="CO15" s="366">
        <f ca="1">IF($AB15&gt;CDS.Tenor,"-",_xlfn.NORM.S.DIST(($CE15-SQRT(ImpliedCorrelation)*CO$3)/SQRT(1-ImpliedCorrelation),TRUE))</f>
        <v>1.5913684395451839E-2</v>
      </c>
      <c r="CP15" s="366">
        <f ca="1">IF($AB15&gt;CDS.Tenor,"-",_xlfn.NORM.S.DIST(($CE15-SQRT(ImpliedCorrelation)*CP$3)/SQRT(1-ImpliedCorrelation),TRUE))</f>
        <v>1.5913684395451839E-2</v>
      </c>
      <c r="CQ15" s="366">
        <f ca="1">IF($AB15&gt;CDS.Tenor,"-",_xlfn.NORM.S.DIST(($CE15-SQRT(ImpliedCorrelation)*CQ$3)/SQRT(1-ImpliedCorrelation),TRUE))</f>
        <v>1.5913684395451839E-2</v>
      </c>
      <c r="CR15" s="366">
        <f ca="1">IF($AB15&gt;CDS.Tenor,"-",_xlfn.NORM.S.DIST(($CE15-SQRT(ImpliedCorrelation)*CR$3)/SQRT(1-ImpliedCorrelation),TRUE))</f>
        <v>1.5913684395451839E-2</v>
      </c>
      <c r="CS15" s="366">
        <f ca="1">IF($AB15&gt;CDS.Tenor,"-",_xlfn.NORM.S.DIST(($CE15-SQRT(ImpliedCorrelation)*CS$3)/SQRT(1-ImpliedCorrelation),TRUE))</f>
        <v>1.5913684395451839E-2</v>
      </c>
      <c r="CT15" s="366">
        <f ca="1">IF($AB15&gt;CDS.Tenor,"-",_xlfn.NORM.S.DIST(($CE15-SQRT(ImpliedCorrelation)*CT$3)/SQRT(1-ImpliedCorrelation),TRUE))</f>
        <v>1.5913684395451839E-2</v>
      </c>
      <c r="CU15" s="366">
        <f ca="1">IF($AB15&gt;CDS.Tenor,"-",_xlfn.NORM.S.DIST(($CE15-SQRT(ImpliedCorrelation)*CU$3)/SQRT(1-ImpliedCorrelation),TRUE))</f>
        <v>1.5913684395451839E-2</v>
      </c>
      <c r="CV15" s="366">
        <f ca="1">IF($AB15&gt;CDS.Tenor,"-",_xlfn.NORM.S.DIST(($CE15-SQRT(ImpliedCorrelation)*CV$3)/SQRT(1-ImpliedCorrelation),TRUE))</f>
        <v>1.5913684395451839E-2</v>
      </c>
      <c r="CW15" s="366">
        <f ca="1">IF($AB15&gt;CDS.Tenor,"-",_xlfn.NORM.S.DIST(($CE15-SQRT(ImpliedCorrelation)*CW$3)/SQRT(1-ImpliedCorrelation),TRUE))</f>
        <v>1.5913684395451839E-2</v>
      </c>
      <c r="CX15" s="366">
        <f ca="1">IF($AB15&gt;CDS.Tenor,"-",_xlfn.NORM.S.DIST(($CE15-SQRT(ImpliedCorrelation)*CX$3)/SQRT(1-ImpliedCorrelation),TRUE))</f>
        <v>1.5913684395451839E-2</v>
      </c>
      <c r="CY15" s="366">
        <f ca="1">IF($AB15&gt;CDS.Tenor,"-",_xlfn.NORM.S.DIST(($CE15-SQRT(ImpliedCorrelation)*CY$3)/SQRT(1-ImpliedCorrelation),TRUE))</f>
        <v>1.5913684395451839E-2</v>
      </c>
      <c r="CZ15" s="366">
        <f ca="1">IF($AB15&gt;CDS.Tenor,"-",_xlfn.NORM.S.DIST(($CE15-SQRT(ImpliedCorrelation)*CZ$3)/SQRT(1-ImpliedCorrelation),TRUE))</f>
        <v>1.5913684395451839E-2</v>
      </c>
      <c r="DA15" s="366">
        <f ca="1">IF($AB15&gt;CDS.Tenor,"-",_xlfn.NORM.S.DIST(($CE15-SQRT(ImpliedCorrelation)*DA$3)/SQRT(1-ImpliedCorrelation),TRUE))</f>
        <v>1.5913684395451839E-2</v>
      </c>
      <c r="DB15" s="366">
        <f ca="1">IF($AB15&gt;CDS.Tenor,"-",_xlfn.NORM.S.DIST(($CE15-SQRT(ImpliedCorrelation)*DB$3)/SQRT(1-ImpliedCorrelation),TRUE))</f>
        <v>1.5913684395451839E-2</v>
      </c>
      <c r="DC15" s="366"/>
      <c r="DD15" s="370">
        <f t="shared" si="114"/>
        <v>2.75</v>
      </c>
      <c r="DE15" s="366">
        <f ca="1">IF($AB15&gt;CDS.Tenor,"-",1-CH15)</f>
        <v>0.98408631560454818</v>
      </c>
      <c r="DF15" s="366">
        <f ca="1">IF($AB15&gt;CDS.Tenor,"-",1-CI15)</f>
        <v>0.98408631560454818</v>
      </c>
      <c r="DG15" s="366">
        <f ca="1">IF($AB15&gt;CDS.Tenor,"-",1-CJ15)</f>
        <v>0.98408631560454818</v>
      </c>
      <c r="DH15" s="366">
        <f ca="1">IF($AB15&gt;CDS.Tenor,"-",1-CK15)</f>
        <v>0.98408631560454818</v>
      </c>
      <c r="DI15" s="366">
        <f ca="1">IF($AB15&gt;CDS.Tenor,"-",1-CL15)</f>
        <v>0.98408631560454818</v>
      </c>
      <c r="DJ15" s="366">
        <f ca="1">IF($AB15&gt;CDS.Tenor,"-",1-CM15)</f>
        <v>0.98408631560454818</v>
      </c>
      <c r="DK15" s="366">
        <f ca="1">IF($AB15&gt;CDS.Tenor,"-",1-CN15)</f>
        <v>0.98408631560454818</v>
      </c>
      <c r="DL15" s="366">
        <f ca="1">IF($AB15&gt;CDS.Tenor,"-",1-CO15)</f>
        <v>0.98408631560454818</v>
      </c>
      <c r="DM15" s="366">
        <f ca="1">IF($AB15&gt;CDS.Tenor,"-",1-CP15)</f>
        <v>0.98408631560454818</v>
      </c>
      <c r="DN15" s="366">
        <f ca="1">IF($AB15&gt;CDS.Tenor,"-",1-CQ15)</f>
        <v>0.98408631560454818</v>
      </c>
      <c r="DO15" s="366">
        <f ca="1">IF($AB15&gt;CDS.Tenor,"-",1-CR15)</f>
        <v>0.98408631560454818</v>
      </c>
      <c r="DP15" s="366">
        <f ca="1">IF($AB15&gt;CDS.Tenor,"-",1-CS15)</f>
        <v>0.98408631560454818</v>
      </c>
      <c r="DQ15" s="366">
        <f ca="1">IF($AB15&gt;CDS.Tenor,"-",1-CT15)</f>
        <v>0.98408631560454818</v>
      </c>
      <c r="DR15" s="366">
        <f ca="1">IF($AB15&gt;CDS.Tenor,"-",1-CU15)</f>
        <v>0.98408631560454818</v>
      </c>
      <c r="DS15" s="366">
        <f ca="1">IF($AB15&gt;CDS.Tenor,"-",1-CV15)</f>
        <v>0.98408631560454818</v>
      </c>
      <c r="DT15" s="366">
        <f ca="1">IF($AB15&gt;CDS.Tenor,"-",1-CW15)</f>
        <v>0.98408631560454818</v>
      </c>
      <c r="DU15" s="366">
        <f ca="1">IF($AB15&gt;CDS.Tenor,"-",1-CX15)</f>
        <v>0.98408631560454818</v>
      </c>
      <c r="DV15" s="366">
        <f ca="1">IF($AB15&gt;CDS.Tenor,"-",1-CY15)</f>
        <v>0.98408631560454818</v>
      </c>
      <c r="DW15" s="366">
        <f ca="1">IF($AB15&gt;CDS.Tenor,"-",1-CZ15)</f>
        <v>0.98408631560454818</v>
      </c>
      <c r="DX15" s="366">
        <f ca="1">IF($AB15&gt;CDS.Tenor,"-",1-DA15)</f>
        <v>0.98408631560454818</v>
      </c>
      <c r="DY15" s="362">
        <f ca="1">IF($AB15&gt;CDS.Tenor,"-",1-DB15)</f>
        <v>0.98408631560454818</v>
      </c>
      <c r="DZ15" s="360"/>
      <c r="EA15" s="352" cm="1">
        <f t="array" aca="1" ref="EA15" ca="1">IF($AB15&gt;CDS.Tenor,"-",flatInterpolation(CC15,INDIRECT(HazardRateTimes3),INDIRECT(HazardRateValues3)))</f>
        <v>7.4999999999999997E-3</v>
      </c>
      <c r="EB15" s="10">
        <f t="shared" ca="1" si="115"/>
        <v>0.97958624054111398</v>
      </c>
      <c r="EC15" s="10">
        <f t="shared" ca="1" si="116"/>
        <v>2.0413759458886016E-2</v>
      </c>
      <c r="ED15" s="81">
        <f t="shared" ca="1" si="117"/>
        <v>-2.0452773855968811</v>
      </c>
      <c r="EE15" s="28"/>
      <c r="EF15" s="370">
        <f t="shared" si="118"/>
        <v>2.75</v>
      </c>
      <c r="EG15" s="366">
        <f ca="1">IF($AB15&gt;CDS.Tenor,"-",_xlfn.NORM.S.DIST(($ED15-SQRT(ImpliedCorrelation)*EG$3)/SQRT(1-ImpliedCorrelation),TRUE))</f>
        <v>2.0413759458886013E-2</v>
      </c>
      <c r="EH15" s="366">
        <f ca="1">IF($AB15&gt;CDS.Tenor,"-",_xlfn.NORM.S.DIST(($ED15-SQRT(ImpliedCorrelation)*EH$3)/SQRT(1-ImpliedCorrelation),TRUE))</f>
        <v>2.0413759458886013E-2</v>
      </c>
      <c r="EI15" s="366">
        <f ca="1">IF($AB15&gt;CDS.Tenor,"-",_xlfn.NORM.S.DIST(($ED15-SQRT(ImpliedCorrelation)*EI$3)/SQRT(1-ImpliedCorrelation),TRUE))</f>
        <v>2.0413759458886013E-2</v>
      </c>
      <c r="EJ15" s="366">
        <f ca="1">IF($AB15&gt;CDS.Tenor,"-",_xlfn.NORM.S.DIST(($ED15-SQRT(ImpliedCorrelation)*EJ$3)/SQRT(1-ImpliedCorrelation),TRUE))</f>
        <v>2.0413759458886013E-2</v>
      </c>
      <c r="EK15" s="366">
        <f ca="1">IF($AB15&gt;CDS.Tenor,"-",_xlfn.NORM.S.DIST(($ED15-SQRT(ImpliedCorrelation)*EK$3)/SQRT(1-ImpliedCorrelation),TRUE))</f>
        <v>2.0413759458886013E-2</v>
      </c>
      <c r="EL15" s="366">
        <f ca="1">IF($AB15&gt;CDS.Tenor,"-",_xlfn.NORM.S.DIST(($ED15-SQRT(ImpliedCorrelation)*EL$3)/SQRT(1-ImpliedCorrelation),TRUE))</f>
        <v>2.0413759458886013E-2</v>
      </c>
      <c r="EM15" s="366">
        <f ca="1">IF($AB15&gt;CDS.Tenor,"-",_xlfn.NORM.S.DIST(($ED15-SQRT(ImpliedCorrelation)*EM$3)/SQRT(1-ImpliedCorrelation),TRUE))</f>
        <v>2.0413759458886013E-2</v>
      </c>
      <c r="EN15" s="366">
        <f ca="1">IF($AB15&gt;CDS.Tenor,"-",_xlfn.NORM.S.DIST(($ED15-SQRT(ImpliedCorrelation)*EN$3)/SQRT(1-ImpliedCorrelation),TRUE))</f>
        <v>2.0413759458886013E-2</v>
      </c>
      <c r="EO15" s="366">
        <f ca="1">IF($AB15&gt;CDS.Tenor,"-",_xlfn.NORM.S.DIST(($ED15-SQRT(ImpliedCorrelation)*EO$3)/SQRT(1-ImpliedCorrelation),TRUE))</f>
        <v>2.0413759458886013E-2</v>
      </c>
      <c r="EP15" s="366">
        <f ca="1">IF($AB15&gt;CDS.Tenor,"-",_xlfn.NORM.S.DIST(($ED15-SQRT(ImpliedCorrelation)*EP$3)/SQRT(1-ImpliedCorrelation),TRUE))</f>
        <v>2.0413759458886013E-2</v>
      </c>
      <c r="EQ15" s="366">
        <f ca="1">IF($AB15&gt;CDS.Tenor,"-",_xlfn.NORM.S.DIST(($ED15-SQRT(ImpliedCorrelation)*EQ$3)/SQRT(1-ImpliedCorrelation),TRUE))</f>
        <v>2.0413759458886013E-2</v>
      </c>
      <c r="ER15" s="366">
        <f ca="1">IF($AB15&gt;CDS.Tenor,"-",_xlfn.NORM.S.DIST(($ED15-SQRT(ImpliedCorrelation)*ER$3)/SQRT(1-ImpliedCorrelation),TRUE))</f>
        <v>2.0413759458886013E-2</v>
      </c>
      <c r="ES15" s="366">
        <f ca="1">IF($AB15&gt;CDS.Tenor,"-",_xlfn.NORM.S.DIST(($ED15-SQRT(ImpliedCorrelation)*ES$3)/SQRT(1-ImpliedCorrelation),TRUE))</f>
        <v>2.0413759458886013E-2</v>
      </c>
      <c r="ET15" s="366">
        <f ca="1">IF($AB15&gt;CDS.Tenor,"-",_xlfn.NORM.S.DIST(($ED15-SQRT(ImpliedCorrelation)*ET$3)/SQRT(1-ImpliedCorrelation),TRUE))</f>
        <v>2.0413759458886013E-2</v>
      </c>
      <c r="EU15" s="366">
        <f ca="1">IF($AB15&gt;CDS.Tenor,"-",_xlfn.NORM.S.DIST(($ED15-SQRT(ImpliedCorrelation)*EU$3)/SQRT(1-ImpliedCorrelation),TRUE))</f>
        <v>2.0413759458886013E-2</v>
      </c>
      <c r="EV15" s="366">
        <f ca="1">IF($AB15&gt;CDS.Tenor,"-",_xlfn.NORM.S.DIST(($ED15-SQRT(ImpliedCorrelation)*EV$3)/SQRT(1-ImpliedCorrelation),TRUE))</f>
        <v>2.0413759458886013E-2</v>
      </c>
      <c r="EW15" s="366">
        <f ca="1">IF($AB15&gt;CDS.Tenor,"-",_xlfn.NORM.S.DIST(($ED15-SQRT(ImpliedCorrelation)*EW$3)/SQRT(1-ImpliedCorrelation),TRUE))</f>
        <v>2.0413759458886013E-2</v>
      </c>
      <c r="EX15" s="366">
        <f ca="1">IF($AB15&gt;CDS.Tenor,"-",_xlfn.NORM.S.DIST(($ED15-SQRT(ImpliedCorrelation)*EX$3)/SQRT(1-ImpliedCorrelation),TRUE))</f>
        <v>2.0413759458886013E-2</v>
      </c>
      <c r="EY15" s="366">
        <f ca="1">IF($AB15&gt;CDS.Tenor,"-",_xlfn.NORM.S.DIST(($ED15-SQRT(ImpliedCorrelation)*EY$3)/SQRT(1-ImpliedCorrelation),TRUE))</f>
        <v>2.0413759458886013E-2</v>
      </c>
      <c r="EZ15" s="366">
        <f ca="1">IF($AB15&gt;CDS.Tenor,"-",_xlfn.NORM.S.DIST(($ED15-SQRT(ImpliedCorrelation)*EZ$3)/SQRT(1-ImpliedCorrelation),TRUE))</f>
        <v>2.0413759458886013E-2</v>
      </c>
      <c r="FA15" s="366">
        <f ca="1">IF($AB15&gt;CDS.Tenor,"-",_xlfn.NORM.S.DIST(($ED15-SQRT(ImpliedCorrelation)*FA$3)/SQRT(1-ImpliedCorrelation),TRUE))</f>
        <v>2.0413759458886013E-2</v>
      </c>
      <c r="FB15" s="366"/>
      <c r="FC15" s="370">
        <f t="shared" si="119"/>
        <v>2.75</v>
      </c>
      <c r="FD15" s="366">
        <f ca="1">IF($AB15&gt;CDS.Tenor,"-",1-EG15)</f>
        <v>0.97958624054111398</v>
      </c>
      <c r="FE15" s="366">
        <f ca="1">IF($AB15&gt;CDS.Tenor,"-",1-EH15)</f>
        <v>0.97958624054111398</v>
      </c>
      <c r="FF15" s="366">
        <f ca="1">IF($AB15&gt;CDS.Tenor,"-",1-EI15)</f>
        <v>0.97958624054111398</v>
      </c>
      <c r="FG15" s="366">
        <f ca="1">IF($AB15&gt;CDS.Tenor,"-",1-EJ15)</f>
        <v>0.97958624054111398</v>
      </c>
      <c r="FH15" s="366">
        <f ca="1">IF($AB15&gt;CDS.Tenor,"-",1-EK15)</f>
        <v>0.97958624054111398</v>
      </c>
      <c r="FI15" s="366">
        <f ca="1">IF($AB15&gt;CDS.Tenor,"-",1-EL15)</f>
        <v>0.97958624054111398</v>
      </c>
      <c r="FJ15" s="366">
        <f ca="1">IF($AB15&gt;CDS.Tenor,"-",1-EM15)</f>
        <v>0.97958624054111398</v>
      </c>
      <c r="FK15" s="366">
        <f ca="1">IF($AB15&gt;CDS.Tenor,"-",1-EN15)</f>
        <v>0.97958624054111398</v>
      </c>
      <c r="FL15" s="366">
        <f ca="1">IF($AB15&gt;CDS.Tenor,"-",1-EO15)</f>
        <v>0.97958624054111398</v>
      </c>
      <c r="FM15" s="366">
        <f ca="1">IF($AB15&gt;CDS.Tenor,"-",1-EP15)</f>
        <v>0.97958624054111398</v>
      </c>
      <c r="FN15" s="366">
        <f ca="1">IF($AB15&gt;CDS.Tenor,"-",1-EQ15)</f>
        <v>0.97958624054111398</v>
      </c>
      <c r="FO15" s="366">
        <f ca="1">IF($AB15&gt;CDS.Tenor,"-",1-ER15)</f>
        <v>0.97958624054111398</v>
      </c>
      <c r="FP15" s="366">
        <f ca="1">IF($AB15&gt;CDS.Tenor,"-",1-ES15)</f>
        <v>0.97958624054111398</v>
      </c>
      <c r="FQ15" s="366">
        <f ca="1">IF($AB15&gt;CDS.Tenor,"-",1-ET15)</f>
        <v>0.97958624054111398</v>
      </c>
      <c r="FR15" s="366">
        <f ca="1">IF($AB15&gt;CDS.Tenor,"-",1-EU15)</f>
        <v>0.97958624054111398</v>
      </c>
      <c r="FS15" s="366">
        <f ca="1">IF($AB15&gt;CDS.Tenor,"-",1-EV15)</f>
        <v>0.97958624054111398</v>
      </c>
      <c r="FT15" s="366">
        <f ca="1">IF($AB15&gt;CDS.Tenor,"-",1-EW15)</f>
        <v>0.97958624054111398</v>
      </c>
      <c r="FU15" s="366">
        <f ca="1">IF($AB15&gt;CDS.Tenor,"-",1-EX15)</f>
        <v>0.97958624054111398</v>
      </c>
      <c r="FV15" s="366">
        <f ca="1">IF($AB15&gt;CDS.Tenor,"-",1-EY15)</f>
        <v>0.97958624054111398</v>
      </c>
      <c r="FW15" s="366">
        <f ca="1">IF($AB15&gt;CDS.Tenor,"-",1-EZ15)</f>
        <v>0.97958624054111398</v>
      </c>
      <c r="FX15" s="362">
        <f ca="1">IF($AB15&gt;CDS.Tenor,"-",1-FA15)</f>
        <v>0.97958624054111398</v>
      </c>
      <c r="FZ15" s="370">
        <f t="shared" si="120"/>
        <v>2.75</v>
      </c>
      <c r="GA15" s="366">
        <f ca="1">IF($AB15&gt;CDS.Tenor,"-",BF15*DE15*FD15)</f>
        <v>0.95083316146770425</v>
      </c>
      <c r="GB15" s="366">
        <f ca="1">IF($AB15&gt;CDS.Tenor,"-",BG15*DF15*FE15)</f>
        <v>0.95083316146770425</v>
      </c>
      <c r="GC15" s="366">
        <f ca="1">IF($AB15&gt;CDS.Tenor,"-",BH15*DG15*FF15)</f>
        <v>0.95083316146770425</v>
      </c>
      <c r="GD15" s="366">
        <f ca="1">IF($AB15&gt;CDS.Tenor,"-",BI15*DH15*FG15)</f>
        <v>0.95083316146770425</v>
      </c>
      <c r="GE15" s="366">
        <f ca="1">IF($AB15&gt;CDS.Tenor,"-",BJ15*DI15*FH15)</f>
        <v>0.95083316146770425</v>
      </c>
      <c r="GF15" s="366">
        <f ca="1">IF($AB15&gt;CDS.Tenor,"-",BK15*DJ15*FI15)</f>
        <v>0.95083316146770425</v>
      </c>
      <c r="GG15" s="366">
        <f ca="1">IF($AB15&gt;CDS.Tenor,"-",BL15*DK15*FJ15)</f>
        <v>0.95083316146770425</v>
      </c>
      <c r="GH15" s="366">
        <f ca="1">IF($AB15&gt;CDS.Tenor,"-",BM15*DL15*FK15)</f>
        <v>0.95083316146770425</v>
      </c>
      <c r="GI15" s="366">
        <f ca="1">IF($AB15&gt;CDS.Tenor,"-",BN15*DM15*FL15)</f>
        <v>0.95083316146770425</v>
      </c>
      <c r="GJ15" s="366">
        <f ca="1">IF($AB15&gt;CDS.Tenor,"-",BO15*DN15*FM15)</f>
        <v>0.95083316146770425</v>
      </c>
      <c r="GK15" s="366">
        <f ca="1">IF($AB15&gt;CDS.Tenor,"-",BP15*DO15*FN15)</f>
        <v>0.95083316146770425</v>
      </c>
      <c r="GL15" s="366">
        <f ca="1">IF($AB15&gt;CDS.Tenor,"-",BQ15*DP15*FO15)</f>
        <v>0.95083316146770425</v>
      </c>
      <c r="GM15" s="366">
        <f ca="1">IF($AB15&gt;CDS.Tenor,"-",BR15*DQ15*FP15)</f>
        <v>0.95083316146770425</v>
      </c>
      <c r="GN15" s="366">
        <f ca="1">IF($AB15&gt;CDS.Tenor,"-",BS15*DR15*FQ15)</f>
        <v>0.95083316146770425</v>
      </c>
      <c r="GO15" s="366">
        <f ca="1">IF($AB15&gt;CDS.Tenor,"-",BT15*DS15*FR15)</f>
        <v>0.95083316146770425</v>
      </c>
      <c r="GP15" s="366">
        <f ca="1">IF($AB15&gt;CDS.Tenor,"-",BU15*DT15*FS15)</f>
        <v>0.95083316146770425</v>
      </c>
      <c r="GQ15" s="366">
        <f ca="1">IF($AB15&gt;CDS.Tenor,"-",BV15*DU15*FT15)</f>
        <v>0.95083316146770425</v>
      </c>
      <c r="GR15" s="366">
        <f ca="1">IF($AB15&gt;CDS.Tenor,"-",BW15*DV15*FU15)</f>
        <v>0.95083316146770425</v>
      </c>
      <c r="GS15" s="366">
        <f ca="1">IF($AB15&gt;CDS.Tenor,"-",BX15*DW15*FV15)</f>
        <v>0.95083316146770425</v>
      </c>
      <c r="GT15" s="366">
        <f ca="1">IF($AB15&gt;CDS.Tenor,"-",BY15*DX15*FW15)</f>
        <v>0.95083316146770425</v>
      </c>
      <c r="GU15" s="362">
        <f ca="1">IF($AB15&gt;CDS.Tenor,"-",BZ15*DY15*FX15)</f>
        <v>0.95083316146770425</v>
      </c>
      <c r="GV15" s="42"/>
      <c r="GW15" s="370">
        <f t="shared" si="121"/>
        <v>2.75</v>
      </c>
      <c r="GX15" s="378">
        <f ca="1">IF($AB15&gt;CDS.Tenor,"-",SUMPRODUCT($GA15:$GU15,$GA$4:$GU$4)*dm)</f>
        <v>0.95083305302535126</v>
      </c>
      <c r="GY15" s="381">
        <f ca="1">IF($AB15&gt;CDS.Tenor,"-",GX14-GX15)</f>
        <v>4.3679871504164192E-3</v>
      </c>
    </row>
    <row r="16" spans="2:228" x14ac:dyDescent="0.3">
      <c r="B16" s="116" t="s">
        <v>120</v>
      </c>
      <c r="D16" s="151">
        <f>-D15</f>
        <v>1</v>
      </c>
      <c r="F16" s="39" t="s">
        <v>357</v>
      </c>
      <c r="G16" s="17"/>
      <c r="H16" s="1" t="s">
        <v>358</v>
      </c>
      <c r="I16" s="17"/>
      <c r="J16" s="156">
        <f t="shared" si="103"/>
        <v>3</v>
      </c>
      <c r="K16" s="28">
        <f>IF($J16&gt;CDS.Tenor,"-",CDS.PremiumSign*CDS.Notional*CDS.YearFraction*CDS.CreditSpread)</f>
        <v>-25000</v>
      </c>
      <c r="L16" s="10">
        <f ca="1">GX16</f>
        <v>0.94648504000702183</v>
      </c>
      <c r="M16" s="10">
        <f ca="1">IF($J16&gt;CDS.Tenor,"-",L15-L16)</f>
        <v>4.348013018329433E-3</v>
      </c>
      <c r="N16" s="94" cm="1">
        <f t="array" ref="N16">IF($J16&gt;CDS.Tenor,"-",cubicInterpolation(CurveResults.Times,CurveResults.DFs,$J16))</f>
        <v>0.87931148332785924</v>
      </c>
      <c r="O16" s="28">
        <f ca="1">IF($J16&gt;CDS.Tenor,"-",K16*L16*N16)</f>
        <v>-20806.379111905066</v>
      </c>
      <c r="P16" s="28">
        <f ca="1">IF($J16&gt;CDS.Tenor,"-",0.5*K16*M16*N16)</f>
        <v>-47.7907222084512</v>
      </c>
      <c r="Q16" s="142">
        <f ca="1">IF($J16&gt;CDS.Tenor,"-",O16+P16)</f>
        <v>-20854.169834113516</v>
      </c>
      <c r="T16" s="156">
        <f t="shared" si="104"/>
        <v>3</v>
      </c>
      <c r="U16" s="28">
        <f>IF($J16&gt;CDS.Tenor,"-",CDS.ProtectionSign*CDS.Notional*(1-CDS.RecoveryRate))</f>
        <v>6000000</v>
      </c>
      <c r="V16" s="10">
        <f ca="1">IF($J16&gt;CDS.Tenor,"-",GX16)</f>
        <v>0.94648504000702183</v>
      </c>
      <c r="W16" s="10">
        <f ca="1">IF($J16&gt;CDS.Tenor,"-",V15-V16)</f>
        <v>4.348013018329433E-3</v>
      </c>
      <c r="X16" s="94" cm="1">
        <f t="array" ref="X16">IF($T16&gt;CDS.Tenor,"-",cubicInterpolation(CurveResults.Times,CurveResults.DFs,$J16))</f>
        <v>0.87931148332785924</v>
      </c>
      <c r="Y16" s="142">
        <f ca="1">IF($J16&gt;CDS.Tenor,"-",U16*W16*X16)</f>
        <v>22939.546660056578</v>
      </c>
      <c r="AA16" s="17"/>
      <c r="AB16" s="156">
        <f t="shared" si="105"/>
        <v>3</v>
      </c>
      <c r="AC16" s="352" cm="1">
        <f t="array" aca="1" ref="AC16" ca="1">IF($AB16&gt;CDS.Tenor,"-",flatInterpolation(AA16,INDIRECT(HazardRateTimes1),INDIRECT(HazardRateValues1)))</f>
        <v>5.0000000000000001E-3</v>
      </c>
      <c r="AD16" s="10">
        <f t="shared" ca="1" si="106"/>
        <v>0.9851119396030632</v>
      </c>
      <c r="AE16" s="10">
        <f t="shared" ca="1" si="107"/>
        <v>1.4888060396936798E-2</v>
      </c>
      <c r="AF16" s="360">
        <f ca="1">IF($AB16&gt;CDS.Tenor,"-",NORMSINV(AE16))</f>
        <v>-2.1730557604645537</v>
      </c>
      <c r="AG16" s="360"/>
      <c r="AH16" s="370">
        <f t="shared" si="108"/>
        <v>3</v>
      </c>
      <c r="AI16" s="366">
        <f ca="1">IF($AB16&gt;CDS.Tenor,"-",_xlfn.NORM.S.DIST(($AF16-SQRT(ImpliedCorrelation)*AI$3)/SQRT(1-ImpliedCorrelation),TRUE))</f>
        <v>1.4888060396936811E-2</v>
      </c>
      <c r="AJ16" s="366">
        <f ca="1">IF($AB16&gt;CDS.Tenor,"-",_xlfn.NORM.S.DIST(($AF16-SQRT(ImpliedCorrelation)*AJ$3)/SQRT(1-ImpliedCorrelation),TRUE))</f>
        <v>1.4888060396936811E-2</v>
      </c>
      <c r="AK16" s="366">
        <f ca="1">IF($AB16&gt;CDS.Tenor,"-",_xlfn.NORM.S.DIST(($AF16-SQRT(ImpliedCorrelation)*AK$3)/SQRT(1-ImpliedCorrelation),TRUE))</f>
        <v>1.4888060396936811E-2</v>
      </c>
      <c r="AL16" s="366">
        <f ca="1">IF($AB16&gt;CDS.Tenor,"-",_xlfn.NORM.S.DIST(($AF16-SQRT(ImpliedCorrelation)*AL$3)/SQRT(1-ImpliedCorrelation),TRUE))</f>
        <v>1.4888060396936811E-2</v>
      </c>
      <c r="AM16" s="366">
        <f ca="1">IF($AB16&gt;CDS.Tenor,"-",_xlfn.NORM.S.DIST(($AF16-SQRT(ImpliedCorrelation)*AM$3)/SQRT(1-ImpliedCorrelation),TRUE))</f>
        <v>1.4888060396936811E-2</v>
      </c>
      <c r="AN16" s="366">
        <f ca="1">IF($AB16&gt;CDS.Tenor,"-",_xlfn.NORM.S.DIST(($AF16-SQRT(ImpliedCorrelation)*AN$3)/SQRT(1-ImpliedCorrelation),TRUE))</f>
        <v>1.4888060396936811E-2</v>
      </c>
      <c r="AO16" s="366">
        <f ca="1">IF($AB16&gt;CDS.Tenor,"-",_xlfn.NORM.S.DIST(($AF16-SQRT(ImpliedCorrelation)*AO$3)/SQRT(1-ImpliedCorrelation),TRUE))</f>
        <v>1.4888060396936811E-2</v>
      </c>
      <c r="AP16" s="366">
        <f ca="1">IF($AB16&gt;CDS.Tenor,"-",_xlfn.NORM.S.DIST(($AF16-SQRT(ImpliedCorrelation)*AP$3)/SQRT(1-ImpliedCorrelation),TRUE))</f>
        <v>1.4888060396936811E-2</v>
      </c>
      <c r="AQ16" s="366">
        <f ca="1">IF($AB16&gt;CDS.Tenor,"-",_xlfn.NORM.S.DIST(($AF16-SQRT(ImpliedCorrelation)*AQ$3)/SQRT(1-ImpliedCorrelation),TRUE))</f>
        <v>1.4888060396936811E-2</v>
      </c>
      <c r="AR16" s="366">
        <f ca="1">IF($AB16&gt;CDS.Tenor,"-",_xlfn.NORM.S.DIST(($AF16-SQRT(ImpliedCorrelation)*AR$3)/SQRT(1-ImpliedCorrelation),TRUE))</f>
        <v>1.4888060396936811E-2</v>
      </c>
      <c r="AS16" s="366">
        <f ca="1">IF($AB16&gt;CDS.Tenor,"-",_xlfn.NORM.S.DIST(($AF16-SQRT(ImpliedCorrelation)*AS$3)/SQRT(1-ImpliedCorrelation),TRUE))</f>
        <v>1.4888060396936811E-2</v>
      </c>
      <c r="AT16" s="366">
        <f ca="1">IF($AB16&gt;CDS.Tenor,"-",_xlfn.NORM.S.DIST(($AF16-SQRT(ImpliedCorrelation)*AT$3)/SQRT(1-ImpliedCorrelation),TRUE))</f>
        <v>1.4888060396936811E-2</v>
      </c>
      <c r="AU16" s="366">
        <f ca="1">IF($AB16&gt;CDS.Tenor,"-",_xlfn.NORM.S.DIST(($AF16-SQRT(ImpliedCorrelation)*AU$3)/SQRT(1-ImpliedCorrelation),TRUE))</f>
        <v>1.4888060396936811E-2</v>
      </c>
      <c r="AV16" s="366">
        <f ca="1">IF($AB16&gt;CDS.Tenor,"-",_xlfn.NORM.S.DIST(($AF16-SQRT(ImpliedCorrelation)*AV$3)/SQRT(1-ImpliedCorrelation),TRUE))</f>
        <v>1.4888060396936811E-2</v>
      </c>
      <c r="AW16" s="366">
        <f ca="1">IF($AB16&gt;CDS.Tenor,"-",_xlfn.NORM.S.DIST(($AF16-SQRT(ImpliedCorrelation)*AW$3)/SQRT(1-ImpliedCorrelation),TRUE))</f>
        <v>1.4888060396936811E-2</v>
      </c>
      <c r="AX16" s="366">
        <f ca="1">IF($AB16&gt;CDS.Tenor,"-",_xlfn.NORM.S.DIST(($AF16-SQRT(ImpliedCorrelation)*AX$3)/SQRT(1-ImpliedCorrelation),TRUE))</f>
        <v>1.4888060396936811E-2</v>
      </c>
      <c r="AY16" s="366">
        <f ca="1">IF($AB16&gt;CDS.Tenor,"-",_xlfn.NORM.S.DIST(($AF16-SQRT(ImpliedCorrelation)*AY$3)/SQRT(1-ImpliedCorrelation),TRUE))</f>
        <v>1.4888060396936811E-2</v>
      </c>
      <c r="AZ16" s="366">
        <f ca="1">IF($AB16&gt;CDS.Tenor,"-",_xlfn.NORM.S.DIST(($AF16-SQRT(ImpliedCorrelation)*AZ$3)/SQRT(1-ImpliedCorrelation),TRUE))</f>
        <v>1.4888060396936811E-2</v>
      </c>
      <c r="BA16" s="366">
        <f ca="1">IF($AB16&gt;CDS.Tenor,"-",_xlfn.NORM.S.DIST(($AF16-SQRT(ImpliedCorrelation)*BA$3)/SQRT(1-ImpliedCorrelation),TRUE))</f>
        <v>1.4888060396936811E-2</v>
      </c>
      <c r="BB16" s="366">
        <f ca="1">IF($AB16&gt;CDS.Tenor,"-",_xlfn.NORM.S.DIST(($AF16-SQRT(ImpliedCorrelation)*BB$3)/SQRT(1-ImpliedCorrelation),TRUE))</f>
        <v>1.4888060396936811E-2</v>
      </c>
      <c r="BC16" s="366">
        <f ca="1">IF($AB16&gt;CDS.Tenor,"-",_xlfn.NORM.S.DIST(($AF16-SQRT(ImpliedCorrelation)*BC$3)/SQRT(1-ImpliedCorrelation),TRUE))</f>
        <v>1.4888060396936811E-2</v>
      </c>
      <c r="BD16" s="366"/>
      <c r="BE16" s="370">
        <f t="shared" si="109"/>
        <v>3</v>
      </c>
      <c r="BF16" s="366">
        <f ca="1">IF($AB16&gt;CDS.Tenor,"-",1-AI16)</f>
        <v>0.9851119396030632</v>
      </c>
      <c r="BG16" s="366">
        <f ca="1">IF($AB16&gt;CDS.Tenor,"-",1-AJ16)</f>
        <v>0.9851119396030632</v>
      </c>
      <c r="BH16" s="366">
        <f ca="1">IF($AB16&gt;CDS.Tenor,"-",1-AK16)</f>
        <v>0.9851119396030632</v>
      </c>
      <c r="BI16" s="366">
        <f ca="1">IF($AB16&gt;CDS.Tenor,"-",1-AL16)</f>
        <v>0.9851119396030632</v>
      </c>
      <c r="BJ16" s="366">
        <f ca="1">IF($AB16&gt;CDS.Tenor,"-",1-AM16)</f>
        <v>0.9851119396030632</v>
      </c>
      <c r="BK16" s="366">
        <f ca="1">IF($AB16&gt;CDS.Tenor,"-",1-AN16)</f>
        <v>0.9851119396030632</v>
      </c>
      <c r="BL16" s="366">
        <f ca="1">IF($AB16&gt;CDS.Tenor,"-",1-AO16)</f>
        <v>0.9851119396030632</v>
      </c>
      <c r="BM16" s="366">
        <f ca="1">IF($AB16&gt;CDS.Tenor,"-",1-AP16)</f>
        <v>0.9851119396030632</v>
      </c>
      <c r="BN16" s="366">
        <f ca="1">IF($AB16&gt;CDS.Tenor,"-",1-AQ16)</f>
        <v>0.9851119396030632</v>
      </c>
      <c r="BO16" s="366">
        <f ca="1">IF($AB16&gt;CDS.Tenor,"-",1-AR16)</f>
        <v>0.9851119396030632</v>
      </c>
      <c r="BP16" s="366">
        <f ca="1">IF($AB16&gt;CDS.Tenor,"-",1-AS16)</f>
        <v>0.9851119396030632</v>
      </c>
      <c r="BQ16" s="366">
        <f ca="1">IF($AB16&gt;CDS.Tenor,"-",1-AT16)</f>
        <v>0.9851119396030632</v>
      </c>
      <c r="BR16" s="366">
        <f ca="1">IF($AB16&gt;CDS.Tenor,"-",1-AU16)</f>
        <v>0.9851119396030632</v>
      </c>
      <c r="BS16" s="366">
        <f ca="1">IF($AB16&gt;CDS.Tenor,"-",1-AV16)</f>
        <v>0.9851119396030632</v>
      </c>
      <c r="BT16" s="366">
        <f ca="1">IF($AB16&gt;CDS.Tenor,"-",1-AW16)</f>
        <v>0.9851119396030632</v>
      </c>
      <c r="BU16" s="366">
        <f ca="1">IF($AB16&gt;CDS.Tenor,"-",1-AX16)</f>
        <v>0.9851119396030632</v>
      </c>
      <c r="BV16" s="366">
        <f ca="1">IF($AB16&gt;CDS.Tenor,"-",1-AY16)</f>
        <v>0.9851119396030632</v>
      </c>
      <c r="BW16" s="366">
        <f ca="1">IF($AB16&gt;CDS.Tenor,"-",1-AZ16)</f>
        <v>0.9851119396030632</v>
      </c>
      <c r="BX16" s="366">
        <f ca="1">IF($AB16&gt;CDS.Tenor,"-",1-BA16)</f>
        <v>0.9851119396030632</v>
      </c>
      <c r="BY16" s="366">
        <f ca="1">IF($AB16&gt;CDS.Tenor,"-",1-BB16)</f>
        <v>0.9851119396030632</v>
      </c>
      <c r="BZ16" s="366">
        <f ca="1">IF($AB16&gt;CDS.Tenor,"-",1-BC16)</f>
        <v>0.9851119396030632</v>
      </c>
      <c r="CA16" s="17"/>
      <c r="CB16" s="352" cm="1">
        <f t="array" aca="1" ref="CB16" ca="1">IF($AB16&gt;CDS.Tenor,"-",flatInterpolation(AB16,INDIRECT(HazardRateTimes2),INDIRECT(HazardRateValues2)))</f>
        <v>5.8333333333333336E-3</v>
      </c>
      <c r="CC16" s="10">
        <f t="shared" ca="1" si="110"/>
        <v>0.9826522356650732</v>
      </c>
      <c r="CD16" s="10">
        <f t="shared" ca="1" si="111"/>
        <v>1.7347764334926796E-2</v>
      </c>
      <c r="CE16" s="81">
        <f t="shared" ca="1" si="112"/>
        <v>-2.111894157010922</v>
      </c>
      <c r="CF16" s="360"/>
      <c r="CG16" s="370">
        <f t="shared" si="113"/>
        <v>3</v>
      </c>
      <c r="CH16" s="366">
        <f ca="1">IF($AB16&gt;CDS.Tenor,"-",_xlfn.NORM.S.DIST(($CE16-SQRT(ImpliedCorrelation)*CH$3)/SQRT(1-ImpliedCorrelation),TRUE))</f>
        <v>1.7347764334926775E-2</v>
      </c>
      <c r="CI16" s="366">
        <f ca="1">IF($AB16&gt;CDS.Tenor,"-",_xlfn.NORM.S.DIST(($CE16-SQRT(ImpliedCorrelation)*CI$3)/SQRT(1-ImpliedCorrelation),TRUE))</f>
        <v>1.7347764334926775E-2</v>
      </c>
      <c r="CJ16" s="366">
        <f ca="1">IF($AB16&gt;CDS.Tenor,"-",_xlfn.NORM.S.DIST(($CE16-SQRT(ImpliedCorrelation)*CJ$3)/SQRT(1-ImpliedCorrelation),TRUE))</f>
        <v>1.7347764334926775E-2</v>
      </c>
      <c r="CK16" s="366">
        <f ca="1">IF($AB16&gt;CDS.Tenor,"-",_xlfn.NORM.S.DIST(($CE16-SQRT(ImpliedCorrelation)*CK$3)/SQRT(1-ImpliedCorrelation),TRUE))</f>
        <v>1.7347764334926775E-2</v>
      </c>
      <c r="CL16" s="366">
        <f ca="1">IF($AB16&gt;CDS.Tenor,"-",_xlfn.NORM.S.DIST(($CE16-SQRT(ImpliedCorrelation)*CL$3)/SQRT(1-ImpliedCorrelation),TRUE))</f>
        <v>1.7347764334926775E-2</v>
      </c>
      <c r="CM16" s="366">
        <f ca="1">IF($AB16&gt;CDS.Tenor,"-",_xlfn.NORM.S.DIST(($CE16-SQRT(ImpliedCorrelation)*CM$3)/SQRT(1-ImpliedCorrelation),TRUE))</f>
        <v>1.7347764334926775E-2</v>
      </c>
      <c r="CN16" s="366">
        <f ca="1">IF($AB16&gt;CDS.Tenor,"-",_xlfn.NORM.S.DIST(($CE16-SQRT(ImpliedCorrelation)*CN$3)/SQRT(1-ImpliedCorrelation),TRUE))</f>
        <v>1.7347764334926775E-2</v>
      </c>
      <c r="CO16" s="366">
        <f ca="1">IF($AB16&gt;CDS.Tenor,"-",_xlfn.NORM.S.DIST(($CE16-SQRT(ImpliedCorrelation)*CO$3)/SQRT(1-ImpliedCorrelation),TRUE))</f>
        <v>1.7347764334926775E-2</v>
      </c>
      <c r="CP16" s="366">
        <f ca="1">IF($AB16&gt;CDS.Tenor,"-",_xlfn.NORM.S.DIST(($CE16-SQRT(ImpliedCorrelation)*CP$3)/SQRT(1-ImpliedCorrelation),TRUE))</f>
        <v>1.7347764334926775E-2</v>
      </c>
      <c r="CQ16" s="366">
        <f ca="1">IF($AB16&gt;CDS.Tenor,"-",_xlfn.NORM.S.DIST(($CE16-SQRT(ImpliedCorrelation)*CQ$3)/SQRT(1-ImpliedCorrelation),TRUE))</f>
        <v>1.7347764334926775E-2</v>
      </c>
      <c r="CR16" s="366">
        <f ca="1">IF($AB16&gt;CDS.Tenor,"-",_xlfn.NORM.S.DIST(($CE16-SQRT(ImpliedCorrelation)*CR$3)/SQRT(1-ImpliedCorrelation),TRUE))</f>
        <v>1.7347764334926775E-2</v>
      </c>
      <c r="CS16" s="366">
        <f ca="1">IF($AB16&gt;CDS.Tenor,"-",_xlfn.NORM.S.DIST(($CE16-SQRT(ImpliedCorrelation)*CS$3)/SQRT(1-ImpliedCorrelation),TRUE))</f>
        <v>1.7347764334926775E-2</v>
      </c>
      <c r="CT16" s="366">
        <f ca="1">IF($AB16&gt;CDS.Tenor,"-",_xlfn.NORM.S.DIST(($CE16-SQRT(ImpliedCorrelation)*CT$3)/SQRT(1-ImpliedCorrelation),TRUE))</f>
        <v>1.7347764334926775E-2</v>
      </c>
      <c r="CU16" s="366">
        <f ca="1">IF($AB16&gt;CDS.Tenor,"-",_xlfn.NORM.S.DIST(($CE16-SQRT(ImpliedCorrelation)*CU$3)/SQRT(1-ImpliedCorrelation),TRUE))</f>
        <v>1.7347764334926775E-2</v>
      </c>
      <c r="CV16" s="366">
        <f ca="1">IF($AB16&gt;CDS.Tenor,"-",_xlfn.NORM.S.DIST(($CE16-SQRT(ImpliedCorrelation)*CV$3)/SQRT(1-ImpliedCorrelation),TRUE))</f>
        <v>1.7347764334926775E-2</v>
      </c>
      <c r="CW16" s="366">
        <f ca="1">IF($AB16&gt;CDS.Tenor,"-",_xlfn.NORM.S.DIST(($CE16-SQRT(ImpliedCorrelation)*CW$3)/SQRT(1-ImpliedCorrelation),TRUE))</f>
        <v>1.7347764334926775E-2</v>
      </c>
      <c r="CX16" s="366">
        <f ca="1">IF($AB16&gt;CDS.Tenor,"-",_xlfn.NORM.S.DIST(($CE16-SQRT(ImpliedCorrelation)*CX$3)/SQRT(1-ImpliedCorrelation),TRUE))</f>
        <v>1.7347764334926775E-2</v>
      </c>
      <c r="CY16" s="366">
        <f ca="1">IF($AB16&gt;CDS.Tenor,"-",_xlfn.NORM.S.DIST(($CE16-SQRT(ImpliedCorrelation)*CY$3)/SQRT(1-ImpliedCorrelation),TRUE))</f>
        <v>1.7347764334926775E-2</v>
      </c>
      <c r="CZ16" s="366">
        <f ca="1">IF($AB16&gt;CDS.Tenor,"-",_xlfn.NORM.S.DIST(($CE16-SQRT(ImpliedCorrelation)*CZ$3)/SQRT(1-ImpliedCorrelation),TRUE))</f>
        <v>1.7347764334926775E-2</v>
      </c>
      <c r="DA16" s="366">
        <f ca="1">IF($AB16&gt;CDS.Tenor,"-",_xlfn.NORM.S.DIST(($CE16-SQRT(ImpliedCorrelation)*DA$3)/SQRT(1-ImpliedCorrelation),TRUE))</f>
        <v>1.7347764334926775E-2</v>
      </c>
      <c r="DB16" s="366">
        <f ca="1">IF($AB16&gt;CDS.Tenor,"-",_xlfn.NORM.S.DIST(($CE16-SQRT(ImpliedCorrelation)*DB$3)/SQRT(1-ImpliedCorrelation),TRUE))</f>
        <v>1.7347764334926775E-2</v>
      </c>
      <c r="DC16" s="366"/>
      <c r="DD16" s="370">
        <f t="shared" si="114"/>
        <v>3</v>
      </c>
      <c r="DE16" s="366">
        <f ca="1">IF($AB16&gt;CDS.Tenor,"-",1-CH16)</f>
        <v>0.9826522356650732</v>
      </c>
      <c r="DF16" s="366">
        <f ca="1">IF($AB16&gt;CDS.Tenor,"-",1-CI16)</f>
        <v>0.9826522356650732</v>
      </c>
      <c r="DG16" s="366">
        <f ca="1">IF($AB16&gt;CDS.Tenor,"-",1-CJ16)</f>
        <v>0.9826522356650732</v>
      </c>
      <c r="DH16" s="366">
        <f ca="1">IF($AB16&gt;CDS.Tenor,"-",1-CK16)</f>
        <v>0.9826522356650732</v>
      </c>
      <c r="DI16" s="366">
        <f ca="1">IF($AB16&gt;CDS.Tenor,"-",1-CL16)</f>
        <v>0.9826522356650732</v>
      </c>
      <c r="DJ16" s="366">
        <f ca="1">IF($AB16&gt;CDS.Tenor,"-",1-CM16)</f>
        <v>0.9826522356650732</v>
      </c>
      <c r="DK16" s="366">
        <f ca="1">IF($AB16&gt;CDS.Tenor,"-",1-CN16)</f>
        <v>0.9826522356650732</v>
      </c>
      <c r="DL16" s="366">
        <f ca="1">IF($AB16&gt;CDS.Tenor,"-",1-CO16)</f>
        <v>0.9826522356650732</v>
      </c>
      <c r="DM16" s="366">
        <f ca="1">IF($AB16&gt;CDS.Tenor,"-",1-CP16)</f>
        <v>0.9826522356650732</v>
      </c>
      <c r="DN16" s="366">
        <f ca="1">IF($AB16&gt;CDS.Tenor,"-",1-CQ16)</f>
        <v>0.9826522356650732</v>
      </c>
      <c r="DO16" s="366">
        <f ca="1">IF($AB16&gt;CDS.Tenor,"-",1-CR16)</f>
        <v>0.9826522356650732</v>
      </c>
      <c r="DP16" s="366">
        <f ca="1">IF($AB16&gt;CDS.Tenor,"-",1-CS16)</f>
        <v>0.9826522356650732</v>
      </c>
      <c r="DQ16" s="366">
        <f ca="1">IF($AB16&gt;CDS.Tenor,"-",1-CT16)</f>
        <v>0.9826522356650732</v>
      </c>
      <c r="DR16" s="366">
        <f ca="1">IF($AB16&gt;CDS.Tenor,"-",1-CU16)</f>
        <v>0.9826522356650732</v>
      </c>
      <c r="DS16" s="366">
        <f ca="1">IF($AB16&gt;CDS.Tenor,"-",1-CV16)</f>
        <v>0.9826522356650732</v>
      </c>
      <c r="DT16" s="366">
        <f ca="1">IF($AB16&gt;CDS.Tenor,"-",1-CW16)</f>
        <v>0.9826522356650732</v>
      </c>
      <c r="DU16" s="366">
        <f ca="1">IF($AB16&gt;CDS.Tenor,"-",1-CX16)</f>
        <v>0.9826522356650732</v>
      </c>
      <c r="DV16" s="366">
        <f ca="1">IF($AB16&gt;CDS.Tenor,"-",1-CY16)</f>
        <v>0.9826522356650732</v>
      </c>
      <c r="DW16" s="366">
        <f ca="1">IF($AB16&gt;CDS.Tenor,"-",1-CZ16)</f>
        <v>0.9826522356650732</v>
      </c>
      <c r="DX16" s="366">
        <f ca="1">IF($AB16&gt;CDS.Tenor,"-",1-DA16)</f>
        <v>0.9826522356650732</v>
      </c>
      <c r="DY16" s="362">
        <f ca="1">IF($AB16&gt;CDS.Tenor,"-",1-DB16)</f>
        <v>0.9826522356650732</v>
      </c>
      <c r="DZ16" s="360"/>
      <c r="EA16" s="352" cm="1">
        <f t="array" aca="1" ref="EA16" ca="1">IF($AB16&gt;CDS.Tenor,"-",flatInterpolation(CC16,INDIRECT(HazardRateTimes3),INDIRECT(HazardRateValues3)))</f>
        <v>7.4999999999999997E-3</v>
      </c>
      <c r="EB16" s="10">
        <f t="shared" ca="1" si="115"/>
        <v>0.97775123719333656</v>
      </c>
      <c r="EC16" s="10">
        <f t="shared" ca="1" si="116"/>
        <v>2.2248762806663436E-2</v>
      </c>
      <c r="ED16" s="81">
        <f t="shared" ca="1" si="117"/>
        <v>-2.0093736207925081</v>
      </c>
      <c r="EE16" s="17"/>
      <c r="EF16" s="370">
        <f t="shared" si="118"/>
        <v>3</v>
      </c>
      <c r="EG16" s="366">
        <f ca="1">IF($AB16&gt;CDS.Tenor,"-",_xlfn.NORM.S.DIST(($ED16-SQRT(ImpliedCorrelation)*EG$3)/SQRT(1-ImpliedCorrelation),TRUE))</f>
        <v>2.2248762806663457E-2</v>
      </c>
      <c r="EH16" s="366">
        <f ca="1">IF($AB16&gt;CDS.Tenor,"-",_xlfn.NORM.S.DIST(($ED16-SQRT(ImpliedCorrelation)*EH$3)/SQRT(1-ImpliedCorrelation),TRUE))</f>
        <v>2.2248762806663457E-2</v>
      </c>
      <c r="EI16" s="366">
        <f ca="1">IF($AB16&gt;CDS.Tenor,"-",_xlfn.NORM.S.DIST(($ED16-SQRT(ImpliedCorrelation)*EI$3)/SQRT(1-ImpliedCorrelation),TRUE))</f>
        <v>2.2248762806663457E-2</v>
      </c>
      <c r="EJ16" s="366">
        <f ca="1">IF($AB16&gt;CDS.Tenor,"-",_xlfn.NORM.S.DIST(($ED16-SQRT(ImpliedCorrelation)*EJ$3)/SQRT(1-ImpliedCorrelation),TRUE))</f>
        <v>2.2248762806663457E-2</v>
      </c>
      <c r="EK16" s="366">
        <f ca="1">IF($AB16&gt;CDS.Tenor,"-",_xlfn.NORM.S.DIST(($ED16-SQRT(ImpliedCorrelation)*EK$3)/SQRT(1-ImpliedCorrelation),TRUE))</f>
        <v>2.2248762806663457E-2</v>
      </c>
      <c r="EL16" s="366">
        <f ca="1">IF($AB16&gt;CDS.Tenor,"-",_xlfn.NORM.S.DIST(($ED16-SQRT(ImpliedCorrelation)*EL$3)/SQRT(1-ImpliedCorrelation),TRUE))</f>
        <v>2.2248762806663457E-2</v>
      </c>
      <c r="EM16" s="366">
        <f ca="1">IF($AB16&gt;CDS.Tenor,"-",_xlfn.NORM.S.DIST(($ED16-SQRT(ImpliedCorrelation)*EM$3)/SQRT(1-ImpliedCorrelation),TRUE))</f>
        <v>2.2248762806663457E-2</v>
      </c>
      <c r="EN16" s="366">
        <f ca="1">IF($AB16&gt;CDS.Tenor,"-",_xlfn.NORM.S.DIST(($ED16-SQRT(ImpliedCorrelation)*EN$3)/SQRT(1-ImpliedCorrelation),TRUE))</f>
        <v>2.2248762806663457E-2</v>
      </c>
      <c r="EO16" s="366">
        <f ca="1">IF($AB16&gt;CDS.Tenor,"-",_xlfn.NORM.S.DIST(($ED16-SQRT(ImpliedCorrelation)*EO$3)/SQRT(1-ImpliedCorrelation),TRUE))</f>
        <v>2.2248762806663457E-2</v>
      </c>
      <c r="EP16" s="366">
        <f ca="1">IF($AB16&gt;CDS.Tenor,"-",_xlfn.NORM.S.DIST(($ED16-SQRT(ImpliedCorrelation)*EP$3)/SQRT(1-ImpliedCorrelation),TRUE))</f>
        <v>2.2248762806663457E-2</v>
      </c>
      <c r="EQ16" s="366">
        <f ca="1">IF($AB16&gt;CDS.Tenor,"-",_xlfn.NORM.S.DIST(($ED16-SQRT(ImpliedCorrelation)*EQ$3)/SQRT(1-ImpliedCorrelation),TRUE))</f>
        <v>2.2248762806663457E-2</v>
      </c>
      <c r="ER16" s="366">
        <f ca="1">IF($AB16&gt;CDS.Tenor,"-",_xlfn.NORM.S.DIST(($ED16-SQRT(ImpliedCorrelation)*ER$3)/SQRT(1-ImpliedCorrelation),TRUE))</f>
        <v>2.2248762806663457E-2</v>
      </c>
      <c r="ES16" s="366">
        <f ca="1">IF($AB16&gt;CDS.Tenor,"-",_xlfn.NORM.S.DIST(($ED16-SQRT(ImpliedCorrelation)*ES$3)/SQRT(1-ImpliedCorrelation),TRUE))</f>
        <v>2.2248762806663457E-2</v>
      </c>
      <c r="ET16" s="366">
        <f ca="1">IF($AB16&gt;CDS.Tenor,"-",_xlfn.NORM.S.DIST(($ED16-SQRT(ImpliedCorrelation)*ET$3)/SQRT(1-ImpliedCorrelation),TRUE))</f>
        <v>2.2248762806663457E-2</v>
      </c>
      <c r="EU16" s="366">
        <f ca="1">IF($AB16&gt;CDS.Tenor,"-",_xlfn.NORM.S.DIST(($ED16-SQRT(ImpliedCorrelation)*EU$3)/SQRT(1-ImpliedCorrelation),TRUE))</f>
        <v>2.2248762806663457E-2</v>
      </c>
      <c r="EV16" s="366">
        <f ca="1">IF($AB16&gt;CDS.Tenor,"-",_xlfn.NORM.S.DIST(($ED16-SQRT(ImpliedCorrelation)*EV$3)/SQRT(1-ImpliedCorrelation),TRUE))</f>
        <v>2.2248762806663457E-2</v>
      </c>
      <c r="EW16" s="366">
        <f ca="1">IF($AB16&gt;CDS.Tenor,"-",_xlfn.NORM.S.DIST(($ED16-SQRT(ImpliedCorrelation)*EW$3)/SQRT(1-ImpliedCorrelation),TRUE))</f>
        <v>2.2248762806663457E-2</v>
      </c>
      <c r="EX16" s="366">
        <f ca="1">IF($AB16&gt;CDS.Tenor,"-",_xlfn.NORM.S.DIST(($ED16-SQRT(ImpliedCorrelation)*EX$3)/SQRT(1-ImpliedCorrelation),TRUE))</f>
        <v>2.2248762806663457E-2</v>
      </c>
      <c r="EY16" s="366">
        <f ca="1">IF($AB16&gt;CDS.Tenor,"-",_xlfn.NORM.S.DIST(($ED16-SQRT(ImpliedCorrelation)*EY$3)/SQRT(1-ImpliedCorrelation),TRUE))</f>
        <v>2.2248762806663457E-2</v>
      </c>
      <c r="EZ16" s="366">
        <f ca="1">IF($AB16&gt;CDS.Tenor,"-",_xlfn.NORM.S.DIST(($ED16-SQRT(ImpliedCorrelation)*EZ$3)/SQRT(1-ImpliedCorrelation),TRUE))</f>
        <v>2.2248762806663457E-2</v>
      </c>
      <c r="FA16" s="366">
        <f ca="1">IF($AB16&gt;CDS.Tenor,"-",_xlfn.NORM.S.DIST(($ED16-SQRT(ImpliedCorrelation)*FA$3)/SQRT(1-ImpliedCorrelation),TRUE))</f>
        <v>2.2248762806663457E-2</v>
      </c>
      <c r="FB16" s="366"/>
      <c r="FC16" s="370">
        <f t="shared" si="119"/>
        <v>3</v>
      </c>
      <c r="FD16" s="366">
        <f ca="1">IF($AB16&gt;CDS.Tenor,"-",1-EG16)</f>
        <v>0.97775123719333656</v>
      </c>
      <c r="FE16" s="366">
        <f ca="1">IF($AB16&gt;CDS.Tenor,"-",1-EH16)</f>
        <v>0.97775123719333656</v>
      </c>
      <c r="FF16" s="366">
        <f ca="1">IF($AB16&gt;CDS.Tenor,"-",1-EI16)</f>
        <v>0.97775123719333656</v>
      </c>
      <c r="FG16" s="366">
        <f ca="1">IF($AB16&gt;CDS.Tenor,"-",1-EJ16)</f>
        <v>0.97775123719333656</v>
      </c>
      <c r="FH16" s="366">
        <f ca="1">IF($AB16&gt;CDS.Tenor,"-",1-EK16)</f>
        <v>0.97775123719333656</v>
      </c>
      <c r="FI16" s="366">
        <f ca="1">IF($AB16&gt;CDS.Tenor,"-",1-EL16)</f>
        <v>0.97775123719333656</v>
      </c>
      <c r="FJ16" s="366">
        <f ca="1">IF($AB16&gt;CDS.Tenor,"-",1-EM16)</f>
        <v>0.97775123719333656</v>
      </c>
      <c r="FK16" s="366">
        <f ca="1">IF($AB16&gt;CDS.Tenor,"-",1-EN16)</f>
        <v>0.97775123719333656</v>
      </c>
      <c r="FL16" s="366">
        <f ca="1">IF($AB16&gt;CDS.Tenor,"-",1-EO16)</f>
        <v>0.97775123719333656</v>
      </c>
      <c r="FM16" s="366">
        <f ca="1">IF($AB16&gt;CDS.Tenor,"-",1-EP16)</f>
        <v>0.97775123719333656</v>
      </c>
      <c r="FN16" s="366">
        <f ca="1">IF($AB16&gt;CDS.Tenor,"-",1-EQ16)</f>
        <v>0.97775123719333656</v>
      </c>
      <c r="FO16" s="366">
        <f ca="1">IF($AB16&gt;CDS.Tenor,"-",1-ER16)</f>
        <v>0.97775123719333656</v>
      </c>
      <c r="FP16" s="366">
        <f ca="1">IF($AB16&gt;CDS.Tenor,"-",1-ES16)</f>
        <v>0.97775123719333656</v>
      </c>
      <c r="FQ16" s="366">
        <f ca="1">IF($AB16&gt;CDS.Tenor,"-",1-ET16)</f>
        <v>0.97775123719333656</v>
      </c>
      <c r="FR16" s="366">
        <f ca="1">IF($AB16&gt;CDS.Tenor,"-",1-EU16)</f>
        <v>0.97775123719333656</v>
      </c>
      <c r="FS16" s="366">
        <f ca="1">IF($AB16&gt;CDS.Tenor,"-",1-EV16)</f>
        <v>0.97775123719333656</v>
      </c>
      <c r="FT16" s="366">
        <f ca="1">IF($AB16&gt;CDS.Tenor,"-",1-EW16)</f>
        <v>0.97775123719333656</v>
      </c>
      <c r="FU16" s="366">
        <f ca="1">IF($AB16&gt;CDS.Tenor,"-",1-EX16)</f>
        <v>0.97775123719333656</v>
      </c>
      <c r="FV16" s="366">
        <f ca="1">IF($AB16&gt;CDS.Tenor,"-",1-EY16)</f>
        <v>0.97775123719333656</v>
      </c>
      <c r="FW16" s="366">
        <f ca="1">IF($AB16&gt;CDS.Tenor,"-",1-EZ16)</f>
        <v>0.97775123719333656</v>
      </c>
      <c r="FX16" s="362">
        <f ca="1">IF($AB16&gt;CDS.Tenor,"-",1-FA16)</f>
        <v>0.97775123719333656</v>
      </c>
      <c r="FZ16" s="370">
        <f t="shared" si="120"/>
        <v>3</v>
      </c>
      <c r="GA16" s="366">
        <f ca="1">IF($AB16&gt;CDS.Tenor,"-",BF16*DE16*FD16)</f>
        <v>0.9464851479534846</v>
      </c>
      <c r="GB16" s="366">
        <f ca="1">IF($AB16&gt;CDS.Tenor,"-",BG16*DF16*FE16)</f>
        <v>0.9464851479534846</v>
      </c>
      <c r="GC16" s="366">
        <f ca="1">IF($AB16&gt;CDS.Tenor,"-",BH16*DG16*FF16)</f>
        <v>0.9464851479534846</v>
      </c>
      <c r="GD16" s="366">
        <f ca="1">IF($AB16&gt;CDS.Tenor,"-",BI16*DH16*FG16)</f>
        <v>0.9464851479534846</v>
      </c>
      <c r="GE16" s="366">
        <f ca="1">IF($AB16&gt;CDS.Tenor,"-",BJ16*DI16*FH16)</f>
        <v>0.9464851479534846</v>
      </c>
      <c r="GF16" s="366">
        <f ca="1">IF($AB16&gt;CDS.Tenor,"-",BK16*DJ16*FI16)</f>
        <v>0.9464851479534846</v>
      </c>
      <c r="GG16" s="366">
        <f ca="1">IF($AB16&gt;CDS.Tenor,"-",BL16*DK16*FJ16)</f>
        <v>0.9464851479534846</v>
      </c>
      <c r="GH16" s="366">
        <f ca="1">IF($AB16&gt;CDS.Tenor,"-",BM16*DL16*FK16)</f>
        <v>0.9464851479534846</v>
      </c>
      <c r="GI16" s="366">
        <f ca="1">IF($AB16&gt;CDS.Tenor,"-",BN16*DM16*FL16)</f>
        <v>0.9464851479534846</v>
      </c>
      <c r="GJ16" s="366">
        <f ca="1">IF($AB16&gt;CDS.Tenor,"-",BO16*DN16*FM16)</f>
        <v>0.9464851479534846</v>
      </c>
      <c r="GK16" s="366">
        <f ca="1">IF($AB16&gt;CDS.Tenor,"-",BP16*DO16*FN16)</f>
        <v>0.9464851479534846</v>
      </c>
      <c r="GL16" s="366">
        <f ca="1">IF($AB16&gt;CDS.Tenor,"-",BQ16*DP16*FO16)</f>
        <v>0.9464851479534846</v>
      </c>
      <c r="GM16" s="366">
        <f ca="1">IF($AB16&gt;CDS.Tenor,"-",BR16*DQ16*FP16)</f>
        <v>0.9464851479534846</v>
      </c>
      <c r="GN16" s="366">
        <f ca="1">IF($AB16&gt;CDS.Tenor,"-",BS16*DR16*FQ16)</f>
        <v>0.9464851479534846</v>
      </c>
      <c r="GO16" s="366">
        <f ca="1">IF($AB16&gt;CDS.Tenor,"-",BT16*DS16*FR16)</f>
        <v>0.9464851479534846</v>
      </c>
      <c r="GP16" s="366">
        <f ca="1">IF($AB16&gt;CDS.Tenor,"-",BU16*DT16*FS16)</f>
        <v>0.9464851479534846</v>
      </c>
      <c r="GQ16" s="366">
        <f ca="1">IF($AB16&gt;CDS.Tenor,"-",BV16*DU16*FT16)</f>
        <v>0.9464851479534846</v>
      </c>
      <c r="GR16" s="366">
        <f ca="1">IF($AB16&gt;CDS.Tenor,"-",BW16*DV16*FU16)</f>
        <v>0.9464851479534846</v>
      </c>
      <c r="GS16" s="366">
        <f ca="1">IF($AB16&gt;CDS.Tenor,"-",BX16*DW16*FV16)</f>
        <v>0.9464851479534846</v>
      </c>
      <c r="GT16" s="366">
        <f ca="1">IF($AB16&gt;CDS.Tenor,"-",BY16*DX16*FW16)</f>
        <v>0.9464851479534846</v>
      </c>
      <c r="GU16" s="362">
        <f ca="1">IF($AB16&gt;CDS.Tenor,"-",BZ16*DY16*FX16)</f>
        <v>0.9464851479534846</v>
      </c>
      <c r="GV16" s="42"/>
      <c r="GW16" s="370">
        <f t="shared" si="121"/>
        <v>3</v>
      </c>
      <c r="GX16" s="378">
        <f ca="1">IF($AB16&gt;CDS.Tenor,"-",SUMPRODUCT($GA16:$GU16,$GA$4:$GU$4)*dm)</f>
        <v>0.94648504000702183</v>
      </c>
      <c r="GY16" s="381">
        <f ca="1">IF($AB16&gt;CDS.Tenor,"-",GX15-GX16)</f>
        <v>4.348013018329433E-3</v>
      </c>
    </row>
    <row r="17" spans="2:207" x14ac:dyDescent="0.3">
      <c r="B17" s="116" t="s">
        <v>117</v>
      </c>
      <c r="D17" s="152">
        <f>D9/10000</f>
        <v>0.01</v>
      </c>
      <c r="F17" s="350" t="s">
        <v>335</v>
      </c>
      <c r="G17" s="375">
        <v>30</v>
      </c>
      <c r="H17" s="350">
        <v>0</v>
      </c>
      <c r="I17" s="17"/>
      <c r="J17" s="156">
        <f t="shared" si="103"/>
        <v>3.25</v>
      </c>
      <c r="K17" s="28">
        <f>IF($J17&gt;CDS.Tenor,"-",CDS.PremiumSign*CDS.Notional*CDS.YearFraction*CDS.CreditSpread)</f>
        <v>-25000</v>
      </c>
      <c r="L17" s="10">
        <f ca="1">GX17</f>
        <v>0.94215690978215161</v>
      </c>
      <c r="M17" s="10">
        <f ca="1">IF($J17&gt;CDS.Tenor,"-",L16-L17)</f>
        <v>4.3281302248702191E-3</v>
      </c>
      <c r="N17" s="94" cm="1">
        <f t="array" ref="N17">IF($J17&gt;CDS.Tenor,"-",cubicInterpolation(CurveResults.Times,CurveResults.DFs,$J17))</f>
        <v>0.87078171535403615</v>
      </c>
      <c r="O17" s="28">
        <f ca="1">IF($J17&gt;CDS.Tenor,"-",K17*L17*N17)</f>
        <v>-20510.325250818998</v>
      </c>
      <c r="P17" s="28">
        <f ca="1">IF($J17&gt;CDS.Tenor,"-",0.5*K17*M17*N17)</f>
        <v>-47.110708268601741</v>
      </c>
      <c r="Q17" s="142">
        <f ca="1">IF($J17&gt;CDS.Tenor,"-",O17+P17)</f>
        <v>-20557.435959087601</v>
      </c>
      <c r="T17" s="156">
        <f t="shared" si="104"/>
        <v>3.25</v>
      </c>
      <c r="U17" s="28">
        <f>IF($J17&gt;CDS.Tenor,"-",CDS.ProtectionSign*CDS.Notional*(1-CDS.RecoveryRate))</f>
        <v>6000000</v>
      </c>
      <c r="V17" s="10">
        <f ca="1">IF($J17&gt;CDS.Tenor,"-",GX17)</f>
        <v>0.94215690978215161</v>
      </c>
      <c r="W17" s="10">
        <f ca="1">IF($J17&gt;CDS.Tenor,"-",V16-V17)</f>
        <v>4.3281302248702191E-3</v>
      </c>
      <c r="X17" s="94" cm="1">
        <f t="array" ref="X17">IF($T17&gt;CDS.Tenor,"-",cubicInterpolation(CurveResults.Times,CurveResults.DFs,$J17))</f>
        <v>0.87078171535403615</v>
      </c>
      <c r="Y17" s="142">
        <f ca="1">IF($J17&gt;CDS.Tenor,"-",U17*W17*X17)</f>
        <v>22613.139968928837</v>
      </c>
      <c r="AA17" s="18"/>
      <c r="AB17" s="156">
        <f t="shared" si="105"/>
        <v>3.25</v>
      </c>
      <c r="AC17" s="352" cm="1">
        <f t="array" aca="1" ref="AC17" ca="1">IF($AB17&gt;CDS.Tenor,"-",flatInterpolation(AA17,INDIRECT(HazardRateTimes1),INDIRECT(HazardRateValues1)))</f>
        <v>5.0000000000000001E-3</v>
      </c>
      <c r="AD17" s="10">
        <f t="shared" ca="1" si="106"/>
        <v>0.98388131897668796</v>
      </c>
      <c r="AE17" s="10">
        <f t="shared" ca="1" si="107"/>
        <v>1.6118681023312043E-2</v>
      </c>
      <c r="AF17" s="360">
        <f ca="1">IF($AB17&gt;CDS.Tenor,"-",NORMSINV(AE17))</f>
        <v>-2.1414550202456542</v>
      </c>
      <c r="AG17" s="360"/>
      <c r="AH17" s="370">
        <f t="shared" si="108"/>
        <v>3.25</v>
      </c>
      <c r="AI17" s="366">
        <f ca="1">IF($AB17&gt;CDS.Tenor,"-",_xlfn.NORM.S.DIST(($AF17-SQRT(ImpliedCorrelation)*AI$3)/SQRT(1-ImpliedCorrelation),TRUE))</f>
        <v>1.611868102331207E-2</v>
      </c>
      <c r="AJ17" s="366">
        <f ca="1">IF($AB17&gt;CDS.Tenor,"-",_xlfn.NORM.S.DIST(($AF17-SQRT(ImpliedCorrelation)*AJ$3)/SQRT(1-ImpliedCorrelation),TRUE))</f>
        <v>1.611868102331207E-2</v>
      </c>
      <c r="AK17" s="366">
        <f ca="1">IF($AB17&gt;CDS.Tenor,"-",_xlfn.NORM.S.DIST(($AF17-SQRT(ImpliedCorrelation)*AK$3)/SQRT(1-ImpliedCorrelation),TRUE))</f>
        <v>1.611868102331207E-2</v>
      </c>
      <c r="AL17" s="366">
        <f ca="1">IF($AB17&gt;CDS.Tenor,"-",_xlfn.NORM.S.DIST(($AF17-SQRT(ImpliedCorrelation)*AL$3)/SQRT(1-ImpliedCorrelation),TRUE))</f>
        <v>1.611868102331207E-2</v>
      </c>
      <c r="AM17" s="366">
        <f ca="1">IF($AB17&gt;CDS.Tenor,"-",_xlfn.NORM.S.DIST(($AF17-SQRT(ImpliedCorrelation)*AM$3)/SQRT(1-ImpliedCorrelation),TRUE))</f>
        <v>1.611868102331207E-2</v>
      </c>
      <c r="AN17" s="366">
        <f ca="1">IF($AB17&gt;CDS.Tenor,"-",_xlfn.NORM.S.DIST(($AF17-SQRT(ImpliedCorrelation)*AN$3)/SQRT(1-ImpliedCorrelation),TRUE))</f>
        <v>1.611868102331207E-2</v>
      </c>
      <c r="AO17" s="366">
        <f ca="1">IF($AB17&gt;CDS.Tenor,"-",_xlfn.NORM.S.DIST(($AF17-SQRT(ImpliedCorrelation)*AO$3)/SQRT(1-ImpliedCorrelation),TRUE))</f>
        <v>1.611868102331207E-2</v>
      </c>
      <c r="AP17" s="366">
        <f ca="1">IF($AB17&gt;CDS.Tenor,"-",_xlfn.NORM.S.DIST(($AF17-SQRT(ImpliedCorrelation)*AP$3)/SQRT(1-ImpliedCorrelation),TRUE))</f>
        <v>1.611868102331207E-2</v>
      </c>
      <c r="AQ17" s="366">
        <f ca="1">IF($AB17&gt;CDS.Tenor,"-",_xlfn.NORM.S.DIST(($AF17-SQRT(ImpliedCorrelation)*AQ$3)/SQRT(1-ImpliedCorrelation),TRUE))</f>
        <v>1.611868102331207E-2</v>
      </c>
      <c r="AR17" s="366">
        <f ca="1">IF($AB17&gt;CDS.Tenor,"-",_xlfn.NORM.S.DIST(($AF17-SQRT(ImpliedCorrelation)*AR$3)/SQRT(1-ImpliedCorrelation),TRUE))</f>
        <v>1.611868102331207E-2</v>
      </c>
      <c r="AS17" s="366">
        <f ca="1">IF($AB17&gt;CDS.Tenor,"-",_xlfn.NORM.S.DIST(($AF17-SQRT(ImpliedCorrelation)*AS$3)/SQRT(1-ImpliedCorrelation),TRUE))</f>
        <v>1.611868102331207E-2</v>
      </c>
      <c r="AT17" s="366">
        <f ca="1">IF($AB17&gt;CDS.Tenor,"-",_xlfn.NORM.S.DIST(($AF17-SQRT(ImpliedCorrelation)*AT$3)/SQRT(1-ImpliedCorrelation),TRUE))</f>
        <v>1.611868102331207E-2</v>
      </c>
      <c r="AU17" s="366">
        <f ca="1">IF($AB17&gt;CDS.Tenor,"-",_xlfn.NORM.S.DIST(($AF17-SQRT(ImpliedCorrelation)*AU$3)/SQRT(1-ImpliedCorrelation),TRUE))</f>
        <v>1.611868102331207E-2</v>
      </c>
      <c r="AV17" s="366">
        <f ca="1">IF($AB17&gt;CDS.Tenor,"-",_xlfn.NORM.S.DIST(($AF17-SQRT(ImpliedCorrelation)*AV$3)/SQRT(1-ImpliedCorrelation),TRUE))</f>
        <v>1.611868102331207E-2</v>
      </c>
      <c r="AW17" s="366">
        <f ca="1">IF($AB17&gt;CDS.Tenor,"-",_xlfn.NORM.S.DIST(($AF17-SQRT(ImpliedCorrelation)*AW$3)/SQRT(1-ImpliedCorrelation),TRUE))</f>
        <v>1.611868102331207E-2</v>
      </c>
      <c r="AX17" s="366">
        <f ca="1">IF($AB17&gt;CDS.Tenor,"-",_xlfn.NORM.S.DIST(($AF17-SQRT(ImpliedCorrelation)*AX$3)/SQRT(1-ImpliedCorrelation),TRUE))</f>
        <v>1.611868102331207E-2</v>
      </c>
      <c r="AY17" s="366">
        <f ca="1">IF($AB17&gt;CDS.Tenor,"-",_xlfn.NORM.S.DIST(($AF17-SQRT(ImpliedCorrelation)*AY$3)/SQRT(1-ImpliedCorrelation),TRUE))</f>
        <v>1.611868102331207E-2</v>
      </c>
      <c r="AZ17" s="366">
        <f ca="1">IF($AB17&gt;CDS.Tenor,"-",_xlfn.NORM.S.DIST(($AF17-SQRT(ImpliedCorrelation)*AZ$3)/SQRT(1-ImpliedCorrelation),TRUE))</f>
        <v>1.611868102331207E-2</v>
      </c>
      <c r="BA17" s="366">
        <f ca="1">IF($AB17&gt;CDS.Tenor,"-",_xlfn.NORM.S.DIST(($AF17-SQRT(ImpliedCorrelation)*BA$3)/SQRT(1-ImpliedCorrelation),TRUE))</f>
        <v>1.611868102331207E-2</v>
      </c>
      <c r="BB17" s="366">
        <f ca="1">IF($AB17&gt;CDS.Tenor,"-",_xlfn.NORM.S.DIST(($AF17-SQRT(ImpliedCorrelation)*BB$3)/SQRT(1-ImpliedCorrelation),TRUE))</f>
        <v>1.611868102331207E-2</v>
      </c>
      <c r="BC17" s="366">
        <f ca="1">IF($AB17&gt;CDS.Tenor,"-",_xlfn.NORM.S.DIST(($AF17-SQRT(ImpliedCorrelation)*BC$3)/SQRT(1-ImpliedCorrelation),TRUE))</f>
        <v>1.611868102331207E-2</v>
      </c>
      <c r="BD17" s="366"/>
      <c r="BE17" s="370">
        <f t="shared" si="109"/>
        <v>3.25</v>
      </c>
      <c r="BF17" s="366">
        <f ca="1">IF($AB17&gt;CDS.Tenor,"-",1-AI17)</f>
        <v>0.98388131897668796</v>
      </c>
      <c r="BG17" s="366">
        <f ca="1">IF($AB17&gt;CDS.Tenor,"-",1-AJ17)</f>
        <v>0.98388131897668796</v>
      </c>
      <c r="BH17" s="366">
        <f ca="1">IF($AB17&gt;CDS.Tenor,"-",1-AK17)</f>
        <v>0.98388131897668796</v>
      </c>
      <c r="BI17" s="366">
        <f ca="1">IF($AB17&gt;CDS.Tenor,"-",1-AL17)</f>
        <v>0.98388131897668796</v>
      </c>
      <c r="BJ17" s="366">
        <f ca="1">IF($AB17&gt;CDS.Tenor,"-",1-AM17)</f>
        <v>0.98388131897668796</v>
      </c>
      <c r="BK17" s="366">
        <f ca="1">IF($AB17&gt;CDS.Tenor,"-",1-AN17)</f>
        <v>0.98388131897668796</v>
      </c>
      <c r="BL17" s="366">
        <f ca="1">IF($AB17&gt;CDS.Tenor,"-",1-AO17)</f>
        <v>0.98388131897668796</v>
      </c>
      <c r="BM17" s="366">
        <f ca="1">IF($AB17&gt;CDS.Tenor,"-",1-AP17)</f>
        <v>0.98388131897668796</v>
      </c>
      <c r="BN17" s="366">
        <f ca="1">IF($AB17&gt;CDS.Tenor,"-",1-AQ17)</f>
        <v>0.98388131897668796</v>
      </c>
      <c r="BO17" s="366">
        <f ca="1">IF($AB17&gt;CDS.Tenor,"-",1-AR17)</f>
        <v>0.98388131897668796</v>
      </c>
      <c r="BP17" s="366">
        <f ca="1">IF($AB17&gt;CDS.Tenor,"-",1-AS17)</f>
        <v>0.98388131897668796</v>
      </c>
      <c r="BQ17" s="366">
        <f ca="1">IF($AB17&gt;CDS.Tenor,"-",1-AT17)</f>
        <v>0.98388131897668796</v>
      </c>
      <c r="BR17" s="366">
        <f ca="1">IF($AB17&gt;CDS.Tenor,"-",1-AU17)</f>
        <v>0.98388131897668796</v>
      </c>
      <c r="BS17" s="366">
        <f ca="1">IF($AB17&gt;CDS.Tenor,"-",1-AV17)</f>
        <v>0.98388131897668796</v>
      </c>
      <c r="BT17" s="366">
        <f ca="1">IF($AB17&gt;CDS.Tenor,"-",1-AW17)</f>
        <v>0.98388131897668796</v>
      </c>
      <c r="BU17" s="366">
        <f ca="1">IF($AB17&gt;CDS.Tenor,"-",1-AX17)</f>
        <v>0.98388131897668796</v>
      </c>
      <c r="BV17" s="366">
        <f ca="1">IF($AB17&gt;CDS.Tenor,"-",1-AY17)</f>
        <v>0.98388131897668796</v>
      </c>
      <c r="BW17" s="366">
        <f ca="1">IF($AB17&gt;CDS.Tenor,"-",1-AZ17)</f>
        <v>0.98388131897668796</v>
      </c>
      <c r="BX17" s="366">
        <f ca="1">IF($AB17&gt;CDS.Tenor,"-",1-BA17)</f>
        <v>0.98388131897668796</v>
      </c>
      <c r="BY17" s="366">
        <f ca="1">IF($AB17&gt;CDS.Tenor,"-",1-BB17)</f>
        <v>0.98388131897668796</v>
      </c>
      <c r="BZ17" s="366">
        <f ca="1">IF($AB17&gt;CDS.Tenor,"-",1-BC17)</f>
        <v>0.98388131897668796</v>
      </c>
      <c r="CA17" s="17"/>
      <c r="CB17" s="352" cm="1">
        <f t="array" aca="1" ref="CB17" ca="1">IF($AB17&gt;CDS.Tenor,"-",flatInterpolation(AB17,INDIRECT(HazardRateTimes2),INDIRECT(HazardRateValues2)))</f>
        <v>5.8333333333333336E-3</v>
      </c>
      <c r="CC17" s="10">
        <f t="shared" ca="1" si="110"/>
        <v>0.98122024556796283</v>
      </c>
      <c r="CD17" s="10">
        <f t="shared" ca="1" si="111"/>
        <v>1.8779754432037166E-2</v>
      </c>
      <c r="CE17" s="81">
        <f t="shared" ca="1" si="112"/>
        <v>-2.0796297196277695</v>
      </c>
      <c r="CF17" s="360"/>
      <c r="CG17" s="370">
        <f t="shared" si="113"/>
        <v>3.25</v>
      </c>
      <c r="CH17" s="366">
        <f ca="1">IF($AB17&gt;CDS.Tenor,"-",_xlfn.NORM.S.DIST(($CE17-SQRT(ImpliedCorrelation)*CH$3)/SQRT(1-ImpliedCorrelation),TRUE))</f>
        <v>1.8779754432037176E-2</v>
      </c>
      <c r="CI17" s="366">
        <f ca="1">IF($AB17&gt;CDS.Tenor,"-",_xlfn.NORM.S.DIST(($CE17-SQRT(ImpliedCorrelation)*CI$3)/SQRT(1-ImpliedCorrelation),TRUE))</f>
        <v>1.8779754432037176E-2</v>
      </c>
      <c r="CJ17" s="366">
        <f ca="1">IF($AB17&gt;CDS.Tenor,"-",_xlfn.NORM.S.DIST(($CE17-SQRT(ImpliedCorrelation)*CJ$3)/SQRT(1-ImpliedCorrelation),TRUE))</f>
        <v>1.8779754432037176E-2</v>
      </c>
      <c r="CK17" s="366">
        <f ca="1">IF($AB17&gt;CDS.Tenor,"-",_xlfn.NORM.S.DIST(($CE17-SQRT(ImpliedCorrelation)*CK$3)/SQRT(1-ImpliedCorrelation),TRUE))</f>
        <v>1.8779754432037176E-2</v>
      </c>
      <c r="CL17" s="366">
        <f ca="1">IF($AB17&gt;CDS.Tenor,"-",_xlfn.NORM.S.DIST(($CE17-SQRT(ImpliedCorrelation)*CL$3)/SQRT(1-ImpliedCorrelation),TRUE))</f>
        <v>1.8779754432037176E-2</v>
      </c>
      <c r="CM17" s="366">
        <f ca="1">IF($AB17&gt;CDS.Tenor,"-",_xlfn.NORM.S.DIST(($CE17-SQRT(ImpliedCorrelation)*CM$3)/SQRT(1-ImpliedCorrelation),TRUE))</f>
        <v>1.8779754432037176E-2</v>
      </c>
      <c r="CN17" s="366">
        <f ca="1">IF($AB17&gt;CDS.Tenor,"-",_xlfn.NORM.S.DIST(($CE17-SQRT(ImpliedCorrelation)*CN$3)/SQRT(1-ImpliedCorrelation),TRUE))</f>
        <v>1.8779754432037176E-2</v>
      </c>
      <c r="CO17" s="366">
        <f ca="1">IF($AB17&gt;CDS.Tenor,"-",_xlfn.NORM.S.DIST(($CE17-SQRT(ImpliedCorrelation)*CO$3)/SQRT(1-ImpliedCorrelation),TRUE))</f>
        <v>1.8779754432037176E-2</v>
      </c>
      <c r="CP17" s="366">
        <f ca="1">IF($AB17&gt;CDS.Tenor,"-",_xlfn.NORM.S.DIST(($CE17-SQRT(ImpliedCorrelation)*CP$3)/SQRT(1-ImpliedCorrelation),TRUE))</f>
        <v>1.8779754432037176E-2</v>
      </c>
      <c r="CQ17" s="366">
        <f ca="1">IF($AB17&gt;CDS.Tenor,"-",_xlfn.NORM.S.DIST(($CE17-SQRT(ImpliedCorrelation)*CQ$3)/SQRT(1-ImpliedCorrelation),TRUE))</f>
        <v>1.8779754432037176E-2</v>
      </c>
      <c r="CR17" s="366">
        <f ca="1">IF($AB17&gt;CDS.Tenor,"-",_xlfn.NORM.S.DIST(($CE17-SQRT(ImpliedCorrelation)*CR$3)/SQRT(1-ImpliedCorrelation),TRUE))</f>
        <v>1.8779754432037176E-2</v>
      </c>
      <c r="CS17" s="366">
        <f ca="1">IF($AB17&gt;CDS.Tenor,"-",_xlfn.NORM.S.DIST(($CE17-SQRT(ImpliedCorrelation)*CS$3)/SQRT(1-ImpliedCorrelation),TRUE))</f>
        <v>1.8779754432037176E-2</v>
      </c>
      <c r="CT17" s="366">
        <f ca="1">IF($AB17&gt;CDS.Tenor,"-",_xlfn.NORM.S.DIST(($CE17-SQRT(ImpliedCorrelation)*CT$3)/SQRT(1-ImpliedCorrelation),TRUE))</f>
        <v>1.8779754432037176E-2</v>
      </c>
      <c r="CU17" s="366">
        <f ca="1">IF($AB17&gt;CDS.Tenor,"-",_xlfn.NORM.S.DIST(($CE17-SQRT(ImpliedCorrelation)*CU$3)/SQRT(1-ImpliedCorrelation),TRUE))</f>
        <v>1.8779754432037176E-2</v>
      </c>
      <c r="CV17" s="366">
        <f ca="1">IF($AB17&gt;CDS.Tenor,"-",_xlfn.NORM.S.DIST(($CE17-SQRT(ImpliedCorrelation)*CV$3)/SQRT(1-ImpliedCorrelation),TRUE))</f>
        <v>1.8779754432037176E-2</v>
      </c>
      <c r="CW17" s="366">
        <f ca="1">IF($AB17&gt;CDS.Tenor,"-",_xlfn.NORM.S.DIST(($CE17-SQRT(ImpliedCorrelation)*CW$3)/SQRT(1-ImpliedCorrelation),TRUE))</f>
        <v>1.8779754432037176E-2</v>
      </c>
      <c r="CX17" s="366">
        <f ca="1">IF($AB17&gt;CDS.Tenor,"-",_xlfn.NORM.S.DIST(($CE17-SQRT(ImpliedCorrelation)*CX$3)/SQRT(1-ImpliedCorrelation),TRUE))</f>
        <v>1.8779754432037176E-2</v>
      </c>
      <c r="CY17" s="366">
        <f ca="1">IF($AB17&gt;CDS.Tenor,"-",_xlfn.NORM.S.DIST(($CE17-SQRT(ImpliedCorrelation)*CY$3)/SQRT(1-ImpliedCorrelation),TRUE))</f>
        <v>1.8779754432037176E-2</v>
      </c>
      <c r="CZ17" s="366">
        <f ca="1">IF($AB17&gt;CDS.Tenor,"-",_xlfn.NORM.S.DIST(($CE17-SQRT(ImpliedCorrelation)*CZ$3)/SQRT(1-ImpliedCorrelation),TRUE))</f>
        <v>1.8779754432037176E-2</v>
      </c>
      <c r="DA17" s="366">
        <f ca="1">IF($AB17&gt;CDS.Tenor,"-",_xlfn.NORM.S.DIST(($CE17-SQRT(ImpliedCorrelation)*DA$3)/SQRT(1-ImpliedCorrelation),TRUE))</f>
        <v>1.8779754432037176E-2</v>
      </c>
      <c r="DB17" s="366">
        <f ca="1">IF($AB17&gt;CDS.Tenor,"-",_xlfn.NORM.S.DIST(($CE17-SQRT(ImpliedCorrelation)*DB$3)/SQRT(1-ImpliedCorrelation),TRUE))</f>
        <v>1.8779754432037176E-2</v>
      </c>
      <c r="DC17" s="366"/>
      <c r="DD17" s="370">
        <f t="shared" si="114"/>
        <v>3.25</v>
      </c>
      <c r="DE17" s="366">
        <f ca="1">IF($AB17&gt;CDS.Tenor,"-",1-CH17)</f>
        <v>0.98122024556796283</v>
      </c>
      <c r="DF17" s="366">
        <f ca="1">IF($AB17&gt;CDS.Tenor,"-",1-CI17)</f>
        <v>0.98122024556796283</v>
      </c>
      <c r="DG17" s="366">
        <f ca="1">IF($AB17&gt;CDS.Tenor,"-",1-CJ17)</f>
        <v>0.98122024556796283</v>
      </c>
      <c r="DH17" s="366">
        <f ca="1">IF($AB17&gt;CDS.Tenor,"-",1-CK17)</f>
        <v>0.98122024556796283</v>
      </c>
      <c r="DI17" s="366">
        <f ca="1">IF($AB17&gt;CDS.Tenor,"-",1-CL17)</f>
        <v>0.98122024556796283</v>
      </c>
      <c r="DJ17" s="366">
        <f ca="1">IF($AB17&gt;CDS.Tenor,"-",1-CM17)</f>
        <v>0.98122024556796283</v>
      </c>
      <c r="DK17" s="366">
        <f ca="1">IF($AB17&gt;CDS.Tenor,"-",1-CN17)</f>
        <v>0.98122024556796283</v>
      </c>
      <c r="DL17" s="366">
        <f ca="1">IF($AB17&gt;CDS.Tenor,"-",1-CO17)</f>
        <v>0.98122024556796283</v>
      </c>
      <c r="DM17" s="366">
        <f ca="1">IF($AB17&gt;CDS.Tenor,"-",1-CP17)</f>
        <v>0.98122024556796283</v>
      </c>
      <c r="DN17" s="366">
        <f ca="1">IF($AB17&gt;CDS.Tenor,"-",1-CQ17)</f>
        <v>0.98122024556796283</v>
      </c>
      <c r="DO17" s="366">
        <f ca="1">IF($AB17&gt;CDS.Tenor,"-",1-CR17)</f>
        <v>0.98122024556796283</v>
      </c>
      <c r="DP17" s="366">
        <f ca="1">IF($AB17&gt;CDS.Tenor,"-",1-CS17)</f>
        <v>0.98122024556796283</v>
      </c>
      <c r="DQ17" s="366">
        <f ca="1">IF($AB17&gt;CDS.Tenor,"-",1-CT17)</f>
        <v>0.98122024556796283</v>
      </c>
      <c r="DR17" s="366">
        <f ca="1">IF($AB17&gt;CDS.Tenor,"-",1-CU17)</f>
        <v>0.98122024556796283</v>
      </c>
      <c r="DS17" s="366">
        <f ca="1">IF($AB17&gt;CDS.Tenor,"-",1-CV17)</f>
        <v>0.98122024556796283</v>
      </c>
      <c r="DT17" s="366">
        <f ca="1">IF($AB17&gt;CDS.Tenor,"-",1-CW17)</f>
        <v>0.98122024556796283</v>
      </c>
      <c r="DU17" s="366">
        <f ca="1">IF($AB17&gt;CDS.Tenor,"-",1-CX17)</f>
        <v>0.98122024556796283</v>
      </c>
      <c r="DV17" s="366">
        <f ca="1">IF($AB17&gt;CDS.Tenor,"-",1-CY17)</f>
        <v>0.98122024556796283</v>
      </c>
      <c r="DW17" s="366">
        <f ca="1">IF($AB17&gt;CDS.Tenor,"-",1-CZ17)</f>
        <v>0.98122024556796283</v>
      </c>
      <c r="DX17" s="366">
        <f ca="1">IF($AB17&gt;CDS.Tenor,"-",1-DA17)</f>
        <v>0.98122024556796283</v>
      </c>
      <c r="DY17" s="362">
        <f ca="1">IF($AB17&gt;CDS.Tenor,"-",1-DB17)</f>
        <v>0.98122024556796283</v>
      </c>
      <c r="DZ17" s="360"/>
      <c r="EA17" s="352" cm="1">
        <f t="array" aca="1" ref="EA17" ca="1">IF($AB17&gt;CDS.Tenor,"-",flatInterpolation(CC17,INDIRECT(HazardRateTimes3),INDIRECT(HazardRateValues3)))</f>
        <v>7.4999999999999997E-3</v>
      </c>
      <c r="EB17" s="10">
        <f t="shared" ca="1" si="115"/>
        <v>0.9759196712532594</v>
      </c>
      <c r="EC17" s="10">
        <f t="shared" ca="1" si="116"/>
        <v>2.4080328746740598E-2</v>
      </c>
      <c r="ED17" s="81">
        <f t="shared" ca="1" si="117"/>
        <v>-1.9759480836236822</v>
      </c>
      <c r="EE17" s="18"/>
      <c r="EF17" s="370">
        <f t="shared" si="118"/>
        <v>3.25</v>
      </c>
      <c r="EG17" s="366">
        <f ca="1">IF($AB17&gt;CDS.Tenor,"-",_xlfn.NORM.S.DIST(($ED17-SQRT(ImpliedCorrelation)*EG$3)/SQRT(1-ImpliedCorrelation),TRUE))</f>
        <v>2.4080328746740595E-2</v>
      </c>
      <c r="EH17" s="366">
        <f ca="1">IF($AB17&gt;CDS.Tenor,"-",_xlfn.NORM.S.DIST(($ED17-SQRT(ImpliedCorrelation)*EH$3)/SQRT(1-ImpliedCorrelation),TRUE))</f>
        <v>2.4080328746740595E-2</v>
      </c>
      <c r="EI17" s="366">
        <f ca="1">IF($AB17&gt;CDS.Tenor,"-",_xlfn.NORM.S.DIST(($ED17-SQRT(ImpliedCorrelation)*EI$3)/SQRT(1-ImpliedCorrelation),TRUE))</f>
        <v>2.4080328746740595E-2</v>
      </c>
      <c r="EJ17" s="366">
        <f ca="1">IF($AB17&gt;CDS.Tenor,"-",_xlfn.NORM.S.DIST(($ED17-SQRT(ImpliedCorrelation)*EJ$3)/SQRT(1-ImpliedCorrelation),TRUE))</f>
        <v>2.4080328746740595E-2</v>
      </c>
      <c r="EK17" s="366">
        <f ca="1">IF($AB17&gt;CDS.Tenor,"-",_xlfn.NORM.S.DIST(($ED17-SQRT(ImpliedCorrelation)*EK$3)/SQRT(1-ImpliedCorrelation),TRUE))</f>
        <v>2.4080328746740595E-2</v>
      </c>
      <c r="EL17" s="366">
        <f ca="1">IF($AB17&gt;CDS.Tenor,"-",_xlfn.NORM.S.DIST(($ED17-SQRT(ImpliedCorrelation)*EL$3)/SQRT(1-ImpliedCorrelation),TRUE))</f>
        <v>2.4080328746740595E-2</v>
      </c>
      <c r="EM17" s="366">
        <f ca="1">IF($AB17&gt;CDS.Tenor,"-",_xlfn.NORM.S.DIST(($ED17-SQRT(ImpliedCorrelation)*EM$3)/SQRT(1-ImpliedCorrelation),TRUE))</f>
        <v>2.4080328746740595E-2</v>
      </c>
      <c r="EN17" s="366">
        <f ca="1">IF($AB17&gt;CDS.Tenor,"-",_xlfn.NORM.S.DIST(($ED17-SQRT(ImpliedCorrelation)*EN$3)/SQRT(1-ImpliedCorrelation),TRUE))</f>
        <v>2.4080328746740595E-2</v>
      </c>
      <c r="EO17" s="366">
        <f ca="1">IF($AB17&gt;CDS.Tenor,"-",_xlfn.NORM.S.DIST(($ED17-SQRT(ImpliedCorrelation)*EO$3)/SQRT(1-ImpliedCorrelation),TRUE))</f>
        <v>2.4080328746740595E-2</v>
      </c>
      <c r="EP17" s="366">
        <f ca="1">IF($AB17&gt;CDS.Tenor,"-",_xlfn.NORM.S.DIST(($ED17-SQRT(ImpliedCorrelation)*EP$3)/SQRT(1-ImpliedCorrelation),TRUE))</f>
        <v>2.4080328746740595E-2</v>
      </c>
      <c r="EQ17" s="366">
        <f ca="1">IF($AB17&gt;CDS.Tenor,"-",_xlfn.NORM.S.DIST(($ED17-SQRT(ImpliedCorrelation)*EQ$3)/SQRT(1-ImpliedCorrelation),TRUE))</f>
        <v>2.4080328746740595E-2</v>
      </c>
      <c r="ER17" s="366">
        <f ca="1">IF($AB17&gt;CDS.Tenor,"-",_xlfn.NORM.S.DIST(($ED17-SQRT(ImpliedCorrelation)*ER$3)/SQRT(1-ImpliedCorrelation),TRUE))</f>
        <v>2.4080328746740595E-2</v>
      </c>
      <c r="ES17" s="366">
        <f ca="1">IF($AB17&gt;CDS.Tenor,"-",_xlfn.NORM.S.DIST(($ED17-SQRT(ImpliedCorrelation)*ES$3)/SQRT(1-ImpliedCorrelation),TRUE))</f>
        <v>2.4080328746740595E-2</v>
      </c>
      <c r="ET17" s="366">
        <f ca="1">IF($AB17&gt;CDS.Tenor,"-",_xlfn.NORM.S.DIST(($ED17-SQRT(ImpliedCorrelation)*ET$3)/SQRT(1-ImpliedCorrelation),TRUE))</f>
        <v>2.4080328746740595E-2</v>
      </c>
      <c r="EU17" s="366">
        <f ca="1">IF($AB17&gt;CDS.Tenor,"-",_xlfn.NORM.S.DIST(($ED17-SQRT(ImpliedCorrelation)*EU$3)/SQRT(1-ImpliedCorrelation),TRUE))</f>
        <v>2.4080328746740595E-2</v>
      </c>
      <c r="EV17" s="366">
        <f ca="1">IF($AB17&gt;CDS.Tenor,"-",_xlfn.NORM.S.DIST(($ED17-SQRT(ImpliedCorrelation)*EV$3)/SQRT(1-ImpliedCorrelation),TRUE))</f>
        <v>2.4080328746740595E-2</v>
      </c>
      <c r="EW17" s="366">
        <f ca="1">IF($AB17&gt;CDS.Tenor,"-",_xlfn.NORM.S.DIST(($ED17-SQRT(ImpliedCorrelation)*EW$3)/SQRT(1-ImpliedCorrelation),TRUE))</f>
        <v>2.4080328746740595E-2</v>
      </c>
      <c r="EX17" s="366">
        <f ca="1">IF($AB17&gt;CDS.Tenor,"-",_xlfn.NORM.S.DIST(($ED17-SQRT(ImpliedCorrelation)*EX$3)/SQRT(1-ImpliedCorrelation),TRUE))</f>
        <v>2.4080328746740595E-2</v>
      </c>
      <c r="EY17" s="366">
        <f ca="1">IF($AB17&gt;CDS.Tenor,"-",_xlfn.NORM.S.DIST(($ED17-SQRT(ImpliedCorrelation)*EY$3)/SQRT(1-ImpliedCorrelation),TRUE))</f>
        <v>2.4080328746740595E-2</v>
      </c>
      <c r="EZ17" s="366">
        <f ca="1">IF($AB17&gt;CDS.Tenor,"-",_xlfn.NORM.S.DIST(($ED17-SQRT(ImpliedCorrelation)*EZ$3)/SQRT(1-ImpliedCorrelation),TRUE))</f>
        <v>2.4080328746740595E-2</v>
      </c>
      <c r="FA17" s="366">
        <f ca="1">IF($AB17&gt;CDS.Tenor,"-",_xlfn.NORM.S.DIST(($ED17-SQRT(ImpliedCorrelation)*FA$3)/SQRT(1-ImpliedCorrelation),TRUE))</f>
        <v>2.4080328746740595E-2</v>
      </c>
      <c r="FB17" s="366"/>
      <c r="FC17" s="370">
        <f t="shared" si="119"/>
        <v>3.25</v>
      </c>
      <c r="FD17" s="366">
        <f ca="1">IF($AB17&gt;CDS.Tenor,"-",1-EG17)</f>
        <v>0.9759196712532594</v>
      </c>
      <c r="FE17" s="366">
        <f ca="1">IF($AB17&gt;CDS.Tenor,"-",1-EH17)</f>
        <v>0.9759196712532594</v>
      </c>
      <c r="FF17" s="366">
        <f ca="1">IF($AB17&gt;CDS.Tenor,"-",1-EI17)</f>
        <v>0.9759196712532594</v>
      </c>
      <c r="FG17" s="366">
        <f ca="1">IF($AB17&gt;CDS.Tenor,"-",1-EJ17)</f>
        <v>0.9759196712532594</v>
      </c>
      <c r="FH17" s="366">
        <f ca="1">IF($AB17&gt;CDS.Tenor,"-",1-EK17)</f>
        <v>0.9759196712532594</v>
      </c>
      <c r="FI17" s="366">
        <f ca="1">IF($AB17&gt;CDS.Tenor,"-",1-EL17)</f>
        <v>0.9759196712532594</v>
      </c>
      <c r="FJ17" s="366">
        <f ca="1">IF($AB17&gt;CDS.Tenor,"-",1-EM17)</f>
        <v>0.9759196712532594</v>
      </c>
      <c r="FK17" s="366">
        <f ca="1">IF($AB17&gt;CDS.Tenor,"-",1-EN17)</f>
        <v>0.9759196712532594</v>
      </c>
      <c r="FL17" s="366">
        <f ca="1">IF($AB17&gt;CDS.Tenor,"-",1-EO17)</f>
        <v>0.9759196712532594</v>
      </c>
      <c r="FM17" s="366">
        <f ca="1">IF($AB17&gt;CDS.Tenor,"-",1-EP17)</f>
        <v>0.9759196712532594</v>
      </c>
      <c r="FN17" s="366">
        <f ca="1">IF($AB17&gt;CDS.Tenor,"-",1-EQ17)</f>
        <v>0.9759196712532594</v>
      </c>
      <c r="FO17" s="366">
        <f ca="1">IF($AB17&gt;CDS.Tenor,"-",1-ER17)</f>
        <v>0.9759196712532594</v>
      </c>
      <c r="FP17" s="366">
        <f ca="1">IF($AB17&gt;CDS.Tenor,"-",1-ES17)</f>
        <v>0.9759196712532594</v>
      </c>
      <c r="FQ17" s="366">
        <f ca="1">IF($AB17&gt;CDS.Tenor,"-",1-ET17)</f>
        <v>0.9759196712532594</v>
      </c>
      <c r="FR17" s="366">
        <f ca="1">IF($AB17&gt;CDS.Tenor,"-",1-EU17)</f>
        <v>0.9759196712532594</v>
      </c>
      <c r="FS17" s="366">
        <f ca="1">IF($AB17&gt;CDS.Tenor,"-",1-EV17)</f>
        <v>0.9759196712532594</v>
      </c>
      <c r="FT17" s="366">
        <f ca="1">IF($AB17&gt;CDS.Tenor,"-",1-EW17)</f>
        <v>0.9759196712532594</v>
      </c>
      <c r="FU17" s="366">
        <f ca="1">IF($AB17&gt;CDS.Tenor,"-",1-EX17)</f>
        <v>0.9759196712532594</v>
      </c>
      <c r="FV17" s="366">
        <f ca="1">IF($AB17&gt;CDS.Tenor,"-",1-EY17)</f>
        <v>0.9759196712532594</v>
      </c>
      <c r="FW17" s="366">
        <f ca="1">IF($AB17&gt;CDS.Tenor,"-",1-EZ17)</f>
        <v>0.9759196712532594</v>
      </c>
      <c r="FX17" s="362">
        <f ca="1">IF($AB17&gt;CDS.Tenor,"-",1-FA17)</f>
        <v>0.9759196712532594</v>
      </c>
      <c r="FZ17" s="370">
        <f t="shared" si="120"/>
        <v>3.25</v>
      </c>
      <c r="GA17" s="366">
        <f ca="1">IF($AB17&gt;CDS.Tenor,"-",BF17*DE17*FD17)</f>
        <v>0.9421570172349919</v>
      </c>
      <c r="GB17" s="366">
        <f ca="1">IF($AB17&gt;CDS.Tenor,"-",BG17*DF17*FE17)</f>
        <v>0.9421570172349919</v>
      </c>
      <c r="GC17" s="366">
        <f ca="1">IF($AB17&gt;CDS.Tenor,"-",BH17*DG17*FF17)</f>
        <v>0.9421570172349919</v>
      </c>
      <c r="GD17" s="366">
        <f ca="1">IF($AB17&gt;CDS.Tenor,"-",BI17*DH17*FG17)</f>
        <v>0.9421570172349919</v>
      </c>
      <c r="GE17" s="366">
        <f ca="1">IF($AB17&gt;CDS.Tenor,"-",BJ17*DI17*FH17)</f>
        <v>0.9421570172349919</v>
      </c>
      <c r="GF17" s="366">
        <f ca="1">IF($AB17&gt;CDS.Tenor,"-",BK17*DJ17*FI17)</f>
        <v>0.9421570172349919</v>
      </c>
      <c r="GG17" s="366">
        <f ca="1">IF($AB17&gt;CDS.Tenor,"-",BL17*DK17*FJ17)</f>
        <v>0.9421570172349919</v>
      </c>
      <c r="GH17" s="366">
        <f ca="1">IF($AB17&gt;CDS.Tenor,"-",BM17*DL17*FK17)</f>
        <v>0.9421570172349919</v>
      </c>
      <c r="GI17" s="366">
        <f ca="1">IF($AB17&gt;CDS.Tenor,"-",BN17*DM17*FL17)</f>
        <v>0.9421570172349919</v>
      </c>
      <c r="GJ17" s="366">
        <f ca="1">IF($AB17&gt;CDS.Tenor,"-",BO17*DN17*FM17)</f>
        <v>0.9421570172349919</v>
      </c>
      <c r="GK17" s="366">
        <f ca="1">IF($AB17&gt;CDS.Tenor,"-",BP17*DO17*FN17)</f>
        <v>0.9421570172349919</v>
      </c>
      <c r="GL17" s="366">
        <f ca="1">IF($AB17&gt;CDS.Tenor,"-",BQ17*DP17*FO17)</f>
        <v>0.9421570172349919</v>
      </c>
      <c r="GM17" s="366">
        <f ca="1">IF($AB17&gt;CDS.Tenor,"-",BR17*DQ17*FP17)</f>
        <v>0.9421570172349919</v>
      </c>
      <c r="GN17" s="366">
        <f ca="1">IF($AB17&gt;CDS.Tenor,"-",BS17*DR17*FQ17)</f>
        <v>0.9421570172349919</v>
      </c>
      <c r="GO17" s="366">
        <f ca="1">IF($AB17&gt;CDS.Tenor,"-",BT17*DS17*FR17)</f>
        <v>0.9421570172349919</v>
      </c>
      <c r="GP17" s="366">
        <f ca="1">IF($AB17&gt;CDS.Tenor,"-",BU17*DT17*FS17)</f>
        <v>0.9421570172349919</v>
      </c>
      <c r="GQ17" s="366">
        <f ca="1">IF($AB17&gt;CDS.Tenor,"-",BV17*DU17*FT17)</f>
        <v>0.9421570172349919</v>
      </c>
      <c r="GR17" s="366">
        <f ca="1">IF($AB17&gt;CDS.Tenor,"-",BW17*DV17*FU17)</f>
        <v>0.9421570172349919</v>
      </c>
      <c r="GS17" s="366">
        <f ca="1">IF($AB17&gt;CDS.Tenor,"-",BX17*DW17*FV17)</f>
        <v>0.9421570172349919</v>
      </c>
      <c r="GT17" s="366">
        <f ca="1">IF($AB17&gt;CDS.Tenor,"-",BY17*DX17*FW17)</f>
        <v>0.9421570172349919</v>
      </c>
      <c r="GU17" s="362">
        <f ca="1">IF($AB17&gt;CDS.Tenor,"-",BZ17*DY17*FX17)</f>
        <v>0.9421570172349919</v>
      </c>
      <c r="GV17" s="42"/>
      <c r="GW17" s="370">
        <f t="shared" si="121"/>
        <v>3.25</v>
      </c>
      <c r="GX17" s="378">
        <f ca="1">IF($AB17&gt;CDS.Tenor,"-",SUMPRODUCT($GA17:$GU17,$GA$4:$GU$4)*dm)</f>
        <v>0.94215690978215161</v>
      </c>
      <c r="GY17" s="381">
        <f ca="1">IF($AB17&gt;CDS.Tenor,"-",GX16-GX17)</f>
        <v>4.3281302248702191E-3</v>
      </c>
    </row>
    <row r="18" spans="2:207" x14ac:dyDescent="0.3">
      <c r="B18" s="112" t="s">
        <v>118</v>
      </c>
      <c r="C18" s="113"/>
      <c r="D18" s="153">
        <v>0.25</v>
      </c>
      <c r="F18" s="350" t="s">
        <v>336</v>
      </c>
      <c r="G18" s="375">
        <v>35</v>
      </c>
      <c r="H18" s="383" t="s">
        <v>361</v>
      </c>
      <c r="I18" s="17"/>
      <c r="J18" s="156">
        <f t="shared" si="103"/>
        <v>3.5</v>
      </c>
      <c r="K18" s="28">
        <f>IF($J18&gt;CDS.Tenor,"-",CDS.PremiumSign*CDS.Notional*CDS.YearFraction*CDS.CreditSpread)</f>
        <v>-25000</v>
      </c>
      <c r="L18" s="10">
        <f ca="1">GX18</f>
        <v>0.93784857142979028</v>
      </c>
      <c r="M18" s="10">
        <f ca="1">IF($J18&gt;CDS.Tenor,"-",L17-L18)</f>
        <v>4.3083383523613294E-3</v>
      </c>
      <c r="N18" s="94" cm="1">
        <f t="array" ref="N18">IF($J18&gt;CDS.Tenor,"-",cubicInterpolation(CurveResults.Times,CurveResults.DFs,$J18))</f>
        <v>0.86243967475051753</v>
      </c>
      <c r="O18" s="28">
        <f ca="1">IF($J18&gt;CDS.Tenor,"-",K18*L18*N18)</f>
        <v>-20220.945422728648</v>
      </c>
      <c r="P18" s="28">
        <f ca="1">IF($J18&gt;CDS.Tenor,"-",0.5*K18*M18*N18)</f>
        <v>-46.446024091571068</v>
      </c>
      <c r="Q18" s="142">
        <f ca="1">IF($J18&gt;CDS.Tenor,"-",O18+P18)</f>
        <v>-20267.39144682022</v>
      </c>
      <c r="T18" s="156">
        <f t="shared" si="104"/>
        <v>3.5</v>
      </c>
      <c r="U18" s="28">
        <f>IF($J18&gt;CDS.Tenor,"-",CDS.ProtectionSign*CDS.Notional*(1-CDS.RecoveryRate))</f>
        <v>6000000</v>
      </c>
      <c r="V18" s="10">
        <f ca="1">IF($J18&gt;CDS.Tenor,"-",GX18)</f>
        <v>0.93784857142979028</v>
      </c>
      <c r="W18" s="10">
        <f ca="1">IF($J18&gt;CDS.Tenor,"-",V17-V18)</f>
        <v>4.3083383523613294E-3</v>
      </c>
      <c r="X18" s="94" cm="1">
        <f t="array" ref="X18">IF($T18&gt;CDS.Tenor,"-",cubicInterpolation(CurveResults.Times,CurveResults.DFs,$J18))</f>
        <v>0.86243967475051753</v>
      </c>
      <c r="Y18" s="142">
        <f ca="1">IF($J18&gt;CDS.Tenor,"-",U18*W18*X18)</f>
        <v>22294.091563954113</v>
      </c>
      <c r="AA18" s="348"/>
      <c r="AB18" s="156">
        <f t="shared" si="105"/>
        <v>3.5</v>
      </c>
      <c r="AC18" s="352" cm="1">
        <f t="array" aca="1" ref="AC18" ca="1">IF($AB18&gt;CDS.Tenor,"-",flatInterpolation(AA18,INDIRECT(HazardRateTimes1),INDIRECT(HazardRateValues1)))</f>
        <v>5.0000000000000001E-3</v>
      </c>
      <c r="AD18" s="10">
        <f t="shared" ca="1" si="106"/>
        <v>0.98265223566507376</v>
      </c>
      <c r="AE18" s="10">
        <f t="shared" ca="1" si="107"/>
        <v>1.7347764334926241E-2</v>
      </c>
      <c r="AF18" s="360">
        <f ca="1">IF($AB18&gt;CDS.Tenor,"-",NORMSINV(AE18))</f>
        <v>-2.1118941570109349</v>
      </c>
      <c r="AG18" s="360"/>
      <c r="AH18" s="370">
        <f t="shared" si="108"/>
        <v>3.5</v>
      </c>
      <c r="AI18" s="366">
        <f ca="1">IF($AB18&gt;CDS.Tenor,"-",_xlfn.NORM.S.DIST(($AF18-SQRT(ImpliedCorrelation)*AI$3)/SQRT(1-ImpliedCorrelation),TRUE))</f>
        <v>1.7347764334926227E-2</v>
      </c>
      <c r="AJ18" s="366">
        <f ca="1">IF($AB18&gt;CDS.Tenor,"-",_xlfn.NORM.S.DIST(($AF18-SQRT(ImpliedCorrelation)*AJ$3)/SQRT(1-ImpliedCorrelation),TRUE))</f>
        <v>1.7347764334926227E-2</v>
      </c>
      <c r="AK18" s="366">
        <f ca="1">IF($AB18&gt;CDS.Tenor,"-",_xlfn.NORM.S.DIST(($AF18-SQRT(ImpliedCorrelation)*AK$3)/SQRT(1-ImpliedCorrelation),TRUE))</f>
        <v>1.7347764334926227E-2</v>
      </c>
      <c r="AL18" s="366">
        <f ca="1">IF($AB18&gt;CDS.Tenor,"-",_xlfn.NORM.S.DIST(($AF18-SQRT(ImpliedCorrelation)*AL$3)/SQRT(1-ImpliedCorrelation),TRUE))</f>
        <v>1.7347764334926227E-2</v>
      </c>
      <c r="AM18" s="366">
        <f ca="1">IF($AB18&gt;CDS.Tenor,"-",_xlfn.NORM.S.DIST(($AF18-SQRT(ImpliedCorrelation)*AM$3)/SQRT(1-ImpliedCorrelation),TRUE))</f>
        <v>1.7347764334926227E-2</v>
      </c>
      <c r="AN18" s="366">
        <f ca="1">IF($AB18&gt;CDS.Tenor,"-",_xlfn.NORM.S.DIST(($AF18-SQRT(ImpliedCorrelation)*AN$3)/SQRT(1-ImpliedCorrelation),TRUE))</f>
        <v>1.7347764334926227E-2</v>
      </c>
      <c r="AO18" s="366">
        <f ca="1">IF($AB18&gt;CDS.Tenor,"-",_xlfn.NORM.S.DIST(($AF18-SQRT(ImpliedCorrelation)*AO$3)/SQRT(1-ImpliedCorrelation),TRUE))</f>
        <v>1.7347764334926227E-2</v>
      </c>
      <c r="AP18" s="366">
        <f ca="1">IF($AB18&gt;CDS.Tenor,"-",_xlfn.NORM.S.DIST(($AF18-SQRT(ImpliedCorrelation)*AP$3)/SQRT(1-ImpliedCorrelation),TRUE))</f>
        <v>1.7347764334926227E-2</v>
      </c>
      <c r="AQ18" s="366">
        <f ca="1">IF($AB18&gt;CDS.Tenor,"-",_xlfn.NORM.S.DIST(($AF18-SQRT(ImpliedCorrelation)*AQ$3)/SQRT(1-ImpliedCorrelation),TRUE))</f>
        <v>1.7347764334926227E-2</v>
      </c>
      <c r="AR18" s="366">
        <f ca="1">IF($AB18&gt;CDS.Tenor,"-",_xlfn.NORM.S.DIST(($AF18-SQRT(ImpliedCorrelation)*AR$3)/SQRT(1-ImpliedCorrelation),TRUE))</f>
        <v>1.7347764334926227E-2</v>
      </c>
      <c r="AS18" s="366">
        <f ca="1">IF($AB18&gt;CDS.Tenor,"-",_xlfn.NORM.S.DIST(($AF18-SQRT(ImpliedCorrelation)*AS$3)/SQRT(1-ImpliedCorrelation),TRUE))</f>
        <v>1.7347764334926227E-2</v>
      </c>
      <c r="AT18" s="366">
        <f ca="1">IF($AB18&gt;CDS.Tenor,"-",_xlfn.NORM.S.DIST(($AF18-SQRT(ImpliedCorrelation)*AT$3)/SQRT(1-ImpliedCorrelation),TRUE))</f>
        <v>1.7347764334926227E-2</v>
      </c>
      <c r="AU18" s="366">
        <f ca="1">IF($AB18&gt;CDS.Tenor,"-",_xlfn.NORM.S.DIST(($AF18-SQRT(ImpliedCorrelation)*AU$3)/SQRT(1-ImpliedCorrelation),TRUE))</f>
        <v>1.7347764334926227E-2</v>
      </c>
      <c r="AV18" s="366">
        <f ca="1">IF($AB18&gt;CDS.Tenor,"-",_xlfn.NORM.S.DIST(($AF18-SQRT(ImpliedCorrelation)*AV$3)/SQRT(1-ImpliedCorrelation),TRUE))</f>
        <v>1.7347764334926227E-2</v>
      </c>
      <c r="AW18" s="366">
        <f ca="1">IF($AB18&gt;CDS.Tenor,"-",_xlfn.NORM.S.DIST(($AF18-SQRT(ImpliedCorrelation)*AW$3)/SQRT(1-ImpliedCorrelation),TRUE))</f>
        <v>1.7347764334926227E-2</v>
      </c>
      <c r="AX18" s="366">
        <f ca="1">IF($AB18&gt;CDS.Tenor,"-",_xlfn.NORM.S.DIST(($AF18-SQRT(ImpliedCorrelation)*AX$3)/SQRT(1-ImpliedCorrelation),TRUE))</f>
        <v>1.7347764334926227E-2</v>
      </c>
      <c r="AY18" s="366">
        <f ca="1">IF($AB18&gt;CDS.Tenor,"-",_xlfn.NORM.S.DIST(($AF18-SQRT(ImpliedCorrelation)*AY$3)/SQRT(1-ImpliedCorrelation),TRUE))</f>
        <v>1.7347764334926227E-2</v>
      </c>
      <c r="AZ18" s="366">
        <f ca="1">IF($AB18&gt;CDS.Tenor,"-",_xlfn.NORM.S.DIST(($AF18-SQRT(ImpliedCorrelation)*AZ$3)/SQRT(1-ImpliedCorrelation),TRUE))</f>
        <v>1.7347764334926227E-2</v>
      </c>
      <c r="BA18" s="366">
        <f ca="1">IF($AB18&gt;CDS.Tenor,"-",_xlfn.NORM.S.DIST(($AF18-SQRT(ImpliedCorrelation)*BA$3)/SQRT(1-ImpliedCorrelation),TRUE))</f>
        <v>1.7347764334926227E-2</v>
      </c>
      <c r="BB18" s="366">
        <f ca="1">IF($AB18&gt;CDS.Tenor,"-",_xlfn.NORM.S.DIST(($AF18-SQRT(ImpliedCorrelation)*BB$3)/SQRT(1-ImpliedCorrelation),TRUE))</f>
        <v>1.7347764334926227E-2</v>
      </c>
      <c r="BC18" s="366">
        <f ca="1">IF($AB18&gt;CDS.Tenor,"-",_xlfn.NORM.S.DIST(($AF18-SQRT(ImpliedCorrelation)*BC$3)/SQRT(1-ImpliedCorrelation),TRUE))</f>
        <v>1.7347764334926227E-2</v>
      </c>
      <c r="BD18" s="366"/>
      <c r="BE18" s="370">
        <f t="shared" si="109"/>
        <v>3.5</v>
      </c>
      <c r="BF18" s="366">
        <f ca="1">IF($AB18&gt;CDS.Tenor,"-",1-AI18)</f>
        <v>0.98265223566507376</v>
      </c>
      <c r="BG18" s="366">
        <f ca="1">IF($AB18&gt;CDS.Tenor,"-",1-AJ18)</f>
        <v>0.98265223566507376</v>
      </c>
      <c r="BH18" s="366">
        <f ca="1">IF($AB18&gt;CDS.Tenor,"-",1-AK18)</f>
        <v>0.98265223566507376</v>
      </c>
      <c r="BI18" s="366">
        <f ca="1">IF($AB18&gt;CDS.Tenor,"-",1-AL18)</f>
        <v>0.98265223566507376</v>
      </c>
      <c r="BJ18" s="366">
        <f ca="1">IF($AB18&gt;CDS.Tenor,"-",1-AM18)</f>
        <v>0.98265223566507376</v>
      </c>
      <c r="BK18" s="366">
        <f ca="1">IF($AB18&gt;CDS.Tenor,"-",1-AN18)</f>
        <v>0.98265223566507376</v>
      </c>
      <c r="BL18" s="366">
        <f ca="1">IF($AB18&gt;CDS.Tenor,"-",1-AO18)</f>
        <v>0.98265223566507376</v>
      </c>
      <c r="BM18" s="366">
        <f ca="1">IF($AB18&gt;CDS.Tenor,"-",1-AP18)</f>
        <v>0.98265223566507376</v>
      </c>
      <c r="BN18" s="366">
        <f ca="1">IF($AB18&gt;CDS.Tenor,"-",1-AQ18)</f>
        <v>0.98265223566507376</v>
      </c>
      <c r="BO18" s="366">
        <f ca="1">IF($AB18&gt;CDS.Tenor,"-",1-AR18)</f>
        <v>0.98265223566507376</v>
      </c>
      <c r="BP18" s="366">
        <f ca="1">IF($AB18&gt;CDS.Tenor,"-",1-AS18)</f>
        <v>0.98265223566507376</v>
      </c>
      <c r="BQ18" s="366">
        <f ca="1">IF($AB18&gt;CDS.Tenor,"-",1-AT18)</f>
        <v>0.98265223566507376</v>
      </c>
      <c r="BR18" s="366">
        <f ca="1">IF($AB18&gt;CDS.Tenor,"-",1-AU18)</f>
        <v>0.98265223566507376</v>
      </c>
      <c r="BS18" s="366">
        <f ca="1">IF($AB18&gt;CDS.Tenor,"-",1-AV18)</f>
        <v>0.98265223566507376</v>
      </c>
      <c r="BT18" s="366">
        <f ca="1">IF($AB18&gt;CDS.Tenor,"-",1-AW18)</f>
        <v>0.98265223566507376</v>
      </c>
      <c r="BU18" s="366">
        <f ca="1">IF($AB18&gt;CDS.Tenor,"-",1-AX18)</f>
        <v>0.98265223566507376</v>
      </c>
      <c r="BV18" s="366">
        <f ca="1">IF($AB18&gt;CDS.Tenor,"-",1-AY18)</f>
        <v>0.98265223566507376</v>
      </c>
      <c r="BW18" s="366">
        <f ca="1">IF($AB18&gt;CDS.Tenor,"-",1-AZ18)</f>
        <v>0.98265223566507376</v>
      </c>
      <c r="BX18" s="366">
        <f ca="1">IF($AB18&gt;CDS.Tenor,"-",1-BA18)</f>
        <v>0.98265223566507376</v>
      </c>
      <c r="BY18" s="366">
        <f ca="1">IF($AB18&gt;CDS.Tenor,"-",1-BB18)</f>
        <v>0.98265223566507376</v>
      </c>
      <c r="BZ18" s="366">
        <f ca="1">IF($AB18&gt;CDS.Tenor,"-",1-BC18)</f>
        <v>0.98265223566507376</v>
      </c>
      <c r="CA18" s="17"/>
      <c r="CB18" s="352" cm="1">
        <f t="array" aca="1" ref="CB18" ca="1">IF($AB18&gt;CDS.Tenor,"-",flatInterpolation(AB18,INDIRECT(HazardRateTimes2),INDIRECT(HazardRateValues2)))</f>
        <v>5.8333333333333336E-3</v>
      </c>
      <c r="CC18" s="10">
        <f t="shared" ca="1" si="110"/>
        <v>0.97979034226775152</v>
      </c>
      <c r="CD18" s="10">
        <f t="shared" ca="1" si="111"/>
        <v>2.0209657732248476E-2</v>
      </c>
      <c r="CE18" s="81">
        <f t="shared" ca="1" si="112"/>
        <v>-2.0494378892172169</v>
      </c>
      <c r="CF18" s="360"/>
      <c r="CG18" s="370">
        <f t="shared" si="113"/>
        <v>3.5</v>
      </c>
      <c r="CH18" s="366">
        <f ca="1">IF($AB18&gt;CDS.Tenor,"-",_xlfn.NORM.S.DIST(($CE18-SQRT(ImpliedCorrelation)*CH$3)/SQRT(1-ImpliedCorrelation),TRUE))</f>
        <v>2.0209657732248476E-2</v>
      </c>
      <c r="CI18" s="366">
        <f ca="1">IF($AB18&gt;CDS.Tenor,"-",_xlfn.NORM.S.DIST(($CE18-SQRT(ImpliedCorrelation)*CI$3)/SQRT(1-ImpliedCorrelation),TRUE))</f>
        <v>2.0209657732248476E-2</v>
      </c>
      <c r="CJ18" s="366">
        <f ca="1">IF($AB18&gt;CDS.Tenor,"-",_xlfn.NORM.S.DIST(($CE18-SQRT(ImpliedCorrelation)*CJ$3)/SQRT(1-ImpliedCorrelation),TRUE))</f>
        <v>2.0209657732248476E-2</v>
      </c>
      <c r="CK18" s="366">
        <f ca="1">IF($AB18&gt;CDS.Tenor,"-",_xlfn.NORM.S.DIST(($CE18-SQRT(ImpliedCorrelation)*CK$3)/SQRT(1-ImpliedCorrelation),TRUE))</f>
        <v>2.0209657732248476E-2</v>
      </c>
      <c r="CL18" s="366">
        <f ca="1">IF($AB18&gt;CDS.Tenor,"-",_xlfn.NORM.S.DIST(($CE18-SQRT(ImpliedCorrelation)*CL$3)/SQRT(1-ImpliedCorrelation),TRUE))</f>
        <v>2.0209657732248476E-2</v>
      </c>
      <c r="CM18" s="366">
        <f ca="1">IF($AB18&gt;CDS.Tenor,"-",_xlfn.NORM.S.DIST(($CE18-SQRT(ImpliedCorrelation)*CM$3)/SQRT(1-ImpliedCorrelation),TRUE))</f>
        <v>2.0209657732248476E-2</v>
      </c>
      <c r="CN18" s="366">
        <f ca="1">IF($AB18&gt;CDS.Tenor,"-",_xlfn.NORM.S.DIST(($CE18-SQRT(ImpliedCorrelation)*CN$3)/SQRT(1-ImpliedCorrelation),TRUE))</f>
        <v>2.0209657732248476E-2</v>
      </c>
      <c r="CO18" s="366">
        <f ca="1">IF($AB18&gt;CDS.Tenor,"-",_xlfn.NORM.S.DIST(($CE18-SQRT(ImpliedCorrelation)*CO$3)/SQRT(1-ImpliedCorrelation),TRUE))</f>
        <v>2.0209657732248476E-2</v>
      </c>
      <c r="CP18" s="366">
        <f ca="1">IF($AB18&gt;CDS.Tenor,"-",_xlfn.NORM.S.DIST(($CE18-SQRT(ImpliedCorrelation)*CP$3)/SQRT(1-ImpliedCorrelation),TRUE))</f>
        <v>2.0209657732248476E-2</v>
      </c>
      <c r="CQ18" s="366">
        <f ca="1">IF($AB18&gt;CDS.Tenor,"-",_xlfn.NORM.S.DIST(($CE18-SQRT(ImpliedCorrelation)*CQ$3)/SQRT(1-ImpliedCorrelation),TRUE))</f>
        <v>2.0209657732248476E-2</v>
      </c>
      <c r="CR18" s="366">
        <f ca="1">IF($AB18&gt;CDS.Tenor,"-",_xlfn.NORM.S.DIST(($CE18-SQRT(ImpliedCorrelation)*CR$3)/SQRT(1-ImpliedCorrelation),TRUE))</f>
        <v>2.0209657732248476E-2</v>
      </c>
      <c r="CS18" s="366">
        <f ca="1">IF($AB18&gt;CDS.Tenor,"-",_xlfn.NORM.S.DIST(($CE18-SQRT(ImpliedCorrelation)*CS$3)/SQRT(1-ImpliedCorrelation),TRUE))</f>
        <v>2.0209657732248476E-2</v>
      </c>
      <c r="CT18" s="366">
        <f ca="1">IF($AB18&gt;CDS.Tenor,"-",_xlfn.NORM.S.DIST(($CE18-SQRT(ImpliedCorrelation)*CT$3)/SQRT(1-ImpliedCorrelation),TRUE))</f>
        <v>2.0209657732248476E-2</v>
      </c>
      <c r="CU18" s="366">
        <f ca="1">IF($AB18&gt;CDS.Tenor,"-",_xlfn.NORM.S.DIST(($CE18-SQRT(ImpliedCorrelation)*CU$3)/SQRT(1-ImpliedCorrelation),TRUE))</f>
        <v>2.0209657732248476E-2</v>
      </c>
      <c r="CV18" s="366">
        <f ca="1">IF($AB18&gt;CDS.Tenor,"-",_xlfn.NORM.S.DIST(($CE18-SQRT(ImpliedCorrelation)*CV$3)/SQRT(1-ImpliedCorrelation),TRUE))</f>
        <v>2.0209657732248476E-2</v>
      </c>
      <c r="CW18" s="366">
        <f ca="1">IF($AB18&gt;CDS.Tenor,"-",_xlfn.NORM.S.DIST(($CE18-SQRT(ImpliedCorrelation)*CW$3)/SQRT(1-ImpliedCorrelation),TRUE))</f>
        <v>2.0209657732248476E-2</v>
      </c>
      <c r="CX18" s="366">
        <f ca="1">IF($AB18&gt;CDS.Tenor,"-",_xlfn.NORM.S.DIST(($CE18-SQRT(ImpliedCorrelation)*CX$3)/SQRT(1-ImpliedCorrelation),TRUE))</f>
        <v>2.0209657732248476E-2</v>
      </c>
      <c r="CY18" s="366">
        <f ca="1">IF($AB18&gt;CDS.Tenor,"-",_xlfn.NORM.S.DIST(($CE18-SQRT(ImpliedCorrelation)*CY$3)/SQRT(1-ImpliedCorrelation),TRUE))</f>
        <v>2.0209657732248476E-2</v>
      </c>
      <c r="CZ18" s="366">
        <f ca="1">IF($AB18&gt;CDS.Tenor,"-",_xlfn.NORM.S.DIST(($CE18-SQRT(ImpliedCorrelation)*CZ$3)/SQRT(1-ImpliedCorrelation),TRUE))</f>
        <v>2.0209657732248476E-2</v>
      </c>
      <c r="DA18" s="366">
        <f ca="1">IF($AB18&gt;CDS.Tenor,"-",_xlfn.NORM.S.DIST(($CE18-SQRT(ImpliedCorrelation)*DA$3)/SQRT(1-ImpliedCorrelation),TRUE))</f>
        <v>2.0209657732248476E-2</v>
      </c>
      <c r="DB18" s="366">
        <f ca="1">IF($AB18&gt;CDS.Tenor,"-",_xlfn.NORM.S.DIST(($CE18-SQRT(ImpliedCorrelation)*DB$3)/SQRT(1-ImpliedCorrelation),TRUE))</f>
        <v>2.0209657732248476E-2</v>
      </c>
      <c r="DC18" s="366"/>
      <c r="DD18" s="370">
        <f t="shared" si="114"/>
        <v>3.5</v>
      </c>
      <c r="DE18" s="366">
        <f ca="1">IF($AB18&gt;CDS.Tenor,"-",1-CH18)</f>
        <v>0.97979034226775152</v>
      </c>
      <c r="DF18" s="366">
        <f ca="1">IF($AB18&gt;CDS.Tenor,"-",1-CI18)</f>
        <v>0.97979034226775152</v>
      </c>
      <c r="DG18" s="366">
        <f ca="1">IF($AB18&gt;CDS.Tenor,"-",1-CJ18)</f>
        <v>0.97979034226775152</v>
      </c>
      <c r="DH18" s="366">
        <f ca="1">IF($AB18&gt;CDS.Tenor,"-",1-CK18)</f>
        <v>0.97979034226775152</v>
      </c>
      <c r="DI18" s="366">
        <f ca="1">IF($AB18&gt;CDS.Tenor,"-",1-CL18)</f>
        <v>0.97979034226775152</v>
      </c>
      <c r="DJ18" s="366">
        <f ca="1">IF($AB18&gt;CDS.Tenor,"-",1-CM18)</f>
        <v>0.97979034226775152</v>
      </c>
      <c r="DK18" s="366">
        <f ca="1">IF($AB18&gt;CDS.Tenor,"-",1-CN18)</f>
        <v>0.97979034226775152</v>
      </c>
      <c r="DL18" s="366">
        <f ca="1">IF($AB18&gt;CDS.Tenor,"-",1-CO18)</f>
        <v>0.97979034226775152</v>
      </c>
      <c r="DM18" s="366">
        <f ca="1">IF($AB18&gt;CDS.Tenor,"-",1-CP18)</f>
        <v>0.97979034226775152</v>
      </c>
      <c r="DN18" s="366">
        <f ca="1">IF($AB18&gt;CDS.Tenor,"-",1-CQ18)</f>
        <v>0.97979034226775152</v>
      </c>
      <c r="DO18" s="366">
        <f ca="1">IF($AB18&gt;CDS.Tenor,"-",1-CR18)</f>
        <v>0.97979034226775152</v>
      </c>
      <c r="DP18" s="366">
        <f ca="1">IF($AB18&gt;CDS.Tenor,"-",1-CS18)</f>
        <v>0.97979034226775152</v>
      </c>
      <c r="DQ18" s="366">
        <f ca="1">IF($AB18&gt;CDS.Tenor,"-",1-CT18)</f>
        <v>0.97979034226775152</v>
      </c>
      <c r="DR18" s="366">
        <f ca="1">IF($AB18&gt;CDS.Tenor,"-",1-CU18)</f>
        <v>0.97979034226775152</v>
      </c>
      <c r="DS18" s="366">
        <f ca="1">IF($AB18&gt;CDS.Tenor,"-",1-CV18)</f>
        <v>0.97979034226775152</v>
      </c>
      <c r="DT18" s="366">
        <f ca="1">IF($AB18&gt;CDS.Tenor,"-",1-CW18)</f>
        <v>0.97979034226775152</v>
      </c>
      <c r="DU18" s="366">
        <f ca="1">IF($AB18&gt;CDS.Tenor,"-",1-CX18)</f>
        <v>0.97979034226775152</v>
      </c>
      <c r="DV18" s="366">
        <f ca="1">IF($AB18&gt;CDS.Tenor,"-",1-CY18)</f>
        <v>0.97979034226775152</v>
      </c>
      <c r="DW18" s="366">
        <f ca="1">IF($AB18&gt;CDS.Tenor,"-",1-CZ18)</f>
        <v>0.97979034226775152</v>
      </c>
      <c r="DX18" s="366">
        <f ca="1">IF($AB18&gt;CDS.Tenor,"-",1-DA18)</f>
        <v>0.97979034226775152</v>
      </c>
      <c r="DY18" s="362">
        <f ca="1">IF($AB18&gt;CDS.Tenor,"-",1-DB18)</f>
        <v>0.97979034226775152</v>
      </c>
      <c r="DZ18" s="360"/>
      <c r="EA18" s="352" cm="1">
        <f t="array" aca="1" ref="EA18" ca="1">IF($AB18&gt;CDS.Tenor,"-",flatInterpolation(CC18,INDIRECT(HazardRateTimes3),INDIRECT(HazardRateValues3)))</f>
        <v>7.4999999999999997E-3</v>
      </c>
      <c r="EB18" s="10">
        <f t="shared" ca="1" si="115"/>
        <v>0.97409153628178169</v>
      </c>
      <c r="EC18" s="10">
        <f t="shared" ca="1" si="116"/>
        <v>2.5908463718218311E-2</v>
      </c>
      <c r="ED18" s="81">
        <f t="shared" ca="1" si="117"/>
        <v>-1.9446515751293809</v>
      </c>
      <c r="EE18" s="348"/>
      <c r="EF18" s="370">
        <f t="shared" si="118"/>
        <v>3.5</v>
      </c>
      <c r="EG18" s="366">
        <f ca="1">IF($AB18&gt;CDS.Tenor,"-",_xlfn.NORM.S.DIST(($ED18-SQRT(ImpliedCorrelation)*EG$3)/SQRT(1-ImpliedCorrelation),TRUE))</f>
        <v>2.5908463718218342E-2</v>
      </c>
      <c r="EH18" s="366">
        <f ca="1">IF($AB18&gt;CDS.Tenor,"-",_xlfn.NORM.S.DIST(($ED18-SQRT(ImpliedCorrelation)*EH$3)/SQRT(1-ImpliedCorrelation),TRUE))</f>
        <v>2.5908463718218342E-2</v>
      </c>
      <c r="EI18" s="366">
        <f ca="1">IF($AB18&gt;CDS.Tenor,"-",_xlfn.NORM.S.DIST(($ED18-SQRT(ImpliedCorrelation)*EI$3)/SQRT(1-ImpliedCorrelation),TRUE))</f>
        <v>2.5908463718218342E-2</v>
      </c>
      <c r="EJ18" s="366">
        <f ca="1">IF($AB18&gt;CDS.Tenor,"-",_xlfn.NORM.S.DIST(($ED18-SQRT(ImpliedCorrelation)*EJ$3)/SQRT(1-ImpliedCorrelation),TRUE))</f>
        <v>2.5908463718218342E-2</v>
      </c>
      <c r="EK18" s="366">
        <f ca="1">IF($AB18&gt;CDS.Tenor,"-",_xlfn.NORM.S.DIST(($ED18-SQRT(ImpliedCorrelation)*EK$3)/SQRT(1-ImpliedCorrelation),TRUE))</f>
        <v>2.5908463718218342E-2</v>
      </c>
      <c r="EL18" s="366">
        <f ca="1">IF($AB18&gt;CDS.Tenor,"-",_xlfn.NORM.S.DIST(($ED18-SQRT(ImpliedCorrelation)*EL$3)/SQRT(1-ImpliedCorrelation),TRUE))</f>
        <v>2.5908463718218342E-2</v>
      </c>
      <c r="EM18" s="366">
        <f ca="1">IF($AB18&gt;CDS.Tenor,"-",_xlfn.NORM.S.DIST(($ED18-SQRT(ImpliedCorrelation)*EM$3)/SQRT(1-ImpliedCorrelation),TRUE))</f>
        <v>2.5908463718218342E-2</v>
      </c>
      <c r="EN18" s="366">
        <f ca="1">IF($AB18&gt;CDS.Tenor,"-",_xlfn.NORM.S.DIST(($ED18-SQRT(ImpliedCorrelation)*EN$3)/SQRT(1-ImpliedCorrelation),TRUE))</f>
        <v>2.5908463718218342E-2</v>
      </c>
      <c r="EO18" s="366">
        <f ca="1">IF($AB18&gt;CDS.Tenor,"-",_xlfn.NORM.S.DIST(($ED18-SQRT(ImpliedCorrelation)*EO$3)/SQRT(1-ImpliedCorrelation),TRUE))</f>
        <v>2.5908463718218342E-2</v>
      </c>
      <c r="EP18" s="366">
        <f ca="1">IF($AB18&gt;CDS.Tenor,"-",_xlfn.NORM.S.DIST(($ED18-SQRT(ImpliedCorrelation)*EP$3)/SQRT(1-ImpliedCorrelation),TRUE))</f>
        <v>2.5908463718218342E-2</v>
      </c>
      <c r="EQ18" s="366">
        <f ca="1">IF($AB18&gt;CDS.Tenor,"-",_xlfn.NORM.S.DIST(($ED18-SQRT(ImpliedCorrelation)*EQ$3)/SQRT(1-ImpliedCorrelation),TRUE))</f>
        <v>2.5908463718218342E-2</v>
      </c>
      <c r="ER18" s="366">
        <f ca="1">IF($AB18&gt;CDS.Tenor,"-",_xlfn.NORM.S.DIST(($ED18-SQRT(ImpliedCorrelation)*ER$3)/SQRT(1-ImpliedCorrelation),TRUE))</f>
        <v>2.5908463718218342E-2</v>
      </c>
      <c r="ES18" s="366">
        <f ca="1">IF($AB18&gt;CDS.Tenor,"-",_xlfn.NORM.S.DIST(($ED18-SQRT(ImpliedCorrelation)*ES$3)/SQRT(1-ImpliedCorrelation),TRUE))</f>
        <v>2.5908463718218342E-2</v>
      </c>
      <c r="ET18" s="366">
        <f ca="1">IF($AB18&gt;CDS.Tenor,"-",_xlfn.NORM.S.DIST(($ED18-SQRT(ImpliedCorrelation)*ET$3)/SQRT(1-ImpliedCorrelation),TRUE))</f>
        <v>2.5908463718218342E-2</v>
      </c>
      <c r="EU18" s="366">
        <f ca="1">IF($AB18&gt;CDS.Tenor,"-",_xlfn.NORM.S.DIST(($ED18-SQRT(ImpliedCorrelation)*EU$3)/SQRT(1-ImpliedCorrelation),TRUE))</f>
        <v>2.5908463718218342E-2</v>
      </c>
      <c r="EV18" s="366">
        <f ca="1">IF($AB18&gt;CDS.Tenor,"-",_xlfn.NORM.S.DIST(($ED18-SQRT(ImpliedCorrelation)*EV$3)/SQRT(1-ImpliedCorrelation),TRUE))</f>
        <v>2.5908463718218342E-2</v>
      </c>
      <c r="EW18" s="366">
        <f ca="1">IF($AB18&gt;CDS.Tenor,"-",_xlfn.NORM.S.DIST(($ED18-SQRT(ImpliedCorrelation)*EW$3)/SQRT(1-ImpliedCorrelation),TRUE))</f>
        <v>2.5908463718218342E-2</v>
      </c>
      <c r="EX18" s="366">
        <f ca="1">IF($AB18&gt;CDS.Tenor,"-",_xlfn.NORM.S.DIST(($ED18-SQRT(ImpliedCorrelation)*EX$3)/SQRT(1-ImpliedCorrelation),TRUE))</f>
        <v>2.5908463718218342E-2</v>
      </c>
      <c r="EY18" s="366">
        <f ca="1">IF($AB18&gt;CDS.Tenor,"-",_xlfn.NORM.S.DIST(($ED18-SQRT(ImpliedCorrelation)*EY$3)/SQRT(1-ImpliedCorrelation),TRUE))</f>
        <v>2.5908463718218342E-2</v>
      </c>
      <c r="EZ18" s="366">
        <f ca="1">IF($AB18&gt;CDS.Tenor,"-",_xlfn.NORM.S.DIST(($ED18-SQRT(ImpliedCorrelation)*EZ$3)/SQRT(1-ImpliedCorrelation),TRUE))</f>
        <v>2.5908463718218342E-2</v>
      </c>
      <c r="FA18" s="366">
        <f ca="1">IF($AB18&gt;CDS.Tenor,"-",_xlfn.NORM.S.DIST(($ED18-SQRT(ImpliedCorrelation)*FA$3)/SQRT(1-ImpliedCorrelation),TRUE))</f>
        <v>2.5908463718218342E-2</v>
      </c>
      <c r="FB18" s="366"/>
      <c r="FC18" s="370">
        <f t="shared" si="119"/>
        <v>3.5</v>
      </c>
      <c r="FD18" s="366">
        <f ca="1">IF($AB18&gt;CDS.Tenor,"-",1-EG18)</f>
        <v>0.97409153628178169</v>
      </c>
      <c r="FE18" s="366">
        <f ca="1">IF($AB18&gt;CDS.Tenor,"-",1-EH18)</f>
        <v>0.97409153628178169</v>
      </c>
      <c r="FF18" s="366">
        <f ca="1">IF($AB18&gt;CDS.Tenor,"-",1-EI18)</f>
        <v>0.97409153628178169</v>
      </c>
      <c r="FG18" s="366">
        <f ca="1">IF($AB18&gt;CDS.Tenor,"-",1-EJ18)</f>
        <v>0.97409153628178169</v>
      </c>
      <c r="FH18" s="366">
        <f ca="1">IF($AB18&gt;CDS.Tenor,"-",1-EK18)</f>
        <v>0.97409153628178169</v>
      </c>
      <c r="FI18" s="366">
        <f ca="1">IF($AB18&gt;CDS.Tenor,"-",1-EL18)</f>
        <v>0.97409153628178169</v>
      </c>
      <c r="FJ18" s="366">
        <f ca="1">IF($AB18&gt;CDS.Tenor,"-",1-EM18)</f>
        <v>0.97409153628178169</v>
      </c>
      <c r="FK18" s="366">
        <f ca="1">IF($AB18&gt;CDS.Tenor,"-",1-EN18)</f>
        <v>0.97409153628178169</v>
      </c>
      <c r="FL18" s="366">
        <f ca="1">IF($AB18&gt;CDS.Tenor,"-",1-EO18)</f>
        <v>0.97409153628178169</v>
      </c>
      <c r="FM18" s="366">
        <f ca="1">IF($AB18&gt;CDS.Tenor,"-",1-EP18)</f>
        <v>0.97409153628178169</v>
      </c>
      <c r="FN18" s="366">
        <f ca="1">IF($AB18&gt;CDS.Tenor,"-",1-EQ18)</f>
        <v>0.97409153628178169</v>
      </c>
      <c r="FO18" s="366">
        <f ca="1">IF($AB18&gt;CDS.Tenor,"-",1-ER18)</f>
        <v>0.97409153628178169</v>
      </c>
      <c r="FP18" s="366">
        <f ca="1">IF($AB18&gt;CDS.Tenor,"-",1-ES18)</f>
        <v>0.97409153628178169</v>
      </c>
      <c r="FQ18" s="366">
        <f ca="1">IF($AB18&gt;CDS.Tenor,"-",1-ET18)</f>
        <v>0.97409153628178169</v>
      </c>
      <c r="FR18" s="366">
        <f ca="1">IF($AB18&gt;CDS.Tenor,"-",1-EU18)</f>
        <v>0.97409153628178169</v>
      </c>
      <c r="FS18" s="366">
        <f ca="1">IF($AB18&gt;CDS.Tenor,"-",1-EV18)</f>
        <v>0.97409153628178169</v>
      </c>
      <c r="FT18" s="366">
        <f ca="1">IF($AB18&gt;CDS.Tenor,"-",1-EW18)</f>
        <v>0.97409153628178169</v>
      </c>
      <c r="FU18" s="366">
        <f ca="1">IF($AB18&gt;CDS.Tenor,"-",1-EX18)</f>
        <v>0.97409153628178169</v>
      </c>
      <c r="FV18" s="366">
        <f ca="1">IF($AB18&gt;CDS.Tenor,"-",1-EY18)</f>
        <v>0.97409153628178169</v>
      </c>
      <c r="FW18" s="366">
        <f ca="1">IF($AB18&gt;CDS.Tenor,"-",1-EZ18)</f>
        <v>0.97409153628178169</v>
      </c>
      <c r="FX18" s="362">
        <f ca="1">IF($AB18&gt;CDS.Tenor,"-",1-FA18)</f>
        <v>0.97409153628178169</v>
      </c>
      <c r="FZ18" s="370">
        <f t="shared" si="120"/>
        <v>3.5</v>
      </c>
      <c r="GA18" s="366">
        <f ca="1">IF($AB18&gt;CDS.Tenor,"-",BF18*DE18*FD18)</f>
        <v>0.93784867839126518</v>
      </c>
      <c r="GB18" s="366">
        <f ca="1">IF($AB18&gt;CDS.Tenor,"-",BG18*DF18*FE18)</f>
        <v>0.93784867839126518</v>
      </c>
      <c r="GC18" s="366">
        <f ca="1">IF($AB18&gt;CDS.Tenor,"-",BH18*DG18*FF18)</f>
        <v>0.93784867839126518</v>
      </c>
      <c r="GD18" s="366">
        <f ca="1">IF($AB18&gt;CDS.Tenor,"-",BI18*DH18*FG18)</f>
        <v>0.93784867839126518</v>
      </c>
      <c r="GE18" s="366">
        <f ca="1">IF($AB18&gt;CDS.Tenor,"-",BJ18*DI18*FH18)</f>
        <v>0.93784867839126518</v>
      </c>
      <c r="GF18" s="366">
        <f ca="1">IF($AB18&gt;CDS.Tenor,"-",BK18*DJ18*FI18)</f>
        <v>0.93784867839126518</v>
      </c>
      <c r="GG18" s="366">
        <f ca="1">IF($AB18&gt;CDS.Tenor,"-",BL18*DK18*FJ18)</f>
        <v>0.93784867839126518</v>
      </c>
      <c r="GH18" s="366">
        <f ca="1">IF($AB18&gt;CDS.Tenor,"-",BM18*DL18*FK18)</f>
        <v>0.93784867839126518</v>
      </c>
      <c r="GI18" s="366">
        <f ca="1">IF($AB18&gt;CDS.Tenor,"-",BN18*DM18*FL18)</f>
        <v>0.93784867839126518</v>
      </c>
      <c r="GJ18" s="366">
        <f ca="1">IF($AB18&gt;CDS.Tenor,"-",BO18*DN18*FM18)</f>
        <v>0.93784867839126518</v>
      </c>
      <c r="GK18" s="366">
        <f ca="1">IF($AB18&gt;CDS.Tenor,"-",BP18*DO18*FN18)</f>
        <v>0.93784867839126518</v>
      </c>
      <c r="GL18" s="366">
        <f ca="1">IF($AB18&gt;CDS.Tenor,"-",BQ18*DP18*FO18)</f>
        <v>0.93784867839126518</v>
      </c>
      <c r="GM18" s="366">
        <f ca="1">IF($AB18&gt;CDS.Tenor,"-",BR18*DQ18*FP18)</f>
        <v>0.93784867839126518</v>
      </c>
      <c r="GN18" s="366">
        <f ca="1">IF($AB18&gt;CDS.Tenor,"-",BS18*DR18*FQ18)</f>
        <v>0.93784867839126518</v>
      </c>
      <c r="GO18" s="366">
        <f ca="1">IF($AB18&gt;CDS.Tenor,"-",BT18*DS18*FR18)</f>
        <v>0.93784867839126518</v>
      </c>
      <c r="GP18" s="366">
        <f ca="1">IF($AB18&gt;CDS.Tenor,"-",BU18*DT18*FS18)</f>
        <v>0.93784867839126518</v>
      </c>
      <c r="GQ18" s="366">
        <f ca="1">IF($AB18&gt;CDS.Tenor,"-",BV18*DU18*FT18)</f>
        <v>0.93784867839126518</v>
      </c>
      <c r="GR18" s="366">
        <f ca="1">IF($AB18&gt;CDS.Tenor,"-",BW18*DV18*FU18)</f>
        <v>0.93784867839126518</v>
      </c>
      <c r="GS18" s="366">
        <f ca="1">IF($AB18&gt;CDS.Tenor,"-",BX18*DW18*FV18)</f>
        <v>0.93784867839126518</v>
      </c>
      <c r="GT18" s="366">
        <f ca="1">IF($AB18&gt;CDS.Tenor,"-",BY18*DX18*FW18)</f>
        <v>0.93784867839126518</v>
      </c>
      <c r="GU18" s="362">
        <f ca="1">IF($AB18&gt;CDS.Tenor,"-",BZ18*DY18*FX18)</f>
        <v>0.93784867839126518</v>
      </c>
      <c r="GV18" s="42"/>
      <c r="GW18" s="370">
        <f t="shared" si="121"/>
        <v>3.5</v>
      </c>
      <c r="GX18" s="378">
        <f ca="1">IF($AB18&gt;CDS.Tenor,"-",SUMPRODUCT($GA18:$GU18,$GA$4:$GU$4)*dm)</f>
        <v>0.93784857142979028</v>
      </c>
      <c r="GY18" s="381">
        <f ca="1">IF($AB18&gt;CDS.Tenor,"-",GX17-GX18)</f>
        <v>4.3083383523613294E-3</v>
      </c>
    </row>
    <row r="19" spans="2:207" x14ac:dyDescent="0.3">
      <c r="F19" s="350" t="s">
        <v>337</v>
      </c>
      <c r="G19" s="375">
        <v>45</v>
      </c>
      <c r="J19" s="156">
        <f t="shared" si="103"/>
        <v>3.75</v>
      </c>
      <c r="K19" s="28">
        <f>IF($J19&gt;CDS.Tenor,"-",CDS.PremiumSign*CDS.Notional*CDS.YearFraction*CDS.CreditSpread)</f>
        <v>-25000</v>
      </c>
      <c r="L19" s="10">
        <f ca="1">GX19</f>
        <v>0.93355993444475527</v>
      </c>
      <c r="M19" s="10">
        <f ca="1">IF($J19&gt;CDS.Tenor,"-",L18-L19)</f>
        <v>4.2886369850350103E-3</v>
      </c>
      <c r="N19" s="94" cm="1">
        <f t="array" ref="N19">IF($J19&gt;CDS.Tenor,"-",cubicInterpolation(CurveResults.Times,CurveResults.DFs,$J19))</f>
        <v>0.85424590030706427</v>
      </c>
      <c r="O19" s="28">
        <f ca="1">IF($J19&gt;CDS.Tenor,"-",K19*L19*N19)</f>
        <v>-19937.243667259096</v>
      </c>
      <c r="P19" s="28">
        <f ca="1">IF($J19&gt;CDS.Tenor,"-",0.5*K19*M19*N19)</f>
        <v>-45.794382029642577</v>
      </c>
      <c r="Q19" s="142">
        <f ca="1">IF($J19&gt;CDS.Tenor,"-",O19+P19)</f>
        <v>-19983.038049288738</v>
      </c>
      <c r="T19" s="156">
        <f t="shared" si="104"/>
        <v>3.75</v>
      </c>
      <c r="U19" s="28">
        <f>IF($J19&gt;CDS.Tenor,"-",CDS.ProtectionSign*CDS.Notional*(1-CDS.RecoveryRate))</f>
        <v>6000000</v>
      </c>
      <c r="V19" s="10">
        <f ca="1">IF($J19&gt;CDS.Tenor,"-",GX19)</f>
        <v>0.93355993444475527</v>
      </c>
      <c r="W19" s="10">
        <f ca="1">IF($J19&gt;CDS.Tenor,"-",V18-V19)</f>
        <v>4.2886369850350103E-3</v>
      </c>
      <c r="X19" s="94" cm="1">
        <f t="array" ref="X19">IF($T19&gt;CDS.Tenor,"-",cubicInterpolation(CurveResults.Times,CurveResults.DFs,$J19))</f>
        <v>0.85424590030706427</v>
      </c>
      <c r="Y19" s="142">
        <f ca="1">IF($J19&gt;CDS.Tenor,"-",U19*W19*X19)</f>
        <v>21981.303374228439</v>
      </c>
      <c r="AB19" s="156">
        <f t="shared" si="105"/>
        <v>3.75</v>
      </c>
      <c r="AC19" s="352" cm="1">
        <f t="array" aca="1" ref="AC19" ca="1">IF($AB19&gt;CDS.Tenor,"-",flatInterpolation(AA19,INDIRECT(HazardRateTimes1),INDIRECT(HazardRateValues1)))</f>
        <v>5.0000000000000001E-3</v>
      </c>
      <c r="AD19" s="10">
        <f t="shared" ca="1" si="106"/>
        <v>0.98142468774777769</v>
      </c>
      <c r="AE19" s="10">
        <f t="shared" ca="1" si="107"/>
        <v>1.8575312252222309E-2</v>
      </c>
      <c r="AF19" s="360">
        <f ca="1">IF($AB19&gt;CDS.Tenor,"-",NORMSINV(AE19))</f>
        <v>-2.0841049213945508</v>
      </c>
      <c r="AG19" s="360"/>
      <c r="AH19" s="370">
        <f t="shared" si="108"/>
        <v>3.75</v>
      </c>
      <c r="AI19" s="366">
        <f ca="1">IF($AB19&gt;CDS.Tenor,"-",_xlfn.NORM.S.DIST(($AF19-SQRT(ImpliedCorrelation)*AI$3)/SQRT(1-ImpliedCorrelation),TRUE))</f>
        <v>1.8575312252222323E-2</v>
      </c>
      <c r="AJ19" s="366">
        <f ca="1">IF($AB19&gt;CDS.Tenor,"-",_xlfn.NORM.S.DIST(($AF19-SQRT(ImpliedCorrelation)*AJ$3)/SQRT(1-ImpliedCorrelation),TRUE))</f>
        <v>1.8575312252222323E-2</v>
      </c>
      <c r="AK19" s="366">
        <f ca="1">IF($AB19&gt;CDS.Tenor,"-",_xlfn.NORM.S.DIST(($AF19-SQRT(ImpliedCorrelation)*AK$3)/SQRT(1-ImpliedCorrelation),TRUE))</f>
        <v>1.8575312252222323E-2</v>
      </c>
      <c r="AL19" s="366">
        <f ca="1">IF($AB19&gt;CDS.Tenor,"-",_xlfn.NORM.S.DIST(($AF19-SQRT(ImpliedCorrelation)*AL$3)/SQRT(1-ImpliedCorrelation),TRUE))</f>
        <v>1.8575312252222323E-2</v>
      </c>
      <c r="AM19" s="366">
        <f ca="1">IF($AB19&gt;CDS.Tenor,"-",_xlfn.NORM.S.DIST(($AF19-SQRT(ImpliedCorrelation)*AM$3)/SQRT(1-ImpliedCorrelation),TRUE))</f>
        <v>1.8575312252222323E-2</v>
      </c>
      <c r="AN19" s="366">
        <f ca="1">IF($AB19&gt;CDS.Tenor,"-",_xlfn.NORM.S.DIST(($AF19-SQRT(ImpliedCorrelation)*AN$3)/SQRT(1-ImpliedCorrelation),TRUE))</f>
        <v>1.8575312252222323E-2</v>
      </c>
      <c r="AO19" s="366">
        <f ca="1">IF($AB19&gt;CDS.Tenor,"-",_xlfn.NORM.S.DIST(($AF19-SQRT(ImpliedCorrelation)*AO$3)/SQRT(1-ImpliedCorrelation),TRUE))</f>
        <v>1.8575312252222323E-2</v>
      </c>
      <c r="AP19" s="366">
        <f ca="1">IF($AB19&gt;CDS.Tenor,"-",_xlfn.NORM.S.DIST(($AF19-SQRT(ImpliedCorrelation)*AP$3)/SQRT(1-ImpliedCorrelation),TRUE))</f>
        <v>1.8575312252222323E-2</v>
      </c>
      <c r="AQ19" s="366">
        <f ca="1">IF($AB19&gt;CDS.Tenor,"-",_xlfn.NORM.S.DIST(($AF19-SQRT(ImpliedCorrelation)*AQ$3)/SQRT(1-ImpliedCorrelation),TRUE))</f>
        <v>1.8575312252222323E-2</v>
      </c>
      <c r="AR19" s="366">
        <f ca="1">IF($AB19&gt;CDS.Tenor,"-",_xlfn.NORM.S.DIST(($AF19-SQRT(ImpliedCorrelation)*AR$3)/SQRT(1-ImpliedCorrelation),TRUE))</f>
        <v>1.8575312252222323E-2</v>
      </c>
      <c r="AS19" s="366">
        <f ca="1">IF($AB19&gt;CDS.Tenor,"-",_xlfn.NORM.S.DIST(($AF19-SQRT(ImpliedCorrelation)*AS$3)/SQRT(1-ImpliedCorrelation),TRUE))</f>
        <v>1.8575312252222323E-2</v>
      </c>
      <c r="AT19" s="366">
        <f ca="1">IF($AB19&gt;CDS.Tenor,"-",_xlfn.NORM.S.DIST(($AF19-SQRT(ImpliedCorrelation)*AT$3)/SQRT(1-ImpliedCorrelation),TRUE))</f>
        <v>1.8575312252222323E-2</v>
      </c>
      <c r="AU19" s="366">
        <f ca="1">IF($AB19&gt;CDS.Tenor,"-",_xlfn.NORM.S.DIST(($AF19-SQRT(ImpliedCorrelation)*AU$3)/SQRT(1-ImpliedCorrelation),TRUE))</f>
        <v>1.8575312252222323E-2</v>
      </c>
      <c r="AV19" s="366">
        <f ca="1">IF($AB19&gt;CDS.Tenor,"-",_xlfn.NORM.S.DIST(($AF19-SQRT(ImpliedCorrelation)*AV$3)/SQRT(1-ImpliedCorrelation),TRUE))</f>
        <v>1.8575312252222323E-2</v>
      </c>
      <c r="AW19" s="366">
        <f ca="1">IF($AB19&gt;CDS.Tenor,"-",_xlfn.NORM.S.DIST(($AF19-SQRT(ImpliedCorrelation)*AW$3)/SQRT(1-ImpliedCorrelation),TRUE))</f>
        <v>1.8575312252222323E-2</v>
      </c>
      <c r="AX19" s="366">
        <f ca="1">IF($AB19&gt;CDS.Tenor,"-",_xlfn.NORM.S.DIST(($AF19-SQRT(ImpliedCorrelation)*AX$3)/SQRT(1-ImpliedCorrelation),TRUE))</f>
        <v>1.8575312252222323E-2</v>
      </c>
      <c r="AY19" s="366">
        <f ca="1">IF($AB19&gt;CDS.Tenor,"-",_xlfn.NORM.S.DIST(($AF19-SQRT(ImpliedCorrelation)*AY$3)/SQRT(1-ImpliedCorrelation),TRUE))</f>
        <v>1.8575312252222323E-2</v>
      </c>
      <c r="AZ19" s="366">
        <f ca="1">IF($AB19&gt;CDS.Tenor,"-",_xlfn.NORM.S.DIST(($AF19-SQRT(ImpliedCorrelation)*AZ$3)/SQRT(1-ImpliedCorrelation),TRUE))</f>
        <v>1.8575312252222323E-2</v>
      </c>
      <c r="BA19" s="366">
        <f ca="1">IF($AB19&gt;CDS.Tenor,"-",_xlfn.NORM.S.DIST(($AF19-SQRT(ImpliedCorrelation)*BA$3)/SQRT(1-ImpliedCorrelation),TRUE))</f>
        <v>1.8575312252222323E-2</v>
      </c>
      <c r="BB19" s="366">
        <f ca="1">IF($AB19&gt;CDS.Tenor,"-",_xlfn.NORM.S.DIST(($AF19-SQRT(ImpliedCorrelation)*BB$3)/SQRT(1-ImpliedCorrelation),TRUE))</f>
        <v>1.8575312252222323E-2</v>
      </c>
      <c r="BC19" s="366">
        <f ca="1">IF($AB19&gt;CDS.Tenor,"-",_xlfn.NORM.S.DIST(($AF19-SQRT(ImpliedCorrelation)*BC$3)/SQRT(1-ImpliedCorrelation),TRUE))</f>
        <v>1.8575312252222323E-2</v>
      </c>
      <c r="BD19" s="366"/>
      <c r="BE19" s="370">
        <f t="shared" si="109"/>
        <v>3.75</v>
      </c>
      <c r="BF19" s="366">
        <f ca="1">IF($AB19&gt;CDS.Tenor,"-",1-AI19)</f>
        <v>0.98142468774777769</v>
      </c>
      <c r="BG19" s="366">
        <f ca="1">IF($AB19&gt;CDS.Tenor,"-",1-AJ19)</f>
        <v>0.98142468774777769</v>
      </c>
      <c r="BH19" s="366">
        <f ca="1">IF($AB19&gt;CDS.Tenor,"-",1-AK19)</f>
        <v>0.98142468774777769</v>
      </c>
      <c r="BI19" s="366">
        <f ca="1">IF($AB19&gt;CDS.Tenor,"-",1-AL19)</f>
        <v>0.98142468774777769</v>
      </c>
      <c r="BJ19" s="366">
        <f ca="1">IF($AB19&gt;CDS.Tenor,"-",1-AM19)</f>
        <v>0.98142468774777769</v>
      </c>
      <c r="BK19" s="366">
        <f ca="1">IF($AB19&gt;CDS.Tenor,"-",1-AN19)</f>
        <v>0.98142468774777769</v>
      </c>
      <c r="BL19" s="366">
        <f ca="1">IF($AB19&gt;CDS.Tenor,"-",1-AO19)</f>
        <v>0.98142468774777769</v>
      </c>
      <c r="BM19" s="366">
        <f ca="1">IF($AB19&gt;CDS.Tenor,"-",1-AP19)</f>
        <v>0.98142468774777769</v>
      </c>
      <c r="BN19" s="366">
        <f ca="1">IF($AB19&gt;CDS.Tenor,"-",1-AQ19)</f>
        <v>0.98142468774777769</v>
      </c>
      <c r="BO19" s="366">
        <f ca="1">IF($AB19&gt;CDS.Tenor,"-",1-AR19)</f>
        <v>0.98142468774777769</v>
      </c>
      <c r="BP19" s="366">
        <f ca="1">IF($AB19&gt;CDS.Tenor,"-",1-AS19)</f>
        <v>0.98142468774777769</v>
      </c>
      <c r="BQ19" s="366">
        <f ca="1">IF($AB19&gt;CDS.Tenor,"-",1-AT19)</f>
        <v>0.98142468774777769</v>
      </c>
      <c r="BR19" s="366">
        <f ca="1">IF($AB19&gt;CDS.Tenor,"-",1-AU19)</f>
        <v>0.98142468774777769</v>
      </c>
      <c r="BS19" s="366">
        <f ca="1">IF($AB19&gt;CDS.Tenor,"-",1-AV19)</f>
        <v>0.98142468774777769</v>
      </c>
      <c r="BT19" s="366">
        <f ca="1">IF($AB19&gt;CDS.Tenor,"-",1-AW19)</f>
        <v>0.98142468774777769</v>
      </c>
      <c r="BU19" s="366">
        <f ca="1">IF($AB19&gt;CDS.Tenor,"-",1-AX19)</f>
        <v>0.98142468774777769</v>
      </c>
      <c r="BV19" s="366">
        <f ca="1">IF($AB19&gt;CDS.Tenor,"-",1-AY19)</f>
        <v>0.98142468774777769</v>
      </c>
      <c r="BW19" s="366">
        <f ca="1">IF($AB19&gt;CDS.Tenor,"-",1-AZ19)</f>
        <v>0.98142468774777769</v>
      </c>
      <c r="BX19" s="366">
        <f ca="1">IF($AB19&gt;CDS.Tenor,"-",1-BA19)</f>
        <v>0.98142468774777769</v>
      </c>
      <c r="BY19" s="366">
        <f ca="1">IF($AB19&gt;CDS.Tenor,"-",1-BB19)</f>
        <v>0.98142468774777769</v>
      </c>
      <c r="BZ19" s="366">
        <f ca="1">IF($AB19&gt;CDS.Tenor,"-",1-BC19)</f>
        <v>0.98142468774777769</v>
      </c>
      <c r="CA19" s="17"/>
      <c r="CB19" s="352" cm="1">
        <f t="array" aca="1" ref="CB19" ca="1">IF($AB19&gt;CDS.Tenor,"-",flatInterpolation(AB19,INDIRECT(HazardRateTimes2),INDIRECT(HazardRateValues2)))</f>
        <v>5.8333333333333336E-3</v>
      </c>
      <c r="CC19" s="10">
        <f t="shared" ca="1" si="110"/>
        <v>0.97836252272341173</v>
      </c>
      <c r="CD19" s="10">
        <f t="shared" ca="1" si="111"/>
        <v>2.1637477276588268E-2</v>
      </c>
      <c r="CE19" s="81">
        <f t="shared" ca="1" si="112"/>
        <v>-2.0210464728440596</v>
      </c>
      <c r="CF19" s="360"/>
      <c r="CG19" s="370">
        <f t="shared" si="113"/>
        <v>3.75</v>
      </c>
      <c r="CH19" s="366">
        <f ca="1">IF($AB19&gt;CDS.Tenor,"-",_xlfn.NORM.S.DIST(($CE19-SQRT(ImpliedCorrelation)*CH$3)/SQRT(1-ImpliedCorrelation),TRUE))</f>
        <v>2.1637477276588265E-2</v>
      </c>
      <c r="CI19" s="366">
        <f ca="1">IF($AB19&gt;CDS.Tenor,"-",_xlfn.NORM.S.DIST(($CE19-SQRT(ImpliedCorrelation)*CI$3)/SQRT(1-ImpliedCorrelation),TRUE))</f>
        <v>2.1637477276588265E-2</v>
      </c>
      <c r="CJ19" s="366">
        <f ca="1">IF($AB19&gt;CDS.Tenor,"-",_xlfn.NORM.S.DIST(($CE19-SQRT(ImpliedCorrelation)*CJ$3)/SQRT(1-ImpliedCorrelation),TRUE))</f>
        <v>2.1637477276588265E-2</v>
      </c>
      <c r="CK19" s="366">
        <f ca="1">IF($AB19&gt;CDS.Tenor,"-",_xlfn.NORM.S.DIST(($CE19-SQRT(ImpliedCorrelation)*CK$3)/SQRT(1-ImpliedCorrelation),TRUE))</f>
        <v>2.1637477276588265E-2</v>
      </c>
      <c r="CL19" s="366">
        <f ca="1">IF($AB19&gt;CDS.Tenor,"-",_xlfn.NORM.S.DIST(($CE19-SQRT(ImpliedCorrelation)*CL$3)/SQRT(1-ImpliedCorrelation),TRUE))</f>
        <v>2.1637477276588265E-2</v>
      </c>
      <c r="CM19" s="366">
        <f ca="1">IF($AB19&gt;CDS.Tenor,"-",_xlfn.NORM.S.DIST(($CE19-SQRT(ImpliedCorrelation)*CM$3)/SQRT(1-ImpliedCorrelation),TRUE))</f>
        <v>2.1637477276588265E-2</v>
      </c>
      <c r="CN19" s="366">
        <f ca="1">IF($AB19&gt;CDS.Tenor,"-",_xlfn.NORM.S.DIST(($CE19-SQRT(ImpliedCorrelation)*CN$3)/SQRT(1-ImpliedCorrelation),TRUE))</f>
        <v>2.1637477276588265E-2</v>
      </c>
      <c r="CO19" s="366">
        <f ca="1">IF($AB19&gt;CDS.Tenor,"-",_xlfn.NORM.S.DIST(($CE19-SQRT(ImpliedCorrelation)*CO$3)/SQRT(1-ImpliedCorrelation),TRUE))</f>
        <v>2.1637477276588265E-2</v>
      </c>
      <c r="CP19" s="366">
        <f ca="1">IF($AB19&gt;CDS.Tenor,"-",_xlfn.NORM.S.DIST(($CE19-SQRT(ImpliedCorrelation)*CP$3)/SQRT(1-ImpliedCorrelation),TRUE))</f>
        <v>2.1637477276588265E-2</v>
      </c>
      <c r="CQ19" s="366">
        <f ca="1">IF($AB19&gt;CDS.Tenor,"-",_xlfn.NORM.S.DIST(($CE19-SQRT(ImpliedCorrelation)*CQ$3)/SQRT(1-ImpliedCorrelation),TRUE))</f>
        <v>2.1637477276588265E-2</v>
      </c>
      <c r="CR19" s="366">
        <f ca="1">IF($AB19&gt;CDS.Tenor,"-",_xlfn.NORM.S.DIST(($CE19-SQRT(ImpliedCorrelation)*CR$3)/SQRT(1-ImpliedCorrelation),TRUE))</f>
        <v>2.1637477276588265E-2</v>
      </c>
      <c r="CS19" s="366">
        <f ca="1">IF($AB19&gt;CDS.Tenor,"-",_xlfn.NORM.S.DIST(($CE19-SQRT(ImpliedCorrelation)*CS$3)/SQRT(1-ImpliedCorrelation),TRUE))</f>
        <v>2.1637477276588265E-2</v>
      </c>
      <c r="CT19" s="366">
        <f ca="1">IF($AB19&gt;CDS.Tenor,"-",_xlfn.NORM.S.DIST(($CE19-SQRT(ImpliedCorrelation)*CT$3)/SQRT(1-ImpliedCorrelation),TRUE))</f>
        <v>2.1637477276588265E-2</v>
      </c>
      <c r="CU19" s="366">
        <f ca="1">IF($AB19&gt;CDS.Tenor,"-",_xlfn.NORM.S.DIST(($CE19-SQRT(ImpliedCorrelation)*CU$3)/SQRT(1-ImpliedCorrelation),TRUE))</f>
        <v>2.1637477276588265E-2</v>
      </c>
      <c r="CV19" s="366">
        <f ca="1">IF($AB19&gt;CDS.Tenor,"-",_xlfn.NORM.S.DIST(($CE19-SQRT(ImpliedCorrelation)*CV$3)/SQRT(1-ImpliedCorrelation),TRUE))</f>
        <v>2.1637477276588265E-2</v>
      </c>
      <c r="CW19" s="366">
        <f ca="1">IF($AB19&gt;CDS.Tenor,"-",_xlfn.NORM.S.DIST(($CE19-SQRT(ImpliedCorrelation)*CW$3)/SQRT(1-ImpliedCorrelation),TRUE))</f>
        <v>2.1637477276588265E-2</v>
      </c>
      <c r="CX19" s="366">
        <f ca="1">IF($AB19&gt;CDS.Tenor,"-",_xlfn.NORM.S.DIST(($CE19-SQRT(ImpliedCorrelation)*CX$3)/SQRT(1-ImpliedCorrelation),TRUE))</f>
        <v>2.1637477276588265E-2</v>
      </c>
      <c r="CY19" s="366">
        <f ca="1">IF($AB19&gt;CDS.Tenor,"-",_xlfn.NORM.S.DIST(($CE19-SQRT(ImpliedCorrelation)*CY$3)/SQRT(1-ImpliedCorrelation),TRUE))</f>
        <v>2.1637477276588265E-2</v>
      </c>
      <c r="CZ19" s="366">
        <f ca="1">IF($AB19&gt;CDS.Tenor,"-",_xlfn.NORM.S.DIST(($CE19-SQRT(ImpliedCorrelation)*CZ$3)/SQRT(1-ImpliedCorrelation),TRUE))</f>
        <v>2.1637477276588265E-2</v>
      </c>
      <c r="DA19" s="366">
        <f ca="1">IF($AB19&gt;CDS.Tenor,"-",_xlfn.NORM.S.DIST(($CE19-SQRT(ImpliedCorrelation)*DA$3)/SQRT(1-ImpliedCorrelation),TRUE))</f>
        <v>2.1637477276588265E-2</v>
      </c>
      <c r="DB19" s="366">
        <f ca="1">IF($AB19&gt;CDS.Tenor,"-",_xlfn.NORM.S.DIST(($CE19-SQRT(ImpliedCorrelation)*DB$3)/SQRT(1-ImpliedCorrelation),TRUE))</f>
        <v>2.1637477276588265E-2</v>
      </c>
      <c r="DC19" s="366"/>
      <c r="DD19" s="370">
        <f t="shared" si="114"/>
        <v>3.75</v>
      </c>
      <c r="DE19" s="366">
        <f ca="1">IF($AB19&gt;CDS.Tenor,"-",1-CH19)</f>
        <v>0.97836252272341173</v>
      </c>
      <c r="DF19" s="366">
        <f ca="1">IF($AB19&gt;CDS.Tenor,"-",1-CI19)</f>
        <v>0.97836252272341173</v>
      </c>
      <c r="DG19" s="366">
        <f ca="1">IF($AB19&gt;CDS.Tenor,"-",1-CJ19)</f>
        <v>0.97836252272341173</v>
      </c>
      <c r="DH19" s="366">
        <f ca="1">IF($AB19&gt;CDS.Tenor,"-",1-CK19)</f>
        <v>0.97836252272341173</v>
      </c>
      <c r="DI19" s="366">
        <f ca="1">IF($AB19&gt;CDS.Tenor,"-",1-CL19)</f>
        <v>0.97836252272341173</v>
      </c>
      <c r="DJ19" s="366">
        <f ca="1">IF($AB19&gt;CDS.Tenor,"-",1-CM19)</f>
        <v>0.97836252272341173</v>
      </c>
      <c r="DK19" s="366">
        <f ca="1">IF($AB19&gt;CDS.Tenor,"-",1-CN19)</f>
        <v>0.97836252272341173</v>
      </c>
      <c r="DL19" s="366">
        <f ca="1">IF($AB19&gt;CDS.Tenor,"-",1-CO19)</f>
        <v>0.97836252272341173</v>
      </c>
      <c r="DM19" s="366">
        <f ca="1">IF($AB19&gt;CDS.Tenor,"-",1-CP19)</f>
        <v>0.97836252272341173</v>
      </c>
      <c r="DN19" s="366">
        <f ca="1">IF($AB19&gt;CDS.Tenor,"-",1-CQ19)</f>
        <v>0.97836252272341173</v>
      </c>
      <c r="DO19" s="366">
        <f ca="1">IF($AB19&gt;CDS.Tenor,"-",1-CR19)</f>
        <v>0.97836252272341173</v>
      </c>
      <c r="DP19" s="366">
        <f ca="1">IF($AB19&gt;CDS.Tenor,"-",1-CS19)</f>
        <v>0.97836252272341173</v>
      </c>
      <c r="DQ19" s="366">
        <f ca="1">IF($AB19&gt;CDS.Tenor,"-",1-CT19)</f>
        <v>0.97836252272341173</v>
      </c>
      <c r="DR19" s="366">
        <f ca="1">IF($AB19&gt;CDS.Tenor,"-",1-CU19)</f>
        <v>0.97836252272341173</v>
      </c>
      <c r="DS19" s="366">
        <f ca="1">IF($AB19&gt;CDS.Tenor,"-",1-CV19)</f>
        <v>0.97836252272341173</v>
      </c>
      <c r="DT19" s="366">
        <f ca="1">IF($AB19&gt;CDS.Tenor,"-",1-CW19)</f>
        <v>0.97836252272341173</v>
      </c>
      <c r="DU19" s="366">
        <f ca="1">IF($AB19&gt;CDS.Tenor,"-",1-CX19)</f>
        <v>0.97836252272341173</v>
      </c>
      <c r="DV19" s="366">
        <f ca="1">IF($AB19&gt;CDS.Tenor,"-",1-CY19)</f>
        <v>0.97836252272341173</v>
      </c>
      <c r="DW19" s="366">
        <f ca="1">IF($AB19&gt;CDS.Tenor,"-",1-CZ19)</f>
        <v>0.97836252272341173</v>
      </c>
      <c r="DX19" s="366">
        <f ca="1">IF($AB19&gt;CDS.Tenor,"-",1-DA19)</f>
        <v>0.97836252272341173</v>
      </c>
      <c r="DY19" s="362">
        <f ca="1">IF($AB19&gt;CDS.Tenor,"-",1-DB19)</f>
        <v>0.97836252272341173</v>
      </c>
      <c r="DZ19" s="360"/>
      <c r="EA19" s="352" cm="1">
        <f t="array" aca="1" ref="EA19" ca="1">IF($AB19&gt;CDS.Tenor,"-",flatInterpolation(CC19,INDIRECT(HazardRateTimes3),INDIRECT(HazardRateValues3)))</f>
        <v>7.4999999999999997E-3</v>
      </c>
      <c r="EB19" s="10">
        <f t="shared" ca="1" si="115"/>
        <v>0.97226682585186452</v>
      </c>
      <c r="EC19" s="10">
        <f t="shared" ca="1" si="116"/>
        <v>2.7733174148135475E-2</v>
      </c>
      <c r="ED19" s="81">
        <f t="shared" ca="1" si="117"/>
        <v>-1.9152051317923746</v>
      </c>
      <c r="EF19" s="370">
        <f t="shared" si="118"/>
        <v>3.75</v>
      </c>
      <c r="EG19" s="366">
        <f ca="1">IF($AB19&gt;CDS.Tenor,"-",_xlfn.NORM.S.DIST(($ED19-SQRT(ImpliedCorrelation)*EG$3)/SQRT(1-ImpliedCorrelation),TRUE))</f>
        <v>2.7733174148135465E-2</v>
      </c>
      <c r="EH19" s="366">
        <f ca="1">IF($AB19&gt;CDS.Tenor,"-",_xlfn.NORM.S.DIST(($ED19-SQRT(ImpliedCorrelation)*EH$3)/SQRT(1-ImpliedCorrelation),TRUE))</f>
        <v>2.7733174148135465E-2</v>
      </c>
      <c r="EI19" s="366">
        <f ca="1">IF($AB19&gt;CDS.Tenor,"-",_xlfn.NORM.S.DIST(($ED19-SQRT(ImpliedCorrelation)*EI$3)/SQRT(1-ImpliedCorrelation),TRUE))</f>
        <v>2.7733174148135465E-2</v>
      </c>
      <c r="EJ19" s="366">
        <f ca="1">IF($AB19&gt;CDS.Tenor,"-",_xlfn.NORM.S.DIST(($ED19-SQRT(ImpliedCorrelation)*EJ$3)/SQRT(1-ImpliedCorrelation),TRUE))</f>
        <v>2.7733174148135465E-2</v>
      </c>
      <c r="EK19" s="366">
        <f ca="1">IF($AB19&gt;CDS.Tenor,"-",_xlfn.NORM.S.DIST(($ED19-SQRT(ImpliedCorrelation)*EK$3)/SQRT(1-ImpliedCorrelation),TRUE))</f>
        <v>2.7733174148135465E-2</v>
      </c>
      <c r="EL19" s="366">
        <f ca="1">IF($AB19&gt;CDS.Tenor,"-",_xlfn.NORM.S.DIST(($ED19-SQRT(ImpliedCorrelation)*EL$3)/SQRT(1-ImpliedCorrelation),TRUE))</f>
        <v>2.7733174148135465E-2</v>
      </c>
      <c r="EM19" s="366">
        <f ca="1">IF($AB19&gt;CDS.Tenor,"-",_xlfn.NORM.S.DIST(($ED19-SQRT(ImpliedCorrelation)*EM$3)/SQRT(1-ImpliedCorrelation),TRUE))</f>
        <v>2.7733174148135465E-2</v>
      </c>
      <c r="EN19" s="366">
        <f ca="1">IF($AB19&gt;CDS.Tenor,"-",_xlfn.NORM.S.DIST(($ED19-SQRT(ImpliedCorrelation)*EN$3)/SQRT(1-ImpliedCorrelation),TRUE))</f>
        <v>2.7733174148135465E-2</v>
      </c>
      <c r="EO19" s="366">
        <f ca="1">IF($AB19&gt;CDS.Tenor,"-",_xlfn.NORM.S.DIST(($ED19-SQRT(ImpliedCorrelation)*EO$3)/SQRT(1-ImpliedCorrelation),TRUE))</f>
        <v>2.7733174148135465E-2</v>
      </c>
      <c r="EP19" s="366">
        <f ca="1">IF($AB19&gt;CDS.Tenor,"-",_xlfn.NORM.S.DIST(($ED19-SQRT(ImpliedCorrelation)*EP$3)/SQRT(1-ImpliedCorrelation),TRUE))</f>
        <v>2.7733174148135465E-2</v>
      </c>
      <c r="EQ19" s="366">
        <f ca="1">IF($AB19&gt;CDS.Tenor,"-",_xlfn.NORM.S.DIST(($ED19-SQRT(ImpliedCorrelation)*EQ$3)/SQRT(1-ImpliedCorrelation),TRUE))</f>
        <v>2.7733174148135465E-2</v>
      </c>
      <c r="ER19" s="366">
        <f ca="1">IF($AB19&gt;CDS.Tenor,"-",_xlfn.NORM.S.DIST(($ED19-SQRT(ImpliedCorrelation)*ER$3)/SQRT(1-ImpliedCorrelation),TRUE))</f>
        <v>2.7733174148135465E-2</v>
      </c>
      <c r="ES19" s="366">
        <f ca="1">IF($AB19&gt;CDS.Tenor,"-",_xlfn.NORM.S.DIST(($ED19-SQRT(ImpliedCorrelation)*ES$3)/SQRT(1-ImpliedCorrelation),TRUE))</f>
        <v>2.7733174148135465E-2</v>
      </c>
      <c r="ET19" s="366">
        <f ca="1">IF($AB19&gt;CDS.Tenor,"-",_xlfn.NORM.S.DIST(($ED19-SQRT(ImpliedCorrelation)*ET$3)/SQRT(1-ImpliedCorrelation),TRUE))</f>
        <v>2.7733174148135465E-2</v>
      </c>
      <c r="EU19" s="366">
        <f ca="1">IF($AB19&gt;CDS.Tenor,"-",_xlfn.NORM.S.DIST(($ED19-SQRT(ImpliedCorrelation)*EU$3)/SQRT(1-ImpliedCorrelation),TRUE))</f>
        <v>2.7733174148135465E-2</v>
      </c>
      <c r="EV19" s="366">
        <f ca="1">IF($AB19&gt;CDS.Tenor,"-",_xlfn.NORM.S.DIST(($ED19-SQRT(ImpliedCorrelation)*EV$3)/SQRT(1-ImpliedCorrelation),TRUE))</f>
        <v>2.7733174148135465E-2</v>
      </c>
      <c r="EW19" s="366">
        <f ca="1">IF($AB19&gt;CDS.Tenor,"-",_xlfn.NORM.S.DIST(($ED19-SQRT(ImpliedCorrelation)*EW$3)/SQRT(1-ImpliedCorrelation),TRUE))</f>
        <v>2.7733174148135465E-2</v>
      </c>
      <c r="EX19" s="366">
        <f ca="1">IF($AB19&gt;CDS.Tenor,"-",_xlfn.NORM.S.DIST(($ED19-SQRT(ImpliedCorrelation)*EX$3)/SQRT(1-ImpliedCorrelation),TRUE))</f>
        <v>2.7733174148135465E-2</v>
      </c>
      <c r="EY19" s="366">
        <f ca="1">IF($AB19&gt;CDS.Tenor,"-",_xlfn.NORM.S.DIST(($ED19-SQRT(ImpliedCorrelation)*EY$3)/SQRT(1-ImpliedCorrelation),TRUE))</f>
        <v>2.7733174148135465E-2</v>
      </c>
      <c r="EZ19" s="366">
        <f ca="1">IF($AB19&gt;CDS.Tenor,"-",_xlfn.NORM.S.DIST(($ED19-SQRT(ImpliedCorrelation)*EZ$3)/SQRT(1-ImpliedCorrelation),TRUE))</f>
        <v>2.7733174148135465E-2</v>
      </c>
      <c r="FA19" s="366">
        <f ca="1">IF($AB19&gt;CDS.Tenor,"-",_xlfn.NORM.S.DIST(($ED19-SQRT(ImpliedCorrelation)*FA$3)/SQRT(1-ImpliedCorrelation),TRUE))</f>
        <v>2.7733174148135465E-2</v>
      </c>
      <c r="FB19" s="366"/>
      <c r="FC19" s="370">
        <f t="shared" si="119"/>
        <v>3.75</v>
      </c>
      <c r="FD19" s="366">
        <f ca="1">IF($AB19&gt;CDS.Tenor,"-",1-EG19)</f>
        <v>0.97226682585186452</v>
      </c>
      <c r="FE19" s="366">
        <f ca="1">IF($AB19&gt;CDS.Tenor,"-",1-EH19)</f>
        <v>0.97226682585186452</v>
      </c>
      <c r="FF19" s="366">
        <f ca="1">IF($AB19&gt;CDS.Tenor,"-",1-EI19)</f>
        <v>0.97226682585186452</v>
      </c>
      <c r="FG19" s="366">
        <f ca="1">IF($AB19&gt;CDS.Tenor,"-",1-EJ19)</f>
        <v>0.97226682585186452</v>
      </c>
      <c r="FH19" s="366">
        <f ca="1">IF($AB19&gt;CDS.Tenor,"-",1-EK19)</f>
        <v>0.97226682585186452</v>
      </c>
      <c r="FI19" s="366">
        <f ca="1">IF($AB19&gt;CDS.Tenor,"-",1-EL19)</f>
        <v>0.97226682585186452</v>
      </c>
      <c r="FJ19" s="366">
        <f ca="1">IF($AB19&gt;CDS.Tenor,"-",1-EM19)</f>
        <v>0.97226682585186452</v>
      </c>
      <c r="FK19" s="366">
        <f ca="1">IF($AB19&gt;CDS.Tenor,"-",1-EN19)</f>
        <v>0.97226682585186452</v>
      </c>
      <c r="FL19" s="366">
        <f ca="1">IF($AB19&gt;CDS.Tenor,"-",1-EO19)</f>
        <v>0.97226682585186452</v>
      </c>
      <c r="FM19" s="366">
        <f ca="1">IF($AB19&gt;CDS.Tenor,"-",1-EP19)</f>
        <v>0.97226682585186452</v>
      </c>
      <c r="FN19" s="366">
        <f ca="1">IF($AB19&gt;CDS.Tenor,"-",1-EQ19)</f>
        <v>0.97226682585186452</v>
      </c>
      <c r="FO19" s="366">
        <f ca="1">IF($AB19&gt;CDS.Tenor,"-",1-ER19)</f>
        <v>0.97226682585186452</v>
      </c>
      <c r="FP19" s="366">
        <f ca="1">IF($AB19&gt;CDS.Tenor,"-",1-ES19)</f>
        <v>0.97226682585186452</v>
      </c>
      <c r="FQ19" s="366">
        <f ca="1">IF($AB19&gt;CDS.Tenor,"-",1-ET19)</f>
        <v>0.97226682585186452</v>
      </c>
      <c r="FR19" s="366">
        <f ca="1">IF($AB19&gt;CDS.Tenor,"-",1-EU19)</f>
        <v>0.97226682585186452</v>
      </c>
      <c r="FS19" s="366">
        <f ca="1">IF($AB19&gt;CDS.Tenor,"-",1-EV19)</f>
        <v>0.97226682585186452</v>
      </c>
      <c r="FT19" s="366">
        <f ca="1">IF($AB19&gt;CDS.Tenor,"-",1-EW19)</f>
        <v>0.97226682585186452</v>
      </c>
      <c r="FU19" s="366">
        <f ca="1">IF($AB19&gt;CDS.Tenor,"-",1-EX19)</f>
        <v>0.97226682585186452</v>
      </c>
      <c r="FV19" s="366">
        <f ca="1">IF($AB19&gt;CDS.Tenor,"-",1-EY19)</f>
        <v>0.97226682585186452</v>
      </c>
      <c r="FW19" s="366">
        <f ca="1">IF($AB19&gt;CDS.Tenor,"-",1-EZ19)</f>
        <v>0.97226682585186452</v>
      </c>
      <c r="FX19" s="362">
        <f ca="1">IF($AB19&gt;CDS.Tenor,"-",1-FA19)</f>
        <v>0.97226682585186452</v>
      </c>
      <c r="FZ19" s="370">
        <f t="shared" si="120"/>
        <v>3.75</v>
      </c>
      <c r="GA19" s="366">
        <f ca="1">IF($AB19&gt;CDS.Tenor,"-",BF19*DE19*FD19)</f>
        <v>0.93356004091711176</v>
      </c>
      <c r="GB19" s="366">
        <f ca="1">IF($AB19&gt;CDS.Tenor,"-",BG19*DF19*FE19)</f>
        <v>0.93356004091711176</v>
      </c>
      <c r="GC19" s="366">
        <f ca="1">IF($AB19&gt;CDS.Tenor,"-",BH19*DG19*FF19)</f>
        <v>0.93356004091711176</v>
      </c>
      <c r="GD19" s="366">
        <f ca="1">IF($AB19&gt;CDS.Tenor,"-",BI19*DH19*FG19)</f>
        <v>0.93356004091711176</v>
      </c>
      <c r="GE19" s="366">
        <f ca="1">IF($AB19&gt;CDS.Tenor,"-",BJ19*DI19*FH19)</f>
        <v>0.93356004091711176</v>
      </c>
      <c r="GF19" s="366">
        <f ca="1">IF($AB19&gt;CDS.Tenor,"-",BK19*DJ19*FI19)</f>
        <v>0.93356004091711176</v>
      </c>
      <c r="GG19" s="366">
        <f ca="1">IF($AB19&gt;CDS.Tenor,"-",BL19*DK19*FJ19)</f>
        <v>0.93356004091711176</v>
      </c>
      <c r="GH19" s="366">
        <f ca="1">IF($AB19&gt;CDS.Tenor,"-",BM19*DL19*FK19)</f>
        <v>0.93356004091711176</v>
      </c>
      <c r="GI19" s="366">
        <f ca="1">IF($AB19&gt;CDS.Tenor,"-",BN19*DM19*FL19)</f>
        <v>0.93356004091711176</v>
      </c>
      <c r="GJ19" s="366">
        <f ca="1">IF($AB19&gt;CDS.Tenor,"-",BO19*DN19*FM19)</f>
        <v>0.93356004091711176</v>
      </c>
      <c r="GK19" s="366">
        <f ca="1">IF($AB19&gt;CDS.Tenor,"-",BP19*DO19*FN19)</f>
        <v>0.93356004091711176</v>
      </c>
      <c r="GL19" s="366">
        <f ca="1">IF($AB19&gt;CDS.Tenor,"-",BQ19*DP19*FO19)</f>
        <v>0.93356004091711176</v>
      </c>
      <c r="GM19" s="366">
        <f ca="1">IF($AB19&gt;CDS.Tenor,"-",BR19*DQ19*FP19)</f>
        <v>0.93356004091711176</v>
      </c>
      <c r="GN19" s="366">
        <f ca="1">IF($AB19&gt;CDS.Tenor,"-",BS19*DR19*FQ19)</f>
        <v>0.93356004091711176</v>
      </c>
      <c r="GO19" s="366">
        <f ca="1">IF($AB19&gt;CDS.Tenor,"-",BT19*DS19*FR19)</f>
        <v>0.93356004091711176</v>
      </c>
      <c r="GP19" s="366">
        <f ca="1">IF($AB19&gt;CDS.Tenor,"-",BU19*DT19*FS19)</f>
        <v>0.93356004091711176</v>
      </c>
      <c r="GQ19" s="366">
        <f ca="1">IF($AB19&gt;CDS.Tenor,"-",BV19*DU19*FT19)</f>
        <v>0.93356004091711176</v>
      </c>
      <c r="GR19" s="366">
        <f ca="1">IF($AB19&gt;CDS.Tenor,"-",BW19*DV19*FU19)</f>
        <v>0.93356004091711176</v>
      </c>
      <c r="GS19" s="366">
        <f ca="1">IF($AB19&gt;CDS.Tenor,"-",BX19*DW19*FV19)</f>
        <v>0.93356004091711176</v>
      </c>
      <c r="GT19" s="366">
        <f ca="1">IF($AB19&gt;CDS.Tenor,"-",BY19*DX19*FW19)</f>
        <v>0.93356004091711176</v>
      </c>
      <c r="GU19" s="362">
        <f ca="1">IF($AB19&gt;CDS.Tenor,"-",BZ19*DY19*FX19)</f>
        <v>0.93356004091711176</v>
      </c>
      <c r="GV19" s="42"/>
      <c r="GW19" s="370">
        <f t="shared" si="121"/>
        <v>3.75</v>
      </c>
      <c r="GX19" s="378">
        <f ca="1">IF($AB19&gt;CDS.Tenor,"-",SUMPRODUCT($GA19:$GU19,$GA$4:$GU$4)*dm)</f>
        <v>0.93355993444475527</v>
      </c>
      <c r="GY19" s="381">
        <f ca="1">IF($AB19&gt;CDS.Tenor,"-",GX18-GX19)</f>
        <v>4.2886369850350103E-3</v>
      </c>
    </row>
    <row r="20" spans="2:207" x14ac:dyDescent="0.3">
      <c r="B20" s="1" t="s">
        <v>340</v>
      </c>
      <c r="H20" s="1" t="s">
        <v>350</v>
      </c>
      <c r="J20" s="156">
        <f t="shared" si="103"/>
        <v>4</v>
      </c>
      <c r="K20" s="28">
        <f>IF($J20&gt;CDS.Tenor,"-",CDS.PremiumSign*CDS.Notional*CDS.YearFraction*CDS.CreditSpread)</f>
        <v>-25000</v>
      </c>
      <c r="L20" s="10">
        <f ca="1">GX20</f>
        <v>0.9292909087357295</v>
      </c>
      <c r="M20" s="10">
        <f ca="1">IF($J20&gt;CDS.Tenor,"-",L19-L20)</f>
        <v>4.2690257090257644E-3</v>
      </c>
      <c r="N20" s="94" cm="1">
        <f t="array" ref="N20">IF($J20&gt;CDS.Tenor,"-",cubicInterpolation(CurveResults.Times,CurveResults.DFs,$J20))</f>
        <v>0.84616093081343713</v>
      </c>
      <c r="O20" s="28">
        <f ca="1">IF($J20&gt;CDS.Tenor,"-",K20*L20*N20)</f>
        <v>-19658.241508307241</v>
      </c>
      <c r="P20" s="28">
        <f ca="1">IF($J20&gt;CDS.Tenor,"-",0.5*K20*M20*N20)</f>
        <v>-45.153534595196675</v>
      </c>
      <c r="Q20" s="142">
        <f ca="1">IF($J20&gt;CDS.Tenor,"-",O20+P20)</f>
        <v>-19703.395042902437</v>
      </c>
      <c r="T20" s="156">
        <f t="shared" si="104"/>
        <v>4</v>
      </c>
      <c r="U20" s="28">
        <f>IF($J20&gt;CDS.Tenor,"-",CDS.ProtectionSign*CDS.Notional*(1-CDS.RecoveryRate))</f>
        <v>6000000</v>
      </c>
      <c r="V20" s="10">
        <f ca="1">IF($J20&gt;CDS.Tenor,"-",GX20)</f>
        <v>0.9292909087357295</v>
      </c>
      <c r="W20" s="10">
        <f ca="1">IF($J20&gt;CDS.Tenor,"-",V19-V20)</f>
        <v>4.2690257090257644E-3</v>
      </c>
      <c r="X20" s="94" cm="1">
        <f t="array" ref="X20">IF($T20&gt;CDS.Tenor,"-",cubicInterpolation(CurveResults.Times,CurveResults.DFs,$J20))</f>
        <v>0.84616093081343713</v>
      </c>
      <c r="Y20" s="142">
        <f ca="1">IF($J20&gt;CDS.Tenor,"-",U20*W20*X20)</f>
        <v>21673.696605694404</v>
      </c>
      <c r="AB20" s="156">
        <f t="shared" si="105"/>
        <v>4</v>
      </c>
      <c r="AC20" s="352" cm="1">
        <f t="array" aca="1" ref="AC20" ca="1">IF($AB20&gt;CDS.Tenor,"-",flatInterpolation(AA20,INDIRECT(HazardRateTimes1),INDIRECT(HazardRateValues1)))</f>
        <v>5.0000000000000001E-3</v>
      </c>
      <c r="AD20" s="10">
        <f t="shared" ca="1" si="106"/>
        <v>0.98019867330675592</v>
      </c>
      <c r="AE20" s="10">
        <f t="shared" ca="1" si="107"/>
        <v>1.9801326693244081E-2</v>
      </c>
      <c r="AF20" s="360">
        <f ca="1">IF($AB20&gt;CDS.Tenor,"-",NORMSINV(AE20))</f>
        <v>-2.0578695923363179</v>
      </c>
      <c r="AG20" s="360"/>
      <c r="AH20" s="370">
        <f t="shared" si="108"/>
        <v>4</v>
      </c>
      <c r="AI20" s="366">
        <f ca="1">IF($AB20&gt;CDS.Tenor,"-",_xlfn.NORM.S.DIST(($AF20-SQRT(ImpliedCorrelation)*AI$3)/SQRT(1-ImpliedCorrelation),TRUE))</f>
        <v>1.9801326693244078E-2</v>
      </c>
      <c r="AJ20" s="366">
        <f ca="1">IF($AB20&gt;CDS.Tenor,"-",_xlfn.NORM.S.DIST(($AF20-SQRT(ImpliedCorrelation)*AJ$3)/SQRT(1-ImpliedCorrelation),TRUE))</f>
        <v>1.9801326693244078E-2</v>
      </c>
      <c r="AK20" s="366">
        <f ca="1">IF($AB20&gt;CDS.Tenor,"-",_xlfn.NORM.S.DIST(($AF20-SQRT(ImpliedCorrelation)*AK$3)/SQRT(1-ImpliedCorrelation),TRUE))</f>
        <v>1.9801326693244078E-2</v>
      </c>
      <c r="AL20" s="366">
        <f ca="1">IF($AB20&gt;CDS.Tenor,"-",_xlfn.NORM.S.DIST(($AF20-SQRT(ImpliedCorrelation)*AL$3)/SQRT(1-ImpliedCorrelation),TRUE))</f>
        <v>1.9801326693244078E-2</v>
      </c>
      <c r="AM20" s="366">
        <f ca="1">IF($AB20&gt;CDS.Tenor,"-",_xlfn.NORM.S.DIST(($AF20-SQRT(ImpliedCorrelation)*AM$3)/SQRT(1-ImpliedCorrelation),TRUE))</f>
        <v>1.9801326693244078E-2</v>
      </c>
      <c r="AN20" s="366">
        <f ca="1">IF($AB20&gt;CDS.Tenor,"-",_xlfn.NORM.S.DIST(($AF20-SQRT(ImpliedCorrelation)*AN$3)/SQRT(1-ImpliedCorrelation),TRUE))</f>
        <v>1.9801326693244078E-2</v>
      </c>
      <c r="AO20" s="366">
        <f ca="1">IF($AB20&gt;CDS.Tenor,"-",_xlfn.NORM.S.DIST(($AF20-SQRT(ImpliedCorrelation)*AO$3)/SQRT(1-ImpliedCorrelation),TRUE))</f>
        <v>1.9801326693244078E-2</v>
      </c>
      <c r="AP20" s="366">
        <f ca="1">IF($AB20&gt;CDS.Tenor,"-",_xlfn.NORM.S.DIST(($AF20-SQRT(ImpliedCorrelation)*AP$3)/SQRT(1-ImpliedCorrelation),TRUE))</f>
        <v>1.9801326693244078E-2</v>
      </c>
      <c r="AQ20" s="366">
        <f ca="1">IF($AB20&gt;CDS.Tenor,"-",_xlfn.NORM.S.DIST(($AF20-SQRT(ImpliedCorrelation)*AQ$3)/SQRT(1-ImpliedCorrelation),TRUE))</f>
        <v>1.9801326693244078E-2</v>
      </c>
      <c r="AR20" s="366">
        <f ca="1">IF($AB20&gt;CDS.Tenor,"-",_xlfn.NORM.S.DIST(($AF20-SQRT(ImpliedCorrelation)*AR$3)/SQRT(1-ImpliedCorrelation),TRUE))</f>
        <v>1.9801326693244078E-2</v>
      </c>
      <c r="AS20" s="366">
        <f ca="1">IF($AB20&gt;CDS.Tenor,"-",_xlfn.NORM.S.DIST(($AF20-SQRT(ImpliedCorrelation)*AS$3)/SQRT(1-ImpliedCorrelation),TRUE))</f>
        <v>1.9801326693244078E-2</v>
      </c>
      <c r="AT20" s="366">
        <f ca="1">IF($AB20&gt;CDS.Tenor,"-",_xlfn.NORM.S.DIST(($AF20-SQRT(ImpliedCorrelation)*AT$3)/SQRT(1-ImpliedCorrelation),TRUE))</f>
        <v>1.9801326693244078E-2</v>
      </c>
      <c r="AU20" s="366">
        <f ca="1">IF($AB20&gt;CDS.Tenor,"-",_xlfn.NORM.S.DIST(($AF20-SQRT(ImpliedCorrelation)*AU$3)/SQRT(1-ImpliedCorrelation),TRUE))</f>
        <v>1.9801326693244078E-2</v>
      </c>
      <c r="AV20" s="366">
        <f ca="1">IF($AB20&gt;CDS.Tenor,"-",_xlfn.NORM.S.DIST(($AF20-SQRT(ImpliedCorrelation)*AV$3)/SQRT(1-ImpliedCorrelation),TRUE))</f>
        <v>1.9801326693244078E-2</v>
      </c>
      <c r="AW20" s="366">
        <f ca="1">IF($AB20&gt;CDS.Tenor,"-",_xlfn.NORM.S.DIST(($AF20-SQRT(ImpliedCorrelation)*AW$3)/SQRT(1-ImpliedCorrelation),TRUE))</f>
        <v>1.9801326693244078E-2</v>
      </c>
      <c r="AX20" s="366">
        <f ca="1">IF($AB20&gt;CDS.Tenor,"-",_xlfn.NORM.S.DIST(($AF20-SQRT(ImpliedCorrelation)*AX$3)/SQRT(1-ImpliedCorrelation),TRUE))</f>
        <v>1.9801326693244078E-2</v>
      </c>
      <c r="AY20" s="366">
        <f ca="1">IF($AB20&gt;CDS.Tenor,"-",_xlfn.NORM.S.DIST(($AF20-SQRT(ImpliedCorrelation)*AY$3)/SQRT(1-ImpliedCorrelation),TRUE))</f>
        <v>1.9801326693244078E-2</v>
      </c>
      <c r="AZ20" s="366">
        <f ca="1">IF($AB20&gt;CDS.Tenor,"-",_xlfn.NORM.S.DIST(($AF20-SQRT(ImpliedCorrelation)*AZ$3)/SQRT(1-ImpliedCorrelation),TRUE))</f>
        <v>1.9801326693244078E-2</v>
      </c>
      <c r="BA20" s="366">
        <f ca="1">IF($AB20&gt;CDS.Tenor,"-",_xlfn.NORM.S.DIST(($AF20-SQRT(ImpliedCorrelation)*BA$3)/SQRT(1-ImpliedCorrelation),TRUE))</f>
        <v>1.9801326693244078E-2</v>
      </c>
      <c r="BB20" s="366">
        <f ca="1">IF($AB20&gt;CDS.Tenor,"-",_xlfn.NORM.S.DIST(($AF20-SQRT(ImpliedCorrelation)*BB$3)/SQRT(1-ImpliedCorrelation),TRUE))</f>
        <v>1.9801326693244078E-2</v>
      </c>
      <c r="BC20" s="366">
        <f ca="1">IF($AB20&gt;CDS.Tenor,"-",_xlfn.NORM.S.DIST(($AF20-SQRT(ImpliedCorrelation)*BC$3)/SQRT(1-ImpliedCorrelation),TRUE))</f>
        <v>1.9801326693244078E-2</v>
      </c>
      <c r="BD20" s="366"/>
      <c r="BE20" s="370">
        <f t="shared" si="109"/>
        <v>4</v>
      </c>
      <c r="BF20" s="366">
        <f ca="1">IF($AB20&gt;CDS.Tenor,"-",1-AI20)</f>
        <v>0.98019867330675592</v>
      </c>
      <c r="BG20" s="366">
        <f ca="1">IF($AB20&gt;CDS.Tenor,"-",1-AJ20)</f>
        <v>0.98019867330675592</v>
      </c>
      <c r="BH20" s="366">
        <f ca="1">IF($AB20&gt;CDS.Tenor,"-",1-AK20)</f>
        <v>0.98019867330675592</v>
      </c>
      <c r="BI20" s="366">
        <f ca="1">IF($AB20&gt;CDS.Tenor,"-",1-AL20)</f>
        <v>0.98019867330675592</v>
      </c>
      <c r="BJ20" s="366">
        <f ca="1">IF($AB20&gt;CDS.Tenor,"-",1-AM20)</f>
        <v>0.98019867330675592</v>
      </c>
      <c r="BK20" s="366">
        <f ca="1">IF($AB20&gt;CDS.Tenor,"-",1-AN20)</f>
        <v>0.98019867330675592</v>
      </c>
      <c r="BL20" s="366">
        <f ca="1">IF($AB20&gt;CDS.Tenor,"-",1-AO20)</f>
        <v>0.98019867330675592</v>
      </c>
      <c r="BM20" s="366">
        <f ca="1">IF($AB20&gt;CDS.Tenor,"-",1-AP20)</f>
        <v>0.98019867330675592</v>
      </c>
      <c r="BN20" s="366">
        <f ca="1">IF($AB20&gt;CDS.Tenor,"-",1-AQ20)</f>
        <v>0.98019867330675592</v>
      </c>
      <c r="BO20" s="366">
        <f ca="1">IF($AB20&gt;CDS.Tenor,"-",1-AR20)</f>
        <v>0.98019867330675592</v>
      </c>
      <c r="BP20" s="366">
        <f ca="1">IF($AB20&gt;CDS.Tenor,"-",1-AS20)</f>
        <v>0.98019867330675592</v>
      </c>
      <c r="BQ20" s="366">
        <f ca="1">IF($AB20&gt;CDS.Tenor,"-",1-AT20)</f>
        <v>0.98019867330675592</v>
      </c>
      <c r="BR20" s="366">
        <f ca="1">IF($AB20&gt;CDS.Tenor,"-",1-AU20)</f>
        <v>0.98019867330675592</v>
      </c>
      <c r="BS20" s="366">
        <f ca="1">IF($AB20&gt;CDS.Tenor,"-",1-AV20)</f>
        <v>0.98019867330675592</v>
      </c>
      <c r="BT20" s="366">
        <f ca="1">IF($AB20&gt;CDS.Tenor,"-",1-AW20)</f>
        <v>0.98019867330675592</v>
      </c>
      <c r="BU20" s="366">
        <f ca="1">IF($AB20&gt;CDS.Tenor,"-",1-AX20)</f>
        <v>0.98019867330675592</v>
      </c>
      <c r="BV20" s="366">
        <f ca="1">IF($AB20&gt;CDS.Tenor,"-",1-AY20)</f>
        <v>0.98019867330675592</v>
      </c>
      <c r="BW20" s="366">
        <f ca="1">IF($AB20&gt;CDS.Tenor,"-",1-AZ20)</f>
        <v>0.98019867330675592</v>
      </c>
      <c r="BX20" s="366">
        <f ca="1">IF($AB20&gt;CDS.Tenor,"-",1-BA20)</f>
        <v>0.98019867330675592</v>
      </c>
      <c r="BY20" s="366">
        <f ca="1">IF($AB20&gt;CDS.Tenor,"-",1-BB20)</f>
        <v>0.98019867330675592</v>
      </c>
      <c r="BZ20" s="366">
        <f ca="1">IF($AB20&gt;CDS.Tenor,"-",1-BC20)</f>
        <v>0.98019867330675592</v>
      </c>
      <c r="CA20" s="17"/>
      <c r="CB20" s="352" cm="1">
        <f t="array" aca="1" ref="CB20" ca="1">IF($AB20&gt;CDS.Tenor,"-",flatInterpolation(AB20,INDIRECT(HazardRateTimes2),INDIRECT(HazardRateValues2)))</f>
        <v>5.8333333333333336E-3</v>
      </c>
      <c r="CC20" s="10">
        <f t="shared" ca="1" si="110"/>
        <v>0.97693678389834759</v>
      </c>
      <c r="CD20" s="10">
        <f t="shared" ca="1" si="111"/>
        <v>2.3063216101652406E-2</v>
      </c>
      <c r="CE20" s="81">
        <f t="shared" ca="1" si="112"/>
        <v>-1.9942345120077234</v>
      </c>
      <c r="CF20" s="360"/>
      <c r="CG20" s="370">
        <f t="shared" si="113"/>
        <v>4</v>
      </c>
      <c r="CH20" s="366">
        <f ca="1">IF($AB20&gt;CDS.Tenor,"-",_xlfn.NORM.S.DIST(($CE20-SQRT(ImpliedCorrelation)*CH$3)/SQRT(1-ImpliedCorrelation),TRUE))</f>
        <v>2.306321610165242E-2</v>
      </c>
      <c r="CI20" s="366">
        <f ca="1">IF($AB20&gt;CDS.Tenor,"-",_xlfn.NORM.S.DIST(($CE20-SQRT(ImpliedCorrelation)*CI$3)/SQRT(1-ImpliedCorrelation),TRUE))</f>
        <v>2.306321610165242E-2</v>
      </c>
      <c r="CJ20" s="366">
        <f ca="1">IF($AB20&gt;CDS.Tenor,"-",_xlfn.NORM.S.DIST(($CE20-SQRT(ImpliedCorrelation)*CJ$3)/SQRT(1-ImpliedCorrelation),TRUE))</f>
        <v>2.306321610165242E-2</v>
      </c>
      <c r="CK20" s="366">
        <f ca="1">IF($AB20&gt;CDS.Tenor,"-",_xlfn.NORM.S.DIST(($CE20-SQRT(ImpliedCorrelation)*CK$3)/SQRT(1-ImpliedCorrelation),TRUE))</f>
        <v>2.306321610165242E-2</v>
      </c>
      <c r="CL20" s="366">
        <f ca="1">IF($AB20&gt;CDS.Tenor,"-",_xlfn.NORM.S.DIST(($CE20-SQRT(ImpliedCorrelation)*CL$3)/SQRT(1-ImpliedCorrelation),TRUE))</f>
        <v>2.306321610165242E-2</v>
      </c>
      <c r="CM20" s="366">
        <f ca="1">IF($AB20&gt;CDS.Tenor,"-",_xlfn.NORM.S.DIST(($CE20-SQRT(ImpliedCorrelation)*CM$3)/SQRT(1-ImpliedCorrelation),TRUE))</f>
        <v>2.306321610165242E-2</v>
      </c>
      <c r="CN20" s="366">
        <f ca="1">IF($AB20&gt;CDS.Tenor,"-",_xlfn.NORM.S.DIST(($CE20-SQRT(ImpliedCorrelation)*CN$3)/SQRT(1-ImpliedCorrelation),TRUE))</f>
        <v>2.306321610165242E-2</v>
      </c>
      <c r="CO20" s="366">
        <f ca="1">IF($AB20&gt;CDS.Tenor,"-",_xlfn.NORM.S.DIST(($CE20-SQRT(ImpliedCorrelation)*CO$3)/SQRT(1-ImpliedCorrelation),TRUE))</f>
        <v>2.306321610165242E-2</v>
      </c>
      <c r="CP20" s="366">
        <f ca="1">IF($AB20&gt;CDS.Tenor,"-",_xlfn.NORM.S.DIST(($CE20-SQRT(ImpliedCorrelation)*CP$3)/SQRT(1-ImpliedCorrelation),TRUE))</f>
        <v>2.306321610165242E-2</v>
      </c>
      <c r="CQ20" s="366">
        <f ca="1">IF($AB20&gt;CDS.Tenor,"-",_xlfn.NORM.S.DIST(($CE20-SQRT(ImpliedCorrelation)*CQ$3)/SQRT(1-ImpliedCorrelation),TRUE))</f>
        <v>2.306321610165242E-2</v>
      </c>
      <c r="CR20" s="366">
        <f ca="1">IF($AB20&gt;CDS.Tenor,"-",_xlfn.NORM.S.DIST(($CE20-SQRT(ImpliedCorrelation)*CR$3)/SQRT(1-ImpliedCorrelation),TRUE))</f>
        <v>2.306321610165242E-2</v>
      </c>
      <c r="CS20" s="366">
        <f ca="1">IF($AB20&gt;CDS.Tenor,"-",_xlfn.NORM.S.DIST(($CE20-SQRT(ImpliedCorrelation)*CS$3)/SQRT(1-ImpliedCorrelation),TRUE))</f>
        <v>2.306321610165242E-2</v>
      </c>
      <c r="CT20" s="366">
        <f ca="1">IF($AB20&gt;CDS.Tenor,"-",_xlfn.NORM.S.DIST(($CE20-SQRT(ImpliedCorrelation)*CT$3)/SQRT(1-ImpliedCorrelation),TRUE))</f>
        <v>2.306321610165242E-2</v>
      </c>
      <c r="CU20" s="366">
        <f ca="1">IF($AB20&gt;CDS.Tenor,"-",_xlfn.NORM.S.DIST(($CE20-SQRT(ImpliedCorrelation)*CU$3)/SQRT(1-ImpliedCorrelation),TRUE))</f>
        <v>2.306321610165242E-2</v>
      </c>
      <c r="CV20" s="366">
        <f ca="1">IF($AB20&gt;CDS.Tenor,"-",_xlfn.NORM.S.DIST(($CE20-SQRT(ImpliedCorrelation)*CV$3)/SQRT(1-ImpliedCorrelation),TRUE))</f>
        <v>2.306321610165242E-2</v>
      </c>
      <c r="CW20" s="366">
        <f ca="1">IF($AB20&gt;CDS.Tenor,"-",_xlfn.NORM.S.DIST(($CE20-SQRT(ImpliedCorrelation)*CW$3)/SQRT(1-ImpliedCorrelation),TRUE))</f>
        <v>2.306321610165242E-2</v>
      </c>
      <c r="CX20" s="366">
        <f ca="1">IF($AB20&gt;CDS.Tenor,"-",_xlfn.NORM.S.DIST(($CE20-SQRT(ImpliedCorrelation)*CX$3)/SQRT(1-ImpliedCorrelation),TRUE))</f>
        <v>2.306321610165242E-2</v>
      </c>
      <c r="CY20" s="366">
        <f ca="1">IF($AB20&gt;CDS.Tenor,"-",_xlfn.NORM.S.DIST(($CE20-SQRT(ImpliedCorrelation)*CY$3)/SQRT(1-ImpliedCorrelation),TRUE))</f>
        <v>2.306321610165242E-2</v>
      </c>
      <c r="CZ20" s="366">
        <f ca="1">IF($AB20&gt;CDS.Tenor,"-",_xlfn.NORM.S.DIST(($CE20-SQRT(ImpliedCorrelation)*CZ$3)/SQRT(1-ImpliedCorrelation),TRUE))</f>
        <v>2.306321610165242E-2</v>
      </c>
      <c r="DA20" s="366">
        <f ca="1">IF($AB20&gt;CDS.Tenor,"-",_xlfn.NORM.S.DIST(($CE20-SQRT(ImpliedCorrelation)*DA$3)/SQRT(1-ImpliedCorrelation),TRUE))</f>
        <v>2.306321610165242E-2</v>
      </c>
      <c r="DB20" s="366">
        <f ca="1">IF($AB20&gt;CDS.Tenor,"-",_xlfn.NORM.S.DIST(($CE20-SQRT(ImpliedCorrelation)*DB$3)/SQRT(1-ImpliedCorrelation),TRUE))</f>
        <v>2.306321610165242E-2</v>
      </c>
      <c r="DC20" s="366"/>
      <c r="DD20" s="370">
        <f t="shared" si="114"/>
        <v>4</v>
      </c>
      <c r="DE20" s="366">
        <f ca="1">IF($AB20&gt;CDS.Tenor,"-",1-CH20)</f>
        <v>0.97693678389834759</v>
      </c>
      <c r="DF20" s="366">
        <f ca="1">IF($AB20&gt;CDS.Tenor,"-",1-CI20)</f>
        <v>0.97693678389834759</v>
      </c>
      <c r="DG20" s="366">
        <f ca="1">IF($AB20&gt;CDS.Tenor,"-",1-CJ20)</f>
        <v>0.97693678389834759</v>
      </c>
      <c r="DH20" s="366">
        <f ca="1">IF($AB20&gt;CDS.Tenor,"-",1-CK20)</f>
        <v>0.97693678389834759</v>
      </c>
      <c r="DI20" s="366">
        <f ca="1">IF($AB20&gt;CDS.Tenor,"-",1-CL20)</f>
        <v>0.97693678389834759</v>
      </c>
      <c r="DJ20" s="366">
        <f ca="1">IF($AB20&gt;CDS.Tenor,"-",1-CM20)</f>
        <v>0.97693678389834759</v>
      </c>
      <c r="DK20" s="366">
        <f ca="1">IF($AB20&gt;CDS.Tenor,"-",1-CN20)</f>
        <v>0.97693678389834759</v>
      </c>
      <c r="DL20" s="366">
        <f ca="1">IF($AB20&gt;CDS.Tenor,"-",1-CO20)</f>
        <v>0.97693678389834759</v>
      </c>
      <c r="DM20" s="366">
        <f ca="1">IF($AB20&gt;CDS.Tenor,"-",1-CP20)</f>
        <v>0.97693678389834759</v>
      </c>
      <c r="DN20" s="366">
        <f ca="1">IF($AB20&gt;CDS.Tenor,"-",1-CQ20)</f>
        <v>0.97693678389834759</v>
      </c>
      <c r="DO20" s="366">
        <f ca="1">IF($AB20&gt;CDS.Tenor,"-",1-CR20)</f>
        <v>0.97693678389834759</v>
      </c>
      <c r="DP20" s="366">
        <f ca="1">IF($AB20&gt;CDS.Tenor,"-",1-CS20)</f>
        <v>0.97693678389834759</v>
      </c>
      <c r="DQ20" s="366">
        <f ca="1">IF($AB20&gt;CDS.Tenor,"-",1-CT20)</f>
        <v>0.97693678389834759</v>
      </c>
      <c r="DR20" s="366">
        <f ca="1">IF($AB20&gt;CDS.Tenor,"-",1-CU20)</f>
        <v>0.97693678389834759</v>
      </c>
      <c r="DS20" s="366">
        <f ca="1">IF($AB20&gt;CDS.Tenor,"-",1-CV20)</f>
        <v>0.97693678389834759</v>
      </c>
      <c r="DT20" s="366">
        <f ca="1">IF($AB20&gt;CDS.Tenor,"-",1-CW20)</f>
        <v>0.97693678389834759</v>
      </c>
      <c r="DU20" s="366">
        <f ca="1">IF($AB20&gt;CDS.Tenor,"-",1-CX20)</f>
        <v>0.97693678389834759</v>
      </c>
      <c r="DV20" s="366">
        <f ca="1">IF($AB20&gt;CDS.Tenor,"-",1-CY20)</f>
        <v>0.97693678389834759</v>
      </c>
      <c r="DW20" s="366">
        <f ca="1">IF($AB20&gt;CDS.Tenor,"-",1-CZ20)</f>
        <v>0.97693678389834759</v>
      </c>
      <c r="DX20" s="366">
        <f ca="1">IF($AB20&gt;CDS.Tenor,"-",1-DA20)</f>
        <v>0.97693678389834759</v>
      </c>
      <c r="DY20" s="362">
        <f ca="1">IF($AB20&gt;CDS.Tenor,"-",1-DB20)</f>
        <v>0.97693678389834759</v>
      </c>
      <c r="DZ20" s="360"/>
      <c r="EA20" s="352" cm="1">
        <f t="array" aca="1" ref="EA20" ca="1">IF($AB20&gt;CDS.Tenor,"-",flatInterpolation(CC20,INDIRECT(HazardRateTimes3),INDIRECT(HazardRateValues3)))</f>
        <v>7.4999999999999997E-3</v>
      </c>
      <c r="EB20" s="10">
        <f t="shared" ca="1" si="115"/>
        <v>0.97044553354850838</v>
      </c>
      <c r="EC20" s="10">
        <f t="shared" ca="1" si="116"/>
        <v>2.9554466451491623E-2</v>
      </c>
      <c r="ED20" s="81">
        <f t="shared" ca="1" si="117"/>
        <v>-1.8873822342171713</v>
      </c>
      <c r="EF20" s="370">
        <f t="shared" si="118"/>
        <v>4</v>
      </c>
      <c r="EG20" s="366">
        <f ca="1">IF($AB20&gt;CDS.Tenor,"-",_xlfn.NORM.S.DIST(($ED20-SQRT(ImpliedCorrelation)*EG$3)/SQRT(1-ImpliedCorrelation),TRUE))</f>
        <v>2.955446645149163E-2</v>
      </c>
      <c r="EH20" s="366">
        <f ca="1">IF($AB20&gt;CDS.Tenor,"-",_xlfn.NORM.S.DIST(($ED20-SQRT(ImpliedCorrelation)*EH$3)/SQRT(1-ImpliedCorrelation),TRUE))</f>
        <v>2.955446645149163E-2</v>
      </c>
      <c r="EI20" s="366">
        <f ca="1">IF($AB20&gt;CDS.Tenor,"-",_xlfn.NORM.S.DIST(($ED20-SQRT(ImpliedCorrelation)*EI$3)/SQRT(1-ImpliedCorrelation),TRUE))</f>
        <v>2.955446645149163E-2</v>
      </c>
      <c r="EJ20" s="366">
        <f ca="1">IF($AB20&gt;CDS.Tenor,"-",_xlfn.NORM.S.DIST(($ED20-SQRT(ImpliedCorrelation)*EJ$3)/SQRT(1-ImpliedCorrelation),TRUE))</f>
        <v>2.955446645149163E-2</v>
      </c>
      <c r="EK20" s="366">
        <f ca="1">IF($AB20&gt;CDS.Tenor,"-",_xlfn.NORM.S.DIST(($ED20-SQRT(ImpliedCorrelation)*EK$3)/SQRT(1-ImpliedCorrelation),TRUE))</f>
        <v>2.955446645149163E-2</v>
      </c>
      <c r="EL20" s="366">
        <f ca="1">IF($AB20&gt;CDS.Tenor,"-",_xlfn.NORM.S.DIST(($ED20-SQRT(ImpliedCorrelation)*EL$3)/SQRT(1-ImpliedCorrelation),TRUE))</f>
        <v>2.955446645149163E-2</v>
      </c>
      <c r="EM20" s="366">
        <f ca="1">IF($AB20&gt;CDS.Tenor,"-",_xlfn.NORM.S.DIST(($ED20-SQRT(ImpliedCorrelation)*EM$3)/SQRT(1-ImpliedCorrelation),TRUE))</f>
        <v>2.955446645149163E-2</v>
      </c>
      <c r="EN20" s="366">
        <f ca="1">IF($AB20&gt;CDS.Tenor,"-",_xlfn.NORM.S.DIST(($ED20-SQRT(ImpliedCorrelation)*EN$3)/SQRT(1-ImpliedCorrelation),TRUE))</f>
        <v>2.955446645149163E-2</v>
      </c>
      <c r="EO20" s="366">
        <f ca="1">IF($AB20&gt;CDS.Tenor,"-",_xlfn.NORM.S.DIST(($ED20-SQRT(ImpliedCorrelation)*EO$3)/SQRT(1-ImpliedCorrelation),TRUE))</f>
        <v>2.955446645149163E-2</v>
      </c>
      <c r="EP20" s="366">
        <f ca="1">IF($AB20&gt;CDS.Tenor,"-",_xlfn.NORM.S.DIST(($ED20-SQRT(ImpliedCorrelation)*EP$3)/SQRT(1-ImpliedCorrelation),TRUE))</f>
        <v>2.955446645149163E-2</v>
      </c>
      <c r="EQ20" s="366">
        <f ca="1">IF($AB20&gt;CDS.Tenor,"-",_xlfn.NORM.S.DIST(($ED20-SQRT(ImpliedCorrelation)*EQ$3)/SQRT(1-ImpliedCorrelation),TRUE))</f>
        <v>2.955446645149163E-2</v>
      </c>
      <c r="ER20" s="366">
        <f ca="1">IF($AB20&gt;CDS.Tenor,"-",_xlfn.NORM.S.DIST(($ED20-SQRT(ImpliedCorrelation)*ER$3)/SQRT(1-ImpliedCorrelation),TRUE))</f>
        <v>2.955446645149163E-2</v>
      </c>
      <c r="ES20" s="366">
        <f ca="1">IF($AB20&gt;CDS.Tenor,"-",_xlfn.NORM.S.DIST(($ED20-SQRT(ImpliedCorrelation)*ES$3)/SQRT(1-ImpliedCorrelation),TRUE))</f>
        <v>2.955446645149163E-2</v>
      </c>
      <c r="ET20" s="366">
        <f ca="1">IF($AB20&gt;CDS.Tenor,"-",_xlfn.NORM.S.DIST(($ED20-SQRT(ImpliedCorrelation)*ET$3)/SQRT(1-ImpliedCorrelation),TRUE))</f>
        <v>2.955446645149163E-2</v>
      </c>
      <c r="EU20" s="366">
        <f ca="1">IF($AB20&gt;CDS.Tenor,"-",_xlfn.NORM.S.DIST(($ED20-SQRT(ImpliedCorrelation)*EU$3)/SQRT(1-ImpliedCorrelation),TRUE))</f>
        <v>2.955446645149163E-2</v>
      </c>
      <c r="EV20" s="366">
        <f ca="1">IF($AB20&gt;CDS.Tenor,"-",_xlfn.NORM.S.DIST(($ED20-SQRT(ImpliedCorrelation)*EV$3)/SQRT(1-ImpliedCorrelation),TRUE))</f>
        <v>2.955446645149163E-2</v>
      </c>
      <c r="EW20" s="366">
        <f ca="1">IF($AB20&gt;CDS.Tenor,"-",_xlfn.NORM.S.DIST(($ED20-SQRT(ImpliedCorrelation)*EW$3)/SQRT(1-ImpliedCorrelation),TRUE))</f>
        <v>2.955446645149163E-2</v>
      </c>
      <c r="EX20" s="366">
        <f ca="1">IF($AB20&gt;CDS.Tenor,"-",_xlfn.NORM.S.DIST(($ED20-SQRT(ImpliedCorrelation)*EX$3)/SQRT(1-ImpliedCorrelation),TRUE))</f>
        <v>2.955446645149163E-2</v>
      </c>
      <c r="EY20" s="366">
        <f ca="1">IF($AB20&gt;CDS.Tenor,"-",_xlfn.NORM.S.DIST(($ED20-SQRT(ImpliedCorrelation)*EY$3)/SQRT(1-ImpliedCorrelation),TRUE))</f>
        <v>2.955446645149163E-2</v>
      </c>
      <c r="EZ20" s="366">
        <f ca="1">IF($AB20&gt;CDS.Tenor,"-",_xlfn.NORM.S.DIST(($ED20-SQRT(ImpliedCorrelation)*EZ$3)/SQRT(1-ImpliedCorrelation),TRUE))</f>
        <v>2.955446645149163E-2</v>
      </c>
      <c r="FA20" s="366">
        <f ca="1">IF($AB20&gt;CDS.Tenor,"-",_xlfn.NORM.S.DIST(($ED20-SQRT(ImpliedCorrelation)*FA$3)/SQRT(1-ImpliedCorrelation),TRUE))</f>
        <v>2.955446645149163E-2</v>
      </c>
      <c r="FB20" s="366"/>
      <c r="FC20" s="370">
        <f t="shared" si="119"/>
        <v>4</v>
      </c>
      <c r="FD20" s="366">
        <f ca="1">IF($AB20&gt;CDS.Tenor,"-",1-EG20)</f>
        <v>0.97044553354850838</v>
      </c>
      <c r="FE20" s="366">
        <f ca="1">IF($AB20&gt;CDS.Tenor,"-",1-EH20)</f>
        <v>0.97044553354850838</v>
      </c>
      <c r="FF20" s="366">
        <f ca="1">IF($AB20&gt;CDS.Tenor,"-",1-EI20)</f>
        <v>0.97044553354850838</v>
      </c>
      <c r="FG20" s="366">
        <f ca="1">IF($AB20&gt;CDS.Tenor,"-",1-EJ20)</f>
        <v>0.97044553354850838</v>
      </c>
      <c r="FH20" s="366">
        <f ca="1">IF($AB20&gt;CDS.Tenor,"-",1-EK20)</f>
        <v>0.97044553354850838</v>
      </c>
      <c r="FI20" s="366">
        <f ca="1">IF($AB20&gt;CDS.Tenor,"-",1-EL20)</f>
        <v>0.97044553354850838</v>
      </c>
      <c r="FJ20" s="366">
        <f ca="1">IF($AB20&gt;CDS.Tenor,"-",1-EM20)</f>
        <v>0.97044553354850838</v>
      </c>
      <c r="FK20" s="366">
        <f ca="1">IF($AB20&gt;CDS.Tenor,"-",1-EN20)</f>
        <v>0.97044553354850838</v>
      </c>
      <c r="FL20" s="366">
        <f ca="1">IF($AB20&gt;CDS.Tenor,"-",1-EO20)</f>
        <v>0.97044553354850838</v>
      </c>
      <c r="FM20" s="366">
        <f ca="1">IF($AB20&gt;CDS.Tenor,"-",1-EP20)</f>
        <v>0.97044553354850838</v>
      </c>
      <c r="FN20" s="366">
        <f ca="1">IF($AB20&gt;CDS.Tenor,"-",1-EQ20)</f>
        <v>0.97044553354850838</v>
      </c>
      <c r="FO20" s="366">
        <f ca="1">IF($AB20&gt;CDS.Tenor,"-",1-ER20)</f>
        <v>0.97044553354850838</v>
      </c>
      <c r="FP20" s="366">
        <f ca="1">IF($AB20&gt;CDS.Tenor,"-",1-ES20)</f>
        <v>0.97044553354850838</v>
      </c>
      <c r="FQ20" s="366">
        <f ca="1">IF($AB20&gt;CDS.Tenor,"-",1-ET20)</f>
        <v>0.97044553354850838</v>
      </c>
      <c r="FR20" s="366">
        <f ca="1">IF($AB20&gt;CDS.Tenor,"-",1-EU20)</f>
        <v>0.97044553354850838</v>
      </c>
      <c r="FS20" s="366">
        <f ca="1">IF($AB20&gt;CDS.Tenor,"-",1-EV20)</f>
        <v>0.97044553354850838</v>
      </c>
      <c r="FT20" s="366">
        <f ca="1">IF($AB20&gt;CDS.Tenor,"-",1-EW20)</f>
        <v>0.97044553354850838</v>
      </c>
      <c r="FU20" s="366">
        <f ca="1">IF($AB20&gt;CDS.Tenor,"-",1-EX20)</f>
        <v>0.97044553354850838</v>
      </c>
      <c r="FV20" s="366">
        <f ca="1">IF($AB20&gt;CDS.Tenor,"-",1-EY20)</f>
        <v>0.97044553354850838</v>
      </c>
      <c r="FW20" s="366">
        <f ca="1">IF($AB20&gt;CDS.Tenor,"-",1-EZ20)</f>
        <v>0.97044553354850838</v>
      </c>
      <c r="FX20" s="362">
        <f ca="1">IF($AB20&gt;CDS.Tenor,"-",1-FA20)</f>
        <v>0.97044553354850838</v>
      </c>
      <c r="FZ20" s="370">
        <f t="shared" si="120"/>
        <v>4</v>
      </c>
      <c r="GA20" s="366">
        <f ca="1">IF($AB20&gt;CDS.Tenor,"-",BF20*DE20*FD20)</f>
        <v>0.92929101472120434</v>
      </c>
      <c r="GB20" s="366">
        <f ca="1">IF($AB20&gt;CDS.Tenor,"-",BG20*DF20*FE20)</f>
        <v>0.92929101472120434</v>
      </c>
      <c r="GC20" s="366">
        <f ca="1">IF($AB20&gt;CDS.Tenor,"-",BH20*DG20*FF20)</f>
        <v>0.92929101472120434</v>
      </c>
      <c r="GD20" s="366">
        <f ca="1">IF($AB20&gt;CDS.Tenor,"-",BI20*DH20*FG20)</f>
        <v>0.92929101472120434</v>
      </c>
      <c r="GE20" s="366">
        <f ca="1">IF($AB20&gt;CDS.Tenor,"-",BJ20*DI20*FH20)</f>
        <v>0.92929101472120434</v>
      </c>
      <c r="GF20" s="366">
        <f ca="1">IF($AB20&gt;CDS.Tenor,"-",BK20*DJ20*FI20)</f>
        <v>0.92929101472120434</v>
      </c>
      <c r="GG20" s="366">
        <f ca="1">IF($AB20&gt;CDS.Tenor,"-",BL20*DK20*FJ20)</f>
        <v>0.92929101472120434</v>
      </c>
      <c r="GH20" s="366">
        <f ca="1">IF($AB20&gt;CDS.Tenor,"-",BM20*DL20*FK20)</f>
        <v>0.92929101472120434</v>
      </c>
      <c r="GI20" s="366">
        <f ca="1">IF($AB20&gt;CDS.Tenor,"-",BN20*DM20*FL20)</f>
        <v>0.92929101472120434</v>
      </c>
      <c r="GJ20" s="366">
        <f ca="1">IF($AB20&gt;CDS.Tenor,"-",BO20*DN20*FM20)</f>
        <v>0.92929101472120434</v>
      </c>
      <c r="GK20" s="366">
        <f ca="1">IF($AB20&gt;CDS.Tenor,"-",BP20*DO20*FN20)</f>
        <v>0.92929101472120434</v>
      </c>
      <c r="GL20" s="366">
        <f ca="1">IF($AB20&gt;CDS.Tenor,"-",BQ20*DP20*FO20)</f>
        <v>0.92929101472120434</v>
      </c>
      <c r="GM20" s="366">
        <f ca="1">IF($AB20&gt;CDS.Tenor,"-",BR20*DQ20*FP20)</f>
        <v>0.92929101472120434</v>
      </c>
      <c r="GN20" s="366">
        <f ca="1">IF($AB20&gt;CDS.Tenor,"-",BS20*DR20*FQ20)</f>
        <v>0.92929101472120434</v>
      </c>
      <c r="GO20" s="366">
        <f ca="1">IF($AB20&gt;CDS.Tenor,"-",BT20*DS20*FR20)</f>
        <v>0.92929101472120434</v>
      </c>
      <c r="GP20" s="366">
        <f ca="1">IF($AB20&gt;CDS.Tenor,"-",BU20*DT20*FS20)</f>
        <v>0.92929101472120434</v>
      </c>
      <c r="GQ20" s="366">
        <f ca="1">IF($AB20&gt;CDS.Tenor,"-",BV20*DU20*FT20)</f>
        <v>0.92929101472120434</v>
      </c>
      <c r="GR20" s="366">
        <f ca="1">IF($AB20&gt;CDS.Tenor,"-",BW20*DV20*FU20)</f>
        <v>0.92929101472120434</v>
      </c>
      <c r="GS20" s="366">
        <f ca="1">IF($AB20&gt;CDS.Tenor,"-",BX20*DW20*FV20)</f>
        <v>0.92929101472120434</v>
      </c>
      <c r="GT20" s="366">
        <f ca="1">IF($AB20&gt;CDS.Tenor,"-",BY20*DX20*FW20)</f>
        <v>0.92929101472120434</v>
      </c>
      <c r="GU20" s="362">
        <f ca="1">IF($AB20&gt;CDS.Tenor,"-",BZ20*DY20*FX20)</f>
        <v>0.92929101472120434</v>
      </c>
      <c r="GV20" s="42"/>
      <c r="GW20" s="370">
        <f t="shared" si="121"/>
        <v>4</v>
      </c>
      <c r="GX20" s="378">
        <f ca="1">IF($AB20&gt;CDS.Tenor,"-",SUMPRODUCT($GA20:$GU20,$GA$4:$GU$4)*dm)</f>
        <v>0.9292909087357295</v>
      </c>
      <c r="GY20" s="381">
        <f ca="1">IF($AB20&gt;CDS.Tenor,"-",GX19-GX20)</f>
        <v>4.2690257090257644E-3</v>
      </c>
    </row>
    <row r="21" spans="2:207" x14ac:dyDescent="0.3">
      <c r="B21" s="346" t="str">
        <f>CreditRef1</f>
        <v>AAPL</v>
      </c>
      <c r="F21" s="385" t="s">
        <v>362</v>
      </c>
      <c r="G21" s="384">
        <f>SUM(G17:G19)</f>
        <v>110</v>
      </c>
      <c r="H21" s="373">
        <v>0.5</v>
      </c>
      <c r="J21" s="156">
        <f t="shared" si="103"/>
        <v>4.25</v>
      </c>
      <c r="K21" s="28">
        <f>IF($J21&gt;CDS.Tenor,"-",CDS.PremiumSign*CDS.Notional*CDS.YearFraction*CDS.CreditSpread)</f>
        <v>-25000</v>
      </c>
      <c r="L21" s="10">
        <f ca="1">GX21</f>
        <v>0.92504140462337026</v>
      </c>
      <c r="M21" s="10">
        <f ca="1">IF($J21&gt;CDS.Tenor,"-",L20-L21)</f>
        <v>4.2495041123592481E-3</v>
      </c>
      <c r="N21" s="94" cm="1">
        <f t="array" ref="N21">IF($J21&gt;CDS.Tenor,"-",cubicInterpolation(CurveResults.Times,CurveResults.DFs,$J21))</f>
        <v>0.83819214507342643</v>
      </c>
      <c r="O21" s="28">
        <f ca="1">IF($J21&gt;CDS.Tenor,"-",K21*L21*N21)</f>
        <v>-19384.060980574955</v>
      </c>
      <c r="P21" s="28">
        <f ca="1">IF($J21&gt;CDS.Tenor,"-",0.5*K21*M21*N21)</f>
        <v>-44.523762092959316</v>
      </c>
      <c r="Q21" s="142">
        <f ca="1">IF($J21&gt;CDS.Tenor,"-",O21+P21)</f>
        <v>-19428.584742667914</v>
      </c>
      <c r="T21" s="156">
        <f t="shared" si="104"/>
        <v>4.25</v>
      </c>
      <c r="U21" s="28">
        <f>IF($J21&gt;CDS.Tenor,"-",CDS.ProtectionSign*CDS.Notional*(1-CDS.RecoveryRate))</f>
        <v>6000000</v>
      </c>
      <c r="V21" s="10">
        <f ca="1">IF($J21&gt;CDS.Tenor,"-",GX21)</f>
        <v>0.92504140462337026</v>
      </c>
      <c r="W21" s="10">
        <f ca="1">IF($J21&gt;CDS.Tenor,"-",V20-V21)</f>
        <v>4.2495041123592481E-3</v>
      </c>
      <c r="X21" s="94" cm="1">
        <f t="array" ref="X21">IF($T21&gt;CDS.Tenor,"-",cubicInterpolation(CurveResults.Times,CurveResults.DFs,$J21))</f>
        <v>0.83819214507342643</v>
      </c>
      <c r="Y21" s="142">
        <f ca="1">IF($J21&gt;CDS.Tenor,"-",U21*W21*X21)</f>
        <v>21371.40580462047</v>
      </c>
      <c r="AB21" s="156">
        <f t="shared" si="105"/>
        <v>4.25</v>
      </c>
      <c r="AC21" s="352" cm="1">
        <f t="array" aca="1" ref="AC21" ca="1">IF($AB21&gt;CDS.Tenor,"-",flatInterpolation(AA21,INDIRECT(HazardRateTimes1),INDIRECT(HazardRateValues1)))</f>
        <v>5.0000000000000001E-3</v>
      </c>
      <c r="AD21" s="10">
        <f t="shared" ca="1" si="106"/>
        <v>0.97897419042636069</v>
      </c>
      <c r="AE21" s="10">
        <f t="shared" ca="1" si="107"/>
        <v>2.1025809573639309E-2</v>
      </c>
      <c r="AF21" s="360">
        <f ca="1">IF($AB21&gt;CDS.Tenor,"-",NORMSINV(AE21))</f>
        <v>-2.0330089464663921</v>
      </c>
      <c r="AG21" s="360"/>
      <c r="AH21" s="370">
        <f t="shared" si="108"/>
        <v>4.25</v>
      </c>
      <c r="AI21" s="366">
        <f ca="1">IF($AB21&gt;CDS.Tenor,"-",_xlfn.NORM.S.DIST(($AF21-SQRT(ImpliedCorrelation)*AI$3)/SQRT(1-ImpliedCorrelation),TRUE))</f>
        <v>2.1025809573639333E-2</v>
      </c>
      <c r="AJ21" s="366">
        <f ca="1">IF($AB21&gt;CDS.Tenor,"-",_xlfn.NORM.S.DIST(($AF21-SQRT(ImpliedCorrelation)*AJ$3)/SQRT(1-ImpliedCorrelation),TRUE))</f>
        <v>2.1025809573639333E-2</v>
      </c>
      <c r="AK21" s="366">
        <f ca="1">IF($AB21&gt;CDS.Tenor,"-",_xlfn.NORM.S.DIST(($AF21-SQRT(ImpliedCorrelation)*AK$3)/SQRT(1-ImpliedCorrelation),TRUE))</f>
        <v>2.1025809573639333E-2</v>
      </c>
      <c r="AL21" s="366">
        <f ca="1">IF($AB21&gt;CDS.Tenor,"-",_xlfn.NORM.S.DIST(($AF21-SQRT(ImpliedCorrelation)*AL$3)/SQRT(1-ImpliedCorrelation),TRUE))</f>
        <v>2.1025809573639333E-2</v>
      </c>
      <c r="AM21" s="366">
        <f ca="1">IF($AB21&gt;CDS.Tenor,"-",_xlfn.NORM.S.DIST(($AF21-SQRT(ImpliedCorrelation)*AM$3)/SQRT(1-ImpliedCorrelation),TRUE))</f>
        <v>2.1025809573639333E-2</v>
      </c>
      <c r="AN21" s="366">
        <f ca="1">IF($AB21&gt;CDS.Tenor,"-",_xlfn.NORM.S.DIST(($AF21-SQRT(ImpliedCorrelation)*AN$3)/SQRT(1-ImpliedCorrelation),TRUE))</f>
        <v>2.1025809573639333E-2</v>
      </c>
      <c r="AO21" s="366">
        <f ca="1">IF($AB21&gt;CDS.Tenor,"-",_xlfn.NORM.S.DIST(($AF21-SQRT(ImpliedCorrelation)*AO$3)/SQRT(1-ImpliedCorrelation),TRUE))</f>
        <v>2.1025809573639333E-2</v>
      </c>
      <c r="AP21" s="366">
        <f ca="1">IF($AB21&gt;CDS.Tenor,"-",_xlfn.NORM.S.DIST(($AF21-SQRT(ImpliedCorrelation)*AP$3)/SQRT(1-ImpliedCorrelation),TRUE))</f>
        <v>2.1025809573639333E-2</v>
      </c>
      <c r="AQ21" s="366">
        <f ca="1">IF($AB21&gt;CDS.Tenor,"-",_xlfn.NORM.S.DIST(($AF21-SQRT(ImpliedCorrelation)*AQ$3)/SQRT(1-ImpliedCorrelation),TRUE))</f>
        <v>2.1025809573639333E-2</v>
      </c>
      <c r="AR21" s="366">
        <f ca="1">IF($AB21&gt;CDS.Tenor,"-",_xlfn.NORM.S.DIST(($AF21-SQRT(ImpliedCorrelation)*AR$3)/SQRT(1-ImpliedCorrelation),TRUE))</f>
        <v>2.1025809573639333E-2</v>
      </c>
      <c r="AS21" s="366">
        <f ca="1">IF($AB21&gt;CDS.Tenor,"-",_xlfn.NORM.S.DIST(($AF21-SQRT(ImpliedCorrelation)*AS$3)/SQRT(1-ImpliedCorrelation),TRUE))</f>
        <v>2.1025809573639333E-2</v>
      </c>
      <c r="AT21" s="366">
        <f ca="1">IF($AB21&gt;CDS.Tenor,"-",_xlfn.NORM.S.DIST(($AF21-SQRT(ImpliedCorrelation)*AT$3)/SQRT(1-ImpliedCorrelation),TRUE))</f>
        <v>2.1025809573639333E-2</v>
      </c>
      <c r="AU21" s="366">
        <f ca="1">IF($AB21&gt;CDS.Tenor,"-",_xlfn.NORM.S.DIST(($AF21-SQRT(ImpliedCorrelation)*AU$3)/SQRT(1-ImpliedCorrelation),TRUE))</f>
        <v>2.1025809573639333E-2</v>
      </c>
      <c r="AV21" s="366">
        <f ca="1">IF($AB21&gt;CDS.Tenor,"-",_xlfn.NORM.S.DIST(($AF21-SQRT(ImpliedCorrelation)*AV$3)/SQRT(1-ImpliedCorrelation),TRUE))</f>
        <v>2.1025809573639333E-2</v>
      </c>
      <c r="AW21" s="366">
        <f ca="1">IF($AB21&gt;CDS.Tenor,"-",_xlfn.NORM.S.DIST(($AF21-SQRT(ImpliedCorrelation)*AW$3)/SQRT(1-ImpliedCorrelation),TRUE))</f>
        <v>2.1025809573639333E-2</v>
      </c>
      <c r="AX21" s="366">
        <f ca="1">IF($AB21&gt;CDS.Tenor,"-",_xlfn.NORM.S.DIST(($AF21-SQRT(ImpliedCorrelation)*AX$3)/SQRT(1-ImpliedCorrelation),TRUE))</f>
        <v>2.1025809573639333E-2</v>
      </c>
      <c r="AY21" s="366">
        <f ca="1">IF($AB21&gt;CDS.Tenor,"-",_xlfn.NORM.S.DIST(($AF21-SQRT(ImpliedCorrelation)*AY$3)/SQRT(1-ImpliedCorrelation),TRUE))</f>
        <v>2.1025809573639333E-2</v>
      </c>
      <c r="AZ21" s="366">
        <f ca="1">IF($AB21&gt;CDS.Tenor,"-",_xlfn.NORM.S.DIST(($AF21-SQRT(ImpliedCorrelation)*AZ$3)/SQRT(1-ImpliedCorrelation),TRUE))</f>
        <v>2.1025809573639333E-2</v>
      </c>
      <c r="BA21" s="366">
        <f ca="1">IF($AB21&gt;CDS.Tenor,"-",_xlfn.NORM.S.DIST(($AF21-SQRT(ImpliedCorrelation)*BA$3)/SQRT(1-ImpliedCorrelation),TRUE))</f>
        <v>2.1025809573639333E-2</v>
      </c>
      <c r="BB21" s="366">
        <f ca="1">IF($AB21&gt;CDS.Tenor,"-",_xlfn.NORM.S.DIST(($AF21-SQRT(ImpliedCorrelation)*BB$3)/SQRT(1-ImpliedCorrelation),TRUE))</f>
        <v>2.1025809573639333E-2</v>
      </c>
      <c r="BC21" s="366">
        <f ca="1">IF($AB21&gt;CDS.Tenor,"-",_xlfn.NORM.S.DIST(($AF21-SQRT(ImpliedCorrelation)*BC$3)/SQRT(1-ImpliedCorrelation),TRUE))</f>
        <v>2.1025809573639333E-2</v>
      </c>
      <c r="BD21" s="366"/>
      <c r="BE21" s="370">
        <f t="shared" si="109"/>
        <v>4.25</v>
      </c>
      <c r="BF21" s="366">
        <f ca="1">IF($AB21&gt;CDS.Tenor,"-",1-AI21)</f>
        <v>0.97897419042636069</v>
      </c>
      <c r="BG21" s="366">
        <f ca="1">IF($AB21&gt;CDS.Tenor,"-",1-AJ21)</f>
        <v>0.97897419042636069</v>
      </c>
      <c r="BH21" s="366">
        <f ca="1">IF($AB21&gt;CDS.Tenor,"-",1-AK21)</f>
        <v>0.97897419042636069</v>
      </c>
      <c r="BI21" s="366">
        <f ca="1">IF($AB21&gt;CDS.Tenor,"-",1-AL21)</f>
        <v>0.97897419042636069</v>
      </c>
      <c r="BJ21" s="366">
        <f ca="1">IF($AB21&gt;CDS.Tenor,"-",1-AM21)</f>
        <v>0.97897419042636069</v>
      </c>
      <c r="BK21" s="366">
        <f ca="1">IF($AB21&gt;CDS.Tenor,"-",1-AN21)</f>
        <v>0.97897419042636069</v>
      </c>
      <c r="BL21" s="366">
        <f ca="1">IF($AB21&gt;CDS.Tenor,"-",1-AO21)</f>
        <v>0.97897419042636069</v>
      </c>
      <c r="BM21" s="366">
        <f ca="1">IF($AB21&gt;CDS.Tenor,"-",1-AP21)</f>
        <v>0.97897419042636069</v>
      </c>
      <c r="BN21" s="366">
        <f ca="1">IF($AB21&gt;CDS.Tenor,"-",1-AQ21)</f>
        <v>0.97897419042636069</v>
      </c>
      <c r="BO21" s="366">
        <f ca="1">IF($AB21&gt;CDS.Tenor,"-",1-AR21)</f>
        <v>0.97897419042636069</v>
      </c>
      <c r="BP21" s="366">
        <f ca="1">IF($AB21&gt;CDS.Tenor,"-",1-AS21)</f>
        <v>0.97897419042636069</v>
      </c>
      <c r="BQ21" s="366">
        <f ca="1">IF($AB21&gt;CDS.Tenor,"-",1-AT21)</f>
        <v>0.97897419042636069</v>
      </c>
      <c r="BR21" s="366">
        <f ca="1">IF($AB21&gt;CDS.Tenor,"-",1-AU21)</f>
        <v>0.97897419042636069</v>
      </c>
      <c r="BS21" s="366">
        <f ca="1">IF($AB21&gt;CDS.Tenor,"-",1-AV21)</f>
        <v>0.97897419042636069</v>
      </c>
      <c r="BT21" s="366">
        <f ca="1">IF($AB21&gt;CDS.Tenor,"-",1-AW21)</f>
        <v>0.97897419042636069</v>
      </c>
      <c r="BU21" s="366">
        <f ca="1">IF($AB21&gt;CDS.Tenor,"-",1-AX21)</f>
        <v>0.97897419042636069</v>
      </c>
      <c r="BV21" s="366">
        <f ca="1">IF($AB21&gt;CDS.Tenor,"-",1-AY21)</f>
        <v>0.97897419042636069</v>
      </c>
      <c r="BW21" s="366">
        <f ca="1">IF($AB21&gt;CDS.Tenor,"-",1-AZ21)</f>
        <v>0.97897419042636069</v>
      </c>
      <c r="BX21" s="366">
        <f ca="1">IF($AB21&gt;CDS.Tenor,"-",1-BA21)</f>
        <v>0.97897419042636069</v>
      </c>
      <c r="BY21" s="366">
        <f ca="1">IF($AB21&gt;CDS.Tenor,"-",1-BB21)</f>
        <v>0.97897419042636069</v>
      </c>
      <c r="BZ21" s="366">
        <f ca="1">IF($AB21&gt;CDS.Tenor,"-",1-BC21)</f>
        <v>0.97897419042636069</v>
      </c>
      <c r="CA21" s="17"/>
      <c r="CB21" s="352" cm="1">
        <f t="array" aca="1" ref="CB21" ca="1">IF($AB21&gt;CDS.Tenor,"-",flatInterpolation(AB21,INDIRECT(HazardRateTimes2),INDIRECT(HazardRateValues2)))</f>
        <v>5.8333333333333336E-3</v>
      </c>
      <c r="CC21" s="10">
        <f t="shared" ca="1" si="110"/>
        <v>0.97551312276038826</v>
      </c>
      <c r="CD21" s="10">
        <f t="shared" ca="1" si="111"/>
        <v>2.4486877239611737E-2</v>
      </c>
      <c r="CE21" s="81">
        <f t="shared" ca="1" si="112"/>
        <v>-1.9688200896580532</v>
      </c>
      <c r="CF21" s="360"/>
      <c r="CG21" s="370">
        <f t="shared" si="113"/>
        <v>4.25</v>
      </c>
      <c r="CH21" s="366">
        <f ca="1">IF($AB21&gt;CDS.Tenor,"-",_xlfn.NORM.S.DIST(($CE21-SQRT(ImpliedCorrelation)*CH$3)/SQRT(1-ImpliedCorrelation),TRUE))</f>
        <v>2.4486877239611723E-2</v>
      </c>
      <c r="CI21" s="366">
        <f ca="1">IF($AB21&gt;CDS.Tenor,"-",_xlfn.NORM.S.DIST(($CE21-SQRT(ImpliedCorrelation)*CI$3)/SQRT(1-ImpliedCorrelation),TRUE))</f>
        <v>2.4486877239611723E-2</v>
      </c>
      <c r="CJ21" s="366">
        <f ca="1">IF($AB21&gt;CDS.Tenor,"-",_xlfn.NORM.S.DIST(($CE21-SQRT(ImpliedCorrelation)*CJ$3)/SQRT(1-ImpliedCorrelation),TRUE))</f>
        <v>2.4486877239611723E-2</v>
      </c>
      <c r="CK21" s="366">
        <f ca="1">IF($AB21&gt;CDS.Tenor,"-",_xlfn.NORM.S.DIST(($CE21-SQRT(ImpliedCorrelation)*CK$3)/SQRT(1-ImpliedCorrelation),TRUE))</f>
        <v>2.4486877239611723E-2</v>
      </c>
      <c r="CL21" s="366">
        <f ca="1">IF($AB21&gt;CDS.Tenor,"-",_xlfn.NORM.S.DIST(($CE21-SQRT(ImpliedCorrelation)*CL$3)/SQRT(1-ImpliedCorrelation),TRUE))</f>
        <v>2.4486877239611723E-2</v>
      </c>
      <c r="CM21" s="366">
        <f ca="1">IF($AB21&gt;CDS.Tenor,"-",_xlfn.NORM.S.DIST(($CE21-SQRT(ImpliedCorrelation)*CM$3)/SQRT(1-ImpliedCorrelation),TRUE))</f>
        <v>2.4486877239611723E-2</v>
      </c>
      <c r="CN21" s="366">
        <f ca="1">IF($AB21&gt;CDS.Tenor,"-",_xlfn.NORM.S.DIST(($CE21-SQRT(ImpliedCorrelation)*CN$3)/SQRT(1-ImpliedCorrelation),TRUE))</f>
        <v>2.4486877239611723E-2</v>
      </c>
      <c r="CO21" s="366">
        <f ca="1">IF($AB21&gt;CDS.Tenor,"-",_xlfn.NORM.S.DIST(($CE21-SQRT(ImpliedCorrelation)*CO$3)/SQRT(1-ImpliedCorrelation),TRUE))</f>
        <v>2.4486877239611723E-2</v>
      </c>
      <c r="CP21" s="366">
        <f ca="1">IF($AB21&gt;CDS.Tenor,"-",_xlfn.NORM.S.DIST(($CE21-SQRT(ImpliedCorrelation)*CP$3)/SQRT(1-ImpliedCorrelation),TRUE))</f>
        <v>2.4486877239611723E-2</v>
      </c>
      <c r="CQ21" s="366">
        <f ca="1">IF($AB21&gt;CDS.Tenor,"-",_xlfn.NORM.S.DIST(($CE21-SQRT(ImpliedCorrelation)*CQ$3)/SQRT(1-ImpliedCorrelation),TRUE))</f>
        <v>2.4486877239611723E-2</v>
      </c>
      <c r="CR21" s="366">
        <f ca="1">IF($AB21&gt;CDS.Tenor,"-",_xlfn.NORM.S.DIST(($CE21-SQRT(ImpliedCorrelation)*CR$3)/SQRT(1-ImpliedCorrelation),TRUE))</f>
        <v>2.4486877239611723E-2</v>
      </c>
      <c r="CS21" s="366">
        <f ca="1">IF($AB21&gt;CDS.Tenor,"-",_xlfn.NORM.S.DIST(($CE21-SQRT(ImpliedCorrelation)*CS$3)/SQRT(1-ImpliedCorrelation),TRUE))</f>
        <v>2.4486877239611723E-2</v>
      </c>
      <c r="CT21" s="366">
        <f ca="1">IF($AB21&gt;CDS.Tenor,"-",_xlfn.NORM.S.DIST(($CE21-SQRT(ImpliedCorrelation)*CT$3)/SQRT(1-ImpliedCorrelation),TRUE))</f>
        <v>2.4486877239611723E-2</v>
      </c>
      <c r="CU21" s="366">
        <f ca="1">IF($AB21&gt;CDS.Tenor,"-",_xlfn.NORM.S.DIST(($CE21-SQRT(ImpliedCorrelation)*CU$3)/SQRT(1-ImpliedCorrelation),TRUE))</f>
        <v>2.4486877239611723E-2</v>
      </c>
      <c r="CV21" s="366">
        <f ca="1">IF($AB21&gt;CDS.Tenor,"-",_xlfn.NORM.S.DIST(($CE21-SQRT(ImpliedCorrelation)*CV$3)/SQRT(1-ImpliedCorrelation),TRUE))</f>
        <v>2.4486877239611723E-2</v>
      </c>
      <c r="CW21" s="366">
        <f ca="1">IF($AB21&gt;CDS.Tenor,"-",_xlfn.NORM.S.DIST(($CE21-SQRT(ImpliedCorrelation)*CW$3)/SQRT(1-ImpliedCorrelation),TRUE))</f>
        <v>2.4486877239611723E-2</v>
      </c>
      <c r="CX21" s="366">
        <f ca="1">IF($AB21&gt;CDS.Tenor,"-",_xlfn.NORM.S.DIST(($CE21-SQRT(ImpliedCorrelation)*CX$3)/SQRT(1-ImpliedCorrelation),TRUE))</f>
        <v>2.4486877239611723E-2</v>
      </c>
      <c r="CY21" s="366">
        <f ca="1">IF($AB21&gt;CDS.Tenor,"-",_xlfn.NORM.S.DIST(($CE21-SQRT(ImpliedCorrelation)*CY$3)/SQRT(1-ImpliedCorrelation),TRUE))</f>
        <v>2.4486877239611723E-2</v>
      </c>
      <c r="CZ21" s="366">
        <f ca="1">IF($AB21&gt;CDS.Tenor,"-",_xlfn.NORM.S.DIST(($CE21-SQRT(ImpliedCorrelation)*CZ$3)/SQRT(1-ImpliedCorrelation),TRUE))</f>
        <v>2.4486877239611723E-2</v>
      </c>
      <c r="DA21" s="366">
        <f ca="1">IF($AB21&gt;CDS.Tenor,"-",_xlfn.NORM.S.DIST(($CE21-SQRT(ImpliedCorrelation)*DA$3)/SQRT(1-ImpliedCorrelation),TRUE))</f>
        <v>2.4486877239611723E-2</v>
      </c>
      <c r="DB21" s="366">
        <f ca="1">IF($AB21&gt;CDS.Tenor,"-",_xlfn.NORM.S.DIST(($CE21-SQRT(ImpliedCorrelation)*DB$3)/SQRT(1-ImpliedCorrelation),TRUE))</f>
        <v>2.4486877239611723E-2</v>
      </c>
      <c r="DC21" s="366"/>
      <c r="DD21" s="370">
        <f t="shared" si="114"/>
        <v>4.25</v>
      </c>
      <c r="DE21" s="366">
        <f ca="1">IF($AB21&gt;CDS.Tenor,"-",1-CH21)</f>
        <v>0.97551312276038826</v>
      </c>
      <c r="DF21" s="366">
        <f ca="1">IF($AB21&gt;CDS.Tenor,"-",1-CI21)</f>
        <v>0.97551312276038826</v>
      </c>
      <c r="DG21" s="366">
        <f ca="1">IF($AB21&gt;CDS.Tenor,"-",1-CJ21)</f>
        <v>0.97551312276038826</v>
      </c>
      <c r="DH21" s="366">
        <f ca="1">IF($AB21&gt;CDS.Tenor,"-",1-CK21)</f>
        <v>0.97551312276038826</v>
      </c>
      <c r="DI21" s="366">
        <f ca="1">IF($AB21&gt;CDS.Tenor,"-",1-CL21)</f>
        <v>0.97551312276038826</v>
      </c>
      <c r="DJ21" s="366">
        <f ca="1">IF($AB21&gt;CDS.Tenor,"-",1-CM21)</f>
        <v>0.97551312276038826</v>
      </c>
      <c r="DK21" s="366">
        <f ca="1">IF($AB21&gt;CDS.Tenor,"-",1-CN21)</f>
        <v>0.97551312276038826</v>
      </c>
      <c r="DL21" s="366">
        <f ca="1">IF($AB21&gt;CDS.Tenor,"-",1-CO21)</f>
        <v>0.97551312276038826</v>
      </c>
      <c r="DM21" s="366">
        <f ca="1">IF($AB21&gt;CDS.Tenor,"-",1-CP21)</f>
        <v>0.97551312276038826</v>
      </c>
      <c r="DN21" s="366">
        <f ca="1">IF($AB21&gt;CDS.Tenor,"-",1-CQ21)</f>
        <v>0.97551312276038826</v>
      </c>
      <c r="DO21" s="366">
        <f ca="1">IF($AB21&gt;CDS.Tenor,"-",1-CR21)</f>
        <v>0.97551312276038826</v>
      </c>
      <c r="DP21" s="366">
        <f ca="1">IF($AB21&gt;CDS.Tenor,"-",1-CS21)</f>
        <v>0.97551312276038826</v>
      </c>
      <c r="DQ21" s="366">
        <f ca="1">IF($AB21&gt;CDS.Tenor,"-",1-CT21)</f>
        <v>0.97551312276038826</v>
      </c>
      <c r="DR21" s="366">
        <f ca="1">IF($AB21&gt;CDS.Tenor,"-",1-CU21)</f>
        <v>0.97551312276038826</v>
      </c>
      <c r="DS21" s="366">
        <f ca="1">IF($AB21&gt;CDS.Tenor,"-",1-CV21)</f>
        <v>0.97551312276038826</v>
      </c>
      <c r="DT21" s="366">
        <f ca="1">IF($AB21&gt;CDS.Tenor,"-",1-CW21)</f>
        <v>0.97551312276038826</v>
      </c>
      <c r="DU21" s="366">
        <f ca="1">IF($AB21&gt;CDS.Tenor,"-",1-CX21)</f>
        <v>0.97551312276038826</v>
      </c>
      <c r="DV21" s="366">
        <f ca="1">IF($AB21&gt;CDS.Tenor,"-",1-CY21)</f>
        <v>0.97551312276038826</v>
      </c>
      <c r="DW21" s="366">
        <f ca="1">IF($AB21&gt;CDS.Tenor,"-",1-CZ21)</f>
        <v>0.97551312276038826</v>
      </c>
      <c r="DX21" s="366">
        <f ca="1">IF($AB21&gt;CDS.Tenor,"-",1-DA21)</f>
        <v>0.97551312276038826</v>
      </c>
      <c r="DY21" s="362">
        <f ca="1">IF($AB21&gt;CDS.Tenor,"-",1-DB21)</f>
        <v>0.97551312276038826</v>
      </c>
      <c r="DZ21" s="360"/>
      <c r="EA21" s="352" cm="1">
        <f t="array" aca="1" ref="EA21" ca="1">IF($AB21&gt;CDS.Tenor,"-",flatInterpolation(CC21,INDIRECT(HazardRateTimes3),INDIRECT(HazardRateValues3)))</f>
        <v>7.4999999999999997E-3</v>
      </c>
      <c r="EB21" s="10">
        <f t="shared" ca="1" si="115"/>
        <v>0.96862765296873066</v>
      </c>
      <c r="EC21" s="10">
        <f t="shared" ca="1" si="116"/>
        <v>3.1372347031269343E-2</v>
      </c>
      <c r="ED21" s="81">
        <f t="shared" ca="1" si="117"/>
        <v>-1.8609963363894626</v>
      </c>
      <c r="EF21" s="370">
        <f t="shared" si="118"/>
        <v>4.25</v>
      </c>
      <c r="EG21" s="366">
        <f ca="1">IF($AB21&gt;CDS.Tenor,"-",_xlfn.NORM.S.DIST(($ED21-SQRT(ImpliedCorrelation)*EG$3)/SQRT(1-ImpliedCorrelation),TRUE))</f>
        <v>3.1372347031269385E-2</v>
      </c>
      <c r="EH21" s="366">
        <f ca="1">IF($AB21&gt;CDS.Tenor,"-",_xlfn.NORM.S.DIST(($ED21-SQRT(ImpliedCorrelation)*EH$3)/SQRT(1-ImpliedCorrelation),TRUE))</f>
        <v>3.1372347031269385E-2</v>
      </c>
      <c r="EI21" s="366">
        <f ca="1">IF($AB21&gt;CDS.Tenor,"-",_xlfn.NORM.S.DIST(($ED21-SQRT(ImpliedCorrelation)*EI$3)/SQRT(1-ImpliedCorrelation),TRUE))</f>
        <v>3.1372347031269385E-2</v>
      </c>
      <c r="EJ21" s="366">
        <f ca="1">IF($AB21&gt;CDS.Tenor,"-",_xlfn.NORM.S.DIST(($ED21-SQRT(ImpliedCorrelation)*EJ$3)/SQRT(1-ImpliedCorrelation),TRUE))</f>
        <v>3.1372347031269385E-2</v>
      </c>
      <c r="EK21" s="366">
        <f ca="1">IF($AB21&gt;CDS.Tenor,"-",_xlfn.NORM.S.DIST(($ED21-SQRT(ImpliedCorrelation)*EK$3)/SQRT(1-ImpliedCorrelation),TRUE))</f>
        <v>3.1372347031269385E-2</v>
      </c>
      <c r="EL21" s="366">
        <f ca="1">IF($AB21&gt;CDS.Tenor,"-",_xlfn.NORM.S.DIST(($ED21-SQRT(ImpliedCorrelation)*EL$3)/SQRT(1-ImpliedCorrelation),TRUE))</f>
        <v>3.1372347031269385E-2</v>
      </c>
      <c r="EM21" s="366">
        <f ca="1">IF($AB21&gt;CDS.Tenor,"-",_xlfn.NORM.S.DIST(($ED21-SQRT(ImpliedCorrelation)*EM$3)/SQRT(1-ImpliedCorrelation),TRUE))</f>
        <v>3.1372347031269385E-2</v>
      </c>
      <c r="EN21" s="366">
        <f ca="1">IF($AB21&gt;CDS.Tenor,"-",_xlfn.NORM.S.DIST(($ED21-SQRT(ImpliedCorrelation)*EN$3)/SQRT(1-ImpliedCorrelation),TRUE))</f>
        <v>3.1372347031269385E-2</v>
      </c>
      <c r="EO21" s="366">
        <f ca="1">IF($AB21&gt;CDS.Tenor,"-",_xlfn.NORM.S.DIST(($ED21-SQRT(ImpliedCorrelation)*EO$3)/SQRT(1-ImpliedCorrelation),TRUE))</f>
        <v>3.1372347031269385E-2</v>
      </c>
      <c r="EP21" s="366">
        <f ca="1">IF($AB21&gt;CDS.Tenor,"-",_xlfn.NORM.S.DIST(($ED21-SQRT(ImpliedCorrelation)*EP$3)/SQRT(1-ImpliedCorrelation),TRUE))</f>
        <v>3.1372347031269385E-2</v>
      </c>
      <c r="EQ21" s="366">
        <f ca="1">IF($AB21&gt;CDS.Tenor,"-",_xlfn.NORM.S.DIST(($ED21-SQRT(ImpliedCorrelation)*EQ$3)/SQRT(1-ImpliedCorrelation),TRUE))</f>
        <v>3.1372347031269385E-2</v>
      </c>
      <c r="ER21" s="366">
        <f ca="1">IF($AB21&gt;CDS.Tenor,"-",_xlfn.NORM.S.DIST(($ED21-SQRT(ImpliedCorrelation)*ER$3)/SQRT(1-ImpliedCorrelation),TRUE))</f>
        <v>3.1372347031269385E-2</v>
      </c>
      <c r="ES21" s="366">
        <f ca="1">IF($AB21&gt;CDS.Tenor,"-",_xlfn.NORM.S.DIST(($ED21-SQRT(ImpliedCorrelation)*ES$3)/SQRT(1-ImpliedCorrelation),TRUE))</f>
        <v>3.1372347031269385E-2</v>
      </c>
      <c r="ET21" s="366">
        <f ca="1">IF($AB21&gt;CDS.Tenor,"-",_xlfn.NORM.S.DIST(($ED21-SQRT(ImpliedCorrelation)*ET$3)/SQRT(1-ImpliedCorrelation),TRUE))</f>
        <v>3.1372347031269385E-2</v>
      </c>
      <c r="EU21" s="366">
        <f ca="1">IF($AB21&gt;CDS.Tenor,"-",_xlfn.NORM.S.DIST(($ED21-SQRT(ImpliedCorrelation)*EU$3)/SQRT(1-ImpliedCorrelation),TRUE))</f>
        <v>3.1372347031269385E-2</v>
      </c>
      <c r="EV21" s="366">
        <f ca="1">IF($AB21&gt;CDS.Tenor,"-",_xlfn.NORM.S.DIST(($ED21-SQRT(ImpliedCorrelation)*EV$3)/SQRT(1-ImpliedCorrelation),TRUE))</f>
        <v>3.1372347031269385E-2</v>
      </c>
      <c r="EW21" s="366">
        <f ca="1">IF($AB21&gt;CDS.Tenor,"-",_xlfn.NORM.S.DIST(($ED21-SQRT(ImpliedCorrelation)*EW$3)/SQRT(1-ImpliedCorrelation),TRUE))</f>
        <v>3.1372347031269385E-2</v>
      </c>
      <c r="EX21" s="366">
        <f ca="1">IF($AB21&gt;CDS.Tenor,"-",_xlfn.NORM.S.DIST(($ED21-SQRT(ImpliedCorrelation)*EX$3)/SQRT(1-ImpliedCorrelation),TRUE))</f>
        <v>3.1372347031269385E-2</v>
      </c>
      <c r="EY21" s="366">
        <f ca="1">IF($AB21&gt;CDS.Tenor,"-",_xlfn.NORM.S.DIST(($ED21-SQRT(ImpliedCorrelation)*EY$3)/SQRT(1-ImpliedCorrelation),TRUE))</f>
        <v>3.1372347031269385E-2</v>
      </c>
      <c r="EZ21" s="366">
        <f ca="1">IF($AB21&gt;CDS.Tenor,"-",_xlfn.NORM.S.DIST(($ED21-SQRT(ImpliedCorrelation)*EZ$3)/SQRT(1-ImpliedCorrelation),TRUE))</f>
        <v>3.1372347031269385E-2</v>
      </c>
      <c r="FA21" s="366">
        <f ca="1">IF($AB21&gt;CDS.Tenor,"-",_xlfn.NORM.S.DIST(($ED21-SQRT(ImpliedCorrelation)*FA$3)/SQRT(1-ImpliedCorrelation),TRUE))</f>
        <v>3.1372347031269385E-2</v>
      </c>
      <c r="FB21" s="366"/>
      <c r="FC21" s="370">
        <f t="shared" si="119"/>
        <v>4.25</v>
      </c>
      <c r="FD21" s="366">
        <f ca="1">IF($AB21&gt;CDS.Tenor,"-",1-EG21)</f>
        <v>0.96862765296873066</v>
      </c>
      <c r="FE21" s="366">
        <f ca="1">IF($AB21&gt;CDS.Tenor,"-",1-EH21)</f>
        <v>0.96862765296873066</v>
      </c>
      <c r="FF21" s="366">
        <f ca="1">IF($AB21&gt;CDS.Tenor,"-",1-EI21)</f>
        <v>0.96862765296873066</v>
      </c>
      <c r="FG21" s="366">
        <f ca="1">IF($AB21&gt;CDS.Tenor,"-",1-EJ21)</f>
        <v>0.96862765296873066</v>
      </c>
      <c r="FH21" s="366">
        <f ca="1">IF($AB21&gt;CDS.Tenor,"-",1-EK21)</f>
        <v>0.96862765296873066</v>
      </c>
      <c r="FI21" s="366">
        <f ca="1">IF($AB21&gt;CDS.Tenor,"-",1-EL21)</f>
        <v>0.96862765296873066</v>
      </c>
      <c r="FJ21" s="366">
        <f ca="1">IF($AB21&gt;CDS.Tenor,"-",1-EM21)</f>
        <v>0.96862765296873066</v>
      </c>
      <c r="FK21" s="366">
        <f ca="1">IF($AB21&gt;CDS.Tenor,"-",1-EN21)</f>
        <v>0.96862765296873066</v>
      </c>
      <c r="FL21" s="366">
        <f ca="1">IF($AB21&gt;CDS.Tenor,"-",1-EO21)</f>
        <v>0.96862765296873066</v>
      </c>
      <c r="FM21" s="366">
        <f ca="1">IF($AB21&gt;CDS.Tenor,"-",1-EP21)</f>
        <v>0.96862765296873066</v>
      </c>
      <c r="FN21" s="366">
        <f ca="1">IF($AB21&gt;CDS.Tenor,"-",1-EQ21)</f>
        <v>0.96862765296873066</v>
      </c>
      <c r="FO21" s="366">
        <f ca="1">IF($AB21&gt;CDS.Tenor,"-",1-ER21)</f>
        <v>0.96862765296873066</v>
      </c>
      <c r="FP21" s="366">
        <f ca="1">IF($AB21&gt;CDS.Tenor,"-",1-ES21)</f>
        <v>0.96862765296873066</v>
      </c>
      <c r="FQ21" s="366">
        <f ca="1">IF($AB21&gt;CDS.Tenor,"-",1-ET21)</f>
        <v>0.96862765296873066</v>
      </c>
      <c r="FR21" s="366">
        <f ca="1">IF($AB21&gt;CDS.Tenor,"-",1-EU21)</f>
        <v>0.96862765296873066</v>
      </c>
      <c r="FS21" s="366">
        <f ca="1">IF($AB21&gt;CDS.Tenor,"-",1-EV21)</f>
        <v>0.96862765296873066</v>
      </c>
      <c r="FT21" s="366">
        <f ca="1">IF($AB21&gt;CDS.Tenor,"-",1-EW21)</f>
        <v>0.96862765296873066</v>
      </c>
      <c r="FU21" s="366">
        <f ca="1">IF($AB21&gt;CDS.Tenor,"-",1-EX21)</f>
        <v>0.96862765296873066</v>
      </c>
      <c r="FV21" s="366">
        <f ca="1">IF($AB21&gt;CDS.Tenor,"-",1-EY21)</f>
        <v>0.96862765296873066</v>
      </c>
      <c r="FW21" s="366">
        <f ca="1">IF($AB21&gt;CDS.Tenor,"-",1-EZ21)</f>
        <v>0.96862765296873066</v>
      </c>
      <c r="FX21" s="362">
        <f ca="1">IF($AB21&gt;CDS.Tenor,"-",1-FA21)</f>
        <v>0.96862765296873066</v>
      </c>
      <c r="FZ21" s="370">
        <f t="shared" si="120"/>
        <v>4.25</v>
      </c>
      <c r="GA21" s="366">
        <f ca="1">IF($AB21&gt;CDS.Tenor,"-",BF21*DE21*FD21)</f>
        <v>0.92504151012419011</v>
      </c>
      <c r="GB21" s="366">
        <f ca="1">IF($AB21&gt;CDS.Tenor,"-",BG21*DF21*FE21)</f>
        <v>0.92504151012419011</v>
      </c>
      <c r="GC21" s="366">
        <f ca="1">IF($AB21&gt;CDS.Tenor,"-",BH21*DG21*FF21)</f>
        <v>0.92504151012419011</v>
      </c>
      <c r="GD21" s="366">
        <f ca="1">IF($AB21&gt;CDS.Tenor,"-",BI21*DH21*FG21)</f>
        <v>0.92504151012419011</v>
      </c>
      <c r="GE21" s="366">
        <f ca="1">IF($AB21&gt;CDS.Tenor,"-",BJ21*DI21*FH21)</f>
        <v>0.92504151012419011</v>
      </c>
      <c r="GF21" s="366">
        <f ca="1">IF($AB21&gt;CDS.Tenor,"-",BK21*DJ21*FI21)</f>
        <v>0.92504151012419011</v>
      </c>
      <c r="GG21" s="366">
        <f ca="1">IF($AB21&gt;CDS.Tenor,"-",BL21*DK21*FJ21)</f>
        <v>0.92504151012419011</v>
      </c>
      <c r="GH21" s="366">
        <f ca="1">IF($AB21&gt;CDS.Tenor,"-",BM21*DL21*FK21)</f>
        <v>0.92504151012419011</v>
      </c>
      <c r="GI21" s="366">
        <f ca="1">IF($AB21&gt;CDS.Tenor,"-",BN21*DM21*FL21)</f>
        <v>0.92504151012419011</v>
      </c>
      <c r="GJ21" s="366">
        <f ca="1">IF($AB21&gt;CDS.Tenor,"-",BO21*DN21*FM21)</f>
        <v>0.92504151012419011</v>
      </c>
      <c r="GK21" s="366">
        <f ca="1">IF($AB21&gt;CDS.Tenor,"-",BP21*DO21*FN21)</f>
        <v>0.92504151012419011</v>
      </c>
      <c r="GL21" s="366">
        <f ca="1">IF($AB21&gt;CDS.Tenor,"-",BQ21*DP21*FO21)</f>
        <v>0.92504151012419011</v>
      </c>
      <c r="GM21" s="366">
        <f ca="1">IF($AB21&gt;CDS.Tenor,"-",BR21*DQ21*FP21)</f>
        <v>0.92504151012419011</v>
      </c>
      <c r="GN21" s="366">
        <f ca="1">IF($AB21&gt;CDS.Tenor,"-",BS21*DR21*FQ21)</f>
        <v>0.92504151012419011</v>
      </c>
      <c r="GO21" s="366">
        <f ca="1">IF($AB21&gt;CDS.Tenor,"-",BT21*DS21*FR21)</f>
        <v>0.92504151012419011</v>
      </c>
      <c r="GP21" s="366">
        <f ca="1">IF($AB21&gt;CDS.Tenor,"-",BU21*DT21*FS21)</f>
        <v>0.92504151012419011</v>
      </c>
      <c r="GQ21" s="366">
        <f ca="1">IF($AB21&gt;CDS.Tenor,"-",BV21*DU21*FT21)</f>
        <v>0.92504151012419011</v>
      </c>
      <c r="GR21" s="366">
        <f ca="1">IF($AB21&gt;CDS.Tenor,"-",BW21*DV21*FU21)</f>
        <v>0.92504151012419011</v>
      </c>
      <c r="GS21" s="366">
        <f ca="1">IF($AB21&gt;CDS.Tenor,"-",BX21*DW21*FV21)</f>
        <v>0.92504151012419011</v>
      </c>
      <c r="GT21" s="366">
        <f ca="1">IF($AB21&gt;CDS.Tenor,"-",BY21*DX21*FW21)</f>
        <v>0.92504151012419011</v>
      </c>
      <c r="GU21" s="362">
        <f ca="1">IF($AB21&gt;CDS.Tenor,"-",BZ21*DY21*FX21)</f>
        <v>0.92504151012419011</v>
      </c>
      <c r="GV21" s="42"/>
      <c r="GW21" s="370">
        <f t="shared" si="121"/>
        <v>4.25</v>
      </c>
      <c r="GX21" s="378">
        <f ca="1">IF($AB21&gt;CDS.Tenor,"-",SUMPRODUCT($GA21:$GU21,$GA$4:$GU$4)*dm)</f>
        <v>0.92504140462337026</v>
      </c>
      <c r="GY21" s="381">
        <f ca="1">IF($AB21&gt;CDS.Tenor,"-",GX20-GX21)</f>
        <v>4.2495041123592481E-3</v>
      </c>
    </row>
    <row r="22" spans="2:207" x14ac:dyDescent="0.3">
      <c r="B22" s="346" t="str">
        <f>"'Credit Curve "&amp;CreditRef1&amp;"'!Calibration.Times"</f>
        <v>'Credit Curve AAPL'!Calibration.Times</v>
      </c>
      <c r="F22" s="385" t="s">
        <v>363</v>
      </c>
      <c r="G22" s="384">
        <f>MAX(G17:G19)</f>
        <v>45</v>
      </c>
      <c r="J22" s="156">
        <f t="shared" si="103"/>
        <v>4.5</v>
      </c>
      <c r="K22" s="28">
        <f>IF($J22&gt;CDS.Tenor,"-",CDS.PremiumSign*CDS.Notional*CDS.YearFraction*CDS.CreditSpread)</f>
        <v>-25000</v>
      </c>
      <c r="L22" s="10">
        <f ca="1">GX22</f>
        <v>0.92081133283842498</v>
      </c>
      <c r="M22" s="10">
        <f ca="1">IF($J22&gt;CDS.Tenor,"-",L21-L22)</f>
        <v>4.2300717849452774E-3</v>
      </c>
      <c r="N22" s="94" cm="1">
        <f t="array" ref="N22">IF($J22&gt;CDS.Tenor,"-",cubicInterpolation(CurveResults.Times,CurveResults.DFs,$J22))</f>
        <v>0.8303546218014306</v>
      </c>
      <c r="O22" s="28">
        <f ca="1">IF($J22&gt;CDS.Tenor,"-",K22*L22*N22)</f>
        <v>-19114.998650738042</v>
      </c>
      <c r="P22" s="28">
        <f ca="1">IF($J22&gt;CDS.Tenor,"-",0.5*K22*M22*N22)</f>
        <v>-43.90574571476423</v>
      </c>
      <c r="Q22" s="142">
        <f ca="1">IF($J22&gt;CDS.Tenor,"-",O22+P22)</f>
        <v>-19158.904396452806</v>
      </c>
      <c r="T22" s="156">
        <f t="shared" si="104"/>
        <v>4.5</v>
      </c>
      <c r="U22" s="28">
        <f>IF($J22&gt;CDS.Tenor,"-",CDS.ProtectionSign*CDS.Notional*(1-CDS.RecoveryRate))</f>
        <v>6000000</v>
      </c>
      <c r="V22" s="10">
        <f ca="1">IF($J22&gt;CDS.Tenor,"-",GX22)</f>
        <v>0.92081133283842498</v>
      </c>
      <c r="W22" s="10">
        <f ca="1">IF($J22&gt;CDS.Tenor,"-",V21-V22)</f>
        <v>4.2300717849452774E-3</v>
      </c>
      <c r="X22" s="94" cm="1">
        <f t="array" ref="X22">IF($T22&gt;CDS.Tenor,"-",cubicInterpolation(CurveResults.Times,CurveResults.DFs,$J22))</f>
        <v>0.8303546218014306</v>
      </c>
      <c r="Y22" s="142">
        <f ca="1">IF($J22&gt;CDS.Tenor,"-",U22*W22*X22)</f>
        <v>21074.757943086832</v>
      </c>
      <c r="AB22" s="156">
        <f t="shared" si="105"/>
        <v>4.5</v>
      </c>
      <c r="AC22" s="352" cm="1">
        <f t="array" aca="1" ref="AC22" ca="1">IF($AB22&gt;CDS.Tenor,"-",flatInterpolation(AA22,INDIRECT(HazardRateTimes1),INDIRECT(HazardRateValues1)))</f>
        <v>5.0000000000000001E-3</v>
      </c>
      <c r="AD22" s="10">
        <f t="shared" ca="1" si="106"/>
        <v>0.97775123719333712</v>
      </c>
      <c r="AE22" s="10">
        <f t="shared" ca="1" si="107"/>
        <v>2.2248762806662881E-2</v>
      </c>
      <c r="AF22" s="360">
        <f ca="1">IF($AB22&gt;CDS.Tenor,"-",NORMSINV(AE22))</f>
        <v>-2.0093736207925192</v>
      </c>
      <c r="AG22" s="360"/>
      <c r="AH22" s="370">
        <f t="shared" si="108"/>
        <v>4.5</v>
      </c>
      <c r="AI22" s="366">
        <f ca="1">IF($AB22&gt;CDS.Tenor,"-",_xlfn.NORM.S.DIST(($AF22-SQRT(ImpliedCorrelation)*AI$3)/SQRT(1-ImpliedCorrelation),TRUE))</f>
        <v>2.2248762806662863E-2</v>
      </c>
      <c r="AJ22" s="366">
        <f ca="1">IF($AB22&gt;CDS.Tenor,"-",_xlfn.NORM.S.DIST(($AF22-SQRT(ImpliedCorrelation)*AJ$3)/SQRT(1-ImpliedCorrelation),TRUE))</f>
        <v>2.2248762806662863E-2</v>
      </c>
      <c r="AK22" s="366">
        <f ca="1">IF($AB22&gt;CDS.Tenor,"-",_xlfn.NORM.S.DIST(($AF22-SQRT(ImpliedCorrelation)*AK$3)/SQRT(1-ImpliedCorrelation),TRUE))</f>
        <v>2.2248762806662863E-2</v>
      </c>
      <c r="AL22" s="366">
        <f ca="1">IF($AB22&gt;CDS.Tenor,"-",_xlfn.NORM.S.DIST(($AF22-SQRT(ImpliedCorrelation)*AL$3)/SQRT(1-ImpliedCorrelation),TRUE))</f>
        <v>2.2248762806662863E-2</v>
      </c>
      <c r="AM22" s="366">
        <f ca="1">IF($AB22&gt;CDS.Tenor,"-",_xlfn.NORM.S.DIST(($AF22-SQRT(ImpliedCorrelation)*AM$3)/SQRT(1-ImpliedCorrelation),TRUE))</f>
        <v>2.2248762806662863E-2</v>
      </c>
      <c r="AN22" s="366">
        <f ca="1">IF($AB22&gt;CDS.Tenor,"-",_xlfn.NORM.S.DIST(($AF22-SQRT(ImpliedCorrelation)*AN$3)/SQRT(1-ImpliedCorrelation),TRUE))</f>
        <v>2.2248762806662863E-2</v>
      </c>
      <c r="AO22" s="366">
        <f ca="1">IF($AB22&gt;CDS.Tenor,"-",_xlfn.NORM.S.DIST(($AF22-SQRT(ImpliedCorrelation)*AO$3)/SQRT(1-ImpliedCorrelation),TRUE))</f>
        <v>2.2248762806662863E-2</v>
      </c>
      <c r="AP22" s="366">
        <f ca="1">IF($AB22&gt;CDS.Tenor,"-",_xlfn.NORM.S.DIST(($AF22-SQRT(ImpliedCorrelation)*AP$3)/SQRT(1-ImpliedCorrelation),TRUE))</f>
        <v>2.2248762806662863E-2</v>
      </c>
      <c r="AQ22" s="366">
        <f ca="1">IF($AB22&gt;CDS.Tenor,"-",_xlfn.NORM.S.DIST(($AF22-SQRT(ImpliedCorrelation)*AQ$3)/SQRT(1-ImpliedCorrelation),TRUE))</f>
        <v>2.2248762806662863E-2</v>
      </c>
      <c r="AR22" s="366">
        <f ca="1">IF($AB22&gt;CDS.Tenor,"-",_xlfn.NORM.S.DIST(($AF22-SQRT(ImpliedCorrelation)*AR$3)/SQRT(1-ImpliedCorrelation),TRUE))</f>
        <v>2.2248762806662863E-2</v>
      </c>
      <c r="AS22" s="366">
        <f ca="1">IF($AB22&gt;CDS.Tenor,"-",_xlfn.NORM.S.DIST(($AF22-SQRT(ImpliedCorrelation)*AS$3)/SQRT(1-ImpliedCorrelation),TRUE))</f>
        <v>2.2248762806662863E-2</v>
      </c>
      <c r="AT22" s="366">
        <f ca="1">IF($AB22&gt;CDS.Tenor,"-",_xlfn.NORM.S.DIST(($AF22-SQRT(ImpliedCorrelation)*AT$3)/SQRT(1-ImpliedCorrelation),TRUE))</f>
        <v>2.2248762806662863E-2</v>
      </c>
      <c r="AU22" s="366">
        <f ca="1">IF($AB22&gt;CDS.Tenor,"-",_xlfn.NORM.S.DIST(($AF22-SQRT(ImpliedCorrelation)*AU$3)/SQRT(1-ImpliedCorrelation),TRUE))</f>
        <v>2.2248762806662863E-2</v>
      </c>
      <c r="AV22" s="366">
        <f ca="1">IF($AB22&gt;CDS.Tenor,"-",_xlfn.NORM.S.DIST(($AF22-SQRT(ImpliedCorrelation)*AV$3)/SQRT(1-ImpliedCorrelation),TRUE))</f>
        <v>2.2248762806662863E-2</v>
      </c>
      <c r="AW22" s="366">
        <f ca="1">IF($AB22&gt;CDS.Tenor,"-",_xlfn.NORM.S.DIST(($AF22-SQRT(ImpliedCorrelation)*AW$3)/SQRT(1-ImpliedCorrelation),TRUE))</f>
        <v>2.2248762806662863E-2</v>
      </c>
      <c r="AX22" s="366">
        <f ca="1">IF($AB22&gt;CDS.Tenor,"-",_xlfn.NORM.S.DIST(($AF22-SQRT(ImpliedCorrelation)*AX$3)/SQRT(1-ImpliedCorrelation),TRUE))</f>
        <v>2.2248762806662863E-2</v>
      </c>
      <c r="AY22" s="366">
        <f ca="1">IF($AB22&gt;CDS.Tenor,"-",_xlfn.NORM.S.DIST(($AF22-SQRT(ImpliedCorrelation)*AY$3)/SQRT(1-ImpliedCorrelation),TRUE))</f>
        <v>2.2248762806662863E-2</v>
      </c>
      <c r="AZ22" s="366">
        <f ca="1">IF($AB22&gt;CDS.Tenor,"-",_xlfn.NORM.S.DIST(($AF22-SQRT(ImpliedCorrelation)*AZ$3)/SQRT(1-ImpliedCorrelation),TRUE))</f>
        <v>2.2248762806662863E-2</v>
      </c>
      <c r="BA22" s="366">
        <f ca="1">IF($AB22&gt;CDS.Tenor,"-",_xlfn.NORM.S.DIST(($AF22-SQRT(ImpliedCorrelation)*BA$3)/SQRT(1-ImpliedCorrelation),TRUE))</f>
        <v>2.2248762806662863E-2</v>
      </c>
      <c r="BB22" s="366">
        <f ca="1">IF($AB22&gt;CDS.Tenor,"-",_xlfn.NORM.S.DIST(($AF22-SQRT(ImpliedCorrelation)*BB$3)/SQRT(1-ImpliedCorrelation),TRUE))</f>
        <v>2.2248762806662863E-2</v>
      </c>
      <c r="BC22" s="366">
        <f ca="1">IF($AB22&gt;CDS.Tenor,"-",_xlfn.NORM.S.DIST(($AF22-SQRT(ImpliedCorrelation)*BC$3)/SQRT(1-ImpliedCorrelation),TRUE))</f>
        <v>2.2248762806662863E-2</v>
      </c>
      <c r="BD22" s="366"/>
      <c r="BE22" s="370">
        <f t="shared" si="109"/>
        <v>4.5</v>
      </c>
      <c r="BF22" s="366">
        <f ca="1">IF($AB22&gt;CDS.Tenor,"-",1-AI22)</f>
        <v>0.97775123719333712</v>
      </c>
      <c r="BG22" s="366">
        <f ca="1">IF($AB22&gt;CDS.Tenor,"-",1-AJ22)</f>
        <v>0.97775123719333712</v>
      </c>
      <c r="BH22" s="366">
        <f ca="1">IF($AB22&gt;CDS.Tenor,"-",1-AK22)</f>
        <v>0.97775123719333712</v>
      </c>
      <c r="BI22" s="366">
        <f ca="1">IF($AB22&gt;CDS.Tenor,"-",1-AL22)</f>
        <v>0.97775123719333712</v>
      </c>
      <c r="BJ22" s="366">
        <f ca="1">IF($AB22&gt;CDS.Tenor,"-",1-AM22)</f>
        <v>0.97775123719333712</v>
      </c>
      <c r="BK22" s="366">
        <f ca="1">IF($AB22&gt;CDS.Tenor,"-",1-AN22)</f>
        <v>0.97775123719333712</v>
      </c>
      <c r="BL22" s="366">
        <f ca="1">IF($AB22&gt;CDS.Tenor,"-",1-AO22)</f>
        <v>0.97775123719333712</v>
      </c>
      <c r="BM22" s="366">
        <f ca="1">IF($AB22&gt;CDS.Tenor,"-",1-AP22)</f>
        <v>0.97775123719333712</v>
      </c>
      <c r="BN22" s="366">
        <f ca="1">IF($AB22&gt;CDS.Tenor,"-",1-AQ22)</f>
        <v>0.97775123719333712</v>
      </c>
      <c r="BO22" s="366">
        <f ca="1">IF($AB22&gt;CDS.Tenor,"-",1-AR22)</f>
        <v>0.97775123719333712</v>
      </c>
      <c r="BP22" s="366">
        <f ca="1">IF($AB22&gt;CDS.Tenor,"-",1-AS22)</f>
        <v>0.97775123719333712</v>
      </c>
      <c r="BQ22" s="366">
        <f ca="1">IF($AB22&gt;CDS.Tenor,"-",1-AT22)</f>
        <v>0.97775123719333712</v>
      </c>
      <c r="BR22" s="366">
        <f ca="1">IF($AB22&gt;CDS.Tenor,"-",1-AU22)</f>
        <v>0.97775123719333712</v>
      </c>
      <c r="BS22" s="366">
        <f ca="1">IF($AB22&gt;CDS.Tenor,"-",1-AV22)</f>
        <v>0.97775123719333712</v>
      </c>
      <c r="BT22" s="366">
        <f ca="1">IF($AB22&gt;CDS.Tenor,"-",1-AW22)</f>
        <v>0.97775123719333712</v>
      </c>
      <c r="BU22" s="366">
        <f ca="1">IF($AB22&gt;CDS.Tenor,"-",1-AX22)</f>
        <v>0.97775123719333712</v>
      </c>
      <c r="BV22" s="366">
        <f ca="1">IF($AB22&gt;CDS.Tenor,"-",1-AY22)</f>
        <v>0.97775123719333712</v>
      </c>
      <c r="BW22" s="366">
        <f ca="1">IF($AB22&gt;CDS.Tenor,"-",1-AZ22)</f>
        <v>0.97775123719333712</v>
      </c>
      <c r="BX22" s="366">
        <f ca="1">IF($AB22&gt;CDS.Tenor,"-",1-BA22)</f>
        <v>0.97775123719333712</v>
      </c>
      <c r="BY22" s="366">
        <f ca="1">IF($AB22&gt;CDS.Tenor,"-",1-BB22)</f>
        <v>0.97775123719333712</v>
      </c>
      <c r="BZ22" s="366">
        <f ca="1">IF($AB22&gt;CDS.Tenor,"-",1-BC22)</f>
        <v>0.97775123719333712</v>
      </c>
      <c r="CA22" s="17"/>
      <c r="CB22" s="352" cm="1">
        <f t="array" aca="1" ref="CB22" ca="1">IF($AB22&gt;CDS.Tenor,"-",flatInterpolation(AB22,INDIRECT(HazardRateTimes2),INDIRECT(HazardRateValues2)))</f>
        <v>5.8333333333333336E-3</v>
      </c>
      <c r="CC22" s="10">
        <f t="shared" ca="1" si="110"/>
        <v>0.97409153628178158</v>
      </c>
      <c r="CD22" s="10">
        <f t="shared" ca="1" si="111"/>
        <v>2.5908463718218422E-2</v>
      </c>
      <c r="CE22" s="81">
        <f t="shared" ca="1" si="112"/>
        <v>-1.9446515751293791</v>
      </c>
      <c r="CF22" s="360"/>
      <c r="CG22" s="370">
        <f t="shared" si="113"/>
        <v>4.5</v>
      </c>
      <c r="CH22" s="366">
        <f ca="1">IF($AB22&gt;CDS.Tenor,"-",_xlfn.NORM.S.DIST(($CE22-SQRT(ImpliedCorrelation)*CH$3)/SQRT(1-ImpliedCorrelation),TRUE))</f>
        <v>2.5908463718218432E-2</v>
      </c>
      <c r="CI22" s="366">
        <f ca="1">IF($AB22&gt;CDS.Tenor,"-",_xlfn.NORM.S.DIST(($CE22-SQRT(ImpliedCorrelation)*CI$3)/SQRT(1-ImpliedCorrelation),TRUE))</f>
        <v>2.5908463718218432E-2</v>
      </c>
      <c r="CJ22" s="366">
        <f ca="1">IF($AB22&gt;CDS.Tenor,"-",_xlfn.NORM.S.DIST(($CE22-SQRT(ImpliedCorrelation)*CJ$3)/SQRT(1-ImpliedCorrelation),TRUE))</f>
        <v>2.5908463718218432E-2</v>
      </c>
      <c r="CK22" s="366">
        <f ca="1">IF($AB22&gt;CDS.Tenor,"-",_xlfn.NORM.S.DIST(($CE22-SQRT(ImpliedCorrelation)*CK$3)/SQRT(1-ImpliedCorrelation),TRUE))</f>
        <v>2.5908463718218432E-2</v>
      </c>
      <c r="CL22" s="366">
        <f ca="1">IF($AB22&gt;CDS.Tenor,"-",_xlfn.NORM.S.DIST(($CE22-SQRT(ImpliedCorrelation)*CL$3)/SQRT(1-ImpliedCorrelation),TRUE))</f>
        <v>2.5908463718218432E-2</v>
      </c>
      <c r="CM22" s="366">
        <f ca="1">IF($AB22&gt;CDS.Tenor,"-",_xlfn.NORM.S.DIST(($CE22-SQRT(ImpliedCorrelation)*CM$3)/SQRT(1-ImpliedCorrelation),TRUE))</f>
        <v>2.5908463718218432E-2</v>
      </c>
      <c r="CN22" s="366">
        <f ca="1">IF($AB22&gt;CDS.Tenor,"-",_xlfn.NORM.S.DIST(($CE22-SQRT(ImpliedCorrelation)*CN$3)/SQRT(1-ImpliedCorrelation),TRUE))</f>
        <v>2.5908463718218432E-2</v>
      </c>
      <c r="CO22" s="366">
        <f ca="1">IF($AB22&gt;CDS.Tenor,"-",_xlfn.NORM.S.DIST(($CE22-SQRT(ImpliedCorrelation)*CO$3)/SQRT(1-ImpliedCorrelation),TRUE))</f>
        <v>2.5908463718218432E-2</v>
      </c>
      <c r="CP22" s="366">
        <f ca="1">IF($AB22&gt;CDS.Tenor,"-",_xlfn.NORM.S.DIST(($CE22-SQRT(ImpliedCorrelation)*CP$3)/SQRT(1-ImpliedCorrelation),TRUE))</f>
        <v>2.5908463718218432E-2</v>
      </c>
      <c r="CQ22" s="366">
        <f ca="1">IF($AB22&gt;CDS.Tenor,"-",_xlfn.NORM.S.DIST(($CE22-SQRT(ImpliedCorrelation)*CQ$3)/SQRT(1-ImpliedCorrelation),TRUE))</f>
        <v>2.5908463718218432E-2</v>
      </c>
      <c r="CR22" s="366">
        <f ca="1">IF($AB22&gt;CDS.Tenor,"-",_xlfn.NORM.S.DIST(($CE22-SQRT(ImpliedCorrelation)*CR$3)/SQRT(1-ImpliedCorrelation),TRUE))</f>
        <v>2.5908463718218432E-2</v>
      </c>
      <c r="CS22" s="366">
        <f ca="1">IF($AB22&gt;CDS.Tenor,"-",_xlfn.NORM.S.DIST(($CE22-SQRT(ImpliedCorrelation)*CS$3)/SQRT(1-ImpliedCorrelation),TRUE))</f>
        <v>2.5908463718218432E-2</v>
      </c>
      <c r="CT22" s="366">
        <f ca="1">IF($AB22&gt;CDS.Tenor,"-",_xlfn.NORM.S.DIST(($CE22-SQRT(ImpliedCorrelation)*CT$3)/SQRT(1-ImpliedCorrelation),TRUE))</f>
        <v>2.5908463718218432E-2</v>
      </c>
      <c r="CU22" s="366">
        <f ca="1">IF($AB22&gt;CDS.Tenor,"-",_xlfn.NORM.S.DIST(($CE22-SQRT(ImpliedCorrelation)*CU$3)/SQRT(1-ImpliedCorrelation),TRUE))</f>
        <v>2.5908463718218432E-2</v>
      </c>
      <c r="CV22" s="366">
        <f ca="1">IF($AB22&gt;CDS.Tenor,"-",_xlfn.NORM.S.DIST(($CE22-SQRT(ImpliedCorrelation)*CV$3)/SQRT(1-ImpliedCorrelation),TRUE))</f>
        <v>2.5908463718218432E-2</v>
      </c>
      <c r="CW22" s="366">
        <f ca="1">IF($AB22&gt;CDS.Tenor,"-",_xlfn.NORM.S.DIST(($CE22-SQRT(ImpliedCorrelation)*CW$3)/SQRT(1-ImpliedCorrelation),TRUE))</f>
        <v>2.5908463718218432E-2</v>
      </c>
      <c r="CX22" s="366">
        <f ca="1">IF($AB22&gt;CDS.Tenor,"-",_xlfn.NORM.S.DIST(($CE22-SQRT(ImpliedCorrelation)*CX$3)/SQRT(1-ImpliedCorrelation),TRUE))</f>
        <v>2.5908463718218432E-2</v>
      </c>
      <c r="CY22" s="366">
        <f ca="1">IF($AB22&gt;CDS.Tenor,"-",_xlfn.NORM.S.DIST(($CE22-SQRT(ImpliedCorrelation)*CY$3)/SQRT(1-ImpliedCorrelation),TRUE))</f>
        <v>2.5908463718218432E-2</v>
      </c>
      <c r="CZ22" s="366">
        <f ca="1">IF($AB22&gt;CDS.Tenor,"-",_xlfn.NORM.S.DIST(($CE22-SQRT(ImpliedCorrelation)*CZ$3)/SQRT(1-ImpliedCorrelation),TRUE))</f>
        <v>2.5908463718218432E-2</v>
      </c>
      <c r="DA22" s="366">
        <f ca="1">IF($AB22&gt;CDS.Tenor,"-",_xlfn.NORM.S.DIST(($CE22-SQRT(ImpliedCorrelation)*DA$3)/SQRT(1-ImpliedCorrelation),TRUE))</f>
        <v>2.5908463718218432E-2</v>
      </c>
      <c r="DB22" s="366">
        <f ca="1">IF($AB22&gt;CDS.Tenor,"-",_xlfn.NORM.S.DIST(($CE22-SQRT(ImpliedCorrelation)*DB$3)/SQRT(1-ImpliedCorrelation),TRUE))</f>
        <v>2.5908463718218432E-2</v>
      </c>
      <c r="DC22" s="366"/>
      <c r="DD22" s="370">
        <f t="shared" si="114"/>
        <v>4.5</v>
      </c>
      <c r="DE22" s="366">
        <f ca="1">IF($AB22&gt;CDS.Tenor,"-",1-CH22)</f>
        <v>0.97409153628178158</v>
      </c>
      <c r="DF22" s="366">
        <f ca="1">IF($AB22&gt;CDS.Tenor,"-",1-CI22)</f>
        <v>0.97409153628178158</v>
      </c>
      <c r="DG22" s="366">
        <f ca="1">IF($AB22&gt;CDS.Tenor,"-",1-CJ22)</f>
        <v>0.97409153628178158</v>
      </c>
      <c r="DH22" s="366">
        <f ca="1">IF($AB22&gt;CDS.Tenor,"-",1-CK22)</f>
        <v>0.97409153628178158</v>
      </c>
      <c r="DI22" s="366">
        <f ca="1">IF($AB22&gt;CDS.Tenor,"-",1-CL22)</f>
        <v>0.97409153628178158</v>
      </c>
      <c r="DJ22" s="366">
        <f ca="1">IF($AB22&gt;CDS.Tenor,"-",1-CM22)</f>
        <v>0.97409153628178158</v>
      </c>
      <c r="DK22" s="366">
        <f ca="1">IF($AB22&gt;CDS.Tenor,"-",1-CN22)</f>
        <v>0.97409153628178158</v>
      </c>
      <c r="DL22" s="366">
        <f ca="1">IF($AB22&gt;CDS.Tenor,"-",1-CO22)</f>
        <v>0.97409153628178158</v>
      </c>
      <c r="DM22" s="366">
        <f ca="1">IF($AB22&gt;CDS.Tenor,"-",1-CP22)</f>
        <v>0.97409153628178158</v>
      </c>
      <c r="DN22" s="366">
        <f ca="1">IF($AB22&gt;CDS.Tenor,"-",1-CQ22)</f>
        <v>0.97409153628178158</v>
      </c>
      <c r="DO22" s="366">
        <f ca="1">IF($AB22&gt;CDS.Tenor,"-",1-CR22)</f>
        <v>0.97409153628178158</v>
      </c>
      <c r="DP22" s="366">
        <f ca="1">IF($AB22&gt;CDS.Tenor,"-",1-CS22)</f>
        <v>0.97409153628178158</v>
      </c>
      <c r="DQ22" s="366">
        <f ca="1">IF($AB22&gt;CDS.Tenor,"-",1-CT22)</f>
        <v>0.97409153628178158</v>
      </c>
      <c r="DR22" s="366">
        <f ca="1">IF($AB22&gt;CDS.Tenor,"-",1-CU22)</f>
        <v>0.97409153628178158</v>
      </c>
      <c r="DS22" s="366">
        <f ca="1">IF($AB22&gt;CDS.Tenor,"-",1-CV22)</f>
        <v>0.97409153628178158</v>
      </c>
      <c r="DT22" s="366">
        <f ca="1">IF($AB22&gt;CDS.Tenor,"-",1-CW22)</f>
        <v>0.97409153628178158</v>
      </c>
      <c r="DU22" s="366">
        <f ca="1">IF($AB22&gt;CDS.Tenor,"-",1-CX22)</f>
        <v>0.97409153628178158</v>
      </c>
      <c r="DV22" s="366">
        <f ca="1">IF($AB22&gt;CDS.Tenor,"-",1-CY22)</f>
        <v>0.97409153628178158</v>
      </c>
      <c r="DW22" s="366">
        <f ca="1">IF($AB22&gt;CDS.Tenor,"-",1-CZ22)</f>
        <v>0.97409153628178158</v>
      </c>
      <c r="DX22" s="366">
        <f ca="1">IF($AB22&gt;CDS.Tenor,"-",1-DA22)</f>
        <v>0.97409153628178158</v>
      </c>
      <c r="DY22" s="362">
        <f ca="1">IF($AB22&gt;CDS.Tenor,"-",1-DB22)</f>
        <v>0.97409153628178158</v>
      </c>
      <c r="DZ22" s="360"/>
      <c r="EA22" s="352" cm="1">
        <f t="array" aca="1" ref="EA22" ca="1">IF($AB22&gt;CDS.Tenor,"-",flatInterpolation(CC22,INDIRECT(HazardRateTimes3),INDIRECT(HazardRateValues3)))</f>
        <v>7.4999999999999997E-3</v>
      </c>
      <c r="EB22" s="10">
        <f t="shared" ca="1" si="115"/>
        <v>0.96681317772154307</v>
      </c>
      <c r="EC22" s="10">
        <f t="shared" ca="1" si="116"/>
        <v>3.3186822278456929E-2</v>
      </c>
      <c r="ED22" s="81">
        <f t="shared" ca="1" si="117"/>
        <v>-1.8358919090949912</v>
      </c>
      <c r="EF22" s="370">
        <f t="shared" si="118"/>
        <v>4.5</v>
      </c>
      <c r="EG22" s="366">
        <f ca="1">IF($AB22&gt;CDS.Tenor,"-",_xlfn.NORM.S.DIST(($ED22-SQRT(ImpliedCorrelation)*EG$3)/SQRT(1-ImpliedCorrelation),TRUE))</f>
        <v>3.3186822278456957E-2</v>
      </c>
      <c r="EH22" s="366">
        <f ca="1">IF($AB22&gt;CDS.Tenor,"-",_xlfn.NORM.S.DIST(($ED22-SQRT(ImpliedCorrelation)*EH$3)/SQRT(1-ImpliedCorrelation),TRUE))</f>
        <v>3.3186822278456957E-2</v>
      </c>
      <c r="EI22" s="366">
        <f ca="1">IF($AB22&gt;CDS.Tenor,"-",_xlfn.NORM.S.DIST(($ED22-SQRT(ImpliedCorrelation)*EI$3)/SQRT(1-ImpliedCorrelation),TRUE))</f>
        <v>3.3186822278456957E-2</v>
      </c>
      <c r="EJ22" s="366">
        <f ca="1">IF($AB22&gt;CDS.Tenor,"-",_xlfn.NORM.S.DIST(($ED22-SQRT(ImpliedCorrelation)*EJ$3)/SQRT(1-ImpliedCorrelation),TRUE))</f>
        <v>3.3186822278456957E-2</v>
      </c>
      <c r="EK22" s="366">
        <f ca="1">IF($AB22&gt;CDS.Tenor,"-",_xlfn.NORM.S.DIST(($ED22-SQRT(ImpliedCorrelation)*EK$3)/SQRT(1-ImpliedCorrelation),TRUE))</f>
        <v>3.3186822278456957E-2</v>
      </c>
      <c r="EL22" s="366">
        <f ca="1">IF($AB22&gt;CDS.Tenor,"-",_xlfn.NORM.S.DIST(($ED22-SQRT(ImpliedCorrelation)*EL$3)/SQRT(1-ImpliedCorrelation),TRUE))</f>
        <v>3.3186822278456957E-2</v>
      </c>
      <c r="EM22" s="366">
        <f ca="1">IF($AB22&gt;CDS.Tenor,"-",_xlfn.NORM.S.DIST(($ED22-SQRT(ImpliedCorrelation)*EM$3)/SQRT(1-ImpliedCorrelation),TRUE))</f>
        <v>3.3186822278456957E-2</v>
      </c>
      <c r="EN22" s="366">
        <f ca="1">IF($AB22&gt;CDS.Tenor,"-",_xlfn.NORM.S.DIST(($ED22-SQRT(ImpliedCorrelation)*EN$3)/SQRT(1-ImpliedCorrelation),TRUE))</f>
        <v>3.3186822278456957E-2</v>
      </c>
      <c r="EO22" s="366">
        <f ca="1">IF($AB22&gt;CDS.Tenor,"-",_xlfn.NORM.S.DIST(($ED22-SQRT(ImpliedCorrelation)*EO$3)/SQRT(1-ImpliedCorrelation),TRUE))</f>
        <v>3.3186822278456957E-2</v>
      </c>
      <c r="EP22" s="366">
        <f ca="1">IF($AB22&gt;CDS.Tenor,"-",_xlfn.NORM.S.DIST(($ED22-SQRT(ImpliedCorrelation)*EP$3)/SQRT(1-ImpliedCorrelation),TRUE))</f>
        <v>3.3186822278456957E-2</v>
      </c>
      <c r="EQ22" s="366">
        <f ca="1">IF($AB22&gt;CDS.Tenor,"-",_xlfn.NORM.S.DIST(($ED22-SQRT(ImpliedCorrelation)*EQ$3)/SQRT(1-ImpliedCorrelation),TRUE))</f>
        <v>3.3186822278456957E-2</v>
      </c>
      <c r="ER22" s="366">
        <f ca="1">IF($AB22&gt;CDS.Tenor,"-",_xlfn.NORM.S.DIST(($ED22-SQRT(ImpliedCorrelation)*ER$3)/SQRT(1-ImpliedCorrelation),TRUE))</f>
        <v>3.3186822278456957E-2</v>
      </c>
      <c r="ES22" s="366">
        <f ca="1">IF($AB22&gt;CDS.Tenor,"-",_xlfn.NORM.S.DIST(($ED22-SQRT(ImpliedCorrelation)*ES$3)/SQRT(1-ImpliedCorrelation),TRUE))</f>
        <v>3.3186822278456957E-2</v>
      </c>
      <c r="ET22" s="366">
        <f ca="1">IF($AB22&gt;CDS.Tenor,"-",_xlfn.NORM.S.DIST(($ED22-SQRT(ImpliedCorrelation)*ET$3)/SQRT(1-ImpliedCorrelation),TRUE))</f>
        <v>3.3186822278456957E-2</v>
      </c>
      <c r="EU22" s="366">
        <f ca="1">IF($AB22&gt;CDS.Tenor,"-",_xlfn.NORM.S.DIST(($ED22-SQRT(ImpliedCorrelation)*EU$3)/SQRT(1-ImpliedCorrelation),TRUE))</f>
        <v>3.3186822278456957E-2</v>
      </c>
      <c r="EV22" s="366">
        <f ca="1">IF($AB22&gt;CDS.Tenor,"-",_xlfn.NORM.S.DIST(($ED22-SQRT(ImpliedCorrelation)*EV$3)/SQRT(1-ImpliedCorrelation),TRUE))</f>
        <v>3.3186822278456957E-2</v>
      </c>
      <c r="EW22" s="366">
        <f ca="1">IF($AB22&gt;CDS.Tenor,"-",_xlfn.NORM.S.DIST(($ED22-SQRT(ImpliedCorrelation)*EW$3)/SQRT(1-ImpliedCorrelation),TRUE))</f>
        <v>3.3186822278456957E-2</v>
      </c>
      <c r="EX22" s="366">
        <f ca="1">IF($AB22&gt;CDS.Tenor,"-",_xlfn.NORM.S.DIST(($ED22-SQRT(ImpliedCorrelation)*EX$3)/SQRT(1-ImpliedCorrelation),TRUE))</f>
        <v>3.3186822278456957E-2</v>
      </c>
      <c r="EY22" s="366">
        <f ca="1">IF($AB22&gt;CDS.Tenor,"-",_xlfn.NORM.S.DIST(($ED22-SQRT(ImpliedCorrelation)*EY$3)/SQRT(1-ImpliedCorrelation),TRUE))</f>
        <v>3.3186822278456957E-2</v>
      </c>
      <c r="EZ22" s="366">
        <f ca="1">IF($AB22&gt;CDS.Tenor,"-",_xlfn.NORM.S.DIST(($ED22-SQRT(ImpliedCorrelation)*EZ$3)/SQRT(1-ImpliedCorrelation),TRUE))</f>
        <v>3.3186822278456957E-2</v>
      </c>
      <c r="FA22" s="366">
        <f ca="1">IF($AB22&gt;CDS.Tenor,"-",_xlfn.NORM.S.DIST(($ED22-SQRT(ImpliedCorrelation)*FA$3)/SQRT(1-ImpliedCorrelation),TRUE))</f>
        <v>3.3186822278456957E-2</v>
      </c>
      <c r="FB22" s="366"/>
      <c r="FC22" s="370">
        <f t="shared" si="119"/>
        <v>4.5</v>
      </c>
      <c r="FD22" s="366">
        <f ca="1">IF($AB22&gt;CDS.Tenor,"-",1-EG22)</f>
        <v>0.96681317772154307</v>
      </c>
      <c r="FE22" s="366">
        <f ca="1">IF($AB22&gt;CDS.Tenor,"-",1-EH22)</f>
        <v>0.96681317772154307</v>
      </c>
      <c r="FF22" s="366">
        <f ca="1">IF($AB22&gt;CDS.Tenor,"-",1-EI22)</f>
        <v>0.96681317772154307</v>
      </c>
      <c r="FG22" s="366">
        <f ca="1">IF($AB22&gt;CDS.Tenor,"-",1-EJ22)</f>
        <v>0.96681317772154307</v>
      </c>
      <c r="FH22" s="366">
        <f ca="1">IF($AB22&gt;CDS.Tenor,"-",1-EK22)</f>
        <v>0.96681317772154307</v>
      </c>
      <c r="FI22" s="366">
        <f ca="1">IF($AB22&gt;CDS.Tenor,"-",1-EL22)</f>
        <v>0.96681317772154307</v>
      </c>
      <c r="FJ22" s="366">
        <f ca="1">IF($AB22&gt;CDS.Tenor,"-",1-EM22)</f>
        <v>0.96681317772154307</v>
      </c>
      <c r="FK22" s="366">
        <f ca="1">IF($AB22&gt;CDS.Tenor,"-",1-EN22)</f>
        <v>0.96681317772154307</v>
      </c>
      <c r="FL22" s="366">
        <f ca="1">IF($AB22&gt;CDS.Tenor,"-",1-EO22)</f>
        <v>0.96681317772154307</v>
      </c>
      <c r="FM22" s="366">
        <f ca="1">IF($AB22&gt;CDS.Tenor,"-",1-EP22)</f>
        <v>0.96681317772154307</v>
      </c>
      <c r="FN22" s="366">
        <f ca="1">IF($AB22&gt;CDS.Tenor,"-",1-EQ22)</f>
        <v>0.96681317772154307</v>
      </c>
      <c r="FO22" s="366">
        <f ca="1">IF($AB22&gt;CDS.Tenor,"-",1-ER22)</f>
        <v>0.96681317772154307</v>
      </c>
      <c r="FP22" s="366">
        <f ca="1">IF($AB22&gt;CDS.Tenor,"-",1-ES22)</f>
        <v>0.96681317772154307</v>
      </c>
      <c r="FQ22" s="366">
        <f ca="1">IF($AB22&gt;CDS.Tenor,"-",1-ET22)</f>
        <v>0.96681317772154307</v>
      </c>
      <c r="FR22" s="366">
        <f ca="1">IF($AB22&gt;CDS.Tenor,"-",1-EU22)</f>
        <v>0.96681317772154307</v>
      </c>
      <c r="FS22" s="366">
        <f ca="1">IF($AB22&gt;CDS.Tenor,"-",1-EV22)</f>
        <v>0.96681317772154307</v>
      </c>
      <c r="FT22" s="366">
        <f ca="1">IF($AB22&gt;CDS.Tenor,"-",1-EW22)</f>
        <v>0.96681317772154307</v>
      </c>
      <c r="FU22" s="366">
        <f ca="1">IF($AB22&gt;CDS.Tenor,"-",1-EX22)</f>
        <v>0.96681317772154307</v>
      </c>
      <c r="FV22" s="366">
        <f ca="1">IF($AB22&gt;CDS.Tenor,"-",1-EY22)</f>
        <v>0.96681317772154307</v>
      </c>
      <c r="FW22" s="366">
        <f ca="1">IF($AB22&gt;CDS.Tenor,"-",1-EZ22)</f>
        <v>0.96681317772154307</v>
      </c>
      <c r="FX22" s="362">
        <f ca="1">IF($AB22&gt;CDS.Tenor,"-",1-FA22)</f>
        <v>0.96681317772154307</v>
      </c>
      <c r="FZ22" s="370">
        <f t="shared" si="120"/>
        <v>4.5</v>
      </c>
      <c r="GA22" s="366">
        <f ca="1">IF($AB22&gt;CDS.Tenor,"-",BF22*DE22*FD22)</f>
        <v>0.92081143785680553</v>
      </c>
      <c r="GB22" s="366">
        <f ca="1">IF($AB22&gt;CDS.Tenor,"-",BG22*DF22*FE22)</f>
        <v>0.92081143785680553</v>
      </c>
      <c r="GC22" s="366">
        <f ca="1">IF($AB22&gt;CDS.Tenor,"-",BH22*DG22*FF22)</f>
        <v>0.92081143785680553</v>
      </c>
      <c r="GD22" s="366">
        <f ca="1">IF($AB22&gt;CDS.Tenor,"-",BI22*DH22*FG22)</f>
        <v>0.92081143785680553</v>
      </c>
      <c r="GE22" s="366">
        <f ca="1">IF($AB22&gt;CDS.Tenor,"-",BJ22*DI22*FH22)</f>
        <v>0.92081143785680553</v>
      </c>
      <c r="GF22" s="366">
        <f ca="1">IF($AB22&gt;CDS.Tenor,"-",BK22*DJ22*FI22)</f>
        <v>0.92081143785680553</v>
      </c>
      <c r="GG22" s="366">
        <f ca="1">IF($AB22&gt;CDS.Tenor,"-",BL22*DK22*FJ22)</f>
        <v>0.92081143785680553</v>
      </c>
      <c r="GH22" s="366">
        <f ca="1">IF($AB22&gt;CDS.Tenor,"-",BM22*DL22*FK22)</f>
        <v>0.92081143785680553</v>
      </c>
      <c r="GI22" s="366">
        <f ca="1">IF($AB22&gt;CDS.Tenor,"-",BN22*DM22*FL22)</f>
        <v>0.92081143785680553</v>
      </c>
      <c r="GJ22" s="366">
        <f ca="1">IF($AB22&gt;CDS.Tenor,"-",BO22*DN22*FM22)</f>
        <v>0.92081143785680553</v>
      </c>
      <c r="GK22" s="366">
        <f ca="1">IF($AB22&gt;CDS.Tenor,"-",BP22*DO22*FN22)</f>
        <v>0.92081143785680553</v>
      </c>
      <c r="GL22" s="366">
        <f ca="1">IF($AB22&gt;CDS.Tenor,"-",BQ22*DP22*FO22)</f>
        <v>0.92081143785680553</v>
      </c>
      <c r="GM22" s="366">
        <f ca="1">IF($AB22&gt;CDS.Tenor,"-",BR22*DQ22*FP22)</f>
        <v>0.92081143785680553</v>
      </c>
      <c r="GN22" s="366">
        <f ca="1">IF($AB22&gt;CDS.Tenor,"-",BS22*DR22*FQ22)</f>
        <v>0.92081143785680553</v>
      </c>
      <c r="GO22" s="366">
        <f ca="1">IF($AB22&gt;CDS.Tenor,"-",BT22*DS22*FR22)</f>
        <v>0.92081143785680553</v>
      </c>
      <c r="GP22" s="366">
        <f ca="1">IF($AB22&gt;CDS.Tenor,"-",BU22*DT22*FS22)</f>
        <v>0.92081143785680553</v>
      </c>
      <c r="GQ22" s="366">
        <f ca="1">IF($AB22&gt;CDS.Tenor,"-",BV22*DU22*FT22)</f>
        <v>0.92081143785680553</v>
      </c>
      <c r="GR22" s="366">
        <f ca="1">IF($AB22&gt;CDS.Tenor,"-",BW22*DV22*FU22)</f>
        <v>0.92081143785680553</v>
      </c>
      <c r="GS22" s="366">
        <f ca="1">IF($AB22&gt;CDS.Tenor,"-",BX22*DW22*FV22)</f>
        <v>0.92081143785680553</v>
      </c>
      <c r="GT22" s="366">
        <f ca="1">IF($AB22&gt;CDS.Tenor,"-",BY22*DX22*FW22)</f>
        <v>0.92081143785680553</v>
      </c>
      <c r="GU22" s="362">
        <f ca="1">IF($AB22&gt;CDS.Tenor,"-",BZ22*DY22*FX22)</f>
        <v>0.92081143785680553</v>
      </c>
      <c r="GV22" s="42"/>
      <c r="GW22" s="370">
        <f t="shared" si="121"/>
        <v>4.5</v>
      </c>
      <c r="GX22" s="378">
        <f ca="1">IF($AB22&gt;CDS.Tenor,"-",SUMPRODUCT($GA22:$GU22,$GA$4:$GU$4)*dm)</f>
        <v>0.92081133283842498</v>
      </c>
      <c r="GY22" s="381">
        <f ca="1">IF($AB22&gt;CDS.Tenor,"-",GX21-GX22)</f>
        <v>4.2300717849452774E-3</v>
      </c>
    </row>
    <row r="23" spans="2:207" x14ac:dyDescent="0.3">
      <c r="B23" s="346" t="str">
        <f>"'Credit Curve "&amp;CreditRef1&amp;"'!Calibration.HazardRates"</f>
        <v>'Credit Curve AAPL'!Calibration.HazardRates</v>
      </c>
      <c r="J23" s="156">
        <f t="shared" si="103"/>
        <v>4.75</v>
      </c>
      <c r="K23" s="28">
        <f>IF($J23&gt;CDS.Tenor,"-",CDS.PremiumSign*CDS.Notional*CDS.YearFraction*CDS.CreditSpread)</f>
        <v>-25000</v>
      </c>
      <c r="L23" s="10">
        <f ca="1">GX23</f>
        <v>0.91660060451985437</v>
      </c>
      <c r="M23" s="10">
        <f ca="1">IF($J23&gt;CDS.Tenor,"-",L22-L23)</f>
        <v>4.2107283185706113E-3</v>
      </c>
      <c r="N23" s="94" cm="1">
        <f t="array" ref="N23">IF($J23&gt;CDS.Tenor,"-",cubicInterpolation(CurveResults.Times,CurveResults.DFs,$J23))</f>
        <v>0.82262044965312253</v>
      </c>
      <c r="O23" s="28">
        <f ca="1">IF($J23&gt;CDS.Tenor,"-",K23*L23*N23)</f>
        <v>-18850.360036061164</v>
      </c>
      <c r="P23" s="28">
        <f ca="1">IF($J23&gt;CDS.Tenor,"-",0.5*K23*M23*N23)</f>
        <v>-43.297890284871166</v>
      </c>
      <c r="Q23" s="142">
        <f ca="1">IF($J23&gt;CDS.Tenor,"-",O23+P23)</f>
        <v>-18893.657926346033</v>
      </c>
      <c r="T23" s="156">
        <f t="shared" si="104"/>
        <v>4.75</v>
      </c>
      <c r="U23" s="28">
        <f>IF($J23&gt;CDS.Tenor,"-",CDS.ProtectionSign*CDS.Notional*(1-CDS.RecoveryRate))</f>
        <v>6000000</v>
      </c>
      <c r="V23" s="10">
        <f ca="1">IF($J23&gt;CDS.Tenor,"-",GX23)</f>
        <v>0.91660060451985437</v>
      </c>
      <c r="W23" s="10">
        <f ca="1">IF($J23&gt;CDS.Tenor,"-",V22-V23)</f>
        <v>4.2107283185706113E-3</v>
      </c>
      <c r="X23" s="94" cm="1">
        <f t="array" ref="X23">IF($T23&gt;CDS.Tenor,"-",cubicInterpolation(CurveResults.Times,CurveResults.DFs,$J23))</f>
        <v>0.82262044965312253</v>
      </c>
      <c r="Y23" s="142">
        <f ca="1">IF($J23&gt;CDS.Tenor,"-",U23*W23*X23)</f>
        <v>20782.987336738155</v>
      </c>
      <c r="AB23" s="156">
        <f t="shared" si="105"/>
        <v>4.75</v>
      </c>
      <c r="AC23" s="352" cm="1">
        <f t="array" aca="1" ref="AC23" ca="1">IF($AB23&gt;CDS.Tenor,"-",flatInterpolation(AA23,INDIRECT(HazardRateTimes1),INDIRECT(HazardRateValues1)))</f>
        <v>5.0000000000000001E-3</v>
      </c>
      <c r="AD23" s="10">
        <f t="shared" ca="1" si="106"/>
        <v>0.97652981169682063</v>
      </c>
      <c r="AE23" s="10">
        <f t="shared" ca="1" si="107"/>
        <v>2.3470188303179373E-2</v>
      </c>
      <c r="AF23" s="360">
        <f ca="1">IF($AB23&gt;CDS.Tenor,"-",NORMSINV(AE23))</f>
        <v>-1.9868377787094025</v>
      </c>
      <c r="AG23" s="360"/>
      <c r="AH23" s="370">
        <f t="shared" si="108"/>
        <v>4.75</v>
      </c>
      <c r="AI23" s="366">
        <f ca="1">IF($AB23&gt;CDS.Tenor,"-",_xlfn.NORM.S.DIST(($AF23-SQRT(ImpliedCorrelation)*AI$3)/SQRT(1-ImpliedCorrelation),TRUE))</f>
        <v>2.3470188303179373E-2</v>
      </c>
      <c r="AJ23" s="366">
        <f ca="1">IF($AB23&gt;CDS.Tenor,"-",_xlfn.NORM.S.DIST(($AF23-SQRT(ImpliedCorrelation)*AJ$3)/SQRT(1-ImpliedCorrelation),TRUE))</f>
        <v>2.3470188303179373E-2</v>
      </c>
      <c r="AK23" s="366">
        <f ca="1">IF($AB23&gt;CDS.Tenor,"-",_xlfn.NORM.S.DIST(($AF23-SQRT(ImpliedCorrelation)*AK$3)/SQRT(1-ImpliedCorrelation),TRUE))</f>
        <v>2.3470188303179373E-2</v>
      </c>
      <c r="AL23" s="366">
        <f ca="1">IF($AB23&gt;CDS.Tenor,"-",_xlfn.NORM.S.DIST(($AF23-SQRT(ImpliedCorrelation)*AL$3)/SQRT(1-ImpliedCorrelation),TRUE))</f>
        <v>2.3470188303179373E-2</v>
      </c>
      <c r="AM23" s="366">
        <f ca="1">IF($AB23&gt;CDS.Tenor,"-",_xlfn.NORM.S.DIST(($AF23-SQRT(ImpliedCorrelation)*AM$3)/SQRT(1-ImpliedCorrelation),TRUE))</f>
        <v>2.3470188303179373E-2</v>
      </c>
      <c r="AN23" s="366">
        <f ca="1">IF($AB23&gt;CDS.Tenor,"-",_xlfn.NORM.S.DIST(($AF23-SQRT(ImpliedCorrelation)*AN$3)/SQRT(1-ImpliedCorrelation),TRUE))</f>
        <v>2.3470188303179373E-2</v>
      </c>
      <c r="AO23" s="366">
        <f ca="1">IF($AB23&gt;CDS.Tenor,"-",_xlfn.NORM.S.DIST(($AF23-SQRT(ImpliedCorrelation)*AO$3)/SQRT(1-ImpliedCorrelation),TRUE))</f>
        <v>2.3470188303179373E-2</v>
      </c>
      <c r="AP23" s="366">
        <f ca="1">IF($AB23&gt;CDS.Tenor,"-",_xlfn.NORM.S.DIST(($AF23-SQRT(ImpliedCorrelation)*AP$3)/SQRT(1-ImpliedCorrelation),TRUE))</f>
        <v>2.3470188303179373E-2</v>
      </c>
      <c r="AQ23" s="366">
        <f ca="1">IF($AB23&gt;CDS.Tenor,"-",_xlfn.NORM.S.DIST(($AF23-SQRT(ImpliedCorrelation)*AQ$3)/SQRT(1-ImpliedCorrelation),TRUE))</f>
        <v>2.3470188303179373E-2</v>
      </c>
      <c r="AR23" s="366">
        <f ca="1">IF($AB23&gt;CDS.Tenor,"-",_xlfn.NORM.S.DIST(($AF23-SQRT(ImpliedCorrelation)*AR$3)/SQRT(1-ImpliedCorrelation),TRUE))</f>
        <v>2.3470188303179373E-2</v>
      </c>
      <c r="AS23" s="366">
        <f ca="1">IF($AB23&gt;CDS.Tenor,"-",_xlfn.NORM.S.DIST(($AF23-SQRT(ImpliedCorrelation)*AS$3)/SQRT(1-ImpliedCorrelation),TRUE))</f>
        <v>2.3470188303179373E-2</v>
      </c>
      <c r="AT23" s="366">
        <f ca="1">IF($AB23&gt;CDS.Tenor,"-",_xlfn.NORM.S.DIST(($AF23-SQRT(ImpliedCorrelation)*AT$3)/SQRT(1-ImpliedCorrelation),TRUE))</f>
        <v>2.3470188303179373E-2</v>
      </c>
      <c r="AU23" s="366">
        <f ca="1">IF($AB23&gt;CDS.Tenor,"-",_xlfn.NORM.S.DIST(($AF23-SQRT(ImpliedCorrelation)*AU$3)/SQRT(1-ImpliedCorrelation),TRUE))</f>
        <v>2.3470188303179373E-2</v>
      </c>
      <c r="AV23" s="366">
        <f ca="1">IF($AB23&gt;CDS.Tenor,"-",_xlfn.NORM.S.DIST(($AF23-SQRT(ImpliedCorrelation)*AV$3)/SQRT(1-ImpliedCorrelation),TRUE))</f>
        <v>2.3470188303179373E-2</v>
      </c>
      <c r="AW23" s="366">
        <f ca="1">IF($AB23&gt;CDS.Tenor,"-",_xlfn.NORM.S.DIST(($AF23-SQRT(ImpliedCorrelation)*AW$3)/SQRT(1-ImpliedCorrelation),TRUE))</f>
        <v>2.3470188303179373E-2</v>
      </c>
      <c r="AX23" s="366">
        <f ca="1">IF($AB23&gt;CDS.Tenor,"-",_xlfn.NORM.S.DIST(($AF23-SQRT(ImpliedCorrelation)*AX$3)/SQRT(1-ImpliedCorrelation),TRUE))</f>
        <v>2.3470188303179373E-2</v>
      </c>
      <c r="AY23" s="366">
        <f ca="1">IF($AB23&gt;CDS.Tenor,"-",_xlfn.NORM.S.DIST(($AF23-SQRT(ImpliedCorrelation)*AY$3)/SQRT(1-ImpliedCorrelation),TRUE))</f>
        <v>2.3470188303179373E-2</v>
      </c>
      <c r="AZ23" s="366">
        <f ca="1">IF($AB23&gt;CDS.Tenor,"-",_xlfn.NORM.S.DIST(($AF23-SQRT(ImpliedCorrelation)*AZ$3)/SQRT(1-ImpliedCorrelation),TRUE))</f>
        <v>2.3470188303179373E-2</v>
      </c>
      <c r="BA23" s="366">
        <f ca="1">IF($AB23&gt;CDS.Tenor,"-",_xlfn.NORM.S.DIST(($AF23-SQRT(ImpliedCorrelation)*BA$3)/SQRT(1-ImpliedCorrelation),TRUE))</f>
        <v>2.3470188303179373E-2</v>
      </c>
      <c r="BB23" s="366">
        <f ca="1">IF($AB23&gt;CDS.Tenor,"-",_xlfn.NORM.S.DIST(($AF23-SQRT(ImpliedCorrelation)*BB$3)/SQRT(1-ImpliedCorrelation),TRUE))</f>
        <v>2.3470188303179373E-2</v>
      </c>
      <c r="BC23" s="366">
        <f ca="1">IF($AB23&gt;CDS.Tenor,"-",_xlfn.NORM.S.DIST(($AF23-SQRT(ImpliedCorrelation)*BC$3)/SQRT(1-ImpliedCorrelation),TRUE))</f>
        <v>2.3470188303179373E-2</v>
      </c>
      <c r="BD23" s="366"/>
      <c r="BE23" s="370">
        <f t="shared" si="109"/>
        <v>4.75</v>
      </c>
      <c r="BF23" s="366">
        <f ca="1">IF($AB23&gt;CDS.Tenor,"-",1-AI23)</f>
        <v>0.97652981169682063</v>
      </c>
      <c r="BG23" s="366">
        <f ca="1">IF($AB23&gt;CDS.Tenor,"-",1-AJ23)</f>
        <v>0.97652981169682063</v>
      </c>
      <c r="BH23" s="366">
        <f ca="1">IF($AB23&gt;CDS.Tenor,"-",1-AK23)</f>
        <v>0.97652981169682063</v>
      </c>
      <c r="BI23" s="366">
        <f ca="1">IF($AB23&gt;CDS.Tenor,"-",1-AL23)</f>
        <v>0.97652981169682063</v>
      </c>
      <c r="BJ23" s="366">
        <f ca="1">IF($AB23&gt;CDS.Tenor,"-",1-AM23)</f>
        <v>0.97652981169682063</v>
      </c>
      <c r="BK23" s="366">
        <f ca="1">IF($AB23&gt;CDS.Tenor,"-",1-AN23)</f>
        <v>0.97652981169682063</v>
      </c>
      <c r="BL23" s="366">
        <f ca="1">IF($AB23&gt;CDS.Tenor,"-",1-AO23)</f>
        <v>0.97652981169682063</v>
      </c>
      <c r="BM23" s="366">
        <f ca="1">IF($AB23&gt;CDS.Tenor,"-",1-AP23)</f>
        <v>0.97652981169682063</v>
      </c>
      <c r="BN23" s="366">
        <f ca="1">IF($AB23&gt;CDS.Tenor,"-",1-AQ23)</f>
        <v>0.97652981169682063</v>
      </c>
      <c r="BO23" s="366">
        <f ca="1">IF($AB23&gt;CDS.Tenor,"-",1-AR23)</f>
        <v>0.97652981169682063</v>
      </c>
      <c r="BP23" s="366">
        <f ca="1">IF($AB23&gt;CDS.Tenor,"-",1-AS23)</f>
        <v>0.97652981169682063</v>
      </c>
      <c r="BQ23" s="366">
        <f ca="1">IF($AB23&gt;CDS.Tenor,"-",1-AT23)</f>
        <v>0.97652981169682063</v>
      </c>
      <c r="BR23" s="366">
        <f ca="1">IF($AB23&gt;CDS.Tenor,"-",1-AU23)</f>
        <v>0.97652981169682063</v>
      </c>
      <c r="BS23" s="366">
        <f ca="1">IF($AB23&gt;CDS.Tenor,"-",1-AV23)</f>
        <v>0.97652981169682063</v>
      </c>
      <c r="BT23" s="366">
        <f ca="1">IF($AB23&gt;CDS.Tenor,"-",1-AW23)</f>
        <v>0.97652981169682063</v>
      </c>
      <c r="BU23" s="366">
        <f ca="1">IF($AB23&gt;CDS.Tenor,"-",1-AX23)</f>
        <v>0.97652981169682063</v>
      </c>
      <c r="BV23" s="366">
        <f ca="1">IF($AB23&gt;CDS.Tenor,"-",1-AY23)</f>
        <v>0.97652981169682063</v>
      </c>
      <c r="BW23" s="366">
        <f ca="1">IF($AB23&gt;CDS.Tenor,"-",1-AZ23)</f>
        <v>0.97652981169682063</v>
      </c>
      <c r="BX23" s="366">
        <f ca="1">IF($AB23&gt;CDS.Tenor,"-",1-BA23)</f>
        <v>0.97652981169682063</v>
      </c>
      <c r="BY23" s="366">
        <f ca="1">IF($AB23&gt;CDS.Tenor,"-",1-BB23)</f>
        <v>0.97652981169682063</v>
      </c>
      <c r="BZ23" s="366">
        <f ca="1">IF($AB23&gt;CDS.Tenor,"-",1-BC23)</f>
        <v>0.97652981169682063</v>
      </c>
      <c r="CA23" s="17"/>
      <c r="CB23" s="352" cm="1">
        <f t="array" aca="1" ref="CB23" ca="1">IF($AB23&gt;CDS.Tenor,"-",flatInterpolation(AB23,INDIRECT(HazardRateTimes2),INDIRECT(HazardRateValues2)))</f>
        <v>5.8333333333333336E-3</v>
      </c>
      <c r="CC23" s="10">
        <f t="shared" ca="1" si="110"/>
        <v>0.97267202143918785</v>
      </c>
      <c r="CD23" s="10">
        <f t="shared" ca="1" si="111"/>
        <v>2.7327978560812149E-2</v>
      </c>
      <c r="CE23" s="81">
        <f t="shared" ca="1" si="112"/>
        <v>-1.9216012029742389</v>
      </c>
      <c r="CF23" s="360"/>
      <c r="CG23" s="370">
        <f t="shared" si="113"/>
        <v>4.75</v>
      </c>
      <c r="CH23" s="366">
        <f ca="1">IF($AB23&gt;CDS.Tenor,"-",_xlfn.NORM.S.DIST(($CE23-SQRT(ImpliedCorrelation)*CH$3)/SQRT(1-ImpliedCorrelation),TRUE))</f>
        <v>2.7327978560812163E-2</v>
      </c>
      <c r="CI23" s="366">
        <f ca="1">IF($AB23&gt;CDS.Tenor,"-",_xlfn.NORM.S.DIST(($CE23-SQRT(ImpliedCorrelation)*CI$3)/SQRT(1-ImpliedCorrelation),TRUE))</f>
        <v>2.7327978560812163E-2</v>
      </c>
      <c r="CJ23" s="366">
        <f ca="1">IF($AB23&gt;CDS.Tenor,"-",_xlfn.NORM.S.DIST(($CE23-SQRT(ImpliedCorrelation)*CJ$3)/SQRT(1-ImpliedCorrelation),TRUE))</f>
        <v>2.7327978560812163E-2</v>
      </c>
      <c r="CK23" s="366">
        <f ca="1">IF($AB23&gt;CDS.Tenor,"-",_xlfn.NORM.S.DIST(($CE23-SQRT(ImpliedCorrelation)*CK$3)/SQRT(1-ImpliedCorrelation),TRUE))</f>
        <v>2.7327978560812163E-2</v>
      </c>
      <c r="CL23" s="366">
        <f ca="1">IF($AB23&gt;CDS.Tenor,"-",_xlfn.NORM.S.DIST(($CE23-SQRT(ImpliedCorrelation)*CL$3)/SQRT(1-ImpliedCorrelation),TRUE))</f>
        <v>2.7327978560812163E-2</v>
      </c>
      <c r="CM23" s="366">
        <f ca="1">IF($AB23&gt;CDS.Tenor,"-",_xlfn.NORM.S.DIST(($CE23-SQRT(ImpliedCorrelation)*CM$3)/SQRT(1-ImpliedCorrelation),TRUE))</f>
        <v>2.7327978560812163E-2</v>
      </c>
      <c r="CN23" s="366">
        <f ca="1">IF($AB23&gt;CDS.Tenor,"-",_xlfn.NORM.S.DIST(($CE23-SQRT(ImpliedCorrelation)*CN$3)/SQRT(1-ImpliedCorrelation),TRUE))</f>
        <v>2.7327978560812163E-2</v>
      </c>
      <c r="CO23" s="366">
        <f ca="1">IF($AB23&gt;CDS.Tenor,"-",_xlfn.NORM.S.DIST(($CE23-SQRT(ImpliedCorrelation)*CO$3)/SQRT(1-ImpliedCorrelation),TRUE))</f>
        <v>2.7327978560812163E-2</v>
      </c>
      <c r="CP23" s="366">
        <f ca="1">IF($AB23&gt;CDS.Tenor,"-",_xlfn.NORM.S.DIST(($CE23-SQRT(ImpliedCorrelation)*CP$3)/SQRT(1-ImpliedCorrelation),TRUE))</f>
        <v>2.7327978560812163E-2</v>
      </c>
      <c r="CQ23" s="366">
        <f ca="1">IF($AB23&gt;CDS.Tenor,"-",_xlfn.NORM.S.DIST(($CE23-SQRT(ImpliedCorrelation)*CQ$3)/SQRT(1-ImpliedCorrelation),TRUE))</f>
        <v>2.7327978560812163E-2</v>
      </c>
      <c r="CR23" s="366">
        <f ca="1">IF($AB23&gt;CDS.Tenor,"-",_xlfn.NORM.S.DIST(($CE23-SQRT(ImpliedCorrelation)*CR$3)/SQRT(1-ImpliedCorrelation),TRUE))</f>
        <v>2.7327978560812163E-2</v>
      </c>
      <c r="CS23" s="366">
        <f ca="1">IF($AB23&gt;CDS.Tenor,"-",_xlfn.NORM.S.DIST(($CE23-SQRT(ImpliedCorrelation)*CS$3)/SQRT(1-ImpliedCorrelation),TRUE))</f>
        <v>2.7327978560812163E-2</v>
      </c>
      <c r="CT23" s="366">
        <f ca="1">IF($AB23&gt;CDS.Tenor,"-",_xlfn.NORM.S.DIST(($CE23-SQRT(ImpliedCorrelation)*CT$3)/SQRT(1-ImpliedCorrelation),TRUE))</f>
        <v>2.7327978560812163E-2</v>
      </c>
      <c r="CU23" s="366">
        <f ca="1">IF($AB23&gt;CDS.Tenor,"-",_xlfn.NORM.S.DIST(($CE23-SQRT(ImpliedCorrelation)*CU$3)/SQRT(1-ImpliedCorrelation),TRUE))</f>
        <v>2.7327978560812163E-2</v>
      </c>
      <c r="CV23" s="366">
        <f ca="1">IF($AB23&gt;CDS.Tenor,"-",_xlfn.NORM.S.DIST(($CE23-SQRT(ImpliedCorrelation)*CV$3)/SQRT(1-ImpliedCorrelation),TRUE))</f>
        <v>2.7327978560812163E-2</v>
      </c>
      <c r="CW23" s="366">
        <f ca="1">IF($AB23&gt;CDS.Tenor,"-",_xlfn.NORM.S.DIST(($CE23-SQRT(ImpliedCorrelation)*CW$3)/SQRT(1-ImpliedCorrelation),TRUE))</f>
        <v>2.7327978560812163E-2</v>
      </c>
      <c r="CX23" s="366">
        <f ca="1">IF($AB23&gt;CDS.Tenor,"-",_xlfn.NORM.S.DIST(($CE23-SQRT(ImpliedCorrelation)*CX$3)/SQRT(1-ImpliedCorrelation),TRUE))</f>
        <v>2.7327978560812163E-2</v>
      </c>
      <c r="CY23" s="366">
        <f ca="1">IF($AB23&gt;CDS.Tenor,"-",_xlfn.NORM.S.DIST(($CE23-SQRT(ImpliedCorrelation)*CY$3)/SQRT(1-ImpliedCorrelation),TRUE))</f>
        <v>2.7327978560812163E-2</v>
      </c>
      <c r="CZ23" s="366">
        <f ca="1">IF($AB23&gt;CDS.Tenor,"-",_xlfn.NORM.S.DIST(($CE23-SQRT(ImpliedCorrelation)*CZ$3)/SQRT(1-ImpliedCorrelation),TRUE))</f>
        <v>2.7327978560812163E-2</v>
      </c>
      <c r="DA23" s="366">
        <f ca="1">IF($AB23&gt;CDS.Tenor,"-",_xlfn.NORM.S.DIST(($CE23-SQRT(ImpliedCorrelation)*DA$3)/SQRT(1-ImpliedCorrelation),TRUE))</f>
        <v>2.7327978560812163E-2</v>
      </c>
      <c r="DB23" s="366">
        <f ca="1">IF($AB23&gt;CDS.Tenor,"-",_xlfn.NORM.S.DIST(($CE23-SQRT(ImpliedCorrelation)*DB$3)/SQRT(1-ImpliedCorrelation),TRUE))</f>
        <v>2.7327978560812163E-2</v>
      </c>
      <c r="DC23" s="366"/>
      <c r="DD23" s="370">
        <f t="shared" si="114"/>
        <v>4.75</v>
      </c>
      <c r="DE23" s="366">
        <f ca="1">IF($AB23&gt;CDS.Tenor,"-",1-CH23)</f>
        <v>0.97267202143918785</v>
      </c>
      <c r="DF23" s="366">
        <f ca="1">IF($AB23&gt;CDS.Tenor,"-",1-CI23)</f>
        <v>0.97267202143918785</v>
      </c>
      <c r="DG23" s="366">
        <f ca="1">IF($AB23&gt;CDS.Tenor,"-",1-CJ23)</f>
        <v>0.97267202143918785</v>
      </c>
      <c r="DH23" s="366">
        <f ca="1">IF($AB23&gt;CDS.Tenor,"-",1-CK23)</f>
        <v>0.97267202143918785</v>
      </c>
      <c r="DI23" s="366">
        <f ca="1">IF($AB23&gt;CDS.Tenor,"-",1-CL23)</f>
        <v>0.97267202143918785</v>
      </c>
      <c r="DJ23" s="366">
        <f ca="1">IF($AB23&gt;CDS.Tenor,"-",1-CM23)</f>
        <v>0.97267202143918785</v>
      </c>
      <c r="DK23" s="366">
        <f ca="1">IF($AB23&gt;CDS.Tenor,"-",1-CN23)</f>
        <v>0.97267202143918785</v>
      </c>
      <c r="DL23" s="366">
        <f ca="1">IF($AB23&gt;CDS.Tenor,"-",1-CO23)</f>
        <v>0.97267202143918785</v>
      </c>
      <c r="DM23" s="366">
        <f ca="1">IF($AB23&gt;CDS.Tenor,"-",1-CP23)</f>
        <v>0.97267202143918785</v>
      </c>
      <c r="DN23" s="366">
        <f ca="1">IF($AB23&gt;CDS.Tenor,"-",1-CQ23)</f>
        <v>0.97267202143918785</v>
      </c>
      <c r="DO23" s="366">
        <f ca="1">IF($AB23&gt;CDS.Tenor,"-",1-CR23)</f>
        <v>0.97267202143918785</v>
      </c>
      <c r="DP23" s="366">
        <f ca="1">IF($AB23&gt;CDS.Tenor,"-",1-CS23)</f>
        <v>0.97267202143918785</v>
      </c>
      <c r="DQ23" s="366">
        <f ca="1">IF($AB23&gt;CDS.Tenor,"-",1-CT23)</f>
        <v>0.97267202143918785</v>
      </c>
      <c r="DR23" s="366">
        <f ca="1">IF($AB23&gt;CDS.Tenor,"-",1-CU23)</f>
        <v>0.97267202143918785</v>
      </c>
      <c r="DS23" s="366">
        <f ca="1">IF($AB23&gt;CDS.Tenor,"-",1-CV23)</f>
        <v>0.97267202143918785</v>
      </c>
      <c r="DT23" s="366">
        <f ca="1">IF($AB23&gt;CDS.Tenor,"-",1-CW23)</f>
        <v>0.97267202143918785</v>
      </c>
      <c r="DU23" s="366">
        <f ca="1">IF($AB23&gt;CDS.Tenor,"-",1-CX23)</f>
        <v>0.97267202143918785</v>
      </c>
      <c r="DV23" s="366">
        <f ca="1">IF($AB23&gt;CDS.Tenor,"-",1-CY23)</f>
        <v>0.97267202143918785</v>
      </c>
      <c r="DW23" s="366">
        <f ca="1">IF($AB23&gt;CDS.Tenor,"-",1-CZ23)</f>
        <v>0.97267202143918785</v>
      </c>
      <c r="DX23" s="366">
        <f ca="1">IF($AB23&gt;CDS.Tenor,"-",1-DA23)</f>
        <v>0.97267202143918785</v>
      </c>
      <c r="DY23" s="362">
        <f ca="1">IF($AB23&gt;CDS.Tenor,"-",1-DB23)</f>
        <v>0.97267202143918785</v>
      </c>
      <c r="DZ23" s="360"/>
      <c r="EA23" s="352" cm="1">
        <f t="array" aca="1" ref="EA23" ca="1">IF($AB23&gt;CDS.Tenor,"-",flatInterpolation(CC23,INDIRECT(HazardRateTimes3),INDIRECT(HazardRateValues3)))</f>
        <v>7.4999999999999997E-3</v>
      </c>
      <c r="EB23" s="10">
        <f t="shared" ca="1" si="115"/>
        <v>0.96500210142792919</v>
      </c>
      <c r="EC23" s="10">
        <f t="shared" ca="1" si="116"/>
        <v>3.4997898572070807E-2</v>
      </c>
      <c r="ED23" s="81">
        <f t="shared" ca="1" si="117"/>
        <v>-1.8119378695098969</v>
      </c>
      <c r="EF23" s="370">
        <f t="shared" si="118"/>
        <v>4.75</v>
      </c>
      <c r="EG23" s="366">
        <f ca="1">IF($AB23&gt;CDS.Tenor,"-",_xlfn.NORM.S.DIST(($ED23-SQRT(ImpliedCorrelation)*EG$3)/SQRT(1-ImpliedCorrelation),TRUE))</f>
        <v>3.4997898572070821E-2</v>
      </c>
      <c r="EH23" s="366">
        <f ca="1">IF($AB23&gt;CDS.Tenor,"-",_xlfn.NORM.S.DIST(($ED23-SQRT(ImpliedCorrelation)*EH$3)/SQRT(1-ImpliedCorrelation),TRUE))</f>
        <v>3.4997898572070821E-2</v>
      </c>
      <c r="EI23" s="366">
        <f ca="1">IF($AB23&gt;CDS.Tenor,"-",_xlfn.NORM.S.DIST(($ED23-SQRT(ImpliedCorrelation)*EI$3)/SQRT(1-ImpliedCorrelation),TRUE))</f>
        <v>3.4997898572070821E-2</v>
      </c>
      <c r="EJ23" s="366">
        <f ca="1">IF($AB23&gt;CDS.Tenor,"-",_xlfn.NORM.S.DIST(($ED23-SQRT(ImpliedCorrelation)*EJ$3)/SQRT(1-ImpliedCorrelation),TRUE))</f>
        <v>3.4997898572070821E-2</v>
      </c>
      <c r="EK23" s="366">
        <f ca="1">IF($AB23&gt;CDS.Tenor,"-",_xlfn.NORM.S.DIST(($ED23-SQRT(ImpliedCorrelation)*EK$3)/SQRT(1-ImpliedCorrelation),TRUE))</f>
        <v>3.4997898572070821E-2</v>
      </c>
      <c r="EL23" s="366">
        <f ca="1">IF($AB23&gt;CDS.Tenor,"-",_xlfn.NORM.S.DIST(($ED23-SQRT(ImpliedCorrelation)*EL$3)/SQRT(1-ImpliedCorrelation),TRUE))</f>
        <v>3.4997898572070821E-2</v>
      </c>
      <c r="EM23" s="366">
        <f ca="1">IF($AB23&gt;CDS.Tenor,"-",_xlfn.NORM.S.DIST(($ED23-SQRT(ImpliedCorrelation)*EM$3)/SQRT(1-ImpliedCorrelation),TRUE))</f>
        <v>3.4997898572070821E-2</v>
      </c>
      <c r="EN23" s="366">
        <f ca="1">IF($AB23&gt;CDS.Tenor,"-",_xlfn.NORM.S.DIST(($ED23-SQRT(ImpliedCorrelation)*EN$3)/SQRT(1-ImpliedCorrelation),TRUE))</f>
        <v>3.4997898572070821E-2</v>
      </c>
      <c r="EO23" s="366">
        <f ca="1">IF($AB23&gt;CDS.Tenor,"-",_xlfn.NORM.S.DIST(($ED23-SQRT(ImpliedCorrelation)*EO$3)/SQRT(1-ImpliedCorrelation),TRUE))</f>
        <v>3.4997898572070821E-2</v>
      </c>
      <c r="EP23" s="366">
        <f ca="1">IF($AB23&gt;CDS.Tenor,"-",_xlfn.NORM.S.DIST(($ED23-SQRT(ImpliedCorrelation)*EP$3)/SQRT(1-ImpliedCorrelation),TRUE))</f>
        <v>3.4997898572070821E-2</v>
      </c>
      <c r="EQ23" s="366">
        <f ca="1">IF($AB23&gt;CDS.Tenor,"-",_xlfn.NORM.S.DIST(($ED23-SQRT(ImpliedCorrelation)*EQ$3)/SQRT(1-ImpliedCorrelation),TRUE))</f>
        <v>3.4997898572070821E-2</v>
      </c>
      <c r="ER23" s="366">
        <f ca="1">IF($AB23&gt;CDS.Tenor,"-",_xlfn.NORM.S.DIST(($ED23-SQRT(ImpliedCorrelation)*ER$3)/SQRT(1-ImpliedCorrelation),TRUE))</f>
        <v>3.4997898572070821E-2</v>
      </c>
      <c r="ES23" s="366">
        <f ca="1">IF($AB23&gt;CDS.Tenor,"-",_xlfn.NORM.S.DIST(($ED23-SQRT(ImpliedCorrelation)*ES$3)/SQRT(1-ImpliedCorrelation),TRUE))</f>
        <v>3.4997898572070821E-2</v>
      </c>
      <c r="ET23" s="366">
        <f ca="1">IF($AB23&gt;CDS.Tenor,"-",_xlfn.NORM.S.DIST(($ED23-SQRT(ImpliedCorrelation)*ET$3)/SQRT(1-ImpliedCorrelation),TRUE))</f>
        <v>3.4997898572070821E-2</v>
      </c>
      <c r="EU23" s="366">
        <f ca="1">IF($AB23&gt;CDS.Tenor,"-",_xlfn.NORM.S.DIST(($ED23-SQRT(ImpliedCorrelation)*EU$3)/SQRT(1-ImpliedCorrelation),TRUE))</f>
        <v>3.4997898572070821E-2</v>
      </c>
      <c r="EV23" s="366">
        <f ca="1">IF($AB23&gt;CDS.Tenor,"-",_xlfn.NORM.S.DIST(($ED23-SQRT(ImpliedCorrelation)*EV$3)/SQRT(1-ImpliedCorrelation),TRUE))</f>
        <v>3.4997898572070821E-2</v>
      </c>
      <c r="EW23" s="366">
        <f ca="1">IF($AB23&gt;CDS.Tenor,"-",_xlfn.NORM.S.DIST(($ED23-SQRT(ImpliedCorrelation)*EW$3)/SQRT(1-ImpliedCorrelation),TRUE))</f>
        <v>3.4997898572070821E-2</v>
      </c>
      <c r="EX23" s="366">
        <f ca="1">IF($AB23&gt;CDS.Tenor,"-",_xlfn.NORM.S.DIST(($ED23-SQRT(ImpliedCorrelation)*EX$3)/SQRT(1-ImpliedCorrelation),TRUE))</f>
        <v>3.4997898572070821E-2</v>
      </c>
      <c r="EY23" s="366">
        <f ca="1">IF($AB23&gt;CDS.Tenor,"-",_xlfn.NORM.S.DIST(($ED23-SQRT(ImpliedCorrelation)*EY$3)/SQRT(1-ImpliedCorrelation),TRUE))</f>
        <v>3.4997898572070821E-2</v>
      </c>
      <c r="EZ23" s="366">
        <f ca="1">IF($AB23&gt;CDS.Tenor,"-",_xlfn.NORM.S.DIST(($ED23-SQRT(ImpliedCorrelation)*EZ$3)/SQRT(1-ImpliedCorrelation),TRUE))</f>
        <v>3.4997898572070821E-2</v>
      </c>
      <c r="FA23" s="366">
        <f ca="1">IF($AB23&gt;CDS.Tenor,"-",_xlfn.NORM.S.DIST(($ED23-SQRT(ImpliedCorrelation)*FA$3)/SQRT(1-ImpliedCorrelation),TRUE))</f>
        <v>3.4997898572070821E-2</v>
      </c>
      <c r="FB23" s="366"/>
      <c r="FC23" s="370">
        <f t="shared" si="119"/>
        <v>4.75</v>
      </c>
      <c r="FD23" s="366">
        <f ca="1">IF($AB23&gt;CDS.Tenor,"-",1-EG23)</f>
        <v>0.96500210142792919</v>
      </c>
      <c r="FE23" s="366">
        <f ca="1">IF($AB23&gt;CDS.Tenor,"-",1-EH23)</f>
        <v>0.96500210142792919</v>
      </c>
      <c r="FF23" s="366">
        <f ca="1">IF($AB23&gt;CDS.Tenor,"-",1-EI23)</f>
        <v>0.96500210142792919</v>
      </c>
      <c r="FG23" s="366">
        <f ca="1">IF($AB23&gt;CDS.Tenor,"-",1-EJ23)</f>
        <v>0.96500210142792919</v>
      </c>
      <c r="FH23" s="366">
        <f ca="1">IF($AB23&gt;CDS.Tenor,"-",1-EK23)</f>
        <v>0.96500210142792919</v>
      </c>
      <c r="FI23" s="366">
        <f ca="1">IF($AB23&gt;CDS.Tenor,"-",1-EL23)</f>
        <v>0.96500210142792919</v>
      </c>
      <c r="FJ23" s="366">
        <f ca="1">IF($AB23&gt;CDS.Tenor,"-",1-EM23)</f>
        <v>0.96500210142792919</v>
      </c>
      <c r="FK23" s="366">
        <f ca="1">IF($AB23&gt;CDS.Tenor,"-",1-EN23)</f>
        <v>0.96500210142792919</v>
      </c>
      <c r="FL23" s="366">
        <f ca="1">IF($AB23&gt;CDS.Tenor,"-",1-EO23)</f>
        <v>0.96500210142792919</v>
      </c>
      <c r="FM23" s="366">
        <f ca="1">IF($AB23&gt;CDS.Tenor,"-",1-EP23)</f>
        <v>0.96500210142792919</v>
      </c>
      <c r="FN23" s="366">
        <f ca="1">IF($AB23&gt;CDS.Tenor,"-",1-EQ23)</f>
        <v>0.96500210142792919</v>
      </c>
      <c r="FO23" s="366">
        <f ca="1">IF($AB23&gt;CDS.Tenor,"-",1-ER23)</f>
        <v>0.96500210142792919</v>
      </c>
      <c r="FP23" s="366">
        <f ca="1">IF($AB23&gt;CDS.Tenor,"-",1-ES23)</f>
        <v>0.96500210142792919</v>
      </c>
      <c r="FQ23" s="366">
        <f ca="1">IF($AB23&gt;CDS.Tenor,"-",1-ET23)</f>
        <v>0.96500210142792919</v>
      </c>
      <c r="FR23" s="366">
        <f ca="1">IF($AB23&gt;CDS.Tenor,"-",1-EU23)</f>
        <v>0.96500210142792919</v>
      </c>
      <c r="FS23" s="366">
        <f ca="1">IF($AB23&gt;CDS.Tenor,"-",1-EV23)</f>
        <v>0.96500210142792919</v>
      </c>
      <c r="FT23" s="366">
        <f ca="1">IF($AB23&gt;CDS.Tenor,"-",1-EW23)</f>
        <v>0.96500210142792919</v>
      </c>
      <c r="FU23" s="366">
        <f ca="1">IF($AB23&gt;CDS.Tenor,"-",1-EX23)</f>
        <v>0.96500210142792919</v>
      </c>
      <c r="FV23" s="366">
        <f ca="1">IF($AB23&gt;CDS.Tenor,"-",1-EY23)</f>
        <v>0.96500210142792919</v>
      </c>
      <c r="FW23" s="366">
        <f ca="1">IF($AB23&gt;CDS.Tenor,"-",1-EZ23)</f>
        <v>0.96500210142792919</v>
      </c>
      <c r="FX23" s="362">
        <f ca="1">IF($AB23&gt;CDS.Tenor,"-",1-FA23)</f>
        <v>0.96500210142792919</v>
      </c>
      <c r="FZ23" s="370">
        <f t="shared" si="120"/>
        <v>4.75</v>
      </c>
      <c r="GA23" s="366">
        <f ca="1">IF($AB23&gt;CDS.Tenor,"-",BF23*DE23*FD23)</f>
        <v>0.91660070905800217</v>
      </c>
      <c r="GB23" s="366">
        <f ca="1">IF($AB23&gt;CDS.Tenor,"-",BG23*DF23*FE23)</f>
        <v>0.91660070905800217</v>
      </c>
      <c r="GC23" s="366">
        <f ca="1">IF($AB23&gt;CDS.Tenor,"-",BH23*DG23*FF23)</f>
        <v>0.91660070905800217</v>
      </c>
      <c r="GD23" s="366">
        <f ca="1">IF($AB23&gt;CDS.Tenor,"-",BI23*DH23*FG23)</f>
        <v>0.91660070905800217</v>
      </c>
      <c r="GE23" s="366">
        <f ca="1">IF($AB23&gt;CDS.Tenor,"-",BJ23*DI23*FH23)</f>
        <v>0.91660070905800217</v>
      </c>
      <c r="GF23" s="366">
        <f ca="1">IF($AB23&gt;CDS.Tenor,"-",BK23*DJ23*FI23)</f>
        <v>0.91660070905800217</v>
      </c>
      <c r="GG23" s="366">
        <f ca="1">IF($AB23&gt;CDS.Tenor,"-",BL23*DK23*FJ23)</f>
        <v>0.91660070905800217</v>
      </c>
      <c r="GH23" s="366">
        <f ca="1">IF($AB23&gt;CDS.Tenor,"-",BM23*DL23*FK23)</f>
        <v>0.91660070905800217</v>
      </c>
      <c r="GI23" s="366">
        <f ca="1">IF($AB23&gt;CDS.Tenor,"-",BN23*DM23*FL23)</f>
        <v>0.91660070905800217</v>
      </c>
      <c r="GJ23" s="366">
        <f ca="1">IF($AB23&gt;CDS.Tenor,"-",BO23*DN23*FM23)</f>
        <v>0.91660070905800217</v>
      </c>
      <c r="GK23" s="366">
        <f ca="1">IF($AB23&gt;CDS.Tenor,"-",BP23*DO23*FN23)</f>
        <v>0.91660070905800217</v>
      </c>
      <c r="GL23" s="366">
        <f ca="1">IF($AB23&gt;CDS.Tenor,"-",BQ23*DP23*FO23)</f>
        <v>0.91660070905800217</v>
      </c>
      <c r="GM23" s="366">
        <f ca="1">IF($AB23&gt;CDS.Tenor,"-",BR23*DQ23*FP23)</f>
        <v>0.91660070905800217</v>
      </c>
      <c r="GN23" s="366">
        <f ca="1">IF($AB23&gt;CDS.Tenor,"-",BS23*DR23*FQ23)</f>
        <v>0.91660070905800217</v>
      </c>
      <c r="GO23" s="366">
        <f ca="1">IF($AB23&gt;CDS.Tenor,"-",BT23*DS23*FR23)</f>
        <v>0.91660070905800217</v>
      </c>
      <c r="GP23" s="366">
        <f ca="1">IF($AB23&gt;CDS.Tenor,"-",BU23*DT23*FS23)</f>
        <v>0.91660070905800217</v>
      </c>
      <c r="GQ23" s="366">
        <f ca="1">IF($AB23&gt;CDS.Tenor,"-",BV23*DU23*FT23)</f>
        <v>0.91660070905800217</v>
      </c>
      <c r="GR23" s="366">
        <f ca="1">IF($AB23&gt;CDS.Tenor,"-",BW23*DV23*FU23)</f>
        <v>0.91660070905800217</v>
      </c>
      <c r="GS23" s="366">
        <f ca="1">IF($AB23&gt;CDS.Tenor,"-",BX23*DW23*FV23)</f>
        <v>0.91660070905800217</v>
      </c>
      <c r="GT23" s="366">
        <f ca="1">IF($AB23&gt;CDS.Tenor,"-",BY23*DX23*FW23)</f>
        <v>0.91660070905800217</v>
      </c>
      <c r="GU23" s="362">
        <f ca="1">IF($AB23&gt;CDS.Tenor,"-",BZ23*DY23*FX23)</f>
        <v>0.91660070905800217</v>
      </c>
      <c r="GV23" s="42"/>
      <c r="GW23" s="370">
        <f t="shared" si="121"/>
        <v>4.75</v>
      </c>
      <c r="GX23" s="378">
        <f ca="1">IF($AB23&gt;CDS.Tenor,"-",SUMPRODUCT($GA23:$GU23,$GA$4:$GU$4)*dm)</f>
        <v>0.91660060451985437</v>
      </c>
      <c r="GY23" s="381">
        <f ca="1">IF($AB23&gt;CDS.Tenor,"-",GX22-GX23)</f>
        <v>4.2107283185706113E-3</v>
      </c>
    </row>
    <row r="24" spans="2:207" x14ac:dyDescent="0.3">
      <c r="J24" s="156">
        <f t="shared" si="103"/>
        <v>5</v>
      </c>
      <c r="K24" s="28">
        <f>IF($J24&gt;CDS.Tenor,"-",CDS.PremiumSign*CDS.Notional*CDS.YearFraction*CDS.CreditSpread)</f>
        <v>-25000</v>
      </c>
      <c r="L24" s="10">
        <f ca="1">GX24</f>
        <v>0.91240913121296796</v>
      </c>
      <c r="M24" s="10">
        <f ca="1">IF($J24&gt;CDS.Tenor,"-",L23-L24)</f>
        <v>4.1914733068864063E-3</v>
      </c>
      <c r="N24" s="94" cm="1">
        <f t="array" ref="N24">IF($J24&gt;CDS.Tenor,"-",cubicInterpolation(CurveResults.Times,CurveResults.DFs,$J24))</f>
        <v>0.81496171728417521</v>
      </c>
      <c r="O24" s="28">
        <f ca="1">IF($J24&gt;CDS.Tenor,"-",K24*L24*N24)</f>
        <v>-18589.462810977067</v>
      </c>
      <c r="P24" s="28">
        <f ca="1">IF($J24&gt;CDS.Tenor,"-",0.5*K24*M24*N24)</f>
        <v>-42.698628551636581</v>
      </c>
      <c r="Q24" s="142">
        <f ca="1">IF($J24&gt;CDS.Tenor,"-",O24+P24)</f>
        <v>-18632.161439528703</v>
      </c>
      <c r="T24" s="156">
        <f t="shared" si="104"/>
        <v>5</v>
      </c>
      <c r="U24" s="28">
        <f>IF($J24&gt;CDS.Tenor,"-",CDS.ProtectionSign*CDS.Notional*(1-CDS.RecoveryRate))</f>
        <v>6000000</v>
      </c>
      <c r="V24" s="10">
        <f ca="1">IF($J24&gt;CDS.Tenor,"-",GX24)</f>
        <v>0.91240913121296796</v>
      </c>
      <c r="W24" s="10">
        <f ca="1">IF($J24&gt;CDS.Tenor,"-",V23-V24)</f>
        <v>4.1914733068864063E-3</v>
      </c>
      <c r="X24" s="94" cm="1">
        <f t="array" ref="X24">IF($T24&gt;CDS.Tenor,"-",cubicInterpolation(CurveResults.Times,CurveResults.DFs,$J24))</f>
        <v>0.81496171728417521</v>
      </c>
      <c r="Y24" s="142">
        <f ca="1">IF($J24&gt;CDS.Tenor,"-",U24*W24*X24)</f>
        <v>20495.341704785558</v>
      </c>
      <c r="AB24" s="156">
        <f t="shared" si="105"/>
        <v>5</v>
      </c>
      <c r="AC24" s="352" cm="1">
        <f t="array" aca="1" ref="AC24" ca="1">IF($AB24&gt;CDS.Tenor,"-",flatInterpolation(AA24,INDIRECT(HazardRateTimes1),INDIRECT(HazardRateValues1)))</f>
        <v>5.0000000000000001E-3</v>
      </c>
      <c r="AD24" s="10">
        <f t="shared" ca="1" si="106"/>
        <v>0.9753099120283335</v>
      </c>
      <c r="AE24" s="10">
        <f t="shared" ca="1" si="107"/>
        <v>2.4690087971666497E-2</v>
      </c>
      <c r="AF24" s="360">
        <f ca="1">IF($AB24&gt;CDS.Tenor,"-",NORMSINV(AE24))</f>
        <v>-1.9652943777417422</v>
      </c>
      <c r="AG24" s="360"/>
      <c r="AH24" s="370">
        <f t="shared" si="108"/>
        <v>5</v>
      </c>
      <c r="AI24" s="366">
        <f ca="1">IF($AB24&gt;CDS.Tenor,"-",_xlfn.NORM.S.DIST(($AF24-SQRT(ImpliedCorrelation)*AI$3)/SQRT(1-ImpliedCorrelation),TRUE))</f>
        <v>2.4690087971666472E-2</v>
      </c>
      <c r="AJ24" s="366">
        <f ca="1">IF($AB24&gt;CDS.Tenor,"-",_xlfn.NORM.S.DIST(($AF24-SQRT(ImpliedCorrelation)*AJ$3)/SQRT(1-ImpliedCorrelation),TRUE))</f>
        <v>2.4690087971666472E-2</v>
      </c>
      <c r="AK24" s="366">
        <f ca="1">IF($AB24&gt;CDS.Tenor,"-",_xlfn.NORM.S.DIST(($AF24-SQRT(ImpliedCorrelation)*AK$3)/SQRT(1-ImpliedCorrelation),TRUE))</f>
        <v>2.4690087971666472E-2</v>
      </c>
      <c r="AL24" s="366">
        <f ca="1">IF($AB24&gt;CDS.Tenor,"-",_xlfn.NORM.S.DIST(($AF24-SQRT(ImpliedCorrelation)*AL$3)/SQRT(1-ImpliedCorrelation),TRUE))</f>
        <v>2.4690087971666472E-2</v>
      </c>
      <c r="AM24" s="366">
        <f ca="1">IF($AB24&gt;CDS.Tenor,"-",_xlfn.NORM.S.DIST(($AF24-SQRT(ImpliedCorrelation)*AM$3)/SQRT(1-ImpliedCorrelation),TRUE))</f>
        <v>2.4690087971666472E-2</v>
      </c>
      <c r="AN24" s="366">
        <f ca="1">IF($AB24&gt;CDS.Tenor,"-",_xlfn.NORM.S.DIST(($AF24-SQRT(ImpliedCorrelation)*AN$3)/SQRT(1-ImpliedCorrelation),TRUE))</f>
        <v>2.4690087971666472E-2</v>
      </c>
      <c r="AO24" s="366">
        <f ca="1">IF($AB24&gt;CDS.Tenor,"-",_xlfn.NORM.S.DIST(($AF24-SQRT(ImpliedCorrelation)*AO$3)/SQRT(1-ImpliedCorrelation),TRUE))</f>
        <v>2.4690087971666472E-2</v>
      </c>
      <c r="AP24" s="366">
        <f ca="1">IF($AB24&gt;CDS.Tenor,"-",_xlfn.NORM.S.DIST(($AF24-SQRT(ImpliedCorrelation)*AP$3)/SQRT(1-ImpliedCorrelation),TRUE))</f>
        <v>2.4690087971666472E-2</v>
      </c>
      <c r="AQ24" s="366">
        <f ca="1">IF($AB24&gt;CDS.Tenor,"-",_xlfn.NORM.S.DIST(($AF24-SQRT(ImpliedCorrelation)*AQ$3)/SQRT(1-ImpliedCorrelation),TRUE))</f>
        <v>2.4690087971666472E-2</v>
      </c>
      <c r="AR24" s="366">
        <f ca="1">IF($AB24&gt;CDS.Tenor,"-",_xlfn.NORM.S.DIST(($AF24-SQRT(ImpliedCorrelation)*AR$3)/SQRT(1-ImpliedCorrelation),TRUE))</f>
        <v>2.4690087971666472E-2</v>
      </c>
      <c r="AS24" s="366">
        <f ca="1">IF($AB24&gt;CDS.Tenor,"-",_xlfn.NORM.S.DIST(($AF24-SQRT(ImpliedCorrelation)*AS$3)/SQRT(1-ImpliedCorrelation),TRUE))</f>
        <v>2.4690087971666472E-2</v>
      </c>
      <c r="AT24" s="366">
        <f ca="1">IF($AB24&gt;CDS.Tenor,"-",_xlfn.NORM.S.DIST(($AF24-SQRT(ImpliedCorrelation)*AT$3)/SQRT(1-ImpliedCorrelation),TRUE))</f>
        <v>2.4690087971666472E-2</v>
      </c>
      <c r="AU24" s="366">
        <f ca="1">IF($AB24&gt;CDS.Tenor,"-",_xlfn.NORM.S.DIST(($AF24-SQRT(ImpliedCorrelation)*AU$3)/SQRT(1-ImpliedCorrelation),TRUE))</f>
        <v>2.4690087971666472E-2</v>
      </c>
      <c r="AV24" s="366">
        <f ca="1">IF($AB24&gt;CDS.Tenor,"-",_xlfn.NORM.S.DIST(($AF24-SQRT(ImpliedCorrelation)*AV$3)/SQRT(1-ImpliedCorrelation),TRUE))</f>
        <v>2.4690087971666472E-2</v>
      </c>
      <c r="AW24" s="366">
        <f ca="1">IF($AB24&gt;CDS.Tenor,"-",_xlfn.NORM.S.DIST(($AF24-SQRT(ImpliedCorrelation)*AW$3)/SQRT(1-ImpliedCorrelation),TRUE))</f>
        <v>2.4690087971666472E-2</v>
      </c>
      <c r="AX24" s="366">
        <f ca="1">IF($AB24&gt;CDS.Tenor,"-",_xlfn.NORM.S.DIST(($AF24-SQRT(ImpliedCorrelation)*AX$3)/SQRT(1-ImpliedCorrelation),TRUE))</f>
        <v>2.4690087971666472E-2</v>
      </c>
      <c r="AY24" s="366">
        <f ca="1">IF($AB24&gt;CDS.Tenor,"-",_xlfn.NORM.S.DIST(($AF24-SQRT(ImpliedCorrelation)*AY$3)/SQRT(1-ImpliedCorrelation),TRUE))</f>
        <v>2.4690087971666472E-2</v>
      </c>
      <c r="AZ24" s="366">
        <f ca="1">IF($AB24&gt;CDS.Tenor,"-",_xlfn.NORM.S.DIST(($AF24-SQRT(ImpliedCorrelation)*AZ$3)/SQRT(1-ImpliedCorrelation),TRUE))</f>
        <v>2.4690087971666472E-2</v>
      </c>
      <c r="BA24" s="366">
        <f ca="1">IF($AB24&gt;CDS.Tenor,"-",_xlfn.NORM.S.DIST(($AF24-SQRT(ImpliedCorrelation)*BA$3)/SQRT(1-ImpliedCorrelation),TRUE))</f>
        <v>2.4690087971666472E-2</v>
      </c>
      <c r="BB24" s="366">
        <f ca="1">IF($AB24&gt;CDS.Tenor,"-",_xlfn.NORM.S.DIST(($AF24-SQRT(ImpliedCorrelation)*BB$3)/SQRT(1-ImpliedCorrelation),TRUE))</f>
        <v>2.4690087971666472E-2</v>
      </c>
      <c r="BC24" s="366">
        <f ca="1">IF($AB24&gt;CDS.Tenor,"-",_xlfn.NORM.S.DIST(($AF24-SQRT(ImpliedCorrelation)*BC$3)/SQRT(1-ImpliedCorrelation),TRUE))</f>
        <v>2.4690087971666472E-2</v>
      </c>
      <c r="BD24" s="366"/>
      <c r="BE24" s="370">
        <f t="shared" si="109"/>
        <v>5</v>
      </c>
      <c r="BF24" s="366">
        <f ca="1">IF($AB24&gt;CDS.Tenor,"-",1-AI24)</f>
        <v>0.9753099120283335</v>
      </c>
      <c r="BG24" s="366">
        <f ca="1">IF($AB24&gt;CDS.Tenor,"-",1-AJ24)</f>
        <v>0.9753099120283335</v>
      </c>
      <c r="BH24" s="366">
        <f ca="1">IF($AB24&gt;CDS.Tenor,"-",1-AK24)</f>
        <v>0.9753099120283335</v>
      </c>
      <c r="BI24" s="366">
        <f ca="1">IF($AB24&gt;CDS.Tenor,"-",1-AL24)</f>
        <v>0.9753099120283335</v>
      </c>
      <c r="BJ24" s="366">
        <f ca="1">IF($AB24&gt;CDS.Tenor,"-",1-AM24)</f>
        <v>0.9753099120283335</v>
      </c>
      <c r="BK24" s="366">
        <f ca="1">IF($AB24&gt;CDS.Tenor,"-",1-AN24)</f>
        <v>0.9753099120283335</v>
      </c>
      <c r="BL24" s="366">
        <f ca="1">IF($AB24&gt;CDS.Tenor,"-",1-AO24)</f>
        <v>0.9753099120283335</v>
      </c>
      <c r="BM24" s="366">
        <f ca="1">IF($AB24&gt;CDS.Tenor,"-",1-AP24)</f>
        <v>0.9753099120283335</v>
      </c>
      <c r="BN24" s="366">
        <f ca="1">IF($AB24&gt;CDS.Tenor,"-",1-AQ24)</f>
        <v>0.9753099120283335</v>
      </c>
      <c r="BO24" s="366">
        <f ca="1">IF($AB24&gt;CDS.Tenor,"-",1-AR24)</f>
        <v>0.9753099120283335</v>
      </c>
      <c r="BP24" s="366">
        <f ca="1">IF($AB24&gt;CDS.Tenor,"-",1-AS24)</f>
        <v>0.9753099120283335</v>
      </c>
      <c r="BQ24" s="366">
        <f ca="1">IF($AB24&gt;CDS.Tenor,"-",1-AT24)</f>
        <v>0.9753099120283335</v>
      </c>
      <c r="BR24" s="366">
        <f ca="1">IF($AB24&gt;CDS.Tenor,"-",1-AU24)</f>
        <v>0.9753099120283335</v>
      </c>
      <c r="BS24" s="366">
        <f ca="1">IF($AB24&gt;CDS.Tenor,"-",1-AV24)</f>
        <v>0.9753099120283335</v>
      </c>
      <c r="BT24" s="366">
        <f ca="1">IF($AB24&gt;CDS.Tenor,"-",1-AW24)</f>
        <v>0.9753099120283335</v>
      </c>
      <c r="BU24" s="366">
        <f ca="1">IF($AB24&gt;CDS.Tenor,"-",1-AX24)</f>
        <v>0.9753099120283335</v>
      </c>
      <c r="BV24" s="366">
        <f ca="1">IF($AB24&gt;CDS.Tenor,"-",1-AY24)</f>
        <v>0.9753099120283335</v>
      </c>
      <c r="BW24" s="366">
        <f ca="1">IF($AB24&gt;CDS.Tenor,"-",1-AZ24)</f>
        <v>0.9753099120283335</v>
      </c>
      <c r="BX24" s="366">
        <f ca="1">IF($AB24&gt;CDS.Tenor,"-",1-BA24)</f>
        <v>0.9753099120283335</v>
      </c>
      <c r="BY24" s="366">
        <f ca="1">IF($AB24&gt;CDS.Tenor,"-",1-BB24)</f>
        <v>0.9753099120283335</v>
      </c>
      <c r="BZ24" s="366">
        <f ca="1">IF($AB24&gt;CDS.Tenor,"-",1-BC24)</f>
        <v>0.9753099120283335</v>
      </c>
      <c r="CA24" s="17"/>
      <c r="CB24" s="352" cm="1">
        <f t="array" aca="1" ref="CB24" ca="1">IF($AB24&gt;CDS.Tenor,"-",flatInterpolation(AB24,INDIRECT(HazardRateTimes2),INDIRECT(HazardRateValues2)))</f>
        <v>5.8333333333333336E-3</v>
      </c>
      <c r="CC24" s="10">
        <f t="shared" ca="1" si="110"/>
        <v>0.97125457521367298</v>
      </c>
      <c r="CD24" s="10">
        <f t="shared" ca="1" si="111"/>
        <v>2.8745424786327023E-2</v>
      </c>
      <c r="CE24" s="81">
        <f t="shared" ca="1" si="112"/>
        <v>-1.8995602749883329</v>
      </c>
      <c r="CF24" s="360"/>
      <c r="CG24" s="370">
        <f t="shared" si="113"/>
        <v>5</v>
      </c>
      <c r="CH24" s="366">
        <f ca="1">IF($AB24&gt;CDS.Tenor,"-",_xlfn.NORM.S.DIST(($CE24-SQRT(ImpliedCorrelation)*CH$3)/SQRT(1-ImpliedCorrelation),TRUE))</f>
        <v>2.874542478632703E-2</v>
      </c>
      <c r="CI24" s="366">
        <f ca="1">IF($AB24&gt;CDS.Tenor,"-",_xlfn.NORM.S.DIST(($CE24-SQRT(ImpliedCorrelation)*CI$3)/SQRT(1-ImpliedCorrelation),TRUE))</f>
        <v>2.874542478632703E-2</v>
      </c>
      <c r="CJ24" s="366">
        <f ca="1">IF($AB24&gt;CDS.Tenor,"-",_xlfn.NORM.S.DIST(($CE24-SQRT(ImpliedCorrelation)*CJ$3)/SQRT(1-ImpliedCorrelation),TRUE))</f>
        <v>2.874542478632703E-2</v>
      </c>
      <c r="CK24" s="366">
        <f ca="1">IF($AB24&gt;CDS.Tenor,"-",_xlfn.NORM.S.DIST(($CE24-SQRT(ImpliedCorrelation)*CK$3)/SQRT(1-ImpliedCorrelation),TRUE))</f>
        <v>2.874542478632703E-2</v>
      </c>
      <c r="CL24" s="366">
        <f ca="1">IF($AB24&gt;CDS.Tenor,"-",_xlfn.NORM.S.DIST(($CE24-SQRT(ImpliedCorrelation)*CL$3)/SQRT(1-ImpliedCorrelation),TRUE))</f>
        <v>2.874542478632703E-2</v>
      </c>
      <c r="CM24" s="366">
        <f ca="1">IF($AB24&gt;CDS.Tenor,"-",_xlfn.NORM.S.DIST(($CE24-SQRT(ImpliedCorrelation)*CM$3)/SQRT(1-ImpliedCorrelation),TRUE))</f>
        <v>2.874542478632703E-2</v>
      </c>
      <c r="CN24" s="366">
        <f ca="1">IF($AB24&gt;CDS.Tenor,"-",_xlfn.NORM.S.DIST(($CE24-SQRT(ImpliedCorrelation)*CN$3)/SQRT(1-ImpliedCorrelation),TRUE))</f>
        <v>2.874542478632703E-2</v>
      </c>
      <c r="CO24" s="366">
        <f ca="1">IF($AB24&gt;CDS.Tenor,"-",_xlfn.NORM.S.DIST(($CE24-SQRT(ImpliedCorrelation)*CO$3)/SQRT(1-ImpliedCorrelation),TRUE))</f>
        <v>2.874542478632703E-2</v>
      </c>
      <c r="CP24" s="366">
        <f ca="1">IF($AB24&gt;CDS.Tenor,"-",_xlfn.NORM.S.DIST(($CE24-SQRT(ImpliedCorrelation)*CP$3)/SQRT(1-ImpliedCorrelation),TRUE))</f>
        <v>2.874542478632703E-2</v>
      </c>
      <c r="CQ24" s="366">
        <f ca="1">IF($AB24&gt;CDS.Tenor,"-",_xlfn.NORM.S.DIST(($CE24-SQRT(ImpliedCorrelation)*CQ$3)/SQRT(1-ImpliedCorrelation),TRUE))</f>
        <v>2.874542478632703E-2</v>
      </c>
      <c r="CR24" s="366">
        <f ca="1">IF($AB24&gt;CDS.Tenor,"-",_xlfn.NORM.S.DIST(($CE24-SQRT(ImpliedCorrelation)*CR$3)/SQRT(1-ImpliedCorrelation),TRUE))</f>
        <v>2.874542478632703E-2</v>
      </c>
      <c r="CS24" s="366">
        <f ca="1">IF($AB24&gt;CDS.Tenor,"-",_xlfn.NORM.S.DIST(($CE24-SQRT(ImpliedCorrelation)*CS$3)/SQRT(1-ImpliedCorrelation),TRUE))</f>
        <v>2.874542478632703E-2</v>
      </c>
      <c r="CT24" s="366">
        <f ca="1">IF($AB24&gt;CDS.Tenor,"-",_xlfn.NORM.S.DIST(($CE24-SQRT(ImpliedCorrelation)*CT$3)/SQRT(1-ImpliedCorrelation),TRUE))</f>
        <v>2.874542478632703E-2</v>
      </c>
      <c r="CU24" s="366">
        <f ca="1">IF($AB24&gt;CDS.Tenor,"-",_xlfn.NORM.S.DIST(($CE24-SQRT(ImpliedCorrelation)*CU$3)/SQRT(1-ImpliedCorrelation),TRUE))</f>
        <v>2.874542478632703E-2</v>
      </c>
      <c r="CV24" s="366">
        <f ca="1">IF($AB24&gt;CDS.Tenor,"-",_xlfn.NORM.S.DIST(($CE24-SQRT(ImpliedCorrelation)*CV$3)/SQRT(1-ImpliedCorrelation),TRUE))</f>
        <v>2.874542478632703E-2</v>
      </c>
      <c r="CW24" s="366">
        <f ca="1">IF($AB24&gt;CDS.Tenor,"-",_xlfn.NORM.S.DIST(($CE24-SQRT(ImpliedCorrelation)*CW$3)/SQRT(1-ImpliedCorrelation),TRUE))</f>
        <v>2.874542478632703E-2</v>
      </c>
      <c r="CX24" s="366">
        <f ca="1">IF($AB24&gt;CDS.Tenor,"-",_xlfn.NORM.S.DIST(($CE24-SQRT(ImpliedCorrelation)*CX$3)/SQRT(1-ImpliedCorrelation),TRUE))</f>
        <v>2.874542478632703E-2</v>
      </c>
      <c r="CY24" s="366">
        <f ca="1">IF($AB24&gt;CDS.Tenor,"-",_xlfn.NORM.S.DIST(($CE24-SQRT(ImpliedCorrelation)*CY$3)/SQRT(1-ImpliedCorrelation),TRUE))</f>
        <v>2.874542478632703E-2</v>
      </c>
      <c r="CZ24" s="366">
        <f ca="1">IF($AB24&gt;CDS.Tenor,"-",_xlfn.NORM.S.DIST(($CE24-SQRT(ImpliedCorrelation)*CZ$3)/SQRT(1-ImpliedCorrelation),TRUE))</f>
        <v>2.874542478632703E-2</v>
      </c>
      <c r="DA24" s="366">
        <f ca="1">IF($AB24&gt;CDS.Tenor,"-",_xlfn.NORM.S.DIST(($CE24-SQRT(ImpliedCorrelation)*DA$3)/SQRT(1-ImpliedCorrelation),TRUE))</f>
        <v>2.874542478632703E-2</v>
      </c>
      <c r="DB24" s="366">
        <f ca="1">IF($AB24&gt;CDS.Tenor,"-",_xlfn.NORM.S.DIST(($CE24-SQRT(ImpliedCorrelation)*DB$3)/SQRT(1-ImpliedCorrelation),TRUE))</f>
        <v>2.874542478632703E-2</v>
      </c>
      <c r="DC24" s="366"/>
      <c r="DD24" s="370">
        <f t="shared" si="114"/>
        <v>5</v>
      </c>
      <c r="DE24" s="366">
        <f ca="1">IF($AB24&gt;CDS.Tenor,"-",1-CH24)</f>
        <v>0.97125457521367298</v>
      </c>
      <c r="DF24" s="366">
        <f ca="1">IF($AB24&gt;CDS.Tenor,"-",1-CI24)</f>
        <v>0.97125457521367298</v>
      </c>
      <c r="DG24" s="366">
        <f ca="1">IF($AB24&gt;CDS.Tenor,"-",1-CJ24)</f>
        <v>0.97125457521367298</v>
      </c>
      <c r="DH24" s="366">
        <f ca="1">IF($AB24&gt;CDS.Tenor,"-",1-CK24)</f>
        <v>0.97125457521367298</v>
      </c>
      <c r="DI24" s="366">
        <f ca="1">IF($AB24&gt;CDS.Tenor,"-",1-CL24)</f>
        <v>0.97125457521367298</v>
      </c>
      <c r="DJ24" s="366">
        <f ca="1">IF($AB24&gt;CDS.Tenor,"-",1-CM24)</f>
        <v>0.97125457521367298</v>
      </c>
      <c r="DK24" s="366">
        <f ca="1">IF($AB24&gt;CDS.Tenor,"-",1-CN24)</f>
        <v>0.97125457521367298</v>
      </c>
      <c r="DL24" s="366">
        <f ca="1">IF($AB24&gt;CDS.Tenor,"-",1-CO24)</f>
        <v>0.97125457521367298</v>
      </c>
      <c r="DM24" s="366">
        <f ca="1">IF($AB24&gt;CDS.Tenor,"-",1-CP24)</f>
        <v>0.97125457521367298</v>
      </c>
      <c r="DN24" s="366">
        <f ca="1">IF($AB24&gt;CDS.Tenor,"-",1-CQ24)</f>
        <v>0.97125457521367298</v>
      </c>
      <c r="DO24" s="366">
        <f ca="1">IF($AB24&gt;CDS.Tenor,"-",1-CR24)</f>
        <v>0.97125457521367298</v>
      </c>
      <c r="DP24" s="366">
        <f ca="1">IF($AB24&gt;CDS.Tenor,"-",1-CS24)</f>
        <v>0.97125457521367298</v>
      </c>
      <c r="DQ24" s="366">
        <f ca="1">IF($AB24&gt;CDS.Tenor,"-",1-CT24)</f>
        <v>0.97125457521367298</v>
      </c>
      <c r="DR24" s="366">
        <f ca="1">IF($AB24&gt;CDS.Tenor,"-",1-CU24)</f>
        <v>0.97125457521367298</v>
      </c>
      <c r="DS24" s="366">
        <f ca="1">IF($AB24&gt;CDS.Tenor,"-",1-CV24)</f>
        <v>0.97125457521367298</v>
      </c>
      <c r="DT24" s="366">
        <f ca="1">IF($AB24&gt;CDS.Tenor,"-",1-CW24)</f>
        <v>0.97125457521367298</v>
      </c>
      <c r="DU24" s="366">
        <f ca="1">IF($AB24&gt;CDS.Tenor,"-",1-CX24)</f>
        <v>0.97125457521367298</v>
      </c>
      <c r="DV24" s="366">
        <f ca="1">IF($AB24&gt;CDS.Tenor,"-",1-CY24)</f>
        <v>0.97125457521367298</v>
      </c>
      <c r="DW24" s="366">
        <f ca="1">IF($AB24&gt;CDS.Tenor,"-",1-CZ24)</f>
        <v>0.97125457521367298</v>
      </c>
      <c r="DX24" s="366">
        <f ca="1">IF($AB24&gt;CDS.Tenor,"-",1-DA24)</f>
        <v>0.97125457521367298</v>
      </c>
      <c r="DY24" s="362">
        <f ca="1">IF($AB24&gt;CDS.Tenor,"-",1-DB24)</f>
        <v>0.97125457521367298</v>
      </c>
      <c r="DZ24" s="360"/>
      <c r="EA24" s="352" cm="1">
        <f t="array" aca="1" ref="EA24" ca="1">IF($AB24&gt;CDS.Tenor,"-",flatInterpolation(CC24,INDIRECT(HazardRateTimes3),INDIRECT(HazardRateValues3)))</f>
        <v>7.4999999999999997E-3</v>
      </c>
      <c r="EB24" s="10">
        <f t="shared" ca="1" si="115"/>
        <v>0.96319441772082204</v>
      </c>
      <c r="EC24" s="10">
        <f t="shared" ca="1" si="116"/>
        <v>3.6805582279177962E-2</v>
      </c>
      <c r="ED24" s="81">
        <f t="shared" ca="1" si="117"/>
        <v>-1.7890226706768328</v>
      </c>
      <c r="EF24" s="370">
        <f t="shared" si="118"/>
        <v>5</v>
      </c>
      <c r="EG24" s="366">
        <f ca="1">IF($AB24&gt;CDS.Tenor,"-",_xlfn.NORM.S.DIST(($ED24-SQRT(ImpliedCorrelation)*EG$3)/SQRT(1-ImpliedCorrelation),TRUE))</f>
        <v>3.6805582279177948E-2</v>
      </c>
      <c r="EH24" s="366">
        <f ca="1">IF($AB24&gt;CDS.Tenor,"-",_xlfn.NORM.S.DIST(($ED24-SQRT(ImpliedCorrelation)*EH$3)/SQRT(1-ImpliedCorrelation),TRUE))</f>
        <v>3.6805582279177948E-2</v>
      </c>
      <c r="EI24" s="366">
        <f ca="1">IF($AB24&gt;CDS.Tenor,"-",_xlfn.NORM.S.DIST(($ED24-SQRT(ImpliedCorrelation)*EI$3)/SQRT(1-ImpliedCorrelation),TRUE))</f>
        <v>3.6805582279177948E-2</v>
      </c>
      <c r="EJ24" s="366">
        <f ca="1">IF($AB24&gt;CDS.Tenor,"-",_xlfn.NORM.S.DIST(($ED24-SQRT(ImpliedCorrelation)*EJ$3)/SQRT(1-ImpliedCorrelation),TRUE))</f>
        <v>3.6805582279177948E-2</v>
      </c>
      <c r="EK24" s="366">
        <f ca="1">IF($AB24&gt;CDS.Tenor,"-",_xlfn.NORM.S.DIST(($ED24-SQRT(ImpliedCorrelation)*EK$3)/SQRT(1-ImpliedCorrelation),TRUE))</f>
        <v>3.6805582279177948E-2</v>
      </c>
      <c r="EL24" s="366">
        <f ca="1">IF($AB24&gt;CDS.Tenor,"-",_xlfn.NORM.S.DIST(($ED24-SQRT(ImpliedCorrelation)*EL$3)/SQRT(1-ImpliedCorrelation),TRUE))</f>
        <v>3.6805582279177948E-2</v>
      </c>
      <c r="EM24" s="366">
        <f ca="1">IF($AB24&gt;CDS.Tenor,"-",_xlfn.NORM.S.DIST(($ED24-SQRT(ImpliedCorrelation)*EM$3)/SQRT(1-ImpliedCorrelation),TRUE))</f>
        <v>3.6805582279177948E-2</v>
      </c>
      <c r="EN24" s="366">
        <f ca="1">IF($AB24&gt;CDS.Tenor,"-",_xlfn.NORM.S.DIST(($ED24-SQRT(ImpliedCorrelation)*EN$3)/SQRT(1-ImpliedCorrelation),TRUE))</f>
        <v>3.6805582279177948E-2</v>
      </c>
      <c r="EO24" s="366">
        <f ca="1">IF($AB24&gt;CDS.Tenor,"-",_xlfn.NORM.S.DIST(($ED24-SQRT(ImpliedCorrelation)*EO$3)/SQRT(1-ImpliedCorrelation),TRUE))</f>
        <v>3.6805582279177948E-2</v>
      </c>
      <c r="EP24" s="366">
        <f ca="1">IF($AB24&gt;CDS.Tenor,"-",_xlfn.NORM.S.DIST(($ED24-SQRT(ImpliedCorrelation)*EP$3)/SQRT(1-ImpliedCorrelation),TRUE))</f>
        <v>3.6805582279177948E-2</v>
      </c>
      <c r="EQ24" s="366">
        <f ca="1">IF($AB24&gt;CDS.Tenor,"-",_xlfn.NORM.S.DIST(($ED24-SQRT(ImpliedCorrelation)*EQ$3)/SQRT(1-ImpliedCorrelation),TRUE))</f>
        <v>3.6805582279177948E-2</v>
      </c>
      <c r="ER24" s="366">
        <f ca="1">IF($AB24&gt;CDS.Tenor,"-",_xlfn.NORM.S.DIST(($ED24-SQRT(ImpliedCorrelation)*ER$3)/SQRT(1-ImpliedCorrelation),TRUE))</f>
        <v>3.6805582279177948E-2</v>
      </c>
      <c r="ES24" s="366">
        <f ca="1">IF($AB24&gt;CDS.Tenor,"-",_xlfn.NORM.S.DIST(($ED24-SQRT(ImpliedCorrelation)*ES$3)/SQRT(1-ImpliedCorrelation),TRUE))</f>
        <v>3.6805582279177948E-2</v>
      </c>
      <c r="ET24" s="366">
        <f ca="1">IF($AB24&gt;CDS.Tenor,"-",_xlfn.NORM.S.DIST(($ED24-SQRT(ImpliedCorrelation)*ET$3)/SQRT(1-ImpliedCorrelation),TRUE))</f>
        <v>3.6805582279177948E-2</v>
      </c>
      <c r="EU24" s="366">
        <f ca="1">IF($AB24&gt;CDS.Tenor,"-",_xlfn.NORM.S.DIST(($ED24-SQRT(ImpliedCorrelation)*EU$3)/SQRT(1-ImpliedCorrelation),TRUE))</f>
        <v>3.6805582279177948E-2</v>
      </c>
      <c r="EV24" s="366">
        <f ca="1">IF($AB24&gt;CDS.Tenor,"-",_xlfn.NORM.S.DIST(($ED24-SQRT(ImpliedCorrelation)*EV$3)/SQRT(1-ImpliedCorrelation),TRUE))</f>
        <v>3.6805582279177948E-2</v>
      </c>
      <c r="EW24" s="366">
        <f ca="1">IF($AB24&gt;CDS.Tenor,"-",_xlfn.NORM.S.DIST(($ED24-SQRT(ImpliedCorrelation)*EW$3)/SQRT(1-ImpliedCorrelation),TRUE))</f>
        <v>3.6805582279177948E-2</v>
      </c>
      <c r="EX24" s="366">
        <f ca="1">IF($AB24&gt;CDS.Tenor,"-",_xlfn.NORM.S.DIST(($ED24-SQRT(ImpliedCorrelation)*EX$3)/SQRT(1-ImpliedCorrelation),TRUE))</f>
        <v>3.6805582279177948E-2</v>
      </c>
      <c r="EY24" s="366">
        <f ca="1">IF($AB24&gt;CDS.Tenor,"-",_xlfn.NORM.S.DIST(($ED24-SQRT(ImpliedCorrelation)*EY$3)/SQRT(1-ImpliedCorrelation),TRUE))</f>
        <v>3.6805582279177948E-2</v>
      </c>
      <c r="EZ24" s="366">
        <f ca="1">IF($AB24&gt;CDS.Tenor,"-",_xlfn.NORM.S.DIST(($ED24-SQRT(ImpliedCorrelation)*EZ$3)/SQRT(1-ImpliedCorrelation),TRUE))</f>
        <v>3.6805582279177948E-2</v>
      </c>
      <c r="FA24" s="366">
        <f ca="1">IF($AB24&gt;CDS.Tenor,"-",_xlfn.NORM.S.DIST(($ED24-SQRT(ImpliedCorrelation)*FA$3)/SQRT(1-ImpliedCorrelation),TRUE))</f>
        <v>3.6805582279177948E-2</v>
      </c>
      <c r="FB24" s="366"/>
      <c r="FC24" s="370">
        <f t="shared" si="119"/>
        <v>5</v>
      </c>
      <c r="FD24" s="366">
        <f ca="1">IF($AB24&gt;CDS.Tenor,"-",1-EG24)</f>
        <v>0.96319441772082204</v>
      </c>
      <c r="FE24" s="366">
        <f ca="1">IF($AB24&gt;CDS.Tenor,"-",1-EH24)</f>
        <v>0.96319441772082204</v>
      </c>
      <c r="FF24" s="366">
        <f ca="1">IF($AB24&gt;CDS.Tenor,"-",1-EI24)</f>
        <v>0.96319441772082204</v>
      </c>
      <c r="FG24" s="366">
        <f ca="1">IF($AB24&gt;CDS.Tenor,"-",1-EJ24)</f>
        <v>0.96319441772082204</v>
      </c>
      <c r="FH24" s="366">
        <f ca="1">IF($AB24&gt;CDS.Tenor,"-",1-EK24)</f>
        <v>0.96319441772082204</v>
      </c>
      <c r="FI24" s="366">
        <f ca="1">IF($AB24&gt;CDS.Tenor,"-",1-EL24)</f>
        <v>0.96319441772082204</v>
      </c>
      <c r="FJ24" s="366">
        <f ca="1">IF($AB24&gt;CDS.Tenor,"-",1-EM24)</f>
        <v>0.96319441772082204</v>
      </c>
      <c r="FK24" s="366">
        <f ca="1">IF($AB24&gt;CDS.Tenor,"-",1-EN24)</f>
        <v>0.96319441772082204</v>
      </c>
      <c r="FL24" s="366">
        <f ca="1">IF($AB24&gt;CDS.Tenor,"-",1-EO24)</f>
        <v>0.96319441772082204</v>
      </c>
      <c r="FM24" s="366">
        <f ca="1">IF($AB24&gt;CDS.Tenor,"-",1-EP24)</f>
        <v>0.96319441772082204</v>
      </c>
      <c r="FN24" s="366">
        <f ca="1">IF($AB24&gt;CDS.Tenor,"-",1-EQ24)</f>
        <v>0.96319441772082204</v>
      </c>
      <c r="FO24" s="366">
        <f ca="1">IF($AB24&gt;CDS.Tenor,"-",1-ER24)</f>
        <v>0.96319441772082204</v>
      </c>
      <c r="FP24" s="366">
        <f ca="1">IF($AB24&gt;CDS.Tenor,"-",1-ES24)</f>
        <v>0.96319441772082204</v>
      </c>
      <c r="FQ24" s="366">
        <f ca="1">IF($AB24&gt;CDS.Tenor,"-",1-ET24)</f>
        <v>0.96319441772082204</v>
      </c>
      <c r="FR24" s="366">
        <f ca="1">IF($AB24&gt;CDS.Tenor,"-",1-EU24)</f>
        <v>0.96319441772082204</v>
      </c>
      <c r="FS24" s="366">
        <f ca="1">IF($AB24&gt;CDS.Tenor,"-",1-EV24)</f>
        <v>0.96319441772082204</v>
      </c>
      <c r="FT24" s="366">
        <f ca="1">IF($AB24&gt;CDS.Tenor,"-",1-EW24)</f>
        <v>0.96319441772082204</v>
      </c>
      <c r="FU24" s="366">
        <f ca="1">IF($AB24&gt;CDS.Tenor,"-",1-EX24)</f>
        <v>0.96319441772082204</v>
      </c>
      <c r="FV24" s="366">
        <f ca="1">IF($AB24&gt;CDS.Tenor,"-",1-EY24)</f>
        <v>0.96319441772082204</v>
      </c>
      <c r="FW24" s="366">
        <f ca="1">IF($AB24&gt;CDS.Tenor,"-",1-EZ24)</f>
        <v>0.96319441772082204</v>
      </c>
      <c r="FX24" s="362">
        <f ca="1">IF($AB24&gt;CDS.Tenor,"-",1-FA24)</f>
        <v>0.96319441772082204</v>
      </c>
      <c r="FZ24" s="370">
        <f t="shared" si="120"/>
        <v>5</v>
      </c>
      <c r="GA24" s="366">
        <f ca="1">IF($AB24&gt;CDS.Tenor,"-",BF24*DE24*FD24)</f>
        <v>0.91240923527307893</v>
      </c>
      <c r="GB24" s="366">
        <f ca="1">IF($AB24&gt;CDS.Tenor,"-",BG24*DF24*FE24)</f>
        <v>0.91240923527307893</v>
      </c>
      <c r="GC24" s="366">
        <f ca="1">IF($AB24&gt;CDS.Tenor,"-",BH24*DG24*FF24)</f>
        <v>0.91240923527307893</v>
      </c>
      <c r="GD24" s="366">
        <f ca="1">IF($AB24&gt;CDS.Tenor,"-",BI24*DH24*FG24)</f>
        <v>0.91240923527307893</v>
      </c>
      <c r="GE24" s="366">
        <f ca="1">IF($AB24&gt;CDS.Tenor,"-",BJ24*DI24*FH24)</f>
        <v>0.91240923527307893</v>
      </c>
      <c r="GF24" s="366">
        <f ca="1">IF($AB24&gt;CDS.Tenor,"-",BK24*DJ24*FI24)</f>
        <v>0.91240923527307893</v>
      </c>
      <c r="GG24" s="366">
        <f ca="1">IF($AB24&gt;CDS.Tenor,"-",BL24*DK24*FJ24)</f>
        <v>0.91240923527307893</v>
      </c>
      <c r="GH24" s="366">
        <f ca="1">IF($AB24&gt;CDS.Tenor,"-",BM24*DL24*FK24)</f>
        <v>0.91240923527307893</v>
      </c>
      <c r="GI24" s="366">
        <f ca="1">IF($AB24&gt;CDS.Tenor,"-",BN24*DM24*FL24)</f>
        <v>0.91240923527307893</v>
      </c>
      <c r="GJ24" s="366">
        <f ca="1">IF($AB24&gt;CDS.Tenor,"-",BO24*DN24*FM24)</f>
        <v>0.91240923527307893</v>
      </c>
      <c r="GK24" s="366">
        <f ca="1">IF($AB24&gt;CDS.Tenor,"-",BP24*DO24*FN24)</f>
        <v>0.91240923527307893</v>
      </c>
      <c r="GL24" s="366">
        <f ca="1">IF($AB24&gt;CDS.Tenor,"-",BQ24*DP24*FO24)</f>
        <v>0.91240923527307893</v>
      </c>
      <c r="GM24" s="366">
        <f ca="1">IF($AB24&gt;CDS.Tenor,"-",BR24*DQ24*FP24)</f>
        <v>0.91240923527307893</v>
      </c>
      <c r="GN24" s="366">
        <f ca="1">IF($AB24&gt;CDS.Tenor,"-",BS24*DR24*FQ24)</f>
        <v>0.91240923527307893</v>
      </c>
      <c r="GO24" s="366">
        <f ca="1">IF($AB24&gt;CDS.Tenor,"-",BT24*DS24*FR24)</f>
        <v>0.91240923527307893</v>
      </c>
      <c r="GP24" s="366">
        <f ca="1">IF($AB24&gt;CDS.Tenor,"-",BU24*DT24*FS24)</f>
        <v>0.91240923527307893</v>
      </c>
      <c r="GQ24" s="366">
        <f ca="1">IF($AB24&gt;CDS.Tenor,"-",BV24*DU24*FT24)</f>
        <v>0.91240923527307893</v>
      </c>
      <c r="GR24" s="366">
        <f ca="1">IF($AB24&gt;CDS.Tenor,"-",BW24*DV24*FU24)</f>
        <v>0.91240923527307893</v>
      </c>
      <c r="GS24" s="366">
        <f ca="1">IF($AB24&gt;CDS.Tenor,"-",BX24*DW24*FV24)</f>
        <v>0.91240923527307893</v>
      </c>
      <c r="GT24" s="366">
        <f ca="1">IF($AB24&gt;CDS.Tenor,"-",BY24*DX24*FW24)</f>
        <v>0.91240923527307893</v>
      </c>
      <c r="GU24" s="362">
        <f ca="1">IF($AB24&gt;CDS.Tenor,"-",BZ24*DY24*FX24)</f>
        <v>0.91240923527307893</v>
      </c>
      <c r="GV24" s="42"/>
      <c r="GW24" s="370">
        <f t="shared" si="121"/>
        <v>5</v>
      </c>
      <c r="GX24" s="378">
        <f ca="1">IF($AB24&gt;CDS.Tenor,"-",SUMPRODUCT($GA24:$GU24,$GA$4:$GU$4)*dm)</f>
        <v>0.91240913121296796</v>
      </c>
      <c r="GY24" s="381">
        <f ca="1">IF($AB24&gt;CDS.Tenor,"-",GX23-GX24)</f>
        <v>4.1914733068864063E-3</v>
      </c>
    </row>
    <row r="25" spans="2:207" x14ac:dyDescent="0.3">
      <c r="B25" s="346" t="str">
        <f>CreditRef2</f>
        <v>MSFT</v>
      </c>
      <c r="J25" s="156">
        <f t="shared" si="103"/>
        <v>5.25</v>
      </c>
      <c r="K25" s="28" t="str">
        <f>IF($J25&gt;CDS.Tenor,"-",CDS.PremiumSign*CDS.Notional*CDS.YearFraction*CDS.CreditSpread)</f>
        <v>-</v>
      </c>
      <c r="L25" s="10" t="str">
        <f>GX25</f>
        <v>-</v>
      </c>
      <c r="M25" s="10" t="str">
        <f>IF($J25&gt;CDS.Tenor,"-",L24-L25)</f>
        <v>-</v>
      </c>
      <c r="N25" s="94" t="str" cm="1">
        <f t="array" ref="N25">IF($J25&gt;CDS.Tenor,"-",cubicInterpolation(CurveResults.Times,CurveResults.DFs,$J25))</f>
        <v>-</v>
      </c>
      <c r="O25" s="28" t="str">
        <f>IF($J25&gt;CDS.Tenor,"-",K25*L25*N25)</f>
        <v>-</v>
      </c>
      <c r="P25" s="28" t="str">
        <f>IF($J25&gt;CDS.Tenor,"-",0.5*K25*M25*N25)</f>
        <v>-</v>
      </c>
      <c r="Q25" s="142" t="str">
        <f>IF($J25&gt;CDS.Tenor,"-",O25+P25)</f>
        <v>-</v>
      </c>
      <c r="T25" s="156">
        <f t="shared" si="104"/>
        <v>5.25</v>
      </c>
      <c r="U25" s="28" t="str">
        <f>IF($J25&gt;CDS.Tenor,"-",CDS.ProtectionSign*CDS.Notional*(1-CDS.RecoveryRate))</f>
        <v>-</v>
      </c>
      <c r="V25" s="10" t="str">
        <f>IF($J25&gt;CDS.Tenor,"-",GX25)</f>
        <v>-</v>
      </c>
      <c r="W25" s="10" t="str">
        <f>IF($J25&gt;CDS.Tenor,"-",V24-V25)</f>
        <v>-</v>
      </c>
      <c r="X25" s="94" t="str" cm="1">
        <f t="array" ref="X25">IF($T25&gt;CDS.Tenor,"-",cubicInterpolation(CurveResults.Times,CurveResults.DFs,$J25))</f>
        <v>-</v>
      </c>
      <c r="Y25" s="142" t="str">
        <f>IF($J25&gt;CDS.Tenor,"-",U25*W25*X25)</f>
        <v>-</v>
      </c>
      <c r="AB25" s="156">
        <f t="shared" si="105"/>
        <v>5.25</v>
      </c>
      <c r="AC25" s="352" t="str" cm="1">
        <f t="array" aca="1" ref="AC25" ca="1">IF($AB25&gt;CDS.Tenor,"-",flatInterpolation(AA25,INDIRECT(HazardRateTimes1),INDIRECT(HazardRateValues1)))</f>
        <v>-</v>
      </c>
      <c r="AD25" s="10" t="str">
        <f t="shared" si="106"/>
        <v>-</v>
      </c>
      <c r="AE25" s="10" t="str">
        <f t="shared" si="107"/>
        <v>-</v>
      </c>
      <c r="AF25" s="360" t="str">
        <f>IF($AB25&gt;CDS.Tenor,"-",NORMSINV(AE25))</f>
        <v>-</v>
      </c>
      <c r="AG25" s="360"/>
      <c r="AH25" s="370">
        <f t="shared" si="108"/>
        <v>5.25</v>
      </c>
      <c r="AI25" s="366" t="str">
        <f>IF($AB25&gt;CDS.Tenor,"-",_xlfn.NORM.S.DIST(($AF25-SQRT(ImpliedCorrelation)*AI$3)/SQRT(1-ImpliedCorrelation),TRUE))</f>
        <v>-</v>
      </c>
      <c r="AJ25" s="366" t="str">
        <f>IF($AB25&gt;CDS.Tenor,"-",_xlfn.NORM.S.DIST(($AF25-SQRT(ImpliedCorrelation)*AJ$3)/SQRT(1-ImpliedCorrelation),TRUE))</f>
        <v>-</v>
      </c>
      <c r="AK25" s="366" t="str">
        <f>IF($AB25&gt;CDS.Tenor,"-",_xlfn.NORM.S.DIST(($AF25-SQRT(ImpliedCorrelation)*AK$3)/SQRT(1-ImpliedCorrelation),TRUE))</f>
        <v>-</v>
      </c>
      <c r="AL25" s="366" t="str">
        <f>IF($AB25&gt;CDS.Tenor,"-",_xlfn.NORM.S.DIST(($AF25-SQRT(ImpliedCorrelation)*AL$3)/SQRT(1-ImpliedCorrelation),TRUE))</f>
        <v>-</v>
      </c>
      <c r="AM25" s="366" t="str">
        <f>IF($AB25&gt;CDS.Tenor,"-",_xlfn.NORM.S.DIST(($AF25-SQRT(ImpliedCorrelation)*AM$3)/SQRT(1-ImpliedCorrelation),TRUE))</f>
        <v>-</v>
      </c>
      <c r="AN25" s="366" t="str">
        <f>IF($AB25&gt;CDS.Tenor,"-",_xlfn.NORM.S.DIST(($AF25-SQRT(ImpliedCorrelation)*AN$3)/SQRT(1-ImpliedCorrelation),TRUE))</f>
        <v>-</v>
      </c>
      <c r="AO25" s="366" t="str">
        <f>IF($AB25&gt;CDS.Tenor,"-",_xlfn.NORM.S.DIST(($AF25-SQRT(ImpliedCorrelation)*AO$3)/SQRT(1-ImpliedCorrelation),TRUE))</f>
        <v>-</v>
      </c>
      <c r="AP25" s="366" t="str">
        <f>IF($AB25&gt;CDS.Tenor,"-",_xlfn.NORM.S.DIST(($AF25-SQRT(ImpliedCorrelation)*AP$3)/SQRT(1-ImpliedCorrelation),TRUE))</f>
        <v>-</v>
      </c>
      <c r="AQ25" s="366" t="str">
        <f>IF($AB25&gt;CDS.Tenor,"-",_xlfn.NORM.S.DIST(($AF25-SQRT(ImpliedCorrelation)*AQ$3)/SQRT(1-ImpliedCorrelation),TRUE))</f>
        <v>-</v>
      </c>
      <c r="AR25" s="366" t="str">
        <f>IF($AB25&gt;CDS.Tenor,"-",_xlfn.NORM.S.DIST(($AF25-SQRT(ImpliedCorrelation)*AR$3)/SQRT(1-ImpliedCorrelation),TRUE))</f>
        <v>-</v>
      </c>
      <c r="AS25" s="366" t="str">
        <f>IF($AB25&gt;CDS.Tenor,"-",_xlfn.NORM.S.DIST(($AF25-SQRT(ImpliedCorrelation)*AS$3)/SQRT(1-ImpliedCorrelation),TRUE))</f>
        <v>-</v>
      </c>
      <c r="AT25" s="366" t="str">
        <f>IF($AB25&gt;CDS.Tenor,"-",_xlfn.NORM.S.DIST(($AF25-SQRT(ImpliedCorrelation)*AT$3)/SQRT(1-ImpliedCorrelation),TRUE))</f>
        <v>-</v>
      </c>
      <c r="AU25" s="366" t="str">
        <f>IF($AB25&gt;CDS.Tenor,"-",_xlfn.NORM.S.DIST(($AF25-SQRT(ImpliedCorrelation)*AU$3)/SQRT(1-ImpliedCorrelation),TRUE))</f>
        <v>-</v>
      </c>
      <c r="AV25" s="366" t="str">
        <f>IF($AB25&gt;CDS.Tenor,"-",_xlfn.NORM.S.DIST(($AF25-SQRT(ImpliedCorrelation)*AV$3)/SQRT(1-ImpliedCorrelation),TRUE))</f>
        <v>-</v>
      </c>
      <c r="AW25" s="366" t="str">
        <f>IF($AB25&gt;CDS.Tenor,"-",_xlfn.NORM.S.DIST(($AF25-SQRT(ImpliedCorrelation)*AW$3)/SQRT(1-ImpliedCorrelation),TRUE))</f>
        <v>-</v>
      </c>
      <c r="AX25" s="366" t="str">
        <f>IF($AB25&gt;CDS.Tenor,"-",_xlfn.NORM.S.DIST(($AF25-SQRT(ImpliedCorrelation)*AX$3)/SQRT(1-ImpliedCorrelation),TRUE))</f>
        <v>-</v>
      </c>
      <c r="AY25" s="366" t="str">
        <f>IF($AB25&gt;CDS.Tenor,"-",_xlfn.NORM.S.DIST(($AF25-SQRT(ImpliedCorrelation)*AY$3)/SQRT(1-ImpliedCorrelation),TRUE))</f>
        <v>-</v>
      </c>
      <c r="AZ25" s="366" t="str">
        <f>IF($AB25&gt;CDS.Tenor,"-",_xlfn.NORM.S.DIST(($AF25-SQRT(ImpliedCorrelation)*AZ$3)/SQRT(1-ImpliedCorrelation),TRUE))</f>
        <v>-</v>
      </c>
      <c r="BA25" s="366" t="str">
        <f>IF($AB25&gt;CDS.Tenor,"-",_xlfn.NORM.S.DIST(($AF25-SQRT(ImpliedCorrelation)*BA$3)/SQRT(1-ImpliedCorrelation),TRUE))</f>
        <v>-</v>
      </c>
      <c r="BB25" s="366" t="str">
        <f>IF($AB25&gt;CDS.Tenor,"-",_xlfn.NORM.S.DIST(($AF25-SQRT(ImpliedCorrelation)*BB$3)/SQRT(1-ImpliedCorrelation),TRUE))</f>
        <v>-</v>
      </c>
      <c r="BC25" s="366" t="str">
        <f>IF($AB25&gt;CDS.Tenor,"-",_xlfn.NORM.S.DIST(($AF25-SQRT(ImpliedCorrelation)*BC$3)/SQRT(1-ImpliedCorrelation),TRUE))</f>
        <v>-</v>
      </c>
      <c r="BD25" s="366"/>
      <c r="BE25" s="370">
        <f t="shared" si="109"/>
        <v>5.25</v>
      </c>
      <c r="BF25" s="366" t="str">
        <f>IF($AB25&gt;CDS.Tenor,"-",1-AI25)</f>
        <v>-</v>
      </c>
      <c r="BG25" s="366" t="str">
        <f>IF($AB25&gt;CDS.Tenor,"-",1-AJ25)</f>
        <v>-</v>
      </c>
      <c r="BH25" s="366" t="str">
        <f>IF($AB25&gt;CDS.Tenor,"-",1-AK25)</f>
        <v>-</v>
      </c>
      <c r="BI25" s="366" t="str">
        <f>IF($AB25&gt;CDS.Tenor,"-",1-AL25)</f>
        <v>-</v>
      </c>
      <c r="BJ25" s="366" t="str">
        <f>IF($AB25&gt;CDS.Tenor,"-",1-AM25)</f>
        <v>-</v>
      </c>
      <c r="BK25" s="366" t="str">
        <f>IF($AB25&gt;CDS.Tenor,"-",1-AN25)</f>
        <v>-</v>
      </c>
      <c r="BL25" s="366" t="str">
        <f>IF($AB25&gt;CDS.Tenor,"-",1-AO25)</f>
        <v>-</v>
      </c>
      <c r="BM25" s="366" t="str">
        <f>IF($AB25&gt;CDS.Tenor,"-",1-AP25)</f>
        <v>-</v>
      </c>
      <c r="BN25" s="366" t="str">
        <f>IF($AB25&gt;CDS.Tenor,"-",1-AQ25)</f>
        <v>-</v>
      </c>
      <c r="BO25" s="366" t="str">
        <f>IF($AB25&gt;CDS.Tenor,"-",1-AR25)</f>
        <v>-</v>
      </c>
      <c r="BP25" s="366" t="str">
        <f>IF($AB25&gt;CDS.Tenor,"-",1-AS25)</f>
        <v>-</v>
      </c>
      <c r="BQ25" s="366" t="str">
        <f>IF($AB25&gt;CDS.Tenor,"-",1-AT25)</f>
        <v>-</v>
      </c>
      <c r="BR25" s="366" t="str">
        <f>IF($AB25&gt;CDS.Tenor,"-",1-AU25)</f>
        <v>-</v>
      </c>
      <c r="BS25" s="366" t="str">
        <f>IF($AB25&gt;CDS.Tenor,"-",1-AV25)</f>
        <v>-</v>
      </c>
      <c r="BT25" s="366" t="str">
        <f>IF($AB25&gt;CDS.Tenor,"-",1-AW25)</f>
        <v>-</v>
      </c>
      <c r="BU25" s="366" t="str">
        <f>IF($AB25&gt;CDS.Tenor,"-",1-AX25)</f>
        <v>-</v>
      </c>
      <c r="BV25" s="366" t="str">
        <f>IF($AB25&gt;CDS.Tenor,"-",1-AY25)</f>
        <v>-</v>
      </c>
      <c r="BW25" s="366" t="str">
        <f>IF($AB25&gt;CDS.Tenor,"-",1-AZ25)</f>
        <v>-</v>
      </c>
      <c r="BX25" s="366" t="str">
        <f>IF($AB25&gt;CDS.Tenor,"-",1-BA25)</f>
        <v>-</v>
      </c>
      <c r="BY25" s="366" t="str">
        <f>IF($AB25&gt;CDS.Tenor,"-",1-BB25)</f>
        <v>-</v>
      </c>
      <c r="BZ25" s="366" t="str">
        <f>IF($AB25&gt;CDS.Tenor,"-",1-BC25)</f>
        <v>-</v>
      </c>
      <c r="CA25" s="17"/>
      <c r="CB25" s="352" t="str" cm="1">
        <f t="array" aca="1" ref="CB25" ca="1">IF($AB25&gt;CDS.Tenor,"-",flatInterpolation(AB25,INDIRECT(HazardRateTimes2),INDIRECT(HazardRateValues2)))</f>
        <v>-</v>
      </c>
      <c r="CC25" s="10" t="str">
        <f t="shared" si="110"/>
        <v>-</v>
      </c>
      <c r="CD25" s="10" t="str">
        <f t="shared" si="111"/>
        <v>-</v>
      </c>
      <c r="CE25" s="81" t="str">
        <f t="shared" si="112"/>
        <v>-</v>
      </c>
      <c r="CF25" s="360"/>
      <c r="CG25" s="370">
        <f t="shared" si="113"/>
        <v>5.25</v>
      </c>
      <c r="CH25" s="366" t="str">
        <f>IF($AB25&gt;CDS.Tenor,"-",_xlfn.NORM.S.DIST(($CE25-SQRT(ImpliedCorrelation)*CH$3)/SQRT(1-ImpliedCorrelation),TRUE))</f>
        <v>-</v>
      </c>
      <c r="CI25" s="366" t="str">
        <f>IF($AB25&gt;CDS.Tenor,"-",_xlfn.NORM.S.DIST(($CE25-SQRT(ImpliedCorrelation)*CI$3)/SQRT(1-ImpliedCorrelation),TRUE))</f>
        <v>-</v>
      </c>
      <c r="CJ25" s="366" t="str">
        <f>IF($AB25&gt;CDS.Tenor,"-",_xlfn.NORM.S.DIST(($CE25-SQRT(ImpliedCorrelation)*CJ$3)/SQRT(1-ImpliedCorrelation),TRUE))</f>
        <v>-</v>
      </c>
      <c r="CK25" s="366" t="str">
        <f>IF($AB25&gt;CDS.Tenor,"-",_xlfn.NORM.S.DIST(($CE25-SQRT(ImpliedCorrelation)*CK$3)/SQRT(1-ImpliedCorrelation),TRUE))</f>
        <v>-</v>
      </c>
      <c r="CL25" s="366" t="str">
        <f>IF($AB25&gt;CDS.Tenor,"-",_xlfn.NORM.S.DIST(($CE25-SQRT(ImpliedCorrelation)*CL$3)/SQRT(1-ImpliedCorrelation),TRUE))</f>
        <v>-</v>
      </c>
      <c r="CM25" s="366" t="str">
        <f>IF($AB25&gt;CDS.Tenor,"-",_xlfn.NORM.S.DIST(($CE25-SQRT(ImpliedCorrelation)*CM$3)/SQRT(1-ImpliedCorrelation),TRUE))</f>
        <v>-</v>
      </c>
      <c r="CN25" s="366" t="str">
        <f>IF($AB25&gt;CDS.Tenor,"-",_xlfn.NORM.S.DIST(($CE25-SQRT(ImpliedCorrelation)*CN$3)/SQRT(1-ImpliedCorrelation),TRUE))</f>
        <v>-</v>
      </c>
      <c r="CO25" s="366" t="str">
        <f>IF($AB25&gt;CDS.Tenor,"-",_xlfn.NORM.S.DIST(($CE25-SQRT(ImpliedCorrelation)*CO$3)/SQRT(1-ImpliedCorrelation),TRUE))</f>
        <v>-</v>
      </c>
      <c r="CP25" s="366" t="str">
        <f>IF($AB25&gt;CDS.Tenor,"-",_xlfn.NORM.S.DIST(($CE25-SQRT(ImpliedCorrelation)*CP$3)/SQRT(1-ImpliedCorrelation),TRUE))</f>
        <v>-</v>
      </c>
      <c r="CQ25" s="366" t="str">
        <f>IF($AB25&gt;CDS.Tenor,"-",_xlfn.NORM.S.DIST(($CE25-SQRT(ImpliedCorrelation)*CQ$3)/SQRT(1-ImpliedCorrelation),TRUE))</f>
        <v>-</v>
      </c>
      <c r="CR25" s="366" t="str">
        <f>IF($AB25&gt;CDS.Tenor,"-",_xlfn.NORM.S.DIST(($CE25-SQRT(ImpliedCorrelation)*CR$3)/SQRT(1-ImpliedCorrelation),TRUE))</f>
        <v>-</v>
      </c>
      <c r="CS25" s="366" t="str">
        <f>IF($AB25&gt;CDS.Tenor,"-",_xlfn.NORM.S.DIST(($CE25-SQRT(ImpliedCorrelation)*CS$3)/SQRT(1-ImpliedCorrelation),TRUE))</f>
        <v>-</v>
      </c>
      <c r="CT25" s="366" t="str">
        <f>IF($AB25&gt;CDS.Tenor,"-",_xlfn.NORM.S.DIST(($CE25-SQRT(ImpliedCorrelation)*CT$3)/SQRT(1-ImpliedCorrelation),TRUE))</f>
        <v>-</v>
      </c>
      <c r="CU25" s="366" t="str">
        <f>IF($AB25&gt;CDS.Tenor,"-",_xlfn.NORM.S.DIST(($CE25-SQRT(ImpliedCorrelation)*CU$3)/SQRT(1-ImpliedCorrelation),TRUE))</f>
        <v>-</v>
      </c>
      <c r="CV25" s="366" t="str">
        <f>IF($AB25&gt;CDS.Tenor,"-",_xlfn.NORM.S.DIST(($CE25-SQRT(ImpliedCorrelation)*CV$3)/SQRT(1-ImpliedCorrelation),TRUE))</f>
        <v>-</v>
      </c>
      <c r="CW25" s="366" t="str">
        <f>IF($AB25&gt;CDS.Tenor,"-",_xlfn.NORM.S.DIST(($CE25-SQRT(ImpliedCorrelation)*CW$3)/SQRT(1-ImpliedCorrelation),TRUE))</f>
        <v>-</v>
      </c>
      <c r="CX25" s="366" t="str">
        <f>IF($AB25&gt;CDS.Tenor,"-",_xlfn.NORM.S.DIST(($CE25-SQRT(ImpliedCorrelation)*CX$3)/SQRT(1-ImpliedCorrelation),TRUE))</f>
        <v>-</v>
      </c>
      <c r="CY25" s="366" t="str">
        <f>IF($AB25&gt;CDS.Tenor,"-",_xlfn.NORM.S.DIST(($CE25-SQRT(ImpliedCorrelation)*CY$3)/SQRT(1-ImpliedCorrelation),TRUE))</f>
        <v>-</v>
      </c>
      <c r="CZ25" s="366" t="str">
        <f>IF($AB25&gt;CDS.Tenor,"-",_xlfn.NORM.S.DIST(($CE25-SQRT(ImpliedCorrelation)*CZ$3)/SQRT(1-ImpliedCorrelation),TRUE))</f>
        <v>-</v>
      </c>
      <c r="DA25" s="366" t="str">
        <f>IF($AB25&gt;CDS.Tenor,"-",_xlfn.NORM.S.DIST(($CE25-SQRT(ImpliedCorrelation)*DA$3)/SQRT(1-ImpliedCorrelation),TRUE))</f>
        <v>-</v>
      </c>
      <c r="DB25" s="366" t="str">
        <f>IF($AB25&gt;CDS.Tenor,"-",_xlfn.NORM.S.DIST(($CE25-SQRT(ImpliedCorrelation)*DB$3)/SQRT(1-ImpliedCorrelation),TRUE))</f>
        <v>-</v>
      </c>
      <c r="DC25" s="366"/>
      <c r="DD25" s="370">
        <f t="shared" si="114"/>
        <v>5.25</v>
      </c>
      <c r="DE25" s="366" t="str">
        <f>IF($AB25&gt;CDS.Tenor,"-",1-CH25)</f>
        <v>-</v>
      </c>
      <c r="DF25" s="366" t="str">
        <f>IF($AB25&gt;CDS.Tenor,"-",1-CI25)</f>
        <v>-</v>
      </c>
      <c r="DG25" s="366" t="str">
        <f>IF($AB25&gt;CDS.Tenor,"-",1-CJ25)</f>
        <v>-</v>
      </c>
      <c r="DH25" s="366" t="str">
        <f>IF($AB25&gt;CDS.Tenor,"-",1-CK25)</f>
        <v>-</v>
      </c>
      <c r="DI25" s="366" t="str">
        <f>IF($AB25&gt;CDS.Tenor,"-",1-CL25)</f>
        <v>-</v>
      </c>
      <c r="DJ25" s="366" t="str">
        <f>IF($AB25&gt;CDS.Tenor,"-",1-CM25)</f>
        <v>-</v>
      </c>
      <c r="DK25" s="366" t="str">
        <f>IF($AB25&gt;CDS.Tenor,"-",1-CN25)</f>
        <v>-</v>
      </c>
      <c r="DL25" s="366" t="str">
        <f>IF($AB25&gt;CDS.Tenor,"-",1-CO25)</f>
        <v>-</v>
      </c>
      <c r="DM25" s="366" t="str">
        <f>IF($AB25&gt;CDS.Tenor,"-",1-CP25)</f>
        <v>-</v>
      </c>
      <c r="DN25" s="366" t="str">
        <f>IF($AB25&gt;CDS.Tenor,"-",1-CQ25)</f>
        <v>-</v>
      </c>
      <c r="DO25" s="366" t="str">
        <f>IF($AB25&gt;CDS.Tenor,"-",1-CR25)</f>
        <v>-</v>
      </c>
      <c r="DP25" s="366" t="str">
        <f>IF($AB25&gt;CDS.Tenor,"-",1-CS25)</f>
        <v>-</v>
      </c>
      <c r="DQ25" s="366" t="str">
        <f>IF($AB25&gt;CDS.Tenor,"-",1-CT25)</f>
        <v>-</v>
      </c>
      <c r="DR25" s="366" t="str">
        <f>IF($AB25&gt;CDS.Tenor,"-",1-CU25)</f>
        <v>-</v>
      </c>
      <c r="DS25" s="366" t="str">
        <f>IF($AB25&gt;CDS.Tenor,"-",1-CV25)</f>
        <v>-</v>
      </c>
      <c r="DT25" s="366" t="str">
        <f>IF($AB25&gt;CDS.Tenor,"-",1-CW25)</f>
        <v>-</v>
      </c>
      <c r="DU25" s="366" t="str">
        <f>IF($AB25&gt;CDS.Tenor,"-",1-CX25)</f>
        <v>-</v>
      </c>
      <c r="DV25" s="366" t="str">
        <f>IF($AB25&gt;CDS.Tenor,"-",1-CY25)</f>
        <v>-</v>
      </c>
      <c r="DW25" s="366" t="str">
        <f>IF($AB25&gt;CDS.Tenor,"-",1-CZ25)</f>
        <v>-</v>
      </c>
      <c r="DX25" s="366" t="str">
        <f>IF($AB25&gt;CDS.Tenor,"-",1-DA25)</f>
        <v>-</v>
      </c>
      <c r="DY25" s="362" t="str">
        <f>IF($AB25&gt;CDS.Tenor,"-",1-DB25)</f>
        <v>-</v>
      </c>
      <c r="DZ25" s="360"/>
      <c r="EA25" s="352" t="str" cm="1">
        <f t="array" aca="1" ref="EA25" ca="1">IF($AB25&gt;CDS.Tenor,"-",flatInterpolation(CC25,INDIRECT(HazardRateTimes3),INDIRECT(HazardRateValues3)))</f>
        <v>-</v>
      </c>
      <c r="EB25" s="10" t="str">
        <f t="shared" si="115"/>
        <v>-</v>
      </c>
      <c r="EC25" s="10" t="str">
        <f t="shared" si="116"/>
        <v>-</v>
      </c>
      <c r="ED25" s="81" t="str">
        <f t="shared" si="117"/>
        <v>-</v>
      </c>
      <c r="EF25" s="370">
        <f t="shared" si="118"/>
        <v>5.25</v>
      </c>
      <c r="EG25" s="366" t="str">
        <f>IF($AB25&gt;CDS.Tenor,"-",_xlfn.NORM.S.DIST(($ED25-SQRT(ImpliedCorrelation)*EG$3)/SQRT(1-ImpliedCorrelation),TRUE))</f>
        <v>-</v>
      </c>
      <c r="EH25" s="366" t="str">
        <f>IF($AB25&gt;CDS.Tenor,"-",_xlfn.NORM.S.DIST(($ED25-SQRT(ImpliedCorrelation)*EH$3)/SQRT(1-ImpliedCorrelation),TRUE))</f>
        <v>-</v>
      </c>
      <c r="EI25" s="366" t="str">
        <f>IF($AB25&gt;CDS.Tenor,"-",_xlfn.NORM.S.DIST(($ED25-SQRT(ImpliedCorrelation)*EI$3)/SQRT(1-ImpliedCorrelation),TRUE))</f>
        <v>-</v>
      </c>
      <c r="EJ25" s="366" t="str">
        <f>IF($AB25&gt;CDS.Tenor,"-",_xlfn.NORM.S.DIST(($ED25-SQRT(ImpliedCorrelation)*EJ$3)/SQRT(1-ImpliedCorrelation),TRUE))</f>
        <v>-</v>
      </c>
      <c r="EK25" s="366" t="str">
        <f>IF($AB25&gt;CDS.Tenor,"-",_xlfn.NORM.S.DIST(($ED25-SQRT(ImpliedCorrelation)*EK$3)/SQRT(1-ImpliedCorrelation),TRUE))</f>
        <v>-</v>
      </c>
      <c r="EL25" s="366" t="str">
        <f>IF($AB25&gt;CDS.Tenor,"-",_xlfn.NORM.S.DIST(($ED25-SQRT(ImpliedCorrelation)*EL$3)/SQRT(1-ImpliedCorrelation),TRUE))</f>
        <v>-</v>
      </c>
      <c r="EM25" s="366" t="str">
        <f>IF($AB25&gt;CDS.Tenor,"-",_xlfn.NORM.S.DIST(($ED25-SQRT(ImpliedCorrelation)*EM$3)/SQRT(1-ImpliedCorrelation),TRUE))</f>
        <v>-</v>
      </c>
      <c r="EN25" s="366" t="str">
        <f>IF($AB25&gt;CDS.Tenor,"-",_xlfn.NORM.S.DIST(($ED25-SQRT(ImpliedCorrelation)*EN$3)/SQRT(1-ImpliedCorrelation),TRUE))</f>
        <v>-</v>
      </c>
      <c r="EO25" s="366" t="str">
        <f>IF($AB25&gt;CDS.Tenor,"-",_xlfn.NORM.S.DIST(($ED25-SQRT(ImpliedCorrelation)*EO$3)/SQRT(1-ImpliedCorrelation),TRUE))</f>
        <v>-</v>
      </c>
      <c r="EP25" s="366" t="str">
        <f>IF($AB25&gt;CDS.Tenor,"-",_xlfn.NORM.S.DIST(($ED25-SQRT(ImpliedCorrelation)*EP$3)/SQRT(1-ImpliedCorrelation),TRUE))</f>
        <v>-</v>
      </c>
      <c r="EQ25" s="366" t="str">
        <f>IF($AB25&gt;CDS.Tenor,"-",_xlfn.NORM.S.DIST(($ED25-SQRT(ImpliedCorrelation)*EQ$3)/SQRT(1-ImpliedCorrelation),TRUE))</f>
        <v>-</v>
      </c>
      <c r="ER25" s="366" t="str">
        <f>IF($AB25&gt;CDS.Tenor,"-",_xlfn.NORM.S.DIST(($ED25-SQRT(ImpliedCorrelation)*ER$3)/SQRT(1-ImpliedCorrelation),TRUE))</f>
        <v>-</v>
      </c>
      <c r="ES25" s="366" t="str">
        <f>IF($AB25&gt;CDS.Tenor,"-",_xlfn.NORM.S.DIST(($ED25-SQRT(ImpliedCorrelation)*ES$3)/SQRT(1-ImpliedCorrelation),TRUE))</f>
        <v>-</v>
      </c>
      <c r="ET25" s="366" t="str">
        <f>IF($AB25&gt;CDS.Tenor,"-",_xlfn.NORM.S.DIST(($ED25-SQRT(ImpliedCorrelation)*ET$3)/SQRT(1-ImpliedCorrelation),TRUE))</f>
        <v>-</v>
      </c>
      <c r="EU25" s="366" t="str">
        <f>IF($AB25&gt;CDS.Tenor,"-",_xlfn.NORM.S.DIST(($ED25-SQRT(ImpliedCorrelation)*EU$3)/SQRT(1-ImpliedCorrelation),TRUE))</f>
        <v>-</v>
      </c>
      <c r="EV25" s="366" t="str">
        <f>IF($AB25&gt;CDS.Tenor,"-",_xlfn.NORM.S.DIST(($ED25-SQRT(ImpliedCorrelation)*EV$3)/SQRT(1-ImpliedCorrelation),TRUE))</f>
        <v>-</v>
      </c>
      <c r="EW25" s="366" t="str">
        <f>IF($AB25&gt;CDS.Tenor,"-",_xlfn.NORM.S.DIST(($ED25-SQRT(ImpliedCorrelation)*EW$3)/SQRT(1-ImpliedCorrelation),TRUE))</f>
        <v>-</v>
      </c>
      <c r="EX25" s="366" t="str">
        <f>IF($AB25&gt;CDS.Tenor,"-",_xlfn.NORM.S.DIST(($ED25-SQRT(ImpliedCorrelation)*EX$3)/SQRT(1-ImpliedCorrelation),TRUE))</f>
        <v>-</v>
      </c>
      <c r="EY25" s="366" t="str">
        <f>IF($AB25&gt;CDS.Tenor,"-",_xlfn.NORM.S.DIST(($ED25-SQRT(ImpliedCorrelation)*EY$3)/SQRT(1-ImpliedCorrelation),TRUE))</f>
        <v>-</v>
      </c>
      <c r="EZ25" s="366" t="str">
        <f>IF($AB25&gt;CDS.Tenor,"-",_xlfn.NORM.S.DIST(($ED25-SQRT(ImpliedCorrelation)*EZ$3)/SQRT(1-ImpliedCorrelation),TRUE))</f>
        <v>-</v>
      </c>
      <c r="FA25" s="366" t="str">
        <f>IF($AB25&gt;CDS.Tenor,"-",_xlfn.NORM.S.DIST(($ED25-SQRT(ImpliedCorrelation)*FA$3)/SQRT(1-ImpliedCorrelation),TRUE))</f>
        <v>-</v>
      </c>
      <c r="FB25" s="366"/>
      <c r="FC25" s="370">
        <f t="shared" si="119"/>
        <v>5.25</v>
      </c>
      <c r="FD25" s="366" t="str">
        <f>IF($AB25&gt;CDS.Tenor,"-",1-EG25)</f>
        <v>-</v>
      </c>
      <c r="FE25" s="366" t="str">
        <f>IF($AB25&gt;CDS.Tenor,"-",1-EH25)</f>
        <v>-</v>
      </c>
      <c r="FF25" s="366" t="str">
        <f>IF($AB25&gt;CDS.Tenor,"-",1-EI25)</f>
        <v>-</v>
      </c>
      <c r="FG25" s="366" t="str">
        <f>IF($AB25&gt;CDS.Tenor,"-",1-EJ25)</f>
        <v>-</v>
      </c>
      <c r="FH25" s="366" t="str">
        <f>IF($AB25&gt;CDS.Tenor,"-",1-EK25)</f>
        <v>-</v>
      </c>
      <c r="FI25" s="366" t="str">
        <f>IF($AB25&gt;CDS.Tenor,"-",1-EL25)</f>
        <v>-</v>
      </c>
      <c r="FJ25" s="366" t="str">
        <f>IF($AB25&gt;CDS.Tenor,"-",1-EM25)</f>
        <v>-</v>
      </c>
      <c r="FK25" s="366" t="str">
        <f>IF($AB25&gt;CDS.Tenor,"-",1-EN25)</f>
        <v>-</v>
      </c>
      <c r="FL25" s="366" t="str">
        <f>IF($AB25&gt;CDS.Tenor,"-",1-EO25)</f>
        <v>-</v>
      </c>
      <c r="FM25" s="366" t="str">
        <f>IF($AB25&gt;CDS.Tenor,"-",1-EP25)</f>
        <v>-</v>
      </c>
      <c r="FN25" s="366" t="str">
        <f>IF($AB25&gt;CDS.Tenor,"-",1-EQ25)</f>
        <v>-</v>
      </c>
      <c r="FO25" s="366" t="str">
        <f>IF($AB25&gt;CDS.Tenor,"-",1-ER25)</f>
        <v>-</v>
      </c>
      <c r="FP25" s="366" t="str">
        <f>IF($AB25&gt;CDS.Tenor,"-",1-ES25)</f>
        <v>-</v>
      </c>
      <c r="FQ25" s="366" t="str">
        <f>IF($AB25&gt;CDS.Tenor,"-",1-ET25)</f>
        <v>-</v>
      </c>
      <c r="FR25" s="366" t="str">
        <f>IF($AB25&gt;CDS.Tenor,"-",1-EU25)</f>
        <v>-</v>
      </c>
      <c r="FS25" s="366" t="str">
        <f>IF($AB25&gt;CDS.Tenor,"-",1-EV25)</f>
        <v>-</v>
      </c>
      <c r="FT25" s="366" t="str">
        <f>IF($AB25&gt;CDS.Tenor,"-",1-EW25)</f>
        <v>-</v>
      </c>
      <c r="FU25" s="366" t="str">
        <f>IF($AB25&gt;CDS.Tenor,"-",1-EX25)</f>
        <v>-</v>
      </c>
      <c r="FV25" s="366" t="str">
        <f>IF($AB25&gt;CDS.Tenor,"-",1-EY25)</f>
        <v>-</v>
      </c>
      <c r="FW25" s="366" t="str">
        <f>IF($AB25&gt;CDS.Tenor,"-",1-EZ25)</f>
        <v>-</v>
      </c>
      <c r="FX25" s="362" t="str">
        <f>IF($AB25&gt;CDS.Tenor,"-",1-FA25)</f>
        <v>-</v>
      </c>
      <c r="FZ25" s="370">
        <f t="shared" si="120"/>
        <v>5.25</v>
      </c>
      <c r="GA25" s="366" t="str">
        <f>IF($AB25&gt;CDS.Tenor,"-",BF25*DE25*FD25)</f>
        <v>-</v>
      </c>
      <c r="GB25" s="366" t="str">
        <f>IF($AB25&gt;CDS.Tenor,"-",BG25*DF25*FE25)</f>
        <v>-</v>
      </c>
      <c r="GC25" s="366" t="str">
        <f>IF($AB25&gt;CDS.Tenor,"-",BH25*DG25*FF25)</f>
        <v>-</v>
      </c>
      <c r="GD25" s="366" t="str">
        <f>IF($AB25&gt;CDS.Tenor,"-",BI25*DH25*FG25)</f>
        <v>-</v>
      </c>
      <c r="GE25" s="366" t="str">
        <f>IF($AB25&gt;CDS.Tenor,"-",BJ25*DI25*FH25)</f>
        <v>-</v>
      </c>
      <c r="GF25" s="366" t="str">
        <f>IF($AB25&gt;CDS.Tenor,"-",BK25*DJ25*FI25)</f>
        <v>-</v>
      </c>
      <c r="GG25" s="366" t="str">
        <f>IF($AB25&gt;CDS.Tenor,"-",BL25*DK25*FJ25)</f>
        <v>-</v>
      </c>
      <c r="GH25" s="366" t="str">
        <f>IF($AB25&gt;CDS.Tenor,"-",BM25*DL25*FK25)</f>
        <v>-</v>
      </c>
      <c r="GI25" s="366" t="str">
        <f>IF($AB25&gt;CDS.Tenor,"-",BN25*DM25*FL25)</f>
        <v>-</v>
      </c>
      <c r="GJ25" s="366" t="str">
        <f>IF($AB25&gt;CDS.Tenor,"-",BO25*DN25*FM25)</f>
        <v>-</v>
      </c>
      <c r="GK25" s="366" t="str">
        <f>IF($AB25&gt;CDS.Tenor,"-",BP25*DO25*FN25)</f>
        <v>-</v>
      </c>
      <c r="GL25" s="366" t="str">
        <f>IF($AB25&gt;CDS.Tenor,"-",BQ25*DP25*FO25)</f>
        <v>-</v>
      </c>
      <c r="GM25" s="366" t="str">
        <f>IF($AB25&gt;CDS.Tenor,"-",BR25*DQ25*FP25)</f>
        <v>-</v>
      </c>
      <c r="GN25" s="366" t="str">
        <f>IF($AB25&gt;CDS.Tenor,"-",BS25*DR25*FQ25)</f>
        <v>-</v>
      </c>
      <c r="GO25" s="366" t="str">
        <f>IF($AB25&gt;CDS.Tenor,"-",BT25*DS25*FR25)</f>
        <v>-</v>
      </c>
      <c r="GP25" s="366" t="str">
        <f>IF($AB25&gt;CDS.Tenor,"-",BU25*DT25*FS25)</f>
        <v>-</v>
      </c>
      <c r="GQ25" s="366" t="str">
        <f>IF($AB25&gt;CDS.Tenor,"-",BV25*DU25*FT25)</f>
        <v>-</v>
      </c>
      <c r="GR25" s="366" t="str">
        <f>IF($AB25&gt;CDS.Tenor,"-",BW25*DV25*FU25)</f>
        <v>-</v>
      </c>
      <c r="GS25" s="366" t="str">
        <f>IF($AB25&gt;CDS.Tenor,"-",BX25*DW25*FV25)</f>
        <v>-</v>
      </c>
      <c r="GT25" s="366" t="str">
        <f>IF($AB25&gt;CDS.Tenor,"-",BY25*DX25*FW25)</f>
        <v>-</v>
      </c>
      <c r="GU25" s="362" t="str">
        <f>IF($AB25&gt;CDS.Tenor,"-",BZ25*DY25*FX25)</f>
        <v>-</v>
      </c>
      <c r="GV25" s="42"/>
      <c r="GW25" s="370">
        <f t="shared" si="121"/>
        <v>5.25</v>
      </c>
      <c r="GX25" s="378" t="str">
        <f>IF($AB25&gt;CDS.Tenor,"-",SUMPRODUCT($GA25:$GU25,$GA$4:$GU$4)*dm)</f>
        <v>-</v>
      </c>
      <c r="GY25" s="381" t="str">
        <f>IF($AB25&gt;CDS.Tenor,"-",GX24-GX25)</f>
        <v>-</v>
      </c>
    </row>
    <row r="26" spans="2:207" x14ac:dyDescent="0.3">
      <c r="B26" s="346" t="str">
        <f>"'Credit Curve "&amp;CreditRef2&amp;"'!Calibration.Times"</f>
        <v>'Credit Curve MSFT'!Calibration.Times</v>
      </c>
      <c r="J26" s="156">
        <f t="shared" si="103"/>
        <v>5.5</v>
      </c>
      <c r="K26" s="28" t="str">
        <f>IF($J26&gt;CDS.Tenor,"-",CDS.PremiumSign*CDS.Notional*CDS.YearFraction*CDS.CreditSpread)</f>
        <v>-</v>
      </c>
      <c r="L26" s="10" t="str">
        <f>GX26</f>
        <v>-</v>
      </c>
      <c r="M26" s="10" t="str">
        <f>IF($J26&gt;CDS.Tenor,"-",L25-L26)</f>
        <v>-</v>
      </c>
      <c r="N26" s="94" t="str" cm="1">
        <f t="array" ref="N26">IF($J26&gt;CDS.Tenor,"-",cubicInterpolation(CurveResults.Times,CurveResults.DFs,$J26))</f>
        <v>-</v>
      </c>
      <c r="O26" s="28" t="str">
        <f>IF($J26&gt;CDS.Tenor,"-",K26*L26*N26)</f>
        <v>-</v>
      </c>
      <c r="P26" s="28" t="str">
        <f>IF($J26&gt;CDS.Tenor,"-",0.5*K26*M26*N26)</f>
        <v>-</v>
      </c>
      <c r="Q26" s="142" t="str">
        <f>IF($J26&gt;CDS.Tenor,"-",O26+P26)</f>
        <v>-</v>
      </c>
      <c r="T26" s="156">
        <f t="shared" si="104"/>
        <v>5.5</v>
      </c>
      <c r="U26" s="28" t="str">
        <f>IF($J26&gt;CDS.Tenor,"-",CDS.ProtectionSign*CDS.Notional*(1-CDS.RecoveryRate))</f>
        <v>-</v>
      </c>
      <c r="V26" s="10" t="str">
        <f>IF($J26&gt;CDS.Tenor,"-",GX26)</f>
        <v>-</v>
      </c>
      <c r="W26" s="10" t="str">
        <f>IF($J26&gt;CDS.Tenor,"-",V25-V26)</f>
        <v>-</v>
      </c>
      <c r="X26" s="94" t="str" cm="1">
        <f t="array" ref="X26">IF($T26&gt;CDS.Tenor,"-",cubicInterpolation(CurveResults.Times,CurveResults.DFs,$J26))</f>
        <v>-</v>
      </c>
      <c r="Y26" s="142" t="str">
        <f>IF($J26&gt;CDS.Tenor,"-",U26*W26*X26)</f>
        <v>-</v>
      </c>
      <c r="AB26" s="156">
        <f t="shared" si="105"/>
        <v>5.5</v>
      </c>
      <c r="AC26" s="352" t="str" cm="1">
        <f t="array" aca="1" ref="AC26" ca="1">IF($AB26&gt;CDS.Tenor,"-",flatInterpolation(AA26,INDIRECT(HazardRateTimes1),INDIRECT(HazardRateValues1)))</f>
        <v>-</v>
      </c>
      <c r="AD26" s="10" t="str">
        <f t="shared" si="106"/>
        <v>-</v>
      </c>
      <c r="AE26" s="10" t="str">
        <f t="shared" si="107"/>
        <v>-</v>
      </c>
      <c r="AF26" s="360" t="str">
        <f>IF($AB26&gt;CDS.Tenor,"-",NORMSINV(AE26))</f>
        <v>-</v>
      </c>
      <c r="AG26" s="360"/>
      <c r="AH26" s="370">
        <f t="shared" si="108"/>
        <v>5.5</v>
      </c>
      <c r="AI26" s="366" t="str">
        <f>IF($AB26&gt;CDS.Tenor,"-",_xlfn.NORM.S.DIST(($AF26-SQRT(ImpliedCorrelation)*AI$3)/SQRT(1-ImpliedCorrelation),TRUE))</f>
        <v>-</v>
      </c>
      <c r="AJ26" s="366" t="str">
        <f>IF($AB26&gt;CDS.Tenor,"-",_xlfn.NORM.S.DIST(($AF26-SQRT(ImpliedCorrelation)*AJ$3)/SQRT(1-ImpliedCorrelation),TRUE))</f>
        <v>-</v>
      </c>
      <c r="AK26" s="366" t="str">
        <f>IF($AB26&gt;CDS.Tenor,"-",_xlfn.NORM.S.DIST(($AF26-SQRT(ImpliedCorrelation)*AK$3)/SQRT(1-ImpliedCorrelation),TRUE))</f>
        <v>-</v>
      </c>
      <c r="AL26" s="366" t="str">
        <f>IF($AB26&gt;CDS.Tenor,"-",_xlfn.NORM.S.DIST(($AF26-SQRT(ImpliedCorrelation)*AL$3)/SQRT(1-ImpliedCorrelation),TRUE))</f>
        <v>-</v>
      </c>
      <c r="AM26" s="366" t="str">
        <f>IF($AB26&gt;CDS.Tenor,"-",_xlfn.NORM.S.DIST(($AF26-SQRT(ImpliedCorrelation)*AM$3)/SQRT(1-ImpliedCorrelation),TRUE))</f>
        <v>-</v>
      </c>
      <c r="AN26" s="366" t="str">
        <f>IF($AB26&gt;CDS.Tenor,"-",_xlfn.NORM.S.DIST(($AF26-SQRT(ImpliedCorrelation)*AN$3)/SQRT(1-ImpliedCorrelation),TRUE))</f>
        <v>-</v>
      </c>
      <c r="AO26" s="366" t="str">
        <f>IF($AB26&gt;CDS.Tenor,"-",_xlfn.NORM.S.DIST(($AF26-SQRT(ImpliedCorrelation)*AO$3)/SQRT(1-ImpliedCorrelation),TRUE))</f>
        <v>-</v>
      </c>
      <c r="AP26" s="366" t="str">
        <f>IF($AB26&gt;CDS.Tenor,"-",_xlfn.NORM.S.DIST(($AF26-SQRT(ImpliedCorrelation)*AP$3)/SQRT(1-ImpliedCorrelation),TRUE))</f>
        <v>-</v>
      </c>
      <c r="AQ26" s="366" t="str">
        <f>IF($AB26&gt;CDS.Tenor,"-",_xlfn.NORM.S.DIST(($AF26-SQRT(ImpliedCorrelation)*AQ$3)/SQRT(1-ImpliedCorrelation),TRUE))</f>
        <v>-</v>
      </c>
      <c r="AR26" s="366" t="str">
        <f>IF($AB26&gt;CDS.Tenor,"-",_xlfn.NORM.S.DIST(($AF26-SQRT(ImpliedCorrelation)*AR$3)/SQRT(1-ImpliedCorrelation),TRUE))</f>
        <v>-</v>
      </c>
      <c r="AS26" s="366" t="str">
        <f>IF($AB26&gt;CDS.Tenor,"-",_xlfn.NORM.S.DIST(($AF26-SQRT(ImpliedCorrelation)*AS$3)/SQRT(1-ImpliedCorrelation),TRUE))</f>
        <v>-</v>
      </c>
      <c r="AT26" s="366" t="str">
        <f>IF($AB26&gt;CDS.Tenor,"-",_xlfn.NORM.S.DIST(($AF26-SQRT(ImpliedCorrelation)*AT$3)/SQRT(1-ImpliedCorrelation),TRUE))</f>
        <v>-</v>
      </c>
      <c r="AU26" s="366" t="str">
        <f>IF($AB26&gt;CDS.Tenor,"-",_xlfn.NORM.S.DIST(($AF26-SQRT(ImpliedCorrelation)*AU$3)/SQRT(1-ImpliedCorrelation),TRUE))</f>
        <v>-</v>
      </c>
      <c r="AV26" s="366" t="str">
        <f>IF($AB26&gt;CDS.Tenor,"-",_xlfn.NORM.S.DIST(($AF26-SQRT(ImpliedCorrelation)*AV$3)/SQRT(1-ImpliedCorrelation),TRUE))</f>
        <v>-</v>
      </c>
      <c r="AW26" s="366" t="str">
        <f>IF($AB26&gt;CDS.Tenor,"-",_xlfn.NORM.S.DIST(($AF26-SQRT(ImpliedCorrelation)*AW$3)/SQRT(1-ImpliedCorrelation),TRUE))</f>
        <v>-</v>
      </c>
      <c r="AX26" s="366" t="str">
        <f>IF($AB26&gt;CDS.Tenor,"-",_xlfn.NORM.S.DIST(($AF26-SQRT(ImpliedCorrelation)*AX$3)/SQRT(1-ImpliedCorrelation),TRUE))</f>
        <v>-</v>
      </c>
      <c r="AY26" s="366" t="str">
        <f>IF($AB26&gt;CDS.Tenor,"-",_xlfn.NORM.S.DIST(($AF26-SQRT(ImpliedCorrelation)*AY$3)/SQRT(1-ImpliedCorrelation),TRUE))</f>
        <v>-</v>
      </c>
      <c r="AZ26" s="366" t="str">
        <f>IF($AB26&gt;CDS.Tenor,"-",_xlfn.NORM.S.DIST(($AF26-SQRT(ImpliedCorrelation)*AZ$3)/SQRT(1-ImpliedCorrelation),TRUE))</f>
        <v>-</v>
      </c>
      <c r="BA26" s="366" t="str">
        <f>IF($AB26&gt;CDS.Tenor,"-",_xlfn.NORM.S.DIST(($AF26-SQRT(ImpliedCorrelation)*BA$3)/SQRT(1-ImpliedCorrelation),TRUE))</f>
        <v>-</v>
      </c>
      <c r="BB26" s="366" t="str">
        <f>IF($AB26&gt;CDS.Tenor,"-",_xlfn.NORM.S.DIST(($AF26-SQRT(ImpliedCorrelation)*BB$3)/SQRT(1-ImpliedCorrelation),TRUE))</f>
        <v>-</v>
      </c>
      <c r="BC26" s="366" t="str">
        <f>IF($AB26&gt;CDS.Tenor,"-",_xlfn.NORM.S.DIST(($AF26-SQRT(ImpliedCorrelation)*BC$3)/SQRT(1-ImpliedCorrelation),TRUE))</f>
        <v>-</v>
      </c>
      <c r="BD26" s="366"/>
      <c r="BE26" s="370">
        <f t="shared" si="109"/>
        <v>5.5</v>
      </c>
      <c r="BF26" s="366" t="str">
        <f>IF($AB26&gt;CDS.Tenor,"-",1-AI26)</f>
        <v>-</v>
      </c>
      <c r="BG26" s="366" t="str">
        <f>IF($AB26&gt;CDS.Tenor,"-",1-AJ26)</f>
        <v>-</v>
      </c>
      <c r="BH26" s="366" t="str">
        <f>IF($AB26&gt;CDS.Tenor,"-",1-AK26)</f>
        <v>-</v>
      </c>
      <c r="BI26" s="366" t="str">
        <f>IF($AB26&gt;CDS.Tenor,"-",1-AL26)</f>
        <v>-</v>
      </c>
      <c r="BJ26" s="366" t="str">
        <f>IF($AB26&gt;CDS.Tenor,"-",1-AM26)</f>
        <v>-</v>
      </c>
      <c r="BK26" s="366" t="str">
        <f>IF($AB26&gt;CDS.Tenor,"-",1-AN26)</f>
        <v>-</v>
      </c>
      <c r="BL26" s="366" t="str">
        <f>IF($AB26&gt;CDS.Tenor,"-",1-AO26)</f>
        <v>-</v>
      </c>
      <c r="BM26" s="366" t="str">
        <f>IF($AB26&gt;CDS.Tenor,"-",1-AP26)</f>
        <v>-</v>
      </c>
      <c r="BN26" s="366" t="str">
        <f>IF($AB26&gt;CDS.Tenor,"-",1-AQ26)</f>
        <v>-</v>
      </c>
      <c r="BO26" s="366" t="str">
        <f>IF($AB26&gt;CDS.Tenor,"-",1-AR26)</f>
        <v>-</v>
      </c>
      <c r="BP26" s="366" t="str">
        <f>IF($AB26&gt;CDS.Tenor,"-",1-AS26)</f>
        <v>-</v>
      </c>
      <c r="BQ26" s="366" t="str">
        <f>IF($AB26&gt;CDS.Tenor,"-",1-AT26)</f>
        <v>-</v>
      </c>
      <c r="BR26" s="366" t="str">
        <f>IF($AB26&gt;CDS.Tenor,"-",1-AU26)</f>
        <v>-</v>
      </c>
      <c r="BS26" s="366" t="str">
        <f>IF($AB26&gt;CDS.Tenor,"-",1-AV26)</f>
        <v>-</v>
      </c>
      <c r="BT26" s="366" t="str">
        <f>IF($AB26&gt;CDS.Tenor,"-",1-AW26)</f>
        <v>-</v>
      </c>
      <c r="BU26" s="366" t="str">
        <f>IF($AB26&gt;CDS.Tenor,"-",1-AX26)</f>
        <v>-</v>
      </c>
      <c r="BV26" s="366" t="str">
        <f>IF($AB26&gt;CDS.Tenor,"-",1-AY26)</f>
        <v>-</v>
      </c>
      <c r="BW26" s="366" t="str">
        <f>IF($AB26&gt;CDS.Tenor,"-",1-AZ26)</f>
        <v>-</v>
      </c>
      <c r="BX26" s="366" t="str">
        <f>IF($AB26&gt;CDS.Tenor,"-",1-BA26)</f>
        <v>-</v>
      </c>
      <c r="BY26" s="366" t="str">
        <f>IF($AB26&gt;CDS.Tenor,"-",1-BB26)</f>
        <v>-</v>
      </c>
      <c r="BZ26" s="366" t="str">
        <f>IF($AB26&gt;CDS.Tenor,"-",1-BC26)</f>
        <v>-</v>
      </c>
      <c r="CA26" s="17"/>
      <c r="CB26" s="352" t="str" cm="1">
        <f t="array" aca="1" ref="CB26" ca="1">IF($AB26&gt;CDS.Tenor,"-",flatInterpolation(AB26,INDIRECT(HazardRateTimes2),INDIRECT(HazardRateValues2)))</f>
        <v>-</v>
      </c>
      <c r="CC26" s="10" t="str">
        <f t="shared" si="110"/>
        <v>-</v>
      </c>
      <c r="CD26" s="10" t="str">
        <f t="shared" si="111"/>
        <v>-</v>
      </c>
      <c r="CE26" s="81" t="str">
        <f t="shared" si="112"/>
        <v>-</v>
      </c>
      <c r="CF26" s="360"/>
      <c r="CG26" s="370">
        <f t="shared" si="113"/>
        <v>5.5</v>
      </c>
      <c r="CH26" s="366" t="str">
        <f>IF($AB26&gt;CDS.Tenor,"-",_xlfn.NORM.S.DIST(($CE26-SQRT(ImpliedCorrelation)*CH$3)/SQRT(1-ImpliedCorrelation),TRUE))</f>
        <v>-</v>
      </c>
      <c r="CI26" s="366" t="str">
        <f>IF($AB26&gt;CDS.Tenor,"-",_xlfn.NORM.S.DIST(($CE26-SQRT(ImpliedCorrelation)*CI$3)/SQRT(1-ImpliedCorrelation),TRUE))</f>
        <v>-</v>
      </c>
      <c r="CJ26" s="366" t="str">
        <f>IF($AB26&gt;CDS.Tenor,"-",_xlfn.NORM.S.DIST(($CE26-SQRT(ImpliedCorrelation)*CJ$3)/SQRT(1-ImpliedCorrelation),TRUE))</f>
        <v>-</v>
      </c>
      <c r="CK26" s="366" t="str">
        <f>IF($AB26&gt;CDS.Tenor,"-",_xlfn.NORM.S.DIST(($CE26-SQRT(ImpliedCorrelation)*CK$3)/SQRT(1-ImpliedCorrelation),TRUE))</f>
        <v>-</v>
      </c>
      <c r="CL26" s="366" t="str">
        <f>IF($AB26&gt;CDS.Tenor,"-",_xlfn.NORM.S.DIST(($CE26-SQRT(ImpliedCorrelation)*CL$3)/SQRT(1-ImpliedCorrelation),TRUE))</f>
        <v>-</v>
      </c>
      <c r="CM26" s="366" t="str">
        <f>IF($AB26&gt;CDS.Tenor,"-",_xlfn.NORM.S.DIST(($CE26-SQRT(ImpliedCorrelation)*CM$3)/SQRT(1-ImpliedCorrelation),TRUE))</f>
        <v>-</v>
      </c>
      <c r="CN26" s="366" t="str">
        <f>IF($AB26&gt;CDS.Tenor,"-",_xlfn.NORM.S.DIST(($CE26-SQRT(ImpliedCorrelation)*CN$3)/SQRT(1-ImpliedCorrelation),TRUE))</f>
        <v>-</v>
      </c>
      <c r="CO26" s="366" t="str">
        <f>IF($AB26&gt;CDS.Tenor,"-",_xlfn.NORM.S.DIST(($CE26-SQRT(ImpliedCorrelation)*CO$3)/SQRT(1-ImpliedCorrelation),TRUE))</f>
        <v>-</v>
      </c>
      <c r="CP26" s="366" t="str">
        <f>IF($AB26&gt;CDS.Tenor,"-",_xlfn.NORM.S.DIST(($CE26-SQRT(ImpliedCorrelation)*CP$3)/SQRT(1-ImpliedCorrelation),TRUE))</f>
        <v>-</v>
      </c>
      <c r="CQ26" s="366" t="str">
        <f>IF($AB26&gt;CDS.Tenor,"-",_xlfn.NORM.S.DIST(($CE26-SQRT(ImpliedCorrelation)*CQ$3)/SQRT(1-ImpliedCorrelation),TRUE))</f>
        <v>-</v>
      </c>
      <c r="CR26" s="366" t="str">
        <f>IF($AB26&gt;CDS.Tenor,"-",_xlfn.NORM.S.DIST(($CE26-SQRT(ImpliedCorrelation)*CR$3)/SQRT(1-ImpliedCorrelation),TRUE))</f>
        <v>-</v>
      </c>
      <c r="CS26" s="366" t="str">
        <f>IF($AB26&gt;CDS.Tenor,"-",_xlfn.NORM.S.DIST(($CE26-SQRT(ImpliedCorrelation)*CS$3)/SQRT(1-ImpliedCorrelation),TRUE))</f>
        <v>-</v>
      </c>
      <c r="CT26" s="366" t="str">
        <f>IF($AB26&gt;CDS.Tenor,"-",_xlfn.NORM.S.DIST(($CE26-SQRT(ImpliedCorrelation)*CT$3)/SQRT(1-ImpliedCorrelation),TRUE))</f>
        <v>-</v>
      </c>
      <c r="CU26" s="366" t="str">
        <f>IF($AB26&gt;CDS.Tenor,"-",_xlfn.NORM.S.DIST(($CE26-SQRT(ImpliedCorrelation)*CU$3)/SQRT(1-ImpliedCorrelation),TRUE))</f>
        <v>-</v>
      </c>
      <c r="CV26" s="366" t="str">
        <f>IF($AB26&gt;CDS.Tenor,"-",_xlfn.NORM.S.DIST(($CE26-SQRT(ImpliedCorrelation)*CV$3)/SQRT(1-ImpliedCorrelation),TRUE))</f>
        <v>-</v>
      </c>
      <c r="CW26" s="366" t="str">
        <f>IF($AB26&gt;CDS.Tenor,"-",_xlfn.NORM.S.DIST(($CE26-SQRT(ImpliedCorrelation)*CW$3)/SQRT(1-ImpliedCorrelation),TRUE))</f>
        <v>-</v>
      </c>
      <c r="CX26" s="366" t="str">
        <f>IF($AB26&gt;CDS.Tenor,"-",_xlfn.NORM.S.DIST(($CE26-SQRT(ImpliedCorrelation)*CX$3)/SQRT(1-ImpliedCorrelation),TRUE))</f>
        <v>-</v>
      </c>
      <c r="CY26" s="366" t="str">
        <f>IF($AB26&gt;CDS.Tenor,"-",_xlfn.NORM.S.DIST(($CE26-SQRT(ImpliedCorrelation)*CY$3)/SQRT(1-ImpliedCorrelation),TRUE))</f>
        <v>-</v>
      </c>
      <c r="CZ26" s="366" t="str">
        <f>IF($AB26&gt;CDS.Tenor,"-",_xlfn.NORM.S.DIST(($CE26-SQRT(ImpliedCorrelation)*CZ$3)/SQRT(1-ImpliedCorrelation),TRUE))</f>
        <v>-</v>
      </c>
      <c r="DA26" s="366" t="str">
        <f>IF($AB26&gt;CDS.Tenor,"-",_xlfn.NORM.S.DIST(($CE26-SQRT(ImpliedCorrelation)*DA$3)/SQRT(1-ImpliedCorrelation),TRUE))</f>
        <v>-</v>
      </c>
      <c r="DB26" s="366" t="str">
        <f>IF($AB26&gt;CDS.Tenor,"-",_xlfn.NORM.S.DIST(($CE26-SQRT(ImpliedCorrelation)*DB$3)/SQRT(1-ImpliedCorrelation),TRUE))</f>
        <v>-</v>
      </c>
      <c r="DC26" s="366"/>
      <c r="DD26" s="370">
        <f t="shared" si="114"/>
        <v>5.5</v>
      </c>
      <c r="DE26" s="366" t="str">
        <f>IF($AB26&gt;CDS.Tenor,"-",1-CH26)</f>
        <v>-</v>
      </c>
      <c r="DF26" s="366" t="str">
        <f>IF($AB26&gt;CDS.Tenor,"-",1-CI26)</f>
        <v>-</v>
      </c>
      <c r="DG26" s="366" t="str">
        <f>IF($AB26&gt;CDS.Tenor,"-",1-CJ26)</f>
        <v>-</v>
      </c>
      <c r="DH26" s="366" t="str">
        <f>IF($AB26&gt;CDS.Tenor,"-",1-CK26)</f>
        <v>-</v>
      </c>
      <c r="DI26" s="366" t="str">
        <f>IF($AB26&gt;CDS.Tenor,"-",1-CL26)</f>
        <v>-</v>
      </c>
      <c r="DJ26" s="366" t="str">
        <f>IF($AB26&gt;CDS.Tenor,"-",1-CM26)</f>
        <v>-</v>
      </c>
      <c r="DK26" s="366" t="str">
        <f>IF($AB26&gt;CDS.Tenor,"-",1-CN26)</f>
        <v>-</v>
      </c>
      <c r="DL26" s="366" t="str">
        <f>IF($AB26&gt;CDS.Tenor,"-",1-CO26)</f>
        <v>-</v>
      </c>
      <c r="DM26" s="366" t="str">
        <f>IF($AB26&gt;CDS.Tenor,"-",1-CP26)</f>
        <v>-</v>
      </c>
      <c r="DN26" s="366" t="str">
        <f>IF($AB26&gt;CDS.Tenor,"-",1-CQ26)</f>
        <v>-</v>
      </c>
      <c r="DO26" s="366" t="str">
        <f>IF($AB26&gt;CDS.Tenor,"-",1-CR26)</f>
        <v>-</v>
      </c>
      <c r="DP26" s="366" t="str">
        <f>IF($AB26&gt;CDS.Tenor,"-",1-CS26)</f>
        <v>-</v>
      </c>
      <c r="DQ26" s="366" t="str">
        <f>IF($AB26&gt;CDS.Tenor,"-",1-CT26)</f>
        <v>-</v>
      </c>
      <c r="DR26" s="366" t="str">
        <f>IF($AB26&gt;CDS.Tenor,"-",1-CU26)</f>
        <v>-</v>
      </c>
      <c r="DS26" s="366" t="str">
        <f>IF($AB26&gt;CDS.Tenor,"-",1-CV26)</f>
        <v>-</v>
      </c>
      <c r="DT26" s="366" t="str">
        <f>IF($AB26&gt;CDS.Tenor,"-",1-CW26)</f>
        <v>-</v>
      </c>
      <c r="DU26" s="366" t="str">
        <f>IF($AB26&gt;CDS.Tenor,"-",1-CX26)</f>
        <v>-</v>
      </c>
      <c r="DV26" s="366" t="str">
        <f>IF($AB26&gt;CDS.Tenor,"-",1-CY26)</f>
        <v>-</v>
      </c>
      <c r="DW26" s="366" t="str">
        <f>IF($AB26&gt;CDS.Tenor,"-",1-CZ26)</f>
        <v>-</v>
      </c>
      <c r="DX26" s="366" t="str">
        <f>IF($AB26&gt;CDS.Tenor,"-",1-DA26)</f>
        <v>-</v>
      </c>
      <c r="DY26" s="362" t="str">
        <f>IF($AB26&gt;CDS.Tenor,"-",1-DB26)</f>
        <v>-</v>
      </c>
      <c r="DZ26" s="360"/>
      <c r="EA26" s="352" t="str" cm="1">
        <f t="array" aca="1" ref="EA26" ca="1">IF($AB26&gt;CDS.Tenor,"-",flatInterpolation(CC26,INDIRECT(HazardRateTimes3),INDIRECT(HazardRateValues3)))</f>
        <v>-</v>
      </c>
      <c r="EB26" s="10" t="str">
        <f t="shared" si="115"/>
        <v>-</v>
      </c>
      <c r="EC26" s="10" t="str">
        <f t="shared" si="116"/>
        <v>-</v>
      </c>
      <c r="ED26" s="81" t="str">
        <f t="shared" si="117"/>
        <v>-</v>
      </c>
      <c r="EF26" s="370">
        <f t="shared" si="118"/>
        <v>5.5</v>
      </c>
      <c r="EG26" s="366" t="str">
        <f>IF($AB26&gt;CDS.Tenor,"-",_xlfn.NORM.S.DIST(($ED26-SQRT(ImpliedCorrelation)*EG$3)/SQRT(1-ImpliedCorrelation),TRUE))</f>
        <v>-</v>
      </c>
      <c r="EH26" s="366" t="str">
        <f>IF($AB26&gt;CDS.Tenor,"-",_xlfn.NORM.S.DIST(($ED26-SQRT(ImpliedCorrelation)*EH$3)/SQRT(1-ImpliedCorrelation),TRUE))</f>
        <v>-</v>
      </c>
      <c r="EI26" s="366" t="str">
        <f>IF($AB26&gt;CDS.Tenor,"-",_xlfn.NORM.S.DIST(($ED26-SQRT(ImpliedCorrelation)*EI$3)/SQRT(1-ImpliedCorrelation),TRUE))</f>
        <v>-</v>
      </c>
      <c r="EJ26" s="366" t="str">
        <f>IF($AB26&gt;CDS.Tenor,"-",_xlfn.NORM.S.DIST(($ED26-SQRT(ImpliedCorrelation)*EJ$3)/SQRT(1-ImpliedCorrelation),TRUE))</f>
        <v>-</v>
      </c>
      <c r="EK26" s="366" t="str">
        <f>IF($AB26&gt;CDS.Tenor,"-",_xlfn.NORM.S.DIST(($ED26-SQRT(ImpliedCorrelation)*EK$3)/SQRT(1-ImpliedCorrelation),TRUE))</f>
        <v>-</v>
      </c>
      <c r="EL26" s="366" t="str">
        <f>IF($AB26&gt;CDS.Tenor,"-",_xlfn.NORM.S.DIST(($ED26-SQRT(ImpliedCorrelation)*EL$3)/SQRT(1-ImpliedCorrelation),TRUE))</f>
        <v>-</v>
      </c>
      <c r="EM26" s="366" t="str">
        <f>IF($AB26&gt;CDS.Tenor,"-",_xlfn.NORM.S.DIST(($ED26-SQRT(ImpliedCorrelation)*EM$3)/SQRT(1-ImpliedCorrelation),TRUE))</f>
        <v>-</v>
      </c>
      <c r="EN26" s="366" t="str">
        <f>IF($AB26&gt;CDS.Tenor,"-",_xlfn.NORM.S.DIST(($ED26-SQRT(ImpliedCorrelation)*EN$3)/SQRT(1-ImpliedCorrelation),TRUE))</f>
        <v>-</v>
      </c>
      <c r="EO26" s="366" t="str">
        <f>IF($AB26&gt;CDS.Tenor,"-",_xlfn.NORM.S.DIST(($ED26-SQRT(ImpliedCorrelation)*EO$3)/SQRT(1-ImpliedCorrelation),TRUE))</f>
        <v>-</v>
      </c>
      <c r="EP26" s="366" t="str">
        <f>IF($AB26&gt;CDS.Tenor,"-",_xlfn.NORM.S.DIST(($ED26-SQRT(ImpliedCorrelation)*EP$3)/SQRT(1-ImpliedCorrelation),TRUE))</f>
        <v>-</v>
      </c>
      <c r="EQ26" s="366" t="str">
        <f>IF($AB26&gt;CDS.Tenor,"-",_xlfn.NORM.S.DIST(($ED26-SQRT(ImpliedCorrelation)*EQ$3)/SQRT(1-ImpliedCorrelation),TRUE))</f>
        <v>-</v>
      </c>
      <c r="ER26" s="366" t="str">
        <f>IF($AB26&gt;CDS.Tenor,"-",_xlfn.NORM.S.DIST(($ED26-SQRT(ImpliedCorrelation)*ER$3)/SQRT(1-ImpliedCorrelation),TRUE))</f>
        <v>-</v>
      </c>
      <c r="ES26" s="366" t="str">
        <f>IF($AB26&gt;CDS.Tenor,"-",_xlfn.NORM.S.DIST(($ED26-SQRT(ImpliedCorrelation)*ES$3)/SQRT(1-ImpliedCorrelation),TRUE))</f>
        <v>-</v>
      </c>
      <c r="ET26" s="366" t="str">
        <f>IF($AB26&gt;CDS.Tenor,"-",_xlfn.NORM.S.DIST(($ED26-SQRT(ImpliedCorrelation)*ET$3)/SQRT(1-ImpliedCorrelation),TRUE))</f>
        <v>-</v>
      </c>
      <c r="EU26" s="366" t="str">
        <f>IF($AB26&gt;CDS.Tenor,"-",_xlfn.NORM.S.DIST(($ED26-SQRT(ImpliedCorrelation)*EU$3)/SQRT(1-ImpliedCorrelation),TRUE))</f>
        <v>-</v>
      </c>
      <c r="EV26" s="366" t="str">
        <f>IF($AB26&gt;CDS.Tenor,"-",_xlfn.NORM.S.DIST(($ED26-SQRT(ImpliedCorrelation)*EV$3)/SQRT(1-ImpliedCorrelation),TRUE))</f>
        <v>-</v>
      </c>
      <c r="EW26" s="366" t="str">
        <f>IF($AB26&gt;CDS.Tenor,"-",_xlfn.NORM.S.DIST(($ED26-SQRT(ImpliedCorrelation)*EW$3)/SQRT(1-ImpliedCorrelation),TRUE))</f>
        <v>-</v>
      </c>
      <c r="EX26" s="366" t="str">
        <f>IF($AB26&gt;CDS.Tenor,"-",_xlfn.NORM.S.DIST(($ED26-SQRT(ImpliedCorrelation)*EX$3)/SQRT(1-ImpliedCorrelation),TRUE))</f>
        <v>-</v>
      </c>
      <c r="EY26" s="366" t="str">
        <f>IF($AB26&gt;CDS.Tenor,"-",_xlfn.NORM.S.DIST(($ED26-SQRT(ImpliedCorrelation)*EY$3)/SQRT(1-ImpliedCorrelation),TRUE))</f>
        <v>-</v>
      </c>
      <c r="EZ26" s="366" t="str">
        <f>IF($AB26&gt;CDS.Tenor,"-",_xlfn.NORM.S.DIST(($ED26-SQRT(ImpliedCorrelation)*EZ$3)/SQRT(1-ImpliedCorrelation),TRUE))</f>
        <v>-</v>
      </c>
      <c r="FA26" s="366" t="str">
        <f>IF($AB26&gt;CDS.Tenor,"-",_xlfn.NORM.S.DIST(($ED26-SQRT(ImpliedCorrelation)*FA$3)/SQRT(1-ImpliedCorrelation),TRUE))</f>
        <v>-</v>
      </c>
      <c r="FB26" s="366"/>
      <c r="FC26" s="370">
        <f t="shared" si="119"/>
        <v>5.5</v>
      </c>
      <c r="FD26" s="366" t="str">
        <f>IF($AB26&gt;CDS.Tenor,"-",1-EG26)</f>
        <v>-</v>
      </c>
      <c r="FE26" s="366" t="str">
        <f>IF($AB26&gt;CDS.Tenor,"-",1-EH26)</f>
        <v>-</v>
      </c>
      <c r="FF26" s="366" t="str">
        <f>IF($AB26&gt;CDS.Tenor,"-",1-EI26)</f>
        <v>-</v>
      </c>
      <c r="FG26" s="366" t="str">
        <f>IF($AB26&gt;CDS.Tenor,"-",1-EJ26)</f>
        <v>-</v>
      </c>
      <c r="FH26" s="366" t="str">
        <f>IF($AB26&gt;CDS.Tenor,"-",1-EK26)</f>
        <v>-</v>
      </c>
      <c r="FI26" s="366" t="str">
        <f>IF($AB26&gt;CDS.Tenor,"-",1-EL26)</f>
        <v>-</v>
      </c>
      <c r="FJ26" s="366" t="str">
        <f>IF($AB26&gt;CDS.Tenor,"-",1-EM26)</f>
        <v>-</v>
      </c>
      <c r="FK26" s="366" t="str">
        <f>IF($AB26&gt;CDS.Tenor,"-",1-EN26)</f>
        <v>-</v>
      </c>
      <c r="FL26" s="366" t="str">
        <f>IF($AB26&gt;CDS.Tenor,"-",1-EO26)</f>
        <v>-</v>
      </c>
      <c r="FM26" s="366" t="str">
        <f>IF($AB26&gt;CDS.Tenor,"-",1-EP26)</f>
        <v>-</v>
      </c>
      <c r="FN26" s="366" t="str">
        <f>IF($AB26&gt;CDS.Tenor,"-",1-EQ26)</f>
        <v>-</v>
      </c>
      <c r="FO26" s="366" t="str">
        <f>IF($AB26&gt;CDS.Tenor,"-",1-ER26)</f>
        <v>-</v>
      </c>
      <c r="FP26" s="366" t="str">
        <f>IF($AB26&gt;CDS.Tenor,"-",1-ES26)</f>
        <v>-</v>
      </c>
      <c r="FQ26" s="366" t="str">
        <f>IF($AB26&gt;CDS.Tenor,"-",1-ET26)</f>
        <v>-</v>
      </c>
      <c r="FR26" s="366" t="str">
        <f>IF($AB26&gt;CDS.Tenor,"-",1-EU26)</f>
        <v>-</v>
      </c>
      <c r="FS26" s="366" t="str">
        <f>IF($AB26&gt;CDS.Tenor,"-",1-EV26)</f>
        <v>-</v>
      </c>
      <c r="FT26" s="366" t="str">
        <f>IF($AB26&gt;CDS.Tenor,"-",1-EW26)</f>
        <v>-</v>
      </c>
      <c r="FU26" s="366" t="str">
        <f>IF($AB26&gt;CDS.Tenor,"-",1-EX26)</f>
        <v>-</v>
      </c>
      <c r="FV26" s="366" t="str">
        <f>IF($AB26&gt;CDS.Tenor,"-",1-EY26)</f>
        <v>-</v>
      </c>
      <c r="FW26" s="366" t="str">
        <f>IF($AB26&gt;CDS.Tenor,"-",1-EZ26)</f>
        <v>-</v>
      </c>
      <c r="FX26" s="362" t="str">
        <f>IF($AB26&gt;CDS.Tenor,"-",1-FA26)</f>
        <v>-</v>
      </c>
      <c r="FZ26" s="370">
        <f t="shared" si="120"/>
        <v>5.5</v>
      </c>
      <c r="GA26" s="366" t="str">
        <f>IF($AB26&gt;CDS.Tenor,"-",BF26*DE26*FD26)</f>
        <v>-</v>
      </c>
      <c r="GB26" s="366" t="str">
        <f>IF($AB26&gt;CDS.Tenor,"-",BG26*DF26*FE26)</f>
        <v>-</v>
      </c>
      <c r="GC26" s="366" t="str">
        <f>IF($AB26&gt;CDS.Tenor,"-",BH26*DG26*FF26)</f>
        <v>-</v>
      </c>
      <c r="GD26" s="366" t="str">
        <f>IF($AB26&gt;CDS.Tenor,"-",BI26*DH26*FG26)</f>
        <v>-</v>
      </c>
      <c r="GE26" s="366" t="str">
        <f>IF($AB26&gt;CDS.Tenor,"-",BJ26*DI26*FH26)</f>
        <v>-</v>
      </c>
      <c r="GF26" s="366" t="str">
        <f>IF($AB26&gt;CDS.Tenor,"-",BK26*DJ26*FI26)</f>
        <v>-</v>
      </c>
      <c r="GG26" s="366" t="str">
        <f>IF($AB26&gt;CDS.Tenor,"-",BL26*DK26*FJ26)</f>
        <v>-</v>
      </c>
      <c r="GH26" s="366" t="str">
        <f>IF($AB26&gt;CDS.Tenor,"-",BM26*DL26*FK26)</f>
        <v>-</v>
      </c>
      <c r="GI26" s="366" t="str">
        <f>IF($AB26&gt;CDS.Tenor,"-",BN26*DM26*FL26)</f>
        <v>-</v>
      </c>
      <c r="GJ26" s="366" t="str">
        <f>IF($AB26&gt;CDS.Tenor,"-",BO26*DN26*FM26)</f>
        <v>-</v>
      </c>
      <c r="GK26" s="366" t="str">
        <f>IF($AB26&gt;CDS.Tenor,"-",BP26*DO26*FN26)</f>
        <v>-</v>
      </c>
      <c r="GL26" s="366" t="str">
        <f>IF($AB26&gt;CDS.Tenor,"-",BQ26*DP26*FO26)</f>
        <v>-</v>
      </c>
      <c r="GM26" s="366" t="str">
        <f>IF($AB26&gt;CDS.Tenor,"-",BR26*DQ26*FP26)</f>
        <v>-</v>
      </c>
      <c r="GN26" s="366" t="str">
        <f>IF($AB26&gt;CDS.Tenor,"-",BS26*DR26*FQ26)</f>
        <v>-</v>
      </c>
      <c r="GO26" s="366" t="str">
        <f>IF($AB26&gt;CDS.Tenor,"-",BT26*DS26*FR26)</f>
        <v>-</v>
      </c>
      <c r="GP26" s="366" t="str">
        <f>IF($AB26&gt;CDS.Tenor,"-",BU26*DT26*FS26)</f>
        <v>-</v>
      </c>
      <c r="GQ26" s="366" t="str">
        <f>IF($AB26&gt;CDS.Tenor,"-",BV26*DU26*FT26)</f>
        <v>-</v>
      </c>
      <c r="GR26" s="366" t="str">
        <f>IF($AB26&gt;CDS.Tenor,"-",BW26*DV26*FU26)</f>
        <v>-</v>
      </c>
      <c r="GS26" s="366" t="str">
        <f>IF($AB26&gt;CDS.Tenor,"-",BX26*DW26*FV26)</f>
        <v>-</v>
      </c>
      <c r="GT26" s="366" t="str">
        <f>IF($AB26&gt;CDS.Tenor,"-",BY26*DX26*FW26)</f>
        <v>-</v>
      </c>
      <c r="GU26" s="362" t="str">
        <f>IF($AB26&gt;CDS.Tenor,"-",BZ26*DY26*FX26)</f>
        <v>-</v>
      </c>
      <c r="GV26" s="42"/>
      <c r="GW26" s="370">
        <f t="shared" si="121"/>
        <v>5.5</v>
      </c>
      <c r="GX26" s="378" t="str">
        <f>IF($AB26&gt;CDS.Tenor,"-",SUMPRODUCT($GA26:$GU26,$GA$4:$GU$4)*dm)</f>
        <v>-</v>
      </c>
      <c r="GY26" s="381" t="str">
        <f>IF($AB26&gt;CDS.Tenor,"-",GX25-GX26)</f>
        <v>-</v>
      </c>
    </row>
    <row r="27" spans="2:207" x14ac:dyDescent="0.3">
      <c r="B27" s="346" t="str">
        <f>"'Credit Curve "&amp;CreditRef2&amp;"'!Calibration.HazardRates"</f>
        <v>'Credit Curve MSFT'!Calibration.HazardRates</v>
      </c>
      <c r="D27" s="125"/>
      <c r="J27" s="156">
        <f t="shared" si="103"/>
        <v>5.75</v>
      </c>
      <c r="K27" s="28" t="str">
        <f>IF($J27&gt;CDS.Tenor,"-",CDS.PremiumSign*CDS.Notional*CDS.YearFraction*CDS.CreditSpread)</f>
        <v>-</v>
      </c>
      <c r="L27" s="10" t="str">
        <f>GX27</f>
        <v>-</v>
      </c>
      <c r="M27" s="10" t="str">
        <f>IF($J27&gt;CDS.Tenor,"-",L26-L27)</f>
        <v>-</v>
      </c>
      <c r="N27" s="94" t="str" cm="1">
        <f t="array" ref="N27">IF($J27&gt;CDS.Tenor,"-",cubicInterpolation(CurveResults.Times,CurveResults.DFs,$J27))</f>
        <v>-</v>
      </c>
      <c r="O27" s="28" t="str">
        <f>IF($J27&gt;CDS.Tenor,"-",K27*L27*N27)</f>
        <v>-</v>
      </c>
      <c r="P27" s="28" t="str">
        <f>IF($J27&gt;CDS.Tenor,"-",0.5*K27*M27*N27)</f>
        <v>-</v>
      </c>
      <c r="Q27" s="142" t="str">
        <f>IF($J27&gt;CDS.Tenor,"-",O27+P27)</f>
        <v>-</v>
      </c>
      <c r="T27" s="156">
        <f t="shared" si="104"/>
        <v>5.75</v>
      </c>
      <c r="U27" s="28" t="str">
        <f>IF($J27&gt;CDS.Tenor,"-",CDS.ProtectionSign*CDS.Notional*(1-CDS.RecoveryRate))</f>
        <v>-</v>
      </c>
      <c r="V27" s="10" t="str">
        <f>IF($J27&gt;CDS.Tenor,"-",GX27)</f>
        <v>-</v>
      </c>
      <c r="W27" s="10" t="str">
        <f>IF($J27&gt;CDS.Tenor,"-",V26-V27)</f>
        <v>-</v>
      </c>
      <c r="X27" s="94" t="str" cm="1">
        <f t="array" ref="X27">IF($T27&gt;CDS.Tenor,"-",cubicInterpolation(CurveResults.Times,CurveResults.DFs,$J27))</f>
        <v>-</v>
      </c>
      <c r="Y27" s="142" t="str">
        <f>IF($J27&gt;CDS.Tenor,"-",U27*W27*X27)</f>
        <v>-</v>
      </c>
      <c r="AB27" s="156">
        <f t="shared" si="105"/>
        <v>5.75</v>
      </c>
      <c r="AC27" s="352" t="str" cm="1">
        <f t="array" aca="1" ref="AC27" ca="1">IF($AB27&gt;CDS.Tenor,"-",flatInterpolation(AA27,INDIRECT(HazardRateTimes1),INDIRECT(HazardRateValues1)))</f>
        <v>-</v>
      </c>
      <c r="AD27" s="10" t="str">
        <f t="shared" si="106"/>
        <v>-</v>
      </c>
      <c r="AE27" s="10" t="str">
        <f t="shared" si="107"/>
        <v>-</v>
      </c>
      <c r="AF27" s="360" t="str">
        <f>IF($AB27&gt;CDS.Tenor,"-",NORMSINV(AE27))</f>
        <v>-</v>
      </c>
      <c r="AG27" s="360"/>
      <c r="AH27" s="370">
        <f t="shared" si="108"/>
        <v>5.75</v>
      </c>
      <c r="AI27" s="366" t="str">
        <f>IF($AB27&gt;CDS.Tenor,"-",_xlfn.NORM.S.DIST(($AF27-SQRT(ImpliedCorrelation)*AI$3)/SQRT(1-ImpliedCorrelation),TRUE))</f>
        <v>-</v>
      </c>
      <c r="AJ27" s="366" t="str">
        <f>IF($AB27&gt;CDS.Tenor,"-",_xlfn.NORM.S.DIST(($AF27-SQRT(ImpliedCorrelation)*AJ$3)/SQRT(1-ImpliedCorrelation),TRUE))</f>
        <v>-</v>
      </c>
      <c r="AK27" s="366" t="str">
        <f>IF($AB27&gt;CDS.Tenor,"-",_xlfn.NORM.S.DIST(($AF27-SQRT(ImpliedCorrelation)*AK$3)/SQRT(1-ImpliedCorrelation),TRUE))</f>
        <v>-</v>
      </c>
      <c r="AL27" s="366" t="str">
        <f>IF($AB27&gt;CDS.Tenor,"-",_xlfn.NORM.S.DIST(($AF27-SQRT(ImpliedCorrelation)*AL$3)/SQRT(1-ImpliedCorrelation),TRUE))</f>
        <v>-</v>
      </c>
      <c r="AM27" s="366" t="str">
        <f>IF($AB27&gt;CDS.Tenor,"-",_xlfn.NORM.S.DIST(($AF27-SQRT(ImpliedCorrelation)*AM$3)/SQRT(1-ImpliedCorrelation),TRUE))</f>
        <v>-</v>
      </c>
      <c r="AN27" s="366" t="str">
        <f>IF($AB27&gt;CDS.Tenor,"-",_xlfn.NORM.S.DIST(($AF27-SQRT(ImpliedCorrelation)*AN$3)/SQRT(1-ImpliedCorrelation),TRUE))</f>
        <v>-</v>
      </c>
      <c r="AO27" s="366" t="str">
        <f>IF($AB27&gt;CDS.Tenor,"-",_xlfn.NORM.S.DIST(($AF27-SQRT(ImpliedCorrelation)*AO$3)/SQRT(1-ImpliedCorrelation),TRUE))</f>
        <v>-</v>
      </c>
      <c r="AP27" s="366" t="str">
        <f>IF($AB27&gt;CDS.Tenor,"-",_xlfn.NORM.S.DIST(($AF27-SQRT(ImpliedCorrelation)*AP$3)/SQRT(1-ImpliedCorrelation),TRUE))</f>
        <v>-</v>
      </c>
      <c r="AQ27" s="366" t="str">
        <f>IF($AB27&gt;CDS.Tenor,"-",_xlfn.NORM.S.DIST(($AF27-SQRT(ImpliedCorrelation)*AQ$3)/SQRT(1-ImpliedCorrelation),TRUE))</f>
        <v>-</v>
      </c>
      <c r="AR27" s="366" t="str">
        <f>IF($AB27&gt;CDS.Tenor,"-",_xlfn.NORM.S.DIST(($AF27-SQRT(ImpliedCorrelation)*AR$3)/SQRT(1-ImpliedCorrelation),TRUE))</f>
        <v>-</v>
      </c>
      <c r="AS27" s="366" t="str">
        <f>IF($AB27&gt;CDS.Tenor,"-",_xlfn.NORM.S.DIST(($AF27-SQRT(ImpliedCorrelation)*AS$3)/SQRT(1-ImpliedCorrelation),TRUE))</f>
        <v>-</v>
      </c>
      <c r="AT27" s="366" t="str">
        <f>IF($AB27&gt;CDS.Tenor,"-",_xlfn.NORM.S.DIST(($AF27-SQRT(ImpliedCorrelation)*AT$3)/SQRT(1-ImpliedCorrelation),TRUE))</f>
        <v>-</v>
      </c>
      <c r="AU27" s="366" t="str">
        <f>IF($AB27&gt;CDS.Tenor,"-",_xlfn.NORM.S.DIST(($AF27-SQRT(ImpliedCorrelation)*AU$3)/SQRT(1-ImpliedCorrelation),TRUE))</f>
        <v>-</v>
      </c>
      <c r="AV27" s="366" t="str">
        <f>IF($AB27&gt;CDS.Tenor,"-",_xlfn.NORM.S.DIST(($AF27-SQRT(ImpliedCorrelation)*AV$3)/SQRT(1-ImpliedCorrelation),TRUE))</f>
        <v>-</v>
      </c>
      <c r="AW27" s="366" t="str">
        <f>IF($AB27&gt;CDS.Tenor,"-",_xlfn.NORM.S.DIST(($AF27-SQRT(ImpliedCorrelation)*AW$3)/SQRT(1-ImpliedCorrelation),TRUE))</f>
        <v>-</v>
      </c>
      <c r="AX27" s="366" t="str">
        <f>IF($AB27&gt;CDS.Tenor,"-",_xlfn.NORM.S.DIST(($AF27-SQRT(ImpliedCorrelation)*AX$3)/SQRT(1-ImpliedCorrelation),TRUE))</f>
        <v>-</v>
      </c>
      <c r="AY27" s="366" t="str">
        <f>IF($AB27&gt;CDS.Tenor,"-",_xlfn.NORM.S.DIST(($AF27-SQRT(ImpliedCorrelation)*AY$3)/SQRT(1-ImpliedCorrelation),TRUE))</f>
        <v>-</v>
      </c>
      <c r="AZ27" s="366" t="str">
        <f>IF($AB27&gt;CDS.Tenor,"-",_xlfn.NORM.S.DIST(($AF27-SQRT(ImpliedCorrelation)*AZ$3)/SQRT(1-ImpliedCorrelation),TRUE))</f>
        <v>-</v>
      </c>
      <c r="BA27" s="366" t="str">
        <f>IF($AB27&gt;CDS.Tenor,"-",_xlfn.NORM.S.DIST(($AF27-SQRT(ImpliedCorrelation)*BA$3)/SQRT(1-ImpliedCorrelation),TRUE))</f>
        <v>-</v>
      </c>
      <c r="BB27" s="366" t="str">
        <f>IF($AB27&gt;CDS.Tenor,"-",_xlfn.NORM.S.DIST(($AF27-SQRT(ImpliedCorrelation)*BB$3)/SQRT(1-ImpliedCorrelation),TRUE))</f>
        <v>-</v>
      </c>
      <c r="BC27" s="366" t="str">
        <f>IF($AB27&gt;CDS.Tenor,"-",_xlfn.NORM.S.DIST(($AF27-SQRT(ImpliedCorrelation)*BC$3)/SQRT(1-ImpliedCorrelation),TRUE))</f>
        <v>-</v>
      </c>
      <c r="BD27" s="366"/>
      <c r="BE27" s="370">
        <f t="shared" si="109"/>
        <v>5.75</v>
      </c>
      <c r="BF27" s="366" t="str">
        <f>IF($AB27&gt;CDS.Tenor,"-",1-AI27)</f>
        <v>-</v>
      </c>
      <c r="BG27" s="366" t="str">
        <f>IF($AB27&gt;CDS.Tenor,"-",1-AJ27)</f>
        <v>-</v>
      </c>
      <c r="BH27" s="366" t="str">
        <f>IF($AB27&gt;CDS.Tenor,"-",1-AK27)</f>
        <v>-</v>
      </c>
      <c r="BI27" s="366" t="str">
        <f>IF($AB27&gt;CDS.Tenor,"-",1-AL27)</f>
        <v>-</v>
      </c>
      <c r="BJ27" s="366" t="str">
        <f>IF($AB27&gt;CDS.Tenor,"-",1-AM27)</f>
        <v>-</v>
      </c>
      <c r="BK27" s="366" t="str">
        <f>IF($AB27&gt;CDS.Tenor,"-",1-AN27)</f>
        <v>-</v>
      </c>
      <c r="BL27" s="366" t="str">
        <f>IF($AB27&gt;CDS.Tenor,"-",1-AO27)</f>
        <v>-</v>
      </c>
      <c r="BM27" s="366" t="str">
        <f>IF($AB27&gt;CDS.Tenor,"-",1-AP27)</f>
        <v>-</v>
      </c>
      <c r="BN27" s="366" t="str">
        <f>IF($AB27&gt;CDS.Tenor,"-",1-AQ27)</f>
        <v>-</v>
      </c>
      <c r="BO27" s="366" t="str">
        <f>IF($AB27&gt;CDS.Tenor,"-",1-AR27)</f>
        <v>-</v>
      </c>
      <c r="BP27" s="366" t="str">
        <f>IF($AB27&gt;CDS.Tenor,"-",1-AS27)</f>
        <v>-</v>
      </c>
      <c r="BQ27" s="366" t="str">
        <f>IF($AB27&gt;CDS.Tenor,"-",1-AT27)</f>
        <v>-</v>
      </c>
      <c r="BR27" s="366" t="str">
        <f>IF($AB27&gt;CDS.Tenor,"-",1-AU27)</f>
        <v>-</v>
      </c>
      <c r="BS27" s="366" t="str">
        <f>IF($AB27&gt;CDS.Tenor,"-",1-AV27)</f>
        <v>-</v>
      </c>
      <c r="BT27" s="366" t="str">
        <f>IF($AB27&gt;CDS.Tenor,"-",1-AW27)</f>
        <v>-</v>
      </c>
      <c r="BU27" s="366" t="str">
        <f>IF($AB27&gt;CDS.Tenor,"-",1-AX27)</f>
        <v>-</v>
      </c>
      <c r="BV27" s="366" t="str">
        <f>IF($AB27&gt;CDS.Tenor,"-",1-AY27)</f>
        <v>-</v>
      </c>
      <c r="BW27" s="366" t="str">
        <f>IF($AB27&gt;CDS.Tenor,"-",1-AZ27)</f>
        <v>-</v>
      </c>
      <c r="BX27" s="366" t="str">
        <f>IF($AB27&gt;CDS.Tenor,"-",1-BA27)</f>
        <v>-</v>
      </c>
      <c r="BY27" s="366" t="str">
        <f>IF($AB27&gt;CDS.Tenor,"-",1-BB27)</f>
        <v>-</v>
      </c>
      <c r="BZ27" s="366" t="str">
        <f>IF($AB27&gt;CDS.Tenor,"-",1-BC27)</f>
        <v>-</v>
      </c>
      <c r="CA27" s="17"/>
      <c r="CB27" s="352" t="str" cm="1">
        <f t="array" aca="1" ref="CB27" ca="1">IF($AB27&gt;CDS.Tenor,"-",flatInterpolation(AB27,INDIRECT(HazardRateTimes2),INDIRECT(HazardRateValues2)))</f>
        <v>-</v>
      </c>
      <c r="CC27" s="10" t="str">
        <f t="shared" si="110"/>
        <v>-</v>
      </c>
      <c r="CD27" s="10" t="str">
        <f t="shared" si="111"/>
        <v>-</v>
      </c>
      <c r="CE27" s="81" t="str">
        <f t="shared" si="112"/>
        <v>-</v>
      </c>
      <c r="CF27" s="360"/>
      <c r="CG27" s="370">
        <f t="shared" si="113"/>
        <v>5.75</v>
      </c>
      <c r="CH27" s="366" t="str">
        <f>IF($AB27&gt;CDS.Tenor,"-",_xlfn.NORM.S.DIST(($CE27-SQRT(ImpliedCorrelation)*CH$3)/SQRT(1-ImpliedCorrelation),TRUE))</f>
        <v>-</v>
      </c>
      <c r="CI27" s="366" t="str">
        <f>IF($AB27&gt;CDS.Tenor,"-",_xlfn.NORM.S.DIST(($CE27-SQRT(ImpliedCorrelation)*CI$3)/SQRT(1-ImpliedCorrelation),TRUE))</f>
        <v>-</v>
      </c>
      <c r="CJ27" s="366" t="str">
        <f>IF($AB27&gt;CDS.Tenor,"-",_xlfn.NORM.S.DIST(($CE27-SQRT(ImpliedCorrelation)*CJ$3)/SQRT(1-ImpliedCorrelation),TRUE))</f>
        <v>-</v>
      </c>
      <c r="CK27" s="366" t="str">
        <f>IF($AB27&gt;CDS.Tenor,"-",_xlfn.NORM.S.DIST(($CE27-SQRT(ImpliedCorrelation)*CK$3)/SQRT(1-ImpliedCorrelation),TRUE))</f>
        <v>-</v>
      </c>
      <c r="CL27" s="366" t="str">
        <f>IF($AB27&gt;CDS.Tenor,"-",_xlfn.NORM.S.DIST(($CE27-SQRT(ImpliedCorrelation)*CL$3)/SQRT(1-ImpliedCorrelation),TRUE))</f>
        <v>-</v>
      </c>
      <c r="CM27" s="366" t="str">
        <f>IF($AB27&gt;CDS.Tenor,"-",_xlfn.NORM.S.DIST(($CE27-SQRT(ImpliedCorrelation)*CM$3)/SQRT(1-ImpliedCorrelation),TRUE))</f>
        <v>-</v>
      </c>
      <c r="CN27" s="366" t="str">
        <f>IF($AB27&gt;CDS.Tenor,"-",_xlfn.NORM.S.DIST(($CE27-SQRT(ImpliedCorrelation)*CN$3)/SQRT(1-ImpliedCorrelation),TRUE))</f>
        <v>-</v>
      </c>
      <c r="CO27" s="366" t="str">
        <f>IF($AB27&gt;CDS.Tenor,"-",_xlfn.NORM.S.DIST(($CE27-SQRT(ImpliedCorrelation)*CO$3)/SQRT(1-ImpliedCorrelation),TRUE))</f>
        <v>-</v>
      </c>
      <c r="CP27" s="366" t="str">
        <f>IF($AB27&gt;CDS.Tenor,"-",_xlfn.NORM.S.DIST(($CE27-SQRT(ImpliedCorrelation)*CP$3)/SQRT(1-ImpliedCorrelation),TRUE))</f>
        <v>-</v>
      </c>
      <c r="CQ27" s="366" t="str">
        <f>IF($AB27&gt;CDS.Tenor,"-",_xlfn.NORM.S.DIST(($CE27-SQRT(ImpliedCorrelation)*CQ$3)/SQRT(1-ImpliedCorrelation),TRUE))</f>
        <v>-</v>
      </c>
      <c r="CR27" s="366" t="str">
        <f>IF($AB27&gt;CDS.Tenor,"-",_xlfn.NORM.S.DIST(($CE27-SQRT(ImpliedCorrelation)*CR$3)/SQRT(1-ImpliedCorrelation),TRUE))</f>
        <v>-</v>
      </c>
      <c r="CS27" s="366" t="str">
        <f>IF($AB27&gt;CDS.Tenor,"-",_xlfn.NORM.S.DIST(($CE27-SQRT(ImpliedCorrelation)*CS$3)/SQRT(1-ImpliedCorrelation),TRUE))</f>
        <v>-</v>
      </c>
      <c r="CT27" s="366" t="str">
        <f>IF($AB27&gt;CDS.Tenor,"-",_xlfn.NORM.S.DIST(($CE27-SQRT(ImpliedCorrelation)*CT$3)/SQRT(1-ImpliedCorrelation),TRUE))</f>
        <v>-</v>
      </c>
      <c r="CU27" s="366" t="str">
        <f>IF($AB27&gt;CDS.Tenor,"-",_xlfn.NORM.S.DIST(($CE27-SQRT(ImpliedCorrelation)*CU$3)/SQRT(1-ImpliedCorrelation),TRUE))</f>
        <v>-</v>
      </c>
      <c r="CV27" s="366" t="str">
        <f>IF($AB27&gt;CDS.Tenor,"-",_xlfn.NORM.S.DIST(($CE27-SQRT(ImpliedCorrelation)*CV$3)/SQRT(1-ImpliedCorrelation),TRUE))</f>
        <v>-</v>
      </c>
      <c r="CW27" s="366" t="str">
        <f>IF($AB27&gt;CDS.Tenor,"-",_xlfn.NORM.S.DIST(($CE27-SQRT(ImpliedCorrelation)*CW$3)/SQRT(1-ImpliedCorrelation),TRUE))</f>
        <v>-</v>
      </c>
      <c r="CX27" s="366" t="str">
        <f>IF($AB27&gt;CDS.Tenor,"-",_xlfn.NORM.S.DIST(($CE27-SQRT(ImpliedCorrelation)*CX$3)/SQRT(1-ImpliedCorrelation),TRUE))</f>
        <v>-</v>
      </c>
      <c r="CY27" s="366" t="str">
        <f>IF($AB27&gt;CDS.Tenor,"-",_xlfn.NORM.S.DIST(($CE27-SQRT(ImpliedCorrelation)*CY$3)/SQRT(1-ImpliedCorrelation),TRUE))</f>
        <v>-</v>
      </c>
      <c r="CZ27" s="366" t="str">
        <f>IF($AB27&gt;CDS.Tenor,"-",_xlfn.NORM.S.DIST(($CE27-SQRT(ImpliedCorrelation)*CZ$3)/SQRT(1-ImpliedCorrelation),TRUE))</f>
        <v>-</v>
      </c>
      <c r="DA27" s="366" t="str">
        <f>IF($AB27&gt;CDS.Tenor,"-",_xlfn.NORM.S.DIST(($CE27-SQRT(ImpliedCorrelation)*DA$3)/SQRT(1-ImpliedCorrelation),TRUE))</f>
        <v>-</v>
      </c>
      <c r="DB27" s="366" t="str">
        <f>IF($AB27&gt;CDS.Tenor,"-",_xlfn.NORM.S.DIST(($CE27-SQRT(ImpliedCorrelation)*DB$3)/SQRT(1-ImpliedCorrelation),TRUE))</f>
        <v>-</v>
      </c>
      <c r="DC27" s="366"/>
      <c r="DD27" s="370">
        <f t="shared" si="114"/>
        <v>5.75</v>
      </c>
      <c r="DE27" s="366" t="str">
        <f>IF($AB27&gt;CDS.Tenor,"-",1-CH27)</f>
        <v>-</v>
      </c>
      <c r="DF27" s="366" t="str">
        <f>IF($AB27&gt;CDS.Tenor,"-",1-CI27)</f>
        <v>-</v>
      </c>
      <c r="DG27" s="366" t="str">
        <f>IF($AB27&gt;CDS.Tenor,"-",1-CJ27)</f>
        <v>-</v>
      </c>
      <c r="DH27" s="366" t="str">
        <f>IF($AB27&gt;CDS.Tenor,"-",1-CK27)</f>
        <v>-</v>
      </c>
      <c r="DI27" s="366" t="str">
        <f>IF($AB27&gt;CDS.Tenor,"-",1-CL27)</f>
        <v>-</v>
      </c>
      <c r="DJ27" s="366" t="str">
        <f>IF($AB27&gt;CDS.Tenor,"-",1-CM27)</f>
        <v>-</v>
      </c>
      <c r="DK27" s="366" t="str">
        <f>IF($AB27&gt;CDS.Tenor,"-",1-CN27)</f>
        <v>-</v>
      </c>
      <c r="DL27" s="366" t="str">
        <f>IF($AB27&gt;CDS.Tenor,"-",1-CO27)</f>
        <v>-</v>
      </c>
      <c r="DM27" s="366" t="str">
        <f>IF($AB27&gt;CDS.Tenor,"-",1-CP27)</f>
        <v>-</v>
      </c>
      <c r="DN27" s="366" t="str">
        <f>IF($AB27&gt;CDS.Tenor,"-",1-CQ27)</f>
        <v>-</v>
      </c>
      <c r="DO27" s="366" t="str">
        <f>IF($AB27&gt;CDS.Tenor,"-",1-CR27)</f>
        <v>-</v>
      </c>
      <c r="DP27" s="366" t="str">
        <f>IF($AB27&gt;CDS.Tenor,"-",1-CS27)</f>
        <v>-</v>
      </c>
      <c r="DQ27" s="366" t="str">
        <f>IF($AB27&gt;CDS.Tenor,"-",1-CT27)</f>
        <v>-</v>
      </c>
      <c r="DR27" s="366" t="str">
        <f>IF($AB27&gt;CDS.Tenor,"-",1-CU27)</f>
        <v>-</v>
      </c>
      <c r="DS27" s="366" t="str">
        <f>IF($AB27&gt;CDS.Tenor,"-",1-CV27)</f>
        <v>-</v>
      </c>
      <c r="DT27" s="366" t="str">
        <f>IF($AB27&gt;CDS.Tenor,"-",1-CW27)</f>
        <v>-</v>
      </c>
      <c r="DU27" s="366" t="str">
        <f>IF($AB27&gt;CDS.Tenor,"-",1-CX27)</f>
        <v>-</v>
      </c>
      <c r="DV27" s="366" t="str">
        <f>IF($AB27&gt;CDS.Tenor,"-",1-CY27)</f>
        <v>-</v>
      </c>
      <c r="DW27" s="366" t="str">
        <f>IF($AB27&gt;CDS.Tenor,"-",1-CZ27)</f>
        <v>-</v>
      </c>
      <c r="DX27" s="366" t="str">
        <f>IF($AB27&gt;CDS.Tenor,"-",1-DA27)</f>
        <v>-</v>
      </c>
      <c r="DY27" s="362" t="str">
        <f>IF($AB27&gt;CDS.Tenor,"-",1-DB27)</f>
        <v>-</v>
      </c>
      <c r="DZ27" s="360"/>
      <c r="EA27" s="352" t="str" cm="1">
        <f t="array" aca="1" ref="EA27" ca="1">IF($AB27&gt;CDS.Tenor,"-",flatInterpolation(CC27,INDIRECT(HazardRateTimes3),INDIRECT(HazardRateValues3)))</f>
        <v>-</v>
      </c>
      <c r="EB27" s="10" t="str">
        <f t="shared" si="115"/>
        <v>-</v>
      </c>
      <c r="EC27" s="10" t="str">
        <f t="shared" si="116"/>
        <v>-</v>
      </c>
      <c r="ED27" s="81" t="str">
        <f t="shared" si="117"/>
        <v>-</v>
      </c>
      <c r="EF27" s="370">
        <f t="shared" si="118"/>
        <v>5.75</v>
      </c>
      <c r="EG27" s="366" t="str">
        <f>IF($AB27&gt;CDS.Tenor,"-",_xlfn.NORM.S.DIST(($ED27-SQRT(ImpliedCorrelation)*EG$3)/SQRT(1-ImpliedCorrelation),TRUE))</f>
        <v>-</v>
      </c>
      <c r="EH27" s="366" t="str">
        <f>IF($AB27&gt;CDS.Tenor,"-",_xlfn.NORM.S.DIST(($ED27-SQRT(ImpliedCorrelation)*EH$3)/SQRT(1-ImpliedCorrelation),TRUE))</f>
        <v>-</v>
      </c>
      <c r="EI27" s="366" t="str">
        <f>IF($AB27&gt;CDS.Tenor,"-",_xlfn.NORM.S.DIST(($ED27-SQRT(ImpliedCorrelation)*EI$3)/SQRT(1-ImpliedCorrelation),TRUE))</f>
        <v>-</v>
      </c>
      <c r="EJ27" s="366" t="str">
        <f>IF($AB27&gt;CDS.Tenor,"-",_xlfn.NORM.S.DIST(($ED27-SQRT(ImpliedCorrelation)*EJ$3)/SQRT(1-ImpliedCorrelation),TRUE))</f>
        <v>-</v>
      </c>
      <c r="EK27" s="366" t="str">
        <f>IF($AB27&gt;CDS.Tenor,"-",_xlfn.NORM.S.DIST(($ED27-SQRT(ImpliedCorrelation)*EK$3)/SQRT(1-ImpliedCorrelation),TRUE))</f>
        <v>-</v>
      </c>
      <c r="EL27" s="366" t="str">
        <f>IF($AB27&gt;CDS.Tenor,"-",_xlfn.NORM.S.DIST(($ED27-SQRT(ImpliedCorrelation)*EL$3)/SQRT(1-ImpliedCorrelation),TRUE))</f>
        <v>-</v>
      </c>
      <c r="EM27" s="366" t="str">
        <f>IF($AB27&gt;CDS.Tenor,"-",_xlfn.NORM.S.DIST(($ED27-SQRT(ImpliedCorrelation)*EM$3)/SQRT(1-ImpliedCorrelation),TRUE))</f>
        <v>-</v>
      </c>
      <c r="EN27" s="366" t="str">
        <f>IF($AB27&gt;CDS.Tenor,"-",_xlfn.NORM.S.DIST(($ED27-SQRT(ImpliedCorrelation)*EN$3)/SQRT(1-ImpliedCorrelation),TRUE))</f>
        <v>-</v>
      </c>
      <c r="EO27" s="366" t="str">
        <f>IF($AB27&gt;CDS.Tenor,"-",_xlfn.NORM.S.DIST(($ED27-SQRT(ImpliedCorrelation)*EO$3)/SQRT(1-ImpliedCorrelation),TRUE))</f>
        <v>-</v>
      </c>
      <c r="EP27" s="366" t="str">
        <f>IF($AB27&gt;CDS.Tenor,"-",_xlfn.NORM.S.DIST(($ED27-SQRT(ImpliedCorrelation)*EP$3)/SQRT(1-ImpliedCorrelation),TRUE))</f>
        <v>-</v>
      </c>
      <c r="EQ27" s="366" t="str">
        <f>IF($AB27&gt;CDS.Tenor,"-",_xlfn.NORM.S.DIST(($ED27-SQRT(ImpliedCorrelation)*EQ$3)/SQRT(1-ImpliedCorrelation),TRUE))</f>
        <v>-</v>
      </c>
      <c r="ER27" s="366" t="str">
        <f>IF($AB27&gt;CDS.Tenor,"-",_xlfn.NORM.S.DIST(($ED27-SQRT(ImpliedCorrelation)*ER$3)/SQRT(1-ImpliedCorrelation),TRUE))</f>
        <v>-</v>
      </c>
      <c r="ES27" s="366" t="str">
        <f>IF($AB27&gt;CDS.Tenor,"-",_xlfn.NORM.S.DIST(($ED27-SQRT(ImpliedCorrelation)*ES$3)/SQRT(1-ImpliedCorrelation),TRUE))</f>
        <v>-</v>
      </c>
      <c r="ET27" s="366" t="str">
        <f>IF($AB27&gt;CDS.Tenor,"-",_xlfn.NORM.S.DIST(($ED27-SQRT(ImpliedCorrelation)*ET$3)/SQRT(1-ImpliedCorrelation),TRUE))</f>
        <v>-</v>
      </c>
      <c r="EU27" s="366" t="str">
        <f>IF($AB27&gt;CDS.Tenor,"-",_xlfn.NORM.S.DIST(($ED27-SQRT(ImpliedCorrelation)*EU$3)/SQRT(1-ImpliedCorrelation),TRUE))</f>
        <v>-</v>
      </c>
      <c r="EV27" s="366" t="str">
        <f>IF($AB27&gt;CDS.Tenor,"-",_xlfn.NORM.S.DIST(($ED27-SQRT(ImpliedCorrelation)*EV$3)/SQRT(1-ImpliedCorrelation),TRUE))</f>
        <v>-</v>
      </c>
      <c r="EW27" s="366" t="str">
        <f>IF($AB27&gt;CDS.Tenor,"-",_xlfn.NORM.S.DIST(($ED27-SQRT(ImpliedCorrelation)*EW$3)/SQRT(1-ImpliedCorrelation),TRUE))</f>
        <v>-</v>
      </c>
      <c r="EX27" s="366" t="str">
        <f>IF($AB27&gt;CDS.Tenor,"-",_xlfn.NORM.S.DIST(($ED27-SQRT(ImpliedCorrelation)*EX$3)/SQRT(1-ImpliedCorrelation),TRUE))</f>
        <v>-</v>
      </c>
      <c r="EY27" s="366" t="str">
        <f>IF($AB27&gt;CDS.Tenor,"-",_xlfn.NORM.S.DIST(($ED27-SQRT(ImpliedCorrelation)*EY$3)/SQRT(1-ImpliedCorrelation),TRUE))</f>
        <v>-</v>
      </c>
      <c r="EZ27" s="366" t="str">
        <f>IF($AB27&gt;CDS.Tenor,"-",_xlfn.NORM.S.DIST(($ED27-SQRT(ImpliedCorrelation)*EZ$3)/SQRT(1-ImpliedCorrelation),TRUE))</f>
        <v>-</v>
      </c>
      <c r="FA27" s="366" t="str">
        <f>IF($AB27&gt;CDS.Tenor,"-",_xlfn.NORM.S.DIST(($ED27-SQRT(ImpliedCorrelation)*FA$3)/SQRT(1-ImpliedCorrelation),TRUE))</f>
        <v>-</v>
      </c>
      <c r="FB27" s="366"/>
      <c r="FC27" s="370">
        <f t="shared" si="119"/>
        <v>5.75</v>
      </c>
      <c r="FD27" s="366" t="str">
        <f>IF($AB27&gt;CDS.Tenor,"-",1-EG27)</f>
        <v>-</v>
      </c>
      <c r="FE27" s="366" t="str">
        <f>IF($AB27&gt;CDS.Tenor,"-",1-EH27)</f>
        <v>-</v>
      </c>
      <c r="FF27" s="366" t="str">
        <f>IF($AB27&gt;CDS.Tenor,"-",1-EI27)</f>
        <v>-</v>
      </c>
      <c r="FG27" s="366" t="str">
        <f>IF($AB27&gt;CDS.Tenor,"-",1-EJ27)</f>
        <v>-</v>
      </c>
      <c r="FH27" s="366" t="str">
        <f>IF($AB27&gt;CDS.Tenor,"-",1-EK27)</f>
        <v>-</v>
      </c>
      <c r="FI27" s="366" t="str">
        <f>IF($AB27&gt;CDS.Tenor,"-",1-EL27)</f>
        <v>-</v>
      </c>
      <c r="FJ27" s="366" t="str">
        <f>IF($AB27&gt;CDS.Tenor,"-",1-EM27)</f>
        <v>-</v>
      </c>
      <c r="FK27" s="366" t="str">
        <f>IF($AB27&gt;CDS.Tenor,"-",1-EN27)</f>
        <v>-</v>
      </c>
      <c r="FL27" s="366" t="str">
        <f>IF($AB27&gt;CDS.Tenor,"-",1-EO27)</f>
        <v>-</v>
      </c>
      <c r="FM27" s="366" t="str">
        <f>IF($AB27&gt;CDS.Tenor,"-",1-EP27)</f>
        <v>-</v>
      </c>
      <c r="FN27" s="366" t="str">
        <f>IF($AB27&gt;CDS.Tenor,"-",1-EQ27)</f>
        <v>-</v>
      </c>
      <c r="FO27" s="366" t="str">
        <f>IF($AB27&gt;CDS.Tenor,"-",1-ER27)</f>
        <v>-</v>
      </c>
      <c r="FP27" s="366" t="str">
        <f>IF($AB27&gt;CDS.Tenor,"-",1-ES27)</f>
        <v>-</v>
      </c>
      <c r="FQ27" s="366" t="str">
        <f>IF($AB27&gt;CDS.Tenor,"-",1-ET27)</f>
        <v>-</v>
      </c>
      <c r="FR27" s="366" t="str">
        <f>IF($AB27&gt;CDS.Tenor,"-",1-EU27)</f>
        <v>-</v>
      </c>
      <c r="FS27" s="366" t="str">
        <f>IF($AB27&gt;CDS.Tenor,"-",1-EV27)</f>
        <v>-</v>
      </c>
      <c r="FT27" s="366" t="str">
        <f>IF($AB27&gt;CDS.Tenor,"-",1-EW27)</f>
        <v>-</v>
      </c>
      <c r="FU27" s="366" t="str">
        <f>IF($AB27&gt;CDS.Tenor,"-",1-EX27)</f>
        <v>-</v>
      </c>
      <c r="FV27" s="366" t="str">
        <f>IF($AB27&gt;CDS.Tenor,"-",1-EY27)</f>
        <v>-</v>
      </c>
      <c r="FW27" s="366" t="str">
        <f>IF($AB27&gt;CDS.Tenor,"-",1-EZ27)</f>
        <v>-</v>
      </c>
      <c r="FX27" s="362" t="str">
        <f>IF($AB27&gt;CDS.Tenor,"-",1-FA27)</f>
        <v>-</v>
      </c>
      <c r="FZ27" s="370">
        <f t="shared" si="120"/>
        <v>5.75</v>
      </c>
      <c r="GA27" s="366" t="str">
        <f>IF($AB27&gt;CDS.Tenor,"-",BF27*DE27*FD27)</f>
        <v>-</v>
      </c>
      <c r="GB27" s="366" t="str">
        <f>IF($AB27&gt;CDS.Tenor,"-",BG27*DF27*FE27)</f>
        <v>-</v>
      </c>
      <c r="GC27" s="366" t="str">
        <f>IF($AB27&gt;CDS.Tenor,"-",BH27*DG27*FF27)</f>
        <v>-</v>
      </c>
      <c r="GD27" s="366" t="str">
        <f>IF($AB27&gt;CDS.Tenor,"-",BI27*DH27*FG27)</f>
        <v>-</v>
      </c>
      <c r="GE27" s="366" t="str">
        <f>IF($AB27&gt;CDS.Tenor,"-",BJ27*DI27*FH27)</f>
        <v>-</v>
      </c>
      <c r="GF27" s="366" t="str">
        <f>IF($AB27&gt;CDS.Tenor,"-",BK27*DJ27*FI27)</f>
        <v>-</v>
      </c>
      <c r="GG27" s="366" t="str">
        <f>IF($AB27&gt;CDS.Tenor,"-",BL27*DK27*FJ27)</f>
        <v>-</v>
      </c>
      <c r="GH27" s="366" t="str">
        <f>IF($AB27&gt;CDS.Tenor,"-",BM27*DL27*FK27)</f>
        <v>-</v>
      </c>
      <c r="GI27" s="366" t="str">
        <f>IF($AB27&gt;CDS.Tenor,"-",BN27*DM27*FL27)</f>
        <v>-</v>
      </c>
      <c r="GJ27" s="366" t="str">
        <f>IF($AB27&gt;CDS.Tenor,"-",BO27*DN27*FM27)</f>
        <v>-</v>
      </c>
      <c r="GK27" s="366" t="str">
        <f>IF($AB27&gt;CDS.Tenor,"-",BP27*DO27*FN27)</f>
        <v>-</v>
      </c>
      <c r="GL27" s="366" t="str">
        <f>IF($AB27&gt;CDS.Tenor,"-",BQ27*DP27*FO27)</f>
        <v>-</v>
      </c>
      <c r="GM27" s="366" t="str">
        <f>IF($AB27&gt;CDS.Tenor,"-",BR27*DQ27*FP27)</f>
        <v>-</v>
      </c>
      <c r="GN27" s="366" t="str">
        <f>IF($AB27&gt;CDS.Tenor,"-",BS27*DR27*FQ27)</f>
        <v>-</v>
      </c>
      <c r="GO27" s="366" t="str">
        <f>IF($AB27&gt;CDS.Tenor,"-",BT27*DS27*FR27)</f>
        <v>-</v>
      </c>
      <c r="GP27" s="366" t="str">
        <f>IF($AB27&gt;CDS.Tenor,"-",BU27*DT27*FS27)</f>
        <v>-</v>
      </c>
      <c r="GQ27" s="366" t="str">
        <f>IF($AB27&gt;CDS.Tenor,"-",BV27*DU27*FT27)</f>
        <v>-</v>
      </c>
      <c r="GR27" s="366" t="str">
        <f>IF($AB27&gt;CDS.Tenor,"-",BW27*DV27*FU27)</f>
        <v>-</v>
      </c>
      <c r="GS27" s="366" t="str">
        <f>IF($AB27&gt;CDS.Tenor,"-",BX27*DW27*FV27)</f>
        <v>-</v>
      </c>
      <c r="GT27" s="366" t="str">
        <f>IF($AB27&gt;CDS.Tenor,"-",BY27*DX27*FW27)</f>
        <v>-</v>
      </c>
      <c r="GU27" s="362" t="str">
        <f>IF($AB27&gt;CDS.Tenor,"-",BZ27*DY27*FX27)</f>
        <v>-</v>
      </c>
      <c r="GV27" s="42"/>
      <c r="GW27" s="370">
        <f t="shared" si="121"/>
        <v>5.75</v>
      </c>
      <c r="GX27" s="378" t="str">
        <f>IF($AB27&gt;CDS.Tenor,"-",SUMPRODUCT($GA27:$GU27,$GA$4:$GU$4)*dm)</f>
        <v>-</v>
      </c>
      <c r="GY27" s="381" t="str">
        <f>IF($AB27&gt;CDS.Tenor,"-",GX26-GX27)</f>
        <v>-</v>
      </c>
    </row>
    <row r="28" spans="2:207" x14ac:dyDescent="0.3">
      <c r="J28" s="156">
        <f t="shared" si="103"/>
        <v>6</v>
      </c>
      <c r="K28" s="28" t="str">
        <f>IF($J28&gt;CDS.Tenor,"-",CDS.PremiumSign*CDS.Notional*CDS.YearFraction*CDS.CreditSpread)</f>
        <v>-</v>
      </c>
      <c r="L28" s="10" t="str">
        <f>GX28</f>
        <v>-</v>
      </c>
      <c r="M28" s="10" t="str">
        <f>IF($J28&gt;CDS.Tenor,"-",L27-L28)</f>
        <v>-</v>
      </c>
      <c r="N28" s="94" t="str" cm="1">
        <f t="array" ref="N28">IF($J28&gt;CDS.Tenor,"-",cubicInterpolation(CurveResults.Times,CurveResults.DFs,$J28))</f>
        <v>-</v>
      </c>
      <c r="O28" s="28" t="str">
        <f>IF($J28&gt;CDS.Tenor,"-",K28*L28*N28)</f>
        <v>-</v>
      </c>
      <c r="P28" s="28" t="str">
        <f>IF($J28&gt;CDS.Tenor,"-",0.5*K28*M28*N28)</f>
        <v>-</v>
      </c>
      <c r="Q28" s="142" t="str">
        <f>IF($J28&gt;CDS.Tenor,"-",O28+P28)</f>
        <v>-</v>
      </c>
      <c r="T28" s="156">
        <f t="shared" si="104"/>
        <v>6</v>
      </c>
      <c r="U28" s="28" t="str">
        <f>IF($J28&gt;CDS.Tenor,"-",CDS.ProtectionSign*CDS.Notional*(1-CDS.RecoveryRate))</f>
        <v>-</v>
      </c>
      <c r="V28" s="10" t="str">
        <f>IF($J28&gt;CDS.Tenor,"-",GX28)</f>
        <v>-</v>
      </c>
      <c r="W28" s="10" t="str">
        <f>IF($J28&gt;CDS.Tenor,"-",V27-V28)</f>
        <v>-</v>
      </c>
      <c r="X28" s="94" t="str" cm="1">
        <f t="array" ref="X28">IF($T28&gt;CDS.Tenor,"-",cubicInterpolation(CurveResults.Times,CurveResults.DFs,$J28))</f>
        <v>-</v>
      </c>
      <c r="Y28" s="142" t="str">
        <f>IF($J28&gt;CDS.Tenor,"-",U28*W28*X28)</f>
        <v>-</v>
      </c>
      <c r="AB28" s="156">
        <f t="shared" si="105"/>
        <v>6</v>
      </c>
      <c r="AC28" s="352" t="str" cm="1">
        <f t="array" aca="1" ref="AC28" ca="1">IF($AB28&gt;CDS.Tenor,"-",flatInterpolation(AA28,INDIRECT(HazardRateTimes1),INDIRECT(HazardRateValues1)))</f>
        <v>-</v>
      </c>
      <c r="AD28" s="10" t="str">
        <f t="shared" si="106"/>
        <v>-</v>
      </c>
      <c r="AE28" s="10" t="str">
        <f t="shared" si="107"/>
        <v>-</v>
      </c>
      <c r="AF28" s="360" t="str">
        <f>IF($AB28&gt;CDS.Tenor,"-",NORMSINV(AE28))</f>
        <v>-</v>
      </c>
      <c r="AG28" s="360"/>
      <c r="AH28" s="370">
        <f t="shared" si="108"/>
        <v>6</v>
      </c>
      <c r="AI28" s="366" t="str">
        <f>IF($AB28&gt;CDS.Tenor,"-",_xlfn.NORM.S.DIST(($AF28-SQRT(ImpliedCorrelation)*AI$3)/SQRT(1-ImpliedCorrelation),TRUE))</f>
        <v>-</v>
      </c>
      <c r="AJ28" s="366" t="str">
        <f>IF($AB28&gt;CDS.Tenor,"-",_xlfn.NORM.S.DIST(($AF28-SQRT(ImpliedCorrelation)*AJ$3)/SQRT(1-ImpliedCorrelation),TRUE))</f>
        <v>-</v>
      </c>
      <c r="AK28" s="366" t="str">
        <f>IF($AB28&gt;CDS.Tenor,"-",_xlfn.NORM.S.DIST(($AF28-SQRT(ImpliedCorrelation)*AK$3)/SQRT(1-ImpliedCorrelation),TRUE))</f>
        <v>-</v>
      </c>
      <c r="AL28" s="366" t="str">
        <f>IF($AB28&gt;CDS.Tenor,"-",_xlfn.NORM.S.DIST(($AF28-SQRT(ImpliedCorrelation)*AL$3)/SQRT(1-ImpliedCorrelation),TRUE))</f>
        <v>-</v>
      </c>
      <c r="AM28" s="366" t="str">
        <f>IF($AB28&gt;CDS.Tenor,"-",_xlfn.NORM.S.DIST(($AF28-SQRT(ImpliedCorrelation)*AM$3)/SQRT(1-ImpliedCorrelation),TRUE))</f>
        <v>-</v>
      </c>
      <c r="AN28" s="366" t="str">
        <f>IF($AB28&gt;CDS.Tenor,"-",_xlfn.NORM.S.DIST(($AF28-SQRT(ImpliedCorrelation)*AN$3)/SQRT(1-ImpliedCorrelation),TRUE))</f>
        <v>-</v>
      </c>
      <c r="AO28" s="366" t="str">
        <f>IF($AB28&gt;CDS.Tenor,"-",_xlfn.NORM.S.DIST(($AF28-SQRT(ImpliedCorrelation)*AO$3)/SQRT(1-ImpliedCorrelation),TRUE))</f>
        <v>-</v>
      </c>
      <c r="AP28" s="366" t="str">
        <f>IF($AB28&gt;CDS.Tenor,"-",_xlfn.NORM.S.DIST(($AF28-SQRT(ImpliedCorrelation)*AP$3)/SQRT(1-ImpliedCorrelation),TRUE))</f>
        <v>-</v>
      </c>
      <c r="AQ28" s="366" t="str">
        <f>IF($AB28&gt;CDS.Tenor,"-",_xlfn.NORM.S.DIST(($AF28-SQRT(ImpliedCorrelation)*AQ$3)/SQRT(1-ImpliedCorrelation),TRUE))</f>
        <v>-</v>
      </c>
      <c r="AR28" s="366" t="str">
        <f>IF($AB28&gt;CDS.Tenor,"-",_xlfn.NORM.S.DIST(($AF28-SQRT(ImpliedCorrelation)*AR$3)/SQRT(1-ImpliedCorrelation),TRUE))</f>
        <v>-</v>
      </c>
      <c r="AS28" s="366" t="str">
        <f>IF($AB28&gt;CDS.Tenor,"-",_xlfn.NORM.S.DIST(($AF28-SQRT(ImpliedCorrelation)*AS$3)/SQRT(1-ImpliedCorrelation),TRUE))</f>
        <v>-</v>
      </c>
      <c r="AT28" s="366" t="str">
        <f>IF($AB28&gt;CDS.Tenor,"-",_xlfn.NORM.S.DIST(($AF28-SQRT(ImpliedCorrelation)*AT$3)/SQRT(1-ImpliedCorrelation),TRUE))</f>
        <v>-</v>
      </c>
      <c r="AU28" s="366" t="str">
        <f>IF($AB28&gt;CDS.Tenor,"-",_xlfn.NORM.S.DIST(($AF28-SQRT(ImpliedCorrelation)*AU$3)/SQRT(1-ImpliedCorrelation),TRUE))</f>
        <v>-</v>
      </c>
      <c r="AV28" s="366" t="str">
        <f>IF($AB28&gt;CDS.Tenor,"-",_xlfn.NORM.S.DIST(($AF28-SQRT(ImpliedCorrelation)*AV$3)/SQRT(1-ImpliedCorrelation),TRUE))</f>
        <v>-</v>
      </c>
      <c r="AW28" s="366" t="str">
        <f>IF($AB28&gt;CDS.Tenor,"-",_xlfn.NORM.S.DIST(($AF28-SQRT(ImpliedCorrelation)*AW$3)/SQRT(1-ImpliedCorrelation),TRUE))</f>
        <v>-</v>
      </c>
      <c r="AX28" s="366" t="str">
        <f>IF($AB28&gt;CDS.Tenor,"-",_xlfn.NORM.S.DIST(($AF28-SQRT(ImpliedCorrelation)*AX$3)/SQRT(1-ImpliedCorrelation),TRUE))</f>
        <v>-</v>
      </c>
      <c r="AY28" s="366" t="str">
        <f>IF($AB28&gt;CDS.Tenor,"-",_xlfn.NORM.S.DIST(($AF28-SQRT(ImpliedCorrelation)*AY$3)/SQRT(1-ImpliedCorrelation),TRUE))</f>
        <v>-</v>
      </c>
      <c r="AZ28" s="366" t="str">
        <f>IF($AB28&gt;CDS.Tenor,"-",_xlfn.NORM.S.DIST(($AF28-SQRT(ImpliedCorrelation)*AZ$3)/SQRT(1-ImpliedCorrelation),TRUE))</f>
        <v>-</v>
      </c>
      <c r="BA28" s="366" t="str">
        <f>IF($AB28&gt;CDS.Tenor,"-",_xlfn.NORM.S.DIST(($AF28-SQRT(ImpliedCorrelation)*BA$3)/SQRT(1-ImpliedCorrelation),TRUE))</f>
        <v>-</v>
      </c>
      <c r="BB28" s="366" t="str">
        <f>IF($AB28&gt;CDS.Tenor,"-",_xlfn.NORM.S.DIST(($AF28-SQRT(ImpliedCorrelation)*BB$3)/SQRT(1-ImpliedCorrelation),TRUE))</f>
        <v>-</v>
      </c>
      <c r="BC28" s="366" t="str">
        <f>IF($AB28&gt;CDS.Tenor,"-",_xlfn.NORM.S.DIST(($AF28-SQRT(ImpliedCorrelation)*BC$3)/SQRT(1-ImpliedCorrelation),TRUE))</f>
        <v>-</v>
      </c>
      <c r="BD28" s="366"/>
      <c r="BE28" s="370">
        <f t="shared" si="109"/>
        <v>6</v>
      </c>
      <c r="BF28" s="366" t="str">
        <f>IF($AB28&gt;CDS.Tenor,"-",1-AI28)</f>
        <v>-</v>
      </c>
      <c r="BG28" s="366" t="str">
        <f>IF($AB28&gt;CDS.Tenor,"-",1-AJ28)</f>
        <v>-</v>
      </c>
      <c r="BH28" s="366" t="str">
        <f>IF($AB28&gt;CDS.Tenor,"-",1-AK28)</f>
        <v>-</v>
      </c>
      <c r="BI28" s="366" t="str">
        <f>IF($AB28&gt;CDS.Tenor,"-",1-AL28)</f>
        <v>-</v>
      </c>
      <c r="BJ28" s="366" t="str">
        <f>IF($AB28&gt;CDS.Tenor,"-",1-AM28)</f>
        <v>-</v>
      </c>
      <c r="BK28" s="366" t="str">
        <f>IF($AB28&gt;CDS.Tenor,"-",1-AN28)</f>
        <v>-</v>
      </c>
      <c r="BL28" s="366" t="str">
        <f>IF($AB28&gt;CDS.Tenor,"-",1-AO28)</f>
        <v>-</v>
      </c>
      <c r="BM28" s="366" t="str">
        <f>IF($AB28&gt;CDS.Tenor,"-",1-AP28)</f>
        <v>-</v>
      </c>
      <c r="BN28" s="366" t="str">
        <f>IF($AB28&gt;CDS.Tenor,"-",1-AQ28)</f>
        <v>-</v>
      </c>
      <c r="BO28" s="366" t="str">
        <f>IF($AB28&gt;CDS.Tenor,"-",1-AR28)</f>
        <v>-</v>
      </c>
      <c r="BP28" s="366" t="str">
        <f>IF($AB28&gt;CDS.Tenor,"-",1-AS28)</f>
        <v>-</v>
      </c>
      <c r="BQ28" s="366" t="str">
        <f>IF($AB28&gt;CDS.Tenor,"-",1-AT28)</f>
        <v>-</v>
      </c>
      <c r="BR28" s="366" t="str">
        <f>IF($AB28&gt;CDS.Tenor,"-",1-AU28)</f>
        <v>-</v>
      </c>
      <c r="BS28" s="366" t="str">
        <f>IF($AB28&gt;CDS.Tenor,"-",1-AV28)</f>
        <v>-</v>
      </c>
      <c r="BT28" s="366" t="str">
        <f>IF($AB28&gt;CDS.Tenor,"-",1-AW28)</f>
        <v>-</v>
      </c>
      <c r="BU28" s="366" t="str">
        <f>IF($AB28&gt;CDS.Tenor,"-",1-AX28)</f>
        <v>-</v>
      </c>
      <c r="BV28" s="366" t="str">
        <f>IF($AB28&gt;CDS.Tenor,"-",1-AY28)</f>
        <v>-</v>
      </c>
      <c r="BW28" s="366" t="str">
        <f>IF($AB28&gt;CDS.Tenor,"-",1-AZ28)</f>
        <v>-</v>
      </c>
      <c r="BX28" s="366" t="str">
        <f>IF($AB28&gt;CDS.Tenor,"-",1-BA28)</f>
        <v>-</v>
      </c>
      <c r="BY28" s="366" t="str">
        <f>IF($AB28&gt;CDS.Tenor,"-",1-BB28)</f>
        <v>-</v>
      </c>
      <c r="BZ28" s="366" t="str">
        <f>IF($AB28&gt;CDS.Tenor,"-",1-BC28)</f>
        <v>-</v>
      </c>
      <c r="CA28" s="17"/>
      <c r="CB28" s="352" t="str" cm="1">
        <f t="array" aca="1" ref="CB28" ca="1">IF($AB28&gt;CDS.Tenor,"-",flatInterpolation(AB28,INDIRECT(HazardRateTimes2),INDIRECT(HazardRateValues2)))</f>
        <v>-</v>
      </c>
      <c r="CC28" s="10" t="str">
        <f t="shared" si="110"/>
        <v>-</v>
      </c>
      <c r="CD28" s="10" t="str">
        <f t="shared" si="111"/>
        <v>-</v>
      </c>
      <c r="CE28" s="81" t="str">
        <f t="shared" si="112"/>
        <v>-</v>
      </c>
      <c r="CF28" s="360"/>
      <c r="CG28" s="370">
        <f t="shared" si="113"/>
        <v>6</v>
      </c>
      <c r="CH28" s="366" t="str">
        <f>IF($AB28&gt;CDS.Tenor,"-",_xlfn.NORM.S.DIST(($CE28-SQRT(ImpliedCorrelation)*CH$3)/SQRT(1-ImpliedCorrelation),TRUE))</f>
        <v>-</v>
      </c>
      <c r="CI28" s="366" t="str">
        <f>IF($AB28&gt;CDS.Tenor,"-",_xlfn.NORM.S.DIST(($CE28-SQRT(ImpliedCorrelation)*CI$3)/SQRT(1-ImpliedCorrelation),TRUE))</f>
        <v>-</v>
      </c>
      <c r="CJ28" s="366" t="str">
        <f>IF($AB28&gt;CDS.Tenor,"-",_xlfn.NORM.S.DIST(($CE28-SQRT(ImpliedCorrelation)*CJ$3)/SQRT(1-ImpliedCorrelation),TRUE))</f>
        <v>-</v>
      </c>
      <c r="CK28" s="366" t="str">
        <f>IF($AB28&gt;CDS.Tenor,"-",_xlfn.NORM.S.DIST(($CE28-SQRT(ImpliedCorrelation)*CK$3)/SQRT(1-ImpliedCorrelation),TRUE))</f>
        <v>-</v>
      </c>
      <c r="CL28" s="366" t="str">
        <f>IF($AB28&gt;CDS.Tenor,"-",_xlfn.NORM.S.DIST(($CE28-SQRT(ImpliedCorrelation)*CL$3)/SQRT(1-ImpliedCorrelation),TRUE))</f>
        <v>-</v>
      </c>
      <c r="CM28" s="366" t="str">
        <f>IF($AB28&gt;CDS.Tenor,"-",_xlfn.NORM.S.DIST(($CE28-SQRT(ImpliedCorrelation)*CM$3)/SQRT(1-ImpliedCorrelation),TRUE))</f>
        <v>-</v>
      </c>
      <c r="CN28" s="366" t="str">
        <f>IF($AB28&gt;CDS.Tenor,"-",_xlfn.NORM.S.DIST(($CE28-SQRT(ImpliedCorrelation)*CN$3)/SQRT(1-ImpliedCorrelation),TRUE))</f>
        <v>-</v>
      </c>
      <c r="CO28" s="366" t="str">
        <f>IF($AB28&gt;CDS.Tenor,"-",_xlfn.NORM.S.DIST(($CE28-SQRT(ImpliedCorrelation)*CO$3)/SQRT(1-ImpliedCorrelation),TRUE))</f>
        <v>-</v>
      </c>
      <c r="CP28" s="366" t="str">
        <f>IF($AB28&gt;CDS.Tenor,"-",_xlfn.NORM.S.DIST(($CE28-SQRT(ImpliedCorrelation)*CP$3)/SQRT(1-ImpliedCorrelation),TRUE))</f>
        <v>-</v>
      </c>
      <c r="CQ28" s="366" t="str">
        <f>IF($AB28&gt;CDS.Tenor,"-",_xlfn.NORM.S.DIST(($CE28-SQRT(ImpliedCorrelation)*CQ$3)/SQRT(1-ImpliedCorrelation),TRUE))</f>
        <v>-</v>
      </c>
      <c r="CR28" s="366" t="str">
        <f>IF($AB28&gt;CDS.Tenor,"-",_xlfn.NORM.S.DIST(($CE28-SQRT(ImpliedCorrelation)*CR$3)/SQRT(1-ImpliedCorrelation),TRUE))</f>
        <v>-</v>
      </c>
      <c r="CS28" s="366" t="str">
        <f>IF($AB28&gt;CDS.Tenor,"-",_xlfn.NORM.S.DIST(($CE28-SQRT(ImpliedCorrelation)*CS$3)/SQRT(1-ImpliedCorrelation),TRUE))</f>
        <v>-</v>
      </c>
      <c r="CT28" s="366" t="str">
        <f>IF($AB28&gt;CDS.Tenor,"-",_xlfn.NORM.S.DIST(($CE28-SQRT(ImpliedCorrelation)*CT$3)/SQRT(1-ImpliedCorrelation),TRUE))</f>
        <v>-</v>
      </c>
      <c r="CU28" s="366" t="str">
        <f>IF($AB28&gt;CDS.Tenor,"-",_xlfn.NORM.S.DIST(($CE28-SQRT(ImpliedCorrelation)*CU$3)/SQRT(1-ImpliedCorrelation),TRUE))</f>
        <v>-</v>
      </c>
      <c r="CV28" s="366" t="str">
        <f>IF($AB28&gt;CDS.Tenor,"-",_xlfn.NORM.S.DIST(($CE28-SQRT(ImpliedCorrelation)*CV$3)/SQRT(1-ImpliedCorrelation),TRUE))</f>
        <v>-</v>
      </c>
      <c r="CW28" s="366" t="str">
        <f>IF($AB28&gt;CDS.Tenor,"-",_xlfn.NORM.S.DIST(($CE28-SQRT(ImpliedCorrelation)*CW$3)/SQRT(1-ImpliedCorrelation),TRUE))</f>
        <v>-</v>
      </c>
      <c r="CX28" s="366" t="str">
        <f>IF($AB28&gt;CDS.Tenor,"-",_xlfn.NORM.S.DIST(($CE28-SQRT(ImpliedCorrelation)*CX$3)/SQRT(1-ImpliedCorrelation),TRUE))</f>
        <v>-</v>
      </c>
      <c r="CY28" s="366" t="str">
        <f>IF($AB28&gt;CDS.Tenor,"-",_xlfn.NORM.S.DIST(($CE28-SQRT(ImpliedCorrelation)*CY$3)/SQRT(1-ImpliedCorrelation),TRUE))</f>
        <v>-</v>
      </c>
      <c r="CZ28" s="366" t="str">
        <f>IF($AB28&gt;CDS.Tenor,"-",_xlfn.NORM.S.DIST(($CE28-SQRT(ImpliedCorrelation)*CZ$3)/SQRT(1-ImpliedCorrelation),TRUE))</f>
        <v>-</v>
      </c>
      <c r="DA28" s="366" t="str">
        <f>IF($AB28&gt;CDS.Tenor,"-",_xlfn.NORM.S.DIST(($CE28-SQRT(ImpliedCorrelation)*DA$3)/SQRT(1-ImpliedCorrelation),TRUE))</f>
        <v>-</v>
      </c>
      <c r="DB28" s="366" t="str">
        <f>IF($AB28&gt;CDS.Tenor,"-",_xlfn.NORM.S.DIST(($CE28-SQRT(ImpliedCorrelation)*DB$3)/SQRT(1-ImpliedCorrelation),TRUE))</f>
        <v>-</v>
      </c>
      <c r="DC28" s="366"/>
      <c r="DD28" s="370">
        <f t="shared" si="114"/>
        <v>6</v>
      </c>
      <c r="DE28" s="366" t="str">
        <f>IF($AB28&gt;CDS.Tenor,"-",1-CH28)</f>
        <v>-</v>
      </c>
      <c r="DF28" s="366" t="str">
        <f>IF($AB28&gt;CDS.Tenor,"-",1-CI28)</f>
        <v>-</v>
      </c>
      <c r="DG28" s="366" t="str">
        <f>IF($AB28&gt;CDS.Tenor,"-",1-CJ28)</f>
        <v>-</v>
      </c>
      <c r="DH28" s="366" t="str">
        <f>IF($AB28&gt;CDS.Tenor,"-",1-CK28)</f>
        <v>-</v>
      </c>
      <c r="DI28" s="366" t="str">
        <f>IF($AB28&gt;CDS.Tenor,"-",1-CL28)</f>
        <v>-</v>
      </c>
      <c r="DJ28" s="366" t="str">
        <f>IF($AB28&gt;CDS.Tenor,"-",1-CM28)</f>
        <v>-</v>
      </c>
      <c r="DK28" s="366" t="str">
        <f>IF($AB28&gt;CDS.Tenor,"-",1-CN28)</f>
        <v>-</v>
      </c>
      <c r="DL28" s="366" t="str">
        <f>IF($AB28&gt;CDS.Tenor,"-",1-CO28)</f>
        <v>-</v>
      </c>
      <c r="DM28" s="366" t="str">
        <f>IF($AB28&gt;CDS.Tenor,"-",1-CP28)</f>
        <v>-</v>
      </c>
      <c r="DN28" s="366" t="str">
        <f>IF($AB28&gt;CDS.Tenor,"-",1-CQ28)</f>
        <v>-</v>
      </c>
      <c r="DO28" s="366" t="str">
        <f>IF($AB28&gt;CDS.Tenor,"-",1-CR28)</f>
        <v>-</v>
      </c>
      <c r="DP28" s="366" t="str">
        <f>IF($AB28&gt;CDS.Tenor,"-",1-CS28)</f>
        <v>-</v>
      </c>
      <c r="DQ28" s="366" t="str">
        <f>IF($AB28&gt;CDS.Tenor,"-",1-CT28)</f>
        <v>-</v>
      </c>
      <c r="DR28" s="366" t="str">
        <f>IF($AB28&gt;CDS.Tenor,"-",1-CU28)</f>
        <v>-</v>
      </c>
      <c r="DS28" s="366" t="str">
        <f>IF($AB28&gt;CDS.Tenor,"-",1-CV28)</f>
        <v>-</v>
      </c>
      <c r="DT28" s="366" t="str">
        <f>IF($AB28&gt;CDS.Tenor,"-",1-CW28)</f>
        <v>-</v>
      </c>
      <c r="DU28" s="366" t="str">
        <f>IF($AB28&gt;CDS.Tenor,"-",1-CX28)</f>
        <v>-</v>
      </c>
      <c r="DV28" s="366" t="str">
        <f>IF($AB28&gt;CDS.Tenor,"-",1-CY28)</f>
        <v>-</v>
      </c>
      <c r="DW28" s="366" t="str">
        <f>IF($AB28&gt;CDS.Tenor,"-",1-CZ28)</f>
        <v>-</v>
      </c>
      <c r="DX28" s="366" t="str">
        <f>IF($AB28&gt;CDS.Tenor,"-",1-DA28)</f>
        <v>-</v>
      </c>
      <c r="DY28" s="362" t="str">
        <f>IF($AB28&gt;CDS.Tenor,"-",1-DB28)</f>
        <v>-</v>
      </c>
      <c r="DZ28" s="360"/>
      <c r="EA28" s="352" t="str" cm="1">
        <f t="array" aca="1" ref="EA28" ca="1">IF($AB28&gt;CDS.Tenor,"-",flatInterpolation(CC28,INDIRECT(HazardRateTimes3),INDIRECT(HazardRateValues3)))</f>
        <v>-</v>
      </c>
      <c r="EB28" s="10" t="str">
        <f t="shared" si="115"/>
        <v>-</v>
      </c>
      <c r="EC28" s="10" t="str">
        <f t="shared" si="116"/>
        <v>-</v>
      </c>
      <c r="ED28" s="81" t="str">
        <f t="shared" si="117"/>
        <v>-</v>
      </c>
      <c r="EF28" s="370">
        <f t="shared" si="118"/>
        <v>6</v>
      </c>
      <c r="EG28" s="366" t="str">
        <f>IF($AB28&gt;CDS.Tenor,"-",_xlfn.NORM.S.DIST(($ED28-SQRT(ImpliedCorrelation)*EG$3)/SQRT(1-ImpliedCorrelation),TRUE))</f>
        <v>-</v>
      </c>
      <c r="EH28" s="366" t="str">
        <f>IF($AB28&gt;CDS.Tenor,"-",_xlfn.NORM.S.DIST(($ED28-SQRT(ImpliedCorrelation)*EH$3)/SQRT(1-ImpliedCorrelation),TRUE))</f>
        <v>-</v>
      </c>
      <c r="EI28" s="366" t="str">
        <f>IF($AB28&gt;CDS.Tenor,"-",_xlfn.NORM.S.DIST(($ED28-SQRT(ImpliedCorrelation)*EI$3)/SQRT(1-ImpliedCorrelation),TRUE))</f>
        <v>-</v>
      </c>
      <c r="EJ28" s="366" t="str">
        <f>IF($AB28&gt;CDS.Tenor,"-",_xlfn.NORM.S.DIST(($ED28-SQRT(ImpliedCorrelation)*EJ$3)/SQRT(1-ImpliedCorrelation),TRUE))</f>
        <v>-</v>
      </c>
      <c r="EK28" s="366" t="str">
        <f>IF($AB28&gt;CDS.Tenor,"-",_xlfn.NORM.S.DIST(($ED28-SQRT(ImpliedCorrelation)*EK$3)/SQRT(1-ImpliedCorrelation),TRUE))</f>
        <v>-</v>
      </c>
      <c r="EL28" s="366" t="str">
        <f>IF($AB28&gt;CDS.Tenor,"-",_xlfn.NORM.S.DIST(($ED28-SQRT(ImpliedCorrelation)*EL$3)/SQRT(1-ImpliedCorrelation),TRUE))</f>
        <v>-</v>
      </c>
      <c r="EM28" s="366" t="str">
        <f>IF($AB28&gt;CDS.Tenor,"-",_xlfn.NORM.S.DIST(($ED28-SQRT(ImpliedCorrelation)*EM$3)/SQRT(1-ImpliedCorrelation),TRUE))</f>
        <v>-</v>
      </c>
      <c r="EN28" s="366" t="str">
        <f>IF($AB28&gt;CDS.Tenor,"-",_xlfn.NORM.S.DIST(($ED28-SQRT(ImpliedCorrelation)*EN$3)/SQRT(1-ImpliedCorrelation),TRUE))</f>
        <v>-</v>
      </c>
      <c r="EO28" s="366" t="str">
        <f>IF($AB28&gt;CDS.Tenor,"-",_xlfn.NORM.S.DIST(($ED28-SQRT(ImpliedCorrelation)*EO$3)/SQRT(1-ImpliedCorrelation),TRUE))</f>
        <v>-</v>
      </c>
      <c r="EP28" s="366" t="str">
        <f>IF($AB28&gt;CDS.Tenor,"-",_xlfn.NORM.S.DIST(($ED28-SQRT(ImpliedCorrelation)*EP$3)/SQRT(1-ImpliedCorrelation),TRUE))</f>
        <v>-</v>
      </c>
      <c r="EQ28" s="366" t="str">
        <f>IF($AB28&gt;CDS.Tenor,"-",_xlfn.NORM.S.DIST(($ED28-SQRT(ImpliedCorrelation)*EQ$3)/SQRT(1-ImpliedCorrelation),TRUE))</f>
        <v>-</v>
      </c>
      <c r="ER28" s="366" t="str">
        <f>IF($AB28&gt;CDS.Tenor,"-",_xlfn.NORM.S.DIST(($ED28-SQRT(ImpliedCorrelation)*ER$3)/SQRT(1-ImpliedCorrelation),TRUE))</f>
        <v>-</v>
      </c>
      <c r="ES28" s="366" t="str">
        <f>IF($AB28&gt;CDS.Tenor,"-",_xlfn.NORM.S.DIST(($ED28-SQRT(ImpliedCorrelation)*ES$3)/SQRT(1-ImpliedCorrelation),TRUE))</f>
        <v>-</v>
      </c>
      <c r="ET28" s="366" t="str">
        <f>IF($AB28&gt;CDS.Tenor,"-",_xlfn.NORM.S.DIST(($ED28-SQRT(ImpliedCorrelation)*ET$3)/SQRT(1-ImpliedCorrelation),TRUE))</f>
        <v>-</v>
      </c>
      <c r="EU28" s="366" t="str">
        <f>IF($AB28&gt;CDS.Tenor,"-",_xlfn.NORM.S.DIST(($ED28-SQRT(ImpliedCorrelation)*EU$3)/SQRT(1-ImpliedCorrelation),TRUE))</f>
        <v>-</v>
      </c>
      <c r="EV28" s="366" t="str">
        <f>IF($AB28&gt;CDS.Tenor,"-",_xlfn.NORM.S.DIST(($ED28-SQRT(ImpliedCorrelation)*EV$3)/SQRT(1-ImpliedCorrelation),TRUE))</f>
        <v>-</v>
      </c>
      <c r="EW28" s="366" t="str">
        <f>IF($AB28&gt;CDS.Tenor,"-",_xlfn.NORM.S.DIST(($ED28-SQRT(ImpliedCorrelation)*EW$3)/SQRT(1-ImpliedCorrelation),TRUE))</f>
        <v>-</v>
      </c>
      <c r="EX28" s="366" t="str">
        <f>IF($AB28&gt;CDS.Tenor,"-",_xlfn.NORM.S.DIST(($ED28-SQRT(ImpliedCorrelation)*EX$3)/SQRT(1-ImpliedCorrelation),TRUE))</f>
        <v>-</v>
      </c>
      <c r="EY28" s="366" t="str">
        <f>IF($AB28&gt;CDS.Tenor,"-",_xlfn.NORM.S.DIST(($ED28-SQRT(ImpliedCorrelation)*EY$3)/SQRT(1-ImpliedCorrelation),TRUE))</f>
        <v>-</v>
      </c>
      <c r="EZ28" s="366" t="str">
        <f>IF($AB28&gt;CDS.Tenor,"-",_xlfn.NORM.S.DIST(($ED28-SQRT(ImpliedCorrelation)*EZ$3)/SQRT(1-ImpliedCorrelation),TRUE))</f>
        <v>-</v>
      </c>
      <c r="FA28" s="366" t="str">
        <f>IF($AB28&gt;CDS.Tenor,"-",_xlfn.NORM.S.DIST(($ED28-SQRT(ImpliedCorrelation)*FA$3)/SQRT(1-ImpliedCorrelation),TRUE))</f>
        <v>-</v>
      </c>
      <c r="FB28" s="366"/>
      <c r="FC28" s="370">
        <f t="shared" si="119"/>
        <v>6</v>
      </c>
      <c r="FD28" s="366" t="str">
        <f>IF($AB28&gt;CDS.Tenor,"-",1-EG28)</f>
        <v>-</v>
      </c>
      <c r="FE28" s="366" t="str">
        <f>IF($AB28&gt;CDS.Tenor,"-",1-EH28)</f>
        <v>-</v>
      </c>
      <c r="FF28" s="366" t="str">
        <f>IF($AB28&gt;CDS.Tenor,"-",1-EI28)</f>
        <v>-</v>
      </c>
      <c r="FG28" s="366" t="str">
        <f>IF($AB28&gt;CDS.Tenor,"-",1-EJ28)</f>
        <v>-</v>
      </c>
      <c r="FH28" s="366" t="str">
        <f>IF($AB28&gt;CDS.Tenor,"-",1-EK28)</f>
        <v>-</v>
      </c>
      <c r="FI28" s="366" t="str">
        <f>IF($AB28&gt;CDS.Tenor,"-",1-EL28)</f>
        <v>-</v>
      </c>
      <c r="FJ28" s="366" t="str">
        <f>IF($AB28&gt;CDS.Tenor,"-",1-EM28)</f>
        <v>-</v>
      </c>
      <c r="FK28" s="366" t="str">
        <f>IF($AB28&gt;CDS.Tenor,"-",1-EN28)</f>
        <v>-</v>
      </c>
      <c r="FL28" s="366" t="str">
        <f>IF($AB28&gt;CDS.Tenor,"-",1-EO28)</f>
        <v>-</v>
      </c>
      <c r="FM28" s="366" t="str">
        <f>IF($AB28&gt;CDS.Tenor,"-",1-EP28)</f>
        <v>-</v>
      </c>
      <c r="FN28" s="366" t="str">
        <f>IF($AB28&gt;CDS.Tenor,"-",1-EQ28)</f>
        <v>-</v>
      </c>
      <c r="FO28" s="366" t="str">
        <f>IF($AB28&gt;CDS.Tenor,"-",1-ER28)</f>
        <v>-</v>
      </c>
      <c r="FP28" s="366" t="str">
        <f>IF($AB28&gt;CDS.Tenor,"-",1-ES28)</f>
        <v>-</v>
      </c>
      <c r="FQ28" s="366" t="str">
        <f>IF($AB28&gt;CDS.Tenor,"-",1-ET28)</f>
        <v>-</v>
      </c>
      <c r="FR28" s="366" t="str">
        <f>IF($AB28&gt;CDS.Tenor,"-",1-EU28)</f>
        <v>-</v>
      </c>
      <c r="FS28" s="366" t="str">
        <f>IF($AB28&gt;CDS.Tenor,"-",1-EV28)</f>
        <v>-</v>
      </c>
      <c r="FT28" s="366" t="str">
        <f>IF($AB28&gt;CDS.Tenor,"-",1-EW28)</f>
        <v>-</v>
      </c>
      <c r="FU28" s="366" t="str">
        <f>IF($AB28&gt;CDS.Tenor,"-",1-EX28)</f>
        <v>-</v>
      </c>
      <c r="FV28" s="366" t="str">
        <f>IF($AB28&gt;CDS.Tenor,"-",1-EY28)</f>
        <v>-</v>
      </c>
      <c r="FW28" s="366" t="str">
        <f>IF($AB28&gt;CDS.Tenor,"-",1-EZ28)</f>
        <v>-</v>
      </c>
      <c r="FX28" s="362" t="str">
        <f>IF($AB28&gt;CDS.Tenor,"-",1-FA28)</f>
        <v>-</v>
      </c>
      <c r="FZ28" s="370">
        <f t="shared" si="120"/>
        <v>6</v>
      </c>
      <c r="GA28" s="366" t="str">
        <f>IF($AB28&gt;CDS.Tenor,"-",BF28*DE28*FD28)</f>
        <v>-</v>
      </c>
      <c r="GB28" s="366" t="str">
        <f>IF($AB28&gt;CDS.Tenor,"-",BG28*DF28*FE28)</f>
        <v>-</v>
      </c>
      <c r="GC28" s="366" t="str">
        <f>IF($AB28&gt;CDS.Tenor,"-",BH28*DG28*FF28)</f>
        <v>-</v>
      </c>
      <c r="GD28" s="366" t="str">
        <f>IF($AB28&gt;CDS.Tenor,"-",BI28*DH28*FG28)</f>
        <v>-</v>
      </c>
      <c r="GE28" s="366" t="str">
        <f>IF($AB28&gt;CDS.Tenor,"-",BJ28*DI28*FH28)</f>
        <v>-</v>
      </c>
      <c r="GF28" s="366" t="str">
        <f>IF($AB28&gt;CDS.Tenor,"-",BK28*DJ28*FI28)</f>
        <v>-</v>
      </c>
      <c r="GG28" s="366" t="str">
        <f>IF($AB28&gt;CDS.Tenor,"-",BL28*DK28*FJ28)</f>
        <v>-</v>
      </c>
      <c r="GH28" s="366" t="str">
        <f>IF($AB28&gt;CDS.Tenor,"-",BM28*DL28*FK28)</f>
        <v>-</v>
      </c>
      <c r="GI28" s="366" t="str">
        <f>IF($AB28&gt;CDS.Tenor,"-",BN28*DM28*FL28)</f>
        <v>-</v>
      </c>
      <c r="GJ28" s="366" t="str">
        <f>IF($AB28&gt;CDS.Tenor,"-",BO28*DN28*FM28)</f>
        <v>-</v>
      </c>
      <c r="GK28" s="366" t="str">
        <f>IF($AB28&gt;CDS.Tenor,"-",BP28*DO28*FN28)</f>
        <v>-</v>
      </c>
      <c r="GL28" s="366" t="str">
        <f>IF($AB28&gt;CDS.Tenor,"-",BQ28*DP28*FO28)</f>
        <v>-</v>
      </c>
      <c r="GM28" s="366" t="str">
        <f>IF($AB28&gt;CDS.Tenor,"-",BR28*DQ28*FP28)</f>
        <v>-</v>
      </c>
      <c r="GN28" s="366" t="str">
        <f>IF($AB28&gt;CDS.Tenor,"-",BS28*DR28*FQ28)</f>
        <v>-</v>
      </c>
      <c r="GO28" s="366" t="str">
        <f>IF($AB28&gt;CDS.Tenor,"-",BT28*DS28*FR28)</f>
        <v>-</v>
      </c>
      <c r="GP28" s="366" t="str">
        <f>IF($AB28&gt;CDS.Tenor,"-",BU28*DT28*FS28)</f>
        <v>-</v>
      </c>
      <c r="GQ28" s="366" t="str">
        <f>IF($AB28&gt;CDS.Tenor,"-",BV28*DU28*FT28)</f>
        <v>-</v>
      </c>
      <c r="GR28" s="366" t="str">
        <f>IF($AB28&gt;CDS.Tenor,"-",BW28*DV28*FU28)</f>
        <v>-</v>
      </c>
      <c r="GS28" s="366" t="str">
        <f>IF($AB28&gt;CDS.Tenor,"-",BX28*DW28*FV28)</f>
        <v>-</v>
      </c>
      <c r="GT28" s="366" t="str">
        <f>IF($AB28&gt;CDS.Tenor,"-",BY28*DX28*FW28)</f>
        <v>-</v>
      </c>
      <c r="GU28" s="362" t="str">
        <f>IF($AB28&gt;CDS.Tenor,"-",BZ28*DY28*FX28)</f>
        <v>-</v>
      </c>
      <c r="GV28" s="42"/>
      <c r="GW28" s="370">
        <f t="shared" si="121"/>
        <v>6</v>
      </c>
      <c r="GX28" s="378" t="str">
        <f>IF($AB28&gt;CDS.Tenor,"-",SUMPRODUCT($GA28:$GU28,$GA$4:$GU$4)*dm)</f>
        <v>-</v>
      </c>
      <c r="GY28" s="381" t="str">
        <f>IF($AB28&gt;CDS.Tenor,"-",GX27-GX28)</f>
        <v>-</v>
      </c>
    </row>
    <row r="29" spans="2:207" x14ac:dyDescent="0.3">
      <c r="B29" s="346" t="str">
        <f>CreditRef3</f>
        <v>NVDA</v>
      </c>
      <c r="J29" s="156">
        <f t="shared" si="103"/>
        <v>6.25</v>
      </c>
      <c r="K29" s="28" t="str">
        <f>IF($J29&gt;CDS.Tenor,"-",CDS.PremiumSign*CDS.Notional*CDS.YearFraction*CDS.CreditSpread)</f>
        <v>-</v>
      </c>
      <c r="L29" s="10" t="str">
        <f>GX29</f>
        <v>-</v>
      </c>
      <c r="M29" s="10" t="str">
        <f>IF($J29&gt;CDS.Tenor,"-",L28-L29)</f>
        <v>-</v>
      </c>
      <c r="N29" s="94" t="str" cm="1">
        <f t="array" ref="N29">IF($J29&gt;CDS.Tenor,"-",cubicInterpolation(CurveResults.Times,CurveResults.DFs,$J29))</f>
        <v>-</v>
      </c>
      <c r="O29" s="28" t="str">
        <f>IF($J29&gt;CDS.Tenor,"-",K29*L29*N29)</f>
        <v>-</v>
      </c>
      <c r="P29" s="28" t="str">
        <f>IF($J29&gt;CDS.Tenor,"-",0.5*K29*M29*N29)</f>
        <v>-</v>
      </c>
      <c r="Q29" s="142" t="str">
        <f>IF($J29&gt;CDS.Tenor,"-",O29+P29)</f>
        <v>-</v>
      </c>
      <c r="T29" s="156">
        <f t="shared" si="104"/>
        <v>6.25</v>
      </c>
      <c r="U29" s="28" t="str">
        <f>IF($J29&gt;CDS.Tenor,"-",CDS.ProtectionSign*CDS.Notional*(1-CDS.RecoveryRate))</f>
        <v>-</v>
      </c>
      <c r="V29" s="10" t="str">
        <f>IF($J29&gt;CDS.Tenor,"-",GX29)</f>
        <v>-</v>
      </c>
      <c r="W29" s="10" t="str">
        <f>IF($J29&gt;CDS.Tenor,"-",V28-V29)</f>
        <v>-</v>
      </c>
      <c r="X29" s="94" t="str" cm="1">
        <f t="array" ref="X29">IF($T29&gt;CDS.Tenor,"-",cubicInterpolation(CurveResults.Times,CurveResults.DFs,$J29))</f>
        <v>-</v>
      </c>
      <c r="Y29" s="142" t="str">
        <f>IF($J29&gt;CDS.Tenor,"-",U29*W29*X29)</f>
        <v>-</v>
      </c>
      <c r="AB29" s="156">
        <f t="shared" si="105"/>
        <v>6.25</v>
      </c>
      <c r="AC29" s="352" t="str" cm="1">
        <f t="array" aca="1" ref="AC29" ca="1">IF($AB29&gt;CDS.Tenor,"-",flatInterpolation(AA29,INDIRECT(HazardRateTimes1),INDIRECT(HazardRateValues1)))</f>
        <v>-</v>
      </c>
      <c r="AD29" s="10" t="str">
        <f t="shared" si="106"/>
        <v>-</v>
      </c>
      <c r="AE29" s="10" t="str">
        <f t="shared" si="107"/>
        <v>-</v>
      </c>
      <c r="AF29" s="360" t="str">
        <f>IF($AB29&gt;CDS.Tenor,"-",NORMSINV(AE29))</f>
        <v>-</v>
      </c>
      <c r="AG29" s="360"/>
      <c r="AH29" s="370">
        <f t="shared" si="108"/>
        <v>6.25</v>
      </c>
      <c r="AI29" s="366" t="str">
        <f>IF($AB29&gt;CDS.Tenor,"-",_xlfn.NORM.S.DIST(($AF29-SQRT(ImpliedCorrelation)*AI$3)/SQRT(1-ImpliedCorrelation),TRUE))</f>
        <v>-</v>
      </c>
      <c r="AJ29" s="366" t="str">
        <f>IF($AB29&gt;CDS.Tenor,"-",_xlfn.NORM.S.DIST(($AF29-SQRT(ImpliedCorrelation)*AJ$3)/SQRT(1-ImpliedCorrelation),TRUE))</f>
        <v>-</v>
      </c>
      <c r="AK29" s="366" t="str">
        <f>IF($AB29&gt;CDS.Tenor,"-",_xlfn.NORM.S.DIST(($AF29-SQRT(ImpliedCorrelation)*AK$3)/SQRT(1-ImpliedCorrelation),TRUE))</f>
        <v>-</v>
      </c>
      <c r="AL29" s="366" t="str">
        <f>IF($AB29&gt;CDS.Tenor,"-",_xlfn.NORM.S.DIST(($AF29-SQRT(ImpliedCorrelation)*AL$3)/SQRT(1-ImpliedCorrelation),TRUE))</f>
        <v>-</v>
      </c>
      <c r="AM29" s="366" t="str">
        <f>IF($AB29&gt;CDS.Tenor,"-",_xlfn.NORM.S.DIST(($AF29-SQRT(ImpliedCorrelation)*AM$3)/SQRT(1-ImpliedCorrelation),TRUE))</f>
        <v>-</v>
      </c>
      <c r="AN29" s="366" t="str">
        <f>IF($AB29&gt;CDS.Tenor,"-",_xlfn.NORM.S.DIST(($AF29-SQRT(ImpliedCorrelation)*AN$3)/SQRT(1-ImpliedCorrelation),TRUE))</f>
        <v>-</v>
      </c>
      <c r="AO29" s="366" t="str">
        <f>IF($AB29&gt;CDS.Tenor,"-",_xlfn.NORM.S.DIST(($AF29-SQRT(ImpliedCorrelation)*AO$3)/SQRT(1-ImpliedCorrelation),TRUE))</f>
        <v>-</v>
      </c>
      <c r="AP29" s="366" t="str">
        <f>IF($AB29&gt;CDS.Tenor,"-",_xlfn.NORM.S.DIST(($AF29-SQRT(ImpliedCorrelation)*AP$3)/SQRT(1-ImpliedCorrelation),TRUE))</f>
        <v>-</v>
      </c>
      <c r="AQ29" s="366" t="str">
        <f>IF($AB29&gt;CDS.Tenor,"-",_xlfn.NORM.S.DIST(($AF29-SQRT(ImpliedCorrelation)*AQ$3)/SQRT(1-ImpliedCorrelation),TRUE))</f>
        <v>-</v>
      </c>
      <c r="AR29" s="366" t="str">
        <f>IF($AB29&gt;CDS.Tenor,"-",_xlfn.NORM.S.DIST(($AF29-SQRT(ImpliedCorrelation)*AR$3)/SQRT(1-ImpliedCorrelation),TRUE))</f>
        <v>-</v>
      </c>
      <c r="AS29" s="366" t="str">
        <f>IF($AB29&gt;CDS.Tenor,"-",_xlfn.NORM.S.DIST(($AF29-SQRT(ImpliedCorrelation)*AS$3)/SQRT(1-ImpliedCorrelation),TRUE))</f>
        <v>-</v>
      </c>
      <c r="AT29" s="366" t="str">
        <f>IF($AB29&gt;CDS.Tenor,"-",_xlfn.NORM.S.DIST(($AF29-SQRT(ImpliedCorrelation)*AT$3)/SQRT(1-ImpliedCorrelation),TRUE))</f>
        <v>-</v>
      </c>
      <c r="AU29" s="366" t="str">
        <f>IF($AB29&gt;CDS.Tenor,"-",_xlfn.NORM.S.DIST(($AF29-SQRT(ImpliedCorrelation)*AU$3)/SQRT(1-ImpliedCorrelation),TRUE))</f>
        <v>-</v>
      </c>
      <c r="AV29" s="366" t="str">
        <f>IF($AB29&gt;CDS.Tenor,"-",_xlfn.NORM.S.DIST(($AF29-SQRT(ImpliedCorrelation)*AV$3)/SQRT(1-ImpliedCorrelation),TRUE))</f>
        <v>-</v>
      </c>
      <c r="AW29" s="366" t="str">
        <f>IF($AB29&gt;CDS.Tenor,"-",_xlfn.NORM.S.DIST(($AF29-SQRT(ImpliedCorrelation)*AW$3)/SQRT(1-ImpliedCorrelation),TRUE))</f>
        <v>-</v>
      </c>
      <c r="AX29" s="366" t="str">
        <f>IF($AB29&gt;CDS.Tenor,"-",_xlfn.NORM.S.DIST(($AF29-SQRT(ImpliedCorrelation)*AX$3)/SQRT(1-ImpliedCorrelation),TRUE))</f>
        <v>-</v>
      </c>
      <c r="AY29" s="366" t="str">
        <f>IF($AB29&gt;CDS.Tenor,"-",_xlfn.NORM.S.DIST(($AF29-SQRT(ImpliedCorrelation)*AY$3)/SQRT(1-ImpliedCorrelation),TRUE))</f>
        <v>-</v>
      </c>
      <c r="AZ29" s="366" t="str">
        <f>IF($AB29&gt;CDS.Tenor,"-",_xlfn.NORM.S.DIST(($AF29-SQRT(ImpliedCorrelation)*AZ$3)/SQRT(1-ImpliedCorrelation),TRUE))</f>
        <v>-</v>
      </c>
      <c r="BA29" s="366" t="str">
        <f>IF($AB29&gt;CDS.Tenor,"-",_xlfn.NORM.S.DIST(($AF29-SQRT(ImpliedCorrelation)*BA$3)/SQRT(1-ImpliedCorrelation),TRUE))</f>
        <v>-</v>
      </c>
      <c r="BB29" s="366" t="str">
        <f>IF($AB29&gt;CDS.Tenor,"-",_xlfn.NORM.S.DIST(($AF29-SQRT(ImpliedCorrelation)*BB$3)/SQRT(1-ImpliedCorrelation),TRUE))</f>
        <v>-</v>
      </c>
      <c r="BC29" s="366" t="str">
        <f>IF($AB29&gt;CDS.Tenor,"-",_xlfn.NORM.S.DIST(($AF29-SQRT(ImpliedCorrelation)*BC$3)/SQRT(1-ImpliedCorrelation),TRUE))</f>
        <v>-</v>
      </c>
      <c r="BD29" s="366"/>
      <c r="BE29" s="370">
        <f t="shared" si="109"/>
        <v>6.25</v>
      </c>
      <c r="BF29" s="366" t="str">
        <f>IF($AB29&gt;CDS.Tenor,"-",1-AI29)</f>
        <v>-</v>
      </c>
      <c r="BG29" s="366" t="str">
        <f>IF($AB29&gt;CDS.Tenor,"-",1-AJ29)</f>
        <v>-</v>
      </c>
      <c r="BH29" s="366" t="str">
        <f>IF($AB29&gt;CDS.Tenor,"-",1-AK29)</f>
        <v>-</v>
      </c>
      <c r="BI29" s="366" t="str">
        <f>IF($AB29&gt;CDS.Tenor,"-",1-AL29)</f>
        <v>-</v>
      </c>
      <c r="BJ29" s="366" t="str">
        <f>IF($AB29&gt;CDS.Tenor,"-",1-AM29)</f>
        <v>-</v>
      </c>
      <c r="BK29" s="366" t="str">
        <f>IF($AB29&gt;CDS.Tenor,"-",1-AN29)</f>
        <v>-</v>
      </c>
      <c r="BL29" s="366" t="str">
        <f>IF($AB29&gt;CDS.Tenor,"-",1-AO29)</f>
        <v>-</v>
      </c>
      <c r="BM29" s="366" t="str">
        <f>IF($AB29&gt;CDS.Tenor,"-",1-AP29)</f>
        <v>-</v>
      </c>
      <c r="BN29" s="366" t="str">
        <f>IF($AB29&gt;CDS.Tenor,"-",1-AQ29)</f>
        <v>-</v>
      </c>
      <c r="BO29" s="366" t="str">
        <f>IF($AB29&gt;CDS.Tenor,"-",1-AR29)</f>
        <v>-</v>
      </c>
      <c r="BP29" s="366" t="str">
        <f>IF($AB29&gt;CDS.Tenor,"-",1-AS29)</f>
        <v>-</v>
      </c>
      <c r="BQ29" s="366" t="str">
        <f>IF($AB29&gt;CDS.Tenor,"-",1-AT29)</f>
        <v>-</v>
      </c>
      <c r="BR29" s="366" t="str">
        <f>IF($AB29&gt;CDS.Tenor,"-",1-AU29)</f>
        <v>-</v>
      </c>
      <c r="BS29" s="366" t="str">
        <f>IF($AB29&gt;CDS.Tenor,"-",1-AV29)</f>
        <v>-</v>
      </c>
      <c r="BT29" s="366" t="str">
        <f>IF($AB29&gt;CDS.Tenor,"-",1-AW29)</f>
        <v>-</v>
      </c>
      <c r="BU29" s="366" t="str">
        <f>IF($AB29&gt;CDS.Tenor,"-",1-AX29)</f>
        <v>-</v>
      </c>
      <c r="BV29" s="366" t="str">
        <f>IF($AB29&gt;CDS.Tenor,"-",1-AY29)</f>
        <v>-</v>
      </c>
      <c r="BW29" s="366" t="str">
        <f>IF($AB29&gt;CDS.Tenor,"-",1-AZ29)</f>
        <v>-</v>
      </c>
      <c r="BX29" s="366" t="str">
        <f>IF($AB29&gt;CDS.Tenor,"-",1-BA29)</f>
        <v>-</v>
      </c>
      <c r="BY29" s="366" t="str">
        <f>IF($AB29&gt;CDS.Tenor,"-",1-BB29)</f>
        <v>-</v>
      </c>
      <c r="BZ29" s="366" t="str">
        <f>IF($AB29&gt;CDS.Tenor,"-",1-BC29)</f>
        <v>-</v>
      </c>
      <c r="CA29" s="17"/>
      <c r="CB29" s="352" t="str" cm="1">
        <f t="array" aca="1" ref="CB29" ca="1">IF($AB29&gt;CDS.Tenor,"-",flatInterpolation(AB29,INDIRECT(HazardRateTimes2),INDIRECT(HazardRateValues2)))</f>
        <v>-</v>
      </c>
      <c r="CC29" s="10" t="str">
        <f t="shared" si="110"/>
        <v>-</v>
      </c>
      <c r="CD29" s="10" t="str">
        <f t="shared" si="111"/>
        <v>-</v>
      </c>
      <c r="CE29" s="81" t="str">
        <f t="shared" si="112"/>
        <v>-</v>
      </c>
      <c r="CF29" s="360"/>
      <c r="CG29" s="370">
        <f t="shared" si="113"/>
        <v>6.25</v>
      </c>
      <c r="CH29" s="366" t="str">
        <f>IF($AB29&gt;CDS.Tenor,"-",_xlfn.NORM.S.DIST(($CE29-SQRT(ImpliedCorrelation)*CH$3)/SQRT(1-ImpliedCorrelation),TRUE))</f>
        <v>-</v>
      </c>
      <c r="CI29" s="366" t="str">
        <f>IF($AB29&gt;CDS.Tenor,"-",_xlfn.NORM.S.DIST(($CE29-SQRT(ImpliedCorrelation)*CI$3)/SQRT(1-ImpliedCorrelation),TRUE))</f>
        <v>-</v>
      </c>
      <c r="CJ29" s="366" t="str">
        <f>IF($AB29&gt;CDS.Tenor,"-",_xlfn.NORM.S.DIST(($CE29-SQRT(ImpliedCorrelation)*CJ$3)/SQRT(1-ImpliedCorrelation),TRUE))</f>
        <v>-</v>
      </c>
      <c r="CK29" s="366" t="str">
        <f>IF($AB29&gt;CDS.Tenor,"-",_xlfn.NORM.S.DIST(($CE29-SQRT(ImpliedCorrelation)*CK$3)/SQRT(1-ImpliedCorrelation),TRUE))</f>
        <v>-</v>
      </c>
      <c r="CL29" s="366" t="str">
        <f>IF($AB29&gt;CDS.Tenor,"-",_xlfn.NORM.S.DIST(($CE29-SQRT(ImpliedCorrelation)*CL$3)/SQRT(1-ImpliedCorrelation),TRUE))</f>
        <v>-</v>
      </c>
      <c r="CM29" s="366" t="str">
        <f>IF($AB29&gt;CDS.Tenor,"-",_xlfn.NORM.S.DIST(($CE29-SQRT(ImpliedCorrelation)*CM$3)/SQRT(1-ImpliedCorrelation),TRUE))</f>
        <v>-</v>
      </c>
      <c r="CN29" s="366" t="str">
        <f>IF($AB29&gt;CDS.Tenor,"-",_xlfn.NORM.S.DIST(($CE29-SQRT(ImpliedCorrelation)*CN$3)/SQRT(1-ImpliedCorrelation),TRUE))</f>
        <v>-</v>
      </c>
      <c r="CO29" s="366" t="str">
        <f>IF($AB29&gt;CDS.Tenor,"-",_xlfn.NORM.S.DIST(($CE29-SQRT(ImpliedCorrelation)*CO$3)/SQRT(1-ImpliedCorrelation),TRUE))</f>
        <v>-</v>
      </c>
      <c r="CP29" s="366" t="str">
        <f>IF($AB29&gt;CDS.Tenor,"-",_xlfn.NORM.S.DIST(($CE29-SQRT(ImpliedCorrelation)*CP$3)/SQRT(1-ImpliedCorrelation),TRUE))</f>
        <v>-</v>
      </c>
      <c r="CQ29" s="366" t="str">
        <f>IF($AB29&gt;CDS.Tenor,"-",_xlfn.NORM.S.DIST(($CE29-SQRT(ImpliedCorrelation)*CQ$3)/SQRT(1-ImpliedCorrelation),TRUE))</f>
        <v>-</v>
      </c>
      <c r="CR29" s="366" t="str">
        <f>IF($AB29&gt;CDS.Tenor,"-",_xlfn.NORM.S.DIST(($CE29-SQRT(ImpliedCorrelation)*CR$3)/SQRT(1-ImpliedCorrelation),TRUE))</f>
        <v>-</v>
      </c>
      <c r="CS29" s="366" t="str">
        <f>IF($AB29&gt;CDS.Tenor,"-",_xlfn.NORM.S.DIST(($CE29-SQRT(ImpliedCorrelation)*CS$3)/SQRT(1-ImpliedCorrelation),TRUE))</f>
        <v>-</v>
      </c>
      <c r="CT29" s="366" t="str">
        <f>IF($AB29&gt;CDS.Tenor,"-",_xlfn.NORM.S.DIST(($CE29-SQRT(ImpliedCorrelation)*CT$3)/SQRT(1-ImpliedCorrelation),TRUE))</f>
        <v>-</v>
      </c>
      <c r="CU29" s="366" t="str">
        <f>IF($AB29&gt;CDS.Tenor,"-",_xlfn.NORM.S.DIST(($CE29-SQRT(ImpliedCorrelation)*CU$3)/SQRT(1-ImpliedCorrelation),TRUE))</f>
        <v>-</v>
      </c>
      <c r="CV29" s="366" t="str">
        <f>IF($AB29&gt;CDS.Tenor,"-",_xlfn.NORM.S.DIST(($CE29-SQRT(ImpliedCorrelation)*CV$3)/SQRT(1-ImpliedCorrelation),TRUE))</f>
        <v>-</v>
      </c>
      <c r="CW29" s="366" t="str">
        <f>IF($AB29&gt;CDS.Tenor,"-",_xlfn.NORM.S.DIST(($CE29-SQRT(ImpliedCorrelation)*CW$3)/SQRT(1-ImpliedCorrelation),TRUE))</f>
        <v>-</v>
      </c>
      <c r="CX29" s="366" t="str">
        <f>IF($AB29&gt;CDS.Tenor,"-",_xlfn.NORM.S.DIST(($CE29-SQRT(ImpliedCorrelation)*CX$3)/SQRT(1-ImpliedCorrelation),TRUE))</f>
        <v>-</v>
      </c>
      <c r="CY29" s="366" t="str">
        <f>IF($AB29&gt;CDS.Tenor,"-",_xlfn.NORM.S.DIST(($CE29-SQRT(ImpliedCorrelation)*CY$3)/SQRT(1-ImpliedCorrelation),TRUE))</f>
        <v>-</v>
      </c>
      <c r="CZ29" s="366" t="str">
        <f>IF($AB29&gt;CDS.Tenor,"-",_xlfn.NORM.S.DIST(($CE29-SQRT(ImpliedCorrelation)*CZ$3)/SQRT(1-ImpliedCorrelation),TRUE))</f>
        <v>-</v>
      </c>
      <c r="DA29" s="366" t="str">
        <f>IF($AB29&gt;CDS.Tenor,"-",_xlfn.NORM.S.DIST(($CE29-SQRT(ImpliedCorrelation)*DA$3)/SQRT(1-ImpliedCorrelation),TRUE))</f>
        <v>-</v>
      </c>
      <c r="DB29" s="366" t="str">
        <f>IF($AB29&gt;CDS.Tenor,"-",_xlfn.NORM.S.DIST(($CE29-SQRT(ImpliedCorrelation)*DB$3)/SQRT(1-ImpliedCorrelation),TRUE))</f>
        <v>-</v>
      </c>
      <c r="DC29" s="366"/>
      <c r="DD29" s="370">
        <f t="shared" si="114"/>
        <v>6.25</v>
      </c>
      <c r="DE29" s="366" t="str">
        <f>IF($AB29&gt;CDS.Tenor,"-",1-CH29)</f>
        <v>-</v>
      </c>
      <c r="DF29" s="366" t="str">
        <f>IF($AB29&gt;CDS.Tenor,"-",1-CI29)</f>
        <v>-</v>
      </c>
      <c r="DG29" s="366" t="str">
        <f>IF($AB29&gt;CDS.Tenor,"-",1-CJ29)</f>
        <v>-</v>
      </c>
      <c r="DH29" s="366" t="str">
        <f>IF($AB29&gt;CDS.Tenor,"-",1-CK29)</f>
        <v>-</v>
      </c>
      <c r="DI29" s="366" t="str">
        <f>IF($AB29&gt;CDS.Tenor,"-",1-CL29)</f>
        <v>-</v>
      </c>
      <c r="DJ29" s="366" t="str">
        <f>IF($AB29&gt;CDS.Tenor,"-",1-CM29)</f>
        <v>-</v>
      </c>
      <c r="DK29" s="366" t="str">
        <f>IF($AB29&gt;CDS.Tenor,"-",1-CN29)</f>
        <v>-</v>
      </c>
      <c r="DL29" s="366" t="str">
        <f>IF($AB29&gt;CDS.Tenor,"-",1-CO29)</f>
        <v>-</v>
      </c>
      <c r="DM29" s="366" t="str">
        <f>IF($AB29&gt;CDS.Tenor,"-",1-CP29)</f>
        <v>-</v>
      </c>
      <c r="DN29" s="366" t="str">
        <f>IF($AB29&gt;CDS.Tenor,"-",1-CQ29)</f>
        <v>-</v>
      </c>
      <c r="DO29" s="366" t="str">
        <f>IF($AB29&gt;CDS.Tenor,"-",1-CR29)</f>
        <v>-</v>
      </c>
      <c r="DP29" s="366" t="str">
        <f>IF($AB29&gt;CDS.Tenor,"-",1-CS29)</f>
        <v>-</v>
      </c>
      <c r="DQ29" s="366" t="str">
        <f>IF($AB29&gt;CDS.Tenor,"-",1-CT29)</f>
        <v>-</v>
      </c>
      <c r="DR29" s="366" t="str">
        <f>IF($AB29&gt;CDS.Tenor,"-",1-CU29)</f>
        <v>-</v>
      </c>
      <c r="DS29" s="366" t="str">
        <f>IF($AB29&gt;CDS.Tenor,"-",1-CV29)</f>
        <v>-</v>
      </c>
      <c r="DT29" s="366" t="str">
        <f>IF($AB29&gt;CDS.Tenor,"-",1-CW29)</f>
        <v>-</v>
      </c>
      <c r="DU29" s="366" t="str">
        <f>IF($AB29&gt;CDS.Tenor,"-",1-CX29)</f>
        <v>-</v>
      </c>
      <c r="DV29" s="366" t="str">
        <f>IF($AB29&gt;CDS.Tenor,"-",1-CY29)</f>
        <v>-</v>
      </c>
      <c r="DW29" s="366" t="str">
        <f>IF($AB29&gt;CDS.Tenor,"-",1-CZ29)</f>
        <v>-</v>
      </c>
      <c r="DX29" s="366" t="str">
        <f>IF($AB29&gt;CDS.Tenor,"-",1-DA29)</f>
        <v>-</v>
      </c>
      <c r="DY29" s="362" t="str">
        <f>IF($AB29&gt;CDS.Tenor,"-",1-DB29)</f>
        <v>-</v>
      </c>
      <c r="DZ29" s="360"/>
      <c r="EA29" s="352" t="str" cm="1">
        <f t="array" aca="1" ref="EA29" ca="1">IF($AB29&gt;CDS.Tenor,"-",flatInterpolation(CC29,INDIRECT(HazardRateTimes3),INDIRECT(HazardRateValues3)))</f>
        <v>-</v>
      </c>
      <c r="EB29" s="10" t="str">
        <f t="shared" si="115"/>
        <v>-</v>
      </c>
      <c r="EC29" s="10" t="str">
        <f t="shared" si="116"/>
        <v>-</v>
      </c>
      <c r="ED29" s="81" t="str">
        <f t="shared" si="117"/>
        <v>-</v>
      </c>
      <c r="EF29" s="370">
        <f t="shared" si="118"/>
        <v>6.25</v>
      </c>
      <c r="EG29" s="366" t="str">
        <f>IF($AB29&gt;CDS.Tenor,"-",_xlfn.NORM.S.DIST(($ED29-SQRT(ImpliedCorrelation)*EG$3)/SQRT(1-ImpliedCorrelation),TRUE))</f>
        <v>-</v>
      </c>
      <c r="EH29" s="366" t="str">
        <f>IF($AB29&gt;CDS.Tenor,"-",_xlfn.NORM.S.DIST(($ED29-SQRT(ImpliedCorrelation)*EH$3)/SQRT(1-ImpliedCorrelation),TRUE))</f>
        <v>-</v>
      </c>
      <c r="EI29" s="366" t="str">
        <f>IF($AB29&gt;CDS.Tenor,"-",_xlfn.NORM.S.DIST(($ED29-SQRT(ImpliedCorrelation)*EI$3)/SQRT(1-ImpliedCorrelation),TRUE))</f>
        <v>-</v>
      </c>
      <c r="EJ29" s="366" t="str">
        <f>IF($AB29&gt;CDS.Tenor,"-",_xlfn.NORM.S.DIST(($ED29-SQRT(ImpliedCorrelation)*EJ$3)/SQRT(1-ImpliedCorrelation),TRUE))</f>
        <v>-</v>
      </c>
      <c r="EK29" s="366" t="str">
        <f>IF($AB29&gt;CDS.Tenor,"-",_xlfn.NORM.S.DIST(($ED29-SQRT(ImpliedCorrelation)*EK$3)/SQRT(1-ImpliedCorrelation),TRUE))</f>
        <v>-</v>
      </c>
      <c r="EL29" s="366" t="str">
        <f>IF($AB29&gt;CDS.Tenor,"-",_xlfn.NORM.S.DIST(($ED29-SQRT(ImpliedCorrelation)*EL$3)/SQRT(1-ImpliedCorrelation),TRUE))</f>
        <v>-</v>
      </c>
      <c r="EM29" s="366" t="str">
        <f>IF($AB29&gt;CDS.Tenor,"-",_xlfn.NORM.S.DIST(($ED29-SQRT(ImpliedCorrelation)*EM$3)/SQRT(1-ImpliedCorrelation),TRUE))</f>
        <v>-</v>
      </c>
      <c r="EN29" s="366" t="str">
        <f>IF($AB29&gt;CDS.Tenor,"-",_xlfn.NORM.S.DIST(($ED29-SQRT(ImpliedCorrelation)*EN$3)/SQRT(1-ImpliedCorrelation),TRUE))</f>
        <v>-</v>
      </c>
      <c r="EO29" s="366" t="str">
        <f>IF($AB29&gt;CDS.Tenor,"-",_xlfn.NORM.S.DIST(($ED29-SQRT(ImpliedCorrelation)*EO$3)/SQRT(1-ImpliedCorrelation),TRUE))</f>
        <v>-</v>
      </c>
      <c r="EP29" s="366" t="str">
        <f>IF($AB29&gt;CDS.Tenor,"-",_xlfn.NORM.S.DIST(($ED29-SQRT(ImpliedCorrelation)*EP$3)/SQRT(1-ImpliedCorrelation),TRUE))</f>
        <v>-</v>
      </c>
      <c r="EQ29" s="366" t="str">
        <f>IF($AB29&gt;CDS.Tenor,"-",_xlfn.NORM.S.DIST(($ED29-SQRT(ImpliedCorrelation)*EQ$3)/SQRT(1-ImpliedCorrelation),TRUE))</f>
        <v>-</v>
      </c>
      <c r="ER29" s="366" t="str">
        <f>IF($AB29&gt;CDS.Tenor,"-",_xlfn.NORM.S.DIST(($ED29-SQRT(ImpliedCorrelation)*ER$3)/SQRT(1-ImpliedCorrelation),TRUE))</f>
        <v>-</v>
      </c>
      <c r="ES29" s="366" t="str">
        <f>IF($AB29&gt;CDS.Tenor,"-",_xlfn.NORM.S.DIST(($ED29-SQRT(ImpliedCorrelation)*ES$3)/SQRT(1-ImpliedCorrelation),TRUE))</f>
        <v>-</v>
      </c>
      <c r="ET29" s="366" t="str">
        <f>IF($AB29&gt;CDS.Tenor,"-",_xlfn.NORM.S.DIST(($ED29-SQRT(ImpliedCorrelation)*ET$3)/SQRT(1-ImpliedCorrelation),TRUE))</f>
        <v>-</v>
      </c>
      <c r="EU29" s="366" t="str">
        <f>IF($AB29&gt;CDS.Tenor,"-",_xlfn.NORM.S.DIST(($ED29-SQRT(ImpliedCorrelation)*EU$3)/SQRT(1-ImpliedCorrelation),TRUE))</f>
        <v>-</v>
      </c>
      <c r="EV29" s="366" t="str">
        <f>IF($AB29&gt;CDS.Tenor,"-",_xlfn.NORM.S.DIST(($ED29-SQRT(ImpliedCorrelation)*EV$3)/SQRT(1-ImpliedCorrelation),TRUE))</f>
        <v>-</v>
      </c>
      <c r="EW29" s="366" t="str">
        <f>IF($AB29&gt;CDS.Tenor,"-",_xlfn.NORM.S.DIST(($ED29-SQRT(ImpliedCorrelation)*EW$3)/SQRT(1-ImpliedCorrelation),TRUE))</f>
        <v>-</v>
      </c>
      <c r="EX29" s="366" t="str">
        <f>IF($AB29&gt;CDS.Tenor,"-",_xlfn.NORM.S.DIST(($ED29-SQRT(ImpliedCorrelation)*EX$3)/SQRT(1-ImpliedCorrelation),TRUE))</f>
        <v>-</v>
      </c>
      <c r="EY29" s="366" t="str">
        <f>IF($AB29&gt;CDS.Tenor,"-",_xlfn.NORM.S.DIST(($ED29-SQRT(ImpliedCorrelation)*EY$3)/SQRT(1-ImpliedCorrelation),TRUE))</f>
        <v>-</v>
      </c>
      <c r="EZ29" s="366" t="str">
        <f>IF($AB29&gt;CDS.Tenor,"-",_xlfn.NORM.S.DIST(($ED29-SQRT(ImpliedCorrelation)*EZ$3)/SQRT(1-ImpliedCorrelation),TRUE))</f>
        <v>-</v>
      </c>
      <c r="FA29" s="366" t="str">
        <f>IF($AB29&gt;CDS.Tenor,"-",_xlfn.NORM.S.DIST(($ED29-SQRT(ImpliedCorrelation)*FA$3)/SQRT(1-ImpliedCorrelation),TRUE))</f>
        <v>-</v>
      </c>
      <c r="FB29" s="366"/>
      <c r="FC29" s="370">
        <f t="shared" si="119"/>
        <v>6.25</v>
      </c>
      <c r="FD29" s="366" t="str">
        <f>IF($AB29&gt;CDS.Tenor,"-",1-EG29)</f>
        <v>-</v>
      </c>
      <c r="FE29" s="366" t="str">
        <f>IF($AB29&gt;CDS.Tenor,"-",1-EH29)</f>
        <v>-</v>
      </c>
      <c r="FF29" s="366" t="str">
        <f>IF($AB29&gt;CDS.Tenor,"-",1-EI29)</f>
        <v>-</v>
      </c>
      <c r="FG29" s="366" t="str">
        <f>IF($AB29&gt;CDS.Tenor,"-",1-EJ29)</f>
        <v>-</v>
      </c>
      <c r="FH29" s="366" t="str">
        <f>IF($AB29&gt;CDS.Tenor,"-",1-EK29)</f>
        <v>-</v>
      </c>
      <c r="FI29" s="366" t="str">
        <f>IF($AB29&gt;CDS.Tenor,"-",1-EL29)</f>
        <v>-</v>
      </c>
      <c r="FJ29" s="366" t="str">
        <f>IF($AB29&gt;CDS.Tenor,"-",1-EM29)</f>
        <v>-</v>
      </c>
      <c r="FK29" s="366" t="str">
        <f>IF($AB29&gt;CDS.Tenor,"-",1-EN29)</f>
        <v>-</v>
      </c>
      <c r="FL29" s="366" t="str">
        <f>IF($AB29&gt;CDS.Tenor,"-",1-EO29)</f>
        <v>-</v>
      </c>
      <c r="FM29" s="366" t="str">
        <f>IF($AB29&gt;CDS.Tenor,"-",1-EP29)</f>
        <v>-</v>
      </c>
      <c r="FN29" s="366" t="str">
        <f>IF($AB29&gt;CDS.Tenor,"-",1-EQ29)</f>
        <v>-</v>
      </c>
      <c r="FO29" s="366" t="str">
        <f>IF($AB29&gt;CDS.Tenor,"-",1-ER29)</f>
        <v>-</v>
      </c>
      <c r="FP29" s="366" t="str">
        <f>IF($AB29&gt;CDS.Tenor,"-",1-ES29)</f>
        <v>-</v>
      </c>
      <c r="FQ29" s="366" t="str">
        <f>IF($AB29&gt;CDS.Tenor,"-",1-ET29)</f>
        <v>-</v>
      </c>
      <c r="FR29" s="366" t="str">
        <f>IF($AB29&gt;CDS.Tenor,"-",1-EU29)</f>
        <v>-</v>
      </c>
      <c r="FS29" s="366" t="str">
        <f>IF($AB29&gt;CDS.Tenor,"-",1-EV29)</f>
        <v>-</v>
      </c>
      <c r="FT29" s="366" t="str">
        <f>IF($AB29&gt;CDS.Tenor,"-",1-EW29)</f>
        <v>-</v>
      </c>
      <c r="FU29" s="366" t="str">
        <f>IF($AB29&gt;CDS.Tenor,"-",1-EX29)</f>
        <v>-</v>
      </c>
      <c r="FV29" s="366" t="str">
        <f>IF($AB29&gt;CDS.Tenor,"-",1-EY29)</f>
        <v>-</v>
      </c>
      <c r="FW29" s="366" t="str">
        <f>IF($AB29&gt;CDS.Tenor,"-",1-EZ29)</f>
        <v>-</v>
      </c>
      <c r="FX29" s="362" t="str">
        <f>IF($AB29&gt;CDS.Tenor,"-",1-FA29)</f>
        <v>-</v>
      </c>
      <c r="FZ29" s="370">
        <f t="shared" si="120"/>
        <v>6.25</v>
      </c>
      <c r="GA29" s="366" t="str">
        <f>IF($AB29&gt;CDS.Tenor,"-",BF29*DE29*FD29)</f>
        <v>-</v>
      </c>
      <c r="GB29" s="366" t="str">
        <f>IF($AB29&gt;CDS.Tenor,"-",BG29*DF29*FE29)</f>
        <v>-</v>
      </c>
      <c r="GC29" s="366" t="str">
        <f>IF($AB29&gt;CDS.Tenor,"-",BH29*DG29*FF29)</f>
        <v>-</v>
      </c>
      <c r="GD29" s="366" t="str">
        <f>IF($AB29&gt;CDS.Tenor,"-",BI29*DH29*FG29)</f>
        <v>-</v>
      </c>
      <c r="GE29" s="366" t="str">
        <f>IF($AB29&gt;CDS.Tenor,"-",BJ29*DI29*FH29)</f>
        <v>-</v>
      </c>
      <c r="GF29" s="366" t="str">
        <f>IF($AB29&gt;CDS.Tenor,"-",BK29*DJ29*FI29)</f>
        <v>-</v>
      </c>
      <c r="GG29" s="366" t="str">
        <f>IF($AB29&gt;CDS.Tenor,"-",BL29*DK29*FJ29)</f>
        <v>-</v>
      </c>
      <c r="GH29" s="366" t="str">
        <f>IF($AB29&gt;CDS.Tenor,"-",BM29*DL29*FK29)</f>
        <v>-</v>
      </c>
      <c r="GI29" s="366" t="str">
        <f>IF($AB29&gt;CDS.Tenor,"-",BN29*DM29*FL29)</f>
        <v>-</v>
      </c>
      <c r="GJ29" s="366" t="str">
        <f>IF($AB29&gt;CDS.Tenor,"-",BO29*DN29*FM29)</f>
        <v>-</v>
      </c>
      <c r="GK29" s="366" t="str">
        <f>IF($AB29&gt;CDS.Tenor,"-",BP29*DO29*FN29)</f>
        <v>-</v>
      </c>
      <c r="GL29" s="366" t="str">
        <f>IF($AB29&gt;CDS.Tenor,"-",BQ29*DP29*FO29)</f>
        <v>-</v>
      </c>
      <c r="GM29" s="366" t="str">
        <f>IF($AB29&gt;CDS.Tenor,"-",BR29*DQ29*FP29)</f>
        <v>-</v>
      </c>
      <c r="GN29" s="366" t="str">
        <f>IF($AB29&gt;CDS.Tenor,"-",BS29*DR29*FQ29)</f>
        <v>-</v>
      </c>
      <c r="GO29" s="366" t="str">
        <f>IF($AB29&gt;CDS.Tenor,"-",BT29*DS29*FR29)</f>
        <v>-</v>
      </c>
      <c r="GP29" s="366" t="str">
        <f>IF($AB29&gt;CDS.Tenor,"-",BU29*DT29*FS29)</f>
        <v>-</v>
      </c>
      <c r="GQ29" s="366" t="str">
        <f>IF($AB29&gt;CDS.Tenor,"-",BV29*DU29*FT29)</f>
        <v>-</v>
      </c>
      <c r="GR29" s="366" t="str">
        <f>IF($AB29&gt;CDS.Tenor,"-",BW29*DV29*FU29)</f>
        <v>-</v>
      </c>
      <c r="GS29" s="366" t="str">
        <f>IF($AB29&gt;CDS.Tenor,"-",BX29*DW29*FV29)</f>
        <v>-</v>
      </c>
      <c r="GT29" s="366" t="str">
        <f>IF($AB29&gt;CDS.Tenor,"-",BY29*DX29*FW29)</f>
        <v>-</v>
      </c>
      <c r="GU29" s="362" t="str">
        <f>IF($AB29&gt;CDS.Tenor,"-",BZ29*DY29*FX29)</f>
        <v>-</v>
      </c>
      <c r="GV29" s="42"/>
      <c r="GW29" s="370">
        <f t="shared" si="121"/>
        <v>6.25</v>
      </c>
      <c r="GX29" s="378" t="str">
        <f>IF($AB29&gt;CDS.Tenor,"-",SUMPRODUCT($GA29:$GU29,$GA$4:$GU$4)*dm)</f>
        <v>-</v>
      </c>
      <c r="GY29" s="381" t="str">
        <f>IF($AB29&gt;CDS.Tenor,"-",GX28-GX29)</f>
        <v>-</v>
      </c>
    </row>
    <row r="30" spans="2:207" x14ac:dyDescent="0.3">
      <c r="B30" s="346" t="str">
        <f>"'Credit Curve "&amp;CreditRef3&amp;"'!Calibration.Times"</f>
        <v>'Credit Curve NVDA'!Calibration.Times</v>
      </c>
      <c r="J30" s="156">
        <f t="shared" si="103"/>
        <v>6.5</v>
      </c>
      <c r="K30" s="28" t="str">
        <f>IF($J30&gt;CDS.Tenor,"-",CDS.PremiumSign*CDS.Notional*CDS.YearFraction*CDS.CreditSpread)</f>
        <v>-</v>
      </c>
      <c r="L30" s="10" t="str">
        <f>GX30</f>
        <v>-</v>
      </c>
      <c r="M30" s="10" t="str">
        <f>IF($J30&gt;CDS.Tenor,"-",L29-L30)</f>
        <v>-</v>
      </c>
      <c r="N30" s="94" t="str" cm="1">
        <f t="array" ref="N30">IF($J30&gt;CDS.Tenor,"-",cubicInterpolation(CurveResults.Times,CurveResults.DFs,$J30))</f>
        <v>-</v>
      </c>
      <c r="O30" s="28" t="str">
        <f>IF($J30&gt;CDS.Tenor,"-",K30*L30*N30)</f>
        <v>-</v>
      </c>
      <c r="P30" s="28" t="str">
        <f>IF($J30&gt;CDS.Tenor,"-",0.5*K30*M30*N30)</f>
        <v>-</v>
      </c>
      <c r="Q30" s="142" t="str">
        <f>IF($J30&gt;CDS.Tenor,"-",O30+P30)</f>
        <v>-</v>
      </c>
      <c r="T30" s="156">
        <f t="shared" si="104"/>
        <v>6.5</v>
      </c>
      <c r="U30" s="28" t="str">
        <f>IF($J30&gt;CDS.Tenor,"-",CDS.ProtectionSign*CDS.Notional*(1-CDS.RecoveryRate))</f>
        <v>-</v>
      </c>
      <c r="V30" s="10" t="str">
        <f>IF($J30&gt;CDS.Tenor,"-",GX30)</f>
        <v>-</v>
      </c>
      <c r="W30" s="10" t="str">
        <f>IF($J30&gt;CDS.Tenor,"-",V29-V30)</f>
        <v>-</v>
      </c>
      <c r="X30" s="94" t="str" cm="1">
        <f t="array" ref="X30">IF($T30&gt;CDS.Tenor,"-",cubicInterpolation(CurveResults.Times,CurveResults.DFs,$J30))</f>
        <v>-</v>
      </c>
      <c r="Y30" s="142" t="str">
        <f>IF($J30&gt;CDS.Tenor,"-",U30*W30*X30)</f>
        <v>-</v>
      </c>
      <c r="AB30" s="156">
        <f t="shared" si="105"/>
        <v>6.5</v>
      </c>
      <c r="AC30" s="352" t="str" cm="1">
        <f t="array" aca="1" ref="AC30" ca="1">IF($AB30&gt;CDS.Tenor,"-",flatInterpolation(AA30,INDIRECT(HazardRateTimes1),INDIRECT(HazardRateValues1)))</f>
        <v>-</v>
      </c>
      <c r="AD30" s="10" t="str">
        <f t="shared" si="106"/>
        <v>-</v>
      </c>
      <c r="AE30" s="10" t="str">
        <f t="shared" si="107"/>
        <v>-</v>
      </c>
      <c r="AF30" s="360" t="str">
        <f>IF($AB30&gt;CDS.Tenor,"-",NORMSINV(AE30))</f>
        <v>-</v>
      </c>
      <c r="AG30" s="360"/>
      <c r="AH30" s="370">
        <f t="shared" si="108"/>
        <v>6.5</v>
      </c>
      <c r="AI30" s="366" t="str">
        <f>IF($AB30&gt;CDS.Tenor,"-",_xlfn.NORM.S.DIST(($AF30-SQRT(ImpliedCorrelation)*AI$3)/SQRT(1-ImpliedCorrelation),TRUE))</f>
        <v>-</v>
      </c>
      <c r="AJ30" s="366" t="str">
        <f>IF($AB30&gt;CDS.Tenor,"-",_xlfn.NORM.S.DIST(($AF30-SQRT(ImpliedCorrelation)*AJ$3)/SQRT(1-ImpliedCorrelation),TRUE))</f>
        <v>-</v>
      </c>
      <c r="AK30" s="366" t="str">
        <f>IF($AB30&gt;CDS.Tenor,"-",_xlfn.NORM.S.DIST(($AF30-SQRT(ImpliedCorrelation)*AK$3)/SQRT(1-ImpliedCorrelation),TRUE))</f>
        <v>-</v>
      </c>
      <c r="AL30" s="366" t="str">
        <f>IF($AB30&gt;CDS.Tenor,"-",_xlfn.NORM.S.DIST(($AF30-SQRT(ImpliedCorrelation)*AL$3)/SQRT(1-ImpliedCorrelation),TRUE))</f>
        <v>-</v>
      </c>
      <c r="AM30" s="366" t="str">
        <f>IF($AB30&gt;CDS.Tenor,"-",_xlfn.NORM.S.DIST(($AF30-SQRT(ImpliedCorrelation)*AM$3)/SQRT(1-ImpliedCorrelation),TRUE))</f>
        <v>-</v>
      </c>
      <c r="AN30" s="366" t="str">
        <f>IF($AB30&gt;CDS.Tenor,"-",_xlfn.NORM.S.DIST(($AF30-SQRT(ImpliedCorrelation)*AN$3)/SQRT(1-ImpliedCorrelation),TRUE))</f>
        <v>-</v>
      </c>
      <c r="AO30" s="366" t="str">
        <f>IF($AB30&gt;CDS.Tenor,"-",_xlfn.NORM.S.DIST(($AF30-SQRT(ImpliedCorrelation)*AO$3)/SQRT(1-ImpliedCorrelation),TRUE))</f>
        <v>-</v>
      </c>
      <c r="AP30" s="366" t="str">
        <f>IF($AB30&gt;CDS.Tenor,"-",_xlfn.NORM.S.DIST(($AF30-SQRT(ImpliedCorrelation)*AP$3)/SQRT(1-ImpliedCorrelation),TRUE))</f>
        <v>-</v>
      </c>
      <c r="AQ30" s="366" t="str">
        <f>IF($AB30&gt;CDS.Tenor,"-",_xlfn.NORM.S.DIST(($AF30-SQRT(ImpliedCorrelation)*AQ$3)/SQRT(1-ImpliedCorrelation),TRUE))</f>
        <v>-</v>
      </c>
      <c r="AR30" s="366" t="str">
        <f>IF($AB30&gt;CDS.Tenor,"-",_xlfn.NORM.S.DIST(($AF30-SQRT(ImpliedCorrelation)*AR$3)/SQRT(1-ImpliedCorrelation),TRUE))</f>
        <v>-</v>
      </c>
      <c r="AS30" s="366" t="str">
        <f>IF($AB30&gt;CDS.Tenor,"-",_xlfn.NORM.S.DIST(($AF30-SQRT(ImpliedCorrelation)*AS$3)/SQRT(1-ImpliedCorrelation),TRUE))</f>
        <v>-</v>
      </c>
      <c r="AT30" s="366" t="str">
        <f>IF($AB30&gt;CDS.Tenor,"-",_xlfn.NORM.S.DIST(($AF30-SQRT(ImpliedCorrelation)*AT$3)/SQRT(1-ImpliedCorrelation),TRUE))</f>
        <v>-</v>
      </c>
      <c r="AU30" s="366" t="str">
        <f>IF($AB30&gt;CDS.Tenor,"-",_xlfn.NORM.S.DIST(($AF30-SQRT(ImpliedCorrelation)*AU$3)/SQRT(1-ImpliedCorrelation),TRUE))</f>
        <v>-</v>
      </c>
      <c r="AV30" s="366" t="str">
        <f>IF($AB30&gt;CDS.Tenor,"-",_xlfn.NORM.S.DIST(($AF30-SQRT(ImpliedCorrelation)*AV$3)/SQRT(1-ImpliedCorrelation),TRUE))</f>
        <v>-</v>
      </c>
      <c r="AW30" s="366" t="str">
        <f>IF($AB30&gt;CDS.Tenor,"-",_xlfn.NORM.S.DIST(($AF30-SQRT(ImpliedCorrelation)*AW$3)/SQRT(1-ImpliedCorrelation),TRUE))</f>
        <v>-</v>
      </c>
      <c r="AX30" s="366" t="str">
        <f>IF($AB30&gt;CDS.Tenor,"-",_xlfn.NORM.S.DIST(($AF30-SQRT(ImpliedCorrelation)*AX$3)/SQRT(1-ImpliedCorrelation),TRUE))</f>
        <v>-</v>
      </c>
      <c r="AY30" s="366" t="str">
        <f>IF($AB30&gt;CDS.Tenor,"-",_xlfn.NORM.S.DIST(($AF30-SQRT(ImpliedCorrelation)*AY$3)/SQRT(1-ImpliedCorrelation),TRUE))</f>
        <v>-</v>
      </c>
      <c r="AZ30" s="366" t="str">
        <f>IF($AB30&gt;CDS.Tenor,"-",_xlfn.NORM.S.DIST(($AF30-SQRT(ImpliedCorrelation)*AZ$3)/SQRT(1-ImpliedCorrelation),TRUE))</f>
        <v>-</v>
      </c>
      <c r="BA30" s="366" t="str">
        <f>IF($AB30&gt;CDS.Tenor,"-",_xlfn.NORM.S.DIST(($AF30-SQRT(ImpliedCorrelation)*BA$3)/SQRT(1-ImpliedCorrelation),TRUE))</f>
        <v>-</v>
      </c>
      <c r="BB30" s="366" t="str">
        <f>IF($AB30&gt;CDS.Tenor,"-",_xlfn.NORM.S.DIST(($AF30-SQRT(ImpliedCorrelation)*BB$3)/SQRT(1-ImpliedCorrelation),TRUE))</f>
        <v>-</v>
      </c>
      <c r="BC30" s="366" t="str">
        <f>IF($AB30&gt;CDS.Tenor,"-",_xlfn.NORM.S.DIST(($AF30-SQRT(ImpliedCorrelation)*BC$3)/SQRT(1-ImpliedCorrelation),TRUE))</f>
        <v>-</v>
      </c>
      <c r="BD30" s="366"/>
      <c r="BE30" s="370">
        <f t="shared" si="109"/>
        <v>6.5</v>
      </c>
      <c r="BF30" s="366" t="str">
        <f>IF($AB30&gt;CDS.Tenor,"-",1-AI30)</f>
        <v>-</v>
      </c>
      <c r="BG30" s="366" t="str">
        <f>IF($AB30&gt;CDS.Tenor,"-",1-AJ30)</f>
        <v>-</v>
      </c>
      <c r="BH30" s="366" t="str">
        <f>IF($AB30&gt;CDS.Tenor,"-",1-AK30)</f>
        <v>-</v>
      </c>
      <c r="BI30" s="366" t="str">
        <f>IF($AB30&gt;CDS.Tenor,"-",1-AL30)</f>
        <v>-</v>
      </c>
      <c r="BJ30" s="366" t="str">
        <f>IF($AB30&gt;CDS.Tenor,"-",1-AM30)</f>
        <v>-</v>
      </c>
      <c r="BK30" s="366" t="str">
        <f>IF($AB30&gt;CDS.Tenor,"-",1-AN30)</f>
        <v>-</v>
      </c>
      <c r="BL30" s="366" t="str">
        <f>IF($AB30&gt;CDS.Tenor,"-",1-AO30)</f>
        <v>-</v>
      </c>
      <c r="BM30" s="366" t="str">
        <f>IF($AB30&gt;CDS.Tenor,"-",1-AP30)</f>
        <v>-</v>
      </c>
      <c r="BN30" s="366" t="str">
        <f>IF($AB30&gt;CDS.Tenor,"-",1-AQ30)</f>
        <v>-</v>
      </c>
      <c r="BO30" s="366" t="str">
        <f>IF($AB30&gt;CDS.Tenor,"-",1-AR30)</f>
        <v>-</v>
      </c>
      <c r="BP30" s="366" t="str">
        <f>IF($AB30&gt;CDS.Tenor,"-",1-AS30)</f>
        <v>-</v>
      </c>
      <c r="BQ30" s="366" t="str">
        <f>IF($AB30&gt;CDS.Tenor,"-",1-AT30)</f>
        <v>-</v>
      </c>
      <c r="BR30" s="366" t="str">
        <f>IF($AB30&gt;CDS.Tenor,"-",1-AU30)</f>
        <v>-</v>
      </c>
      <c r="BS30" s="366" t="str">
        <f>IF($AB30&gt;CDS.Tenor,"-",1-AV30)</f>
        <v>-</v>
      </c>
      <c r="BT30" s="366" t="str">
        <f>IF($AB30&gt;CDS.Tenor,"-",1-AW30)</f>
        <v>-</v>
      </c>
      <c r="BU30" s="366" t="str">
        <f>IF($AB30&gt;CDS.Tenor,"-",1-AX30)</f>
        <v>-</v>
      </c>
      <c r="BV30" s="366" t="str">
        <f>IF($AB30&gt;CDS.Tenor,"-",1-AY30)</f>
        <v>-</v>
      </c>
      <c r="BW30" s="366" t="str">
        <f>IF($AB30&gt;CDS.Tenor,"-",1-AZ30)</f>
        <v>-</v>
      </c>
      <c r="BX30" s="366" t="str">
        <f>IF($AB30&gt;CDS.Tenor,"-",1-BA30)</f>
        <v>-</v>
      </c>
      <c r="BY30" s="366" t="str">
        <f>IF($AB30&gt;CDS.Tenor,"-",1-BB30)</f>
        <v>-</v>
      </c>
      <c r="BZ30" s="366" t="str">
        <f>IF($AB30&gt;CDS.Tenor,"-",1-BC30)</f>
        <v>-</v>
      </c>
      <c r="CA30" s="17"/>
      <c r="CB30" s="352" t="str" cm="1">
        <f t="array" aca="1" ref="CB30" ca="1">IF($AB30&gt;CDS.Tenor,"-",flatInterpolation(AB30,INDIRECT(HazardRateTimes2),INDIRECT(HazardRateValues2)))</f>
        <v>-</v>
      </c>
      <c r="CC30" s="10" t="str">
        <f t="shared" si="110"/>
        <v>-</v>
      </c>
      <c r="CD30" s="10" t="str">
        <f t="shared" si="111"/>
        <v>-</v>
      </c>
      <c r="CE30" s="81" t="str">
        <f t="shared" si="112"/>
        <v>-</v>
      </c>
      <c r="CF30" s="360"/>
      <c r="CG30" s="370">
        <f t="shared" si="113"/>
        <v>6.5</v>
      </c>
      <c r="CH30" s="366" t="str">
        <f>IF($AB30&gt;CDS.Tenor,"-",_xlfn.NORM.S.DIST(($CE30-SQRT(ImpliedCorrelation)*CH$3)/SQRT(1-ImpliedCorrelation),TRUE))</f>
        <v>-</v>
      </c>
      <c r="CI30" s="366" t="str">
        <f>IF($AB30&gt;CDS.Tenor,"-",_xlfn.NORM.S.DIST(($CE30-SQRT(ImpliedCorrelation)*CI$3)/SQRT(1-ImpliedCorrelation),TRUE))</f>
        <v>-</v>
      </c>
      <c r="CJ30" s="366" t="str">
        <f>IF($AB30&gt;CDS.Tenor,"-",_xlfn.NORM.S.DIST(($CE30-SQRT(ImpliedCorrelation)*CJ$3)/SQRT(1-ImpliedCorrelation),TRUE))</f>
        <v>-</v>
      </c>
      <c r="CK30" s="366" t="str">
        <f>IF($AB30&gt;CDS.Tenor,"-",_xlfn.NORM.S.DIST(($CE30-SQRT(ImpliedCorrelation)*CK$3)/SQRT(1-ImpliedCorrelation),TRUE))</f>
        <v>-</v>
      </c>
      <c r="CL30" s="366" t="str">
        <f>IF($AB30&gt;CDS.Tenor,"-",_xlfn.NORM.S.DIST(($CE30-SQRT(ImpliedCorrelation)*CL$3)/SQRT(1-ImpliedCorrelation),TRUE))</f>
        <v>-</v>
      </c>
      <c r="CM30" s="366" t="str">
        <f>IF($AB30&gt;CDS.Tenor,"-",_xlfn.NORM.S.DIST(($CE30-SQRT(ImpliedCorrelation)*CM$3)/SQRT(1-ImpliedCorrelation),TRUE))</f>
        <v>-</v>
      </c>
      <c r="CN30" s="366" t="str">
        <f>IF($AB30&gt;CDS.Tenor,"-",_xlfn.NORM.S.DIST(($CE30-SQRT(ImpliedCorrelation)*CN$3)/SQRT(1-ImpliedCorrelation),TRUE))</f>
        <v>-</v>
      </c>
      <c r="CO30" s="366" t="str">
        <f>IF($AB30&gt;CDS.Tenor,"-",_xlfn.NORM.S.DIST(($CE30-SQRT(ImpliedCorrelation)*CO$3)/SQRT(1-ImpliedCorrelation),TRUE))</f>
        <v>-</v>
      </c>
      <c r="CP30" s="366" t="str">
        <f>IF($AB30&gt;CDS.Tenor,"-",_xlfn.NORM.S.DIST(($CE30-SQRT(ImpliedCorrelation)*CP$3)/SQRT(1-ImpliedCorrelation),TRUE))</f>
        <v>-</v>
      </c>
      <c r="CQ30" s="366" t="str">
        <f>IF($AB30&gt;CDS.Tenor,"-",_xlfn.NORM.S.DIST(($CE30-SQRT(ImpliedCorrelation)*CQ$3)/SQRT(1-ImpliedCorrelation),TRUE))</f>
        <v>-</v>
      </c>
      <c r="CR30" s="366" t="str">
        <f>IF($AB30&gt;CDS.Tenor,"-",_xlfn.NORM.S.DIST(($CE30-SQRT(ImpliedCorrelation)*CR$3)/SQRT(1-ImpliedCorrelation),TRUE))</f>
        <v>-</v>
      </c>
      <c r="CS30" s="366" t="str">
        <f>IF($AB30&gt;CDS.Tenor,"-",_xlfn.NORM.S.DIST(($CE30-SQRT(ImpliedCorrelation)*CS$3)/SQRT(1-ImpliedCorrelation),TRUE))</f>
        <v>-</v>
      </c>
      <c r="CT30" s="366" t="str">
        <f>IF($AB30&gt;CDS.Tenor,"-",_xlfn.NORM.S.DIST(($CE30-SQRT(ImpliedCorrelation)*CT$3)/SQRT(1-ImpliedCorrelation),TRUE))</f>
        <v>-</v>
      </c>
      <c r="CU30" s="366" t="str">
        <f>IF($AB30&gt;CDS.Tenor,"-",_xlfn.NORM.S.DIST(($CE30-SQRT(ImpliedCorrelation)*CU$3)/SQRT(1-ImpliedCorrelation),TRUE))</f>
        <v>-</v>
      </c>
      <c r="CV30" s="366" t="str">
        <f>IF($AB30&gt;CDS.Tenor,"-",_xlfn.NORM.S.DIST(($CE30-SQRT(ImpliedCorrelation)*CV$3)/SQRT(1-ImpliedCorrelation),TRUE))</f>
        <v>-</v>
      </c>
      <c r="CW30" s="366" t="str">
        <f>IF($AB30&gt;CDS.Tenor,"-",_xlfn.NORM.S.DIST(($CE30-SQRT(ImpliedCorrelation)*CW$3)/SQRT(1-ImpliedCorrelation),TRUE))</f>
        <v>-</v>
      </c>
      <c r="CX30" s="366" t="str">
        <f>IF($AB30&gt;CDS.Tenor,"-",_xlfn.NORM.S.DIST(($CE30-SQRT(ImpliedCorrelation)*CX$3)/SQRT(1-ImpliedCorrelation),TRUE))</f>
        <v>-</v>
      </c>
      <c r="CY30" s="366" t="str">
        <f>IF($AB30&gt;CDS.Tenor,"-",_xlfn.NORM.S.DIST(($CE30-SQRT(ImpliedCorrelation)*CY$3)/SQRT(1-ImpliedCorrelation),TRUE))</f>
        <v>-</v>
      </c>
      <c r="CZ30" s="366" t="str">
        <f>IF($AB30&gt;CDS.Tenor,"-",_xlfn.NORM.S.DIST(($CE30-SQRT(ImpliedCorrelation)*CZ$3)/SQRT(1-ImpliedCorrelation),TRUE))</f>
        <v>-</v>
      </c>
      <c r="DA30" s="366" t="str">
        <f>IF($AB30&gt;CDS.Tenor,"-",_xlfn.NORM.S.DIST(($CE30-SQRT(ImpliedCorrelation)*DA$3)/SQRT(1-ImpliedCorrelation),TRUE))</f>
        <v>-</v>
      </c>
      <c r="DB30" s="366" t="str">
        <f>IF($AB30&gt;CDS.Tenor,"-",_xlfn.NORM.S.DIST(($CE30-SQRT(ImpliedCorrelation)*DB$3)/SQRT(1-ImpliedCorrelation),TRUE))</f>
        <v>-</v>
      </c>
      <c r="DC30" s="366"/>
      <c r="DD30" s="370">
        <f t="shared" si="114"/>
        <v>6.5</v>
      </c>
      <c r="DE30" s="366" t="str">
        <f>IF($AB30&gt;CDS.Tenor,"-",1-CH30)</f>
        <v>-</v>
      </c>
      <c r="DF30" s="366" t="str">
        <f>IF($AB30&gt;CDS.Tenor,"-",1-CI30)</f>
        <v>-</v>
      </c>
      <c r="DG30" s="366" t="str">
        <f>IF($AB30&gt;CDS.Tenor,"-",1-CJ30)</f>
        <v>-</v>
      </c>
      <c r="DH30" s="366" t="str">
        <f>IF($AB30&gt;CDS.Tenor,"-",1-CK30)</f>
        <v>-</v>
      </c>
      <c r="DI30" s="366" t="str">
        <f>IF($AB30&gt;CDS.Tenor,"-",1-CL30)</f>
        <v>-</v>
      </c>
      <c r="DJ30" s="366" t="str">
        <f>IF($AB30&gt;CDS.Tenor,"-",1-CM30)</f>
        <v>-</v>
      </c>
      <c r="DK30" s="366" t="str">
        <f>IF($AB30&gt;CDS.Tenor,"-",1-CN30)</f>
        <v>-</v>
      </c>
      <c r="DL30" s="366" t="str">
        <f>IF($AB30&gt;CDS.Tenor,"-",1-CO30)</f>
        <v>-</v>
      </c>
      <c r="DM30" s="366" t="str">
        <f>IF($AB30&gt;CDS.Tenor,"-",1-CP30)</f>
        <v>-</v>
      </c>
      <c r="DN30" s="366" t="str">
        <f>IF($AB30&gt;CDS.Tenor,"-",1-CQ30)</f>
        <v>-</v>
      </c>
      <c r="DO30" s="366" t="str">
        <f>IF($AB30&gt;CDS.Tenor,"-",1-CR30)</f>
        <v>-</v>
      </c>
      <c r="DP30" s="366" t="str">
        <f>IF($AB30&gt;CDS.Tenor,"-",1-CS30)</f>
        <v>-</v>
      </c>
      <c r="DQ30" s="366" t="str">
        <f>IF($AB30&gt;CDS.Tenor,"-",1-CT30)</f>
        <v>-</v>
      </c>
      <c r="DR30" s="366" t="str">
        <f>IF($AB30&gt;CDS.Tenor,"-",1-CU30)</f>
        <v>-</v>
      </c>
      <c r="DS30" s="366" t="str">
        <f>IF($AB30&gt;CDS.Tenor,"-",1-CV30)</f>
        <v>-</v>
      </c>
      <c r="DT30" s="366" t="str">
        <f>IF($AB30&gt;CDS.Tenor,"-",1-CW30)</f>
        <v>-</v>
      </c>
      <c r="DU30" s="366" t="str">
        <f>IF($AB30&gt;CDS.Tenor,"-",1-CX30)</f>
        <v>-</v>
      </c>
      <c r="DV30" s="366" t="str">
        <f>IF($AB30&gt;CDS.Tenor,"-",1-CY30)</f>
        <v>-</v>
      </c>
      <c r="DW30" s="366" t="str">
        <f>IF($AB30&gt;CDS.Tenor,"-",1-CZ30)</f>
        <v>-</v>
      </c>
      <c r="DX30" s="366" t="str">
        <f>IF($AB30&gt;CDS.Tenor,"-",1-DA30)</f>
        <v>-</v>
      </c>
      <c r="DY30" s="362" t="str">
        <f>IF($AB30&gt;CDS.Tenor,"-",1-DB30)</f>
        <v>-</v>
      </c>
      <c r="DZ30" s="360"/>
      <c r="EA30" s="352" t="str" cm="1">
        <f t="array" aca="1" ref="EA30" ca="1">IF($AB30&gt;CDS.Tenor,"-",flatInterpolation(CC30,INDIRECT(HazardRateTimes3),INDIRECT(HazardRateValues3)))</f>
        <v>-</v>
      </c>
      <c r="EB30" s="10" t="str">
        <f t="shared" si="115"/>
        <v>-</v>
      </c>
      <c r="EC30" s="10" t="str">
        <f t="shared" si="116"/>
        <v>-</v>
      </c>
      <c r="ED30" s="81" t="str">
        <f t="shared" si="117"/>
        <v>-</v>
      </c>
      <c r="EF30" s="370">
        <f t="shared" si="118"/>
        <v>6.5</v>
      </c>
      <c r="EG30" s="366" t="str">
        <f>IF($AB30&gt;CDS.Tenor,"-",_xlfn.NORM.S.DIST(($ED30-SQRT(ImpliedCorrelation)*EG$3)/SQRT(1-ImpliedCorrelation),TRUE))</f>
        <v>-</v>
      </c>
      <c r="EH30" s="366" t="str">
        <f>IF($AB30&gt;CDS.Tenor,"-",_xlfn.NORM.S.DIST(($ED30-SQRT(ImpliedCorrelation)*EH$3)/SQRT(1-ImpliedCorrelation),TRUE))</f>
        <v>-</v>
      </c>
      <c r="EI30" s="366" t="str">
        <f>IF($AB30&gt;CDS.Tenor,"-",_xlfn.NORM.S.DIST(($ED30-SQRT(ImpliedCorrelation)*EI$3)/SQRT(1-ImpliedCorrelation),TRUE))</f>
        <v>-</v>
      </c>
      <c r="EJ30" s="366" t="str">
        <f>IF($AB30&gt;CDS.Tenor,"-",_xlfn.NORM.S.DIST(($ED30-SQRT(ImpliedCorrelation)*EJ$3)/SQRT(1-ImpliedCorrelation),TRUE))</f>
        <v>-</v>
      </c>
      <c r="EK30" s="366" t="str">
        <f>IF($AB30&gt;CDS.Tenor,"-",_xlfn.NORM.S.DIST(($ED30-SQRT(ImpliedCorrelation)*EK$3)/SQRT(1-ImpliedCorrelation),TRUE))</f>
        <v>-</v>
      </c>
      <c r="EL30" s="366" t="str">
        <f>IF($AB30&gt;CDS.Tenor,"-",_xlfn.NORM.S.DIST(($ED30-SQRT(ImpliedCorrelation)*EL$3)/SQRT(1-ImpliedCorrelation),TRUE))</f>
        <v>-</v>
      </c>
      <c r="EM30" s="366" t="str">
        <f>IF($AB30&gt;CDS.Tenor,"-",_xlfn.NORM.S.DIST(($ED30-SQRT(ImpliedCorrelation)*EM$3)/SQRT(1-ImpliedCorrelation),TRUE))</f>
        <v>-</v>
      </c>
      <c r="EN30" s="366" t="str">
        <f>IF($AB30&gt;CDS.Tenor,"-",_xlfn.NORM.S.DIST(($ED30-SQRT(ImpliedCorrelation)*EN$3)/SQRT(1-ImpliedCorrelation),TRUE))</f>
        <v>-</v>
      </c>
      <c r="EO30" s="366" t="str">
        <f>IF($AB30&gt;CDS.Tenor,"-",_xlfn.NORM.S.DIST(($ED30-SQRT(ImpliedCorrelation)*EO$3)/SQRT(1-ImpliedCorrelation),TRUE))</f>
        <v>-</v>
      </c>
      <c r="EP30" s="366" t="str">
        <f>IF($AB30&gt;CDS.Tenor,"-",_xlfn.NORM.S.DIST(($ED30-SQRT(ImpliedCorrelation)*EP$3)/SQRT(1-ImpliedCorrelation),TRUE))</f>
        <v>-</v>
      </c>
      <c r="EQ30" s="366" t="str">
        <f>IF($AB30&gt;CDS.Tenor,"-",_xlfn.NORM.S.DIST(($ED30-SQRT(ImpliedCorrelation)*EQ$3)/SQRT(1-ImpliedCorrelation),TRUE))</f>
        <v>-</v>
      </c>
      <c r="ER30" s="366" t="str">
        <f>IF($AB30&gt;CDS.Tenor,"-",_xlfn.NORM.S.DIST(($ED30-SQRT(ImpliedCorrelation)*ER$3)/SQRT(1-ImpliedCorrelation),TRUE))</f>
        <v>-</v>
      </c>
      <c r="ES30" s="366" t="str">
        <f>IF($AB30&gt;CDS.Tenor,"-",_xlfn.NORM.S.DIST(($ED30-SQRT(ImpliedCorrelation)*ES$3)/SQRT(1-ImpliedCorrelation),TRUE))</f>
        <v>-</v>
      </c>
      <c r="ET30" s="366" t="str">
        <f>IF($AB30&gt;CDS.Tenor,"-",_xlfn.NORM.S.DIST(($ED30-SQRT(ImpliedCorrelation)*ET$3)/SQRT(1-ImpliedCorrelation),TRUE))</f>
        <v>-</v>
      </c>
      <c r="EU30" s="366" t="str">
        <f>IF($AB30&gt;CDS.Tenor,"-",_xlfn.NORM.S.DIST(($ED30-SQRT(ImpliedCorrelation)*EU$3)/SQRT(1-ImpliedCorrelation),TRUE))</f>
        <v>-</v>
      </c>
      <c r="EV30" s="366" t="str">
        <f>IF($AB30&gt;CDS.Tenor,"-",_xlfn.NORM.S.DIST(($ED30-SQRT(ImpliedCorrelation)*EV$3)/SQRT(1-ImpliedCorrelation),TRUE))</f>
        <v>-</v>
      </c>
      <c r="EW30" s="366" t="str">
        <f>IF($AB30&gt;CDS.Tenor,"-",_xlfn.NORM.S.DIST(($ED30-SQRT(ImpliedCorrelation)*EW$3)/SQRT(1-ImpliedCorrelation),TRUE))</f>
        <v>-</v>
      </c>
      <c r="EX30" s="366" t="str">
        <f>IF($AB30&gt;CDS.Tenor,"-",_xlfn.NORM.S.DIST(($ED30-SQRT(ImpliedCorrelation)*EX$3)/SQRT(1-ImpliedCorrelation),TRUE))</f>
        <v>-</v>
      </c>
      <c r="EY30" s="366" t="str">
        <f>IF($AB30&gt;CDS.Tenor,"-",_xlfn.NORM.S.DIST(($ED30-SQRT(ImpliedCorrelation)*EY$3)/SQRT(1-ImpliedCorrelation),TRUE))</f>
        <v>-</v>
      </c>
      <c r="EZ30" s="366" t="str">
        <f>IF($AB30&gt;CDS.Tenor,"-",_xlfn.NORM.S.DIST(($ED30-SQRT(ImpliedCorrelation)*EZ$3)/SQRT(1-ImpliedCorrelation),TRUE))</f>
        <v>-</v>
      </c>
      <c r="FA30" s="366" t="str">
        <f>IF($AB30&gt;CDS.Tenor,"-",_xlfn.NORM.S.DIST(($ED30-SQRT(ImpliedCorrelation)*FA$3)/SQRT(1-ImpliedCorrelation),TRUE))</f>
        <v>-</v>
      </c>
      <c r="FB30" s="366"/>
      <c r="FC30" s="370">
        <f t="shared" si="119"/>
        <v>6.5</v>
      </c>
      <c r="FD30" s="366" t="str">
        <f>IF($AB30&gt;CDS.Tenor,"-",1-EG30)</f>
        <v>-</v>
      </c>
      <c r="FE30" s="366" t="str">
        <f>IF($AB30&gt;CDS.Tenor,"-",1-EH30)</f>
        <v>-</v>
      </c>
      <c r="FF30" s="366" t="str">
        <f>IF($AB30&gt;CDS.Tenor,"-",1-EI30)</f>
        <v>-</v>
      </c>
      <c r="FG30" s="366" t="str">
        <f>IF($AB30&gt;CDS.Tenor,"-",1-EJ30)</f>
        <v>-</v>
      </c>
      <c r="FH30" s="366" t="str">
        <f>IF($AB30&gt;CDS.Tenor,"-",1-EK30)</f>
        <v>-</v>
      </c>
      <c r="FI30" s="366" t="str">
        <f>IF($AB30&gt;CDS.Tenor,"-",1-EL30)</f>
        <v>-</v>
      </c>
      <c r="FJ30" s="366" t="str">
        <f>IF($AB30&gt;CDS.Tenor,"-",1-EM30)</f>
        <v>-</v>
      </c>
      <c r="FK30" s="366" t="str">
        <f>IF($AB30&gt;CDS.Tenor,"-",1-EN30)</f>
        <v>-</v>
      </c>
      <c r="FL30" s="366" t="str">
        <f>IF($AB30&gt;CDS.Tenor,"-",1-EO30)</f>
        <v>-</v>
      </c>
      <c r="FM30" s="366" t="str">
        <f>IF($AB30&gt;CDS.Tenor,"-",1-EP30)</f>
        <v>-</v>
      </c>
      <c r="FN30" s="366" t="str">
        <f>IF($AB30&gt;CDS.Tenor,"-",1-EQ30)</f>
        <v>-</v>
      </c>
      <c r="FO30" s="366" t="str">
        <f>IF($AB30&gt;CDS.Tenor,"-",1-ER30)</f>
        <v>-</v>
      </c>
      <c r="FP30" s="366" t="str">
        <f>IF($AB30&gt;CDS.Tenor,"-",1-ES30)</f>
        <v>-</v>
      </c>
      <c r="FQ30" s="366" t="str">
        <f>IF($AB30&gt;CDS.Tenor,"-",1-ET30)</f>
        <v>-</v>
      </c>
      <c r="FR30" s="366" t="str">
        <f>IF($AB30&gt;CDS.Tenor,"-",1-EU30)</f>
        <v>-</v>
      </c>
      <c r="FS30" s="366" t="str">
        <f>IF($AB30&gt;CDS.Tenor,"-",1-EV30)</f>
        <v>-</v>
      </c>
      <c r="FT30" s="366" t="str">
        <f>IF($AB30&gt;CDS.Tenor,"-",1-EW30)</f>
        <v>-</v>
      </c>
      <c r="FU30" s="366" t="str">
        <f>IF($AB30&gt;CDS.Tenor,"-",1-EX30)</f>
        <v>-</v>
      </c>
      <c r="FV30" s="366" t="str">
        <f>IF($AB30&gt;CDS.Tenor,"-",1-EY30)</f>
        <v>-</v>
      </c>
      <c r="FW30" s="366" t="str">
        <f>IF($AB30&gt;CDS.Tenor,"-",1-EZ30)</f>
        <v>-</v>
      </c>
      <c r="FX30" s="362" t="str">
        <f>IF($AB30&gt;CDS.Tenor,"-",1-FA30)</f>
        <v>-</v>
      </c>
      <c r="FZ30" s="370">
        <f t="shared" si="120"/>
        <v>6.5</v>
      </c>
      <c r="GA30" s="366" t="str">
        <f>IF($AB30&gt;CDS.Tenor,"-",BF30*DE30*FD30)</f>
        <v>-</v>
      </c>
      <c r="GB30" s="366" t="str">
        <f>IF($AB30&gt;CDS.Tenor,"-",BG30*DF30*FE30)</f>
        <v>-</v>
      </c>
      <c r="GC30" s="366" t="str">
        <f>IF($AB30&gt;CDS.Tenor,"-",BH30*DG30*FF30)</f>
        <v>-</v>
      </c>
      <c r="GD30" s="366" t="str">
        <f>IF($AB30&gt;CDS.Tenor,"-",BI30*DH30*FG30)</f>
        <v>-</v>
      </c>
      <c r="GE30" s="366" t="str">
        <f>IF($AB30&gt;CDS.Tenor,"-",BJ30*DI30*FH30)</f>
        <v>-</v>
      </c>
      <c r="GF30" s="366" t="str">
        <f>IF($AB30&gt;CDS.Tenor,"-",BK30*DJ30*FI30)</f>
        <v>-</v>
      </c>
      <c r="GG30" s="366" t="str">
        <f>IF($AB30&gt;CDS.Tenor,"-",BL30*DK30*FJ30)</f>
        <v>-</v>
      </c>
      <c r="GH30" s="366" t="str">
        <f>IF($AB30&gt;CDS.Tenor,"-",BM30*DL30*FK30)</f>
        <v>-</v>
      </c>
      <c r="GI30" s="366" t="str">
        <f>IF($AB30&gt;CDS.Tenor,"-",BN30*DM30*FL30)</f>
        <v>-</v>
      </c>
      <c r="GJ30" s="366" t="str">
        <f>IF($AB30&gt;CDS.Tenor,"-",BO30*DN30*FM30)</f>
        <v>-</v>
      </c>
      <c r="GK30" s="366" t="str">
        <f>IF($AB30&gt;CDS.Tenor,"-",BP30*DO30*FN30)</f>
        <v>-</v>
      </c>
      <c r="GL30" s="366" t="str">
        <f>IF($AB30&gt;CDS.Tenor,"-",BQ30*DP30*FO30)</f>
        <v>-</v>
      </c>
      <c r="GM30" s="366" t="str">
        <f>IF($AB30&gt;CDS.Tenor,"-",BR30*DQ30*FP30)</f>
        <v>-</v>
      </c>
      <c r="GN30" s="366" t="str">
        <f>IF($AB30&gt;CDS.Tenor,"-",BS30*DR30*FQ30)</f>
        <v>-</v>
      </c>
      <c r="GO30" s="366" t="str">
        <f>IF($AB30&gt;CDS.Tenor,"-",BT30*DS30*FR30)</f>
        <v>-</v>
      </c>
      <c r="GP30" s="366" t="str">
        <f>IF($AB30&gt;CDS.Tenor,"-",BU30*DT30*FS30)</f>
        <v>-</v>
      </c>
      <c r="GQ30" s="366" t="str">
        <f>IF($AB30&gt;CDS.Tenor,"-",BV30*DU30*FT30)</f>
        <v>-</v>
      </c>
      <c r="GR30" s="366" t="str">
        <f>IF($AB30&gt;CDS.Tenor,"-",BW30*DV30*FU30)</f>
        <v>-</v>
      </c>
      <c r="GS30" s="366" t="str">
        <f>IF($AB30&gt;CDS.Tenor,"-",BX30*DW30*FV30)</f>
        <v>-</v>
      </c>
      <c r="GT30" s="366" t="str">
        <f>IF($AB30&gt;CDS.Tenor,"-",BY30*DX30*FW30)</f>
        <v>-</v>
      </c>
      <c r="GU30" s="362" t="str">
        <f>IF($AB30&gt;CDS.Tenor,"-",BZ30*DY30*FX30)</f>
        <v>-</v>
      </c>
      <c r="GV30" s="42"/>
      <c r="GW30" s="370">
        <f t="shared" si="121"/>
        <v>6.5</v>
      </c>
      <c r="GX30" s="378" t="str">
        <f>IF($AB30&gt;CDS.Tenor,"-",SUMPRODUCT($GA30:$GU30,$GA$4:$GU$4)*dm)</f>
        <v>-</v>
      </c>
      <c r="GY30" s="381" t="str">
        <f>IF($AB30&gt;CDS.Tenor,"-",GX29-GX30)</f>
        <v>-</v>
      </c>
    </row>
    <row r="31" spans="2:207" x14ac:dyDescent="0.3">
      <c r="B31" s="346" t="str">
        <f>"'Credit Curve "&amp;CreditRef3&amp;"'!Calibration.HazardRates"</f>
        <v>'Credit Curve NVDA'!Calibration.HazardRates</v>
      </c>
      <c r="J31" s="156">
        <f t="shared" si="103"/>
        <v>6.75</v>
      </c>
      <c r="K31" s="28" t="str">
        <f>IF($J31&gt;CDS.Tenor,"-",CDS.PremiumSign*CDS.Notional*CDS.YearFraction*CDS.CreditSpread)</f>
        <v>-</v>
      </c>
      <c r="L31" s="10" t="str">
        <f>GX31</f>
        <v>-</v>
      </c>
      <c r="M31" s="10" t="str">
        <f>IF($J31&gt;CDS.Tenor,"-",L30-L31)</f>
        <v>-</v>
      </c>
      <c r="N31" s="94" t="str" cm="1">
        <f t="array" ref="N31">IF($J31&gt;CDS.Tenor,"-",cubicInterpolation(CurveResults.Times,CurveResults.DFs,$J31))</f>
        <v>-</v>
      </c>
      <c r="O31" s="28" t="str">
        <f>IF($J31&gt;CDS.Tenor,"-",K31*L31*N31)</f>
        <v>-</v>
      </c>
      <c r="P31" s="28" t="str">
        <f>IF($J31&gt;CDS.Tenor,"-",0.5*K31*M31*N31)</f>
        <v>-</v>
      </c>
      <c r="Q31" s="142" t="str">
        <f>IF($J31&gt;CDS.Tenor,"-",O31+P31)</f>
        <v>-</v>
      </c>
      <c r="T31" s="156">
        <f t="shared" si="104"/>
        <v>6.75</v>
      </c>
      <c r="U31" s="28" t="str">
        <f>IF($J31&gt;CDS.Tenor,"-",CDS.ProtectionSign*CDS.Notional*(1-CDS.RecoveryRate))</f>
        <v>-</v>
      </c>
      <c r="V31" s="10" t="str">
        <f>IF($J31&gt;CDS.Tenor,"-",GX31)</f>
        <v>-</v>
      </c>
      <c r="W31" s="10" t="str">
        <f>IF($J31&gt;CDS.Tenor,"-",V30-V31)</f>
        <v>-</v>
      </c>
      <c r="X31" s="94" t="str" cm="1">
        <f t="array" ref="X31">IF($T31&gt;CDS.Tenor,"-",cubicInterpolation(CurveResults.Times,CurveResults.DFs,$J31))</f>
        <v>-</v>
      </c>
      <c r="Y31" s="142" t="str">
        <f>IF($J31&gt;CDS.Tenor,"-",U31*W31*X31)</f>
        <v>-</v>
      </c>
      <c r="AB31" s="156">
        <f t="shared" si="105"/>
        <v>6.75</v>
      </c>
      <c r="AC31" s="352" t="str" cm="1">
        <f t="array" aca="1" ref="AC31" ca="1">IF($AB31&gt;CDS.Tenor,"-",flatInterpolation(AA31,INDIRECT(HazardRateTimes1),INDIRECT(HazardRateValues1)))</f>
        <v>-</v>
      </c>
      <c r="AD31" s="10" t="str">
        <f t="shared" si="106"/>
        <v>-</v>
      </c>
      <c r="AE31" s="10" t="str">
        <f t="shared" si="107"/>
        <v>-</v>
      </c>
      <c r="AF31" s="360" t="str">
        <f>IF($AB31&gt;CDS.Tenor,"-",NORMSINV(AE31))</f>
        <v>-</v>
      </c>
      <c r="AG31" s="360"/>
      <c r="AH31" s="370">
        <f t="shared" si="108"/>
        <v>6.75</v>
      </c>
      <c r="AI31" s="366" t="str">
        <f>IF($AB31&gt;CDS.Tenor,"-",_xlfn.NORM.S.DIST(($AF31-SQRT(ImpliedCorrelation)*AI$3)/SQRT(1-ImpliedCorrelation),TRUE))</f>
        <v>-</v>
      </c>
      <c r="AJ31" s="366" t="str">
        <f>IF($AB31&gt;CDS.Tenor,"-",_xlfn.NORM.S.DIST(($AF31-SQRT(ImpliedCorrelation)*AJ$3)/SQRT(1-ImpliedCorrelation),TRUE))</f>
        <v>-</v>
      </c>
      <c r="AK31" s="366" t="str">
        <f>IF($AB31&gt;CDS.Tenor,"-",_xlfn.NORM.S.DIST(($AF31-SQRT(ImpliedCorrelation)*AK$3)/SQRT(1-ImpliedCorrelation),TRUE))</f>
        <v>-</v>
      </c>
      <c r="AL31" s="366" t="str">
        <f>IF($AB31&gt;CDS.Tenor,"-",_xlfn.NORM.S.DIST(($AF31-SQRT(ImpliedCorrelation)*AL$3)/SQRT(1-ImpliedCorrelation),TRUE))</f>
        <v>-</v>
      </c>
      <c r="AM31" s="366" t="str">
        <f>IF($AB31&gt;CDS.Tenor,"-",_xlfn.NORM.S.DIST(($AF31-SQRT(ImpliedCorrelation)*AM$3)/SQRT(1-ImpliedCorrelation),TRUE))</f>
        <v>-</v>
      </c>
      <c r="AN31" s="366" t="str">
        <f>IF($AB31&gt;CDS.Tenor,"-",_xlfn.NORM.S.DIST(($AF31-SQRT(ImpliedCorrelation)*AN$3)/SQRT(1-ImpliedCorrelation),TRUE))</f>
        <v>-</v>
      </c>
      <c r="AO31" s="366" t="str">
        <f>IF($AB31&gt;CDS.Tenor,"-",_xlfn.NORM.S.DIST(($AF31-SQRT(ImpliedCorrelation)*AO$3)/SQRT(1-ImpliedCorrelation),TRUE))</f>
        <v>-</v>
      </c>
      <c r="AP31" s="366" t="str">
        <f>IF($AB31&gt;CDS.Tenor,"-",_xlfn.NORM.S.DIST(($AF31-SQRT(ImpliedCorrelation)*AP$3)/SQRT(1-ImpliedCorrelation),TRUE))</f>
        <v>-</v>
      </c>
      <c r="AQ31" s="366" t="str">
        <f>IF($AB31&gt;CDS.Tenor,"-",_xlfn.NORM.S.DIST(($AF31-SQRT(ImpliedCorrelation)*AQ$3)/SQRT(1-ImpliedCorrelation),TRUE))</f>
        <v>-</v>
      </c>
      <c r="AR31" s="366" t="str">
        <f>IF($AB31&gt;CDS.Tenor,"-",_xlfn.NORM.S.DIST(($AF31-SQRT(ImpliedCorrelation)*AR$3)/SQRT(1-ImpliedCorrelation),TRUE))</f>
        <v>-</v>
      </c>
      <c r="AS31" s="366" t="str">
        <f>IF($AB31&gt;CDS.Tenor,"-",_xlfn.NORM.S.DIST(($AF31-SQRT(ImpliedCorrelation)*AS$3)/SQRT(1-ImpliedCorrelation),TRUE))</f>
        <v>-</v>
      </c>
      <c r="AT31" s="366" t="str">
        <f>IF($AB31&gt;CDS.Tenor,"-",_xlfn.NORM.S.DIST(($AF31-SQRT(ImpliedCorrelation)*AT$3)/SQRT(1-ImpliedCorrelation),TRUE))</f>
        <v>-</v>
      </c>
      <c r="AU31" s="366" t="str">
        <f>IF($AB31&gt;CDS.Tenor,"-",_xlfn.NORM.S.DIST(($AF31-SQRT(ImpliedCorrelation)*AU$3)/SQRT(1-ImpliedCorrelation),TRUE))</f>
        <v>-</v>
      </c>
      <c r="AV31" s="366" t="str">
        <f>IF($AB31&gt;CDS.Tenor,"-",_xlfn.NORM.S.DIST(($AF31-SQRT(ImpliedCorrelation)*AV$3)/SQRT(1-ImpliedCorrelation),TRUE))</f>
        <v>-</v>
      </c>
      <c r="AW31" s="366" t="str">
        <f>IF($AB31&gt;CDS.Tenor,"-",_xlfn.NORM.S.DIST(($AF31-SQRT(ImpliedCorrelation)*AW$3)/SQRT(1-ImpliedCorrelation),TRUE))</f>
        <v>-</v>
      </c>
      <c r="AX31" s="366" t="str">
        <f>IF($AB31&gt;CDS.Tenor,"-",_xlfn.NORM.S.DIST(($AF31-SQRT(ImpliedCorrelation)*AX$3)/SQRT(1-ImpliedCorrelation),TRUE))</f>
        <v>-</v>
      </c>
      <c r="AY31" s="366" t="str">
        <f>IF($AB31&gt;CDS.Tenor,"-",_xlfn.NORM.S.DIST(($AF31-SQRT(ImpliedCorrelation)*AY$3)/SQRT(1-ImpliedCorrelation),TRUE))</f>
        <v>-</v>
      </c>
      <c r="AZ31" s="366" t="str">
        <f>IF($AB31&gt;CDS.Tenor,"-",_xlfn.NORM.S.DIST(($AF31-SQRT(ImpliedCorrelation)*AZ$3)/SQRT(1-ImpliedCorrelation),TRUE))</f>
        <v>-</v>
      </c>
      <c r="BA31" s="366" t="str">
        <f>IF($AB31&gt;CDS.Tenor,"-",_xlfn.NORM.S.DIST(($AF31-SQRT(ImpliedCorrelation)*BA$3)/SQRT(1-ImpliedCorrelation),TRUE))</f>
        <v>-</v>
      </c>
      <c r="BB31" s="366" t="str">
        <f>IF($AB31&gt;CDS.Tenor,"-",_xlfn.NORM.S.DIST(($AF31-SQRT(ImpliedCorrelation)*BB$3)/SQRT(1-ImpliedCorrelation),TRUE))</f>
        <v>-</v>
      </c>
      <c r="BC31" s="366" t="str">
        <f>IF($AB31&gt;CDS.Tenor,"-",_xlfn.NORM.S.DIST(($AF31-SQRT(ImpliedCorrelation)*BC$3)/SQRT(1-ImpliedCorrelation),TRUE))</f>
        <v>-</v>
      </c>
      <c r="BD31" s="366"/>
      <c r="BE31" s="370">
        <f t="shared" si="109"/>
        <v>6.75</v>
      </c>
      <c r="BF31" s="366" t="str">
        <f>IF($AB31&gt;CDS.Tenor,"-",1-AI31)</f>
        <v>-</v>
      </c>
      <c r="BG31" s="366" t="str">
        <f>IF($AB31&gt;CDS.Tenor,"-",1-AJ31)</f>
        <v>-</v>
      </c>
      <c r="BH31" s="366" t="str">
        <f>IF($AB31&gt;CDS.Tenor,"-",1-AK31)</f>
        <v>-</v>
      </c>
      <c r="BI31" s="366" t="str">
        <f>IF($AB31&gt;CDS.Tenor,"-",1-AL31)</f>
        <v>-</v>
      </c>
      <c r="BJ31" s="366" t="str">
        <f>IF($AB31&gt;CDS.Tenor,"-",1-AM31)</f>
        <v>-</v>
      </c>
      <c r="BK31" s="366" t="str">
        <f>IF($AB31&gt;CDS.Tenor,"-",1-AN31)</f>
        <v>-</v>
      </c>
      <c r="BL31" s="366" t="str">
        <f>IF($AB31&gt;CDS.Tenor,"-",1-AO31)</f>
        <v>-</v>
      </c>
      <c r="BM31" s="366" t="str">
        <f>IF($AB31&gt;CDS.Tenor,"-",1-AP31)</f>
        <v>-</v>
      </c>
      <c r="BN31" s="366" t="str">
        <f>IF($AB31&gt;CDS.Tenor,"-",1-AQ31)</f>
        <v>-</v>
      </c>
      <c r="BO31" s="366" t="str">
        <f>IF($AB31&gt;CDS.Tenor,"-",1-AR31)</f>
        <v>-</v>
      </c>
      <c r="BP31" s="366" t="str">
        <f>IF($AB31&gt;CDS.Tenor,"-",1-AS31)</f>
        <v>-</v>
      </c>
      <c r="BQ31" s="366" t="str">
        <f>IF($AB31&gt;CDS.Tenor,"-",1-AT31)</f>
        <v>-</v>
      </c>
      <c r="BR31" s="366" t="str">
        <f>IF($AB31&gt;CDS.Tenor,"-",1-AU31)</f>
        <v>-</v>
      </c>
      <c r="BS31" s="366" t="str">
        <f>IF($AB31&gt;CDS.Tenor,"-",1-AV31)</f>
        <v>-</v>
      </c>
      <c r="BT31" s="366" t="str">
        <f>IF($AB31&gt;CDS.Tenor,"-",1-AW31)</f>
        <v>-</v>
      </c>
      <c r="BU31" s="366" t="str">
        <f>IF($AB31&gt;CDS.Tenor,"-",1-AX31)</f>
        <v>-</v>
      </c>
      <c r="BV31" s="366" t="str">
        <f>IF($AB31&gt;CDS.Tenor,"-",1-AY31)</f>
        <v>-</v>
      </c>
      <c r="BW31" s="366" t="str">
        <f>IF($AB31&gt;CDS.Tenor,"-",1-AZ31)</f>
        <v>-</v>
      </c>
      <c r="BX31" s="366" t="str">
        <f>IF($AB31&gt;CDS.Tenor,"-",1-BA31)</f>
        <v>-</v>
      </c>
      <c r="BY31" s="366" t="str">
        <f>IF($AB31&gt;CDS.Tenor,"-",1-BB31)</f>
        <v>-</v>
      </c>
      <c r="BZ31" s="366" t="str">
        <f>IF($AB31&gt;CDS.Tenor,"-",1-BC31)</f>
        <v>-</v>
      </c>
      <c r="CA31" s="17"/>
      <c r="CB31" s="352" t="str" cm="1">
        <f t="array" aca="1" ref="CB31" ca="1">IF($AB31&gt;CDS.Tenor,"-",flatInterpolation(AB31,INDIRECT(HazardRateTimes2),INDIRECT(HazardRateValues2)))</f>
        <v>-</v>
      </c>
      <c r="CC31" s="10" t="str">
        <f t="shared" si="110"/>
        <v>-</v>
      </c>
      <c r="CD31" s="10" t="str">
        <f t="shared" si="111"/>
        <v>-</v>
      </c>
      <c r="CE31" s="81" t="str">
        <f t="shared" si="112"/>
        <v>-</v>
      </c>
      <c r="CF31" s="360"/>
      <c r="CG31" s="370">
        <f t="shared" si="113"/>
        <v>6.75</v>
      </c>
      <c r="CH31" s="366" t="str">
        <f>IF($AB31&gt;CDS.Tenor,"-",_xlfn.NORM.S.DIST(($CE31-SQRT(ImpliedCorrelation)*CH$3)/SQRT(1-ImpliedCorrelation),TRUE))</f>
        <v>-</v>
      </c>
      <c r="CI31" s="366" t="str">
        <f>IF($AB31&gt;CDS.Tenor,"-",_xlfn.NORM.S.DIST(($CE31-SQRT(ImpliedCorrelation)*CI$3)/SQRT(1-ImpliedCorrelation),TRUE))</f>
        <v>-</v>
      </c>
      <c r="CJ31" s="366" t="str">
        <f>IF($AB31&gt;CDS.Tenor,"-",_xlfn.NORM.S.DIST(($CE31-SQRT(ImpliedCorrelation)*CJ$3)/SQRT(1-ImpliedCorrelation),TRUE))</f>
        <v>-</v>
      </c>
      <c r="CK31" s="366" t="str">
        <f>IF($AB31&gt;CDS.Tenor,"-",_xlfn.NORM.S.DIST(($CE31-SQRT(ImpliedCorrelation)*CK$3)/SQRT(1-ImpliedCorrelation),TRUE))</f>
        <v>-</v>
      </c>
      <c r="CL31" s="366" t="str">
        <f>IF($AB31&gt;CDS.Tenor,"-",_xlfn.NORM.S.DIST(($CE31-SQRT(ImpliedCorrelation)*CL$3)/SQRT(1-ImpliedCorrelation),TRUE))</f>
        <v>-</v>
      </c>
      <c r="CM31" s="366" t="str">
        <f>IF($AB31&gt;CDS.Tenor,"-",_xlfn.NORM.S.DIST(($CE31-SQRT(ImpliedCorrelation)*CM$3)/SQRT(1-ImpliedCorrelation),TRUE))</f>
        <v>-</v>
      </c>
      <c r="CN31" s="366" t="str">
        <f>IF($AB31&gt;CDS.Tenor,"-",_xlfn.NORM.S.DIST(($CE31-SQRT(ImpliedCorrelation)*CN$3)/SQRT(1-ImpliedCorrelation),TRUE))</f>
        <v>-</v>
      </c>
      <c r="CO31" s="366" t="str">
        <f>IF($AB31&gt;CDS.Tenor,"-",_xlfn.NORM.S.DIST(($CE31-SQRT(ImpliedCorrelation)*CO$3)/SQRT(1-ImpliedCorrelation),TRUE))</f>
        <v>-</v>
      </c>
      <c r="CP31" s="366" t="str">
        <f>IF($AB31&gt;CDS.Tenor,"-",_xlfn.NORM.S.DIST(($CE31-SQRT(ImpliedCorrelation)*CP$3)/SQRT(1-ImpliedCorrelation),TRUE))</f>
        <v>-</v>
      </c>
      <c r="CQ31" s="366" t="str">
        <f>IF($AB31&gt;CDS.Tenor,"-",_xlfn.NORM.S.DIST(($CE31-SQRT(ImpliedCorrelation)*CQ$3)/SQRT(1-ImpliedCorrelation),TRUE))</f>
        <v>-</v>
      </c>
      <c r="CR31" s="366" t="str">
        <f>IF($AB31&gt;CDS.Tenor,"-",_xlfn.NORM.S.DIST(($CE31-SQRT(ImpliedCorrelation)*CR$3)/SQRT(1-ImpliedCorrelation),TRUE))</f>
        <v>-</v>
      </c>
      <c r="CS31" s="366" t="str">
        <f>IF($AB31&gt;CDS.Tenor,"-",_xlfn.NORM.S.DIST(($CE31-SQRT(ImpliedCorrelation)*CS$3)/SQRT(1-ImpliedCorrelation),TRUE))</f>
        <v>-</v>
      </c>
      <c r="CT31" s="366" t="str">
        <f>IF($AB31&gt;CDS.Tenor,"-",_xlfn.NORM.S.DIST(($CE31-SQRT(ImpliedCorrelation)*CT$3)/SQRT(1-ImpliedCorrelation),TRUE))</f>
        <v>-</v>
      </c>
      <c r="CU31" s="366" t="str">
        <f>IF($AB31&gt;CDS.Tenor,"-",_xlfn.NORM.S.DIST(($CE31-SQRT(ImpliedCorrelation)*CU$3)/SQRT(1-ImpliedCorrelation),TRUE))</f>
        <v>-</v>
      </c>
      <c r="CV31" s="366" t="str">
        <f>IF($AB31&gt;CDS.Tenor,"-",_xlfn.NORM.S.DIST(($CE31-SQRT(ImpliedCorrelation)*CV$3)/SQRT(1-ImpliedCorrelation),TRUE))</f>
        <v>-</v>
      </c>
      <c r="CW31" s="366" t="str">
        <f>IF($AB31&gt;CDS.Tenor,"-",_xlfn.NORM.S.DIST(($CE31-SQRT(ImpliedCorrelation)*CW$3)/SQRT(1-ImpliedCorrelation),TRUE))</f>
        <v>-</v>
      </c>
      <c r="CX31" s="366" t="str">
        <f>IF($AB31&gt;CDS.Tenor,"-",_xlfn.NORM.S.DIST(($CE31-SQRT(ImpliedCorrelation)*CX$3)/SQRT(1-ImpliedCorrelation),TRUE))</f>
        <v>-</v>
      </c>
      <c r="CY31" s="366" t="str">
        <f>IF($AB31&gt;CDS.Tenor,"-",_xlfn.NORM.S.DIST(($CE31-SQRT(ImpliedCorrelation)*CY$3)/SQRT(1-ImpliedCorrelation),TRUE))</f>
        <v>-</v>
      </c>
      <c r="CZ31" s="366" t="str">
        <f>IF($AB31&gt;CDS.Tenor,"-",_xlfn.NORM.S.DIST(($CE31-SQRT(ImpliedCorrelation)*CZ$3)/SQRT(1-ImpliedCorrelation),TRUE))</f>
        <v>-</v>
      </c>
      <c r="DA31" s="366" t="str">
        <f>IF($AB31&gt;CDS.Tenor,"-",_xlfn.NORM.S.DIST(($CE31-SQRT(ImpliedCorrelation)*DA$3)/SQRT(1-ImpliedCorrelation),TRUE))</f>
        <v>-</v>
      </c>
      <c r="DB31" s="366" t="str">
        <f>IF($AB31&gt;CDS.Tenor,"-",_xlfn.NORM.S.DIST(($CE31-SQRT(ImpliedCorrelation)*DB$3)/SQRT(1-ImpliedCorrelation),TRUE))</f>
        <v>-</v>
      </c>
      <c r="DC31" s="366"/>
      <c r="DD31" s="370">
        <f t="shared" si="114"/>
        <v>6.75</v>
      </c>
      <c r="DE31" s="366" t="str">
        <f>IF($AB31&gt;CDS.Tenor,"-",1-CH31)</f>
        <v>-</v>
      </c>
      <c r="DF31" s="366" t="str">
        <f>IF($AB31&gt;CDS.Tenor,"-",1-CI31)</f>
        <v>-</v>
      </c>
      <c r="DG31" s="366" t="str">
        <f>IF($AB31&gt;CDS.Tenor,"-",1-CJ31)</f>
        <v>-</v>
      </c>
      <c r="DH31" s="366" t="str">
        <f>IF($AB31&gt;CDS.Tenor,"-",1-CK31)</f>
        <v>-</v>
      </c>
      <c r="DI31" s="366" t="str">
        <f>IF($AB31&gt;CDS.Tenor,"-",1-CL31)</f>
        <v>-</v>
      </c>
      <c r="DJ31" s="366" t="str">
        <f>IF($AB31&gt;CDS.Tenor,"-",1-CM31)</f>
        <v>-</v>
      </c>
      <c r="DK31" s="366" t="str">
        <f>IF($AB31&gt;CDS.Tenor,"-",1-CN31)</f>
        <v>-</v>
      </c>
      <c r="DL31" s="366" t="str">
        <f>IF($AB31&gt;CDS.Tenor,"-",1-CO31)</f>
        <v>-</v>
      </c>
      <c r="DM31" s="366" t="str">
        <f>IF($AB31&gt;CDS.Tenor,"-",1-CP31)</f>
        <v>-</v>
      </c>
      <c r="DN31" s="366" t="str">
        <f>IF($AB31&gt;CDS.Tenor,"-",1-CQ31)</f>
        <v>-</v>
      </c>
      <c r="DO31" s="366" t="str">
        <f>IF($AB31&gt;CDS.Tenor,"-",1-CR31)</f>
        <v>-</v>
      </c>
      <c r="DP31" s="366" t="str">
        <f>IF($AB31&gt;CDS.Tenor,"-",1-CS31)</f>
        <v>-</v>
      </c>
      <c r="DQ31" s="366" t="str">
        <f>IF($AB31&gt;CDS.Tenor,"-",1-CT31)</f>
        <v>-</v>
      </c>
      <c r="DR31" s="366" t="str">
        <f>IF($AB31&gt;CDS.Tenor,"-",1-CU31)</f>
        <v>-</v>
      </c>
      <c r="DS31" s="366" t="str">
        <f>IF($AB31&gt;CDS.Tenor,"-",1-CV31)</f>
        <v>-</v>
      </c>
      <c r="DT31" s="366" t="str">
        <f>IF($AB31&gt;CDS.Tenor,"-",1-CW31)</f>
        <v>-</v>
      </c>
      <c r="DU31" s="366" t="str">
        <f>IF($AB31&gt;CDS.Tenor,"-",1-CX31)</f>
        <v>-</v>
      </c>
      <c r="DV31" s="366" t="str">
        <f>IF($AB31&gt;CDS.Tenor,"-",1-CY31)</f>
        <v>-</v>
      </c>
      <c r="DW31" s="366" t="str">
        <f>IF($AB31&gt;CDS.Tenor,"-",1-CZ31)</f>
        <v>-</v>
      </c>
      <c r="DX31" s="366" t="str">
        <f>IF($AB31&gt;CDS.Tenor,"-",1-DA31)</f>
        <v>-</v>
      </c>
      <c r="DY31" s="362" t="str">
        <f>IF($AB31&gt;CDS.Tenor,"-",1-DB31)</f>
        <v>-</v>
      </c>
      <c r="DZ31" s="360"/>
      <c r="EA31" s="352" t="str" cm="1">
        <f t="array" aca="1" ref="EA31" ca="1">IF($AB31&gt;CDS.Tenor,"-",flatInterpolation(CC31,INDIRECT(HazardRateTimes3),INDIRECT(HazardRateValues3)))</f>
        <v>-</v>
      </c>
      <c r="EB31" s="10" t="str">
        <f t="shared" si="115"/>
        <v>-</v>
      </c>
      <c r="EC31" s="10" t="str">
        <f t="shared" si="116"/>
        <v>-</v>
      </c>
      <c r="ED31" s="81" t="str">
        <f t="shared" si="117"/>
        <v>-</v>
      </c>
      <c r="EF31" s="370">
        <f t="shared" si="118"/>
        <v>6.75</v>
      </c>
      <c r="EG31" s="366" t="str">
        <f>IF($AB31&gt;CDS.Tenor,"-",_xlfn.NORM.S.DIST(($ED31-SQRT(ImpliedCorrelation)*EG$3)/SQRT(1-ImpliedCorrelation),TRUE))</f>
        <v>-</v>
      </c>
      <c r="EH31" s="366" t="str">
        <f>IF($AB31&gt;CDS.Tenor,"-",_xlfn.NORM.S.DIST(($ED31-SQRT(ImpliedCorrelation)*EH$3)/SQRT(1-ImpliedCorrelation),TRUE))</f>
        <v>-</v>
      </c>
      <c r="EI31" s="366" t="str">
        <f>IF($AB31&gt;CDS.Tenor,"-",_xlfn.NORM.S.DIST(($ED31-SQRT(ImpliedCorrelation)*EI$3)/SQRT(1-ImpliedCorrelation),TRUE))</f>
        <v>-</v>
      </c>
      <c r="EJ31" s="366" t="str">
        <f>IF($AB31&gt;CDS.Tenor,"-",_xlfn.NORM.S.DIST(($ED31-SQRT(ImpliedCorrelation)*EJ$3)/SQRT(1-ImpliedCorrelation),TRUE))</f>
        <v>-</v>
      </c>
      <c r="EK31" s="366" t="str">
        <f>IF($AB31&gt;CDS.Tenor,"-",_xlfn.NORM.S.DIST(($ED31-SQRT(ImpliedCorrelation)*EK$3)/SQRT(1-ImpliedCorrelation),TRUE))</f>
        <v>-</v>
      </c>
      <c r="EL31" s="366" t="str">
        <f>IF($AB31&gt;CDS.Tenor,"-",_xlfn.NORM.S.DIST(($ED31-SQRT(ImpliedCorrelation)*EL$3)/SQRT(1-ImpliedCorrelation),TRUE))</f>
        <v>-</v>
      </c>
      <c r="EM31" s="366" t="str">
        <f>IF($AB31&gt;CDS.Tenor,"-",_xlfn.NORM.S.DIST(($ED31-SQRT(ImpliedCorrelation)*EM$3)/SQRT(1-ImpliedCorrelation),TRUE))</f>
        <v>-</v>
      </c>
      <c r="EN31" s="366" t="str">
        <f>IF($AB31&gt;CDS.Tenor,"-",_xlfn.NORM.S.DIST(($ED31-SQRT(ImpliedCorrelation)*EN$3)/SQRT(1-ImpliedCorrelation),TRUE))</f>
        <v>-</v>
      </c>
      <c r="EO31" s="366" t="str">
        <f>IF($AB31&gt;CDS.Tenor,"-",_xlfn.NORM.S.DIST(($ED31-SQRT(ImpliedCorrelation)*EO$3)/SQRT(1-ImpliedCorrelation),TRUE))</f>
        <v>-</v>
      </c>
      <c r="EP31" s="366" t="str">
        <f>IF($AB31&gt;CDS.Tenor,"-",_xlfn.NORM.S.DIST(($ED31-SQRT(ImpliedCorrelation)*EP$3)/SQRT(1-ImpliedCorrelation),TRUE))</f>
        <v>-</v>
      </c>
      <c r="EQ31" s="366" t="str">
        <f>IF($AB31&gt;CDS.Tenor,"-",_xlfn.NORM.S.DIST(($ED31-SQRT(ImpliedCorrelation)*EQ$3)/SQRT(1-ImpliedCorrelation),TRUE))</f>
        <v>-</v>
      </c>
      <c r="ER31" s="366" t="str">
        <f>IF($AB31&gt;CDS.Tenor,"-",_xlfn.NORM.S.DIST(($ED31-SQRT(ImpliedCorrelation)*ER$3)/SQRT(1-ImpliedCorrelation),TRUE))</f>
        <v>-</v>
      </c>
      <c r="ES31" s="366" t="str">
        <f>IF($AB31&gt;CDS.Tenor,"-",_xlfn.NORM.S.DIST(($ED31-SQRT(ImpliedCorrelation)*ES$3)/SQRT(1-ImpliedCorrelation),TRUE))</f>
        <v>-</v>
      </c>
      <c r="ET31" s="366" t="str">
        <f>IF($AB31&gt;CDS.Tenor,"-",_xlfn.NORM.S.DIST(($ED31-SQRT(ImpliedCorrelation)*ET$3)/SQRT(1-ImpliedCorrelation),TRUE))</f>
        <v>-</v>
      </c>
      <c r="EU31" s="366" t="str">
        <f>IF($AB31&gt;CDS.Tenor,"-",_xlfn.NORM.S.DIST(($ED31-SQRT(ImpliedCorrelation)*EU$3)/SQRT(1-ImpliedCorrelation),TRUE))</f>
        <v>-</v>
      </c>
      <c r="EV31" s="366" t="str">
        <f>IF($AB31&gt;CDS.Tenor,"-",_xlfn.NORM.S.DIST(($ED31-SQRT(ImpliedCorrelation)*EV$3)/SQRT(1-ImpliedCorrelation),TRUE))</f>
        <v>-</v>
      </c>
      <c r="EW31" s="366" t="str">
        <f>IF($AB31&gt;CDS.Tenor,"-",_xlfn.NORM.S.DIST(($ED31-SQRT(ImpliedCorrelation)*EW$3)/SQRT(1-ImpliedCorrelation),TRUE))</f>
        <v>-</v>
      </c>
      <c r="EX31" s="366" t="str">
        <f>IF($AB31&gt;CDS.Tenor,"-",_xlfn.NORM.S.DIST(($ED31-SQRT(ImpliedCorrelation)*EX$3)/SQRT(1-ImpliedCorrelation),TRUE))</f>
        <v>-</v>
      </c>
      <c r="EY31" s="366" t="str">
        <f>IF($AB31&gt;CDS.Tenor,"-",_xlfn.NORM.S.DIST(($ED31-SQRT(ImpliedCorrelation)*EY$3)/SQRT(1-ImpliedCorrelation),TRUE))</f>
        <v>-</v>
      </c>
      <c r="EZ31" s="366" t="str">
        <f>IF($AB31&gt;CDS.Tenor,"-",_xlfn.NORM.S.DIST(($ED31-SQRT(ImpliedCorrelation)*EZ$3)/SQRT(1-ImpliedCorrelation),TRUE))</f>
        <v>-</v>
      </c>
      <c r="FA31" s="366" t="str">
        <f>IF($AB31&gt;CDS.Tenor,"-",_xlfn.NORM.S.DIST(($ED31-SQRT(ImpliedCorrelation)*FA$3)/SQRT(1-ImpliedCorrelation),TRUE))</f>
        <v>-</v>
      </c>
      <c r="FB31" s="366"/>
      <c r="FC31" s="370">
        <f t="shared" si="119"/>
        <v>6.75</v>
      </c>
      <c r="FD31" s="366" t="str">
        <f>IF($AB31&gt;CDS.Tenor,"-",1-EG31)</f>
        <v>-</v>
      </c>
      <c r="FE31" s="366" t="str">
        <f>IF($AB31&gt;CDS.Tenor,"-",1-EH31)</f>
        <v>-</v>
      </c>
      <c r="FF31" s="366" t="str">
        <f>IF($AB31&gt;CDS.Tenor,"-",1-EI31)</f>
        <v>-</v>
      </c>
      <c r="FG31" s="366" t="str">
        <f>IF($AB31&gt;CDS.Tenor,"-",1-EJ31)</f>
        <v>-</v>
      </c>
      <c r="FH31" s="366" t="str">
        <f>IF($AB31&gt;CDS.Tenor,"-",1-EK31)</f>
        <v>-</v>
      </c>
      <c r="FI31" s="366" t="str">
        <f>IF($AB31&gt;CDS.Tenor,"-",1-EL31)</f>
        <v>-</v>
      </c>
      <c r="FJ31" s="366" t="str">
        <f>IF($AB31&gt;CDS.Tenor,"-",1-EM31)</f>
        <v>-</v>
      </c>
      <c r="FK31" s="366" t="str">
        <f>IF($AB31&gt;CDS.Tenor,"-",1-EN31)</f>
        <v>-</v>
      </c>
      <c r="FL31" s="366" t="str">
        <f>IF($AB31&gt;CDS.Tenor,"-",1-EO31)</f>
        <v>-</v>
      </c>
      <c r="FM31" s="366" t="str">
        <f>IF($AB31&gt;CDS.Tenor,"-",1-EP31)</f>
        <v>-</v>
      </c>
      <c r="FN31" s="366" t="str">
        <f>IF($AB31&gt;CDS.Tenor,"-",1-EQ31)</f>
        <v>-</v>
      </c>
      <c r="FO31" s="366" t="str">
        <f>IF($AB31&gt;CDS.Tenor,"-",1-ER31)</f>
        <v>-</v>
      </c>
      <c r="FP31" s="366" t="str">
        <f>IF($AB31&gt;CDS.Tenor,"-",1-ES31)</f>
        <v>-</v>
      </c>
      <c r="FQ31" s="366" t="str">
        <f>IF($AB31&gt;CDS.Tenor,"-",1-ET31)</f>
        <v>-</v>
      </c>
      <c r="FR31" s="366" t="str">
        <f>IF($AB31&gt;CDS.Tenor,"-",1-EU31)</f>
        <v>-</v>
      </c>
      <c r="FS31" s="366" t="str">
        <f>IF($AB31&gt;CDS.Tenor,"-",1-EV31)</f>
        <v>-</v>
      </c>
      <c r="FT31" s="366" t="str">
        <f>IF($AB31&gt;CDS.Tenor,"-",1-EW31)</f>
        <v>-</v>
      </c>
      <c r="FU31" s="366" t="str">
        <f>IF($AB31&gt;CDS.Tenor,"-",1-EX31)</f>
        <v>-</v>
      </c>
      <c r="FV31" s="366" t="str">
        <f>IF($AB31&gt;CDS.Tenor,"-",1-EY31)</f>
        <v>-</v>
      </c>
      <c r="FW31" s="366" t="str">
        <f>IF($AB31&gt;CDS.Tenor,"-",1-EZ31)</f>
        <v>-</v>
      </c>
      <c r="FX31" s="362" t="str">
        <f>IF($AB31&gt;CDS.Tenor,"-",1-FA31)</f>
        <v>-</v>
      </c>
      <c r="FZ31" s="370">
        <f t="shared" si="120"/>
        <v>6.75</v>
      </c>
      <c r="GA31" s="366" t="str">
        <f>IF($AB31&gt;CDS.Tenor,"-",BF31*DE31*FD31)</f>
        <v>-</v>
      </c>
      <c r="GB31" s="366" t="str">
        <f>IF($AB31&gt;CDS.Tenor,"-",BG31*DF31*FE31)</f>
        <v>-</v>
      </c>
      <c r="GC31" s="366" t="str">
        <f>IF($AB31&gt;CDS.Tenor,"-",BH31*DG31*FF31)</f>
        <v>-</v>
      </c>
      <c r="GD31" s="366" t="str">
        <f>IF($AB31&gt;CDS.Tenor,"-",BI31*DH31*FG31)</f>
        <v>-</v>
      </c>
      <c r="GE31" s="366" t="str">
        <f>IF($AB31&gt;CDS.Tenor,"-",BJ31*DI31*FH31)</f>
        <v>-</v>
      </c>
      <c r="GF31" s="366" t="str">
        <f>IF($AB31&gt;CDS.Tenor,"-",BK31*DJ31*FI31)</f>
        <v>-</v>
      </c>
      <c r="GG31" s="366" t="str">
        <f>IF($AB31&gt;CDS.Tenor,"-",BL31*DK31*FJ31)</f>
        <v>-</v>
      </c>
      <c r="GH31" s="366" t="str">
        <f>IF($AB31&gt;CDS.Tenor,"-",BM31*DL31*FK31)</f>
        <v>-</v>
      </c>
      <c r="GI31" s="366" t="str">
        <f>IF($AB31&gt;CDS.Tenor,"-",BN31*DM31*FL31)</f>
        <v>-</v>
      </c>
      <c r="GJ31" s="366" t="str">
        <f>IF($AB31&gt;CDS.Tenor,"-",BO31*DN31*FM31)</f>
        <v>-</v>
      </c>
      <c r="GK31" s="366" t="str">
        <f>IF($AB31&gt;CDS.Tenor,"-",BP31*DO31*FN31)</f>
        <v>-</v>
      </c>
      <c r="GL31" s="366" t="str">
        <f>IF($AB31&gt;CDS.Tenor,"-",BQ31*DP31*FO31)</f>
        <v>-</v>
      </c>
      <c r="GM31" s="366" t="str">
        <f>IF($AB31&gt;CDS.Tenor,"-",BR31*DQ31*FP31)</f>
        <v>-</v>
      </c>
      <c r="GN31" s="366" t="str">
        <f>IF($AB31&gt;CDS.Tenor,"-",BS31*DR31*FQ31)</f>
        <v>-</v>
      </c>
      <c r="GO31" s="366" t="str">
        <f>IF($AB31&gt;CDS.Tenor,"-",BT31*DS31*FR31)</f>
        <v>-</v>
      </c>
      <c r="GP31" s="366" t="str">
        <f>IF($AB31&gt;CDS.Tenor,"-",BU31*DT31*FS31)</f>
        <v>-</v>
      </c>
      <c r="GQ31" s="366" t="str">
        <f>IF($AB31&gt;CDS.Tenor,"-",BV31*DU31*FT31)</f>
        <v>-</v>
      </c>
      <c r="GR31" s="366" t="str">
        <f>IF($AB31&gt;CDS.Tenor,"-",BW31*DV31*FU31)</f>
        <v>-</v>
      </c>
      <c r="GS31" s="366" t="str">
        <f>IF($AB31&gt;CDS.Tenor,"-",BX31*DW31*FV31)</f>
        <v>-</v>
      </c>
      <c r="GT31" s="366" t="str">
        <f>IF($AB31&gt;CDS.Tenor,"-",BY31*DX31*FW31)</f>
        <v>-</v>
      </c>
      <c r="GU31" s="362" t="str">
        <f>IF($AB31&gt;CDS.Tenor,"-",BZ31*DY31*FX31)</f>
        <v>-</v>
      </c>
      <c r="GV31" s="42"/>
      <c r="GW31" s="370">
        <f t="shared" si="121"/>
        <v>6.75</v>
      </c>
      <c r="GX31" s="378" t="str">
        <f>IF($AB31&gt;CDS.Tenor,"-",SUMPRODUCT($GA31:$GU31,$GA$4:$GU$4)*dm)</f>
        <v>-</v>
      </c>
      <c r="GY31" s="381" t="str">
        <f>IF($AB31&gt;CDS.Tenor,"-",GX30-GX31)</f>
        <v>-</v>
      </c>
    </row>
    <row r="32" spans="2:207" x14ac:dyDescent="0.3">
      <c r="J32" s="156">
        <f t="shared" si="103"/>
        <v>7</v>
      </c>
      <c r="K32" s="28" t="str">
        <f>IF($J32&gt;CDS.Tenor,"-",CDS.PremiumSign*CDS.Notional*CDS.YearFraction*CDS.CreditSpread)</f>
        <v>-</v>
      </c>
      <c r="L32" s="10" t="str">
        <f>GX32</f>
        <v>-</v>
      </c>
      <c r="M32" s="10" t="str">
        <f>IF($J32&gt;CDS.Tenor,"-",L31-L32)</f>
        <v>-</v>
      </c>
      <c r="N32" s="94" t="str" cm="1">
        <f t="array" ref="N32">IF($J32&gt;CDS.Tenor,"-",cubicInterpolation(CurveResults.Times,CurveResults.DFs,$J32))</f>
        <v>-</v>
      </c>
      <c r="O32" s="28" t="str">
        <f>IF($J32&gt;CDS.Tenor,"-",K32*L32*N32)</f>
        <v>-</v>
      </c>
      <c r="P32" s="28" t="str">
        <f>IF($J32&gt;CDS.Tenor,"-",0.5*K32*M32*N32)</f>
        <v>-</v>
      </c>
      <c r="Q32" s="142" t="str">
        <f>IF($J32&gt;CDS.Tenor,"-",O32+P32)</f>
        <v>-</v>
      </c>
      <c r="T32" s="156">
        <f t="shared" si="104"/>
        <v>7</v>
      </c>
      <c r="U32" s="28" t="str">
        <f>IF($J32&gt;CDS.Tenor,"-",CDS.ProtectionSign*CDS.Notional*(1-CDS.RecoveryRate))</f>
        <v>-</v>
      </c>
      <c r="V32" s="10" t="str">
        <f>IF($J32&gt;CDS.Tenor,"-",GX32)</f>
        <v>-</v>
      </c>
      <c r="W32" s="10" t="str">
        <f>IF($J32&gt;CDS.Tenor,"-",V31-V32)</f>
        <v>-</v>
      </c>
      <c r="X32" s="94" t="str" cm="1">
        <f t="array" ref="X32">IF($T32&gt;CDS.Tenor,"-",cubicInterpolation(CurveResults.Times,CurveResults.DFs,$J32))</f>
        <v>-</v>
      </c>
      <c r="Y32" s="142" t="str">
        <f>IF($J32&gt;CDS.Tenor,"-",U32*W32*X32)</f>
        <v>-</v>
      </c>
      <c r="AB32" s="156">
        <f t="shared" si="105"/>
        <v>7</v>
      </c>
      <c r="AC32" s="352" t="str" cm="1">
        <f t="array" aca="1" ref="AC32" ca="1">IF($AB32&gt;CDS.Tenor,"-",flatInterpolation(AA32,INDIRECT(HazardRateTimes1),INDIRECT(HazardRateValues1)))</f>
        <v>-</v>
      </c>
      <c r="AD32" s="10" t="str">
        <f t="shared" si="106"/>
        <v>-</v>
      </c>
      <c r="AE32" s="10" t="str">
        <f t="shared" si="107"/>
        <v>-</v>
      </c>
      <c r="AF32" s="360" t="str">
        <f>IF($AB32&gt;CDS.Tenor,"-",NORMSINV(AE32))</f>
        <v>-</v>
      </c>
      <c r="AG32" s="360"/>
      <c r="AH32" s="370">
        <f t="shared" si="108"/>
        <v>7</v>
      </c>
      <c r="AI32" s="366" t="str">
        <f>IF($AB32&gt;CDS.Tenor,"-",_xlfn.NORM.S.DIST(($AF32-SQRT(ImpliedCorrelation)*AI$3)/SQRT(1-ImpliedCorrelation),TRUE))</f>
        <v>-</v>
      </c>
      <c r="AJ32" s="366" t="str">
        <f>IF($AB32&gt;CDS.Tenor,"-",_xlfn.NORM.S.DIST(($AF32-SQRT(ImpliedCorrelation)*AJ$3)/SQRT(1-ImpliedCorrelation),TRUE))</f>
        <v>-</v>
      </c>
      <c r="AK32" s="366" t="str">
        <f>IF($AB32&gt;CDS.Tenor,"-",_xlfn.NORM.S.DIST(($AF32-SQRT(ImpliedCorrelation)*AK$3)/SQRT(1-ImpliedCorrelation),TRUE))</f>
        <v>-</v>
      </c>
      <c r="AL32" s="366" t="str">
        <f>IF($AB32&gt;CDS.Tenor,"-",_xlfn.NORM.S.DIST(($AF32-SQRT(ImpliedCorrelation)*AL$3)/SQRT(1-ImpliedCorrelation),TRUE))</f>
        <v>-</v>
      </c>
      <c r="AM32" s="366" t="str">
        <f>IF($AB32&gt;CDS.Tenor,"-",_xlfn.NORM.S.DIST(($AF32-SQRT(ImpliedCorrelation)*AM$3)/SQRT(1-ImpliedCorrelation),TRUE))</f>
        <v>-</v>
      </c>
      <c r="AN32" s="366" t="str">
        <f>IF($AB32&gt;CDS.Tenor,"-",_xlfn.NORM.S.DIST(($AF32-SQRT(ImpliedCorrelation)*AN$3)/SQRT(1-ImpliedCorrelation),TRUE))</f>
        <v>-</v>
      </c>
      <c r="AO32" s="366" t="str">
        <f>IF($AB32&gt;CDS.Tenor,"-",_xlfn.NORM.S.DIST(($AF32-SQRT(ImpliedCorrelation)*AO$3)/SQRT(1-ImpliedCorrelation),TRUE))</f>
        <v>-</v>
      </c>
      <c r="AP32" s="366" t="str">
        <f>IF($AB32&gt;CDS.Tenor,"-",_xlfn.NORM.S.DIST(($AF32-SQRT(ImpliedCorrelation)*AP$3)/SQRT(1-ImpliedCorrelation),TRUE))</f>
        <v>-</v>
      </c>
      <c r="AQ32" s="366" t="str">
        <f>IF($AB32&gt;CDS.Tenor,"-",_xlfn.NORM.S.DIST(($AF32-SQRT(ImpliedCorrelation)*AQ$3)/SQRT(1-ImpliedCorrelation),TRUE))</f>
        <v>-</v>
      </c>
      <c r="AR32" s="366" t="str">
        <f>IF($AB32&gt;CDS.Tenor,"-",_xlfn.NORM.S.DIST(($AF32-SQRT(ImpliedCorrelation)*AR$3)/SQRT(1-ImpliedCorrelation),TRUE))</f>
        <v>-</v>
      </c>
      <c r="AS32" s="366" t="str">
        <f>IF($AB32&gt;CDS.Tenor,"-",_xlfn.NORM.S.DIST(($AF32-SQRT(ImpliedCorrelation)*AS$3)/SQRT(1-ImpliedCorrelation),TRUE))</f>
        <v>-</v>
      </c>
      <c r="AT32" s="366" t="str">
        <f>IF($AB32&gt;CDS.Tenor,"-",_xlfn.NORM.S.DIST(($AF32-SQRT(ImpliedCorrelation)*AT$3)/SQRT(1-ImpliedCorrelation),TRUE))</f>
        <v>-</v>
      </c>
      <c r="AU32" s="366" t="str">
        <f>IF($AB32&gt;CDS.Tenor,"-",_xlfn.NORM.S.DIST(($AF32-SQRT(ImpliedCorrelation)*AU$3)/SQRT(1-ImpliedCorrelation),TRUE))</f>
        <v>-</v>
      </c>
      <c r="AV32" s="366" t="str">
        <f>IF($AB32&gt;CDS.Tenor,"-",_xlfn.NORM.S.DIST(($AF32-SQRT(ImpliedCorrelation)*AV$3)/SQRT(1-ImpliedCorrelation),TRUE))</f>
        <v>-</v>
      </c>
      <c r="AW32" s="366" t="str">
        <f>IF($AB32&gt;CDS.Tenor,"-",_xlfn.NORM.S.DIST(($AF32-SQRT(ImpliedCorrelation)*AW$3)/SQRT(1-ImpliedCorrelation),TRUE))</f>
        <v>-</v>
      </c>
      <c r="AX32" s="366" t="str">
        <f>IF($AB32&gt;CDS.Tenor,"-",_xlfn.NORM.S.DIST(($AF32-SQRT(ImpliedCorrelation)*AX$3)/SQRT(1-ImpliedCorrelation),TRUE))</f>
        <v>-</v>
      </c>
      <c r="AY32" s="366" t="str">
        <f>IF($AB32&gt;CDS.Tenor,"-",_xlfn.NORM.S.DIST(($AF32-SQRT(ImpliedCorrelation)*AY$3)/SQRT(1-ImpliedCorrelation),TRUE))</f>
        <v>-</v>
      </c>
      <c r="AZ32" s="366" t="str">
        <f>IF($AB32&gt;CDS.Tenor,"-",_xlfn.NORM.S.DIST(($AF32-SQRT(ImpliedCorrelation)*AZ$3)/SQRT(1-ImpliedCorrelation),TRUE))</f>
        <v>-</v>
      </c>
      <c r="BA32" s="366" t="str">
        <f>IF($AB32&gt;CDS.Tenor,"-",_xlfn.NORM.S.DIST(($AF32-SQRT(ImpliedCorrelation)*BA$3)/SQRT(1-ImpliedCorrelation),TRUE))</f>
        <v>-</v>
      </c>
      <c r="BB32" s="366" t="str">
        <f>IF($AB32&gt;CDS.Tenor,"-",_xlfn.NORM.S.DIST(($AF32-SQRT(ImpliedCorrelation)*BB$3)/SQRT(1-ImpliedCorrelation),TRUE))</f>
        <v>-</v>
      </c>
      <c r="BC32" s="366" t="str">
        <f>IF($AB32&gt;CDS.Tenor,"-",_xlfn.NORM.S.DIST(($AF32-SQRT(ImpliedCorrelation)*BC$3)/SQRT(1-ImpliedCorrelation),TRUE))</f>
        <v>-</v>
      </c>
      <c r="BD32" s="366"/>
      <c r="BE32" s="370">
        <f t="shared" si="109"/>
        <v>7</v>
      </c>
      <c r="BF32" s="366" t="str">
        <f>IF($AB32&gt;CDS.Tenor,"-",1-AI32)</f>
        <v>-</v>
      </c>
      <c r="BG32" s="366" t="str">
        <f>IF($AB32&gt;CDS.Tenor,"-",1-AJ32)</f>
        <v>-</v>
      </c>
      <c r="BH32" s="366" t="str">
        <f>IF($AB32&gt;CDS.Tenor,"-",1-AK32)</f>
        <v>-</v>
      </c>
      <c r="BI32" s="366" t="str">
        <f>IF($AB32&gt;CDS.Tenor,"-",1-AL32)</f>
        <v>-</v>
      </c>
      <c r="BJ32" s="366" t="str">
        <f>IF($AB32&gt;CDS.Tenor,"-",1-AM32)</f>
        <v>-</v>
      </c>
      <c r="BK32" s="366" t="str">
        <f>IF($AB32&gt;CDS.Tenor,"-",1-AN32)</f>
        <v>-</v>
      </c>
      <c r="BL32" s="366" t="str">
        <f>IF($AB32&gt;CDS.Tenor,"-",1-AO32)</f>
        <v>-</v>
      </c>
      <c r="BM32" s="366" t="str">
        <f>IF($AB32&gt;CDS.Tenor,"-",1-AP32)</f>
        <v>-</v>
      </c>
      <c r="BN32" s="366" t="str">
        <f>IF($AB32&gt;CDS.Tenor,"-",1-AQ32)</f>
        <v>-</v>
      </c>
      <c r="BO32" s="366" t="str">
        <f>IF($AB32&gt;CDS.Tenor,"-",1-AR32)</f>
        <v>-</v>
      </c>
      <c r="BP32" s="366" t="str">
        <f>IF($AB32&gt;CDS.Tenor,"-",1-AS32)</f>
        <v>-</v>
      </c>
      <c r="BQ32" s="366" t="str">
        <f>IF($AB32&gt;CDS.Tenor,"-",1-AT32)</f>
        <v>-</v>
      </c>
      <c r="BR32" s="366" t="str">
        <f>IF($AB32&gt;CDS.Tenor,"-",1-AU32)</f>
        <v>-</v>
      </c>
      <c r="BS32" s="366" t="str">
        <f>IF($AB32&gt;CDS.Tenor,"-",1-AV32)</f>
        <v>-</v>
      </c>
      <c r="BT32" s="366" t="str">
        <f>IF($AB32&gt;CDS.Tenor,"-",1-AW32)</f>
        <v>-</v>
      </c>
      <c r="BU32" s="366" t="str">
        <f>IF($AB32&gt;CDS.Tenor,"-",1-AX32)</f>
        <v>-</v>
      </c>
      <c r="BV32" s="366" t="str">
        <f>IF($AB32&gt;CDS.Tenor,"-",1-AY32)</f>
        <v>-</v>
      </c>
      <c r="BW32" s="366" t="str">
        <f>IF($AB32&gt;CDS.Tenor,"-",1-AZ32)</f>
        <v>-</v>
      </c>
      <c r="BX32" s="366" t="str">
        <f>IF($AB32&gt;CDS.Tenor,"-",1-BA32)</f>
        <v>-</v>
      </c>
      <c r="BY32" s="366" t="str">
        <f>IF($AB32&gt;CDS.Tenor,"-",1-BB32)</f>
        <v>-</v>
      </c>
      <c r="BZ32" s="366" t="str">
        <f>IF($AB32&gt;CDS.Tenor,"-",1-BC32)</f>
        <v>-</v>
      </c>
      <c r="CA32" s="17"/>
      <c r="CB32" s="352" t="str" cm="1">
        <f t="array" aca="1" ref="CB32" ca="1">IF($AB32&gt;CDS.Tenor,"-",flatInterpolation(AB32,INDIRECT(HazardRateTimes2),INDIRECT(HazardRateValues2)))</f>
        <v>-</v>
      </c>
      <c r="CC32" s="10" t="str">
        <f t="shared" si="110"/>
        <v>-</v>
      </c>
      <c r="CD32" s="10" t="str">
        <f t="shared" si="111"/>
        <v>-</v>
      </c>
      <c r="CE32" s="81" t="str">
        <f t="shared" si="112"/>
        <v>-</v>
      </c>
      <c r="CF32" s="360"/>
      <c r="CG32" s="370">
        <f t="shared" si="113"/>
        <v>7</v>
      </c>
      <c r="CH32" s="366" t="str">
        <f>IF($AB32&gt;CDS.Tenor,"-",_xlfn.NORM.S.DIST(($CE32-SQRT(ImpliedCorrelation)*CH$3)/SQRT(1-ImpliedCorrelation),TRUE))</f>
        <v>-</v>
      </c>
      <c r="CI32" s="366" t="str">
        <f>IF($AB32&gt;CDS.Tenor,"-",_xlfn.NORM.S.DIST(($CE32-SQRT(ImpliedCorrelation)*CI$3)/SQRT(1-ImpliedCorrelation),TRUE))</f>
        <v>-</v>
      </c>
      <c r="CJ32" s="366" t="str">
        <f>IF($AB32&gt;CDS.Tenor,"-",_xlfn.NORM.S.DIST(($CE32-SQRT(ImpliedCorrelation)*CJ$3)/SQRT(1-ImpliedCorrelation),TRUE))</f>
        <v>-</v>
      </c>
      <c r="CK32" s="366" t="str">
        <f>IF($AB32&gt;CDS.Tenor,"-",_xlfn.NORM.S.DIST(($CE32-SQRT(ImpliedCorrelation)*CK$3)/SQRT(1-ImpliedCorrelation),TRUE))</f>
        <v>-</v>
      </c>
      <c r="CL32" s="366" t="str">
        <f>IF($AB32&gt;CDS.Tenor,"-",_xlfn.NORM.S.DIST(($CE32-SQRT(ImpliedCorrelation)*CL$3)/SQRT(1-ImpliedCorrelation),TRUE))</f>
        <v>-</v>
      </c>
      <c r="CM32" s="366" t="str">
        <f>IF($AB32&gt;CDS.Tenor,"-",_xlfn.NORM.S.DIST(($CE32-SQRT(ImpliedCorrelation)*CM$3)/SQRT(1-ImpliedCorrelation),TRUE))</f>
        <v>-</v>
      </c>
      <c r="CN32" s="366" t="str">
        <f>IF($AB32&gt;CDS.Tenor,"-",_xlfn.NORM.S.DIST(($CE32-SQRT(ImpliedCorrelation)*CN$3)/SQRT(1-ImpliedCorrelation),TRUE))</f>
        <v>-</v>
      </c>
      <c r="CO32" s="366" t="str">
        <f>IF($AB32&gt;CDS.Tenor,"-",_xlfn.NORM.S.DIST(($CE32-SQRT(ImpliedCorrelation)*CO$3)/SQRT(1-ImpliedCorrelation),TRUE))</f>
        <v>-</v>
      </c>
      <c r="CP32" s="366" t="str">
        <f>IF($AB32&gt;CDS.Tenor,"-",_xlfn.NORM.S.DIST(($CE32-SQRT(ImpliedCorrelation)*CP$3)/SQRT(1-ImpliedCorrelation),TRUE))</f>
        <v>-</v>
      </c>
      <c r="CQ32" s="366" t="str">
        <f>IF($AB32&gt;CDS.Tenor,"-",_xlfn.NORM.S.DIST(($CE32-SQRT(ImpliedCorrelation)*CQ$3)/SQRT(1-ImpliedCorrelation),TRUE))</f>
        <v>-</v>
      </c>
      <c r="CR32" s="366" t="str">
        <f>IF($AB32&gt;CDS.Tenor,"-",_xlfn.NORM.S.DIST(($CE32-SQRT(ImpliedCorrelation)*CR$3)/SQRT(1-ImpliedCorrelation),TRUE))</f>
        <v>-</v>
      </c>
      <c r="CS32" s="366" t="str">
        <f>IF($AB32&gt;CDS.Tenor,"-",_xlfn.NORM.S.DIST(($CE32-SQRT(ImpliedCorrelation)*CS$3)/SQRT(1-ImpliedCorrelation),TRUE))</f>
        <v>-</v>
      </c>
      <c r="CT32" s="366" t="str">
        <f>IF($AB32&gt;CDS.Tenor,"-",_xlfn.NORM.S.DIST(($CE32-SQRT(ImpliedCorrelation)*CT$3)/SQRT(1-ImpliedCorrelation),TRUE))</f>
        <v>-</v>
      </c>
      <c r="CU32" s="366" t="str">
        <f>IF($AB32&gt;CDS.Tenor,"-",_xlfn.NORM.S.DIST(($CE32-SQRT(ImpliedCorrelation)*CU$3)/SQRT(1-ImpliedCorrelation),TRUE))</f>
        <v>-</v>
      </c>
      <c r="CV32" s="366" t="str">
        <f>IF($AB32&gt;CDS.Tenor,"-",_xlfn.NORM.S.DIST(($CE32-SQRT(ImpliedCorrelation)*CV$3)/SQRT(1-ImpliedCorrelation),TRUE))</f>
        <v>-</v>
      </c>
      <c r="CW32" s="366" t="str">
        <f>IF($AB32&gt;CDS.Tenor,"-",_xlfn.NORM.S.DIST(($CE32-SQRT(ImpliedCorrelation)*CW$3)/SQRT(1-ImpliedCorrelation),TRUE))</f>
        <v>-</v>
      </c>
      <c r="CX32" s="366" t="str">
        <f>IF($AB32&gt;CDS.Tenor,"-",_xlfn.NORM.S.DIST(($CE32-SQRT(ImpliedCorrelation)*CX$3)/SQRT(1-ImpliedCorrelation),TRUE))</f>
        <v>-</v>
      </c>
      <c r="CY32" s="366" t="str">
        <f>IF($AB32&gt;CDS.Tenor,"-",_xlfn.NORM.S.DIST(($CE32-SQRT(ImpliedCorrelation)*CY$3)/SQRT(1-ImpliedCorrelation),TRUE))</f>
        <v>-</v>
      </c>
      <c r="CZ32" s="366" t="str">
        <f>IF($AB32&gt;CDS.Tenor,"-",_xlfn.NORM.S.DIST(($CE32-SQRT(ImpliedCorrelation)*CZ$3)/SQRT(1-ImpliedCorrelation),TRUE))</f>
        <v>-</v>
      </c>
      <c r="DA32" s="366" t="str">
        <f>IF($AB32&gt;CDS.Tenor,"-",_xlfn.NORM.S.DIST(($CE32-SQRT(ImpliedCorrelation)*DA$3)/SQRT(1-ImpliedCorrelation),TRUE))</f>
        <v>-</v>
      </c>
      <c r="DB32" s="366" t="str">
        <f>IF($AB32&gt;CDS.Tenor,"-",_xlfn.NORM.S.DIST(($CE32-SQRT(ImpliedCorrelation)*DB$3)/SQRT(1-ImpliedCorrelation),TRUE))</f>
        <v>-</v>
      </c>
      <c r="DC32" s="366"/>
      <c r="DD32" s="370">
        <f t="shared" si="114"/>
        <v>7</v>
      </c>
      <c r="DE32" s="366" t="str">
        <f>IF($AB32&gt;CDS.Tenor,"-",1-CH32)</f>
        <v>-</v>
      </c>
      <c r="DF32" s="366" t="str">
        <f>IF($AB32&gt;CDS.Tenor,"-",1-CI32)</f>
        <v>-</v>
      </c>
      <c r="DG32" s="366" t="str">
        <f>IF($AB32&gt;CDS.Tenor,"-",1-CJ32)</f>
        <v>-</v>
      </c>
      <c r="DH32" s="366" t="str">
        <f>IF($AB32&gt;CDS.Tenor,"-",1-CK32)</f>
        <v>-</v>
      </c>
      <c r="DI32" s="366" t="str">
        <f>IF($AB32&gt;CDS.Tenor,"-",1-CL32)</f>
        <v>-</v>
      </c>
      <c r="DJ32" s="366" t="str">
        <f>IF($AB32&gt;CDS.Tenor,"-",1-CM32)</f>
        <v>-</v>
      </c>
      <c r="DK32" s="366" t="str">
        <f>IF($AB32&gt;CDS.Tenor,"-",1-CN32)</f>
        <v>-</v>
      </c>
      <c r="DL32" s="366" t="str">
        <f>IF($AB32&gt;CDS.Tenor,"-",1-CO32)</f>
        <v>-</v>
      </c>
      <c r="DM32" s="366" t="str">
        <f>IF($AB32&gt;CDS.Tenor,"-",1-CP32)</f>
        <v>-</v>
      </c>
      <c r="DN32" s="366" t="str">
        <f>IF($AB32&gt;CDS.Tenor,"-",1-CQ32)</f>
        <v>-</v>
      </c>
      <c r="DO32" s="366" t="str">
        <f>IF($AB32&gt;CDS.Tenor,"-",1-CR32)</f>
        <v>-</v>
      </c>
      <c r="DP32" s="366" t="str">
        <f>IF($AB32&gt;CDS.Tenor,"-",1-CS32)</f>
        <v>-</v>
      </c>
      <c r="DQ32" s="366" t="str">
        <f>IF($AB32&gt;CDS.Tenor,"-",1-CT32)</f>
        <v>-</v>
      </c>
      <c r="DR32" s="366" t="str">
        <f>IF($AB32&gt;CDS.Tenor,"-",1-CU32)</f>
        <v>-</v>
      </c>
      <c r="DS32" s="366" t="str">
        <f>IF($AB32&gt;CDS.Tenor,"-",1-CV32)</f>
        <v>-</v>
      </c>
      <c r="DT32" s="366" t="str">
        <f>IF($AB32&gt;CDS.Tenor,"-",1-CW32)</f>
        <v>-</v>
      </c>
      <c r="DU32" s="366" t="str">
        <f>IF($AB32&gt;CDS.Tenor,"-",1-CX32)</f>
        <v>-</v>
      </c>
      <c r="DV32" s="366" t="str">
        <f>IF($AB32&gt;CDS.Tenor,"-",1-CY32)</f>
        <v>-</v>
      </c>
      <c r="DW32" s="366" t="str">
        <f>IF($AB32&gt;CDS.Tenor,"-",1-CZ32)</f>
        <v>-</v>
      </c>
      <c r="DX32" s="366" t="str">
        <f>IF($AB32&gt;CDS.Tenor,"-",1-DA32)</f>
        <v>-</v>
      </c>
      <c r="DY32" s="362" t="str">
        <f>IF($AB32&gt;CDS.Tenor,"-",1-DB32)</f>
        <v>-</v>
      </c>
      <c r="DZ32" s="360"/>
      <c r="EA32" s="352" t="str" cm="1">
        <f t="array" aca="1" ref="EA32" ca="1">IF($AB32&gt;CDS.Tenor,"-",flatInterpolation(CC32,INDIRECT(HazardRateTimes3),INDIRECT(HazardRateValues3)))</f>
        <v>-</v>
      </c>
      <c r="EB32" s="10" t="str">
        <f t="shared" si="115"/>
        <v>-</v>
      </c>
      <c r="EC32" s="10" t="str">
        <f t="shared" si="116"/>
        <v>-</v>
      </c>
      <c r="ED32" s="81" t="str">
        <f t="shared" si="117"/>
        <v>-</v>
      </c>
      <c r="EF32" s="370">
        <f t="shared" si="118"/>
        <v>7</v>
      </c>
      <c r="EG32" s="366" t="str">
        <f>IF($AB32&gt;CDS.Tenor,"-",_xlfn.NORM.S.DIST(($ED32-SQRT(ImpliedCorrelation)*EG$3)/SQRT(1-ImpliedCorrelation),TRUE))</f>
        <v>-</v>
      </c>
      <c r="EH32" s="366" t="str">
        <f>IF($AB32&gt;CDS.Tenor,"-",_xlfn.NORM.S.DIST(($ED32-SQRT(ImpliedCorrelation)*EH$3)/SQRT(1-ImpliedCorrelation),TRUE))</f>
        <v>-</v>
      </c>
      <c r="EI32" s="366" t="str">
        <f>IF($AB32&gt;CDS.Tenor,"-",_xlfn.NORM.S.DIST(($ED32-SQRT(ImpliedCorrelation)*EI$3)/SQRT(1-ImpliedCorrelation),TRUE))</f>
        <v>-</v>
      </c>
      <c r="EJ32" s="366" t="str">
        <f>IF($AB32&gt;CDS.Tenor,"-",_xlfn.NORM.S.DIST(($ED32-SQRT(ImpliedCorrelation)*EJ$3)/SQRT(1-ImpliedCorrelation),TRUE))</f>
        <v>-</v>
      </c>
      <c r="EK32" s="366" t="str">
        <f>IF($AB32&gt;CDS.Tenor,"-",_xlfn.NORM.S.DIST(($ED32-SQRT(ImpliedCorrelation)*EK$3)/SQRT(1-ImpliedCorrelation),TRUE))</f>
        <v>-</v>
      </c>
      <c r="EL32" s="366" t="str">
        <f>IF($AB32&gt;CDS.Tenor,"-",_xlfn.NORM.S.DIST(($ED32-SQRT(ImpliedCorrelation)*EL$3)/SQRT(1-ImpliedCorrelation),TRUE))</f>
        <v>-</v>
      </c>
      <c r="EM32" s="366" t="str">
        <f>IF($AB32&gt;CDS.Tenor,"-",_xlfn.NORM.S.DIST(($ED32-SQRT(ImpliedCorrelation)*EM$3)/SQRT(1-ImpliedCorrelation),TRUE))</f>
        <v>-</v>
      </c>
      <c r="EN32" s="366" t="str">
        <f>IF($AB32&gt;CDS.Tenor,"-",_xlfn.NORM.S.DIST(($ED32-SQRT(ImpliedCorrelation)*EN$3)/SQRT(1-ImpliedCorrelation),TRUE))</f>
        <v>-</v>
      </c>
      <c r="EO32" s="366" t="str">
        <f>IF($AB32&gt;CDS.Tenor,"-",_xlfn.NORM.S.DIST(($ED32-SQRT(ImpliedCorrelation)*EO$3)/SQRT(1-ImpliedCorrelation),TRUE))</f>
        <v>-</v>
      </c>
      <c r="EP32" s="366" t="str">
        <f>IF($AB32&gt;CDS.Tenor,"-",_xlfn.NORM.S.DIST(($ED32-SQRT(ImpliedCorrelation)*EP$3)/SQRT(1-ImpliedCorrelation),TRUE))</f>
        <v>-</v>
      </c>
      <c r="EQ32" s="366" t="str">
        <f>IF($AB32&gt;CDS.Tenor,"-",_xlfn.NORM.S.DIST(($ED32-SQRT(ImpliedCorrelation)*EQ$3)/SQRT(1-ImpliedCorrelation),TRUE))</f>
        <v>-</v>
      </c>
      <c r="ER32" s="366" t="str">
        <f>IF($AB32&gt;CDS.Tenor,"-",_xlfn.NORM.S.DIST(($ED32-SQRT(ImpliedCorrelation)*ER$3)/SQRT(1-ImpliedCorrelation),TRUE))</f>
        <v>-</v>
      </c>
      <c r="ES32" s="366" t="str">
        <f>IF($AB32&gt;CDS.Tenor,"-",_xlfn.NORM.S.DIST(($ED32-SQRT(ImpliedCorrelation)*ES$3)/SQRT(1-ImpliedCorrelation),TRUE))</f>
        <v>-</v>
      </c>
      <c r="ET32" s="366" t="str">
        <f>IF($AB32&gt;CDS.Tenor,"-",_xlfn.NORM.S.DIST(($ED32-SQRT(ImpliedCorrelation)*ET$3)/SQRT(1-ImpliedCorrelation),TRUE))</f>
        <v>-</v>
      </c>
      <c r="EU32" s="366" t="str">
        <f>IF($AB32&gt;CDS.Tenor,"-",_xlfn.NORM.S.DIST(($ED32-SQRT(ImpliedCorrelation)*EU$3)/SQRT(1-ImpliedCorrelation),TRUE))</f>
        <v>-</v>
      </c>
      <c r="EV32" s="366" t="str">
        <f>IF($AB32&gt;CDS.Tenor,"-",_xlfn.NORM.S.DIST(($ED32-SQRT(ImpliedCorrelation)*EV$3)/SQRT(1-ImpliedCorrelation),TRUE))</f>
        <v>-</v>
      </c>
      <c r="EW32" s="366" t="str">
        <f>IF($AB32&gt;CDS.Tenor,"-",_xlfn.NORM.S.DIST(($ED32-SQRT(ImpliedCorrelation)*EW$3)/SQRT(1-ImpliedCorrelation),TRUE))</f>
        <v>-</v>
      </c>
      <c r="EX32" s="366" t="str">
        <f>IF($AB32&gt;CDS.Tenor,"-",_xlfn.NORM.S.DIST(($ED32-SQRT(ImpliedCorrelation)*EX$3)/SQRT(1-ImpliedCorrelation),TRUE))</f>
        <v>-</v>
      </c>
      <c r="EY32" s="366" t="str">
        <f>IF($AB32&gt;CDS.Tenor,"-",_xlfn.NORM.S.DIST(($ED32-SQRT(ImpliedCorrelation)*EY$3)/SQRT(1-ImpliedCorrelation),TRUE))</f>
        <v>-</v>
      </c>
      <c r="EZ32" s="366" t="str">
        <f>IF($AB32&gt;CDS.Tenor,"-",_xlfn.NORM.S.DIST(($ED32-SQRT(ImpliedCorrelation)*EZ$3)/SQRT(1-ImpliedCorrelation),TRUE))</f>
        <v>-</v>
      </c>
      <c r="FA32" s="366" t="str">
        <f>IF($AB32&gt;CDS.Tenor,"-",_xlfn.NORM.S.DIST(($ED32-SQRT(ImpliedCorrelation)*FA$3)/SQRT(1-ImpliedCorrelation),TRUE))</f>
        <v>-</v>
      </c>
      <c r="FB32" s="366"/>
      <c r="FC32" s="370">
        <f t="shared" si="119"/>
        <v>7</v>
      </c>
      <c r="FD32" s="366" t="str">
        <f>IF($AB32&gt;CDS.Tenor,"-",1-EG32)</f>
        <v>-</v>
      </c>
      <c r="FE32" s="366" t="str">
        <f>IF($AB32&gt;CDS.Tenor,"-",1-EH32)</f>
        <v>-</v>
      </c>
      <c r="FF32" s="366" t="str">
        <f>IF($AB32&gt;CDS.Tenor,"-",1-EI32)</f>
        <v>-</v>
      </c>
      <c r="FG32" s="366" t="str">
        <f>IF($AB32&gt;CDS.Tenor,"-",1-EJ32)</f>
        <v>-</v>
      </c>
      <c r="FH32" s="366" t="str">
        <f>IF($AB32&gt;CDS.Tenor,"-",1-EK32)</f>
        <v>-</v>
      </c>
      <c r="FI32" s="366" t="str">
        <f>IF($AB32&gt;CDS.Tenor,"-",1-EL32)</f>
        <v>-</v>
      </c>
      <c r="FJ32" s="366" t="str">
        <f>IF($AB32&gt;CDS.Tenor,"-",1-EM32)</f>
        <v>-</v>
      </c>
      <c r="FK32" s="366" t="str">
        <f>IF($AB32&gt;CDS.Tenor,"-",1-EN32)</f>
        <v>-</v>
      </c>
      <c r="FL32" s="366" t="str">
        <f>IF($AB32&gt;CDS.Tenor,"-",1-EO32)</f>
        <v>-</v>
      </c>
      <c r="FM32" s="366" t="str">
        <f>IF($AB32&gt;CDS.Tenor,"-",1-EP32)</f>
        <v>-</v>
      </c>
      <c r="FN32" s="366" t="str">
        <f>IF($AB32&gt;CDS.Tenor,"-",1-EQ32)</f>
        <v>-</v>
      </c>
      <c r="FO32" s="366" t="str">
        <f>IF($AB32&gt;CDS.Tenor,"-",1-ER32)</f>
        <v>-</v>
      </c>
      <c r="FP32" s="366" t="str">
        <f>IF($AB32&gt;CDS.Tenor,"-",1-ES32)</f>
        <v>-</v>
      </c>
      <c r="FQ32" s="366" t="str">
        <f>IF($AB32&gt;CDS.Tenor,"-",1-ET32)</f>
        <v>-</v>
      </c>
      <c r="FR32" s="366" t="str">
        <f>IF($AB32&gt;CDS.Tenor,"-",1-EU32)</f>
        <v>-</v>
      </c>
      <c r="FS32" s="366" t="str">
        <f>IF($AB32&gt;CDS.Tenor,"-",1-EV32)</f>
        <v>-</v>
      </c>
      <c r="FT32" s="366" t="str">
        <f>IF($AB32&gt;CDS.Tenor,"-",1-EW32)</f>
        <v>-</v>
      </c>
      <c r="FU32" s="366" t="str">
        <f>IF($AB32&gt;CDS.Tenor,"-",1-EX32)</f>
        <v>-</v>
      </c>
      <c r="FV32" s="366" t="str">
        <f>IF($AB32&gt;CDS.Tenor,"-",1-EY32)</f>
        <v>-</v>
      </c>
      <c r="FW32" s="366" t="str">
        <f>IF($AB32&gt;CDS.Tenor,"-",1-EZ32)</f>
        <v>-</v>
      </c>
      <c r="FX32" s="362" t="str">
        <f>IF($AB32&gt;CDS.Tenor,"-",1-FA32)</f>
        <v>-</v>
      </c>
      <c r="FZ32" s="370">
        <f t="shared" si="120"/>
        <v>7</v>
      </c>
      <c r="GA32" s="366" t="str">
        <f>IF($AB32&gt;CDS.Tenor,"-",BF32*DE32*FD32)</f>
        <v>-</v>
      </c>
      <c r="GB32" s="366" t="str">
        <f>IF($AB32&gt;CDS.Tenor,"-",BG32*DF32*FE32)</f>
        <v>-</v>
      </c>
      <c r="GC32" s="366" t="str">
        <f>IF($AB32&gt;CDS.Tenor,"-",BH32*DG32*FF32)</f>
        <v>-</v>
      </c>
      <c r="GD32" s="366" t="str">
        <f>IF($AB32&gt;CDS.Tenor,"-",BI32*DH32*FG32)</f>
        <v>-</v>
      </c>
      <c r="GE32" s="366" t="str">
        <f>IF($AB32&gt;CDS.Tenor,"-",BJ32*DI32*FH32)</f>
        <v>-</v>
      </c>
      <c r="GF32" s="366" t="str">
        <f>IF($AB32&gt;CDS.Tenor,"-",BK32*DJ32*FI32)</f>
        <v>-</v>
      </c>
      <c r="GG32" s="366" t="str">
        <f>IF($AB32&gt;CDS.Tenor,"-",BL32*DK32*FJ32)</f>
        <v>-</v>
      </c>
      <c r="GH32" s="366" t="str">
        <f>IF($AB32&gt;CDS.Tenor,"-",BM32*DL32*FK32)</f>
        <v>-</v>
      </c>
      <c r="GI32" s="366" t="str">
        <f>IF($AB32&gt;CDS.Tenor,"-",BN32*DM32*FL32)</f>
        <v>-</v>
      </c>
      <c r="GJ32" s="366" t="str">
        <f>IF($AB32&gt;CDS.Tenor,"-",BO32*DN32*FM32)</f>
        <v>-</v>
      </c>
      <c r="GK32" s="366" t="str">
        <f>IF($AB32&gt;CDS.Tenor,"-",BP32*DO32*FN32)</f>
        <v>-</v>
      </c>
      <c r="GL32" s="366" t="str">
        <f>IF($AB32&gt;CDS.Tenor,"-",BQ32*DP32*FO32)</f>
        <v>-</v>
      </c>
      <c r="GM32" s="366" t="str">
        <f>IF($AB32&gt;CDS.Tenor,"-",BR32*DQ32*FP32)</f>
        <v>-</v>
      </c>
      <c r="GN32" s="366" t="str">
        <f>IF($AB32&gt;CDS.Tenor,"-",BS32*DR32*FQ32)</f>
        <v>-</v>
      </c>
      <c r="GO32" s="366" t="str">
        <f>IF($AB32&gt;CDS.Tenor,"-",BT32*DS32*FR32)</f>
        <v>-</v>
      </c>
      <c r="GP32" s="366" t="str">
        <f>IF($AB32&gt;CDS.Tenor,"-",BU32*DT32*FS32)</f>
        <v>-</v>
      </c>
      <c r="GQ32" s="366" t="str">
        <f>IF($AB32&gt;CDS.Tenor,"-",BV32*DU32*FT32)</f>
        <v>-</v>
      </c>
      <c r="GR32" s="366" t="str">
        <f>IF($AB32&gt;CDS.Tenor,"-",BW32*DV32*FU32)</f>
        <v>-</v>
      </c>
      <c r="GS32" s="366" t="str">
        <f>IF($AB32&gt;CDS.Tenor,"-",BX32*DW32*FV32)</f>
        <v>-</v>
      </c>
      <c r="GT32" s="366" t="str">
        <f>IF($AB32&gt;CDS.Tenor,"-",BY32*DX32*FW32)</f>
        <v>-</v>
      </c>
      <c r="GU32" s="362" t="str">
        <f>IF($AB32&gt;CDS.Tenor,"-",BZ32*DY32*FX32)</f>
        <v>-</v>
      </c>
      <c r="GV32" s="42"/>
      <c r="GW32" s="370">
        <f t="shared" si="121"/>
        <v>7</v>
      </c>
      <c r="GX32" s="378" t="str">
        <f>IF($AB32&gt;CDS.Tenor,"-",SUMPRODUCT($GA32:$GU32,$GA$4:$GU$4)*dm)</f>
        <v>-</v>
      </c>
      <c r="GY32" s="381" t="str">
        <f>IF($AB32&gt;CDS.Tenor,"-",GX31-GX32)</f>
        <v>-</v>
      </c>
    </row>
    <row r="33" spans="10:207" x14ac:dyDescent="0.3">
      <c r="J33" s="156">
        <f t="shared" si="103"/>
        <v>7.25</v>
      </c>
      <c r="K33" s="28" t="str">
        <f>IF($J33&gt;CDS.Tenor,"-",CDS.PremiumSign*CDS.Notional*CDS.YearFraction*CDS.CreditSpread)</f>
        <v>-</v>
      </c>
      <c r="L33" s="10" t="str">
        <f>GX33</f>
        <v>-</v>
      </c>
      <c r="M33" s="10" t="str">
        <f>IF($J33&gt;CDS.Tenor,"-",L32-L33)</f>
        <v>-</v>
      </c>
      <c r="N33" s="94" t="str" cm="1">
        <f t="array" ref="N33">IF($J33&gt;CDS.Tenor,"-",cubicInterpolation(CurveResults.Times,CurveResults.DFs,$J33))</f>
        <v>-</v>
      </c>
      <c r="O33" s="28" t="str">
        <f>IF($J33&gt;CDS.Tenor,"-",K33*L33*N33)</f>
        <v>-</v>
      </c>
      <c r="P33" s="28" t="str">
        <f>IF($J33&gt;CDS.Tenor,"-",0.5*K33*M33*N33)</f>
        <v>-</v>
      </c>
      <c r="Q33" s="142" t="str">
        <f>IF($J33&gt;CDS.Tenor,"-",O33+P33)</f>
        <v>-</v>
      </c>
      <c r="T33" s="156">
        <f t="shared" si="104"/>
        <v>7.25</v>
      </c>
      <c r="U33" s="28" t="str">
        <f>IF($J33&gt;CDS.Tenor,"-",CDS.ProtectionSign*CDS.Notional*(1-CDS.RecoveryRate))</f>
        <v>-</v>
      </c>
      <c r="V33" s="10" t="str">
        <f>IF($J33&gt;CDS.Tenor,"-",GX33)</f>
        <v>-</v>
      </c>
      <c r="W33" s="10" t="str">
        <f>IF($J33&gt;CDS.Tenor,"-",V32-V33)</f>
        <v>-</v>
      </c>
      <c r="X33" s="94" t="str" cm="1">
        <f t="array" ref="X33">IF($T33&gt;CDS.Tenor,"-",cubicInterpolation(CurveResults.Times,CurveResults.DFs,$J33))</f>
        <v>-</v>
      </c>
      <c r="Y33" s="142" t="str">
        <f>IF($J33&gt;CDS.Tenor,"-",U33*W33*X33)</f>
        <v>-</v>
      </c>
      <c r="AB33" s="156">
        <f t="shared" si="105"/>
        <v>7.25</v>
      </c>
      <c r="AC33" s="352" t="str" cm="1">
        <f t="array" aca="1" ref="AC33" ca="1">IF($AB33&gt;CDS.Tenor,"-",flatInterpolation(AA33,INDIRECT(HazardRateTimes1),INDIRECT(HazardRateValues1)))</f>
        <v>-</v>
      </c>
      <c r="AD33" s="10" t="str">
        <f t="shared" si="106"/>
        <v>-</v>
      </c>
      <c r="AE33" s="10" t="str">
        <f t="shared" si="107"/>
        <v>-</v>
      </c>
      <c r="AF33" s="360" t="str">
        <f>IF($AB33&gt;CDS.Tenor,"-",NORMSINV(AE33))</f>
        <v>-</v>
      </c>
      <c r="AG33" s="360"/>
      <c r="AH33" s="370">
        <f t="shared" si="108"/>
        <v>7.25</v>
      </c>
      <c r="AI33" s="366" t="str">
        <f>IF($AB33&gt;CDS.Tenor,"-",_xlfn.NORM.S.DIST(($AF33-SQRT(ImpliedCorrelation)*AI$3)/SQRT(1-ImpliedCorrelation),TRUE))</f>
        <v>-</v>
      </c>
      <c r="AJ33" s="366" t="str">
        <f>IF($AB33&gt;CDS.Tenor,"-",_xlfn.NORM.S.DIST(($AF33-SQRT(ImpliedCorrelation)*AJ$3)/SQRT(1-ImpliedCorrelation),TRUE))</f>
        <v>-</v>
      </c>
      <c r="AK33" s="366" t="str">
        <f>IF($AB33&gt;CDS.Tenor,"-",_xlfn.NORM.S.DIST(($AF33-SQRT(ImpliedCorrelation)*AK$3)/SQRT(1-ImpliedCorrelation),TRUE))</f>
        <v>-</v>
      </c>
      <c r="AL33" s="366" t="str">
        <f>IF($AB33&gt;CDS.Tenor,"-",_xlfn.NORM.S.DIST(($AF33-SQRT(ImpliedCorrelation)*AL$3)/SQRT(1-ImpliedCorrelation),TRUE))</f>
        <v>-</v>
      </c>
      <c r="AM33" s="366" t="str">
        <f>IF($AB33&gt;CDS.Tenor,"-",_xlfn.NORM.S.DIST(($AF33-SQRT(ImpliedCorrelation)*AM$3)/SQRT(1-ImpliedCorrelation),TRUE))</f>
        <v>-</v>
      </c>
      <c r="AN33" s="366" t="str">
        <f>IF($AB33&gt;CDS.Tenor,"-",_xlfn.NORM.S.DIST(($AF33-SQRT(ImpliedCorrelation)*AN$3)/SQRT(1-ImpliedCorrelation),TRUE))</f>
        <v>-</v>
      </c>
      <c r="AO33" s="366" t="str">
        <f>IF($AB33&gt;CDS.Tenor,"-",_xlfn.NORM.S.DIST(($AF33-SQRT(ImpliedCorrelation)*AO$3)/SQRT(1-ImpliedCorrelation),TRUE))</f>
        <v>-</v>
      </c>
      <c r="AP33" s="366" t="str">
        <f>IF($AB33&gt;CDS.Tenor,"-",_xlfn.NORM.S.DIST(($AF33-SQRT(ImpliedCorrelation)*AP$3)/SQRT(1-ImpliedCorrelation),TRUE))</f>
        <v>-</v>
      </c>
      <c r="AQ33" s="366" t="str">
        <f>IF($AB33&gt;CDS.Tenor,"-",_xlfn.NORM.S.DIST(($AF33-SQRT(ImpliedCorrelation)*AQ$3)/SQRT(1-ImpliedCorrelation),TRUE))</f>
        <v>-</v>
      </c>
      <c r="AR33" s="366" t="str">
        <f>IF($AB33&gt;CDS.Tenor,"-",_xlfn.NORM.S.DIST(($AF33-SQRT(ImpliedCorrelation)*AR$3)/SQRT(1-ImpliedCorrelation),TRUE))</f>
        <v>-</v>
      </c>
      <c r="AS33" s="366" t="str">
        <f>IF($AB33&gt;CDS.Tenor,"-",_xlfn.NORM.S.DIST(($AF33-SQRT(ImpliedCorrelation)*AS$3)/SQRT(1-ImpliedCorrelation),TRUE))</f>
        <v>-</v>
      </c>
      <c r="AT33" s="366" t="str">
        <f>IF($AB33&gt;CDS.Tenor,"-",_xlfn.NORM.S.DIST(($AF33-SQRT(ImpliedCorrelation)*AT$3)/SQRT(1-ImpliedCorrelation),TRUE))</f>
        <v>-</v>
      </c>
      <c r="AU33" s="366" t="str">
        <f>IF($AB33&gt;CDS.Tenor,"-",_xlfn.NORM.S.DIST(($AF33-SQRT(ImpliedCorrelation)*AU$3)/SQRT(1-ImpliedCorrelation),TRUE))</f>
        <v>-</v>
      </c>
      <c r="AV33" s="366" t="str">
        <f>IF($AB33&gt;CDS.Tenor,"-",_xlfn.NORM.S.DIST(($AF33-SQRT(ImpliedCorrelation)*AV$3)/SQRT(1-ImpliedCorrelation),TRUE))</f>
        <v>-</v>
      </c>
      <c r="AW33" s="366" t="str">
        <f>IF($AB33&gt;CDS.Tenor,"-",_xlfn.NORM.S.DIST(($AF33-SQRT(ImpliedCorrelation)*AW$3)/SQRT(1-ImpliedCorrelation),TRUE))</f>
        <v>-</v>
      </c>
      <c r="AX33" s="366" t="str">
        <f>IF($AB33&gt;CDS.Tenor,"-",_xlfn.NORM.S.DIST(($AF33-SQRT(ImpliedCorrelation)*AX$3)/SQRT(1-ImpliedCorrelation),TRUE))</f>
        <v>-</v>
      </c>
      <c r="AY33" s="366" t="str">
        <f>IF($AB33&gt;CDS.Tenor,"-",_xlfn.NORM.S.DIST(($AF33-SQRT(ImpliedCorrelation)*AY$3)/SQRT(1-ImpliedCorrelation),TRUE))</f>
        <v>-</v>
      </c>
      <c r="AZ33" s="366" t="str">
        <f>IF($AB33&gt;CDS.Tenor,"-",_xlfn.NORM.S.DIST(($AF33-SQRT(ImpliedCorrelation)*AZ$3)/SQRT(1-ImpliedCorrelation),TRUE))</f>
        <v>-</v>
      </c>
      <c r="BA33" s="366" t="str">
        <f>IF($AB33&gt;CDS.Tenor,"-",_xlfn.NORM.S.DIST(($AF33-SQRT(ImpliedCorrelation)*BA$3)/SQRT(1-ImpliedCorrelation),TRUE))</f>
        <v>-</v>
      </c>
      <c r="BB33" s="366" t="str">
        <f>IF($AB33&gt;CDS.Tenor,"-",_xlfn.NORM.S.DIST(($AF33-SQRT(ImpliedCorrelation)*BB$3)/SQRT(1-ImpliedCorrelation),TRUE))</f>
        <v>-</v>
      </c>
      <c r="BC33" s="366" t="str">
        <f>IF($AB33&gt;CDS.Tenor,"-",_xlfn.NORM.S.DIST(($AF33-SQRT(ImpliedCorrelation)*BC$3)/SQRT(1-ImpliedCorrelation),TRUE))</f>
        <v>-</v>
      </c>
      <c r="BD33" s="366"/>
      <c r="BE33" s="370">
        <f t="shared" si="109"/>
        <v>7.25</v>
      </c>
      <c r="BF33" s="366" t="str">
        <f>IF($AB33&gt;CDS.Tenor,"-",1-AI33)</f>
        <v>-</v>
      </c>
      <c r="BG33" s="366" t="str">
        <f>IF($AB33&gt;CDS.Tenor,"-",1-AJ33)</f>
        <v>-</v>
      </c>
      <c r="BH33" s="366" t="str">
        <f>IF($AB33&gt;CDS.Tenor,"-",1-AK33)</f>
        <v>-</v>
      </c>
      <c r="BI33" s="366" t="str">
        <f>IF($AB33&gt;CDS.Tenor,"-",1-AL33)</f>
        <v>-</v>
      </c>
      <c r="BJ33" s="366" t="str">
        <f>IF($AB33&gt;CDS.Tenor,"-",1-AM33)</f>
        <v>-</v>
      </c>
      <c r="BK33" s="366" t="str">
        <f>IF($AB33&gt;CDS.Tenor,"-",1-AN33)</f>
        <v>-</v>
      </c>
      <c r="BL33" s="366" t="str">
        <f>IF($AB33&gt;CDS.Tenor,"-",1-AO33)</f>
        <v>-</v>
      </c>
      <c r="BM33" s="366" t="str">
        <f>IF($AB33&gt;CDS.Tenor,"-",1-AP33)</f>
        <v>-</v>
      </c>
      <c r="BN33" s="366" t="str">
        <f>IF($AB33&gt;CDS.Tenor,"-",1-AQ33)</f>
        <v>-</v>
      </c>
      <c r="BO33" s="366" t="str">
        <f>IF($AB33&gt;CDS.Tenor,"-",1-AR33)</f>
        <v>-</v>
      </c>
      <c r="BP33" s="366" t="str">
        <f>IF($AB33&gt;CDS.Tenor,"-",1-AS33)</f>
        <v>-</v>
      </c>
      <c r="BQ33" s="366" t="str">
        <f>IF($AB33&gt;CDS.Tenor,"-",1-AT33)</f>
        <v>-</v>
      </c>
      <c r="BR33" s="366" t="str">
        <f>IF($AB33&gt;CDS.Tenor,"-",1-AU33)</f>
        <v>-</v>
      </c>
      <c r="BS33" s="366" t="str">
        <f>IF($AB33&gt;CDS.Tenor,"-",1-AV33)</f>
        <v>-</v>
      </c>
      <c r="BT33" s="366" t="str">
        <f>IF($AB33&gt;CDS.Tenor,"-",1-AW33)</f>
        <v>-</v>
      </c>
      <c r="BU33" s="366" t="str">
        <f>IF($AB33&gt;CDS.Tenor,"-",1-AX33)</f>
        <v>-</v>
      </c>
      <c r="BV33" s="366" t="str">
        <f>IF($AB33&gt;CDS.Tenor,"-",1-AY33)</f>
        <v>-</v>
      </c>
      <c r="BW33" s="366" t="str">
        <f>IF($AB33&gt;CDS.Tenor,"-",1-AZ33)</f>
        <v>-</v>
      </c>
      <c r="BX33" s="366" t="str">
        <f>IF($AB33&gt;CDS.Tenor,"-",1-BA33)</f>
        <v>-</v>
      </c>
      <c r="BY33" s="366" t="str">
        <f>IF($AB33&gt;CDS.Tenor,"-",1-BB33)</f>
        <v>-</v>
      </c>
      <c r="BZ33" s="366" t="str">
        <f>IF($AB33&gt;CDS.Tenor,"-",1-BC33)</f>
        <v>-</v>
      </c>
      <c r="CA33" s="17"/>
      <c r="CB33" s="352" t="str" cm="1">
        <f t="array" aca="1" ref="CB33" ca="1">IF($AB33&gt;CDS.Tenor,"-",flatInterpolation(AB33,INDIRECT(HazardRateTimes2),INDIRECT(HazardRateValues2)))</f>
        <v>-</v>
      </c>
      <c r="CC33" s="10" t="str">
        <f t="shared" si="110"/>
        <v>-</v>
      </c>
      <c r="CD33" s="10" t="str">
        <f t="shared" si="111"/>
        <v>-</v>
      </c>
      <c r="CE33" s="81" t="str">
        <f t="shared" si="112"/>
        <v>-</v>
      </c>
      <c r="CF33" s="360"/>
      <c r="CG33" s="370">
        <f t="shared" si="113"/>
        <v>7.25</v>
      </c>
      <c r="CH33" s="366" t="str">
        <f>IF($AB33&gt;CDS.Tenor,"-",_xlfn.NORM.S.DIST(($CE33-SQRT(ImpliedCorrelation)*CH$3)/SQRT(1-ImpliedCorrelation),TRUE))</f>
        <v>-</v>
      </c>
      <c r="CI33" s="366" t="str">
        <f>IF($AB33&gt;CDS.Tenor,"-",_xlfn.NORM.S.DIST(($CE33-SQRT(ImpliedCorrelation)*CI$3)/SQRT(1-ImpliedCorrelation),TRUE))</f>
        <v>-</v>
      </c>
      <c r="CJ33" s="366" t="str">
        <f>IF($AB33&gt;CDS.Tenor,"-",_xlfn.NORM.S.DIST(($CE33-SQRT(ImpliedCorrelation)*CJ$3)/SQRT(1-ImpliedCorrelation),TRUE))</f>
        <v>-</v>
      </c>
      <c r="CK33" s="366" t="str">
        <f>IF($AB33&gt;CDS.Tenor,"-",_xlfn.NORM.S.DIST(($CE33-SQRT(ImpliedCorrelation)*CK$3)/SQRT(1-ImpliedCorrelation),TRUE))</f>
        <v>-</v>
      </c>
      <c r="CL33" s="366" t="str">
        <f>IF($AB33&gt;CDS.Tenor,"-",_xlfn.NORM.S.DIST(($CE33-SQRT(ImpliedCorrelation)*CL$3)/SQRT(1-ImpliedCorrelation),TRUE))</f>
        <v>-</v>
      </c>
      <c r="CM33" s="366" t="str">
        <f>IF($AB33&gt;CDS.Tenor,"-",_xlfn.NORM.S.DIST(($CE33-SQRT(ImpliedCorrelation)*CM$3)/SQRT(1-ImpliedCorrelation),TRUE))</f>
        <v>-</v>
      </c>
      <c r="CN33" s="366" t="str">
        <f>IF($AB33&gt;CDS.Tenor,"-",_xlfn.NORM.S.DIST(($CE33-SQRT(ImpliedCorrelation)*CN$3)/SQRT(1-ImpliedCorrelation),TRUE))</f>
        <v>-</v>
      </c>
      <c r="CO33" s="366" t="str">
        <f>IF($AB33&gt;CDS.Tenor,"-",_xlfn.NORM.S.DIST(($CE33-SQRT(ImpliedCorrelation)*CO$3)/SQRT(1-ImpliedCorrelation),TRUE))</f>
        <v>-</v>
      </c>
      <c r="CP33" s="366" t="str">
        <f>IF($AB33&gt;CDS.Tenor,"-",_xlfn.NORM.S.DIST(($CE33-SQRT(ImpliedCorrelation)*CP$3)/SQRT(1-ImpliedCorrelation),TRUE))</f>
        <v>-</v>
      </c>
      <c r="CQ33" s="366" t="str">
        <f>IF($AB33&gt;CDS.Tenor,"-",_xlfn.NORM.S.DIST(($CE33-SQRT(ImpliedCorrelation)*CQ$3)/SQRT(1-ImpliedCorrelation),TRUE))</f>
        <v>-</v>
      </c>
      <c r="CR33" s="366" t="str">
        <f>IF($AB33&gt;CDS.Tenor,"-",_xlfn.NORM.S.DIST(($CE33-SQRT(ImpliedCorrelation)*CR$3)/SQRT(1-ImpliedCorrelation),TRUE))</f>
        <v>-</v>
      </c>
      <c r="CS33" s="366" t="str">
        <f>IF($AB33&gt;CDS.Tenor,"-",_xlfn.NORM.S.DIST(($CE33-SQRT(ImpliedCorrelation)*CS$3)/SQRT(1-ImpliedCorrelation),TRUE))</f>
        <v>-</v>
      </c>
      <c r="CT33" s="366" t="str">
        <f>IF($AB33&gt;CDS.Tenor,"-",_xlfn.NORM.S.DIST(($CE33-SQRT(ImpliedCorrelation)*CT$3)/SQRT(1-ImpliedCorrelation),TRUE))</f>
        <v>-</v>
      </c>
      <c r="CU33" s="366" t="str">
        <f>IF($AB33&gt;CDS.Tenor,"-",_xlfn.NORM.S.DIST(($CE33-SQRT(ImpliedCorrelation)*CU$3)/SQRT(1-ImpliedCorrelation),TRUE))</f>
        <v>-</v>
      </c>
      <c r="CV33" s="366" t="str">
        <f>IF($AB33&gt;CDS.Tenor,"-",_xlfn.NORM.S.DIST(($CE33-SQRT(ImpliedCorrelation)*CV$3)/SQRT(1-ImpliedCorrelation),TRUE))</f>
        <v>-</v>
      </c>
      <c r="CW33" s="366" t="str">
        <f>IF($AB33&gt;CDS.Tenor,"-",_xlfn.NORM.S.DIST(($CE33-SQRT(ImpliedCorrelation)*CW$3)/SQRT(1-ImpliedCorrelation),TRUE))</f>
        <v>-</v>
      </c>
      <c r="CX33" s="366" t="str">
        <f>IF($AB33&gt;CDS.Tenor,"-",_xlfn.NORM.S.DIST(($CE33-SQRT(ImpliedCorrelation)*CX$3)/SQRT(1-ImpliedCorrelation),TRUE))</f>
        <v>-</v>
      </c>
      <c r="CY33" s="366" t="str">
        <f>IF($AB33&gt;CDS.Tenor,"-",_xlfn.NORM.S.DIST(($CE33-SQRT(ImpliedCorrelation)*CY$3)/SQRT(1-ImpliedCorrelation),TRUE))</f>
        <v>-</v>
      </c>
      <c r="CZ33" s="366" t="str">
        <f>IF($AB33&gt;CDS.Tenor,"-",_xlfn.NORM.S.DIST(($CE33-SQRT(ImpliedCorrelation)*CZ$3)/SQRT(1-ImpliedCorrelation),TRUE))</f>
        <v>-</v>
      </c>
      <c r="DA33" s="366" t="str">
        <f>IF($AB33&gt;CDS.Tenor,"-",_xlfn.NORM.S.DIST(($CE33-SQRT(ImpliedCorrelation)*DA$3)/SQRT(1-ImpliedCorrelation),TRUE))</f>
        <v>-</v>
      </c>
      <c r="DB33" s="366" t="str">
        <f>IF($AB33&gt;CDS.Tenor,"-",_xlfn.NORM.S.DIST(($CE33-SQRT(ImpliedCorrelation)*DB$3)/SQRT(1-ImpliedCorrelation),TRUE))</f>
        <v>-</v>
      </c>
      <c r="DC33" s="366"/>
      <c r="DD33" s="370">
        <f t="shared" si="114"/>
        <v>7.25</v>
      </c>
      <c r="DE33" s="366" t="str">
        <f>IF($AB33&gt;CDS.Tenor,"-",1-CH33)</f>
        <v>-</v>
      </c>
      <c r="DF33" s="366" t="str">
        <f>IF($AB33&gt;CDS.Tenor,"-",1-CI33)</f>
        <v>-</v>
      </c>
      <c r="DG33" s="366" t="str">
        <f>IF($AB33&gt;CDS.Tenor,"-",1-CJ33)</f>
        <v>-</v>
      </c>
      <c r="DH33" s="366" t="str">
        <f>IF($AB33&gt;CDS.Tenor,"-",1-CK33)</f>
        <v>-</v>
      </c>
      <c r="DI33" s="366" t="str">
        <f>IF($AB33&gt;CDS.Tenor,"-",1-CL33)</f>
        <v>-</v>
      </c>
      <c r="DJ33" s="366" t="str">
        <f>IF($AB33&gt;CDS.Tenor,"-",1-CM33)</f>
        <v>-</v>
      </c>
      <c r="DK33" s="366" t="str">
        <f>IF($AB33&gt;CDS.Tenor,"-",1-CN33)</f>
        <v>-</v>
      </c>
      <c r="DL33" s="366" t="str">
        <f>IF($AB33&gt;CDS.Tenor,"-",1-CO33)</f>
        <v>-</v>
      </c>
      <c r="DM33" s="366" t="str">
        <f>IF($AB33&gt;CDS.Tenor,"-",1-CP33)</f>
        <v>-</v>
      </c>
      <c r="DN33" s="366" t="str">
        <f>IF($AB33&gt;CDS.Tenor,"-",1-CQ33)</f>
        <v>-</v>
      </c>
      <c r="DO33" s="366" t="str">
        <f>IF($AB33&gt;CDS.Tenor,"-",1-CR33)</f>
        <v>-</v>
      </c>
      <c r="DP33" s="366" t="str">
        <f>IF($AB33&gt;CDS.Tenor,"-",1-CS33)</f>
        <v>-</v>
      </c>
      <c r="DQ33" s="366" t="str">
        <f>IF($AB33&gt;CDS.Tenor,"-",1-CT33)</f>
        <v>-</v>
      </c>
      <c r="DR33" s="366" t="str">
        <f>IF($AB33&gt;CDS.Tenor,"-",1-CU33)</f>
        <v>-</v>
      </c>
      <c r="DS33" s="366" t="str">
        <f>IF($AB33&gt;CDS.Tenor,"-",1-CV33)</f>
        <v>-</v>
      </c>
      <c r="DT33" s="366" t="str">
        <f>IF($AB33&gt;CDS.Tenor,"-",1-CW33)</f>
        <v>-</v>
      </c>
      <c r="DU33" s="366" t="str">
        <f>IF($AB33&gt;CDS.Tenor,"-",1-CX33)</f>
        <v>-</v>
      </c>
      <c r="DV33" s="366" t="str">
        <f>IF($AB33&gt;CDS.Tenor,"-",1-CY33)</f>
        <v>-</v>
      </c>
      <c r="DW33" s="366" t="str">
        <f>IF($AB33&gt;CDS.Tenor,"-",1-CZ33)</f>
        <v>-</v>
      </c>
      <c r="DX33" s="366" t="str">
        <f>IF($AB33&gt;CDS.Tenor,"-",1-DA33)</f>
        <v>-</v>
      </c>
      <c r="DY33" s="362" t="str">
        <f>IF($AB33&gt;CDS.Tenor,"-",1-DB33)</f>
        <v>-</v>
      </c>
      <c r="DZ33" s="360"/>
      <c r="EA33" s="352" t="str" cm="1">
        <f t="array" aca="1" ref="EA33" ca="1">IF($AB33&gt;CDS.Tenor,"-",flatInterpolation(CC33,INDIRECT(HazardRateTimes3),INDIRECT(HazardRateValues3)))</f>
        <v>-</v>
      </c>
      <c r="EB33" s="10" t="str">
        <f t="shared" si="115"/>
        <v>-</v>
      </c>
      <c r="EC33" s="10" t="str">
        <f t="shared" si="116"/>
        <v>-</v>
      </c>
      <c r="ED33" s="81" t="str">
        <f t="shared" si="117"/>
        <v>-</v>
      </c>
      <c r="EF33" s="370">
        <f t="shared" si="118"/>
        <v>7.25</v>
      </c>
      <c r="EG33" s="366" t="str">
        <f>IF($AB33&gt;CDS.Tenor,"-",_xlfn.NORM.S.DIST(($ED33-SQRT(ImpliedCorrelation)*EG$3)/SQRT(1-ImpliedCorrelation),TRUE))</f>
        <v>-</v>
      </c>
      <c r="EH33" s="366" t="str">
        <f>IF($AB33&gt;CDS.Tenor,"-",_xlfn.NORM.S.DIST(($ED33-SQRT(ImpliedCorrelation)*EH$3)/SQRT(1-ImpliedCorrelation),TRUE))</f>
        <v>-</v>
      </c>
      <c r="EI33" s="366" t="str">
        <f>IF($AB33&gt;CDS.Tenor,"-",_xlfn.NORM.S.DIST(($ED33-SQRT(ImpliedCorrelation)*EI$3)/SQRT(1-ImpliedCorrelation),TRUE))</f>
        <v>-</v>
      </c>
      <c r="EJ33" s="366" t="str">
        <f>IF($AB33&gt;CDS.Tenor,"-",_xlfn.NORM.S.DIST(($ED33-SQRT(ImpliedCorrelation)*EJ$3)/SQRT(1-ImpliedCorrelation),TRUE))</f>
        <v>-</v>
      </c>
      <c r="EK33" s="366" t="str">
        <f>IF($AB33&gt;CDS.Tenor,"-",_xlfn.NORM.S.DIST(($ED33-SQRT(ImpliedCorrelation)*EK$3)/SQRT(1-ImpliedCorrelation),TRUE))</f>
        <v>-</v>
      </c>
      <c r="EL33" s="366" t="str">
        <f>IF($AB33&gt;CDS.Tenor,"-",_xlfn.NORM.S.DIST(($ED33-SQRT(ImpliedCorrelation)*EL$3)/SQRT(1-ImpliedCorrelation),TRUE))</f>
        <v>-</v>
      </c>
      <c r="EM33" s="366" t="str">
        <f>IF($AB33&gt;CDS.Tenor,"-",_xlfn.NORM.S.DIST(($ED33-SQRT(ImpliedCorrelation)*EM$3)/SQRT(1-ImpliedCorrelation),TRUE))</f>
        <v>-</v>
      </c>
      <c r="EN33" s="366" t="str">
        <f>IF($AB33&gt;CDS.Tenor,"-",_xlfn.NORM.S.DIST(($ED33-SQRT(ImpliedCorrelation)*EN$3)/SQRT(1-ImpliedCorrelation),TRUE))</f>
        <v>-</v>
      </c>
      <c r="EO33" s="366" t="str">
        <f>IF($AB33&gt;CDS.Tenor,"-",_xlfn.NORM.S.DIST(($ED33-SQRT(ImpliedCorrelation)*EO$3)/SQRT(1-ImpliedCorrelation),TRUE))</f>
        <v>-</v>
      </c>
      <c r="EP33" s="366" t="str">
        <f>IF($AB33&gt;CDS.Tenor,"-",_xlfn.NORM.S.DIST(($ED33-SQRT(ImpliedCorrelation)*EP$3)/SQRT(1-ImpliedCorrelation),TRUE))</f>
        <v>-</v>
      </c>
      <c r="EQ33" s="366" t="str">
        <f>IF($AB33&gt;CDS.Tenor,"-",_xlfn.NORM.S.DIST(($ED33-SQRT(ImpliedCorrelation)*EQ$3)/SQRT(1-ImpliedCorrelation),TRUE))</f>
        <v>-</v>
      </c>
      <c r="ER33" s="366" t="str">
        <f>IF($AB33&gt;CDS.Tenor,"-",_xlfn.NORM.S.DIST(($ED33-SQRT(ImpliedCorrelation)*ER$3)/SQRT(1-ImpliedCorrelation),TRUE))</f>
        <v>-</v>
      </c>
      <c r="ES33" s="366" t="str">
        <f>IF($AB33&gt;CDS.Tenor,"-",_xlfn.NORM.S.DIST(($ED33-SQRT(ImpliedCorrelation)*ES$3)/SQRT(1-ImpliedCorrelation),TRUE))</f>
        <v>-</v>
      </c>
      <c r="ET33" s="366" t="str">
        <f>IF($AB33&gt;CDS.Tenor,"-",_xlfn.NORM.S.DIST(($ED33-SQRT(ImpliedCorrelation)*ET$3)/SQRT(1-ImpliedCorrelation),TRUE))</f>
        <v>-</v>
      </c>
      <c r="EU33" s="366" t="str">
        <f>IF($AB33&gt;CDS.Tenor,"-",_xlfn.NORM.S.DIST(($ED33-SQRT(ImpliedCorrelation)*EU$3)/SQRT(1-ImpliedCorrelation),TRUE))</f>
        <v>-</v>
      </c>
      <c r="EV33" s="366" t="str">
        <f>IF($AB33&gt;CDS.Tenor,"-",_xlfn.NORM.S.DIST(($ED33-SQRT(ImpliedCorrelation)*EV$3)/SQRT(1-ImpliedCorrelation),TRUE))</f>
        <v>-</v>
      </c>
      <c r="EW33" s="366" t="str">
        <f>IF($AB33&gt;CDS.Tenor,"-",_xlfn.NORM.S.DIST(($ED33-SQRT(ImpliedCorrelation)*EW$3)/SQRT(1-ImpliedCorrelation),TRUE))</f>
        <v>-</v>
      </c>
      <c r="EX33" s="366" t="str">
        <f>IF($AB33&gt;CDS.Tenor,"-",_xlfn.NORM.S.DIST(($ED33-SQRT(ImpliedCorrelation)*EX$3)/SQRT(1-ImpliedCorrelation),TRUE))</f>
        <v>-</v>
      </c>
      <c r="EY33" s="366" t="str">
        <f>IF($AB33&gt;CDS.Tenor,"-",_xlfn.NORM.S.DIST(($ED33-SQRT(ImpliedCorrelation)*EY$3)/SQRT(1-ImpliedCorrelation),TRUE))</f>
        <v>-</v>
      </c>
      <c r="EZ33" s="366" t="str">
        <f>IF($AB33&gt;CDS.Tenor,"-",_xlfn.NORM.S.DIST(($ED33-SQRT(ImpliedCorrelation)*EZ$3)/SQRT(1-ImpliedCorrelation),TRUE))</f>
        <v>-</v>
      </c>
      <c r="FA33" s="366" t="str">
        <f>IF($AB33&gt;CDS.Tenor,"-",_xlfn.NORM.S.DIST(($ED33-SQRT(ImpliedCorrelation)*FA$3)/SQRT(1-ImpliedCorrelation),TRUE))</f>
        <v>-</v>
      </c>
      <c r="FB33" s="366"/>
      <c r="FC33" s="370">
        <f t="shared" si="119"/>
        <v>7.25</v>
      </c>
      <c r="FD33" s="366" t="str">
        <f>IF($AB33&gt;CDS.Tenor,"-",1-EG33)</f>
        <v>-</v>
      </c>
      <c r="FE33" s="366" t="str">
        <f>IF($AB33&gt;CDS.Tenor,"-",1-EH33)</f>
        <v>-</v>
      </c>
      <c r="FF33" s="366" t="str">
        <f>IF($AB33&gt;CDS.Tenor,"-",1-EI33)</f>
        <v>-</v>
      </c>
      <c r="FG33" s="366" t="str">
        <f>IF($AB33&gt;CDS.Tenor,"-",1-EJ33)</f>
        <v>-</v>
      </c>
      <c r="FH33" s="366" t="str">
        <f>IF($AB33&gt;CDS.Tenor,"-",1-EK33)</f>
        <v>-</v>
      </c>
      <c r="FI33" s="366" t="str">
        <f>IF($AB33&gt;CDS.Tenor,"-",1-EL33)</f>
        <v>-</v>
      </c>
      <c r="FJ33" s="366" t="str">
        <f>IF($AB33&gt;CDS.Tenor,"-",1-EM33)</f>
        <v>-</v>
      </c>
      <c r="FK33" s="366" t="str">
        <f>IF($AB33&gt;CDS.Tenor,"-",1-EN33)</f>
        <v>-</v>
      </c>
      <c r="FL33" s="366" t="str">
        <f>IF($AB33&gt;CDS.Tenor,"-",1-EO33)</f>
        <v>-</v>
      </c>
      <c r="FM33" s="366" t="str">
        <f>IF($AB33&gt;CDS.Tenor,"-",1-EP33)</f>
        <v>-</v>
      </c>
      <c r="FN33" s="366" t="str">
        <f>IF($AB33&gt;CDS.Tenor,"-",1-EQ33)</f>
        <v>-</v>
      </c>
      <c r="FO33" s="366" t="str">
        <f>IF($AB33&gt;CDS.Tenor,"-",1-ER33)</f>
        <v>-</v>
      </c>
      <c r="FP33" s="366" t="str">
        <f>IF($AB33&gt;CDS.Tenor,"-",1-ES33)</f>
        <v>-</v>
      </c>
      <c r="FQ33" s="366" t="str">
        <f>IF($AB33&gt;CDS.Tenor,"-",1-ET33)</f>
        <v>-</v>
      </c>
      <c r="FR33" s="366" t="str">
        <f>IF($AB33&gt;CDS.Tenor,"-",1-EU33)</f>
        <v>-</v>
      </c>
      <c r="FS33" s="366" t="str">
        <f>IF($AB33&gt;CDS.Tenor,"-",1-EV33)</f>
        <v>-</v>
      </c>
      <c r="FT33" s="366" t="str">
        <f>IF($AB33&gt;CDS.Tenor,"-",1-EW33)</f>
        <v>-</v>
      </c>
      <c r="FU33" s="366" t="str">
        <f>IF($AB33&gt;CDS.Tenor,"-",1-EX33)</f>
        <v>-</v>
      </c>
      <c r="FV33" s="366" t="str">
        <f>IF($AB33&gt;CDS.Tenor,"-",1-EY33)</f>
        <v>-</v>
      </c>
      <c r="FW33" s="366" t="str">
        <f>IF($AB33&gt;CDS.Tenor,"-",1-EZ33)</f>
        <v>-</v>
      </c>
      <c r="FX33" s="362" t="str">
        <f>IF($AB33&gt;CDS.Tenor,"-",1-FA33)</f>
        <v>-</v>
      </c>
      <c r="FZ33" s="370">
        <f t="shared" si="120"/>
        <v>7.25</v>
      </c>
      <c r="GA33" s="366" t="str">
        <f>IF($AB33&gt;CDS.Tenor,"-",BF33*DE33*FD33)</f>
        <v>-</v>
      </c>
      <c r="GB33" s="366" t="str">
        <f>IF($AB33&gt;CDS.Tenor,"-",BG33*DF33*FE33)</f>
        <v>-</v>
      </c>
      <c r="GC33" s="366" t="str">
        <f>IF($AB33&gt;CDS.Tenor,"-",BH33*DG33*FF33)</f>
        <v>-</v>
      </c>
      <c r="GD33" s="366" t="str">
        <f>IF($AB33&gt;CDS.Tenor,"-",BI33*DH33*FG33)</f>
        <v>-</v>
      </c>
      <c r="GE33" s="366" t="str">
        <f>IF($AB33&gt;CDS.Tenor,"-",BJ33*DI33*FH33)</f>
        <v>-</v>
      </c>
      <c r="GF33" s="366" t="str">
        <f>IF($AB33&gt;CDS.Tenor,"-",BK33*DJ33*FI33)</f>
        <v>-</v>
      </c>
      <c r="GG33" s="366" t="str">
        <f>IF($AB33&gt;CDS.Tenor,"-",BL33*DK33*FJ33)</f>
        <v>-</v>
      </c>
      <c r="GH33" s="366" t="str">
        <f>IF($AB33&gt;CDS.Tenor,"-",BM33*DL33*FK33)</f>
        <v>-</v>
      </c>
      <c r="GI33" s="366" t="str">
        <f>IF($AB33&gt;CDS.Tenor,"-",BN33*DM33*FL33)</f>
        <v>-</v>
      </c>
      <c r="GJ33" s="366" t="str">
        <f>IF($AB33&gt;CDS.Tenor,"-",BO33*DN33*FM33)</f>
        <v>-</v>
      </c>
      <c r="GK33" s="366" t="str">
        <f>IF($AB33&gt;CDS.Tenor,"-",BP33*DO33*FN33)</f>
        <v>-</v>
      </c>
      <c r="GL33" s="366" t="str">
        <f>IF($AB33&gt;CDS.Tenor,"-",BQ33*DP33*FO33)</f>
        <v>-</v>
      </c>
      <c r="GM33" s="366" t="str">
        <f>IF($AB33&gt;CDS.Tenor,"-",BR33*DQ33*FP33)</f>
        <v>-</v>
      </c>
      <c r="GN33" s="366" t="str">
        <f>IF($AB33&gt;CDS.Tenor,"-",BS33*DR33*FQ33)</f>
        <v>-</v>
      </c>
      <c r="GO33" s="366" t="str">
        <f>IF($AB33&gt;CDS.Tenor,"-",BT33*DS33*FR33)</f>
        <v>-</v>
      </c>
      <c r="GP33" s="366" t="str">
        <f>IF($AB33&gt;CDS.Tenor,"-",BU33*DT33*FS33)</f>
        <v>-</v>
      </c>
      <c r="GQ33" s="366" t="str">
        <f>IF($AB33&gt;CDS.Tenor,"-",BV33*DU33*FT33)</f>
        <v>-</v>
      </c>
      <c r="GR33" s="366" t="str">
        <f>IF($AB33&gt;CDS.Tenor,"-",BW33*DV33*FU33)</f>
        <v>-</v>
      </c>
      <c r="GS33" s="366" t="str">
        <f>IF($AB33&gt;CDS.Tenor,"-",BX33*DW33*FV33)</f>
        <v>-</v>
      </c>
      <c r="GT33" s="366" t="str">
        <f>IF($AB33&gt;CDS.Tenor,"-",BY33*DX33*FW33)</f>
        <v>-</v>
      </c>
      <c r="GU33" s="362" t="str">
        <f>IF($AB33&gt;CDS.Tenor,"-",BZ33*DY33*FX33)</f>
        <v>-</v>
      </c>
      <c r="GV33" s="42"/>
      <c r="GW33" s="370">
        <f t="shared" si="121"/>
        <v>7.25</v>
      </c>
      <c r="GX33" s="378" t="str">
        <f>IF($AB33&gt;CDS.Tenor,"-",SUMPRODUCT($GA33:$GU33,$GA$4:$GU$4)*dm)</f>
        <v>-</v>
      </c>
      <c r="GY33" s="381" t="str">
        <f>IF($AB33&gt;CDS.Tenor,"-",GX32-GX33)</f>
        <v>-</v>
      </c>
    </row>
    <row r="34" spans="10:207" x14ac:dyDescent="0.3">
      <c r="J34" s="156">
        <f t="shared" si="103"/>
        <v>7.5</v>
      </c>
      <c r="K34" s="28" t="str">
        <f>IF($J34&gt;CDS.Tenor,"-",CDS.PremiumSign*CDS.Notional*CDS.YearFraction*CDS.CreditSpread)</f>
        <v>-</v>
      </c>
      <c r="L34" s="10" t="str">
        <f>GX34</f>
        <v>-</v>
      </c>
      <c r="M34" s="10" t="str">
        <f>IF($J34&gt;CDS.Tenor,"-",L33-L34)</f>
        <v>-</v>
      </c>
      <c r="N34" s="94" t="str" cm="1">
        <f t="array" ref="N34">IF($J34&gt;CDS.Tenor,"-",cubicInterpolation(CurveResults.Times,CurveResults.DFs,$J34))</f>
        <v>-</v>
      </c>
      <c r="O34" s="28" t="str">
        <f>IF($J34&gt;CDS.Tenor,"-",K34*L34*N34)</f>
        <v>-</v>
      </c>
      <c r="P34" s="28" t="str">
        <f>IF($J34&gt;CDS.Tenor,"-",0.5*K34*M34*N34)</f>
        <v>-</v>
      </c>
      <c r="Q34" s="142" t="str">
        <f>IF($J34&gt;CDS.Tenor,"-",O34+P34)</f>
        <v>-</v>
      </c>
      <c r="T34" s="156">
        <f t="shared" si="104"/>
        <v>7.5</v>
      </c>
      <c r="U34" s="28" t="str">
        <f>IF($J34&gt;CDS.Tenor,"-",CDS.ProtectionSign*CDS.Notional*(1-CDS.RecoveryRate))</f>
        <v>-</v>
      </c>
      <c r="V34" s="10" t="str">
        <f>IF($J34&gt;CDS.Tenor,"-",GX34)</f>
        <v>-</v>
      </c>
      <c r="W34" s="10" t="str">
        <f>IF($J34&gt;CDS.Tenor,"-",V33-V34)</f>
        <v>-</v>
      </c>
      <c r="X34" s="94" t="str" cm="1">
        <f t="array" ref="X34">IF($T34&gt;CDS.Tenor,"-",cubicInterpolation(CurveResults.Times,CurveResults.DFs,$J34))</f>
        <v>-</v>
      </c>
      <c r="Y34" s="142" t="str">
        <f>IF($J34&gt;CDS.Tenor,"-",U34*W34*X34)</f>
        <v>-</v>
      </c>
      <c r="AB34" s="156">
        <f t="shared" si="105"/>
        <v>7.5</v>
      </c>
      <c r="AC34" s="352" t="str" cm="1">
        <f t="array" aca="1" ref="AC34" ca="1">IF($AB34&gt;CDS.Tenor,"-",flatInterpolation(AA34,INDIRECT(HazardRateTimes1),INDIRECT(HazardRateValues1)))</f>
        <v>-</v>
      </c>
      <c r="AD34" s="10" t="str">
        <f t="shared" si="106"/>
        <v>-</v>
      </c>
      <c r="AE34" s="10" t="str">
        <f t="shared" si="107"/>
        <v>-</v>
      </c>
      <c r="AF34" s="360" t="str">
        <f>IF($AB34&gt;CDS.Tenor,"-",NORMSINV(AE34))</f>
        <v>-</v>
      </c>
      <c r="AG34" s="360"/>
      <c r="AH34" s="370">
        <f t="shared" si="108"/>
        <v>7.5</v>
      </c>
      <c r="AI34" s="366" t="str">
        <f>IF($AB34&gt;CDS.Tenor,"-",_xlfn.NORM.S.DIST(($AF34-SQRT(ImpliedCorrelation)*AI$3)/SQRT(1-ImpliedCorrelation),TRUE))</f>
        <v>-</v>
      </c>
      <c r="AJ34" s="366" t="str">
        <f>IF($AB34&gt;CDS.Tenor,"-",_xlfn.NORM.S.DIST(($AF34-SQRT(ImpliedCorrelation)*AJ$3)/SQRT(1-ImpliedCorrelation),TRUE))</f>
        <v>-</v>
      </c>
      <c r="AK34" s="366" t="str">
        <f>IF($AB34&gt;CDS.Tenor,"-",_xlfn.NORM.S.DIST(($AF34-SQRT(ImpliedCorrelation)*AK$3)/SQRT(1-ImpliedCorrelation),TRUE))</f>
        <v>-</v>
      </c>
      <c r="AL34" s="366" t="str">
        <f>IF($AB34&gt;CDS.Tenor,"-",_xlfn.NORM.S.DIST(($AF34-SQRT(ImpliedCorrelation)*AL$3)/SQRT(1-ImpliedCorrelation),TRUE))</f>
        <v>-</v>
      </c>
      <c r="AM34" s="366" t="str">
        <f>IF($AB34&gt;CDS.Tenor,"-",_xlfn.NORM.S.DIST(($AF34-SQRT(ImpliedCorrelation)*AM$3)/SQRT(1-ImpliedCorrelation),TRUE))</f>
        <v>-</v>
      </c>
      <c r="AN34" s="366" t="str">
        <f>IF($AB34&gt;CDS.Tenor,"-",_xlfn.NORM.S.DIST(($AF34-SQRT(ImpliedCorrelation)*AN$3)/SQRT(1-ImpliedCorrelation),TRUE))</f>
        <v>-</v>
      </c>
      <c r="AO34" s="366" t="str">
        <f>IF($AB34&gt;CDS.Tenor,"-",_xlfn.NORM.S.DIST(($AF34-SQRT(ImpliedCorrelation)*AO$3)/SQRT(1-ImpliedCorrelation),TRUE))</f>
        <v>-</v>
      </c>
      <c r="AP34" s="366" t="str">
        <f>IF($AB34&gt;CDS.Tenor,"-",_xlfn.NORM.S.DIST(($AF34-SQRT(ImpliedCorrelation)*AP$3)/SQRT(1-ImpliedCorrelation),TRUE))</f>
        <v>-</v>
      </c>
      <c r="AQ34" s="366" t="str">
        <f>IF($AB34&gt;CDS.Tenor,"-",_xlfn.NORM.S.DIST(($AF34-SQRT(ImpliedCorrelation)*AQ$3)/SQRT(1-ImpliedCorrelation),TRUE))</f>
        <v>-</v>
      </c>
      <c r="AR34" s="366" t="str">
        <f>IF($AB34&gt;CDS.Tenor,"-",_xlfn.NORM.S.DIST(($AF34-SQRT(ImpliedCorrelation)*AR$3)/SQRT(1-ImpliedCorrelation),TRUE))</f>
        <v>-</v>
      </c>
      <c r="AS34" s="366" t="str">
        <f>IF($AB34&gt;CDS.Tenor,"-",_xlfn.NORM.S.DIST(($AF34-SQRT(ImpliedCorrelation)*AS$3)/SQRT(1-ImpliedCorrelation),TRUE))</f>
        <v>-</v>
      </c>
      <c r="AT34" s="366" t="str">
        <f>IF($AB34&gt;CDS.Tenor,"-",_xlfn.NORM.S.DIST(($AF34-SQRT(ImpliedCorrelation)*AT$3)/SQRT(1-ImpliedCorrelation),TRUE))</f>
        <v>-</v>
      </c>
      <c r="AU34" s="366" t="str">
        <f>IF($AB34&gt;CDS.Tenor,"-",_xlfn.NORM.S.DIST(($AF34-SQRT(ImpliedCorrelation)*AU$3)/SQRT(1-ImpliedCorrelation),TRUE))</f>
        <v>-</v>
      </c>
      <c r="AV34" s="366" t="str">
        <f>IF($AB34&gt;CDS.Tenor,"-",_xlfn.NORM.S.DIST(($AF34-SQRT(ImpliedCorrelation)*AV$3)/SQRT(1-ImpliedCorrelation),TRUE))</f>
        <v>-</v>
      </c>
      <c r="AW34" s="366" t="str">
        <f>IF($AB34&gt;CDS.Tenor,"-",_xlfn.NORM.S.DIST(($AF34-SQRT(ImpliedCorrelation)*AW$3)/SQRT(1-ImpliedCorrelation),TRUE))</f>
        <v>-</v>
      </c>
      <c r="AX34" s="366" t="str">
        <f>IF($AB34&gt;CDS.Tenor,"-",_xlfn.NORM.S.DIST(($AF34-SQRT(ImpliedCorrelation)*AX$3)/SQRT(1-ImpliedCorrelation),TRUE))</f>
        <v>-</v>
      </c>
      <c r="AY34" s="366" t="str">
        <f>IF($AB34&gt;CDS.Tenor,"-",_xlfn.NORM.S.DIST(($AF34-SQRT(ImpliedCorrelation)*AY$3)/SQRT(1-ImpliedCorrelation),TRUE))</f>
        <v>-</v>
      </c>
      <c r="AZ34" s="366" t="str">
        <f>IF($AB34&gt;CDS.Tenor,"-",_xlfn.NORM.S.DIST(($AF34-SQRT(ImpliedCorrelation)*AZ$3)/SQRT(1-ImpliedCorrelation),TRUE))</f>
        <v>-</v>
      </c>
      <c r="BA34" s="366" t="str">
        <f>IF($AB34&gt;CDS.Tenor,"-",_xlfn.NORM.S.DIST(($AF34-SQRT(ImpliedCorrelation)*BA$3)/SQRT(1-ImpliedCorrelation),TRUE))</f>
        <v>-</v>
      </c>
      <c r="BB34" s="366" t="str">
        <f>IF($AB34&gt;CDS.Tenor,"-",_xlfn.NORM.S.DIST(($AF34-SQRT(ImpliedCorrelation)*BB$3)/SQRT(1-ImpliedCorrelation),TRUE))</f>
        <v>-</v>
      </c>
      <c r="BC34" s="366" t="str">
        <f>IF($AB34&gt;CDS.Tenor,"-",_xlfn.NORM.S.DIST(($AF34-SQRT(ImpliedCorrelation)*BC$3)/SQRT(1-ImpliedCorrelation),TRUE))</f>
        <v>-</v>
      </c>
      <c r="BD34" s="366"/>
      <c r="BE34" s="370">
        <f t="shared" si="109"/>
        <v>7.5</v>
      </c>
      <c r="BF34" s="366" t="str">
        <f>IF($AB34&gt;CDS.Tenor,"-",1-AI34)</f>
        <v>-</v>
      </c>
      <c r="BG34" s="366" t="str">
        <f>IF($AB34&gt;CDS.Tenor,"-",1-AJ34)</f>
        <v>-</v>
      </c>
      <c r="BH34" s="366" t="str">
        <f>IF($AB34&gt;CDS.Tenor,"-",1-AK34)</f>
        <v>-</v>
      </c>
      <c r="BI34" s="366" t="str">
        <f>IF($AB34&gt;CDS.Tenor,"-",1-AL34)</f>
        <v>-</v>
      </c>
      <c r="BJ34" s="366" t="str">
        <f>IF($AB34&gt;CDS.Tenor,"-",1-AM34)</f>
        <v>-</v>
      </c>
      <c r="BK34" s="366" t="str">
        <f>IF($AB34&gt;CDS.Tenor,"-",1-AN34)</f>
        <v>-</v>
      </c>
      <c r="BL34" s="366" t="str">
        <f>IF($AB34&gt;CDS.Tenor,"-",1-AO34)</f>
        <v>-</v>
      </c>
      <c r="BM34" s="366" t="str">
        <f>IF($AB34&gt;CDS.Tenor,"-",1-AP34)</f>
        <v>-</v>
      </c>
      <c r="BN34" s="366" t="str">
        <f>IF($AB34&gt;CDS.Tenor,"-",1-AQ34)</f>
        <v>-</v>
      </c>
      <c r="BO34" s="366" t="str">
        <f>IF($AB34&gt;CDS.Tenor,"-",1-AR34)</f>
        <v>-</v>
      </c>
      <c r="BP34" s="366" t="str">
        <f>IF($AB34&gt;CDS.Tenor,"-",1-AS34)</f>
        <v>-</v>
      </c>
      <c r="BQ34" s="366" t="str">
        <f>IF($AB34&gt;CDS.Tenor,"-",1-AT34)</f>
        <v>-</v>
      </c>
      <c r="BR34" s="366" t="str">
        <f>IF($AB34&gt;CDS.Tenor,"-",1-AU34)</f>
        <v>-</v>
      </c>
      <c r="BS34" s="366" t="str">
        <f>IF($AB34&gt;CDS.Tenor,"-",1-AV34)</f>
        <v>-</v>
      </c>
      <c r="BT34" s="366" t="str">
        <f>IF($AB34&gt;CDS.Tenor,"-",1-AW34)</f>
        <v>-</v>
      </c>
      <c r="BU34" s="366" t="str">
        <f>IF($AB34&gt;CDS.Tenor,"-",1-AX34)</f>
        <v>-</v>
      </c>
      <c r="BV34" s="366" t="str">
        <f>IF($AB34&gt;CDS.Tenor,"-",1-AY34)</f>
        <v>-</v>
      </c>
      <c r="BW34" s="366" t="str">
        <f>IF($AB34&gt;CDS.Tenor,"-",1-AZ34)</f>
        <v>-</v>
      </c>
      <c r="BX34" s="366" t="str">
        <f>IF($AB34&gt;CDS.Tenor,"-",1-BA34)</f>
        <v>-</v>
      </c>
      <c r="BY34" s="366" t="str">
        <f>IF($AB34&gt;CDS.Tenor,"-",1-BB34)</f>
        <v>-</v>
      </c>
      <c r="BZ34" s="366" t="str">
        <f>IF($AB34&gt;CDS.Tenor,"-",1-BC34)</f>
        <v>-</v>
      </c>
      <c r="CA34" s="17"/>
      <c r="CB34" s="352" t="str" cm="1">
        <f t="array" aca="1" ref="CB34" ca="1">IF($AB34&gt;CDS.Tenor,"-",flatInterpolation(AB34,INDIRECT(HazardRateTimes2),INDIRECT(HazardRateValues2)))</f>
        <v>-</v>
      </c>
      <c r="CC34" s="10" t="str">
        <f t="shared" si="110"/>
        <v>-</v>
      </c>
      <c r="CD34" s="10" t="str">
        <f t="shared" si="111"/>
        <v>-</v>
      </c>
      <c r="CE34" s="81" t="str">
        <f t="shared" si="112"/>
        <v>-</v>
      </c>
      <c r="CF34" s="360"/>
      <c r="CG34" s="370">
        <f t="shared" si="113"/>
        <v>7.5</v>
      </c>
      <c r="CH34" s="366" t="str">
        <f>IF($AB34&gt;CDS.Tenor,"-",_xlfn.NORM.S.DIST(($CE34-SQRT(ImpliedCorrelation)*CH$3)/SQRT(1-ImpliedCorrelation),TRUE))</f>
        <v>-</v>
      </c>
      <c r="CI34" s="366" t="str">
        <f>IF($AB34&gt;CDS.Tenor,"-",_xlfn.NORM.S.DIST(($CE34-SQRT(ImpliedCorrelation)*CI$3)/SQRT(1-ImpliedCorrelation),TRUE))</f>
        <v>-</v>
      </c>
      <c r="CJ34" s="366" t="str">
        <f>IF($AB34&gt;CDS.Tenor,"-",_xlfn.NORM.S.DIST(($CE34-SQRT(ImpliedCorrelation)*CJ$3)/SQRT(1-ImpliedCorrelation),TRUE))</f>
        <v>-</v>
      </c>
      <c r="CK34" s="366" t="str">
        <f>IF($AB34&gt;CDS.Tenor,"-",_xlfn.NORM.S.DIST(($CE34-SQRT(ImpliedCorrelation)*CK$3)/SQRT(1-ImpliedCorrelation),TRUE))</f>
        <v>-</v>
      </c>
      <c r="CL34" s="366" t="str">
        <f>IF($AB34&gt;CDS.Tenor,"-",_xlfn.NORM.S.DIST(($CE34-SQRT(ImpliedCorrelation)*CL$3)/SQRT(1-ImpliedCorrelation),TRUE))</f>
        <v>-</v>
      </c>
      <c r="CM34" s="366" t="str">
        <f>IF($AB34&gt;CDS.Tenor,"-",_xlfn.NORM.S.DIST(($CE34-SQRT(ImpliedCorrelation)*CM$3)/SQRT(1-ImpliedCorrelation),TRUE))</f>
        <v>-</v>
      </c>
      <c r="CN34" s="366" t="str">
        <f>IF($AB34&gt;CDS.Tenor,"-",_xlfn.NORM.S.DIST(($CE34-SQRT(ImpliedCorrelation)*CN$3)/SQRT(1-ImpliedCorrelation),TRUE))</f>
        <v>-</v>
      </c>
      <c r="CO34" s="366" t="str">
        <f>IF($AB34&gt;CDS.Tenor,"-",_xlfn.NORM.S.DIST(($CE34-SQRT(ImpliedCorrelation)*CO$3)/SQRT(1-ImpliedCorrelation),TRUE))</f>
        <v>-</v>
      </c>
      <c r="CP34" s="366" t="str">
        <f>IF($AB34&gt;CDS.Tenor,"-",_xlfn.NORM.S.DIST(($CE34-SQRT(ImpliedCorrelation)*CP$3)/SQRT(1-ImpliedCorrelation),TRUE))</f>
        <v>-</v>
      </c>
      <c r="CQ34" s="366" t="str">
        <f>IF($AB34&gt;CDS.Tenor,"-",_xlfn.NORM.S.DIST(($CE34-SQRT(ImpliedCorrelation)*CQ$3)/SQRT(1-ImpliedCorrelation),TRUE))</f>
        <v>-</v>
      </c>
      <c r="CR34" s="366" t="str">
        <f>IF($AB34&gt;CDS.Tenor,"-",_xlfn.NORM.S.DIST(($CE34-SQRT(ImpliedCorrelation)*CR$3)/SQRT(1-ImpliedCorrelation),TRUE))</f>
        <v>-</v>
      </c>
      <c r="CS34" s="366" t="str">
        <f>IF($AB34&gt;CDS.Tenor,"-",_xlfn.NORM.S.DIST(($CE34-SQRT(ImpliedCorrelation)*CS$3)/SQRT(1-ImpliedCorrelation),TRUE))</f>
        <v>-</v>
      </c>
      <c r="CT34" s="366" t="str">
        <f>IF($AB34&gt;CDS.Tenor,"-",_xlfn.NORM.S.DIST(($CE34-SQRT(ImpliedCorrelation)*CT$3)/SQRT(1-ImpliedCorrelation),TRUE))</f>
        <v>-</v>
      </c>
      <c r="CU34" s="366" t="str">
        <f>IF($AB34&gt;CDS.Tenor,"-",_xlfn.NORM.S.DIST(($CE34-SQRT(ImpliedCorrelation)*CU$3)/SQRT(1-ImpliedCorrelation),TRUE))</f>
        <v>-</v>
      </c>
      <c r="CV34" s="366" t="str">
        <f>IF($AB34&gt;CDS.Tenor,"-",_xlfn.NORM.S.DIST(($CE34-SQRT(ImpliedCorrelation)*CV$3)/SQRT(1-ImpliedCorrelation),TRUE))</f>
        <v>-</v>
      </c>
      <c r="CW34" s="366" t="str">
        <f>IF($AB34&gt;CDS.Tenor,"-",_xlfn.NORM.S.DIST(($CE34-SQRT(ImpliedCorrelation)*CW$3)/SQRT(1-ImpliedCorrelation),TRUE))</f>
        <v>-</v>
      </c>
      <c r="CX34" s="366" t="str">
        <f>IF($AB34&gt;CDS.Tenor,"-",_xlfn.NORM.S.DIST(($CE34-SQRT(ImpliedCorrelation)*CX$3)/SQRT(1-ImpliedCorrelation),TRUE))</f>
        <v>-</v>
      </c>
      <c r="CY34" s="366" t="str">
        <f>IF($AB34&gt;CDS.Tenor,"-",_xlfn.NORM.S.DIST(($CE34-SQRT(ImpliedCorrelation)*CY$3)/SQRT(1-ImpliedCorrelation),TRUE))</f>
        <v>-</v>
      </c>
      <c r="CZ34" s="366" t="str">
        <f>IF($AB34&gt;CDS.Tenor,"-",_xlfn.NORM.S.DIST(($CE34-SQRT(ImpliedCorrelation)*CZ$3)/SQRT(1-ImpliedCorrelation),TRUE))</f>
        <v>-</v>
      </c>
      <c r="DA34" s="366" t="str">
        <f>IF($AB34&gt;CDS.Tenor,"-",_xlfn.NORM.S.DIST(($CE34-SQRT(ImpliedCorrelation)*DA$3)/SQRT(1-ImpliedCorrelation),TRUE))</f>
        <v>-</v>
      </c>
      <c r="DB34" s="366" t="str">
        <f>IF($AB34&gt;CDS.Tenor,"-",_xlfn.NORM.S.DIST(($CE34-SQRT(ImpliedCorrelation)*DB$3)/SQRT(1-ImpliedCorrelation),TRUE))</f>
        <v>-</v>
      </c>
      <c r="DC34" s="366"/>
      <c r="DD34" s="370">
        <f t="shared" si="114"/>
        <v>7.5</v>
      </c>
      <c r="DE34" s="366" t="str">
        <f>IF($AB34&gt;CDS.Tenor,"-",1-CH34)</f>
        <v>-</v>
      </c>
      <c r="DF34" s="366" t="str">
        <f>IF($AB34&gt;CDS.Tenor,"-",1-CI34)</f>
        <v>-</v>
      </c>
      <c r="DG34" s="366" t="str">
        <f>IF($AB34&gt;CDS.Tenor,"-",1-CJ34)</f>
        <v>-</v>
      </c>
      <c r="DH34" s="366" t="str">
        <f>IF($AB34&gt;CDS.Tenor,"-",1-CK34)</f>
        <v>-</v>
      </c>
      <c r="DI34" s="366" t="str">
        <f>IF($AB34&gt;CDS.Tenor,"-",1-CL34)</f>
        <v>-</v>
      </c>
      <c r="DJ34" s="366" t="str">
        <f>IF($AB34&gt;CDS.Tenor,"-",1-CM34)</f>
        <v>-</v>
      </c>
      <c r="DK34" s="366" t="str">
        <f>IF($AB34&gt;CDS.Tenor,"-",1-CN34)</f>
        <v>-</v>
      </c>
      <c r="DL34" s="366" t="str">
        <f>IF($AB34&gt;CDS.Tenor,"-",1-CO34)</f>
        <v>-</v>
      </c>
      <c r="DM34" s="366" t="str">
        <f>IF($AB34&gt;CDS.Tenor,"-",1-CP34)</f>
        <v>-</v>
      </c>
      <c r="DN34" s="366" t="str">
        <f>IF($AB34&gt;CDS.Tenor,"-",1-CQ34)</f>
        <v>-</v>
      </c>
      <c r="DO34" s="366" t="str">
        <f>IF($AB34&gt;CDS.Tenor,"-",1-CR34)</f>
        <v>-</v>
      </c>
      <c r="DP34" s="366" t="str">
        <f>IF($AB34&gt;CDS.Tenor,"-",1-CS34)</f>
        <v>-</v>
      </c>
      <c r="DQ34" s="366" t="str">
        <f>IF($AB34&gt;CDS.Tenor,"-",1-CT34)</f>
        <v>-</v>
      </c>
      <c r="DR34" s="366" t="str">
        <f>IF($AB34&gt;CDS.Tenor,"-",1-CU34)</f>
        <v>-</v>
      </c>
      <c r="DS34" s="366" t="str">
        <f>IF($AB34&gt;CDS.Tenor,"-",1-CV34)</f>
        <v>-</v>
      </c>
      <c r="DT34" s="366" t="str">
        <f>IF($AB34&gt;CDS.Tenor,"-",1-CW34)</f>
        <v>-</v>
      </c>
      <c r="DU34" s="366" t="str">
        <f>IF($AB34&gt;CDS.Tenor,"-",1-CX34)</f>
        <v>-</v>
      </c>
      <c r="DV34" s="366" t="str">
        <f>IF($AB34&gt;CDS.Tenor,"-",1-CY34)</f>
        <v>-</v>
      </c>
      <c r="DW34" s="366" t="str">
        <f>IF($AB34&gt;CDS.Tenor,"-",1-CZ34)</f>
        <v>-</v>
      </c>
      <c r="DX34" s="366" t="str">
        <f>IF($AB34&gt;CDS.Tenor,"-",1-DA34)</f>
        <v>-</v>
      </c>
      <c r="DY34" s="362" t="str">
        <f>IF($AB34&gt;CDS.Tenor,"-",1-DB34)</f>
        <v>-</v>
      </c>
      <c r="DZ34" s="360"/>
      <c r="EA34" s="352" t="str" cm="1">
        <f t="array" aca="1" ref="EA34" ca="1">IF($AB34&gt;CDS.Tenor,"-",flatInterpolation(CC34,INDIRECT(HazardRateTimes3),INDIRECT(HazardRateValues3)))</f>
        <v>-</v>
      </c>
      <c r="EB34" s="10" t="str">
        <f t="shared" si="115"/>
        <v>-</v>
      </c>
      <c r="EC34" s="10" t="str">
        <f t="shared" si="116"/>
        <v>-</v>
      </c>
      <c r="ED34" s="81" t="str">
        <f t="shared" si="117"/>
        <v>-</v>
      </c>
      <c r="EF34" s="370">
        <f t="shared" si="118"/>
        <v>7.5</v>
      </c>
      <c r="EG34" s="366" t="str">
        <f>IF($AB34&gt;CDS.Tenor,"-",_xlfn.NORM.S.DIST(($ED34-SQRT(ImpliedCorrelation)*EG$3)/SQRT(1-ImpliedCorrelation),TRUE))</f>
        <v>-</v>
      </c>
      <c r="EH34" s="366" t="str">
        <f>IF($AB34&gt;CDS.Tenor,"-",_xlfn.NORM.S.DIST(($ED34-SQRT(ImpliedCorrelation)*EH$3)/SQRT(1-ImpliedCorrelation),TRUE))</f>
        <v>-</v>
      </c>
      <c r="EI34" s="366" t="str">
        <f>IF($AB34&gt;CDS.Tenor,"-",_xlfn.NORM.S.DIST(($ED34-SQRT(ImpliedCorrelation)*EI$3)/SQRT(1-ImpliedCorrelation),TRUE))</f>
        <v>-</v>
      </c>
      <c r="EJ34" s="366" t="str">
        <f>IF($AB34&gt;CDS.Tenor,"-",_xlfn.NORM.S.DIST(($ED34-SQRT(ImpliedCorrelation)*EJ$3)/SQRT(1-ImpliedCorrelation),TRUE))</f>
        <v>-</v>
      </c>
      <c r="EK34" s="366" t="str">
        <f>IF($AB34&gt;CDS.Tenor,"-",_xlfn.NORM.S.DIST(($ED34-SQRT(ImpliedCorrelation)*EK$3)/SQRT(1-ImpliedCorrelation),TRUE))</f>
        <v>-</v>
      </c>
      <c r="EL34" s="366" t="str">
        <f>IF($AB34&gt;CDS.Tenor,"-",_xlfn.NORM.S.DIST(($ED34-SQRT(ImpliedCorrelation)*EL$3)/SQRT(1-ImpliedCorrelation),TRUE))</f>
        <v>-</v>
      </c>
      <c r="EM34" s="366" t="str">
        <f>IF($AB34&gt;CDS.Tenor,"-",_xlfn.NORM.S.DIST(($ED34-SQRT(ImpliedCorrelation)*EM$3)/SQRT(1-ImpliedCorrelation),TRUE))</f>
        <v>-</v>
      </c>
      <c r="EN34" s="366" t="str">
        <f>IF($AB34&gt;CDS.Tenor,"-",_xlfn.NORM.S.DIST(($ED34-SQRT(ImpliedCorrelation)*EN$3)/SQRT(1-ImpliedCorrelation),TRUE))</f>
        <v>-</v>
      </c>
      <c r="EO34" s="366" t="str">
        <f>IF($AB34&gt;CDS.Tenor,"-",_xlfn.NORM.S.DIST(($ED34-SQRT(ImpliedCorrelation)*EO$3)/SQRT(1-ImpliedCorrelation),TRUE))</f>
        <v>-</v>
      </c>
      <c r="EP34" s="366" t="str">
        <f>IF($AB34&gt;CDS.Tenor,"-",_xlfn.NORM.S.DIST(($ED34-SQRT(ImpliedCorrelation)*EP$3)/SQRT(1-ImpliedCorrelation),TRUE))</f>
        <v>-</v>
      </c>
      <c r="EQ34" s="366" t="str">
        <f>IF($AB34&gt;CDS.Tenor,"-",_xlfn.NORM.S.DIST(($ED34-SQRT(ImpliedCorrelation)*EQ$3)/SQRT(1-ImpliedCorrelation),TRUE))</f>
        <v>-</v>
      </c>
      <c r="ER34" s="366" t="str">
        <f>IF($AB34&gt;CDS.Tenor,"-",_xlfn.NORM.S.DIST(($ED34-SQRT(ImpliedCorrelation)*ER$3)/SQRT(1-ImpliedCorrelation),TRUE))</f>
        <v>-</v>
      </c>
      <c r="ES34" s="366" t="str">
        <f>IF($AB34&gt;CDS.Tenor,"-",_xlfn.NORM.S.DIST(($ED34-SQRT(ImpliedCorrelation)*ES$3)/SQRT(1-ImpliedCorrelation),TRUE))</f>
        <v>-</v>
      </c>
      <c r="ET34" s="366" t="str">
        <f>IF($AB34&gt;CDS.Tenor,"-",_xlfn.NORM.S.DIST(($ED34-SQRT(ImpliedCorrelation)*ET$3)/SQRT(1-ImpliedCorrelation),TRUE))</f>
        <v>-</v>
      </c>
      <c r="EU34" s="366" t="str">
        <f>IF($AB34&gt;CDS.Tenor,"-",_xlfn.NORM.S.DIST(($ED34-SQRT(ImpliedCorrelation)*EU$3)/SQRT(1-ImpliedCorrelation),TRUE))</f>
        <v>-</v>
      </c>
      <c r="EV34" s="366" t="str">
        <f>IF($AB34&gt;CDS.Tenor,"-",_xlfn.NORM.S.DIST(($ED34-SQRT(ImpliedCorrelation)*EV$3)/SQRT(1-ImpliedCorrelation),TRUE))</f>
        <v>-</v>
      </c>
      <c r="EW34" s="366" t="str">
        <f>IF($AB34&gt;CDS.Tenor,"-",_xlfn.NORM.S.DIST(($ED34-SQRT(ImpliedCorrelation)*EW$3)/SQRT(1-ImpliedCorrelation),TRUE))</f>
        <v>-</v>
      </c>
      <c r="EX34" s="366" t="str">
        <f>IF($AB34&gt;CDS.Tenor,"-",_xlfn.NORM.S.DIST(($ED34-SQRT(ImpliedCorrelation)*EX$3)/SQRT(1-ImpliedCorrelation),TRUE))</f>
        <v>-</v>
      </c>
      <c r="EY34" s="366" t="str">
        <f>IF($AB34&gt;CDS.Tenor,"-",_xlfn.NORM.S.DIST(($ED34-SQRT(ImpliedCorrelation)*EY$3)/SQRT(1-ImpliedCorrelation),TRUE))</f>
        <v>-</v>
      </c>
      <c r="EZ34" s="366" t="str">
        <f>IF($AB34&gt;CDS.Tenor,"-",_xlfn.NORM.S.DIST(($ED34-SQRT(ImpliedCorrelation)*EZ$3)/SQRT(1-ImpliedCorrelation),TRUE))</f>
        <v>-</v>
      </c>
      <c r="FA34" s="366" t="str">
        <f>IF($AB34&gt;CDS.Tenor,"-",_xlfn.NORM.S.DIST(($ED34-SQRT(ImpliedCorrelation)*FA$3)/SQRT(1-ImpliedCorrelation),TRUE))</f>
        <v>-</v>
      </c>
      <c r="FB34" s="366"/>
      <c r="FC34" s="370">
        <f t="shared" si="119"/>
        <v>7.5</v>
      </c>
      <c r="FD34" s="366" t="str">
        <f>IF($AB34&gt;CDS.Tenor,"-",1-EG34)</f>
        <v>-</v>
      </c>
      <c r="FE34" s="366" t="str">
        <f>IF($AB34&gt;CDS.Tenor,"-",1-EH34)</f>
        <v>-</v>
      </c>
      <c r="FF34" s="366" t="str">
        <f>IF($AB34&gt;CDS.Tenor,"-",1-EI34)</f>
        <v>-</v>
      </c>
      <c r="FG34" s="366" t="str">
        <f>IF($AB34&gt;CDS.Tenor,"-",1-EJ34)</f>
        <v>-</v>
      </c>
      <c r="FH34" s="366" t="str">
        <f>IF($AB34&gt;CDS.Tenor,"-",1-EK34)</f>
        <v>-</v>
      </c>
      <c r="FI34" s="366" t="str">
        <f>IF($AB34&gt;CDS.Tenor,"-",1-EL34)</f>
        <v>-</v>
      </c>
      <c r="FJ34" s="366" t="str">
        <f>IF($AB34&gt;CDS.Tenor,"-",1-EM34)</f>
        <v>-</v>
      </c>
      <c r="FK34" s="366" t="str">
        <f>IF($AB34&gt;CDS.Tenor,"-",1-EN34)</f>
        <v>-</v>
      </c>
      <c r="FL34" s="366" t="str">
        <f>IF($AB34&gt;CDS.Tenor,"-",1-EO34)</f>
        <v>-</v>
      </c>
      <c r="FM34" s="366" t="str">
        <f>IF($AB34&gt;CDS.Tenor,"-",1-EP34)</f>
        <v>-</v>
      </c>
      <c r="FN34" s="366" t="str">
        <f>IF($AB34&gt;CDS.Tenor,"-",1-EQ34)</f>
        <v>-</v>
      </c>
      <c r="FO34" s="366" t="str">
        <f>IF($AB34&gt;CDS.Tenor,"-",1-ER34)</f>
        <v>-</v>
      </c>
      <c r="FP34" s="366" t="str">
        <f>IF($AB34&gt;CDS.Tenor,"-",1-ES34)</f>
        <v>-</v>
      </c>
      <c r="FQ34" s="366" t="str">
        <f>IF($AB34&gt;CDS.Tenor,"-",1-ET34)</f>
        <v>-</v>
      </c>
      <c r="FR34" s="366" t="str">
        <f>IF($AB34&gt;CDS.Tenor,"-",1-EU34)</f>
        <v>-</v>
      </c>
      <c r="FS34" s="366" t="str">
        <f>IF($AB34&gt;CDS.Tenor,"-",1-EV34)</f>
        <v>-</v>
      </c>
      <c r="FT34" s="366" t="str">
        <f>IF($AB34&gt;CDS.Tenor,"-",1-EW34)</f>
        <v>-</v>
      </c>
      <c r="FU34" s="366" t="str">
        <f>IF($AB34&gt;CDS.Tenor,"-",1-EX34)</f>
        <v>-</v>
      </c>
      <c r="FV34" s="366" t="str">
        <f>IF($AB34&gt;CDS.Tenor,"-",1-EY34)</f>
        <v>-</v>
      </c>
      <c r="FW34" s="366" t="str">
        <f>IF($AB34&gt;CDS.Tenor,"-",1-EZ34)</f>
        <v>-</v>
      </c>
      <c r="FX34" s="362" t="str">
        <f>IF($AB34&gt;CDS.Tenor,"-",1-FA34)</f>
        <v>-</v>
      </c>
      <c r="FZ34" s="370">
        <f t="shared" si="120"/>
        <v>7.5</v>
      </c>
      <c r="GA34" s="366" t="str">
        <f>IF($AB34&gt;CDS.Tenor,"-",BF34*DE34*FD34)</f>
        <v>-</v>
      </c>
      <c r="GB34" s="366" t="str">
        <f>IF($AB34&gt;CDS.Tenor,"-",BG34*DF34*FE34)</f>
        <v>-</v>
      </c>
      <c r="GC34" s="366" t="str">
        <f>IF($AB34&gt;CDS.Tenor,"-",BH34*DG34*FF34)</f>
        <v>-</v>
      </c>
      <c r="GD34" s="366" t="str">
        <f>IF($AB34&gt;CDS.Tenor,"-",BI34*DH34*FG34)</f>
        <v>-</v>
      </c>
      <c r="GE34" s="366" t="str">
        <f>IF($AB34&gt;CDS.Tenor,"-",BJ34*DI34*FH34)</f>
        <v>-</v>
      </c>
      <c r="GF34" s="366" t="str">
        <f>IF($AB34&gt;CDS.Tenor,"-",BK34*DJ34*FI34)</f>
        <v>-</v>
      </c>
      <c r="GG34" s="366" t="str">
        <f>IF($AB34&gt;CDS.Tenor,"-",BL34*DK34*FJ34)</f>
        <v>-</v>
      </c>
      <c r="GH34" s="366" t="str">
        <f>IF($AB34&gt;CDS.Tenor,"-",BM34*DL34*FK34)</f>
        <v>-</v>
      </c>
      <c r="GI34" s="366" t="str">
        <f>IF($AB34&gt;CDS.Tenor,"-",BN34*DM34*FL34)</f>
        <v>-</v>
      </c>
      <c r="GJ34" s="366" t="str">
        <f>IF($AB34&gt;CDS.Tenor,"-",BO34*DN34*FM34)</f>
        <v>-</v>
      </c>
      <c r="GK34" s="366" t="str">
        <f>IF($AB34&gt;CDS.Tenor,"-",BP34*DO34*FN34)</f>
        <v>-</v>
      </c>
      <c r="GL34" s="366" t="str">
        <f>IF($AB34&gt;CDS.Tenor,"-",BQ34*DP34*FO34)</f>
        <v>-</v>
      </c>
      <c r="GM34" s="366" t="str">
        <f>IF($AB34&gt;CDS.Tenor,"-",BR34*DQ34*FP34)</f>
        <v>-</v>
      </c>
      <c r="GN34" s="366" t="str">
        <f>IF($AB34&gt;CDS.Tenor,"-",BS34*DR34*FQ34)</f>
        <v>-</v>
      </c>
      <c r="GO34" s="366" t="str">
        <f>IF($AB34&gt;CDS.Tenor,"-",BT34*DS34*FR34)</f>
        <v>-</v>
      </c>
      <c r="GP34" s="366" t="str">
        <f>IF($AB34&gt;CDS.Tenor,"-",BU34*DT34*FS34)</f>
        <v>-</v>
      </c>
      <c r="GQ34" s="366" t="str">
        <f>IF($AB34&gt;CDS.Tenor,"-",BV34*DU34*FT34)</f>
        <v>-</v>
      </c>
      <c r="GR34" s="366" t="str">
        <f>IF($AB34&gt;CDS.Tenor,"-",BW34*DV34*FU34)</f>
        <v>-</v>
      </c>
      <c r="GS34" s="366" t="str">
        <f>IF($AB34&gt;CDS.Tenor,"-",BX34*DW34*FV34)</f>
        <v>-</v>
      </c>
      <c r="GT34" s="366" t="str">
        <f>IF($AB34&gt;CDS.Tenor,"-",BY34*DX34*FW34)</f>
        <v>-</v>
      </c>
      <c r="GU34" s="362" t="str">
        <f>IF($AB34&gt;CDS.Tenor,"-",BZ34*DY34*FX34)</f>
        <v>-</v>
      </c>
      <c r="GV34" s="42"/>
      <c r="GW34" s="370">
        <f t="shared" si="121"/>
        <v>7.5</v>
      </c>
      <c r="GX34" s="378" t="str">
        <f>IF($AB34&gt;CDS.Tenor,"-",SUMPRODUCT($GA34:$GU34,$GA$4:$GU$4)*dm)</f>
        <v>-</v>
      </c>
      <c r="GY34" s="381" t="str">
        <f>IF($AB34&gt;CDS.Tenor,"-",GX33-GX34)</f>
        <v>-</v>
      </c>
    </row>
    <row r="35" spans="10:207" x14ac:dyDescent="0.3">
      <c r="J35" s="156">
        <f t="shared" si="103"/>
        <v>7.75</v>
      </c>
      <c r="K35" s="28" t="str">
        <f>IF($J35&gt;CDS.Tenor,"-",CDS.PremiumSign*CDS.Notional*CDS.YearFraction*CDS.CreditSpread)</f>
        <v>-</v>
      </c>
      <c r="L35" s="10" t="str">
        <f>GX35</f>
        <v>-</v>
      </c>
      <c r="M35" s="10" t="str">
        <f>IF($J35&gt;CDS.Tenor,"-",L34-L35)</f>
        <v>-</v>
      </c>
      <c r="N35" s="94" t="str" cm="1">
        <f t="array" ref="N35">IF($J35&gt;CDS.Tenor,"-",cubicInterpolation(CurveResults.Times,CurveResults.DFs,$J35))</f>
        <v>-</v>
      </c>
      <c r="O35" s="28" t="str">
        <f>IF($J35&gt;CDS.Tenor,"-",K35*L35*N35)</f>
        <v>-</v>
      </c>
      <c r="P35" s="28" t="str">
        <f>IF($J35&gt;CDS.Tenor,"-",0.5*K35*M35*N35)</f>
        <v>-</v>
      </c>
      <c r="Q35" s="142" t="str">
        <f>IF($J35&gt;CDS.Tenor,"-",O35+P35)</f>
        <v>-</v>
      </c>
      <c r="T35" s="156">
        <f t="shared" si="104"/>
        <v>7.75</v>
      </c>
      <c r="U35" s="28" t="str">
        <f>IF($J35&gt;CDS.Tenor,"-",CDS.ProtectionSign*CDS.Notional*(1-CDS.RecoveryRate))</f>
        <v>-</v>
      </c>
      <c r="V35" s="10" t="str">
        <f>IF($J35&gt;CDS.Tenor,"-",GX35)</f>
        <v>-</v>
      </c>
      <c r="W35" s="10" t="str">
        <f>IF($J35&gt;CDS.Tenor,"-",V34-V35)</f>
        <v>-</v>
      </c>
      <c r="X35" s="94" t="str" cm="1">
        <f t="array" ref="X35">IF($T35&gt;CDS.Tenor,"-",cubicInterpolation(CurveResults.Times,CurveResults.DFs,$J35))</f>
        <v>-</v>
      </c>
      <c r="Y35" s="142" t="str">
        <f>IF($J35&gt;CDS.Tenor,"-",U35*W35*X35)</f>
        <v>-</v>
      </c>
      <c r="AB35" s="156">
        <f t="shared" si="105"/>
        <v>7.75</v>
      </c>
      <c r="AC35" s="352" t="str" cm="1">
        <f t="array" aca="1" ref="AC35" ca="1">IF($AB35&gt;CDS.Tenor,"-",flatInterpolation(AA35,INDIRECT(HazardRateTimes1),INDIRECT(HazardRateValues1)))</f>
        <v>-</v>
      </c>
      <c r="AD35" s="10" t="str">
        <f t="shared" si="106"/>
        <v>-</v>
      </c>
      <c r="AE35" s="10" t="str">
        <f t="shared" si="107"/>
        <v>-</v>
      </c>
      <c r="AF35" s="360" t="str">
        <f>IF($AB35&gt;CDS.Tenor,"-",NORMSINV(AE35))</f>
        <v>-</v>
      </c>
      <c r="AG35" s="360"/>
      <c r="AH35" s="370">
        <f t="shared" si="108"/>
        <v>7.75</v>
      </c>
      <c r="AI35" s="366" t="str">
        <f>IF($AB35&gt;CDS.Tenor,"-",_xlfn.NORM.S.DIST(($AF35-SQRT(ImpliedCorrelation)*AI$3)/SQRT(1-ImpliedCorrelation),TRUE))</f>
        <v>-</v>
      </c>
      <c r="AJ35" s="366" t="str">
        <f>IF($AB35&gt;CDS.Tenor,"-",_xlfn.NORM.S.DIST(($AF35-SQRT(ImpliedCorrelation)*AJ$3)/SQRT(1-ImpliedCorrelation),TRUE))</f>
        <v>-</v>
      </c>
      <c r="AK35" s="366" t="str">
        <f>IF($AB35&gt;CDS.Tenor,"-",_xlfn.NORM.S.DIST(($AF35-SQRT(ImpliedCorrelation)*AK$3)/SQRT(1-ImpliedCorrelation),TRUE))</f>
        <v>-</v>
      </c>
      <c r="AL35" s="366" t="str">
        <f>IF($AB35&gt;CDS.Tenor,"-",_xlfn.NORM.S.DIST(($AF35-SQRT(ImpliedCorrelation)*AL$3)/SQRT(1-ImpliedCorrelation),TRUE))</f>
        <v>-</v>
      </c>
      <c r="AM35" s="366" t="str">
        <f>IF($AB35&gt;CDS.Tenor,"-",_xlfn.NORM.S.DIST(($AF35-SQRT(ImpliedCorrelation)*AM$3)/SQRT(1-ImpliedCorrelation),TRUE))</f>
        <v>-</v>
      </c>
      <c r="AN35" s="366" t="str">
        <f>IF($AB35&gt;CDS.Tenor,"-",_xlfn.NORM.S.DIST(($AF35-SQRT(ImpliedCorrelation)*AN$3)/SQRT(1-ImpliedCorrelation),TRUE))</f>
        <v>-</v>
      </c>
      <c r="AO35" s="366" t="str">
        <f>IF($AB35&gt;CDS.Tenor,"-",_xlfn.NORM.S.DIST(($AF35-SQRT(ImpliedCorrelation)*AO$3)/SQRT(1-ImpliedCorrelation),TRUE))</f>
        <v>-</v>
      </c>
      <c r="AP35" s="366" t="str">
        <f>IF($AB35&gt;CDS.Tenor,"-",_xlfn.NORM.S.DIST(($AF35-SQRT(ImpliedCorrelation)*AP$3)/SQRT(1-ImpliedCorrelation),TRUE))</f>
        <v>-</v>
      </c>
      <c r="AQ35" s="366" t="str">
        <f>IF($AB35&gt;CDS.Tenor,"-",_xlfn.NORM.S.DIST(($AF35-SQRT(ImpliedCorrelation)*AQ$3)/SQRT(1-ImpliedCorrelation),TRUE))</f>
        <v>-</v>
      </c>
      <c r="AR35" s="366" t="str">
        <f>IF($AB35&gt;CDS.Tenor,"-",_xlfn.NORM.S.DIST(($AF35-SQRT(ImpliedCorrelation)*AR$3)/SQRT(1-ImpliedCorrelation),TRUE))</f>
        <v>-</v>
      </c>
      <c r="AS35" s="366" t="str">
        <f>IF($AB35&gt;CDS.Tenor,"-",_xlfn.NORM.S.DIST(($AF35-SQRT(ImpliedCorrelation)*AS$3)/SQRT(1-ImpliedCorrelation),TRUE))</f>
        <v>-</v>
      </c>
      <c r="AT35" s="366" t="str">
        <f>IF($AB35&gt;CDS.Tenor,"-",_xlfn.NORM.S.DIST(($AF35-SQRT(ImpliedCorrelation)*AT$3)/SQRT(1-ImpliedCorrelation),TRUE))</f>
        <v>-</v>
      </c>
      <c r="AU35" s="366" t="str">
        <f>IF($AB35&gt;CDS.Tenor,"-",_xlfn.NORM.S.DIST(($AF35-SQRT(ImpliedCorrelation)*AU$3)/SQRT(1-ImpliedCorrelation),TRUE))</f>
        <v>-</v>
      </c>
      <c r="AV35" s="366" t="str">
        <f>IF($AB35&gt;CDS.Tenor,"-",_xlfn.NORM.S.DIST(($AF35-SQRT(ImpliedCorrelation)*AV$3)/SQRT(1-ImpliedCorrelation),TRUE))</f>
        <v>-</v>
      </c>
      <c r="AW35" s="366" t="str">
        <f>IF($AB35&gt;CDS.Tenor,"-",_xlfn.NORM.S.DIST(($AF35-SQRT(ImpliedCorrelation)*AW$3)/SQRT(1-ImpliedCorrelation),TRUE))</f>
        <v>-</v>
      </c>
      <c r="AX35" s="366" t="str">
        <f>IF($AB35&gt;CDS.Tenor,"-",_xlfn.NORM.S.DIST(($AF35-SQRT(ImpliedCorrelation)*AX$3)/SQRT(1-ImpliedCorrelation),TRUE))</f>
        <v>-</v>
      </c>
      <c r="AY35" s="366" t="str">
        <f>IF($AB35&gt;CDS.Tenor,"-",_xlfn.NORM.S.DIST(($AF35-SQRT(ImpliedCorrelation)*AY$3)/SQRT(1-ImpliedCorrelation),TRUE))</f>
        <v>-</v>
      </c>
      <c r="AZ35" s="366" t="str">
        <f>IF($AB35&gt;CDS.Tenor,"-",_xlfn.NORM.S.DIST(($AF35-SQRT(ImpliedCorrelation)*AZ$3)/SQRT(1-ImpliedCorrelation),TRUE))</f>
        <v>-</v>
      </c>
      <c r="BA35" s="366" t="str">
        <f>IF($AB35&gt;CDS.Tenor,"-",_xlfn.NORM.S.DIST(($AF35-SQRT(ImpliedCorrelation)*BA$3)/SQRT(1-ImpliedCorrelation),TRUE))</f>
        <v>-</v>
      </c>
      <c r="BB35" s="366" t="str">
        <f>IF($AB35&gt;CDS.Tenor,"-",_xlfn.NORM.S.DIST(($AF35-SQRT(ImpliedCorrelation)*BB$3)/SQRT(1-ImpliedCorrelation),TRUE))</f>
        <v>-</v>
      </c>
      <c r="BC35" s="366" t="str">
        <f>IF($AB35&gt;CDS.Tenor,"-",_xlfn.NORM.S.DIST(($AF35-SQRT(ImpliedCorrelation)*BC$3)/SQRT(1-ImpliedCorrelation),TRUE))</f>
        <v>-</v>
      </c>
      <c r="BD35" s="366"/>
      <c r="BE35" s="370">
        <f t="shared" si="109"/>
        <v>7.75</v>
      </c>
      <c r="BF35" s="366" t="str">
        <f>IF($AB35&gt;CDS.Tenor,"-",1-AI35)</f>
        <v>-</v>
      </c>
      <c r="BG35" s="366" t="str">
        <f>IF($AB35&gt;CDS.Tenor,"-",1-AJ35)</f>
        <v>-</v>
      </c>
      <c r="BH35" s="366" t="str">
        <f>IF($AB35&gt;CDS.Tenor,"-",1-AK35)</f>
        <v>-</v>
      </c>
      <c r="BI35" s="366" t="str">
        <f>IF($AB35&gt;CDS.Tenor,"-",1-AL35)</f>
        <v>-</v>
      </c>
      <c r="BJ35" s="366" t="str">
        <f>IF($AB35&gt;CDS.Tenor,"-",1-AM35)</f>
        <v>-</v>
      </c>
      <c r="BK35" s="366" t="str">
        <f>IF($AB35&gt;CDS.Tenor,"-",1-AN35)</f>
        <v>-</v>
      </c>
      <c r="BL35" s="366" t="str">
        <f>IF($AB35&gt;CDS.Tenor,"-",1-AO35)</f>
        <v>-</v>
      </c>
      <c r="BM35" s="366" t="str">
        <f>IF($AB35&gt;CDS.Tenor,"-",1-AP35)</f>
        <v>-</v>
      </c>
      <c r="BN35" s="366" t="str">
        <f>IF($AB35&gt;CDS.Tenor,"-",1-AQ35)</f>
        <v>-</v>
      </c>
      <c r="BO35" s="366" t="str">
        <f>IF($AB35&gt;CDS.Tenor,"-",1-AR35)</f>
        <v>-</v>
      </c>
      <c r="BP35" s="366" t="str">
        <f>IF($AB35&gt;CDS.Tenor,"-",1-AS35)</f>
        <v>-</v>
      </c>
      <c r="BQ35" s="366" t="str">
        <f>IF($AB35&gt;CDS.Tenor,"-",1-AT35)</f>
        <v>-</v>
      </c>
      <c r="BR35" s="366" t="str">
        <f>IF($AB35&gt;CDS.Tenor,"-",1-AU35)</f>
        <v>-</v>
      </c>
      <c r="BS35" s="366" t="str">
        <f>IF($AB35&gt;CDS.Tenor,"-",1-AV35)</f>
        <v>-</v>
      </c>
      <c r="BT35" s="366" t="str">
        <f>IF($AB35&gt;CDS.Tenor,"-",1-AW35)</f>
        <v>-</v>
      </c>
      <c r="BU35" s="366" t="str">
        <f>IF($AB35&gt;CDS.Tenor,"-",1-AX35)</f>
        <v>-</v>
      </c>
      <c r="BV35" s="366" t="str">
        <f>IF($AB35&gt;CDS.Tenor,"-",1-AY35)</f>
        <v>-</v>
      </c>
      <c r="BW35" s="366" t="str">
        <f>IF($AB35&gt;CDS.Tenor,"-",1-AZ35)</f>
        <v>-</v>
      </c>
      <c r="BX35" s="366" t="str">
        <f>IF($AB35&gt;CDS.Tenor,"-",1-BA35)</f>
        <v>-</v>
      </c>
      <c r="BY35" s="366" t="str">
        <f>IF($AB35&gt;CDS.Tenor,"-",1-BB35)</f>
        <v>-</v>
      </c>
      <c r="BZ35" s="366" t="str">
        <f>IF($AB35&gt;CDS.Tenor,"-",1-BC35)</f>
        <v>-</v>
      </c>
      <c r="CA35" s="17"/>
      <c r="CB35" s="352" t="str" cm="1">
        <f t="array" aca="1" ref="CB35" ca="1">IF($AB35&gt;CDS.Tenor,"-",flatInterpolation(AB35,INDIRECT(HazardRateTimes2),INDIRECT(HazardRateValues2)))</f>
        <v>-</v>
      </c>
      <c r="CC35" s="10" t="str">
        <f t="shared" si="110"/>
        <v>-</v>
      </c>
      <c r="CD35" s="10" t="str">
        <f t="shared" si="111"/>
        <v>-</v>
      </c>
      <c r="CE35" s="81" t="str">
        <f t="shared" si="112"/>
        <v>-</v>
      </c>
      <c r="CF35" s="360"/>
      <c r="CG35" s="370">
        <f t="shared" si="113"/>
        <v>7.75</v>
      </c>
      <c r="CH35" s="366" t="str">
        <f>IF($AB35&gt;CDS.Tenor,"-",_xlfn.NORM.S.DIST(($CE35-SQRT(ImpliedCorrelation)*CH$3)/SQRT(1-ImpliedCorrelation),TRUE))</f>
        <v>-</v>
      </c>
      <c r="CI35" s="366" t="str">
        <f>IF($AB35&gt;CDS.Tenor,"-",_xlfn.NORM.S.DIST(($CE35-SQRT(ImpliedCorrelation)*CI$3)/SQRT(1-ImpliedCorrelation),TRUE))</f>
        <v>-</v>
      </c>
      <c r="CJ35" s="366" t="str">
        <f>IF($AB35&gt;CDS.Tenor,"-",_xlfn.NORM.S.DIST(($CE35-SQRT(ImpliedCorrelation)*CJ$3)/SQRT(1-ImpliedCorrelation),TRUE))</f>
        <v>-</v>
      </c>
      <c r="CK35" s="366" t="str">
        <f>IF($AB35&gt;CDS.Tenor,"-",_xlfn.NORM.S.DIST(($CE35-SQRT(ImpliedCorrelation)*CK$3)/SQRT(1-ImpliedCorrelation),TRUE))</f>
        <v>-</v>
      </c>
      <c r="CL35" s="366" t="str">
        <f>IF($AB35&gt;CDS.Tenor,"-",_xlfn.NORM.S.DIST(($CE35-SQRT(ImpliedCorrelation)*CL$3)/SQRT(1-ImpliedCorrelation),TRUE))</f>
        <v>-</v>
      </c>
      <c r="CM35" s="366" t="str">
        <f>IF($AB35&gt;CDS.Tenor,"-",_xlfn.NORM.S.DIST(($CE35-SQRT(ImpliedCorrelation)*CM$3)/SQRT(1-ImpliedCorrelation),TRUE))</f>
        <v>-</v>
      </c>
      <c r="CN35" s="366" t="str">
        <f>IF($AB35&gt;CDS.Tenor,"-",_xlfn.NORM.S.DIST(($CE35-SQRT(ImpliedCorrelation)*CN$3)/SQRT(1-ImpliedCorrelation),TRUE))</f>
        <v>-</v>
      </c>
      <c r="CO35" s="366" t="str">
        <f>IF($AB35&gt;CDS.Tenor,"-",_xlfn.NORM.S.DIST(($CE35-SQRT(ImpliedCorrelation)*CO$3)/SQRT(1-ImpliedCorrelation),TRUE))</f>
        <v>-</v>
      </c>
      <c r="CP35" s="366" t="str">
        <f>IF($AB35&gt;CDS.Tenor,"-",_xlfn.NORM.S.DIST(($CE35-SQRT(ImpliedCorrelation)*CP$3)/SQRT(1-ImpliedCorrelation),TRUE))</f>
        <v>-</v>
      </c>
      <c r="CQ35" s="366" t="str">
        <f>IF($AB35&gt;CDS.Tenor,"-",_xlfn.NORM.S.DIST(($CE35-SQRT(ImpliedCorrelation)*CQ$3)/SQRT(1-ImpliedCorrelation),TRUE))</f>
        <v>-</v>
      </c>
      <c r="CR35" s="366" t="str">
        <f>IF($AB35&gt;CDS.Tenor,"-",_xlfn.NORM.S.DIST(($CE35-SQRT(ImpliedCorrelation)*CR$3)/SQRT(1-ImpliedCorrelation),TRUE))</f>
        <v>-</v>
      </c>
      <c r="CS35" s="366" t="str">
        <f>IF($AB35&gt;CDS.Tenor,"-",_xlfn.NORM.S.DIST(($CE35-SQRT(ImpliedCorrelation)*CS$3)/SQRT(1-ImpliedCorrelation),TRUE))</f>
        <v>-</v>
      </c>
      <c r="CT35" s="366" t="str">
        <f>IF($AB35&gt;CDS.Tenor,"-",_xlfn.NORM.S.DIST(($CE35-SQRT(ImpliedCorrelation)*CT$3)/SQRT(1-ImpliedCorrelation),TRUE))</f>
        <v>-</v>
      </c>
      <c r="CU35" s="366" t="str">
        <f>IF($AB35&gt;CDS.Tenor,"-",_xlfn.NORM.S.DIST(($CE35-SQRT(ImpliedCorrelation)*CU$3)/SQRT(1-ImpliedCorrelation),TRUE))</f>
        <v>-</v>
      </c>
      <c r="CV35" s="366" t="str">
        <f>IF($AB35&gt;CDS.Tenor,"-",_xlfn.NORM.S.DIST(($CE35-SQRT(ImpliedCorrelation)*CV$3)/SQRT(1-ImpliedCorrelation),TRUE))</f>
        <v>-</v>
      </c>
      <c r="CW35" s="366" t="str">
        <f>IF($AB35&gt;CDS.Tenor,"-",_xlfn.NORM.S.DIST(($CE35-SQRT(ImpliedCorrelation)*CW$3)/SQRT(1-ImpliedCorrelation),TRUE))</f>
        <v>-</v>
      </c>
      <c r="CX35" s="366" t="str">
        <f>IF($AB35&gt;CDS.Tenor,"-",_xlfn.NORM.S.DIST(($CE35-SQRT(ImpliedCorrelation)*CX$3)/SQRT(1-ImpliedCorrelation),TRUE))</f>
        <v>-</v>
      </c>
      <c r="CY35" s="366" t="str">
        <f>IF($AB35&gt;CDS.Tenor,"-",_xlfn.NORM.S.DIST(($CE35-SQRT(ImpliedCorrelation)*CY$3)/SQRT(1-ImpliedCorrelation),TRUE))</f>
        <v>-</v>
      </c>
      <c r="CZ35" s="366" t="str">
        <f>IF($AB35&gt;CDS.Tenor,"-",_xlfn.NORM.S.DIST(($CE35-SQRT(ImpliedCorrelation)*CZ$3)/SQRT(1-ImpliedCorrelation),TRUE))</f>
        <v>-</v>
      </c>
      <c r="DA35" s="366" t="str">
        <f>IF($AB35&gt;CDS.Tenor,"-",_xlfn.NORM.S.DIST(($CE35-SQRT(ImpliedCorrelation)*DA$3)/SQRT(1-ImpliedCorrelation),TRUE))</f>
        <v>-</v>
      </c>
      <c r="DB35" s="366" t="str">
        <f>IF($AB35&gt;CDS.Tenor,"-",_xlfn.NORM.S.DIST(($CE35-SQRT(ImpliedCorrelation)*DB$3)/SQRT(1-ImpliedCorrelation),TRUE))</f>
        <v>-</v>
      </c>
      <c r="DC35" s="366"/>
      <c r="DD35" s="370">
        <f t="shared" si="114"/>
        <v>7.75</v>
      </c>
      <c r="DE35" s="366" t="str">
        <f>IF($AB35&gt;CDS.Tenor,"-",1-CH35)</f>
        <v>-</v>
      </c>
      <c r="DF35" s="366" t="str">
        <f>IF($AB35&gt;CDS.Tenor,"-",1-CI35)</f>
        <v>-</v>
      </c>
      <c r="DG35" s="366" t="str">
        <f>IF($AB35&gt;CDS.Tenor,"-",1-CJ35)</f>
        <v>-</v>
      </c>
      <c r="DH35" s="366" t="str">
        <f>IF($AB35&gt;CDS.Tenor,"-",1-CK35)</f>
        <v>-</v>
      </c>
      <c r="DI35" s="366" t="str">
        <f>IF($AB35&gt;CDS.Tenor,"-",1-CL35)</f>
        <v>-</v>
      </c>
      <c r="DJ35" s="366" t="str">
        <f>IF($AB35&gt;CDS.Tenor,"-",1-CM35)</f>
        <v>-</v>
      </c>
      <c r="DK35" s="366" t="str">
        <f>IF($AB35&gt;CDS.Tenor,"-",1-CN35)</f>
        <v>-</v>
      </c>
      <c r="DL35" s="366" t="str">
        <f>IF($AB35&gt;CDS.Tenor,"-",1-CO35)</f>
        <v>-</v>
      </c>
      <c r="DM35" s="366" t="str">
        <f>IF($AB35&gt;CDS.Tenor,"-",1-CP35)</f>
        <v>-</v>
      </c>
      <c r="DN35" s="366" t="str">
        <f>IF($AB35&gt;CDS.Tenor,"-",1-CQ35)</f>
        <v>-</v>
      </c>
      <c r="DO35" s="366" t="str">
        <f>IF($AB35&gt;CDS.Tenor,"-",1-CR35)</f>
        <v>-</v>
      </c>
      <c r="DP35" s="366" t="str">
        <f>IF($AB35&gt;CDS.Tenor,"-",1-CS35)</f>
        <v>-</v>
      </c>
      <c r="DQ35" s="366" t="str">
        <f>IF($AB35&gt;CDS.Tenor,"-",1-CT35)</f>
        <v>-</v>
      </c>
      <c r="DR35" s="366" t="str">
        <f>IF($AB35&gt;CDS.Tenor,"-",1-CU35)</f>
        <v>-</v>
      </c>
      <c r="DS35" s="366" t="str">
        <f>IF($AB35&gt;CDS.Tenor,"-",1-CV35)</f>
        <v>-</v>
      </c>
      <c r="DT35" s="366" t="str">
        <f>IF($AB35&gt;CDS.Tenor,"-",1-CW35)</f>
        <v>-</v>
      </c>
      <c r="DU35" s="366" t="str">
        <f>IF($AB35&gt;CDS.Tenor,"-",1-CX35)</f>
        <v>-</v>
      </c>
      <c r="DV35" s="366" t="str">
        <f>IF($AB35&gt;CDS.Tenor,"-",1-CY35)</f>
        <v>-</v>
      </c>
      <c r="DW35" s="366" t="str">
        <f>IF($AB35&gt;CDS.Tenor,"-",1-CZ35)</f>
        <v>-</v>
      </c>
      <c r="DX35" s="366" t="str">
        <f>IF($AB35&gt;CDS.Tenor,"-",1-DA35)</f>
        <v>-</v>
      </c>
      <c r="DY35" s="362" t="str">
        <f>IF($AB35&gt;CDS.Tenor,"-",1-DB35)</f>
        <v>-</v>
      </c>
      <c r="DZ35" s="360"/>
      <c r="EA35" s="352" t="str" cm="1">
        <f t="array" aca="1" ref="EA35" ca="1">IF($AB35&gt;CDS.Tenor,"-",flatInterpolation(CC35,INDIRECT(HazardRateTimes3),INDIRECT(HazardRateValues3)))</f>
        <v>-</v>
      </c>
      <c r="EB35" s="10" t="str">
        <f t="shared" si="115"/>
        <v>-</v>
      </c>
      <c r="EC35" s="10" t="str">
        <f t="shared" si="116"/>
        <v>-</v>
      </c>
      <c r="ED35" s="81" t="str">
        <f t="shared" si="117"/>
        <v>-</v>
      </c>
      <c r="EF35" s="370">
        <f t="shared" si="118"/>
        <v>7.75</v>
      </c>
      <c r="EG35" s="366" t="str">
        <f>IF($AB35&gt;CDS.Tenor,"-",_xlfn.NORM.S.DIST(($ED35-SQRT(ImpliedCorrelation)*EG$3)/SQRT(1-ImpliedCorrelation),TRUE))</f>
        <v>-</v>
      </c>
      <c r="EH35" s="366" t="str">
        <f>IF($AB35&gt;CDS.Tenor,"-",_xlfn.NORM.S.DIST(($ED35-SQRT(ImpliedCorrelation)*EH$3)/SQRT(1-ImpliedCorrelation),TRUE))</f>
        <v>-</v>
      </c>
      <c r="EI35" s="366" t="str">
        <f>IF($AB35&gt;CDS.Tenor,"-",_xlfn.NORM.S.DIST(($ED35-SQRT(ImpliedCorrelation)*EI$3)/SQRT(1-ImpliedCorrelation),TRUE))</f>
        <v>-</v>
      </c>
      <c r="EJ35" s="366" t="str">
        <f>IF($AB35&gt;CDS.Tenor,"-",_xlfn.NORM.S.DIST(($ED35-SQRT(ImpliedCorrelation)*EJ$3)/SQRT(1-ImpliedCorrelation),TRUE))</f>
        <v>-</v>
      </c>
      <c r="EK35" s="366" t="str">
        <f>IF($AB35&gt;CDS.Tenor,"-",_xlfn.NORM.S.DIST(($ED35-SQRT(ImpliedCorrelation)*EK$3)/SQRT(1-ImpliedCorrelation),TRUE))</f>
        <v>-</v>
      </c>
      <c r="EL35" s="366" t="str">
        <f>IF($AB35&gt;CDS.Tenor,"-",_xlfn.NORM.S.DIST(($ED35-SQRT(ImpliedCorrelation)*EL$3)/SQRT(1-ImpliedCorrelation),TRUE))</f>
        <v>-</v>
      </c>
      <c r="EM35" s="366" t="str">
        <f>IF($AB35&gt;CDS.Tenor,"-",_xlfn.NORM.S.DIST(($ED35-SQRT(ImpliedCorrelation)*EM$3)/SQRT(1-ImpliedCorrelation),TRUE))</f>
        <v>-</v>
      </c>
      <c r="EN35" s="366" t="str">
        <f>IF($AB35&gt;CDS.Tenor,"-",_xlfn.NORM.S.DIST(($ED35-SQRT(ImpliedCorrelation)*EN$3)/SQRT(1-ImpliedCorrelation),TRUE))</f>
        <v>-</v>
      </c>
      <c r="EO35" s="366" t="str">
        <f>IF($AB35&gt;CDS.Tenor,"-",_xlfn.NORM.S.DIST(($ED35-SQRT(ImpliedCorrelation)*EO$3)/SQRT(1-ImpliedCorrelation),TRUE))</f>
        <v>-</v>
      </c>
      <c r="EP35" s="366" t="str">
        <f>IF($AB35&gt;CDS.Tenor,"-",_xlfn.NORM.S.DIST(($ED35-SQRT(ImpliedCorrelation)*EP$3)/SQRT(1-ImpliedCorrelation),TRUE))</f>
        <v>-</v>
      </c>
      <c r="EQ35" s="366" t="str">
        <f>IF($AB35&gt;CDS.Tenor,"-",_xlfn.NORM.S.DIST(($ED35-SQRT(ImpliedCorrelation)*EQ$3)/SQRT(1-ImpliedCorrelation),TRUE))</f>
        <v>-</v>
      </c>
      <c r="ER35" s="366" t="str">
        <f>IF($AB35&gt;CDS.Tenor,"-",_xlfn.NORM.S.DIST(($ED35-SQRT(ImpliedCorrelation)*ER$3)/SQRT(1-ImpliedCorrelation),TRUE))</f>
        <v>-</v>
      </c>
      <c r="ES35" s="366" t="str">
        <f>IF($AB35&gt;CDS.Tenor,"-",_xlfn.NORM.S.DIST(($ED35-SQRT(ImpliedCorrelation)*ES$3)/SQRT(1-ImpliedCorrelation),TRUE))</f>
        <v>-</v>
      </c>
      <c r="ET35" s="366" t="str">
        <f>IF($AB35&gt;CDS.Tenor,"-",_xlfn.NORM.S.DIST(($ED35-SQRT(ImpliedCorrelation)*ET$3)/SQRT(1-ImpliedCorrelation),TRUE))</f>
        <v>-</v>
      </c>
      <c r="EU35" s="366" t="str">
        <f>IF($AB35&gt;CDS.Tenor,"-",_xlfn.NORM.S.DIST(($ED35-SQRT(ImpliedCorrelation)*EU$3)/SQRT(1-ImpliedCorrelation),TRUE))</f>
        <v>-</v>
      </c>
      <c r="EV35" s="366" t="str">
        <f>IF($AB35&gt;CDS.Tenor,"-",_xlfn.NORM.S.DIST(($ED35-SQRT(ImpliedCorrelation)*EV$3)/SQRT(1-ImpliedCorrelation),TRUE))</f>
        <v>-</v>
      </c>
      <c r="EW35" s="366" t="str">
        <f>IF($AB35&gt;CDS.Tenor,"-",_xlfn.NORM.S.DIST(($ED35-SQRT(ImpliedCorrelation)*EW$3)/SQRT(1-ImpliedCorrelation),TRUE))</f>
        <v>-</v>
      </c>
      <c r="EX35" s="366" t="str">
        <f>IF($AB35&gt;CDS.Tenor,"-",_xlfn.NORM.S.DIST(($ED35-SQRT(ImpliedCorrelation)*EX$3)/SQRT(1-ImpliedCorrelation),TRUE))</f>
        <v>-</v>
      </c>
      <c r="EY35" s="366" t="str">
        <f>IF($AB35&gt;CDS.Tenor,"-",_xlfn.NORM.S.DIST(($ED35-SQRT(ImpliedCorrelation)*EY$3)/SQRT(1-ImpliedCorrelation),TRUE))</f>
        <v>-</v>
      </c>
      <c r="EZ35" s="366" t="str">
        <f>IF($AB35&gt;CDS.Tenor,"-",_xlfn.NORM.S.DIST(($ED35-SQRT(ImpliedCorrelation)*EZ$3)/SQRT(1-ImpliedCorrelation),TRUE))</f>
        <v>-</v>
      </c>
      <c r="FA35" s="366" t="str">
        <f>IF($AB35&gt;CDS.Tenor,"-",_xlfn.NORM.S.DIST(($ED35-SQRT(ImpliedCorrelation)*FA$3)/SQRT(1-ImpliedCorrelation),TRUE))</f>
        <v>-</v>
      </c>
      <c r="FB35" s="366"/>
      <c r="FC35" s="370">
        <f t="shared" si="119"/>
        <v>7.75</v>
      </c>
      <c r="FD35" s="366" t="str">
        <f>IF($AB35&gt;CDS.Tenor,"-",1-EG35)</f>
        <v>-</v>
      </c>
      <c r="FE35" s="366" t="str">
        <f>IF($AB35&gt;CDS.Tenor,"-",1-EH35)</f>
        <v>-</v>
      </c>
      <c r="FF35" s="366" t="str">
        <f>IF($AB35&gt;CDS.Tenor,"-",1-EI35)</f>
        <v>-</v>
      </c>
      <c r="FG35" s="366" t="str">
        <f>IF($AB35&gt;CDS.Tenor,"-",1-EJ35)</f>
        <v>-</v>
      </c>
      <c r="FH35" s="366" t="str">
        <f>IF($AB35&gt;CDS.Tenor,"-",1-EK35)</f>
        <v>-</v>
      </c>
      <c r="FI35" s="366" t="str">
        <f>IF($AB35&gt;CDS.Tenor,"-",1-EL35)</f>
        <v>-</v>
      </c>
      <c r="FJ35" s="366" t="str">
        <f>IF($AB35&gt;CDS.Tenor,"-",1-EM35)</f>
        <v>-</v>
      </c>
      <c r="FK35" s="366" t="str">
        <f>IF($AB35&gt;CDS.Tenor,"-",1-EN35)</f>
        <v>-</v>
      </c>
      <c r="FL35" s="366" t="str">
        <f>IF($AB35&gt;CDS.Tenor,"-",1-EO35)</f>
        <v>-</v>
      </c>
      <c r="FM35" s="366" t="str">
        <f>IF($AB35&gt;CDS.Tenor,"-",1-EP35)</f>
        <v>-</v>
      </c>
      <c r="FN35" s="366" t="str">
        <f>IF($AB35&gt;CDS.Tenor,"-",1-EQ35)</f>
        <v>-</v>
      </c>
      <c r="FO35" s="366" t="str">
        <f>IF($AB35&gt;CDS.Tenor,"-",1-ER35)</f>
        <v>-</v>
      </c>
      <c r="FP35" s="366" t="str">
        <f>IF($AB35&gt;CDS.Tenor,"-",1-ES35)</f>
        <v>-</v>
      </c>
      <c r="FQ35" s="366" t="str">
        <f>IF($AB35&gt;CDS.Tenor,"-",1-ET35)</f>
        <v>-</v>
      </c>
      <c r="FR35" s="366" t="str">
        <f>IF($AB35&gt;CDS.Tenor,"-",1-EU35)</f>
        <v>-</v>
      </c>
      <c r="FS35" s="366" t="str">
        <f>IF($AB35&gt;CDS.Tenor,"-",1-EV35)</f>
        <v>-</v>
      </c>
      <c r="FT35" s="366" t="str">
        <f>IF($AB35&gt;CDS.Tenor,"-",1-EW35)</f>
        <v>-</v>
      </c>
      <c r="FU35" s="366" t="str">
        <f>IF($AB35&gt;CDS.Tenor,"-",1-EX35)</f>
        <v>-</v>
      </c>
      <c r="FV35" s="366" t="str">
        <f>IF($AB35&gt;CDS.Tenor,"-",1-EY35)</f>
        <v>-</v>
      </c>
      <c r="FW35" s="366" t="str">
        <f>IF($AB35&gt;CDS.Tenor,"-",1-EZ35)</f>
        <v>-</v>
      </c>
      <c r="FX35" s="362" t="str">
        <f>IF($AB35&gt;CDS.Tenor,"-",1-FA35)</f>
        <v>-</v>
      </c>
      <c r="FZ35" s="370">
        <f t="shared" si="120"/>
        <v>7.75</v>
      </c>
      <c r="GA35" s="366" t="str">
        <f>IF($AB35&gt;CDS.Tenor,"-",BF35*DE35*FD35)</f>
        <v>-</v>
      </c>
      <c r="GB35" s="366" t="str">
        <f>IF($AB35&gt;CDS.Tenor,"-",BG35*DF35*FE35)</f>
        <v>-</v>
      </c>
      <c r="GC35" s="366" t="str">
        <f>IF($AB35&gt;CDS.Tenor,"-",BH35*DG35*FF35)</f>
        <v>-</v>
      </c>
      <c r="GD35" s="366" t="str">
        <f>IF($AB35&gt;CDS.Tenor,"-",BI35*DH35*FG35)</f>
        <v>-</v>
      </c>
      <c r="GE35" s="366" t="str">
        <f>IF($AB35&gt;CDS.Tenor,"-",BJ35*DI35*FH35)</f>
        <v>-</v>
      </c>
      <c r="GF35" s="366" t="str">
        <f>IF($AB35&gt;CDS.Tenor,"-",BK35*DJ35*FI35)</f>
        <v>-</v>
      </c>
      <c r="GG35" s="366" t="str">
        <f>IF($AB35&gt;CDS.Tenor,"-",BL35*DK35*FJ35)</f>
        <v>-</v>
      </c>
      <c r="GH35" s="366" t="str">
        <f>IF($AB35&gt;CDS.Tenor,"-",BM35*DL35*FK35)</f>
        <v>-</v>
      </c>
      <c r="GI35" s="366" t="str">
        <f>IF($AB35&gt;CDS.Tenor,"-",BN35*DM35*FL35)</f>
        <v>-</v>
      </c>
      <c r="GJ35" s="366" t="str">
        <f>IF($AB35&gt;CDS.Tenor,"-",BO35*DN35*FM35)</f>
        <v>-</v>
      </c>
      <c r="GK35" s="366" t="str">
        <f>IF($AB35&gt;CDS.Tenor,"-",BP35*DO35*FN35)</f>
        <v>-</v>
      </c>
      <c r="GL35" s="366" t="str">
        <f>IF($AB35&gt;CDS.Tenor,"-",BQ35*DP35*FO35)</f>
        <v>-</v>
      </c>
      <c r="GM35" s="366" t="str">
        <f>IF($AB35&gt;CDS.Tenor,"-",BR35*DQ35*FP35)</f>
        <v>-</v>
      </c>
      <c r="GN35" s="366" t="str">
        <f>IF($AB35&gt;CDS.Tenor,"-",BS35*DR35*FQ35)</f>
        <v>-</v>
      </c>
      <c r="GO35" s="366" t="str">
        <f>IF($AB35&gt;CDS.Tenor,"-",BT35*DS35*FR35)</f>
        <v>-</v>
      </c>
      <c r="GP35" s="366" t="str">
        <f>IF($AB35&gt;CDS.Tenor,"-",BU35*DT35*FS35)</f>
        <v>-</v>
      </c>
      <c r="GQ35" s="366" t="str">
        <f>IF($AB35&gt;CDS.Tenor,"-",BV35*DU35*FT35)</f>
        <v>-</v>
      </c>
      <c r="GR35" s="366" t="str">
        <f>IF($AB35&gt;CDS.Tenor,"-",BW35*DV35*FU35)</f>
        <v>-</v>
      </c>
      <c r="GS35" s="366" t="str">
        <f>IF($AB35&gt;CDS.Tenor,"-",BX35*DW35*FV35)</f>
        <v>-</v>
      </c>
      <c r="GT35" s="366" t="str">
        <f>IF($AB35&gt;CDS.Tenor,"-",BY35*DX35*FW35)</f>
        <v>-</v>
      </c>
      <c r="GU35" s="362" t="str">
        <f>IF($AB35&gt;CDS.Tenor,"-",BZ35*DY35*FX35)</f>
        <v>-</v>
      </c>
      <c r="GV35" s="42"/>
      <c r="GW35" s="370">
        <f t="shared" si="121"/>
        <v>7.75</v>
      </c>
      <c r="GX35" s="378" t="str">
        <f>IF($AB35&gt;CDS.Tenor,"-",SUMPRODUCT($GA35:$GU35,$GA$4:$GU$4)*dm)</f>
        <v>-</v>
      </c>
      <c r="GY35" s="381" t="str">
        <f>IF($AB35&gt;CDS.Tenor,"-",GX34-GX35)</f>
        <v>-</v>
      </c>
    </row>
    <row r="36" spans="10:207" x14ac:dyDescent="0.3">
      <c r="J36" s="156">
        <f t="shared" si="103"/>
        <v>8</v>
      </c>
      <c r="K36" s="28" t="str">
        <f>IF($J36&gt;CDS.Tenor,"-",CDS.PremiumSign*CDS.Notional*CDS.YearFraction*CDS.CreditSpread)</f>
        <v>-</v>
      </c>
      <c r="L36" s="10" t="str">
        <f>GX36</f>
        <v>-</v>
      </c>
      <c r="M36" s="10" t="str">
        <f>IF($J36&gt;CDS.Tenor,"-",L35-L36)</f>
        <v>-</v>
      </c>
      <c r="N36" s="94" t="str" cm="1">
        <f t="array" ref="N36">IF($J36&gt;CDS.Tenor,"-",cubicInterpolation(CurveResults.Times,CurveResults.DFs,$J36))</f>
        <v>-</v>
      </c>
      <c r="O36" s="28" t="str">
        <f>IF($J36&gt;CDS.Tenor,"-",K36*L36*N36)</f>
        <v>-</v>
      </c>
      <c r="P36" s="28" t="str">
        <f>IF($J36&gt;CDS.Tenor,"-",0.5*K36*M36*N36)</f>
        <v>-</v>
      </c>
      <c r="Q36" s="142" t="str">
        <f>IF($J36&gt;CDS.Tenor,"-",O36+P36)</f>
        <v>-</v>
      </c>
      <c r="T36" s="156">
        <f t="shared" si="104"/>
        <v>8</v>
      </c>
      <c r="U36" s="28" t="str">
        <f>IF($J36&gt;CDS.Tenor,"-",CDS.ProtectionSign*CDS.Notional*(1-CDS.RecoveryRate))</f>
        <v>-</v>
      </c>
      <c r="V36" s="10" t="str">
        <f>IF($J36&gt;CDS.Tenor,"-",GX36)</f>
        <v>-</v>
      </c>
      <c r="W36" s="10" t="str">
        <f>IF($J36&gt;CDS.Tenor,"-",V35-V36)</f>
        <v>-</v>
      </c>
      <c r="X36" s="94" t="str" cm="1">
        <f t="array" ref="X36">IF($T36&gt;CDS.Tenor,"-",cubicInterpolation(CurveResults.Times,CurveResults.DFs,$J36))</f>
        <v>-</v>
      </c>
      <c r="Y36" s="142" t="str">
        <f>IF($J36&gt;CDS.Tenor,"-",U36*W36*X36)</f>
        <v>-</v>
      </c>
      <c r="AB36" s="156">
        <f t="shared" si="105"/>
        <v>8</v>
      </c>
      <c r="AC36" s="352" t="str" cm="1">
        <f t="array" aca="1" ref="AC36" ca="1">IF($AB36&gt;CDS.Tenor,"-",flatInterpolation(AA36,INDIRECT(HazardRateTimes1),INDIRECT(HazardRateValues1)))</f>
        <v>-</v>
      </c>
      <c r="AD36" s="10" t="str">
        <f t="shared" si="106"/>
        <v>-</v>
      </c>
      <c r="AE36" s="10" t="str">
        <f t="shared" si="107"/>
        <v>-</v>
      </c>
      <c r="AF36" s="360" t="str">
        <f>IF($AB36&gt;CDS.Tenor,"-",NORMSINV(AE36))</f>
        <v>-</v>
      </c>
      <c r="AG36" s="360"/>
      <c r="AH36" s="370">
        <f t="shared" si="108"/>
        <v>8</v>
      </c>
      <c r="AI36" s="366" t="str">
        <f>IF($AB36&gt;CDS.Tenor,"-",_xlfn.NORM.S.DIST(($AF36-SQRT(ImpliedCorrelation)*AI$3)/SQRT(1-ImpliedCorrelation),TRUE))</f>
        <v>-</v>
      </c>
      <c r="AJ36" s="366" t="str">
        <f>IF($AB36&gt;CDS.Tenor,"-",_xlfn.NORM.S.DIST(($AF36-SQRT(ImpliedCorrelation)*AJ$3)/SQRT(1-ImpliedCorrelation),TRUE))</f>
        <v>-</v>
      </c>
      <c r="AK36" s="366" t="str">
        <f>IF($AB36&gt;CDS.Tenor,"-",_xlfn.NORM.S.DIST(($AF36-SQRT(ImpliedCorrelation)*AK$3)/SQRT(1-ImpliedCorrelation),TRUE))</f>
        <v>-</v>
      </c>
      <c r="AL36" s="366" t="str">
        <f>IF($AB36&gt;CDS.Tenor,"-",_xlfn.NORM.S.DIST(($AF36-SQRT(ImpliedCorrelation)*AL$3)/SQRT(1-ImpliedCorrelation),TRUE))</f>
        <v>-</v>
      </c>
      <c r="AM36" s="366" t="str">
        <f>IF($AB36&gt;CDS.Tenor,"-",_xlfn.NORM.S.DIST(($AF36-SQRT(ImpliedCorrelation)*AM$3)/SQRT(1-ImpliedCorrelation),TRUE))</f>
        <v>-</v>
      </c>
      <c r="AN36" s="366" t="str">
        <f>IF($AB36&gt;CDS.Tenor,"-",_xlfn.NORM.S.DIST(($AF36-SQRT(ImpliedCorrelation)*AN$3)/SQRT(1-ImpliedCorrelation),TRUE))</f>
        <v>-</v>
      </c>
      <c r="AO36" s="366" t="str">
        <f>IF($AB36&gt;CDS.Tenor,"-",_xlfn.NORM.S.DIST(($AF36-SQRT(ImpliedCorrelation)*AO$3)/SQRT(1-ImpliedCorrelation),TRUE))</f>
        <v>-</v>
      </c>
      <c r="AP36" s="366" t="str">
        <f>IF($AB36&gt;CDS.Tenor,"-",_xlfn.NORM.S.DIST(($AF36-SQRT(ImpliedCorrelation)*AP$3)/SQRT(1-ImpliedCorrelation),TRUE))</f>
        <v>-</v>
      </c>
      <c r="AQ36" s="366" t="str">
        <f>IF($AB36&gt;CDS.Tenor,"-",_xlfn.NORM.S.DIST(($AF36-SQRT(ImpliedCorrelation)*AQ$3)/SQRT(1-ImpliedCorrelation),TRUE))</f>
        <v>-</v>
      </c>
      <c r="AR36" s="366" t="str">
        <f>IF($AB36&gt;CDS.Tenor,"-",_xlfn.NORM.S.DIST(($AF36-SQRT(ImpliedCorrelation)*AR$3)/SQRT(1-ImpliedCorrelation),TRUE))</f>
        <v>-</v>
      </c>
      <c r="AS36" s="366" t="str">
        <f>IF($AB36&gt;CDS.Tenor,"-",_xlfn.NORM.S.DIST(($AF36-SQRT(ImpliedCorrelation)*AS$3)/SQRT(1-ImpliedCorrelation),TRUE))</f>
        <v>-</v>
      </c>
      <c r="AT36" s="366" t="str">
        <f>IF($AB36&gt;CDS.Tenor,"-",_xlfn.NORM.S.DIST(($AF36-SQRT(ImpliedCorrelation)*AT$3)/SQRT(1-ImpliedCorrelation),TRUE))</f>
        <v>-</v>
      </c>
      <c r="AU36" s="366" t="str">
        <f>IF($AB36&gt;CDS.Tenor,"-",_xlfn.NORM.S.DIST(($AF36-SQRT(ImpliedCorrelation)*AU$3)/SQRT(1-ImpliedCorrelation),TRUE))</f>
        <v>-</v>
      </c>
      <c r="AV36" s="366" t="str">
        <f>IF($AB36&gt;CDS.Tenor,"-",_xlfn.NORM.S.DIST(($AF36-SQRT(ImpliedCorrelation)*AV$3)/SQRT(1-ImpliedCorrelation),TRUE))</f>
        <v>-</v>
      </c>
      <c r="AW36" s="366" t="str">
        <f>IF($AB36&gt;CDS.Tenor,"-",_xlfn.NORM.S.DIST(($AF36-SQRT(ImpliedCorrelation)*AW$3)/SQRT(1-ImpliedCorrelation),TRUE))</f>
        <v>-</v>
      </c>
      <c r="AX36" s="366" t="str">
        <f>IF($AB36&gt;CDS.Tenor,"-",_xlfn.NORM.S.DIST(($AF36-SQRT(ImpliedCorrelation)*AX$3)/SQRT(1-ImpliedCorrelation),TRUE))</f>
        <v>-</v>
      </c>
      <c r="AY36" s="366" t="str">
        <f>IF($AB36&gt;CDS.Tenor,"-",_xlfn.NORM.S.DIST(($AF36-SQRT(ImpliedCorrelation)*AY$3)/SQRT(1-ImpliedCorrelation),TRUE))</f>
        <v>-</v>
      </c>
      <c r="AZ36" s="366" t="str">
        <f>IF($AB36&gt;CDS.Tenor,"-",_xlfn.NORM.S.DIST(($AF36-SQRT(ImpliedCorrelation)*AZ$3)/SQRT(1-ImpliedCorrelation),TRUE))</f>
        <v>-</v>
      </c>
      <c r="BA36" s="366" t="str">
        <f>IF($AB36&gt;CDS.Tenor,"-",_xlfn.NORM.S.DIST(($AF36-SQRT(ImpliedCorrelation)*BA$3)/SQRT(1-ImpliedCorrelation),TRUE))</f>
        <v>-</v>
      </c>
      <c r="BB36" s="366" t="str">
        <f>IF($AB36&gt;CDS.Tenor,"-",_xlfn.NORM.S.DIST(($AF36-SQRT(ImpliedCorrelation)*BB$3)/SQRT(1-ImpliedCorrelation),TRUE))</f>
        <v>-</v>
      </c>
      <c r="BC36" s="366" t="str">
        <f>IF($AB36&gt;CDS.Tenor,"-",_xlfn.NORM.S.DIST(($AF36-SQRT(ImpliedCorrelation)*BC$3)/SQRT(1-ImpliedCorrelation),TRUE))</f>
        <v>-</v>
      </c>
      <c r="BD36" s="366"/>
      <c r="BE36" s="370">
        <f t="shared" si="109"/>
        <v>8</v>
      </c>
      <c r="BF36" s="366" t="str">
        <f>IF($AB36&gt;CDS.Tenor,"-",1-AI36)</f>
        <v>-</v>
      </c>
      <c r="BG36" s="366" t="str">
        <f>IF($AB36&gt;CDS.Tenor,"-",1-AJ36)</f>
        <v>-</v>
      </c>
      <c r="BH36" s="366" t="str">
        <f>IF($AB36&gt;CDS.Tenor,"-",1-AK36)</f>
        <v>-</v>
      </c>
      <c r="BI36" s="366" t="str">
        <f>IF($AB36&gt;CDS.Tenor,"-",1-AL36)</f>
        <v>-</v>
      </c>
      <c r="BJ36" s="366" t="str">
        <f>IF($AB36&gt;CDS.Tenor,"-",1-AM36)</f>
        <v>-</v>
      </c>
      <c r="BK36" s="366" t="str">
        <f>IF($AB36&gt;CDS.Tenor,"-",1-AN36)</f>
        <v>-</v>
      </c>
      <c r="BL36" s="366" t="str">
        <f>IF($AB36&gt;CDS.Tenor,"-",1-AO36)</f>
        <v>-</v>
      </c>
      <c r="BM36" s="366" t="str">
        <f>IF($AB36&gt;CDS.Tenor,"-",1-AP36)</f>
        <v>-</v>
      </c>
      <c r="BN36" s="366" t="str">
        <f>IF($AB36&gt;CDS.Tenor,"-",1-AQ36)</f>
        <v>-</v>
      </c>
      <c r="BO36" s="366" t="str">
        <f>IF($AB36&gt;CDS.Tenor,"-",1-AR36)</f>
        <v>-</v>
      </c>
      <c r="BP36" s="366" t="str">
        <f>IF($AB36&gt;CDS.Tenor,"-",1-AS36)</f>
        <v>-</v>
      </c>
      <c r="BQ36" s="366" t="str">
        <f>IF($AB36&gt;CDS.Tenor,"-",1-AT36)</f>
        <v>-</v>
      </c>
      <c r="BR36" s="366" t="str">
        <f>IF($AB36&gt;CDS.Tenor,"-",1-AU36)</f>
        <v>-</v>
      </c>
      <c r="BS36" s="366" t="str">
        <f>IF($AB36&gt;CDS.Tenor,"-",1-AV36)</f>
        <v>-</v>
      </c>
      <c r="BT36" s="366" t="str">
        <f>IF($AB36&gt;CDS.Tenor,"-",1-AW36)</f>
        <v>-</v>
      </c>
      <c r="BU36" s="366" t="str">
        <f>IF($AB36&gt;CDS.Tenor,"-",1-AX36)</f>
        <v>-</v>
      </c>
      <c r="BV36" s="366" t="str">
        <f>IF($AB36&gt;CDS.Tenor,"-",1-AY36)</f>
        <v>-</v>
      </c>
      <c r="BW36" s="366" t="str">
        <f>IF($AB36&gt;CDS.Tenor,"-",1-AZ36)</f>
        <v>-</v>
      </c>
      <c r="BX36" s="366" t="str">
        <f>IF($AB36&gt;CDS.Tenor,"-",1-BA36)</f>
        <v>-</v>
      </c>
      <c r="BY36" s="366" t="str">
        <f>IF($AB36&gt;CDS.Tenor,"-",1-BB36)</f>
        <v>-</v>
      </c>
      <c r="BZ36" s="366" t="str">
        <f>IF($AB36&gt;CDS.Tenor,"-",1-BC36)</f>
        <v>-</v>
      </c>
      <c r="CA36" s="17"/>
      <c r="CB36" s="352" t="str" cm="1">
        <f t="array" aca="1" ref="CB36" ca="1">IF($AB36&gt;CDS.Tenor,"-",flatInterpolation(AB36,INDIRECT(HazardRateTimes2),INDIRECT(HazardRateValues2)))</f>
        <v>-</v>
      </c>
      <c r="CC36" s="10" t="str">
        <f t="shared" si="110"/>
        <v>-</v>
      </c>
      <c r="CD36" s="10" t="str">
        <f t="shared" si="111"/>
        <v>-</v>
      </c>
      <c r="CE36" s="81" t="str">
        <f t="shared" si="112"/>
        <v>-</v>
      </c>
      <c r="CF36" s="360"/>
      <c r="CG36" s="370">
        <f t="shared" si="113"/>
        <v>8</v>
      </c>
      <c r="CH36" s="366" t="str">
        <f>IF($AB36&gt;CDS.Tenor,"-",_xlfn.NORM.S.DIST(($CE36-SQRT(ImpliedCorrelation)*CH$3)/SQRT(1-ImpliedCorrelation),TRUE))</f>
        <v>-</v>
      </c>
      <c r="CI36" s="366" t="str">
        <f>IF($AB36&gt;CDS.Tenor,"-",_xlfn.NORM.S.DIST(($CE36-SQRT(ImpliedCorrelation)*CI$3)/SQRT(1-ImpliedCorrelation),TRUE))</f>
        <v>-</v>
      </c>
      <c r="CJ36" s="366" t="str">
        <f>IF($AB36&gt;CDS.Tenor,"-",_xlfn.NORM.S.DIST(($CE36-SQRT(ImpliedCorrelation)*CJ$3)/SQRT(1-ImpliedCorrelation),TRUE))</f>
        <v>-</v>
      </c>
      <c r="CK36" s="366" t="str">
        <f>IF($AB36&gt;CDS.Tenor,"-",_xlfn.NORM.S.DIST(($CE36-SQRT(ImpliedCorrelation)*CK$3)/SQRT(1-ImpliedCorrelation),TRUE))</f>
        <v>-</v>
      </c>
      <c r="CL36" s="366" t="str">
        <f>IF($AB36&gt;CDS.Tenor,"-",_xlfn.NORM.S.DIST(($CE36-SQRT(ImpliedCorrelation)*CL$3)/SQRT(1-ImpliedCorrelation),TRUE))</f>
        <v>-</v>
      </c>
      <c r="CM36" s="366" t="str">
        <f>IF($AB36&gt;CDS.Tenor,"-",_xlfn.NORM.S.DIST(($CE36-SQRT(ImpliedCorrelation)*CM$3)/SQRT(1-ImpliedCorrelation),TRUE))</f>
        <v>-</v>
      </c>
      <c r="CN36" s="366" t="str">
        <f>IF($AB36&gt;CDS.Tenor,"-",_xlfn.NORM.S.DIST(($CE36-SQRT(ImpliedCorrelation)*CN$3)/SQRT(1-ImpliedCorrelation),TRUE))</f>
        <v>-</v>
      </c>
      <c r="CO36" s="366" t="str">
        <f>IF($AB36&gt;CDS.Tenor,"-",_xlfn.NORM.S.DIST(($CE36-SQRT(ImpliedCorrelation)*CO$3)/SQRT(1-ImpliedCorrelation),TRUE))</f>
        <v>-</v>
      </c>
      <c r="CP36" s="366" t="str">
        <f>IF($AB36&gt;CDS.Tenor,"-",_xlfn.NORM.S.DIST(($CE36-SQRT(ImpliedCorrelation)*CP$3)/SQRT(1-ImpliedCorrelation),TRUE))</f>
        <v>-</v>
      </c>
      <c r="CQ36" s="366" t="str">
        <f>IF($AB36&gt;CDS.Tenor,"-",_xlfn.NORM.S.DIST(($CE36-SQRT(ImpliedCorrelation)*CQ$3)/SQRT(1-ImpliedCorrelation),TRUE))</f>
        <v>-</v>
      </c>
      <c r="CR36" s="366" t="str">
        <f>IF($AB36&gt;CDS.Tenor,"-",_xlfn.NORM.S.DIST(($CE36-SQRT(ImpliedCorrelation)*CR$3)/SQRT(1-ImpliedCorrelation),TRUE))</f>
        <v>-</v>
      </c>
      <c r="CS36" s="366" t="str">
        <f>IF($AB36&gt;CDS.Tenor,"-",_xlfn.NORM.S.DIST(($CE36-SQRT(ImpliedCorrelation)*CS$3)/SQRT(1-ImpliedCorrelation),TRUE))</f>
        <v>-</v>
      </c>
      <c r="CT36" s="366" t="str">
        <f>IF($AB36&gt;CDS.Tenor,"-",_xlfn.NORM.S.DIST(($CE36-SQRT(ImpliedCorrelation)*CT$3)/SQRT(1-ImpliedCorrelation),TRUE))</f>
        <v>-</v>
      </c>
      <c r="CU36" s="366" t="str">
        <f>IF($AB36&gt;CDS.Tenor,"-",_xlfn.NORM.S.DIST(($CE36-SQRT(ImpliedCorrelation)*CU$3)/SQRT(1-ImpliedCorrelation),TRUE))</f>
        <v>-</v>
      </c>
      <c r="CV36" s="366" t="str">
        <f>IF($AB36&gt;CDS.Tenor,"-",_xlfn.NORM.S.DIST(($CE36-SQRT(ImpliedCorrelation)*CV$3)/SQRT(1-ImpliedCorrelation),TRUE))</f>
        <v>-</v>
      </c>
      <c r="CW36" s="366" t="str">
        <f>IF($AB36&gt;CDS.Tenor,"-",_xlfn.NORM.S.DIST(($CE36-SQRT(ImpliedCorrelation)*CW$3)/SQRT(1-ImpliedCorrelation),TRUE))</f>
        <v>-</v>
      </c>
      <c r="CX36" s="366" t="str">
        <f>IF($AB36&gt;CDS.Tenor,"-",_xlfn.NORM.S.DIST(($CE36-SQRT(ImpliedCorrelation)*CX$3)/SQRT(1-ImpliedCorrelation),TRUE))</f>
        <v>-</v>
      </c>
      <c r="CY36" s="366" t="str">
        <f>IF($AB36&gt;CDS.Tenor,"-",_xlfn.NORM.S.DIST(($CE36-SQRT(ImpliedCorrelation)*CY$3)/SQRT(1-ImpliedCorrelation),TRUE))</f>
        <v>-</v>
      </c>
      <c r="CZ36" s="366" t="str">
        <f>IF($AB36&gt;CDS.Tenor,"-",_xlfn.NORM.S.DIST(($CE36-SQRT(ImpliedCorrelation)*CZ$3)/SQRT(1-ImpliedCorrelation),TRUE))</f>
        <v>-</v>
      </c>
      <c r="DA36" s="366" t="str">
        <f>IF($AB36&gt;CDS.Tenor,"-",_xlfn.NORM.S.DIST(($CE36-SQRT(ImpliedCorrelation)*DA$3)/SQRT(1-ImpliedCorrelation),TRUE))</f>
        <v>-</v>
      </c>
      <c r="DB36" s="366" t="str">
        <f>IF($AB36&gt;CDS.Tenor,"-",_xlfn.NORM.S.DIST(($CE36-SQRT(ImpliedCorrelation)*DB$3)/SQRT(1-ImpliedCorrelation),TRUE))</f>
        <v>-</v>
      </c>
      <c r="DC36" s="366"/>
      <c r="DD36" s="370">
        <f t="shared" si="114"/>
        <v>8</v>
      </c>
      <c r="DE36" s="366" t="str">
        <f>IF($AB36&gt;CDS.Tenor,"-",1-CH36)</f>
        <v>-</v>
      </c>
      <c r="DF36" s="366" t="str">
        <f>IF($AB36&gt;CDS.Tenor,"-",1-CI36)</f>
        <v>-</v>
      </c>
      <c r="DG36" s="366" t="str">
        <f>IF($AB36&gt;CDS.Tenor,"-",1-CJ36)</f>
        <v>-</v>
      </c>
      <c r="DH36" s="366" t="str">
        <f>IF($AB36&gt;CDS.Tenor,"-",1-CK36)</f>
        <v>-</v>
      </c>
      <c r="DI36" s="366" t="str">
        <f>IF($AB36&gt;CDS.Tenor,"-",1-CL36)</f>
        <v>-</v>
      </c>
      <c r="DJ36" s="366" t="str">
        <f>IF($AB36&gt;CDS.Tenor,"-",1-CM36)</f>
        <v>-</v>
      </c>
      <c r="DK36" s="366" t="str">
        <f>IF($AB36&gt;CDS.Tenor,"-",1-CN36)</f>
        <v>-</v>
      </c>
      <c r="DL36" s="366" t="str">
        <f>IF($AB36&gt;CDS.Tenor,"-",1-CO36)</f>
        <v>-</v>
      </c>
      <c r="DM36" s="366" t="str">
        <f>IF($AB36&gt;CDS.Tenor,"-",1-CP36)</f>
        <v>-</v>
      </c>
      <c r="DN36" s="366" t="str">
        <f>IF($AB36&gt;CDS.Tenor,"-",1-CQ36)</f>
        <v>-</v>
      </c>
      <c r="DO36" s="366" t="str">
        <f>IF($AB36&gt;CDS.Tenor,"-",1-CR36)</f>
        <v>-</v>
      </c>
      <c r="DP36" s="366" t="str">
        <f>IF($AB36&gt;CDS.Tenor,"-",1-CS36)</f>
        <v>-</v>
      </c>
      <c r="DQ36" s="366" t="str">
        <f>IF($AB36&gt;CDS.Tenor,"-",1-CT36)</f>
        <v>-</v>
      </c>
      <c r="DR36" s="366" t="str">
        <f>IF($AB36&gt;CDS.Tenor,"-",1-CU36)</f>
        <v>-</v>
      </c>
      <c r="DS36" s="366" t="str">
        <f>IF($AB36&gt;CDS.Tenor,"-",1-CV36)</f>
        <v>-</v>
      </c>
      <c r="DT36" s="366" t="str">
        <f>IF($AB36&gt;CDS.Tenor,"-",1-CW36)</f>
        <v>-</v>
      </c>
      <c r="DU36" s="366" t="str">
        <f>IF($AB36&gt;CDS.Tenor,"-",1-CX36)</f>
        <v>-</v>
      </c>
      <c r="DV36" s="366" t="str">
        <f>IF($AB36&gt;CDS.Tenor,"-",1-CY36)</f>
        <v>-</v>
      </c>
      <c r="DW36" s="366" t="str">
        <f>IF($AB36&gt;CDS.Tenor,"-",1-CZ36)</f>
        <v>-</v>
      </c>
      <c r="DX36" s="366" t="str">
        <f>IF($AB36&gt;CDS.Tenor,"-",1-DA36)</f>
        <v>-</v>
      </c>
      <c r="DY36" s="362" t="str">
        <f>IF($AB36&gt;CDS.Tenor,"-",1-DB36)</f>
        <v>-</v>
      </c>
      <c r="DZ36" s="360"/>
      <c r="EA36" s="352" t="str" cm="1">
        <f t="array" aca="1" ref="EA36" ca="1">IF($AB36&gt;CDS.Tenor,"-",flatInterpolation(CC36,INDIRECT(HazardRateTimes3),INDIRECT(HazardRateValues3)))</f>
        <v>-</v>
      </c>
      <c r="EB36" s="10" t="str">
        <f t="shared" si="115"/>
        <v>-</v>
      </c>
      <c r="EC36" s="10" t="str">
        <f t="shared" si="116"/>
        <v>-</v>
      </c>
      <c r="ED36" s="81" t="str">
        <f t="shared" si="117"/>
        <v>-</v>
      </c>
      <c r="EF36" s="370">
        <f t="shared" si="118"/>
        <v>8</v>
      </c>
      <c r="EG36" s="366" t="str">
        <f>IF($AB36&gt;CDS.Tenor,"-",_xlfn.NORM.S.DIST(($ED36-SQRT(ImpliedCorrelation)*EG$3)/SQRT(1-ImpliedCorrelation),TRUE))</f>
        <v>-</v>
      </c>
      <c r="EH36" s="366" t="str">
        <f>IF($AB36&gt;CDS.Tenor,"-",_xlfn.NORM.S.DIST(($ED36-SQRT(ImpliedCorrelation)*EH$3)/SQRT(1-ImpliedCorrelation),TRUE))</f>
        <v>-</v>
      </c>
      <c r="EI36" s="366" t="str">
        <f>IF($AB36&gt;CDS.Tenor,"-",_xlfn.NORM.S.DIST(($ED36-SQRT(ImpliedCorrelation)*EI$3)/SQRT(1-ImpliedCorrelation),TRUE))</f>
        <v>-</v>
      </c>
      <c r="EJ36" s="366" t="str">
        <f>IF($AB36&gt;CDS.Tenor,"-",_xlfn.NORM.S.DIST(($ED36-SQRT(ImpliedCorrelation)*EJ$3)/SQRT(1-ImpliedCorrelation),TRUE))</f>
        <v>-</v>
      </c>
      <c r="EK36" s="366" t="str">
        <f>IF($AB36&gt;CDS.Tenor,"-",_xlfn.NORM.S.DIST(($ED36-SQRT(ImpliedCorrelation)*EK$3)/SQRT(1-ImpliedCorrelation),TRUE))</f>
        <v>-</v>
      </c>
      <c r="EL36" s="366" t="str">
        <f>IF($AB36&gt;CDS.Tenor,"-",_xlfn.NORM.S.DIST(($ED36-SQRT(ImpliedCorrelation)*EL$3)/SQRT(1-ImpliedCorrelation),TRUE))</f>
        <v>-</v>
      </c>
      <c r="EM36" s="366" t="str">
        <f>IF($AB36&gt;CDS.Tenor,"-",_xlfn.NORM.S.DIST(($ED36-SQRT(ImpliedCorrelation)*EM$3)/SQRT(1-ImpliedCorrelation),TRUE))</f>
        <v>-</v>
      </c>
      <c r="EN36" s="366" t="str">
        <f>IF($AB36&gt;CDS.Tenor,"-",_xlfn.NORM.S.DIST(($ED36-SQRT(ImpliedCorrelation)*EN$3)/SQRT(1-ImpliedCorrelation),TRUE))</f>
        <v>-</v>
      </c>
      <c r="EO36" s="366" t="str">
        <f>IF($AB36&gt;CDS.Tenor,"-",_xlfn.NORM.S.DIST(($ED36-SQRT(ImpliedCorrelation)*EO$3)/SQRT(1-ImpliedCorrelation),TRUE))</f>
        <v>-</v>
      </c>
      <c r="EP36" s="366" t="str">
        <f>IF($AB36&gt;CDS.Tenor,"-",_xlfn.NORM.S.DIST(($ED36-SQRT(ImpliedCorrelation)*EP$3)/SQRT(1-ImpliedCorrelation),TRUE))</f>
        <v>-</v>
      </c>
      <c r="EQ36" s="366" t="str">
        <f>IF($AB36&gt;CDS.Tenor,"-",_xlfn.NORM.S.DIST(($ED36-SQRT(ImpliedCorrelation)*EQ$3)/SQRT(1-ImpliedCorrelation),TRUE))</f>
        <v>-</v>
      </c>
      <c r="ER36" s="366" t="str">
        <f>IF($AB36&gt;CDS.Tenor,"-",_xlfn.NORM.S.DIST(($ED36-SQRT(ImpliedCorrelation)*ER$3)/SQRT(1-ImpliedCorrelation),TRUE))</f>
        <v>-</v>
      </c>
      <c r="ES36" s="366" t="str">
        <f>IF($AB36&gt;CDS.Tenor,"-",_xlfn.NORM.S.DIST(($ED36-SQRT(ImpliedCorrelation)*ES$3)/SQRT(1-ImpliedCorrelation),TRUE))</f>
        <v>-</v>
      </c>
      <c r="ET36" s="366" t="str">
        <f>IF($AB36&gt;CDS.Tenor,"-",_xlfn.NORM.S.DIST(($ED36-SQRT(ImpliedCorrelation)*ET$3)/SQRT(1-ImpliedCorrelation),TRUE))</f>
        <v>-</v>
      </c>
      <c r="EU36" s="366" t="str">
        <f>IF($AB36&gt;CDS.Tenor,"-",_xlfn.NORM.S.DIST(($ED36-SQRT(ImpliedCorrelation)*EU$3)/SQRT(1-ImpliedCorrelation),TRUE))</f>
        <v>-</v>
      </c>
      <c r="EV36" s="366" t="str">
        <f>IF($AB36&gt;CDS.Tenor,"-",_xlfn.NORM.S.DIST(($ED36-SQRT(ImpliedCorrelation)*EV$3)/SQRT(1-ImpliedCorrelation),TRUE))</f>
        <v>-</v>
      </c>
      <c r="EW36" s="366" t="str">
        <f>IF($AB36&gt;CDS.Tenor,"-",_xlfn.NORM.S.DIST(($ED36-SQRT(ImpliedCorrelation)*EW$3)/SQRT(1-ImpliedCorrelation),TRUE))</f>
        <v>-</v>
      </c>
      <c r="EX36" s="366" t="str">
        <f>IF($AB36&gt;CDS.Tenor,"-",_xlfn.NORM.S.DIST(($ED36-SQRT(ImpliedCorrelation)*EX$3)/SQRT(1-ImpliedCorrelation),TRUE))</f>
        <v>-</v>
      </c>
      <c r="EY36" s="366" t="str">
        <f>IF($AB36&gt;CDS.Tenor,"-",_xlfn.NORM.S.DIST(($ED36-SQRT(ImpliedCorrelation)*EY$3)/SQRT(1-ImpliedCorrelation),TRUE))</f>
        <v>-</v>
      </c>
      <c r="EZ36" s="366" t="str">
        <f>IF($AB36&gt;CDS.Tenor,"-",_xlfn.NORM.S.DIST(($ED36-SQRT(ImpliedCorrelation)*EZ$3)/SQRT(1-ImpliedCorrelation),TRUE))</f>
        <v>-</v>
      </c>
      <c r="FA36" s="366" t="str">
        <f>IF($AB36&gt;CDS.Tenor,"-",_xlfn.NORM.S.DIST(($ED36-SQRT(ImpliedCorrelation)*FA$3)/SQRT(1-ImpliedCorrelation),TRUE))</f>
        <v>-</v>
      </c>
      <c r="FB36" s="366"/>
      <c r="FC36" s="370">
        <f t="shared" si="119"/>
        <v>8</v>
      </c>
      <c r="FD36" s="366" t="str">
        <f>IF($AB36&gt;CDS.Tenor,"-",1-EG36)</f>
        <v>-</v>
      </c>
      <c r="FE36" s="366" t="str">
        <f>IF($AB36&gt;CDS.Tenor,"-",1-EH36)</f>
        <v>-</v>
      </c>
      <c r="FF36" s="366" t="str">
        <f>IF($AB36&gt;CDS.Tenor,"-",1-EI36)</f>
        <v>-</v>
      </c>
      <c r="FG36" s="366" t="str">
        <f>IF($AB36&gt;CDS.Tenor,"-",1-EJ36)</f>
        <v>-</v>
      </c>
      <c r="FH36" s="366" t="str">
        <f>IF($AB36&gt;CDS.Tenor,"-",1-EK36)</f>
        <v>-</v>
      </c>
      <c r="FI36" s="366" t="str">
        <f>IF($AB36&gt;CDS.Tenor,"-",1-EL36)</f>
        <v>-</v>
      </c>
      <c r="FJ36" s="366" t="str">
        <f>IF($AB36&gt;CDS.Tenor,"-",1-EM36)</f>
        <v>-</v>
      </c>
      <c r="FK36" s="366" t="str">
        <f>IF($AB36&gt;CDS.Tenor,"-",1-EN36)</f>
        <v>-</v>
      </c>
      <c r="FL36" s="366" t="str">
        <f>IF($AB36&gt;CDS.Tenor,"-",1-EO36)</f>
        <v>-</v>
      </c>
      <c r="FM36" s="366" t="str">
        <f>IF($AB36&gt;CDS.Tenor,"-",1-EP36)</f>
        <v>-</v>
      </c>
      <c r="FN36" s="366" t="str">
        <f>IF($AB36&gt;CDS.Tenor,"-",1-EQ36)</f>
        <v>-</v>
      </c>
      <c r="FO36" s="366" t="str">
        <f>IF($AB36&gt;CDS.Tenor,"-",1-ER36)</f>
        <v>-</v>
      </c>
      <c r="FP36" s="366" t="str">
        <f>IF($AB36&gt;CDS.Tenor,"-",1-ES36)</f>
        <v>-</v>
      </c>
      <c r="FQ36" s="366" t="str">
        <f>IF($AB36&gt;CDS.Tenor,"-",1-ET36)</f>
        <v>-</v>
      </c>
      <c r="FR36" s="366" t="str">
        <f>IF($AB36&gt;CDS.Tenor,"-",1-EU36)</f>
        <v>-</v>
      </c>
      <c r="FS36" s="366" t="str">
        <f>IF($AB36&gt;CDS.Tenor,"-",1-EV36)</f>
        <v>-</v>
      </c>
      <c r="FT36" s="366" t="str">
        <f>IF($AB36&gt;CDS.Tenor,"-",1-EW36)</f>
        <v>-</v>
      </c>
      <c r="FU36" s="366" t="str">
        <f>IF($AB36&gt;CDS.Tenor,"-",1-EX36)</f>
        <v>-</v>
      </c>
      <c r="FV36" s="366" t="str">
        <f>IF($AB36&gt;CDS.Tenor,"-",1-EY36)</f>
        <v>-</v>
      </c>
      <c r="FW36" s="366" t="str">
        <f>IF($AB36&gt;CDS.Tenor,"-",1-EZ36)</f>
        <v>-</v>
      </c>
      <c r="FX36" s="362" t="str">
        <f>IF($AB36&gt;CDS.Tenor,"-",1-FA36)</f>
        <v>-</v>
      </c>
      <c r="FZ36" s="370">
        <f t="shared" si="120"/>
        <v>8</v>
      </c>
      <c r="GA36" s="366" t="str">
        <f>IF($AB36&gt;CDS.Tenor,"-",BF36*DE36*FD36)</f>
        <v>-</v>
      </c>
      <c r="GB36" s="366" t="str">
        <f>IF($AB36&gt;CDS.Tenor,"-",BG36*DF36*FE36)</f>
        <v>-</v>
      </c>
      <c r="GC36" s="366" t="str">
        <f>IF($AB36&gt;CDS.Tenor,"-",BH36*DG36*FF36)</f>
        <v>-</v>
      </c>
      <c r="GD36" s="366" t="str">
        <f>IF($AB36&gt;CDS.Tenor,"-",BI36*DH36*FG36)</f>
        <v>-</v>
      </c>
      <c r="GE36" s="366" t="str">
        <f>IF($AB36&gt;CDS.Tenor,"-",BJ36*DI36*FH36)</f>
        <v>-</v>
      </c>
      <c r="GF36" s="366" t="str">
        <f>IF($AB36&gt;CDS.Tenor,"-",BK36*DJ36*FI36)</f>
        <v>-</v>
      </c>
      <c r="GG36" s="366" t="str">
        <f>IF($AB36&gt;CDS.Tenor,"-",BL36*DK36*FJ36)</f>
        <v>-</v>
      </c>
      <c r="GH36" s="366" t="str">
        <f>IF($AB36&gt;CDS.Tenor,"-",BM36*DL36*FK36)</f>
        <v>-</v>
      </c>
      <c r="GI36" s="366" t="str">
        <f>IF($AB36&gt;CDS.Tenor,"-",BN36*DM36*FL36)</f>
        <v>-</v>
      </c>
      <c r="GJ36" s="366" t="str">
        <f>IF($AB36&gt;CDS.Tenor,"-",BO36*DN36*FM36)</f>
        <v>-</v>
      </c>
      <c r="GK36" s="366" t="str">
        <f>IF($AB36&gt;CDS.Tenor,"-",BP36*DO36*FN36)</f>
        <v>-</v>
      </c>
      <c r="GL36" s="366" t="str">
        <f>IF($AB36&gt;CDS.Tenor,"-",BQ36*DP36*FO36)</f>
        <v>-</v>
      </c>
      <c r="GM36" s="366" t="str">
        <f>IF($AB36&gt;CDS.Tenor,"-",BR36*DQ36*FP36)</f>
        <v>-</v>
      </c>
      <c r="GN36" s="366" t="str">
        <f>IF($AB36&gt;CDS.Tenor,"-",BS36*DR36*FQ36)</f>
        <v>-</v>
      </c>
      <c r="GO36" s="366" t="str">
        <f>IF($AB36&gt;CDS.Tenor,"-",BT36*DS36*FR36)</f>
        <v>-</v>
      </c>
      <c r="GP36" s="366" t="str">
        <f>IF($AB36&gt;CDS.Tenor,"-",BU36*DT36*FS36)</f>
        <v>-</v>
      </c>
      <c r="GQ36" s="366" t="str">
        <f>IF($AB36&gt;CDS.Tenor,"-",BV36*DU36*FT36)</f>
        <v>-</v>
      </c>
      <c r="GR36" s="366" t="str">
        <f>IF($AB36&gt;CDS.Tenor,"-",BW36*DV36*FU36)</f>
        <v>-</v>
      </c>
      <c r="GS36" s="366" t="str">
        <f>IF($AB36&gt;CDS.Tenor,"-",BX36*DW36*FV36)</f>
        <v>-</v>
      </c>
      <c r="GT36" s="366" t="str">
        <f>IF($AB36&gt;CDS.Tenor,"-",BY36*DX36*FW36)</f>
        <v>-</v>
      </c>
      <c r="GU36" s="362" t="str">
        <f>IF($AB36&gt;CDS.Tenor,"-",BZ36*DY36*FX36)</f>
        <v>-</v>
      </c>
      <c r="GV36" s="42"/>
      <c r="GW36" s="370">
        <f t="shared" si="121"/>
        <v>8</v>
      </c>
      <c r="GX36" s="378" t="str">
        <f>IF($AB36&gt;CDS.Tenor,"-",SUMPRODUCT($GA36:$GU36,$GA$4:$GU$4)*dm)</f>
        <v>-</v>
      </c>
      <c r="GY36" s="381" t="str">
        <f>IF($AB36&gt;CDS.Tenor,"-",GX35-GX36)</f>
        <v>-</v>
      </c>
    </row>
    <row r="37" spans="10:207" x14ac:dyDescent="0.3">
      <c r="J37" s="156">
        <f t="shared" si="103"/>
        <v>8.25</v>
      </c>
      <c r="K37" s="28" t="str">
        <f>IF($J37&gt;CDS.Tenor,"-",CDS.PremiumSign*CDS.Notional*CDS.YearFraction*CDS.CreditSpread)</f>
        <v>-</v>
      </c>
      <c r="L37" s="10" t="str">
        <f>GX37</f>
        <v>-</v>
      </c>
      <c r="M37" s="10" t="str">
        <f>IF($J37&gt;CDS.Tenor,"-",L36-L37)</f>
        <v>-</v>
      </c>
      <c r="N37" s="94" t="str" cm="1">
        <f t="array" ref="N37">IF($J37&gt;CDS.Tenor,"-",cubicInterpolation(CurveResults.Times,CurveResults.DFs,$J37))</f>
        <v>-</v>
      </c>
      <c r="O37" s="28" t="str">
        <f>IF($J37&gt;CDS.Tenor,"-",K37*L37*N37)</f>
        <v>-</v>
      </c>
      <c r="P37" s="28" t="str">
        <f>IF($J37&gt;CDS.Tenor,"-",0.5*K37*M37*N37)</f>
        <v>-</v>
      </c>
      <c r="Q37" s="142" t="str">
        <f>IF($J37&gt;CDS.Tenor,"-",O37+P37)</f>
        <v>-</v>
      </c>
      <c r="T37" s="156">
        <f t="shared" si="104"/>
        <v>8.25</v>
      </c>
      <c r="U37" s="28" t="str">
        <f>IF($J37&gt;CDS.Tenor,"-",CDS.ProtectionSign*CDS.Notional*(1-CDS.RecoveryRate))</f>
        <v>-</v>
      </c>
      <c r="V37" s="10" t="str">
        <f>IF($J37&gt;CDS.Tenor,"-",GX37)</f>
        <v>-</v>
      </c>
      <c r="W37" s="10" t="str">
        <f>IF($J37&gt;CDS.Tenor,"-",V36-V37)</f>
        <v>-</v>
      </c>
      <c r="X37" s="94" t="str" cm="1">
        <f t="array" ref="X37">IF($T37&gt;CDS.Tenor,"-",cubicInterpolation(CurveResults.Times,CurveResults.DFs,$J37))</f>
        <v>-</v>
      </c>
      <c r="Y37" s="142" t="str">
        <f>IF($J37&gt;CDS.Tenor,"-",U37*W37*X37)</f>
        <v>-</v>
      </c>
      <c r="AB37" s="156">
        <f t="shared" si="105"/>
        <v>8.25</v>
      </c>
      <c r="AC37" s="352" t="str" cm="1">
        <f t="array" aca="1" ref="AC37" ca="1">IF($AB37&gt;CDS.Tenor,"-",flatInterpolation(AA37,INDIRECT(HazardRateTimes1),INDIRECT(HazardRateValues1)))</f>
        <v>-</v>
      </c>
      <c r="AD37" s="10" t="str">
        <f t="shared" si="106"/>
        <v>-</v>
      </c>
      <c r="AE37" s="10" t="str">
        <f t="shared" si="107"/>
        <v>-</v>
      </c>
      <c r="AF37" s="360" t="str">
        <f>IF($AB37&gt;CDS.Tenor,"-",NORMSINV(AE37))</f>
        <v>-</v>
      </c>
      <c r="AG37" s="360"/>
      <c r="AH37" s="370">
        <f t="shared" si="108"/>
        <v>8.25</v>
      </c>
      <c r="AI37" s="366" t="str">
        <f>IF($AB37&gt;CDS.Tenor,"-",_xlfn.NORM.S.DIST(($AF37-SQRT(ImpliedCorrelation)*AI$3)/SQRT(1-ImpliedCorrelation),TRUE))</f>
        <v>-</v>
      </c>
      <c r="AJ37" s="366" t="str">
        <f>IF($AB37&gt;CDS.Tenor,"-",_xlfn.NORM.S.DIST(($AF37-SQRT(ImpliedCorrelation)*AJ$3)/SQRT(1-ImpliedCorrelation),TRUE))</f>
        <v>-</v>
      </c>
      <c r="AK37" s="366" t="str">
        <f>IF($AB37&gt;CDS.Tenor,"-",_xlfn.NORM.S.DIST(($AF37-SQRT(ImpliedCorrelation)*AK$3)/SQRT(1-ImpliedCorrelation),TRUE))</f>
        <v>-</v>
      </c>
      <c r="AL37" s="366" t="str">
        <f>IF($AB37&gt;CDS.Tenor,"-",_xlfn.NORM.S.DIST(($AF37-SQRT(ImpliedCorrelation)*AL$3)/SQRT(1-ImpliedCorrelation),TRUE))</f>
        <v>-</v>
      </c>
      <c r="AM37" s="366" t="str">
        <f>IF($AB37&gt;CDS.Tenor,"-",_xlfn.NORM.S.DIST(($AF37-SQRT(ImpliedCorrelation)*AM$3)/SQRT(1-ImpliedCorrelation),TRUE))</f>
        <v>-</v>
      </c>
      <c r="AN37" s="366" t="str">
        <f>IF($AB37&gt;CDS.Tenor,"-",_xlfn.NORM.S.DIST(($AF37-SQRT(ImpliedCorrelation)*AN$3)/SQRT(1-ImpliedCorrelation),TRUE))</f>
        <v>-</v>
      </c>
      <c r="AO37" s="366" t="str">
        <f>IF($AB37&gt;CDS.Tenor,"-",_xlfn.NORM.S.DIST(($AF37-SQRT(ImpliedCorrelation)*AO$3)/SQRT(1-ImpliedCorrelation),TRUE))</f>
        <v>-</v>
      </c>
      <c r="AP37" s="366" t="str">
        <f>IF($AB37&gt;CDS.Tenor,"-",_xlfn.NORM.S.DIST(($AF37-SQRT(ImpliedCorrelation)*AP$3)/SQRT(1-ImpliedCorrelation),TRUE))</f>
        <v>-</v>
      </c>
      <c r="AQ37" s="366" t="str">
        <f>IF($AB37&gt;CDS.Tenor,"-",_xlfn.NORM.S.DIST(($AF37-SQRT(ImpliedCorrelation)*AQ$3)/SQRT(1-ImpliedCorrelation),TRUE))</f>
        <v>-</v>
      </c>
      <c r="AR37" s="366" t="str">
        <f>IF($AB37&gt;CDS.Tenor,"-",_xlfn.NORM.S.DIST(($AF37-SQRT(ImpliedCorrelation)*AR$3)/SQRT(1-ImpliedCorrelation),TRUE))</f>
        <v>-</v>
      </c>
      <c r="AS37" s="366" t="str">
        <f>IF($AB37&gt;CDS.Tenor,"-",_xlfn.NORM.S.DIST(($AF37-SQRT(ImpliedCorrelation)*AS$3)/SQRT(1-ImpliedCorrelation),TRUE))</f>
        <v>-</v>
      </c>
      <c r="AT37" s="366" t="str">
        <f>IF($AB37&gt;CDS.Tenor,"-",_xlfn.NORM.S.DIST(($AF37-SQRT(ImpliedCorrelation)*AT$3)/SQRT(1-ImpliedCorrelation),TRUE))</f>
        <v>-</v>
      </c>
      <c r="AU37" s="366" t="str">
        <f>IF($AB37&gt;CDS.Tenor,"-",_xlfn.NORM.S.DIST(($AF37-SQRT(ImpliedCorrelation)*AU$3)/SQRT(1-ImpliedCorrelation),TRUE))</f>
        <v>-</v>
      </c>
      <c r="AV37" s="366" t="str">
        <f>IF($AB37&gt;CDS.Tenor,"-",_xlfn.NORM.S.DIST(($AF37-SQRT(ImpliedCorrelation)*AV$3)/SQRT(1-ImpliedCorrelation),TRUE))</f>
        <v>-</v>
      </c>
      <c r="AW37" s="366" t="str">
        <f>IF($AB37&gt;CDS.Tenor,"-",_xlfn.NORM.S.DIST(($AF37-SQRT(ImpliedCorrelation)*AW$3)/SQRT(1-ImpliedCorrelation),TRUE))</f>
        <v>-</v>
      </c>
      <c r="AX37" s="366" t="str">
        <f>IF($AB37&gt;CDS.Tenor,"-",_xlfn.NORM.S.DIST(($AF37-SQRT(ImpliedCorrelation)*AX$3)/SQRT(1-ImpliedCorrelation),TRUE))</f>
        <v>-</v>
      </c>
      <c r="AY37" s="366" t="str">
        <f>IF($AB37&gt;CDS.Tenor,"-",_xlfn.NORM.S.DIST(($AF37-SQRT(ImpliedCorrelation)*AY$3)/SQRT(1-ImpliedCorrelation),TRUE))</f>
        <v>-</v>
      </c>
      <c r="AZ37" s="366" t="str">
        <f>IF($AB37&gt;CDS.Tenor,"-",_xlfn.NORM.S.DIST(($AF37-SQRT(ImpliedCorrelation)*AZ$3)/SQRT(1-ImpliedCorrelation),TRUE))</f>
        <v>-</v>
      </c>
      <c r="BA37" s="366" t="str">
        <f>IF($AB37&gt;CDS.Tenor,"-",_xlfn.NORM.S.DIST(($AF37-SQRT(ImpliedCorrelation)*BA$3)/SQRT(1-ImpliedCorrelation),TRUE))</f>
        <v>-</v>
      </c>
      <c r="BB37" s="366" t="str">
        <f>IF($AB37&gt;CDS.Tenor,"-",_xlfn.NORM.S.DIST(($AF37-SQRT(ImpliedCorrelation)*BB$3)/SQRT(1-ImpliedCorrelation),TRUE))</f>
        <v>-</v>
      </c>
      <c r="BC37" s="366" t="str">
        <f>IF($AB37&gt;CDS.Tenor,"-",_xlfn.NORM.S.DIST(($AF37-SQRT(ImpliedCorrelation)*BC$3)/SQRT(1-ImpliedCorrelation),TRUE))</f>
        <v>-</v>
      </c>
      <c r="BD37" s="366"/>
      <c r="BE37" s="370">
        <f t="shared" si="109"/>
        <v>8.25</v>
      </c>
      <c r="BF37" s="366" t="str">
        <f>IF($AB37&gt;CDS.Tenor,"-",1-AI37)</f>
        <v>-</v>
      </c>
      <c r="BG37" s="366" t="str">
        <f>IF($AB37&gt;CDS.Tenor,"-",1-AJ37)</f>
        <v>-</v>
      </c>
      <c r="BH37" s="366" t="str">
        <f>IF($AB37&gt;CDS.Tenor,"-",1-AK37)</f>
        <v>-</v>
      </c>
      <c r="BI37" s="366" t="str">
        <f>IF($AB37&gt;CDS.Tenor,"-",1-AL37)</f>
        <v>-</v>
      </c>
      <c r="BJ37" s="366" t="str">
        <f>IF($AB37&gt;CDS.Tenor,"-",1-AM37)</f>
        <v>-</v>
      </c>
      <c r="BK37" s="366" t="str">
        <f>IF($AB37&gt;CDS.Tenor,"-",1-AN37)</f>
        <v>-</v>
      </c>
      <c r="BL37" s="366" t="str">
        <f>IF($AB37&gt;CDS.Tenor,"-",1-AO37)</f>
        <v>-</v>
      </c>
      <c r="BM37" s="366" t="str">
        <f>IF($AB37&gt;CDS.Tenor,"-",1-AP37)</f>
        <v>-</v>
      </c>
      <c r="BN37" s="366" t="str">
        <f>IF($AB37&gt;CDS.Tenor,"-",1-AQ37)</f>
        <v>-</v>
      </c>
      <c r="BO37" s="366" t="str">
        <f>IF($AB37&gt;CDS.Tenor,"-",1-AR37)</f>
        <v>-</v>
      </c>
      <c r="BP37" s="366" t="str">
        <f>IF($AB37&gt;CDS.Tenor,"-",1-AS37)</f>
        <v>-</v>
      </c>
      <c r="BQ37" s="366" t="str">
        <f>IF($AB37&gt;CDS.Tenor,"-",1-AT37)</f>
        <v>-</v>
      </c>
      <c r="BR37" s="366" t="str">
        <f>IF($AB37&gt;CDS.Tenor,"-",1-AU37)</f>
        <v>-</v>
      </c>
      <c r="BS37" s="366" t="str">
        <f>IF($AB37&gt;CDS.Tenor,"-",1-AV37)</f>
        <v>-</v>
      </c>
      <c r="BT37" s="366" t="str">
        <f>IF($AB37&gt;CDS.Tenor,"-",1-AW37)</f>
        <v>-</v>
      </c>
      <c r="BU37" s="366" t="str">
        <f>IF($AB37&gt;CDS.Tenor,"-",1-AX37)</f>
        <v>-</v>
      </c>
      <c r="BV37" s="366" t="str">
        <f>IF($AB37&gt;CDS.Tenor,"-",1-AY37)</f>
        <v>-</v>
      </c>
      <c r="BW37" s="366" t="str">
        <f>IF($AB37&gt;CDS.Tenor,"-",1-AZ37)</f>
        <v>-</v>
      </c>
      <c r="BX37" s="366" t="str">
        <f>IF($AB37&gt;CDS.Tenor,"-",1-BA37)</f>
        <v>-</v>
      </c>
      <c r="BY37" s="366" t="str">
        <f>IF($AB37&gt;CDS.Tenor,"-",1-BB37)</f>
        <v>-</v>
      </c>
      <c r="BZ37" s="366" t="str">
        <f>IF($AB37&gt;CDS.Tenor,"-",1-BC37)</f>
        <v>-</v>
      </c>
      <c r="CA37" s="17"/>
      <c r="CB37" s="352" t="str" cm="1">
        <f t="array" aca="1" ref="CB37" ca="1">IF($AB37&gt;CDS.Tenor,"-",flatInterpolation(AB37,INDIRECT(HazardRateTimes2),INDIRECT(HazardRateValues2)))</f>
        <v>-</v>
      </c>
      <c r="CC37" s="10" t="str">
        <f t="shared" si="110"/>
        <v>-</v>
      </c>
      <c r="CD37" s="10" t="str">
        <f t="shared" si="111"/>
        <v>-</v>
      </c>
      <c r="CE37" s="81" t="str">
        <f t="shared" si="112"/>
        <v>-</v>
      </c>
      <c r="CF37" s="360"/>
      <c r="CG37" s="370">
        <f t="shared" si="113"/>
        <v>8.25</v>
      </c>
      <c r="CH37" s="366" t="str">
        <f>IF($AB37&gt;CDS.Tenor,"-",_xlfn.NORM.S.DIST(($CE37-SQRT(ImpliedCorrelation)*CH$3)/SQRT(1-ImpliedCorrelation),TRUE))</f>
        <v>-</v>
      </c>
      <c r="CI37" s="366" t="str">
        <f>IF($AB37&gt;CDS.Tenor,"-",_xlfn.NORM.S.DIST(($CE37-SQRT(ImpliedCorrelation)*CI$3)/SQRT(1-ImpliedCorrelation),TRUE))</f>
        <v>-</v>
      </c>
      <c r="CJ37" s="366" t="str">
        <f>IF($AB37&gt;CDS.Tenor,"-",_xlfn.NORM.S.DIST(($CE37-SQRT(ImpliedCorrelation)*CJ$3)/SQRT(1-ImpliedCorrelation),TRUE))</f>
        <v>-</v>
      </c>
      <c r="CK37" s="366" t="str">
        <f>IF($AB37&gt;CDS.Tenor,"-",_xlfn.NORM.S.DIST(($CE37-SQRT(ImpliedCorrelation)*CK$3)/SQRT(1-ImpliedCorrelation),TRUE))</f>
        <v>-</v>
      </c>
      <c r="CL37" s="366" t="str">
        <f>IF($AB37&gt;CDS.Tenor,"-",_xlfn.NORM.S.DIST(($CE37-SQRT(ImpliedCorrelation)*CL$3)/SQRT(1-ImpliedCorrelation),TRUE))</f>
        <v>-</v>
      </c>
      <c r="CM37" s="366" t="str">
        <f>IF($AB37&gt;CDS.Tenor,"-",_xlfn.NORM.S.DIST(($CE37-SQRT(ImpliedCorrelation)*CM$3)/SQRT(1-ImpliedCorrelation),TRUE))</f>
        <v>-</v>
      </c>
      <c r="CN37" s="366" t="str">
        <f>IF($AB37&gt;CDS.Tenor,"-",_xlfn.NORM.S.DIST(($CE37-SQRT(ImpliedCorrelation)*CN$3)/SQRT(1-ImpliedCorrelation),TRUE))</f>
        <v>-</v>
      </c>
      <c r="CO37" s="366" t="str">
        <f>IF($AB37&gt;CDS.Tenor,"-",_xlfn.NORM.S.DIST(($CE37-SQRT(ImpliedCorrelation)*CO$3)/SQRT(1-ImpliedCorrelation),TRUE))</f>
        <v>-</v>
      </c>
      <c r="CP37" s="366" t="str">
        <f>IF($AB37&gt;CDS.Tenor,"-",_xlfn.NORM.S.DIST(($CE37-SQRT(ImpliedCorrelation)*CP$3)/SQRT(1-ImpliedCorrelation),TRUE))</f>
        <v>-</v>
      </c>
      <c r="CQ37" s="366" t="str">
        <f>IF($AB37&gt;CDS.Tenor,"-",_xlfn.NORM.S.DIST(($CE37-SQRT(ImpliedCorrelation)*CQ$3)/SQRT(1-ImpliedCorrelation),TRUE))</f>
        <v>-</v>
      </c>
      <c r="CR37" s="366" t="str">
        <f>IF($AB37&gt;CDS.Tenor,"-",_xlfn.NORM.S.DIST(($CE37-SQRT(ImpliedCorrelation)*CR$3)/SQRT(1-ImpliedCorrelation),TRUE))</f>
        <v>-</v>
      </c>
      <c r="CS37" s="366" t="str">
        <f>IF($AB37&gt;CDS.Tenor,"-",_xlfn.NORM.S.DIST(($CE37-SQRT(ImpliedCorrelation)*CS$3)/SQRT(1-ImpliedCorrelation),TRUE))</f>
        <v>-</v>
      </c>
      <c r="CT37" s="366" t="str">
        <f>IF($AB37&gt;CDS.Tenor,"-",_xlfn.NORM.S.DIST(($CE37-SQRT(ImpliedCorrelation)*CT$3)/SQRT(1-ImpliedCorrelation),TRUE))</f>
        <v>-</v>
      </c>
      <c r="CU37" s="366" t="str">
        <f>IF($AB37&gt;CDS.Tenor,"-",_xlfn.NORM.S.DIST(($CE37-SQRT(ImpliedCorrelation)*CU$3)/SQRT(1-ImpliedCorrelation),TRUE))</f>
        <v>-</v>
      </c>
      <c r="CV37" s="366" t="str">
        <f>IF($AB37&gt;CDS.Tenor,"-",_xlfn.NORM.S.DIST(($CE37-SQRT(ImpliedCorrelation)*CV$3)/SQRT(1-ImpliedCorrelation),TRUE))</f>
        <v>-</v>
      </c>
      <c r="CW37" s="366" t="str">
        <f>IF($AB37&gt;CDS.Tenor,"-",_xlfn.NORM.S.DIST(($CE37-SQRT(ImpliedCorrelation)*CW$3)/SQRT(1-ImpliedCorrelation),TRUE))</f>
        <v>-</v>
      </c>
      <c r="CX37" s="366" t="str">
        <f>IF($AB37&gt;CDS.Tenor,"-",_xlfn.NORM.S.DIST(($CE37-SQRT(ImpliedCorrelation)*CX$3)/SQRT(1-ImpliedCorrelation),TRUE))</f>
        <v>-</v>
      </c>
      <c r="CY37" s="366" t="str">
        <f>IF($AB37&gt;CDS.Tenor,"-",_xlfn.NORM.S.DIST(($CE37-SQRT(ImpliedCorrelation)*CY$3)/SQRT(1-ImpliedCorrelation),TRUE))</f>
        <v>-</v>
      </c>
      <c r="CZ37" s="366" t="str">
        <f>IF($AB37&gt;CDS.Tenor,"-",_xlfn.NORM.S.DIST(($CE37-SQRT(ImpliedCorrelation)*CZ$3)/SQRT(1-ImpliedCorrelation),TRUE))</f>
        <v>-</v>
      </c>
      <c r="DA37" s="366" t="str">
        <f>IF($AB37&gt;CDS.Tenor,"-",_xlfn.NORM.S.DIST(($CE37-SQRT(ImpliedCorrelation)*DA$3)/SQRT(1-ImpliedCorrelation),TRUE))</f>
        <v>-</v>
      </c>
      <c r="DB37" s="366" t="str">
        <f>IF($AB37&gt;CDS.Tenor,"-",_xlfn.NORM.S.DIST(($CE37-SQRT(ImpliedCorrelation)*DB$3)/SQRT(1-ImpliedCorrelation),TRUE))</f>
        <v>-</v>
      </c>
      <c r="DC37" s="366"/>
      <c r="DD37" s="370">
        <f t="shared" si="114"/>
        <v>8.25</v>
      </c>
      <c r="DE37" s="366" t="str">
        <f>IF($AB37&gt;CDS.Tenor,"-",1-CH37)</f>
        <v>-</v>
      </c>
      <c r="DF37" s="366" t="str">
        <f>IF($AB37&gt;CDS.Tenor,"-",1-CI37)</f>
        <v>-</v>
      </c>
      <c r="DG37" s="366" t="str">
        <f>IF($AB37&gt;CDS.Tenor,"-",1-CJ37)</f>
        <v>-</v>
      </c>
      <c r="DH37" s="366" t="str">
        <f>IF($AB37&gt;CDS.Tenor,"-",1-CK37)</f>
        <v>-</v>
      </c>
      <c r="DI37" s="366" t="str">
        <f>IF($AB37&gt;CDS.Tenor,"-",1-CL37)</f>
        <v>-</v>
      </c>
      <c r="DJ37" s="366" t="str">
        <f>IF($AB37&gt;CDS.Tenor,"-",1-CM37)</f>
        <v>-</v>
      </c>
      <c r="DK37" s="366" t="str">
        <f>IF($AB37&gt;CDS.Tenor,"-",1-CN37)</f>
        <v>-</v>
      </c>
      <c r="DL37" s="366" t="str">
        <f>IF($AB37&gt;CDS.Tenor,"-",1-CO37)</f>
        <v>-</v>
      </c>
      <c r="DM37" s="366" t="str">
        <f>IF($AB37&gt;CDS.Tenor,"-",1-CP37)</f>
        <v>-</v>
      </c>
      <c r="DN37" s="366" t="str">
        <f>IF($AB37&gt;CDS.Tenor,"-",1-CQ37)</f>
        <v>-</v>
      </c>
      <c r="DO37" s="366" t="str">
        <f>IF($AB37&gt;CDS.Tenor,"-",1-CR37)</f>
        <v>-</v>
      </c>
      <c r="DP37" s="366" t="str">
        <f>IF($AB37&gt;CDS.Tenor,"-",1-CS37)</f>
        <v>-</v>
      </c>
      <c r="DQ37" s="366" t="str">
        <f>IF($AB37&gt;CDS.Tenor,"-",1-CT37)</f>
        <v>-</v>
      </c>
      <c r="DR37" s="366" t="str">
        <f>IF($AB37&gt;CDS.Tenor,"-",1-CU37)</f>
        <v>-</v>
      </c>
      <c r="DS37" s="366" t="str">
        <f>IF($AB37&gt;CDS.Tenor,"-",1-CV37)</f>
        <v>-</v>
      </c>
      <c r="DT37" s="366" t="str">
        <f>IF($AB37&gt;CDS.Tenor,"-",1-CW37)</f>
        <v>-</v>
      </c>
      <c r="DU37" s="366" t="str">
        <f>IF($AB37&gt;CDS.Tenor,"-",1-CX37)</f>
        <v>-</v>
      </c>
      <c r="DV37" s="366" t="str">
        <f>IF($AB37&gt;CDS.Tenor,"-",1-CY37)</f>
        <v>-</v>
      </c>
      <c r="DW37" s="366" t="str">
        <f>IF($AB37&gt;CDS.Tenor,"-",1-CZ37)</f>
        <v>-</v>
      </c>
      <c r="DX37" s="366" t="str">
        <f>IF($AB37&gt;CDS.Tenor,"-",1-DA37)</f>
        <v>-</v>
      </c>
      <c r="DY37" s="362" t="str">
        <f>IF($AB37&gt;CDS.Tenor,"-",1-DB37)</f>
        <v>-</v>
      </c>
      <c r="DZ37" s="360"/>
      <c r="EA37" s="352" t="str" cm="1">
        <f t="array" aca="1" ref="EA37" ca="1">IF($AB37&gt;CDS.Tenor,"-",flatInterpolation(CC37,INDIRECT(HazardRateTimes3),INDIRECT(HazardRateValues3)))</f>
        <v>-</v>
      </c>
      <c r="EB37" s="10" t="str">
        <f t="shared" si="115"/>
        <v>-</v>
      </c>
      <c r="EC37" s="10" t="str">
        <f t="shared" si="116"/>
        <v>-</v>
      </c>
      <c r="ED37" s="81" t="str">
        <f t="shared" si="117"/>
        <v>-</v>
      </c>
      <c r="EF37" s="370">
        <f t="shared" si="118"/>
        <v>8.25</v>
      </c>
      <c r="EG37" s="366" t="str">
        <f>IF($AB37&gt;CDS.Tenor,"-",_xlfn.NORM.S.DIST(($ED37-SQRT(ImpliedCorrelation)*EG$3)/SQRT(1-ImpliedCorrelation),TRUE))</f>
        <v>-</v>
      </c>
      <c r="EH37" s="366" t="str">
        <f>IF($AB37&gt;CDS.Tenor,"-",_xlfn.NORM.S.DIST(($ED37-SQRT(ImpliedCorrelation)*EH$3)/SQRT(1-ImpliedCorrelation),TRUE))</f>
        <v>-</v>
      </c>
      <c r="EI37" s="366" t="str">
        <f>IF($AB37&gt;CDS.Tenor,"-",_xlfn.NORM.S.DIST(($ED37-SQRT(ImpliedCorrelation)*EI$3)/SQRT(1-ImpliedCorrelation),TRUE))</f>
        <v>-</v>
      </c>
      <c r="EJ37" s="366" t="str">
        <f>IF($AB37&gt;CDS.Tenor,"-",_xlfn.NORM.S.DIST(($ED37-SQRT(ImpliedCorrelation)*EJ$3)/SQRT(1-ImpliedCorrelation),TRUE))</f>
        <v>-</v>
      </c>
      <c r="EK37" s="366" t="str">
        <f>IF($AB37&gt;CDS.Tenor,"-",_xlfn.NORM.S.DIST(($ED37-SQRT(ImpliedCorrelation)*EK$3)/SQRT(1-ImpliedCorrelation),TRUE))</f>
        <v>-</v>
      </c>
      <c r="EL37" s="366" t="str">
        <f>IF($AB37&gt;CDS.Tenor,"-",_xlfn.NORM.S.DIST(($ED37-SQRT(ImpliedCorrelation)*EL$3)/SQRT(1-ImpliedCorrelation),TRUE))</f>
        <v>-</v>
      </c>
      <c r="EM37" s="366" t="str">
        <f>IF($AB37&gt;CDS.Tenor,"-",_xlfn.NORM.S.DIST(($ED37-SQRT(ImpliedCorrelation)*EM$3)/SQRT(1-ImpliedCorrelation),TRUE))</f>
        <v>-</v>
      </c>
      <c r="EN37" s="366" t="str">
        <f>IF($AB37&gt;CDS.Tenor,"-",_xlfn.NORM.S.DIST(($ED37-SQRT(ImpliedCorrelation)*EN$3)/SQRT(1-ImpliedCorrelation),TRUE))</f>
        <v>-</v>
      </c>
      <c r="EO37" s="366" t="str">
        <f>IF($AB37&gt;CDS.Tenor,"-",_xlfn.NORM.S.DIST(($ED37-SQRT(ImpliedCorrelation)*EO$3)/SQRT(1-ImpliedCorrelation),TRUE))</f>
        <v>-</v>
      </c>
      <c r="EP37" s="366" t="str">
        <f>IF($AB37&gt;CDS.Tenor,"-",_xlfn.NORM.S.DIST(($ED37-SQRT(ImpliedCorrelation)*EP$3)/SQRT(1-ImpliedCorrelation),TRUE))</f>
        <v>-</v>
      </c>
      <c r="EQ37" s="366" t="str">
        <f>IF($AB37&gt;CDS.Tenor,"-",_xlfn.NORM.S.DIST(($ED37-SQRT(ImpliedCorrelation)*EQ$3)/SQRT(1-ImpliedCorrelation),TRUE))</f>
        <v>-</v>
      </c>
      <c r="ER37" s="366" t="str">
        <f>IF($AB37&gt;CDS.Tenor,"-",_xlfn.NORM.S.DIST(($ED37-SQRT(ImpliedCorrelation)*ER$3)/SQRT(1-ImpliedCorrelation),TRUE))</f>
        <v>-</v>
      </c>
      <c r="ES37" s="366" t="str">
        <f>IF($AB37&gt;CDS.Tenor,"-",_xlfn.NORM.S.DIST(($ED37-SQRT(ImpliedCorrelation)*ES$3)/SQRT(1-ImpliedCorrelation),TRUE))</f>
        <v>-</v>
      </c>
      <c r="ET37" s="366" t="str">
        <f>IF($AB37&gt;CDS.Tenor,"-",_xlfn.NORM.S.DIST(($ED37-SQRT(ImpliedCorrelation)*ET$3)/SQRT(1-ImpliedCorrelation),TRUE))</f>
        <v>-</v>
      </c>
      <c r="EU37" s="366" t="str">
        <f>IF($AB37&gt;CDS.Tenor,"-",_xlfn.NORM.S.DIST(($ED37-SQRT(ImpliedCorrelation)*EU$3)/SQRT(1-ImpliedCorrelation),TRUE))</f>
        <v>-</v>
      </c>
      <c r="EV37" s="366" t="str">
        <f>IF($AB37&gt;CDS.Tenor,"-",_xlfn.NORM.S.DIST(($ED37-SQRT(ImpliedCorrelation)*EV$3)/SQRT(1-ImpliedCorrelation),TRUE))</f>
        <v>-</v>
      </c>
      <c r="EW37" s="366" t="str">
        <f>IF($AB37&gt;CDS.Tenor,"-",_xlfn.NORM.S.DIST(($ED37-SQRT(ImpliedCorrelation)*EW$3)/SQRT(1-ImpliedCorrelation),TRUE))</f>
        <v>-</v>
      </c>
      <c r="EX37" s="366" t="str">
        <f>IF($AB37&gt;CDS.Tenor,"-",_xlfn.NORM.S.DIST(($ED37-SQRT(ImpliedCorrelation)*EX$3)/SQRT(1-ImpliedCorrelation),TRUE))</f>
        <v>-</v>
      </c>
      <c r="EY37" s="366" t="str">
        <f>IF($AB37&gt;CDS.Tenor,"-",_xlfn.NORM.S.DIST(($ED37-SQRT(ImpliedCorrelation)*EY$3)/SQRT(1-ImpliedCorrelation),TRUE))</f>
        <v>-</v>
      </c>
      <c r="EZ37" s="366" t="str">
        <f>IF($AB37&gt;CDS.Tenor,"-",_xlfn.NORM.S.DIST(($ED37-SQRT(ImpliedCorrelation)*EZ$3)/SQRT(1-ImpliedCorrelation),TRUE))</f>
        <v>-</v>
      </c>
      <c r="FA37" s="366" t="str">
        <f>IF($AB37&gt;CDS.Tenor,"-",_xlfn.NORM.S.DIST(($ED37-SQRT(ImpliedCorrelation)*FA$3)/SQRT(1-ImpliedCorrelation),TRUE))</f>
        <v>-</v>
      </c>
      <c r="FB37" s="366"/>
      <c r="FC37" s="370">
        <f t="shared" si="119"/>
        <v>8.25</v>
      </c>
      <c r="FD37" s="366" t="str">
        <f>IF($AB37&gt;CDS.Tenor,"-",1-EG37)</f>
        <v>-</v>
      </c>
      <c r="FE37" s="366" t="str">
        <f>IF($AB37&gt;CDS.Tenor,"-",1-EH37)</f>
        <v>-</v>
      </c>
      <c r="FF37" s="366" t="str">
        <f>IF($AB37&gt;CDS.Tenor,"-",1-EI37)</f>
        <v>-</v>
      </c>
      <c r="FG37" s="366" t="str">
        <f>IF($AB37&gt;CDS.Tenor,"-",1-EJ37)</f>
        <v>-</v>
      </c>
      <c r="FH37" s="366" t="str">
        <f>IF($AB37&gt;CDS.Tenor,"-",1-EK37)</f>
        <v>-</v>
      </c>
      <c r="FI37" s="366" t="str">
        <f>IF($AB37&gt;CDS.Tenor,"-",1-EL37)</f>
        <v>-</v>
      </c>
      <c r="FJ37" s="366" t="str">
        <f>IF($AB37&gt;CDS.Tenor,"-",1-EM37)</f>
        <v>-</v>
      </c>
      <c r="FK37" s="366" t="str">
        <f>IF($AB37&gt;CDS.Tenor,"-",1-EN37)</f>
        <v>-</v>
      </c>
      <c r="FL37" s="366" t="str">
        <f>IF($AB37&gt;CDS.Tenor,"-",1-EO37)</f>
        <v>-</v>
      </c>
      <c r="FM37" s="366" t="str">
        <f>IF($AB37&gt;CDS.Tenor,"-",1-EP37)</f>
        <v>-</v>
      </c>
      <c r="FN37" s="366" t="str">
        <f>IF($AB37&gt;CDS.Tenor,"-",1-EQ37)</f>
        <v>-</v>
      </c>
      <c r="FO37" s="366" t="str">
        <f>IF($AB37&gt;CDS.Tenor,"-",1-ER37)</f>
        <v>-</v>
      </c>
      <c r="FP37" s="366" t="str">
        <f>IF($AB37&gt;CDS.Tenor,"-",1-ES37)</f>
        <v>-</v>
      </c>
      <c r="FQ37" s="366" t="str">
        <f>IF($AB37&gt;CDS.Tenor,"-",1-ET37)</f>
        <v>-</v>
      </c>
      <c r="FR37" s="366" t="str">
        <f>IF($AB37&gt;CDS.Tenor,"-",1-EU37)</f>
        <v>-</v>
      </c>
      <c r="FS37" s="366" t="str">
        <f>IF($AB37&gt;CDS.Tenor,"-",1-EV37)</f>
        <v>-</v>
      </c>
      <c r="FT37" s="366" t="str">
        <f>IF($AB37&gt;CDS.Tenor,"-",1-EW37)</f>
        <v>-</v>
      </c>
      <c r="FU37" s="366" t="str">
        <f>IF($AB37&gt;CDS.Tenor,"-",1-EX37)</f>
        <v>-</v>
      </c>
      <c r="FV37" s="366" t="str">
        <f>IF($AB37&gt;CDS.Tenor,"-",1-EY37)</f>
        <v>-</v>
      </c>
      <c r="FW37" s="366" t="str">
        <f>IF($AB37&gt;CDS.Tenor,"-",1-EZ37)</f>
        <v>-</v>
      </c>
      <c r="FX37" s="362" t="str">
        <f>IF($AB37&gt;CDS.Tenor,"-",1-FA37)</f>
        <v>-</v>
      </c>
      <c r="FZ37" s="370">
        <f t="shared" si="120"/>
        <v>8.25</v>
      </c>
      <c r="GA37" s="366" t="str">
        <f>IF($AB37&gt;CDS.Tenor,"-",BF37*DE37*FD37)</f>
        <v>-</v>
      </c>
      <c r="GB37" s="366" t="str">
        <f>IF($AB37&gt;CDS.Tenor,"-",BG37*DF37*FE37)</f>
        <v>-</v>
      </c>
      <c r="GC37" s="366" t="str">
        <f>IF($AB37&gt;CDS.Tenor,"-",BH37*DG37*FF37)</f>
        <v>-</v>
      </c>
      <c r="GD37" s="366" t="str">
        <f>IF($AB37&gt;CDS.Tenor,"-",BI37*DH37*FG37)</f>
        <v>-</v>
      </c>
      <c r="GE37" s="366" t="str">
        <f>IF($AB37&gt;CDS.Tenor,"-",BJ37*DI37*FH37)</f>
        <v>-</v>
      </c>
      <c r="GF37" s="366" t="str">
        <f>IF($AB37&gt;CDS.Tenor,"-",BK37*DJ37*FI37)</f>
        <v>-</v>
      </c>
      <c r="GG37" s="366" t="str">
        <f>IF($AB37&gt;CDS.Tenor,"-",BL37*DK37*FJ37)</f>
        <v>-</v>
      </c>
      <c r="GH37" s="366" t="str">
        <f>IF($AB37&gt;CDS.Tenor,"-",BM37*DL37*FK37)</f>
        <v>-</v>
      </c>
      <c r="GI37" s="366" t="str">
        <f>IF($AB37&gt;CDS.Tenor,"-",BN37*DM37*FL37)</f>
        <v>-</v>
      </c>
      <c r="GJ37" s="366" t="str">
        <f>IF($AB37&gt;CDS.Tenor,"-",BO37*DN37*FM37)</f>
        <v>-</v>
      </c>
      <c r="GK37" s="366" t="str">
        <f>IF($AB37&gt;CDS.Tenor,"-",BP37*DO37*FN37)</f>
        <v>-</v>
      </c>
      <c r="GL37" s="366" t="str">
        <f>IF($AB37&gt;CDS.Tenor,"-",BQ37*DP37*FO37)</f>
        <v>-</v>
      </c>
      <c r="GM37" s="366" t="str">
        <f>IF($AB37&gt;CDS.Tenor,"-",BR37*DQ37*FP37)</f>
        <v>-</v>
      </c>
      <c r="GN37" s="366" t="str">
        <f>IF($AB37&gt;CDS.Tenor,"-",BS37*DR37*FQ37)</f>
        <v>-</v>
      </c>
      <c r="GO37" s="366" t="str">
        <f>IF($AB37&gt;CDS.Tenor,"-",BT37*DS37*FR37)</f>
        <v>-</v>
      </c>
      <c r="GP37" s="366" t="str">
        <f>IF($AB37&gt;CDS.Tenor,"-",BU37*DT37*FS37)</f>
        <v>-</v>
      </c>
      <c r="GQ37" s="366" t="str">
        <f>IF($AB37&gt;CDS.Tenor,"-",BV37*DU37*FT37)</f>
        <v>-</v>
      </c>
      <c r="GR37" s="366" t="str">
        <f>IF($AB37&gt;CDS.Tenor,"-",BW37*DV37*FU37)</f>
        <v>-</v>
      </c>
      <c r="GS37" s="366" t="str">
        <f>IF($AB37&gt;CDS.Tenor,"-",BX37*DW37*FV37)</f>
        <v>-</v>
      </c>
      <c r="GT37" s="366" t="str">
        <f>IF($AB37&gt;CDS.Tenor,"-",BY37*DX37*FW37)</f>
        <v>-</v>
      </c>
      <c r="GU37" s="362" t="str">
        <f>IF($AB37&gt;CDS.Tenor,"-",BZ37*DY37*FX37)</f>
        <v>-</v>
      </c>
      <c r="GV37" s="42"/>
      <c r="GW37" s="370">
        <f t="shared" si="121"/>
        <v>8.25</v>
      </c>
      <c r="GX37" s="378" t="str">
        <f>IF($AB37&gt;CDS.Tenor,"-",SUMPRODUCT($GA37:$GU37,$GA$4:$GU$4)*dm)</f>
        <v>-</v>
      </c>
      <c r="GY37" s="381" t="str">
        <f>IF($AB37&gt;CDS.Tenor,"-",GX36-GX37)</f>
        <v>-</v>
      </c>
    </row>
    <row r="38" spans="10:207" x14ac:dyDescent="0.3">
      <c r="J38" s="156">
        <f t="shared" si="103"/>
        <v>8.5</v>
      </c>
      <c r="K38" s="28" t="str">
        <f>IF($J38&gt;CDS.Tenor,"-",CDS.PremiumSign*CDS.Notional*CDS.YearFraction*CDS.CreditSpread)</f>
        <v>-</v>
      </c>
      <c r="L38" s="10" t="str">
        <f>GX38</f>
        <v>-</v>
      </c>
      <c r="M38" s="10" t="str">
        <f>IF($J38&gt;CDS.Tenor,"-",L37-L38)</f>
        <v>-</v>
      </c>
      <c r="N38" s="94" t="str" cm="1">
        <f t="array" ref="N38">IF($J38&gt;CDS.Tenor,"-",cubicInterpolation(CurveResults.Times,CurveResults.DFs,$J38))</f>
        <v>-</v>
      </c>
      <c r="O38" s="28" t="str">
        <f>IF($J38&gt;CDS.Tenor,"-",K38*L38*N38)</f>
        <v>-</v>
      </c>
      <c r="P38" s="28" t="str">
        <f>IF($J38&gt;CDS.Tenor,"-",0.5*K38*M38*N38)</f>
        <v>-</v>
      </c>
      <c r="Q38" s="142" t="str">
        <f>IF($J38&gt;CDS.Tenor,"-",O38+P38)</f>
        <v>-</v>
      </c>
      <c r="T38" s="156">
        <f t="shared" si="104"/>
        <v>8.5</v>
      </c>
      <c r="U38" s="28" t="str">
        <f>IF($J38&gt;CDS.Tenor,"-",CDS.ProtectionSign*CDS.Notional*(1-CDS.RecoveryRate))</f>
        <v>-</v>
      </c>
      <c r="V38" s="10" t="str">
        <f>IF($J38&gt;CDS.Tenor,"-",GX38)</f>
        <v>-</v>
      </c>
      <c r="W38" s="10" t="str">
        <f>IF($J38&gt;CDS.Tenor,"-",V37-V38)</f>
        <v>-</v>
      </c>
      <c r="X38" s="94" t="str" cm="1">
        <f t="array" ref="X38">IF($T38&gt;CDS.Tenor,"-",cubicInterpolation(CurveResults.Times,CurveResults.DFs,$J38))</f>
        <v>-</v>
      </c>
      <c r="Y38" s="142" t="str">
        <f>IF($J38&gt;CDS.Tenor,"-",U38*W38*X38)</f>
        <v>-</v>
      </c>
      <c r="AB38" s="156">
        <f t="shared" si="105"/>
        <v>8.5</v>
      </c>
      <c r="AC38" s="352" t="str" cm="1">
        <f t="array" aca="1" ref="AC38" ca="1">IF($AB38&gt;CDS.Tenor,"-",flatInterpolation(AA38,INDIRECT(HazardRateTimes1),INDIRECT(HazardRateValues1)))</f>
        <v>-</v>
      </c>
      <c r="AD38" s="10" t="str">
        <f t="shared" si="106"/>
        <v>-</v>
      </c>
      <c r="AE38" s="10" t="str">
        <f t="shared" si="107"/>
        <v>-</v>
      </c>
      <c r="AF38" s="360" t="str">
        <f>IF($AB38&gt;CDS.Tenor,"-",NORMSINV(AE38))</f>
        <v>-</v>
      </c>
      <c r="AG38" s="360"/>
      <c r="AH38" s="370">
        <f t="shared" si="108"/>
        <v>8.5</v>
      </c>
      <c r="AI38" s="366" t="str">
        <f>IF($AB38&gt;CDS.Tenor,"-",_xlfn.NORM.S.DIST(($AF38-SQRT(ImpliedCorrelation)*AI$3)/SQRT(1-ImpliedCorrelation),TRUE))</f>
        <v>-</v>
      </c>
      <c r="AJ38" s="366" t="str">
        <f>IF($AB38&gt;CDS.Tenor,"-",_xlfn.NORM.S.DIST(($AF38-SQRT(ImpliedCorrelation)*AJ$3)/SQRT(1-ImpliedCorrelation),TRUE))</f>
        <v>-</v>
      </c>
      <c r="AK38" s="366" t="str">
        <f>IF($AB38&gt;CDS.Tenor,"-",_xlfn.NORM.S.DIST(($AF38-SQRT(ImpliedCorrelation)*AK$3)/SQRT(1-ImpliedCorrelation),TRUE))</f>
        <v>-</v>
      </c>
      <c r="AL38" s="366" t="str">
        <f>IF($AB38&gt;CDS.Tenor,"-",_xlfn.NORM.S.DIST(($AF38-SQRT(ImpliedCorrelation)*AL$3)/SQRT(1-ImpliedCorrelation),TRUE))</f>
        <v>-</v>
      </c>
      <c r="AM38" s="366" t="str">
        <f>IF($AB38&gt;CDS.Tenor,"-",_xlfn.NORM.S.DIST(($AF38-SQRT(ImpliedCorrelation)*AM$3)/SQRT(1-ImpliedCorrelation),TRUE))</f>
        <v>-</v>
      </c>
      <c r="AN38" s="366" t="str">
        <f>IF($AB38&gt;CDS.Tenor,"-",_xlfn.NORM.S.DIST(($AF38-SQRT(ImpliedCorrelation)*AN$3)/SQRT(1-ImpliedCorrelation),TRUE))</f>
        <v>-</v>
      </c>
      <c r="AO38" s="366" t="str">
        <f>IF($AB38&gt;CDS.Tenor,"-",_xlfn.NORM.S.DIST(($AF38-SQRT(ImpliedCorrelation)*AO$3)/SQRT(1-ImpliedCorrelation),TRUE))</f>
        <v>-</v>
      </c>
      <c r="AP38" s="366" t="str">
        <f>IF($AB38&gt;CDS.Tenor,"-",_xlfn.NORM.S.DIST(($AF38-SQRT(ImpliedCorrelation)*AP$3)/SQRT(1-ImpliedCorrelation),TRUE))</f>
        <v>-</v>
      </c>
      <c r="AQ38" s="366" t="str">
        <f>IF($AB38&gt;CDS.Tenor,"-",_xlfn.NORM.S.DIST(($AF38-SQRT(ImpliedCorrelation)*AQ$3)/SQRT(1-ImpliedCorrelation),TRUE))</f>
        <v>-</v>
      </c>
      <c r="AR38" s="366" t="str">
        <f>IF($AB38&gt;CDS.Tenor,"-",_xlfn.NORM.S.DIST(($AF38-SQRT(ImpliedCorrelation)*AR$3)/SQRT(1-ImpliedCorrelation),TRUE))</f>
        <v>-</v>
      </c>
      <c r="AS38" s="366" t="str">
        <f>IF($AB38&gt;CDS.Tenor,"-",_xlfn.NORM.S.DIST(($AF38-SQRT(ImpliedCorrelation)*AS$3)/SQRT(1-ImpliedCorrelation),TRUE))</f>
        <v>-</v>
      </c>
      <c r="AT38" s="366" t="str">
        <f>IF($AB38&gt;CDS.Tenor,"-",_xlfn.NORM.S.DIST(($AF38-SQRT(ImpliedCorrelation)*AT$3)/SQRT(1-ImpliedCorrelation),TRUE))</f>
        <v>-</v>
      </c>
      <c r="AU38" s="366" t="str">
        <f>IF($AB38&gt;CDS.Tenor,"-",_xlfn.NORM.S.DIST(($AF38-SQRT(ImpliedCorrelation)*AU$3)/SQRT(1-ImpliedCorrelation),TRUE))</f>
        <v>-</v>
      </c>
      <c r="AV38" s="366" t="str">
        <f>IF($AB38&gt;CDS.Tenor,"-",_xlfn.NORM.S.DIST(($AF38-SQRT(ImpliedCorrelation)*AV$3)/SQRT(1-ImpliedCorrelation),TRUE))</f>
        <v>-</v>
      </c>
      <c r="AW38" s="366" t="str">
        <f>IF($AB38&gt;CDS.Tenor,"-",_xlfn.NORM.S.DIST(($AF38-SQRT(ImpliedCorrelation)*AW$3)/SQRT(1-ImpliedCorrelation),TRUE))</f>
        <v>-</v>
      </c>
      <c r="AX38" s="366" t="str">
        <f>IF($AB38&gt;CDS.Tenor,"-",_xlfn.NORM.S.DIST(($AF38-SQRT(ImpliedCorrelation)*AX$3)/SQRT(1-ImpliedCorrelation),TRUE))</f>
        <v>-</v>
      </c>
      <c r="AY38" s="366" t="str">
        <f>IF($AB38&gt;CDS.Tenor,"-",_xlfn.NORM.S.DIST(($AF38-SQRT(ImpliedCorrelation)*AY$3)/SQRT(1-ImpliedCorrelation),TRUE))</f>
        <v>-</v>
      </c>
      <c r="AZ38" s="366" t="str">
        <f>IF($AB38&gt;CDS.Tenor,"-",_xlfn.NORM.S.DIST(($AF38-SQRT(ImpliedCorrelation)*AZ$3)/SQRT(1-ImpliedCorrelation),TRUE))</f>
        <v>-</v>
      </c>
      <c r="BA38" s="366" t="str">
        <f>IF($AB38&gt;CDS.Tenor,"-",_xlfn.NORM.S.DIST(($AF38-SQRT(ImpliedCorrelation)*BA$3)/SQRT(1-ImpliedCorrelation),TRUE))</f>
        <v>-</v>
      </c>
      <c r="BB38" s="366" t="str">
        <f>IF($AB38&gt;CDS.Tenor,"-",_xlfn.NORM.S.DIST(($AF38-SQRT(ImpliedCorrelation)*BB$3)/SQRT(1-ImpliedCorrelation),TRUE))</f>
        <v>-</v>
      </c>
      <c r="BC38" s="366" t="str">
        <f>IF($AB38&gt;CDS.Tenor,"-",_xlfn.NORM.S.DIST(($AF38-SQRT(ImpliedCorrelation)*BC$3)/SQRT(1-ImpliedCorrelation),TRUE))</f>
        <v>-</v>
      </c>
      <c r="BD38" s="366"/>
      <c r="BE38" s="370">
        <f t="shared" si="109"/>
        <v>8.5</v>
      </c>
      <c r="BF38" s="366" t="str">
        <f>IF($AB38&gt;CDS.Tenor,"-",1-AI38)</f>
        <v>-</v>
      </c>
      <c r="BG38" s="366" t="str">
        <f>IF($AB38&gt;CDS.Tenor,"-",1-AJ38)</f>
        <v>-</v>
      </c>
      <c r="BH38" s="366" t="str">
        <f>IF($AB38&gt;CDS.Tenor,"-",1-AK38)</f>
        <v>-</v>
      </c>
      <c r="BI38" s="366" t="str">
        <f>IF($AB38&gt;CDS.Tenor,"-",1-AL38)</f>
        <v>-</v>
      </c>
      <c r="BJ38" s="366" t="str">
        <f>IF($AB38&gt;CDS.Tenor,"-",1-AM38)</f>
        <v>-</v>
      </c>
      <c r="BK38" s="366" t="str">
        <f>IF($AB38&gt;CDS.Tenor,"-",1-AN38)</f>
        <v>-</v>
      </c>
      <c r="BL38" s="366" t="str">
        <f>IF($AB38&gt;CDS.Tenor,"-",1-AO38)</f>
        <v>-</v>
      </c>
      <c r="BM38" s="366" t="str">
        <f>IF($AB38&gt;CDS.Tenor,"-",1-AP38)</f>
        <v>-</v>
      </c>
      <c r="BN38" s="366" t="str">
        <f>IF($AB38&gt;CDS.Tenor,"-",1-AQ38)</f>
        <v>-</v>
      </c>
      <c r="BO38" s="366" t="str">
        <f>IF($AB38&gt;CDS.Tenor,"-",1-AR38)</f>
        <v>-</v>
      </c>
      <c r="BP38" s="366" t="str">
        <f>IF($AB38&gt;CDS.Tenor,"-",1-AS38)</f>
        <v>-</v>
      </c>
      <c r="BQ38" s="366" t="str">
        <f>IF($AB38&gt;CDS.Tenor,"-",1-AT38)</f>
        <v>-</v>
      </c>
      <c r="BR38" s="366" t="str">
        <f>IF($AB38&gt;CDS.Tenor,"-",1-AU38)</f>
        <v>-</v>
      </c>
      <c r="BS38" s="366" t="str">
        <f>IF($AB38&gt;CDS.Tenor,"-",1-AV38)</f>
        <v>-</v>
      </c>
      <c r="BT38" s="366" t="str">
        <f>IF($AB38&gt;CDS.Tenor,"-",1-AW38)</f>
        <v>-</v>
      </c>
      <c r="BU38" s="366" t="str">
        <f>IF($AB38&gt;CDS.Tenor,"-",1-AX38)</f>
        <v>-</v>
      </c>
      <c r="BV38" s="366" t="str">
        <f>IF($AB38&gt;CDS.Tenor,"-",1-AY38)</f>
        <v>-</v>
      </c>
      <c r="BW38" s="366" t="str">
        <f>IF($AB38&gt;CDS.Tenor,"-",1-AZ38)</f>
        <v>-</v>
      </c>
      <c r="BX38" s="366" t="str">
        <f>IF($AB38&gt;CDS.Tenor,"-",1-BA38)</f>
        <v>-</v>
      </c>
      <c r="BY38" s="366" t="str">
        <f>IF($AB38&gt;CDS.Tenor,"-",1-BB38)</f>
        <v>-</v>
      </c>
      <c r="BZ38" s="366" t="str">
        <f>IF($AB38&gt;CDS.Tenor,"-",1-BC38)</f>
        <v>-</v>
      </c>
      <c r="CA38" s="17"/>
      <c r="CB38" s="352" t="str" cm="1">
        <f t="array" aca="1" ref="CB38" ca="1">IF($AB38&gt;CDS.Tenor,"-",flatInterpolation(AB38,INDIRECT(HazardRateTimes2),INDIRECT(HazardRateValues2)))</f>
        <v>-</v>
      </c>
      <c r="CC38" s="10" t="str">
        <f t="shared" si="110"/>
        <v>-</v>
      </c>
      <c r="CD38" s="10" t="str">
        <f t="shared" si="111"/>
        <v>-</v>
      </c>
      <c r="CE38" s="81" t="str">
        <f t="shared" si="112"/>
        <v>-</v>
      </c>
      <c r="CF38" s="360"/>
      <c r="CG38" s="370">
        <f t="shared" si="113"/>
        <v>8.5</v>
      </c>
      <c r="CH38" s="366" t="str">
        <f>IF($AB38&gt;CDS.Tenor,"-",_xlfn.NORM.S.DIST(($CE38-SQRT(ImpliedCorrelation)*CH$3)/SQRT(1-ImpliedCorrelation),TRUE))</f>
        <v>-</v>
      </c>
      <c r="CI38" s="366" t="str">
        <f>IF($AB38&gt;CDS.Tenor,"-",_xlfn.NORM.S.DIST(($CE38-SQRT(ImpliedCorrelation)*CI$3)/SQRT(1-ImpliedCorrelation),TRUE))</f>
        <v>-</v>
      </c>
      <c r="CJ38" s="366" t="str">
        <f>IF($AB38&gt;CDS.Tenor,"-",_xlfn.NORM.S.DIST(($CE38-SQRT(ImpliedCorrelation)*CJ$3)/SQRT(1-ImpliedCorrelation),TRUE))</f>
        <v>-</v>
      </c>
      <c r="CK38" s="366" t="str">
        <f>IF($AB38&gt;CDS.Tenor,"-",_xlfn.NORM.S.DIST(($CE38-SQRT(ImpliedCorrelation)*CK$3)/SQRT(1-ImpliedCorrelation),TRUE))</f>
        <v>-</v>
      </c>
      <c r="CL38" s="366" t="str">
        <f>IF($AB38&gt;CDS.Tenor,"-",_xlfn.NORM.S.DIST(($CE38-SQRT(ImpliedCorrelation)*CL$3)/SQRT(1-ImpliedCorrelation),TRUE))</f>
        <v>-</v>
      </c>
      <c r="CM38" s="366" t="str">
        <f>IF($AB38&gt;CDS.Tenor,"-",_xlfn.NORM.S.DIST(($CE38-SQRT(ImpliedCorrelation)*CM$3)/SQRT(1-ImpliedCorrelation),TRUE))</f>
        <v>-</v>
      </c>
      <c r="CN38" s="366" t="str">
        <f>IF($AB38&gt;CDS.Tenor,"-",_xlfn.NORM.S.DIST(($CE38-SQRT(ImpliedCorrelation)*CN$3)/SQRT(1-ImpliedCorrelation),TRUE))</f>
        <v>-</v>
      </c>
      <c r="CO38" s="366" t="str">
        <f>IF($AB38&gt;CDS.Tenor,"-",_xlfn.NORM.S.DIST(($CE38-SQRT(ImpliedCorrelation)*CO$3)/SQRT(1-ImpliedCorrelation),TRUE))</f>
        <v>-</v>
      </c>
      <c r="CP38" s="366" t="str">
        <f>IF($AB38&gt;CDS.Tenor,"-",_xlfn.NORM.S.DIST(($CE38-SQRT(ImpliedCorrelation)*CP$3)/SQRT(1-ImpliedCorrelation),TRUE))</f>
        <v>-</v>
      </c>
      <c r="CQ38" s="366" t="str">
        <f>IF($AB38&gt;CDS.Tenor,"-",_xlfn.NORM.S.DIST(($CE38-SQRT(ImpliedCorrelation)*CQ$3)/SQRT(1-ImpliedCorrelation),TRUE))</f>
        <v>-</v>
      </c>
      <c r="CR38" s="366" t="str">
        <f>IF($AB38&gt;CDS.Tenor,"-",_xlfn.NORM.S.DIST(($CE38-SQRT(ImpliedCorrelation)*CR$3)/SQRT(1-ImpliedCorrelation),TRUE))</f>
        <v>-</v>
      </c>
      <c r="CS38" s="366" t="str">
        <f>IF($AB38&gt;CDS.Tenor,"-",_xlfn.NORM.S.DIST(($CE38-SQRT(ImpliedCorrelation)*CS$3)/SQRT(1-ImpliedCorrelation),TRUE))</f>
        <v>-</v>
      </c>
      <c r="CT38" s="366" t="str">
        <f>IF($AB38&gt;CDS.Tenor,"-",_xlfn.NORM.S.DIST(($CE38-SQRT(ImpliedCorrelation)*CT$3)/SQRT(1-ImpliedCorrelation),TRUE))</f>
        <v>-</v>
      </c>
      <c r="CU38" s="366" t="str">
        <f>IF($AB38&gt;CDS.Tenor,"-",_xlfn.NORM.S.DIST(($CE38-SQRT(ImpliedCorrelation)*CU$3)/SQRT(1-ImpliedCorrelation),TRUE))</f>
        <v>-</v>
      </c>
      <c r="CV38" s="366" t="str">
        <f>IF($AB38&gt;CDS.Tenor,"-",_xlfn.NORM.S.DIST(($CE38-SQRT(ImpliedCorrelation)*CV$3)/SQRT(1-ImpliedCorrelation),TRUE))</f>
        <v>-</v>
      </c>
      <c r="CW38" s="366" t="str">
        <f>IF($AB38&gt;CDS.Tenor,"-",_xlfn.NORM.S.DIST(($CE38-SQRT(ImpliedCorrelation)*CW$3)/SQRT(1-ImpliedCorrelation),TRUE))</f>
        <v>-</v>
      </c>
      <c r="CX38" s="366" t="str">
        <f>IF($AB38&gt;CDS.Tenor,"-",_xlfn.NORM.S.DIST(($CE38-SQRT(ImpliedCorrelation)*CX$3)/SQRT(1-ImpliedCorrelation),TRUE))</f>
        <v>-</v>
      </c>
      <c r="CY38" s="366" t="str">
        <f>IF($AB38&gt;CDS.Tenor,"-",_xlfn.NORM.S.DIST(($CE38-SQRT(ImpliedCorrelation)*CY$3)/SQRT(1-ImpliedCorrelation),TRUE))</f>
        <v>-</v>
      </c>
      <c r="CZ38" s="366" t="str">
        <f>IF($AB38&gt;CDS.Tenor,"-",_xlfn.NORM.S.DIST(($CE38-SQRT(ImpliedCorrelation)*CZ$3)/SQRT(1-ImpliedCorrelation),TRUE))</f>
        <v>-</v>
      </c>
      <c r="DA38" s="366" t="str">
        <f>IF($AB38&gt;CDS.Tenor,"-",_xlfn.NORM.S.DIST(($CE38-SQRT(ImpliedCorrelation)*DA$3)/SQRT(1-ImpliedCorrelation),TRUE))</f>
        <v>-</v>
      </c>
      <c r="DB38" s="366" t="str">
        <f>IF($AB38&gt;CDS.Tenor,"-",_xlfn.NORM.S.DIST(($CE38-SQRT(ImpliedCorrelation)*DB$3)/SQRT(1-ImpliedCorrelation),TRUE))</f>
        <v>-</v>
      </c>
      <c r="DC38" s="366"/>
      <c r="DD38" s="370">
        <f t="shared" si="114"/>
        <v>8.5</v>
      </c>
      <c r="DE38" s="366" t="str">
        <f>IF($AB38&gt;CDS.Tenor,"-",1-CH38)</f>
        <v>-</v>
      </c>
      <c r="DF38" s="366" t="str">
        <f>IF($AB38&gt;CDS.Tenor,"-",1-CI38)</f>
        <v>-</v>
      </c>
      <c r="DG38" s="366" t="str">
        <f>IF($AB38&gt;CDS.Tenor,"-",1-CJ38)</f>
        <v>-</v>
      </c>
      <c r="DH38" s="366" t="str">
        <f>IF($AB38&gt;CDS.Tenor,"-",1-CK38)</f>
        <v>-</v>
      </c>
      <c r="DI38" s="366" t="str">
        <f>IF($AB38&gt;CDS.Tenor,"-",1-CL38)</f>
        <v>-</v>
      </c>
      <c r="DJ38" s="366" t="str">
        <f>IF($AB38&gt;CDS.Tenor,"-",1-CM38)</f>
        <v>-</v>
      </c>
      <c r="DK38" s="366" t="str">
        <f>IF($AB38&gt;CDS.Tenor,"-",1-CN38)</f>
        <v>-</v>
      </c>
      <c r="DL38" s="366" t="str">
        <f>IF($AB38&gt;CDS.Tenor,"-",1-CO38)</f>
        <v>-</v>
      </c>
      <c r="DM38" s="366" t="str">
        <f>IF($AB38&gt;CDS.Tenor,"-",1-CP38)</f>
        <v>-</v>
      </c>
      <c r="DN38" s="366" t="str">
        <f>IF($AB38&gt;CDS.Tenor,"-",1-CQ38)</f>
        <v>-</v>
      </c>
      <c r="DO38" s="366" t="str">
        <f>IF($AB38&gt;CDS.Tenor,"-",1-CR38)</f>
        <v>-</v>
      </c>
      <c r="DP38" s="366" t="str">
        <f>IF($AB38&gt;CDS.Tenor,"-",1-CS38)</f>
        <v>-</v>
      </c>
      <c r="DQ38" s="366" t="str">
        <f>IF($AB38&gt;CDS.Tenor,"-",1-CT38)</f>
        <v>-</v>
      </c>
      <c r="DR38" s="366" t="str">
        <f>IF($AB38&gt;CDS.Tenor,"-",1-CU38)</f>
        <v>-</v>
      </c>
      <c r="DS38" s="366" t="str">
        <f>IF($AB38&gt;CDS.Tenor,"-",1-CV38)</f>
        <v>-</v>
      </c>
      <c r="DT38" s="366" t="str">
        <f>IF($AB38&gt;CDS.Tenor,"-",1-CW38)</f>
        <v>-</v>
      </c>
      <c r="DU38" s="366" t="str">
        <f>IF($AB38&gt;CDS.Tenor,"-",1-CX38)</f>
        <v>-</v>
      </c>
      <c r="DV38" s="366" t="str">
        <f>IF($AB38&gt;CDS.Tenor,"-",1-CY38)</f>
        <v>-</v>
      </c>
      <c r="DW38" s="366" t="str">
        <f>IF($AB38&gt;CDS.Tenor,"-",1-CZ38)</f>
        <v>-</v>
      </c>
      <c r="DX38" s="366" t="str">
        <f>IF($AB38&gt;CDS.Tenor,"-",1-DA38)</f>
        <v>-</v>
      </c>
      <c r="DY38" s="362" t="str">
        <f>IF($AB38&gt;CDS.Tenor,"-",1-DB38)</f>
        <v>-</v>
      </c>
      <c r="DZ38" s="360"/>
      <c r="EA38" s="352" t="str" cm="1">
        <f t="array" aca="1" ref="EA38" ca="1">IF($AB38&gt;CDS.Tenor,"-",flatInterpolation(CC38,INDIRECT(HazardRateTimes3),INDIRECT(HazardRateValues3)))</f>
        <v>-</v>
      </c>
      <c r="EB38" s="10" t="str">
        <f t="shared" si="115"/>
        <v>-</v>
      </c>
      <c r="EC38" s="10" t="str">
        <f t="shared" si="116"/>
        <v>-</v>
      </c>
      <c r="ED38" s="81" t="str">
        <f t="shared" si="117"/>
        <v>-</v>
      </c>
      <c r="EF38" s="370">
        <f t="shared" si="118"/>
        <v>8.5</v>
      </c>
      <c r="EG38" s="366" t="str">
        <f>IF($AB38&gt;CDS.Tenor,"-",_xlfn.NORM.S.DIST(($ED38-SQRT(ImpliedCorrelation)*EG$3)/SQRT(1-ImpliedCorrelation),TRUE))</f>
        <v>-</v>
      </c>
      <c r="EH38" s="366" t="str">
        <f>IF($AB38&gt;CDS.Tenor,"-",_xlfn.NORM.S.DIST(($ED38-SQRT(ImpliedCorrelation)*EH$3)/SQRT(1-ImpliedCorrelation),TRUE))</f>
        <v>-</v>
      </c>
      <c r="EI38" s="366" t="str">
        <f>IF($AB38&gt;CDS.Tenor,"-",_xlfn.NORM.S.DIST(($ED38-SQRT(ImpliedCorrelation)*EI$3)/SQRT(1-ImpliedCorrelation),TRUE))</f>
        <v>-</v>
      </c>
      <c r="EJ38" s="366" t="str">
        <f>IF($AB38&gt;CDS.Tenor,"-",_xlfn.NORM.S.DIST(($ED38-SQRT(ImpliedCorrelation)*EJ$3)/SQRT(1-ImpliedCorrelation),TRUE))</f>
        <v>-</v>
      </c>
      <c r="EK38" s="366" t="str">
        <f>IF($AB38&gt;CDS.Tenor,"-",_xlfn.NORM.S.DIST(($ED38-SQRT(ImpliedCorrelation)*EK$3)/SQRT(1-ImpliedCorrelation),TRUE))</f>
        <v>-</v>
      </c>
      <c r="EL38" s="366" t="str">
        <f>IF($AB38&gt;CDS.Tenor,"-",_xlfn.NORM.S.DIST(($ED38-SQRT(ImpliedCorrelation)*EL$3)/SQRT(1-ImpliedCorrelation),TRUE))</f>
        <v>-</v>
      </c>
      <c r="EM38" s="366" t="str">
        <f>IF($AB38&gt;CDS.Tenor,"-",_xlfn.NORM.S.DIST(($ED38-SQRT(ImpliedCorrelation)*EM$3)/SQRT(1-ImpliedCorrelation),TRUE))</f>
        <v>-</v>
      </c>
      <c r="EN38" s="366" t="str">
        <f>IF($AB38&gt;CDS.Tenor,"-",_xlfn.NORM.S.DIST(($ED38-SQRT(ImpliedCorrelation)*EN$3)/SQRT(1-ImpliedCorrelation),TRUE))</f>
        <v>-</v>
      </c>
      <c r="EO38" s="366" t="str">
        <f>IF($AB38&gt;CDS.Tenor,"-",_xlfn.NORM.S.DIST(($ED38-SQRT(ImpliedCorrelation)*EO$3)/SQRT(1-ImpliedCorrelation),TRUE))</f>
        <v>-</v>
      </c>
      <c r="EP38" s="366" t="str">
        <f>IF($AB38&gt;CDS.Tenor,"-",_xlfn.NORM.S.DIST(($ED38-SQRT(ImpliedCorrelation)*EP$3)/SQRT(1-ImpliedCorrelation),TRUE))</f>
        <v>-</v>
      </c>
      <c r="EQ38" s="366" t="str">
        <f>IF($AB38&gt;CDS.Tenor,"-",_xlfn.NORM.S.DIST(($ED38-SQRT(ImpliedCorrelation)*EQ$3)/SQRT(1-ImpliedCorrelation),TRUE))</f>
        <v>-</v>
      </c>
      <c r="ER38" s="366" t="str">
        <f>IF($AB38&gt;CDS.Tenor,"-",_xlfn.NORM.S.DIST(($ED38-SQRT(ImpliedCorrelation)*ER$3)/SQRT(1-ImpliedCorrelation),TRUE))</f>
        <v>-</v>
      </c>
      <c r="ES38" s="366" t="str">
        <f>IF($AB38&gt;CDS.Tenor,"-",_xlfn.NORM.S.DIST(($ED38-SQRT(ImpliedCorrelation)*ES$3)/SQRT(1-ImpliedCorrelation),TRUE))</f>
        <v>-</v>
      </c>
      <c r="ET38" s="366" t="str">
        <f>IF($AB38&gt;CDS.Tenor,"-",_xlfn.NORM.S.DIST(($ED38-SQRT(ImpliedCorrelation)*ET$3)/SQRT(1-ImpliedCorrelation),TRUE))</f>
        <v>-</v>
      </c>
      <c r="EU38" s="366" t="str">
        <f>IF($AB38&gt;CDS.Tenor,"-",_xlfn.NORM.S.DIST(($ED38-SQRT(ImpliedCorrelation)*EU$3)/SQRT(1-ImpliedCorrelation),TRUE))</f>
        <v>-</v>
      </c>
      <c r="EV38" s="366" t="str">
        <f>IF($AB38&gt;CDS.Tenor,"-",_xlfn.NORM.S.DIST(($ED38-SQRT(ImpliedCorrelation)*EV$3)/SQRT(1-ImpliedCorrelation),TRUE))</f>
        <v>-</v>
      </c>
      <c r="EW38" s="366" t="str">
        <f>IF($AB38&gt;CDS.Tenor,"-",_xlfn.NORM.S.DIST(($ED38-SQRT(ImpliedCorrelation)*EW$3)/SQRT(1-ImpliedCorrelation),TRUE))</f>
        <v>-</v>
      </c>
      <c r="EX38" s="366" t="str">
        <f>IF($AB38&gt;CDS.Tenor,"-",_xlfn.NORM.S.DIST(($ED38-SQRT(ImpliedCorrelation)*EX$3)/SQRT(1-ImpliedCorrelation),TRUE))</f>
        <v>-</v>
      </c>
      <c r="EY38" s="366" t="str">
        <f>IF($AB38&gt;CDS.Tenor,"-",_xlfn.NORM.S.DIST(($ED38-SQRT(ImpliedCorrelation)*EY$3)/SQRT(1-ImpliedCorrelation),TRUE))</f>
        <v>-</v>
      </c>
      <c r="EZ38" s="366" t="str">
        <f>IF($AB38&gt;CDS.Tenor,"-",_xlfn.NORM.S.DIST(($ED38-SQRT(ImpliedCorrelation)*EZ$3)/SQRT(1-ImpliedCorrelation),TRUE))</f>
        <v>-</v>
      </c>
      <c r="FA38" s="366" t="str">
        <f>IF($AB38&gt;CDS.Tenor,"-",_xlfn.NORM.S.DIST(($ED38-SQRT(ImpliedCorrelation)*FA$3)/SQRT(1-ImpliedCorrelation),TRUE))</f>
        <v>-</v>
      </c>
      <c r="FB38" s="366"/>
      <c r="FC38" s="370">
        <f t="shared" si="119"/>
        <v>8.5</v>
      </c>
      <c r="FD38" s="366" t="str">
        <f>IF($AB38&gt;CDS.Tenor,"-",1-EG38)</f>
        <v>-</v>
      </c>
      <c r="FE38" s="366" t="str">
        <f>IF($AB38&gt;CDS.Tenor,"-",1-EH38)</f>
        <v>-</v>
      </c>
      <c r="FF38" s="366" t="str">
        <f>IF($AB38&gt;CDS.Tenor,"-",1-EI38)</f>
        <v>-</v>
      </c>
      <c r="FG38" s="366" t="str">
        <f>IF($AB38&gt;CDS.Tenor,"-",1-EJ38)</f>
        <v>-</v>
      </c>
      <c r="FH38" s="366" t="str">
        <f>IF($AB38&gt;CDS.Tenor,"-",1-EK38)</f>
        <v>-</v>
      </c>
      <c r="FI38" s="366" t="str">
        <f>IF($AB38&gt;CDS.Tenor,"-",1-EL38)</f>
        <v>-</v>
      </c>
      <c r="FJ38" s="366" t="str">
        <f>IF($AB38&gt;CDS.Tenor,"-",1-EM38)</f>
        <v>-</v>
      </c>
      <c r="FK38" s="366" t="str">
        <f>IF($AB38&gt;CDS.Tenor,"-",1-EN38)</f>
        <v>-</v>
      </c>
      <c r="FL38" s="366" t="str">
        <f>IF($AB38&gt;CDS.Tenor,"-",1-EO38)</f>
        <v>-</v>
      </c>
      <c r="FM38" s="366" t="str">
        <f>IF($AB38&gt;CDS.Tenor,"-",1-EP38)</f>
        <v>-</v>
      </c>
      <c r="FN38" s="366" t="str">
        <f>IF($AB38&gt;CDS.Tenor,"-",1-EQ38)</f>
        <v>-</v>
      </c>
      <c r="FO38" s="366" t="str">
        <f>IF($AB38&gt;CDS.Tenor,"-",1-ER38)</f>
        <v>-</v>
      </c>
      <c r="FP38" s="366" t="str">
        <f>IF($AB38&gt;CDS.Tenor,"-",1-ES38)</f>
        <v>-</v>
      </c>
      <c r="FQ38" s="366" t="str">
        <f>IF($AB38&gt;CDS.Tenor,"-",1-ET38)</f>
        <v>-</v>
      </c>
      <c r="FR38" s="366" t="str">
        <f>IF($AB38&gt;CDS.Tenor,"-",1-EU38)</f>
        <v>-</v>
      </c>
      <c r="FS38" s="366" t="str">
        <f>IF($AB38&gt;CDS.Tenor,"-",1-EV38)</f>
        <v>-</v>
      </c>
      <c r="FT38" s="366" t="str">
        <f>IF($AB38&gt;CDS.Tenor,"-",1-EW38)</f>
        <v>-</v>
      </c>
      <c r="FU38" s="366" t="str">
        <f>IF($AB38&gt;CDS.Tenor,"-",1-EX38)</f>
        <v>-</v>
      </c>
      <c r="FV38" s="366" t="str">
        <f>IF($AB38&gt;CDS.Tenor,"-",1-EY38)</f>
        <v>-</v>
      </c>
      <c r="FW38" s="366" t="str">
        <f>IF($AB38&gt;CDS.Tenor,"-",1-EZ38)</f>
        <v>-</v>
      </c>
      <c r="FX38" s="362" t="str">
        <f>IF($AB38&gt;CDS.Tenor,"-",1-FA38)</f>
        <v>-</v>
      </c>
      <c r="FZ38" s="370">
        <f t="shared" si="120"/>
        <v>8.5</v>
      </c>
      <c r="GA38" s="366" t="str">
        <f>IF($AB38&gt;CDS.Tenor,"-",BF38*DE38*FD38)</f>
        <v>-</v>
      </c>
      <c r="GB38" s="366" t="str">
        <f>IF($AB38&gt;CDS.Tenor,"-",BG38*DF38*FE38)</f>
        <v>-</v>
      </c>
      <c r="GC38" s="366" t="str">
        <f>IF($AB38&gt;CDS.Tenor,"-",BH38*DG38*FF38)</f>
        <v>-</v>
      </c>
      <c r="GD38" s="366" t="str">
        <f>IF($AB38&gt;CDS.Tenor,"-",BI38*DH38*FG38)</f>
        <v>-</v>
      </c>
      <c r="GE38" s="366" t="str">
        <f>IF($AB38&gt;CDS.Tenor,"-",BJ38*DI38*FH38)</f>
        <v>-</v>
      </c>
      <c r="GF38" s="366" t="str">
        <f>IF($AB38&gt;CDS.Tenor,"-",BK38*DJ38*FI38)</f>
        <v>-</v>
      </c>
      <c r="GG38" s="366" t="str">
        <f>IF($AB38&gt;CDS.Tenor,"-",BL38*DK38*FJ38)</f>
        <v>-</v>
      </c>
      <c r="GH38" s="366" t="str">
        <f>IF($AB38&gt;CDS.Tenor,"-",BM38*DL38*FK38)</f>
        <v>-</v>
      </c>
      <c r="GI38" s="366" t="str">
        <f>IF($AB38&gt;CDS.Tenor,"-",BN38*DM38*FL38)</f>
        <v>-</v>
      </c>
      <c r="GJ38" s="366" t="str">
        <f>IF($AB38&gt;CDS.Tenor,"-",BO38*DN38*FM38)</f>
        <v>-</v>
      </c>
      <c r="GK38" s="366" t="str">
        <f>IF($AB38&gt;CDS.Tenor,"-",BP38*DO38*FN38)</f>
        <v>-</v>
      </c>
      <c r="GL38" s="366" t="str">
        <f>IF($AB38&gt;CDS.Tenor,"-",BQ38*DP38*FO38)</f>
        <v>-</v>
      </c>
      <c r="GM38" s="366" t="str">
        <f>IF($AB38&gt;CDS.Tenor,"-",BR38*DQ38*FP38)</f>
        <v>-</v>
      </c>
      <c r="GN38" s="366" t="str">
        <f>IF($AB38&gt;CDS.Tenor,"-",BS38*DR38*FQ38)</f>
        <v>-</v>
      </c>
      <c r="GO38" s="366" t="str">
        <f>IF($AB38&gt;CDS.Tenor,"-",BT38*DS38*FR38)</f>
        <v>-</v>
      </c>
      <c r="GP38" s="366" t="str">
        <f>IF($AB38&gt;CDS.Tenor,"-",BU38*DT38*FS38)</f>
        <v>-</v>
      </c>
      <c r="GQ38" s="366" t="str">
        <f>IF($AB38&gt;CDS.Tenor,"-",BV38*DU38*FT38)</f>
        <v>-</v>
      </c>
      <c r="GR38" s="366" t="str">
        <f>IF($AB38&gt;CDS.Tenor,"-",BW38*DV38*FU38)</f>
        <v>-</v>
      </c>
      <c r="GS38" s="366" t="str">
        <f>IF($AB38&gt;CDS.Tenor,"-",BX38*DW38*FV38)</f>
        <v>-</v>
      </c>
      <c r="GT38" s="366" t="str">
        <f>IF($AB38&gt;CDS.Tenor,"-",BY38*DX38*FW38)</f>
        <v>-</v>
      </c>
      <c r="GU38" s="362" t="str">
        <f>IF($AB38&gt;CDS.Tenor,"-",BZ38*DY38*FX38)</f>
        <v>-</v>
      </c>
      <c r="GV38" s="42"/>
      <c r="GW38" s="370">
        <f t="shared" si="121"/>
        <v>8.5</v>
      </c>
      <c r="GX38" s="378" t="str">
        <f>IF($AB38&gt;CDS.Tenor,"-",SUMPRODUCT($GA38:$GU38,$GA$4:$GU$4)*dm)</f>
        <v>-</v>
      </c>
      <c r="GY38" s="381" t="str">
        <f>IF($AB38&gt;CDS.Tenor,"-",GX37-GX38)</f>
        <v>-</v>
      </c>
    </row>
    <row r="39" spans="10:207" x14ac:dyDescent="0.3">
      <c r="J39" s="156">
        <f t="shared" si="103"/>
        <v>8.75</v>
      </c>
      <c r="K39" s="28" t="str">
        <f>IF($J39&gt;CDS.Tenor,"-",CDS.PremiumSign*CDS.Notional*CDS.YearFraction*CDS.CreditSpread)</f>
        <v>-</v>
      </c>
      <c r="L39" s="10" t="str">
        <f>GX39</f>
        <v>-</v>
      </c>
      <c r="M39" s="10" t="str">
        <f>IF($J39&gt;CDS.Tenor,"-",L38-L39)</f>
        <v>-</v>
      </c>
      <c r="N39" s="94" t="str" cm="1">
        <f t="array" ref="N39">IF($J39&gt;CDS.Tenor,"-",cubicInterpolation(CurveResults.Times,CurveResults.DFs,$J39))</f>
        <v>-</v>
      </c>
      <c r="O39" s="28" t="str">
        <f>IF($J39&gt;CDS.Tenor,"-",K39*L39*N39)</f>
        <v>-</v>
      </c>
      <c r="P39" s="28" t="str">
        <f>IF($J39&gt;CDS.Tenor,"-",0.5*K39*M39*N39)</f>
        <v>-</v>
      </c>
      <c r="Q39" s="142" t="str">
        <f>IF($J39&gt;CDS.Tenor,"-",O39+P39)</f>
        <v>-</v>
      </c>
      <c r="T39" s="156">
        <f t="shared" si="104"/>
        <v>8.75</v>
      </c>
      <c r="U39" s="28" t="str">
        <f>IF($J39&gt;CDS.Tenor,"-",CDS.ProtectionSign*CDS.Notional*(1-CDS.RecoveryRate))</f>
        <v>-</v>
      </c>
      <c r="V39" s="10" t="str">
        <f>IF($J39&gt;CDS.Tenor,"-",GX39)</f>
        <v>-</v>
      </c>
      <c r="W39" s="10" t="str">
        <f>IF($J39&gt;CDS.Tenor,"-",V38-V39)</f>
        <v>-</v>
      </c>
      <c r="X39" s="94" t="str" cm="1">
        <f t="array" ref="X39">IF($T39&gt;CDS.Tenor,"-",cubicInterpolation(CurveResults.Times,CurveResults.DFs,$J39))</f>
        <v>-</v>
      </c>
      <c r="Y39" s="142" t="str">
        <f>IF($J39&gt;CDS.Tenor,"-",U39*W39*X39)</f>
        <v>-</v>
      </c>
      <c r="AB39" s="156">
        <f t="shared" si="105"/>
        <v>8.75</v>
      </c>
      <c r="AC39" s="352" t="str" cm="1">
        <f t="array" aca="1" ref="AC39" ca="1">IF($AB39&gt;CDS.Tenor,"-",flatInterpolation(AA39,INDIRECT(HazardRateTimes1),INDIRECT(HazardRateValues1)))</f>
        <v>-</v>
      </c>
      <c r="AD39" s="10" t="str">
        <f t="shared" si="106"/>
        <v>-</v>
      </c>
      <c r="AE39" s="10" t="str">
        <f t="shared" si="107"/>
        <v>-</v>
      </c>
      <c r="AF39" s="360" t="str">
        <f>IF($AB39&gt;CDS.Tenor,"-",NORMSINV(AE39))</f>
        <v>-</v>
      </c>
      <c r="AG39" s="360"/>
      <c r="AH39" s="370">
        <f t="shared" si="108"/>
        <v>8.75</v>
      </c>
      <c r="AI39" s="366" t="str">
        <f>IF($AB39&gt;CDS.Tenor,"-",_xlfn.NORM.S.DIST(($AF39-SQRT(ImpliedCorrelation)*AI$3)/SQRT(1-ImpliedCorrelation),TRUE))</f>
        <v>-</v>
      </c>
      <c r="AJ39" s="366" t="str">
        <f>IF($AB39&gt;CDS.Tenor,"-",_xlfn.NORM.S.DIST(($AF39-SQRT(ImpliedCorrelation)*AJ$3)/SQRT(1-ImpliedCorrelation),TRUE))</f>
        <v>-</v>
      </c>
      <c r="AK39" s="366" t="str">
        <f>IF($AB39&gt;CDS.Tenor,"-",_xlfn.NORM.S.DIST(($AF39-SQRT(ImpliedCorrelation)*AK$3)/SQRT(1-ImpliedCorrelation),TRUE))</f>
        <v>-</v>
      </c>
      <c r="AL39" s="366" t="str">
        <f>IF($AB39&gt;CDS.Tenor,"-",_xlfn.NORM.S.DIST(($AF39-SQRT(ImpliedCorrelation)*AL$3)/SQRT(1-ImpliedCorrelation),TRUE))</f>
        <v>-</v>
      </c>
      <c r="AM39" s="366" t="str">
        <f>IF($AB39&gt;CDS.Tenor,"-",_xlfn.NORM.S.DIST(($AF39-SQRT(ImpliedCorrelation)*AM$3)/SQRT(1-ImpliedCorrelation),TRUE))</f>
        <v>-</v>
      </c>
      <c r="AN39" s="366" t="str">
        <f>IF($AB39&gt;CDS.Tenor,"-",_xlfn.NORM.S.DIST(($AF39-SQRT(ImpliedCorrelation)*AN$3)/SQRT(1-ImpliedCorrelation),TRUE))</f>
        <v>-</v>
      </c>
      <c r="AO39" s="366" t="str">
        <f>IF($AB39&gt;CDS.Tenor,"-",_xlfn.NORM.S.DIST(($AF39-SQRT(ImpliedCorrelation)*AO$3)/SQRT(1-ImpliedCorrelation),TRUE))</f>
        <v>-</v>
      </c>
      <c r="AP39" s="366" t="str">
        <f>IF($AB39&gt;CDS.Tenor,"-",_xlfn.NORM.S.DIST(($AF39-SQRT(ImpliedCorrelation)*AP$3)/SQRT(1-ImpliedCorrelation),TRUE))</f>
        <v>-</v>
      </c>
      <c r="AQ39" s="366" t="str">
        <f>IF($AB39&gt;CDS.Tenor,"-",_xlfn.NORM.S.DIST(($AF39-SQRT(ImpliedCorrelation)*AQ$3)/SQRT(1-ImpliedCorrelation),TRUE))</f>
        <v>-</v>
      </c>
      <c r="AR39" s="366" t="str">
        <f>IF($AB39&gt;CDS.Tenor,"-",_xlfn.NORM.S.DIST(($AF39-SQRT(ImpliedCorrelation)*AR$3)/SQRT(1-ImpliedCorrelation),TRUE))</f>
        <v>-</v>
      </c>
      <c r="AS39" s="366" t="str">
        <f>IF($AB39&gt;CDS.Tenor,"-",_xlfn.NORM.S.DIST(($AF39-SQRT(ImpliedCorrelation)*AS$3)/SQRT(1-ImpliedCorrelation),TRUE))</f>
        <v>-</v>
      </c>
      <c r="AT39" s="366" t="str">
        <f>IF($AB39&gt;CDS.Tenor,"-",_xlfn.NORM.S.DIST(($AF39-SQRT(ImpliedCorrelation)*AT$3)/SQRT(1-ImpliedCorrelation),TRUE))</f>
        <v>-</v>
      </c>
      <c r="AU39" s="366" t="str">
        <f>IF($AB39&gt;CDS.Tenor,"-",_xlfn.NORM.S.DIST(($AF39-SQRT(ImpliedCorrelation)*AU$3)/SQRT(1-ImpliedCorrelation),TRUE))</f>
        <v>-</v>
      </c>
      <c r="AV39" s="366" t="str">
        <f>IF($AB39&gt;CDS.Tenor,"-",_xlfn.NORM.S.DIST(($AF39-SQRT(ImpliedCorrelation)*AV$3)/SQRT(1-ImpliedCorrelation),TRUE))</f>
        <v>-</v>
      </c>
      <c r="AW39" s="366" t="str">
        <f>IF($AB39&gt;CDS.Tenor,"-",_xlfn.NORM.S.DIST(($AF39-SQRT(ImpliedCorrelation)*AW$3)/SQRT(1-ImpliedCorrelation),TRUE))</f>
        <v>-</v>
      </c>
      <c r="AX39" s="366" t="str">
        <f>IF($AB39&gt;CDS.Tenor,"-",_xlfn.NORM.S.DIST(($AF39-SQRT(ImpliedCorrelation)*AX$3)/SQRT(1-ImpliedCorrelation),TRUE))</f>
        <v>-</v>
      </c>
      <c r="AY39" s="366" t="str">
        <f>IF($AB39&gt;CDS.Tenor,"-",_xlfn.NORM.S.DIST(($AF39-SQRT(ImpliedCorrelation)*AY$3)/SQRT(1-ImpliedCorrelation),TRUE))</f>
        <v>-</v>
      </c>
      <c r="AZ39" s="366" t="str">
        <f>IF($AB39&gt;CDS.Tenor,"-",_xlfn.NORM.S.DIST(($AF39-SQRT(ImpliedCorrelation)*AZ$3)/SQRT(1-ImpliedCorrelation),TRUE))</f>
        <v>-</v>
      </c>
      <c r="BA39" s="366" t="str">
        <f>IF($AB39&gt;CDS.Tenor,"-",_xlfn.NORM.S.DIST(($AF39-SQRT(ImpliedCorrelation)*BA$3)/SQRT(1-ImpliedCorrelation),TRUE))</f>
        <v>-</v>
      </c>
      <c r="BB39" s="366" t="str">
        <f>IF($AB39&gt;CDS.Tenor,"-",_xlfn.NORM.S.DIST(($AF39-SQRT(ImpliedCorrelation)*BB$3)/SQRT(1-ImpliedCorrelation),TRUE))</f>
        <v>-</v>
      </c>
      <c r="BC39" s="366" t="str">
        <f>IF($AB39&gt;CDS.Tenor,"-",_xlfn.NORM.S.DIST(($AF39-SQRT(ImpliedCorrelation)*BC$3)/SQRT(1-ImpliedCorrelation),TRUE))</f>
        <v>-</v>
      </c>
      <c r="BD39" s="366"/>
      <c r="BE39" s="370">
        <f t="shared" si="109"/>
        <v>8.75</v>
      </c>
      <c r="BF39" s="366" t="str">
        <f>IF($AB39&gt;CDS.Tenor,"-",1-AI39)</f>
        <v>-</v>
      </c>
      <c r="BG39" s="366" t="str">
        <f>IF($AB39&gt;CDS.Tenor,"-",1-AJ39)</f>
        <v>-</v>
      </c>
      <c r="BH39" s="366" t="str">
        <f>IF($AB39&gt;CDS.Tenor,"-",1-AK39)</f>
        <v>-</v>
      </c>
      <c r="BI39" s="366" t="str">
        <f>IF($AB39&gt;CDS.Tenor,"-",1-AL39)</f>
        <v>-</v>
      </c>
      <c r="BJ39" s="366" t="str">
        <f>IF($AB39&gt;CDS.Tenor,"-",1-AM39)</f>
        <v>-</v>
      </c>
      <c r="BK39" s="366" t="str">
        <f>IF($AB39&gt;CDS.Tenor,"-",1-AN39)</f>
        <v>-</v>
      </c>
      <c r="BL39" s="366" t="str">
        <f>IF($AB39&gt;CDS.Tenor,"-",1-AO39)</f>
        <v>-</v>
      </c>
      <c r="BM39" s="366" t="str">
        <f>IF($AB39&gt;CDS.Tenor,"-",1-AP39)</f>
        <v>-</v>
      </c>
      <c r="BN39" s="366" t="str">
        <f>IF($AB39&gt;CDS.Tenor,"-",1-AQ39)</f>
        <v>-</v>
      </c>
      <c r="BO39" s="366" t="str">
        <f>IF($AB39&gt;CDS.Tenor,"-",1-AR39)</f>
        <v>-</v>
      </c>
      <c r="BP39" s="366" t="str">
        <f>IF($AB39&gt;CDS.Tenor,"-",1-AS39)</f>
        <v>-</v>
      </c>
      <c r="BQ39" s="366" t="str">
        <f>IF($AB39&gt;CDS.Tenor,"-",1-AT39)</f>
        <v>-</v>
      </c>
      <c r="BR39" s="366" t="str">
        <f>IF($AB39&gt;CDS.Tenor,"-",1-AU39)</f>
        <v>-</v>
      </c>
      <c r="BS39" s="366" t="str">
        <f>IF($AB39&gt;CDS.Tenor,"-",1-AV39)</f>
        <v>-</v>
      </c>
      <c r="BT39" s="366" t="str">
        <f>IF($AB39&gt;CDS.Tenor,"-",1-AW39)</f>
        <v>-</v>
      </c>
      <c r="BU39" s="366" t="str">
        <f>IF($AB39&gt;CDS.Tenor,"-",1-AX39)</f>
        <v>-</v>
      </c>
      <c r="BV39" s="366" t="str">
        <f>IF($AB39&gt;CDS.Tenor,"-",1-AY39)</f>
        <v>-</v>
      </c>
      <c r="BW39" s="366" t="str">
        <f>IF($AB39&gt;CDS.Tenor,"-",1-AZ39)</f>
        <v>-</v>
      </c>
      <c r="BX39" s="366" t="str">
        <f>IF($AB39&gt;CDS.Tenor,"-",1-BA39)</f>
        <v>-</v>
      </c>
      <c r="BY39" s="366" t="str">
        <f>IF($AB39&gt;CDS.Tenor,"-",1-BB39)</f>
        <v>-</v>
      </c>
      <c r="BZ39" s="366" t="str">
        <f>IF($AB39&gt;CDS.Tenor,"-",1-BC39)</f>
        <v>-</v>
      </c>
      <c r="CA39" s="17"/>
      <c r="CB39" s="352" t="str" cm="1">
        <f t="array" aca="1" ref="CB39" ca="1">IF($AB39&gt;CDS.Tenor,"-",flatInterpolation(AB39,INDIRECT(HazardRateTimes2),INDIRECT(HazardRateValues2)))</f>
        <v>-</v>
      </c>
      <c r="CC39" s="10" t="str">
        <f t="shared" si="110"/>
        <v>-</v>
      </c>
      <c r="CD39" s="10" t="str">
        <f t="shared" si="111"/>
        <v>-</v>
      </c>
      <c r="CE39" s="81" t="str">
        <f t="shared" si="112"/>
        <v>-</v>
      </c>
      <c r="CF39" s="360"/>
      <c r="CG39" s="370">
        <f t="shared" si="113"/>
        <v>8.75</v>
      </c>
      <c r="CH39" s="366" t="str">
        <f>IF($AB39&gt;CDS.Tenor,"-",_xlfn.NORM.S.DIST(($CE39-SQRT(ImpliedCorrelation)*CH$3)/SQRT(1-ImpliedCorrelation),TRUE))</f>
        <v>-</v>
      </c>
      <c r="CI39" s="366" t="str">
        <f>IF($AB39&gt;CDS.Tenor,"-",_xlfn.NORM.S.DIST(($CE39-SQRT(ImpliedCorrelation)*CI$3)/SQRT(1-ImpliedCorrelation),TRUE))</f>
        <v>-</v>
      </c>
      <c r="CJ39" s="366" t="str">
        <f>IF($AB39&gt;CDS.Tenor,"-",_xlfn.NORM.S.DIST(($CE39-SQRT(ImpliedCorrelation)*CJ$3)/SQRT(1-ImpliedCorrelation),TRUE))</f>
        <v>-</v>
      </c>
      <c r="CK39" s="366" t="str">
        <f>IF($AB39&gt;CDS.Tenor,"-",_xlfn.NORM.S.DIST(($CE39-SQRT(ImpliedCorrelation)*CK$3)/SQRT(1-ImpliedCorrelation),TRUE))</f>
        <v>-</v>
      </c>
      <c r="CL39" s="366" t="str">
        <f>IF($AB39&gt;CDS.Tenor,"-",_xlfn.NORM.S.DIST(($CE39-SQRT(ImpliedCorrelation)*CL$3)/SQRT(1-ImpliedCorrelation),TRUE))</f>
        <v>-</v>
      </c>
      <c r="CM39" s="366" t="str">
        <f>IF($AB39&gt;CDS.Tenor,"-",_xlfn.NORM.S.DIST(($CE39-SQRT(ImpliedCorrelation)*CM$3)/SQRT(1-ImpliedCorrelation),TRUE))</f>
        <v>-</v>
      </c>
      <c r="CN39" s="366" t="str">
        <f>IF($AB39&gt;CDS.Tenor,"-",_xlfn.NORM.S.DIST(($CE39-SQRT(ImpliedCorrelation)*CN$3)/SQRT(1-ImpliedCorrelation),TRUE))</f>
        <v>-</v>
      </c>
      <c r="CO39" s="366" t="str">
        <f>IF($AB39&gt;CDS.Tenor,"-",_xlfn.NORM.S.DIST(($CE39-SQRT(ImpliedCorrelation)*CO$3)/SQRT(1-ImpliedCorrelation),TRUE))</f>
        <v>-</v>
      </c>
      <c r="CP39" s="366" t="str">
        <f>IF($AB39&gt;CDS.Tenor,"-",_xlfn.NORM.S.DIST(($CE39-SQRT(ImpliedCorrelation)*CP$3)/SQRT(1-ImpliedCorrelation),TRUE))</f>
        <v>-</v>
      </c>
      <c r="CQ39" s="366" t="str">
        <f>IF($AB39&gt;CDS.Tenor,"-",_xlfn.NORM.S.DIST(($CE39-SQRT(ImpliedCorrelation)*CQ$3)/SQRT(1-ImpliedCorrelation),TRUE))</f>
        <v>-</v>
      </c>
      <c r="CR39" s="366" t="str">
        <f>IF($AB39&gt;CDS.Tenor,"-",_xlfn.NORM.S.DIST(($CE39-SQRT(ImpliedCorrelation)*CR$3)/SQRT(1-ImpliedCorrelation),TRUE))</f>
        <v>-</v>
      </c>
      <c r="CS39" s="366" t="str">
        <f>IF($AB39&gt;CDS.Tenor,"-",_xlfn.NORM.S.DIST(($CE39-SQRT(ImpliedCorrelation)*CS$3)/SQRT(1-ImpliedCorrelation),TRUE))</f>
        <v>-</v>
      </c>
      <c r="CT39" s="366" t="str">
        <f>IF($AB39&gt;CDS.Tenor,"-",_xlfn.NORM.S.DIST(($CE39-SQRT(ImpliedCorrelation)*CT$3)/SQRT(1-ImpliedCorrelation),TRUE))</f>
        <v>-</v>
      </c>
      <c r="CU39" s="366" t="str">
        <f>IF($AB39&gt;CDS.Tenor,"-",_xlfn.NORM.S.DIST(($CE39-SQRT(ImpliedCorrelation)*CU$3)/SQRT(1-ImpliedCorrelation),TRUE))</f>
        <v>-</v>
      </c>
      <c r="CV39" s="366" t="str">
        <f>IF($AB39&gt;CDS.Tenor,"-",_xlfn.NORM.S.DIST(($CE39-SQRT(ImpliedCorrelation)*CV$3)/SQRT(1-ImpliedCorrelation),TRUE))</f>
        <v>-</v>
      </c>
      <c r="CW39" s="366" t="str">
        <f>IF($AB39&gt;CDS.Tenor,"-",_xlfn.NORM.S.DIST(($CE39-SQRT(ImpliedCorrelation)*CW$3)/SQRT(1-ImpliedCorrelation),TRUE))</f>
        <v>-</v>
      </c>
      <c r="CX39" s="366" t="str">
        <f>IF($AB39&gt;CDS.Tenor,"-",_xlfn.NORM.S.DIST(($CE39-SQRT(ImpliedCorrelation)*CX$3)/SQRT(1-ImpliedCorrelation),TRUE))</f>
        <v>-</v>
      </c>
      <c r="CY39" s="366" t="str">
        <f>IF($AB39&gt;CDS.Tenor,"-",_xlfn.NORM.S.DIST(($CE39-SQRT(ImpliedCorrelation)*CY$3)/SQRT(1-ImpliedCorrelation),TRUE))</f>
        <v>-</v>
      </c>
      <c r="CZ39" s="366" t="str">
        <f>IF($AB39&gt;CDS.Tenor,"-",_xlfn.NORM.S.DIST(($CE39-SQRT(ImpliedCorrelation)*CZ$3)/SQRT(1-ImpliedCorrelation),TRUE))</f>
        <v>-</v>
      </c>
      <c r="DA39" s="366" t="str">
        <f>IF($AB39&gt;CDS.Tenor,"-",_xlfn.NORM.S.DIST(($CE39-SQRT(ImpliedCorrelation)*DA$3)/SQRT(1-ImpliedCorrelation),TRUE))</f>
        <v>-</v>
      </c>
      <c r="DB39" s="366" t="str">
        <f>IF($AB39&gt;CDS.Tenor,"-",_xlfn.NORM.S.DIST(($CE39-SQRT(ImpliedCorrelation)*DB$3)/SQRT(1-ImpliedCorrelation),TRUE))</f>
        <v>-</v>
      </c>
      <c r="DC39" s="366"/>
      <c r="DD39" s="370">
        <f t="shared" si="114"/>
        <v>8.75</v>
      </c>
      <c r="DE39" s="366" t="str">
        <f>IF($AB39&gt;CDS.Tenor,"-",1-CH39)</f>
        <v>-</v>
      </c>
      <c r="DF39" s="366" t="str">
        <f>IF($AB39&gt;CDS.Tenor,"-",1-CI39)</f>
        <v>-</v>
      </c>
      <c r="DG39" s="366" t="str">
        <f>IF($AB39&gt;CDS.Tenor,"-",1-CJ39)</f>
        <v>-</v>
      </c>
      <c r="DH39" s="366" t="str">
        <f>IF($AB39&gt;CDS.Tenor,"-",1-CK39)</f>
        <v>-</v>
      </c>
      <c r="DI39" s="366" t="str">
        <f>IF($AB39&gt;CDS.Tenor,"-",1-CL39)</f>
        <v>-</v>
      </c>
      <c r="DJ39" s="366" t="str">
        <f>IF($AB39&gt;CDS.Tenor,"-",1-CM39)</f>
        <v>-</v>
      </c>
      <c r="DK39" s="366" t="str">
        <f>IF($AB39&gt;CDS.Tenor,"-",1-CN39)</f>
        <v>-</v>
      </c>
      <c r="DL39" s="366" t="str">
        <f>IF($AB39&gt;CDS.Tenor,"-",1-CO39)</f>
        <v>-</v>
      </c>
      <c r="DM39" s="366" t="str">
        <f>IF($AB39&gt;CDS.Tenor,"-",1-CP39)</f>
        <v>-</v>
      </c>
      <c r="DN39" s="366" t="str">
        <f>IF($AB39&gt;CDS.Tenor,"-",1-CQ39)</f>
        <v>-</v>
      </c>
      <c r="DO39" s="366" t="str">
        <f>IF($AB39&gt;CDS.Tenor,"-",1-CR39)</f>
        <v>-</v>
      </c>
      <c r="DP39" s="366" t="str">
        <f>IF($AB39&gt;CDS.Tenor,"-",1-CS39)</f>
        <v>-</v>
      </c>
      <c r="DQ39" s="366" t="str">
        <f>IF($AB39&gt;CDS.Tenor,"-",1-CT39)</f>
        <v>-</v>
      </c>
      <c r="DR39" s="366" t="str">
        <f>IF($AB39&gt;CDS.Tenor,"-",1-CU39)</f>
        <v>-</v>
      </c>
      <c r="DS39" s="366" t="str">
        <f>IF($AB39&gt;CDS.Tenor,"-",1-CV39)</f>
        <v>-</v>
      </c>
      <c r="DT39" s="366" t="str">
        <f>IF($AB39&gt;CDS.Tenor,"-",1-CW39)</f>
        <v>-</v>
      </c>
      <c r="DU39" s="366" t="str">
        <f>IF($AB39&gt;CDS.Tenor,"-",1-CX39)</f>
        <v>-</v>
      </c>
      <c r="DV39" s="366" t="str">
        <f>IF($AB39&gt;CDS.Tenor,"-",1-CY39)</f>
        <v>-</v>
      </c>
      <c r="DW39" s="366" t="str">
        <f>IF($AB39&gt;CDS.Tenor,"-",1-CZ39)</f>
        <v>-</v>
      </c>
      <c r="DX39" s="366" t="str">
        <f>IF($AB39&gt;CDS.Tenor,"-",1-DA39)</f>
        <v>-</v>
      </c>
      <c r="DY39" s="362" t="str">
        <f>IF($AB39&gt;CDS.Tenor,"-",1-DB39)</f>
        <v>-</v>
      </c>
      <c r="DZ39" s="360"/>
      <c r="EA39" s="352" t="str" cm="1">
        <f t="array" aca="1" ref="EA39" ca="1">IF($AB39&gt;CDS.Tenor,"-",flatInterpolation(CC39,INDIRECT(HazardRateTimes3),INDIRECT(HazardRateValues3)))</f>
        <v>-</v>
      </c>
      <c r="EB39" s="10" t="str">
        <f t="shared" si="115"/>
        <v>-</v>
      </c>
      <c r="EC39" s="10" t="str">
        <f t="shared" si="116"/>
        <v>-</v>
      </c>
      <c r="ED39" s="81" t="str">
        <f t="shared" si="117"/>
        <v>-</v>
      </c>
      <c r="EF39" s="370">
        <f t="shared" si="118"/>
        <v>8.75</v>
      </c>
      <c r="EG39" s="366" t="str">
        <f>IF($AB39&gt;CDS.Tenor,"-",_xlfn.NORM.S.DIST(($ED39-SQRT(ImpliedCorrelation)*EG$3)/SQRT(1-ImpliedCorrelation),TRUE))</f>
        <v>-</v>
      </c>
      <c r="EH39" s="366" t="str">
        <f>IF($AB39&gt;CDS.Tenor,"-",_xlfn.NORM.S.DIST(($ED39-SQRT(ImpliedCorrelation)*EH$3)/SQRT(1-ImpliedCorrelation),TRUE))</f>
        <v>-</v>
      </c>
      <c r="EI39" s="366" t="str">
        <f>IF($AB39&gt;CDS.Tenor,"-",_xlfn.NORM.S.DIST(($ED39-SQRT(ImpliedCorrelation)*EI$3)/SQRT(1-ImpliedCorrelation),TRUE))</f>
        <v>-</v>
      </c>
      <c r="EJ39" s="366" t="str">
        <f>IF($AB39&gt;CDS.Tenor,"-",_xlfn.NORM.S.DIST(($ED39-SQRT(ImpliedCorrelation)*EJ$3)/SQRT(1-ImpliedCorrelation),TRUE))</f>
        <v>-</v>
      </c>
      <c r="EK39" s="366" t="str">
        <f>IF($AB39&gt;CDS.Tenor,"-",_xlfn.NORM.S.DIST(($ED39-SQRT(ImpliedCorrelation)*EK$3)/SQRT(1-ImpliedCorrelation),TRUE))</f>
        <v>-</v>
      </c>
      <c r="EL39" s="366" t="str">
        <f>IF($AB39&gt;CDS.Tenor,"-",_xlfn.NORM.S.DIST(($ED39-SQRT(ImpliedCorrelation)*EL$3)/SQRT(1-ImpliedCorrelation),TRUE))</f>
        <v>-</v>
      </c>
      <c r="EM39" s="366" t="str">
        <f>IF($AB39&gt;CDS.Tenor,"-",_xlfn.NORM.S.DIST(($ED39-SQRT(ImpliedCorrelation)*EM$3)/SQRT(1-ImpliedCorrelation),TRUE))</f>
        <v>-</v>
      </c>
      <c r="EN39" s="366" t="str">
        <f>IF($AB39&gt;CDS.Tenor,"-",_xlfn.NORM.S.DIST(($ED39-SQRT(ImpliedCorrelation)*EN$3)/SQRT(1-ImpliedCorrelation),TRUE))</f>
        <v>-</v>
      </c>
      <c r="EO39" s="366" t="str">
        <f>IF($AB39&gt;CDS.Tenor,"-",_xlfn.NORM.S.DIST(($ED39-SQRT(ImpliedCorrelation)*EO$3)/SQRT(1-ImpliedCorrelation),TRUE))</f>
        <v>-</v>
      </c>
      <c r="EP39" s="366" t="str">
        <f>IF($AB39&gt;CDS.Tenor,"-",_xlfn.NORM.S.DIST(($ED39-SQRT(ImpliedCorrelation)*EP$3)/SQRT(1-ImpliedCorrelation),TRUE))</f>
        <v>-</v>
      </c>
      <c r="EQ39" s="366" t="str">
        <f>IF($AB39&gt;CDS.Tenor,"-",_xlfn.NORM.S.DIST(($ED39-SQRT(ImpliedCorrelation)*EQ$3)/SQRT(1-ImpliedCorrelation),TRUE))</f>
        <v>-</v>
      </c>
      <c r="ER39" s="366" t="str">
        <f>IF($AB39&gt;CDS.Tenor,"-",_xlfn.NORM.S.DIST(($ED39-SQRT(ImpliedCorrelation)*ER$3)/SQRT(1-ImpliedCorrelation),TRUE))</f>
        <v>-</v>
      </c>
      <c r="ES39" s="366" t="str">
        <f>IF($AB39&gt;CDS.Tenor,"-",_xlfn.NORM.S.DIST(($ED39-SQRT(ImpliedCorrelation)*ES$3)/SQRT(1-ImpliedCorrelation),TRUE))</f>
        <v>-</v>
      </c>
      <c r="ET39" s="366" t="str">
        <f>IF($AB39&gt;CDS.Tenor,"-",_xlfn.NORM.S.DIST(($ED39-SQRT(ImpliedCorrelation)*ET$3)/SQRT(1-ImpliedCorrelation),TRUE))</f>
        <v>-</v>
      </c>
      <c r="EU39" s="366" t="str">
        <f>IF($AB39&gt;CDS.Tenor,"-",_xlfn.NORM.S.DIST(($ED39-SQRT(ImpliedCorrelation)*EU$3)/SQRT(1-ImpliedCorrelation),TRUE))</f>
        <v>-</v>
      </c>
      <c r="EV39" s="366" t="str">
        <f>IF($AB39&gt;CDS.Tenor,"-",_xlfn.NORM.S.DIST(($ED39-SQRT(ImpliedCorrelation)*EV$3)/SQRT(1-ImpliedCorrelation),TRUE))</f>
        <v>-</v>
      </c>
      <c r="EW39" s="366" t="str">
        <f>IF($AB39&gt;CDS.Tenor,"-",_xlfn.NORM.S.DIST(($ED39-SQRT(ImpliedCorrelation)*EW$3)/SQRT(1-ImpliedCorrelation),TRUE))</f>
        <v>-</v>
      </c>
      <c r="EX39" s="366" t="str">
        <f>IF($AB39&gt;CDS.Tenor,"-",_xlfn.NORM.S.DIST(($ED39-SQRT(ImpliedCorrelation)*EX$3)/SQRT(1-ImpliedCorrelation),TRUE))</f>
        <v>-</v>
      </c>
      <c r="EY39" s="366" t="str">
        <f>IF($AB39&gt;CDS.Tenor,"-",_xlfn.NORM.S.DIST(($ED39-SQRT(ImpliedCorrelation)*EY$3)/SQRT(1-ImpliedCorrelation),TRUE))</f>
        <v>-</v>
      </c>
      <c r="EZ39" s="366" t="str">
        <f>IF($AB39&gt;CDS.Tenor,"-",_xlfn.NORM.S.DIST(($ED39-SQRT(ImpliedCorrelation)*EZ$3)/SQRT(1-ImpliedCorrelation),TRUE))</f>
        <v>-</v>
      </c>
      <c r="FA39" s="366" t="str">
        <f>IF($AB39&gt;CDS.Tenor,"-",_xlfn.NORM.S.DIST(($ED39-SQRT(ImpliedCorrelation)*FA$3)/SQRT(1-ImpliedCorrelation),TRUE))</f>
        <v>-</v>
      </c>
      <c r="FB39" s="366"/>
      <c r="FC39" s="370">
        <f t="shared" si="119"/>
        <v>8.75</v>
      </c>
      <c r="FD39" s="366" t="str">
        <f>IF($AB39&gt;CDS.Tenor,"-",1-EG39)</f>
        <v>-</v>
      </c>
      <c r="FE39" s="366" t="str">
        <f>IF($AB39&gt;CDS.Tenor,"-",1-EH39)</f>
        <v>-</v>
      </c>
      <c r="FF39" s="366" t="str">
        <f>IF($AB39&gt;CDS.Tenor,"-",1-EI39)</f>
        <v>-</v>
      </c>
      <c r="FG39" s="366" t="str">
        <f>IF($AB39&gt;CDS.Tenor,"-",1-EJ39)</f>
        <v>-</v>
      </c>
      <c r="FH39" s="366" t="str">
        <f>IF($AB39&gt;CDS.Tenor,"-",1-EK39)</f>
        <v>-</v>
      </c>
      <c r="FI39" s="366" t="str">
        <f>IF($AB39&gt;CDS.Tenor,"-",1-EL39)</f>
        <v>-</v>
      </c>
      <c r="FJ39" s="366" t="str">
        <f>IF($AB39&gt;CDS.Tenor,"-",1-EM39)</f>
        <v>-</v>
      </c>
      <c r="FK39" s="366" t="str">
        <f>IF($AB39&gt;CDS.Tenor,"-",1-EN39)</f>
        <v>-</v>
      </c>
      <c r="FL39" s="366" t="str">
        <f>IF($AB39&gt;CDS.Tenor,"-",1-EO39)</f>
        <v>-</v>
      </c>
      <c r="FM39" s="366" t="str">
        <f>IF($AB39&gt;CDS.Tenor,"-",1-EP39)</f>
        <v>-</v>
      </c>
      <c r="FN39" s="366" t="str">
        <f>IF($AB39&gt;CDS.Tenor,"-",1-EQ39)</f>
        <v>-</v>
      </c>
      <c r="FO39" s="366" t="str">
        <f>IF($AB39&gt;CDS.Tenor,"-",1-ER39)</f>
        <v>-</v>
      </c>
      <c r="FP39" s="366" t="str">
        <f>IF($AB39&gt;CDS.Tenor,"-",1-ES39)</f>
        <v>-</v>
      </c>
      <c r="FQ39" s="366" t="str">
        <f>IF($AB39&gt;CDS.Tenor,"-",1-ET39)</f>
        <v>-</v>
      </c>
      <c r="FR39" s="366" t="str">
        <f>IF($AB39&gt;CDS.Tenor,"-",1-EU39)</f>
        <v>-</v>
      </c>
      <c r="FS39" s="366" t="str">
        <f>IF($AB39&gt;CDS.Tenor,"-",1-EV39)</f>
        <v>-</v>
      </c>
      <c r="FT39" s="366" t="str">
        <f>IF($AB39&gt;CDS.Tenor,"-",1-EW39)</f>
        <v>-</v>
      </c>
      <c r="FU39" s="366" t="str">
        <f>IF($AB39&gt;CDS.Tenor,"-",1-EX39)</f>
        <v>-</v>
      </c>
      <c r="FV39" s="366" t="str">
        <f>IF($AB39&gt;CDS.Tenor,"-",1-EY39)</f>
        <v>-</v>
      </c>
      <c r="FW39" s="366" t="str">
        <f>IF($AB39&gt;CDS.Tenor,"-",1-EZ39)</f>
        <v>-</v>
      </c>
      <c r="FX39" s="362" t="str">
        <f>IF($AB39&gt;CDS.Tenor,"-",1-FA39)</f>
        <v>-</v>
      </c>
      <c r="FZ39" s="370">
        <f t="shared" si="120"/>
        <v>8.75</v>
      </c>
      <c r="GA39" s="366" t="str">
        <f>IF($AB39&gt;CDS.Tenor,"-",BF39*DE39*FD39)</f>
        <v>-</v>
      </c>
      <c r="GB39" s="366" t="str">
        <f>IF($AB39&gt;CDS.Tenor,"-",BG39*DF39*FE39)</f>
        <v>-</v>
      </c>
      <c r="GC39" s="366" t="str">
        <f>IF($AB39&gt;CDS.Tenor,"-",BH39*DG39*FF39)</f>
        <v>-</v>
      </c>
      <c r="GD39" s="366" t="str">
        <f>IF($AB39&gt;CDS.Tenor,"-",BI39*DH39*FG39)</f>
        <v>-</v>
      </c>
      <c r="GE39" s="366" t="str">
        <f>IF($AB39&gt;CDS.Tenor,"-",BJ39*DI39*FH39)</f>
        <v>-</v>
      </c>
      <c r="GF39" s="366" t="str">
        <f>IF($AB39&gt;CDS.Tenor,"-",BK39*DJ39*FI39)</f>
        <v>-</v>
      </c>
      <c r="GG39" s="366" t="str">
        <f>IF($AB39&gt;CDS.Tenor,"-",BL39*DK39*FJ39)</f>
        <v>-</v>
      </c>
      <c r="GH39" s="366" t="str">
        <f>IF($AB39&gt;CDS.Tenor,"-",BM39*DL39*FK39)</f>
        <v>-</v>
      </c>
      <c r="GI39" s="366" t="str">
        <f>IF($AB39&gt;CDS.Tenor,"-",BN39*DM39*FL39)</f>
        <v>-</v>
      </c>
      <c r="GJ39" s="366" t="str">
        <f>IF($AB39&gt;CDS.Tenor,"-",BO39*DN39*FM39)</f>
        <v>-</v>
      </c>
      <c r="GK39" s="366" t="str">
        <f>IF($AB39&gt;CDS.Tenor,"-",BP39*DO39*FN39)</f>
        <v>-</v>
      </c>
      <c r="GL39" s="366" t="str">
        <f>IF($AB39&gt;CDS.Tenor,"-",BQ39*DP39*FO39)</f>
        <v>-</v>
      </c>
      <c r="GM39" s="366" t="str">
        <f>IF($AB39&gt;CDS.Tenor,"-",BR39*DQ39*FP39)</f>
        <v>-</v>
      </c>
      <c r="GN39" s="366" t="str">
        <f>IF($AB39&gt;CDS.Tenor,"-",BS39*DR39*FQ39)</f>
        <v>-</v>
      </c>
      <c r="GO39" s="366" t="str">
        <f>IF($AB39&gt;CDS.Tenor,"-",BT39*DS39*FR39)</f>
        <v>-</v>
      </c>
      <c r="GP39" s="366" t="str">
        <f>IF($AB39&gt;CDS.Tenor,"-",BU39*DT39*FS39)</f>
        <v>-</v>
      </c>
      <c r="GQ39" s="366" t="str">
        <f>IF($AB39&gt;CDS.Tenor,"-",BV39*DU39*FT39)</f>
        <v>-</v>
      </c>
      <c r="GR39" s="366" t="str">
        <f>IF($AB39&gt;CDS.Tenor,"-",BW39*DV39*FU39)</f>
        <v>-</v>
      </c>
      <c r="GS39" s="366" t="str">
        <f>IF($AB39&gt;CDS.Tenor,"-",BX39*DW39*FV39)</f>
        <v>-</v>
      </c>
      <c r="GT39" s="366" t="str">
        <f>IF($AB39&gt;CDS.Tenor,"-",BY39*DX39*FW39)</f>
        <v>-</v>
      </c>
      <c r="GU39" s="362" t="str">
        <f>IF($AB39&gt;CDS.Tenor,"-",BZ39*DY39*FX39)</f>
        <v>-</v>
      </c>
      <c r="GV39" s="42"/>
      <c r="GW39" s="370">
        <f t="shared" si="121"/>
        <v>8.75</v>
      </c>
      <c r="GX39" s="378" t="str">
        <f>IF($AB39&gt;CDS.Tenor,"-",SUMPRODUCT($GA39:$GU39,$GA$4:$GU$4)*dm)</f>
        <v>-</v>
      </c>
      <c r="GY39" s="381" t="str">
        <f>IF($AB39&gt;CDS.Tenor,"-",GX38-GX39)</f>
        <v>-</v>
      </c>
    </row>
    <row r="40" spans="10:207" x14ac:dyDescent="0.3">
      <c r="J40" s="156">
        <f t="shared" si="103"/>
        <v>9</v>
      </c>
      <c r="K40" s="28" t="str">
        <f>IF($J40&gt;CDS.Tenor,"-",CDS.PremiumSign*CDS.Notional*CDS.YearFraction*CDS.CreditSpread)</f>
        <v>-</v>
      </c>
      <c r="L40" s="10" t="str">
        <f>GX40</f>
        <v>-</v>
      </c>
      <c r="M40" s="10" t="str">
        <f>IF($J40&gt;CDS.Tenor,"-",L39-L40)</f>
        <v>-</v>
      </c>
      <c r="N40" s="94" t="str" cm="1">
        <f t="array" ref="N40">IF($J40&gt;CDS.Tenor,"-",cubicInterpolation(CurveResults.Times,CurveResults.DFs,$J40))</f>
        <v>-</v>
      </c>
      <c r="O40" s="28" t="str">
        <f>IF($J40&gt;CDS.Tenor,"-",K40*L40*N40)</f>
        <v>-</v>
      </c>
      <c r="P40" s="28" t="str">
        <f>IF($J40&gt;CDS.Tenor,"-",0.5*K40*M40*N40)</f>
        <v>-</v>
      </c>
      <c r="Q40" s="142" t="str">
        <f>IF($J40&gt;CDS.Tenor,"-",O40+P40)</f>
        <v>-</v>
      </c>
      <c r="T40" s="156">
        <f t="shared" si="104"/>
        <v>9</v>
      </c>
      <c r="U40" s="28" t="str">
        <f>IF($J40&gt;CDS.Tenor,"-",CDS.ProtectionSign*CDS.Notional*(1-CDS.RecoveryRate))</f>
        <v>-</v>
      </c>
      <c r="V40" s="10" t="str">
        <f>IF($J40&gt;CDS.Tenor,"-",GX40)</f>
        <v>-</v>
      </c>
      <c r="W40" s="10" t="str">
        <f>IF($J40&gt;CDS.Tenor,"-",V39-V40)</f>
        <v>-</v>
      </c>
      <c r="X40" s="94" t="str" cm="1">
        <f t="array" ref="X40">IF($T40&gt;CDS.Tenor,"-",cubicInterpolation(CurveResults.Times,CurveResults.DFs,$J40))</f>
        <v>-</v>
      </c>
      <c r="Y40" s="142" t="str">
        <f>IF($J40&gt;CDS.Tenor,"-",U40*W40*X40)</f>
        <v>-</v>
      </c>
      <c r="AB40" s="156">
        <f t="shared" si="105"/>
        <v>9</v>
      </c>
      <c r="AC40" s="352" t="str" cm="1">
        <f t="array" aca="1" ref="AC40" ca="1">IF($AB40&gt;CDS.Tenor,"-",flatInterpolation(AA40,INDIRECT(HazardRateTimes1),INDIRECT(HazardRateValues1)))</f>
        <v>-</v>
      </c>
      <c r="AD40" s="10" t="str">
        <f t="shared" si="106"/>
        <v>-</v>
      </c>
      <c r="AE40" s="10" t="str">
        <f t="shared" si="107"/>
        <v>-</v>
      </c>
      <c r="AF40" s="360" t="str">
        <f>IF($AB40&gt;CDS.Tenor,"-",NORMSINV(AE40))</f>
        <v>-</v>
      </c>
      <c r="AG40" s="360"/>
      <c r="AH40" s="370">
        <f t="shared" si="108"/>
        <v>9</v>
      </c>
      <c r="AI40" s="366" t="str">
        <f>IF($AB40&gt;CDS.Tenor,"-",_xlfn.NORM.S.DIST(($AF40-SQRT(ImpliedCorrelation)*AI$3)/SQRT(1-ImpliedCorrelation),TRUE))</f>
        <v>-</v>
      </c>
      <c r="AJ40" s="366" t="str">
        <f>IF($AB40&gt;CDS.Tenor,"-",_xlfn.NORM.S.DIST(($AF40-SQRT(ImpliedCorrelation)*AJ$3)/SQRT(1-ImpliedCorrelation),TRUE))</f>
        <v>-</v>
      </c>
      <c r="AK40" s="366" t="str">
        <f>IF($AB40&gt;CDS.Tenor,"-",_xlfn.NORM.S.DIST(($AF40-SQRT(ImpliedCorrelation)*AK$3)/SQRT(1-ImpliedCorrelation),TRUE))</f>
        <v>-</v>
      </c>
      <c r="AL40" s="366" t="str">
        <f>IF($AB40&gt;CDS.Tenor,"-",_xlfn.NORM.S.DIST(($AF40-SQRT(ImpliedCorrelation)*AL$3)/SQRT(1-ImpliedCorrelation),TRUE))</f>
        <v>-</v>
      </c>
      <c r="AM40" s="366" t="str">
        <f>IF($AB40&gt;CDS.Tenor,"-",_xlfn.NORM.S.DIST(($AF40-SQRT(ImpliedCorrelation)*AM$3)/SQRT(1-ImpliedCorrelation),TRUE))</f>
        <v>-</v>
      </c>
      <c r="AN40" s="366" t="str">
        <f>IF($AB40&gt;CDS.Tenor,"-",_xlfn.NORM.S.DIST(($AF40-SQRT(ImpliedCorrelation)*AN$3)/SQRT(1-ImpliedCorrelation),TRUE))</f>
        <v>-</v>
      </c>
      <c r="AO40" s="366" t="str">
        <f>IF($AB40&gt;CDS.Tenor,"-",_xlfn.NORM.S.DIST(($AF40-SQRT(ImpliedCorrelation)*AO$3)/SQRT(1-ImpliedCorrelation),TRUE))</f>
        <v>-</v>
      </c>
      <c r="AP40" s="366" t="str">
        <f>IF($AB40&gt;CDS.Tenor,"-",_xlfn.NORM.S.DIST(($AF40-SQRT(ImpliedCorrelation)*AP$3)/SQRT(1-ImpliedCorrelation),TRUE))</f>
        <v>-</v>
      </c>
      <c r="AQ40" s="366" t="str">
        <f>IF($AB40&gt;CDS.Tenor,"-",_xlfn.NORM.S.DIST(($AF40-SQRT(ImpliedCorrelation)*AQ$3)/SQRT(1-ImpliedCorrelation),TRUE))</f>
        <v>-</v>
      </c>
      <c r="AR40" s="366" t="str">
        <f>IF($AB40&gt;CDS.Tenor,"-",_xlfn.NORM.S.DIST(($AF40-SQRT(ImpliedCorrelation)*AR$3)/SQRT(1-ImpliedCorrelation),TRUE))</f>
        <v>-</v>
      </c>
      <c r="AS40" s="366" t="str">
        <f>IF($AB40&gt;CDS.Tenor,"-",_xlfn.NORM.S.DIST(($AF40-SQRT(ImpliedCorrelation)*AS$3)/SQRT(1-ImpliedCorrelation),TRUE))</f>
        <v>-</v>
      </c>
      <c r="AT40" s="366" t="str">
        <f>IF($AB40&gt;CDS.Tenor,"-",_xlfn.NORM.S.DIST(($AF40-SQRT(ImpliedCorrelation)*AT$3)/SQRT(1-ImpliedCorrelation),TRUE))</f>
        <v>-</v>
      </c>
      <c r="AU40" s="366" t="str">
        <f>IF($AB40&gt;CDS.Tenor,"-",_xlfn.NORM.S.DIST(($AF40-SQRT(ImpliedCorrelation)*AU$3)/SQRT(1-ImpliedCorrelation),TRUE))</f>
        <v>-</v>
      </c>
      <c r="AV40" s="366" t="str">
        <f>IF($AB40&gt;CDS.Tenor,"-",_xlfn.NORM.S.DIST(($AF40-SQRT(ImpliedCorrelation)*AV$3)/SQRT(1-ImpliedCorrelation),TRUE))</f>
        <v>-</v>
      </c>
      <c r="AW40" s="366" t="str">
        <f>IF($AB40&gt;CDS.Tenor,"-",_xlfn.NORM.S.DIST(($AF40-SQRT(ImpliedCorrelation)*AW$3)/SQRT(1-ImpliedCorrelation),TRUE))</f>
        <v>-</v>
      </c>
      <c r="AX40" s="366" t="str">
        <f>IF($AB40&gt;CDS.Tenor,"-",_xlfn.NORM.S.DIST(($AF40-SQRT(ImpliedCorrelation)*AX$3)/SQRT(1-ImpliedCorrelation),TRUE))</f>
        <v>-</v>
      </c>
      <c r="AY40" s="366" t="str">
        <f>IF($AB40&gt;CDS.Tenor,"-",_xlfn.NORM.S.DIST(($AF40-SQRT(ImpliedCorrelation)*AY$3)/SQRT(1-ImpliedCorrelation),TRUE))</f>
        <v>-</v>
      </c>
      <c r="AZ40" s="366" t="str">
        <f>IF($AB40&gt;CDS.Tenor,"-",_xlfn.NORM.S.DIST(($AF40-SQRT(ImpliedCorrelation)*AZ$3)/SQRT(1-ImpliedCorrelation),TRUE))</f>
        <v>-</v>
      </c>
      <c r="BA40" s="366" t="str">
        <f>IF($AB40&gt;CDS.Tenor,"-",_xlfn.NORM.S.DIST(($AF40-SQRT(ImpliedCorrelation)*BA$3)/SQRT(1-ImpliedCorrelation),TRUE))</f>
        <v>-</v>
      </c>
      <c r="BB40" s="366" t="str">
        <f>IF($AB40&gt;CDS.Tenor,"-",_xlfn.NORM.S.DIST(($AF40-SQRT(ImpliedCorrelation)*BB$3)/SQRT(1-ImpliedCorrelation),TRUE))</f>
        <v>-</v>
      </c>
      <c r="BC40" s="366" t="str">
        <f>IF($AB40&gt;CDS.Tenor,"-",_xlfn.NORM.S.DIST(($AF40-SQRT(ImpliedCorrelation)*BC$3)/SQRT(1-ImpliedCorrelation),TRUE))</f>
        <v>-</v>
      </c>
      <c r="BD40" s="366"/>
      <c r="BE40" s="370">
        <f t="shared" si="109"/>
        <v>9</v>
      </c>
      <c r="BF40" s="366" t="str">
        <f>IF($AB40&gt;CDS.Tenor,"-",1-AI40)</f>
        <v>-</v>
      </c>
      <c r="BG40" s="366" t="str">
        <f>IF($AB40&gt;CDS.Tenor,"-",1-AJ40)</f>
        <v>-</v>
      </c>
      <c r="BH40" s="366" t="str">
        <f>IF($AB40&gt;CDS.Tenor,"-",1-AK40)</f>
        <v>-</v>
      </c>
      <c r="BI40" s="366" t="str">
        <f>IF($AB40&gt;CDS.Tenor,"-",1-AL40)</f>
        <v>-</v>
      </c>
      <c r="BJ40" s="366" t="str">
        <f>IF($AB40&gt;CDS.Tenor,"-",1-AM40)</f>
        <v>-</v>
      </c>
      <c r="BK40" s="366" t="str">
        <f>IF($AB40&gt;CDS.Tenor,"-",1-AN40)</f>
        <v>-</v>
      </c>
      <c r="BL40" s="366" t="str">
        <f>IF($AB40&gt;CDS.Tenor,"-",1-AO40)</f>
        <v>-</v>
      </c>
      <c r="BM40" s="366" t="str">
        <f>IF($AB40&gt;CDS.Tenor,"-",1-AP40)</f>
        <v>-</v>
      </c>
      <c r="BN40" s="366" t="str">
        <f>IF($AB40&gt;CDS.Tenor,"-",1-AQ40)</f>
        <v>-</v>
      </c>
      <c r="BO40" s="366" t="str">
        <f>IF($AB40&gt;CDS.Tenor,"-",1-AR40)</f>
        <v>-</v>
      </c>
      <c r="BP40" s="366" t="str">
        <f>IF($AB40&gt;CDS.Tenor,"-",1-AS40)</f>
        <v>-</v>
      </c>
      <c r="BQ40" s="366" t="str">
        <f>IF($AB40&gt;CDS.Tenor,"-",1-AT40)</f>
        <v>-</v>
      </c>
      <c r="BR40" s="366" t="str">
        <f>IF($AB40&gt;CDS.Tenor,"-",1-AU40)</f>
        <v>-</v>
      </c>
      <c r="BS40" s="366" t="str">
        <f>IF($AB40&gt;CDS.Tenor,"-",1-AV40)</f>
        <v>-</v>
      </c>
      <c r="BT40" s="366" t="str">
        <f>IF($AB40&gt;CDS.Tenor,"-",1-AW40)</f>
        <v>-</v>
      </c>
      <c r="BU40" s="366" t="str">
        <f>IF($AB40&gt;CDS.Tenor,"-",1-AX40)</f>
        <v>-</v>
      </c>
      <c r="BV40" s="366" t="str">
        <f>IF($AB40&gt;CDS.Tenor,"-",1-AY40)</f>
        <v>-</v>
      </c>
      <c r="BW40" s="366" t="str">
        <f>IF($AB40&gt;CDS.Tenor,"-",1-AZ40)</f>
        <v>-</v>
      </c>
      <c r="BX40" s="366" t="str">
        <f>IF($AB40&gt;CDS.Tenor,"-",1-BA40)</f>
        <v>-</v>
      </c>
      <c r="BY40" s="366" t="str">
        <f>IF($AB40&gt;CDS.Tenor,"-",1-BB40)</f>
        <v>-</v>
      </c>
      <c r="BZ40" s="366" t="str">
        <f>IF($AB40&gt;CDS.Tenor,"-",1-BC40)</f>
        <v>-</v>
      </c>
      <c r="CA40" s="17"/>
      <c r="CB40" s="352" t="str" cm="1">
        <f t="array" aca="1" ref="CB40" ca="1">IF($AB40&gt;CDS.Tenor,"-",flatInterpolation(AB40,INDIRECT(HazardRateTimes2),INDIRECT(HazardRateValues2)))</f>
        <v>-</v>
      </c>
      <c r="CC40" s="10" t="str">
        <f t="shared" si="110"/>
        <v>-</v>
      </c>
      <c r="CD40" s="10" t="str">
        <f t="shared" si="111"/>
        <v>-</v>
      </c>
      <c r="CE40" s="81" t="str">
        <f t="shared" si="112"/>
        <v>-</v>
      </c>
      <c r="CF40" s="360"/>
      <c r="CG40" s="370">
        <f t="shared" si="113"/>
        <v>9</v>
      </c>
      <c r="CH40" s="366" t="str">
        <f>IF($AB40&gt;CDS.Tenor,"-",_xlfn.NORM.S.DIST(($CE40-SQRT(ImpliedCorrelation)*CH$3)/SQRT(1-ImpliedCorrelation),TRUE))</f>
        <v>-</v>
      </c>
      <c r="CI40" s="366" t="str">
        <f>IF($AB40&gt;CDS.Tenor,"-",_xlfn.NORM.S.DIST(($CE40-SQRT(ImpliedCorrelation)*CI$3)/SQRT(1-ImpliedCorrelation),TRUE))</f>
        <v>-</v>
      </c>
      <c r="CJ40" s="366" t="str">
        <f>IF($AB40&gt;CDS.Tenor,"-",_xlfn.NORM.S.DIST(($CE40-SQRT(ImpliedCorrelation)*CJ$3)/SQRT(1-ImpliedCorrelation),TRUE))</f>
        <v>-</v>
      </c>
      <c r="CK40" s="366" t="str">
        <f>IF($AB40&gt;CDS.Tenor,"-",_xlfn.NORM.S.DIST(($CE40-SQRT(ImpliedCorrelation)*CK$3)/SQRT(1-ImpliedCorrelation),TRUE))</f>
        <v>-</v>
      </c>
      <c r="CL40" s="366" t="str">
        <f>IF($AB40&gt;CDS.Tenor,"-",_xlfn.NORM.S.DIST(($CE40-SQRT(ImpliedCorrelation)*CL$3)/SQRT(1-ImpliedCorrelation),TRUE))</f>
        <v>-</v>
      </c>
      <c r="CM40" s="366" t="str">
        <f>IF($AB40&gt;CDS.Tenor,"-",_xlfn.NORM.S.DIST(($CE40-SQRT(ImpliedCorrelation)*CM$3)/SQRT(1-ImpliedCorrelation),TRUE))</f>
        <v>-</v>
      </c>
      <c r="CN40" s="366" t="str">
        <f>IF($AB40&gt;CDS.Tenor,"-",_xlfn.NORM.S.DIST(($CE40-SQRT(ImpliedCorrelation)*CN$3)/SQRT(1-ImpliedCorrelation),TRUE))</f>
        <v>-</v>
      </c>
      <c r="CO40" s="366" t="str">
        <f>IF($AB40&gt;CDS.Tenor,"-",_xlfn.NORM.S.DIST(($CE40-SQRT(ImpliedCorrelation)*CO$3)/SQRT(1-ImpliedCorrelation),TRUE))</f>
        <v>-</v>
      </c>
      <c r="CP40" s="366" t="str">
        <f>IF($AB40&gt;CDS.Tenor,"-",_xlfn.NORM.S.DIST(($CE40-SQRT(ImpliedCorrelation)*CP$3)/SQRT(1-ImpliedCorrelation),TRUE))</f>
        <v>-</v>
      </c>
      <c r="CQ40" s="366" t="str">
        <f>IF($AB40&gt;CDS.Tenor,"-",_xlfn.NORM.S.DIST(($CE40-SQRT(ImpliedCorrelation)*CQ$3)/SQRT(1-ImpliedCorrelation),TRUE))</f>
        <v>-</v>
      </c>
      <c r="CR40" s="366" t="str">
        <f>IF($AB40&gt;CDS.Tenor,"-",_xlfn.NORM.S.DIST(($CE40-SQRT(ImpliedCorrelation)*CR$3)/SQRT(1-ImpliedCorrelation),TRUE))</f>
        <v>-</v>
      </c>
      <c r="CS40" s="366" t="str">
        <f>IF($AB40&gt;CDS.Tenor,"-",_xlfn.NORM.S.DIST(($CE40-SQRT(ImpliedCorrelation)*CS$3)/SQRT(1-ImpliedCorrelation),TRUE))</f>
        <v>-</v>
      </c>
      <c r="CT40" s="366" t="str">
        <f>IF($AB40&gt;CDS.Tenor,"-",_xlfn.NORM.S.DIST(($CE40-SQRT(ImpliedCorrelation)*CT$3)/SQRT(1-ImpliedCorrelation),TRUE))</f>
        <v>-</v>
      </c>
      <c r="CU40" s="366" t="str">
        <f>IF($AB40&gt;CDS.Tenor,"-",_xlfn.NORM.S.DIST(($CE40-SQRT(ImpliedCorrelation)*CU$3)/SQRT(1-ImpliedCorrelation),TRUE))</f>
        <v>-</v>
      </c>
      <c r="CV40" s="366" t="str">
        <f>IF($AB40&gt;CDS.Tenor,"-",_xlfn.NORM.S.DIST(($CE40-SQRT(ImpliedCorrelation)*CV$3)/SQRT(1-ImpliedCorrelation),TRUE))</f>
        <v>-</v>
      </c>
      <c r="CW40" s="366" t="str">
        <f>IF($AB40&gt;CDS.Tenor,"-",_xlfn.NORM.S.DIST(($CE40-SQRT(ImpliedCorrelation)*CW$3)/SQRT(1-ImpliedCorrelation),TRUE))</f>
        <v>-</v>
      </c>
      <c r="CX40" s="366" t="str">
        <f>IF($AB40&gt;CDS.Tenor,"-",_xlfn.NORM.S.DIST(($CE40-SQRT(ImpliedCorrelation)*CX$3)/SQRT(1-ImpliedCorrelation),TRUE))</f>
        <v>-</v>
      </c>
      <c r="CY40" s="366" t="str">
        <f>IF($AB40&gt;CDS.Tenor,"-",_xlfn.NORM.S.DIST(($CE40-SQRT(ImpliedCorrelation)*CY$3)/SQRT(1-ImpliedCorrelation),TRUE))</f>
        <v>-</v>
      </c>
      <c r="CZ40" s="366" t="str">
        <f>IF($AB40&gt;CDS.Tenor,"-",_xlfn.NORM.S.DIST(($CE40-SQRT(ImpliedCorrelation)*CZ$3)/SQRT(1-ImpliedCorrelation),TRUE))</f>
        <v>-</v>
      </c>
      <c r="DA40" s="366" t="str">
        <f>IF($AB40&gt;CDS.Tenor,"-",_xlfn.NORM.S.DIST(($CE40-SQRT(ImpliedCorrelation)*DA$3)/SQRT(1-ImpliedCorrelation),TRUE))</f>
        <v>-</v>
      </c>
      <c r="DB40" s="366" t="str">
        <f>IF($AB40&gt;CDS.Tenor,"-",_xlfn.NORM.S.DIST(($CE40-SQRT(ImpliedCorrelation)*DB$3)/SQRT(1-ImpliedCorrelation),TRUE))</f>
        <v>-</v>
      </c>
      <c r="DC40" s="366"/>
      <c r="DD40" s="370">
        <f t="shared" si="114"/>
        <v>9</v>
      </c>
      <c r="DE40" s="366" t="str">
        <f>IF($AB40&gt;CDS.Tenor,"-",1-CH40)</f>
        <v>-</v>
      </c>
      <c r="DF40" s="366" t="str">
        <f>IF($AB40&gt;CDS.Tenor,"-",1-CI40)</f>
        <v>-</v>
      </c>
      <c r="DG40" s="366" t="str">
        <f>IF($AB40&gt;CDS.Tenor,"-",1-CJ40)</f>
        <v>-</v>
      </c>
      <c r="DH40" s="366" t="str">
        <f>IF($AB40&gt;CDS.Tenor,"-",1-CK40)</f>
        <v>-</v>
      </c>
      <c r="DI40" s="366" t="str">
        <f>IF($AB40&gt;CDS.Tenor,"-",1-CL40)</f>
        <v>-</v>
      </c>
      <c r="DJ40" s="366" t="str">
        <f>IF($AB40&gt;CDS.Tenor,"-",1-CM40)</f>
        <v>-</v>
      </c>
      <c r="DK40" s="366" t="str">
        <f>IF($AB40&gt;CDS.Tenor,"-",1-CN40)</f>
        <v>-</v>
      </c>
      <c r="DL40" s="366" t="str">
        <f>IF($AB40&gt;CDS.Tenor,"-",1-CO40)</f>
        <v>-</v>
      </c>
      <c r="DM40" s="366" t="str">
        <f>IF($AB40&gt;CDS.Tenor,"-",1-CP40)</f>
        <v>-</v>
      </c>
      <c r="DN40" s="366" t="str">
        <f>IF($AB40&gt;CDS.Tenor,"-",1-CQ40)</f>
        <v>-</v>
      </c>
      <c r="DO40" s="366" t="str">
        <f>IF($AB40&gt;CDS.Tenor,"-",1-CR40)</f>
        <v>-</v>
      </c>
      <c r="DP40" s="366" t="str">
        <f>IF($AB40&gt;CDS.Tenor,"-",1-CS40)</f>
        <v>-</v>
      </c>
      <c r="DQ40" s="366" t="str">
        <f>IF($AB40&gt;CDS.Tenor,"-",1-CT40)</f>
        <v>-</v>
      </c>
      <c r="DR40" s="366" t="str">
        <f>IF($AB40&gt;CDS.Tenor,"-",1-CU40)</f>
        <v>-</v>
      </c>
      <c r="DS40" s="366" t="str">
        <f>IF($AB40&gt;CDS.Tenor,"-",1-CV40)</f>
        <v>-</v>
      </c>
      <c r="DT40" s="366" t="str">
        <f>IF($AB40&gt;CDS.Tenor,"-",1-CW40)</f>
        <v>-</v>
      </c>
      <c r="DU40" s="366" t="str">
        <f>IF($AB40&gt;CDS.Tenor,"-",1-CX40)</f>
        <v>-</v>
      </c>
      <c r="DV40" s="366" t="str">
        <f>IF($AB40&gt;CDS.Tenor,"-",1-CY40)</f>
        <v>-</v>
      </c>
      <c r="DW40" s="366" t="str">
        <f>IF($AB40&gt;CDS.Tenor,"-",1-CZ40)</f>
        <v>-</v>
      </c>
      <c r="DX40" s="366" t="str">
        <f>IF($AB40&gt;CDS.Tenor,"-",1-DA40)</f>
        <v>-</v>
      </c>
      <c r="DY40" s="362" t="str">
        <f>IF($AB40&gt;CDS.Tenor,"-",1-DB40)</f>
        <v>-</v>
      </c>
      <c r="DZ40" s="360"/>
      <c r="EA40" s="352" t="str" cm="1">
        <f t="array" aca="1" ref="EA40" ca="1">IF($AB40&gt;CDS.Tenor,"-",flatInterpolation(CC40,INDIRECT(HazardRateTimes3),INDIRECT(HazardRateValues3)))</f>
        <v>-</v>
      </c>
      <c r="EB40" s="10" t="str">
        <f t="shared" si="115"/>
        <v>-</v>
      </c>
      <c r="EC40" s="10" t="str">
        <f t="shared" si="116"/>
        <v>-</v>
      </c>
      <c r="ED40" s="81" t="str">
        <f t="shared" si="117"/>
        <v>-</v>
      </c>
      <c r="EF40" s="370">
        <f t="shared" si="118"/>
        <v>9</v>
      </c>
      <c r="EG40" s="366" t="str">
        <f>IF($AB40&gt;CDS.Tenor,"-",_xlfn.NORM.S.DIST(($ED40-SQRT(ImpliedCorrelation)*EG$3)/SQRT(1-ImpliedCorrelation),TRUE))</f>
        <v>-</v>
      </c>
      <c r="EH40" s="366" t="str">
        <f>IF($AB40&gt;CDS.Tenor,"-",_xlfn.NORM.S.DIST(($ED40-SQRT(ImpliedCorrelation)*EH$3)/SQRT(1-ImpliedCorrelation),TRUE))</f>
        <v>-</v>
      </c>
      <c r="EI40" s="366" t="str">
        <f>IF($AB40&gt;CDS.Tenor,"-",_xlfn.NORM.S.DIST(($ED40-SQRT(ImpliedCorrelation)*EI$3)/SQRT(1-ImpliedCorrelation),TRUE))</f>
        <v>-</v>
      </c>
      <c r="EJ40" s="366" t="str">
        <f>IF($AB40&gt;CDS.Tenor,"-",_xlfn.NORM.S.DIST(($ED40-SQRT(ImpliedCorrelation)*EJ$3)/SQRT(1-ImpliedCorrelation),TRUE))</f>
        <v>-</v>
      </c>
      <c r="EK40" s="366" t="str">
        <f>IF($AB40&gt;CDS.Tenor,"-",_xlfn.NORM.S.DIST(($ED40-SQRT(ImpliedCorrelation)*EK$3)/SQRT(1-ImpliedCorrelation),TRUE))</f>
        <v>-</v>
      </c>
      <c r="EL40" s="366" t="str">
        <f>IF($AB40&gt;CDS.Tenor,"-",_xlfn.NORM.S.DIST(($ED40-SQRT(ImpliedCorrelation)*EL$3)/SQRT(1-ImpliedCorrelation),TRUE))</f>
        <v>-</v>
      </c>
      <c r="EM40" s="366" t="str">
        <f>IF($AB40&gt;CDS.Tenor,"-",_xlfn.NORM.S.DIST(($ED40-SQRT(ImpliedCorrelation)*EM$3)/SQRT(1-ImpliedCorrelation),TRUE))</f>
        <v>-</v>
      </c>
      <c r="EN40" s="366" t="str">
        <f>IF($AB40&gt;CDS.Tenor,"-",_xlfn.NORM.S.DIST(($ED40-SQRT(ImpliedCorrelation)*EN$3)/SQRT(1-ImpliedCorrelation),TRUE))</f>
        <v>-</v>
      </c>
      <c r="EO40" s="366" t="str">
        <f>IF($AB40&gt;CDS.Tenor,"-",_xlfn.NORM.S.DIST(($ED40-SQRT(ImpliedCorrelation)*EO$3)/SQRT(1-ImpliedCorrelation),TRUE))</f>
        <v>-</v>
      </c>
      <c r="EP40" s="366" t="str">
        <f>IF($AB40&gt;CDS.Tenor,"-",_xlfn.NORM.S.DIST(($ED40-SQRT(ImpliedCorrelation)*EP$3)/SQRT(1-ImpliedCorrelation),TRUE))</f>
        <v>-</v>
      </c>
      <c r="EQ40" s="366" t="str">
        <f>IF($AB40&gt;CDS.Tenor,"-",_xlfn.NORM.S.DIST(($ED40-SQRT(ImpliedCorrelation)*EQ$3)/SQRT(1-ImpliedCorrelation),TRUE))</f>
        <v>-</v>
      </c>
      <c r="ER40" s="366" t="str">
        <f>IF($AB40&gt;CDS.Tenor,"-",_xlfn.NORM.S.DIST(($ED40-SQRT(ImpliedCorrelation)*ER$3)/SQRT(1-ImpliedCorrelation),TRUE))</f>
        <v>-</v>
      </c>
      <c r="ES40" s="366" t="str">
        <f>IF($AB40&gt;CDS.Tenor,"-",_xlfn.NORM.S.DIST(($ED40-SQRT(ImpliedCorrelation)*ES$3)/SQRT(1-ImpliedCorrelation),TRUE))</f>
        <v>-</v>
      </c>
      <c r="ET40" s="366" t="str">
        <f>IF($AB40&gt;CDS.Tenor,"-",_xlfn.NORM.S.DIST(($ED40-SQRT(ImpliedCorrelation)*ET$3)/SQRT(1-ImpliedCorrelation),TRUE))</f>
        <v>-</v>
      </c>
      <c r="EU40" s="366" t="str">
        <f>IF($AB40&gt;CDS.Tenor,"-",_xlfn.NORM.S.DIST(($ED40-SQRT(ImpliedCorrelation)*EU$3)/SQRT(1-ImpliedCorrelation),TRUE))</f>
        <v>-</v>
      </c>
      <c r="EV40" s="366" t="str">
        <f>IF($AB40&gt;CDS.Tenor,"-",_xlfn.NORM.S.DIST(($ED40-SQRT(ImpliedCorrelation)*EV$3)/SQRT(1-ImpliedCorrelation),TRUE))</f>
        <v>-</v>
      </c>
      <c r="EW40" s="366" t="str">
        <f>IF($AB40&gt;CDS.Tenor,"-",_xlfn.NORM.S.DIST(($ED40-SQRT(ImpliedCorrelation)*EW$3)/SQRT(1-ImpliedCorrelation),TRUE))</f>
        <v>-</v>
      </c>
      <c r="EX40" s="366" t="str">
        <f>IF($AB40&gt;CDS.Tenor,"-",_xlfn.NORM.S.DIST(($ED40-SQRT(ImpliedCorrelation)*EX$3)/SQRT(1-ImpliedCorrelation),TRUE))</f>
        <v>-</v>
      </c>
      <c r="EY40" s="366" t="str">
        <f>IF($AB40&gt;CDS.Tenor,"-",_xlfn.NORM.S.DIST(($ED40-SQRT(ImpliedCorrelation)*EY$3)/SQRT(1-ImpliedCorrelation),TRUE))</f>
        <v>-</v>
      </c>
      <c r="EZ40" s="366" t="str">
        <f>IF($AB40&gt;CDS.Tenor,"-",_xlfn.NORM.S.DIST(($ED40-SQRT(ImpliedCorrelation)*EZ$3)/SQRT(1-ImpliedCorrelation),TRUE))</f>
        <v>-</v>
      </c>
      <c r="FA40" s="366" t="str">
        <f>IF($AB40&gt;CDS.Tenor,"-",_xlfn.NORM.S.DIST(($ED40-SQRT(ImpliedCorrelation)*FA$3)/SQRT(1-ImpliedCorrelation),TRUE))</f>
        <v>-</v>
      </c>
      <c r="FB40" s="366"/>
      <c r="FC40" s="370">
        <f t="shared" si="119"/>
        <v>9</v>
      </c>
      <c r="FD40" s="366" t="str">
        <f>IF($AB40&gt;CDS.Tenor,"-",1-EG40)</f>
        <v>-</v>
      </c>
      <c r="FE40" s="366" t="str">
        <f>IF($AB40&gt;CDS.Tenor,"-",1-EH40)</f>
        <v>-</v>
      </c>
      <c r="FF40" s="366" t="str">
        <f>IF($AB40&gt;CDS.Tenor,"-",1-EI40)</f>
        <v>-</v>
      </c>
      <c r="FG40" s="366" t="str">
        <f>IF($AB40&gt;CDS.Tenor,"-",1-EJ40)</f>
        <v>-</v>
      </c>
      <c r="FH40" s="366" t="str">
        <f>IF($AB40&gt;CDS.Tenor,"-",1-EK40)</f>
        <v>-</v>
      </c>
      <c r="FI40" s="366" t="str">
        <f>IF($AB40&gt;CDS.Tenor,"-",1-EL40)</f>
        <v>-</v>
      </c>
      <c r="FJ40" s="366" t="str">
        <f>IF($AB40&gt;CDS.Tenor,"-",1-EM40)</f>
        <v>-</v>
      </c>
      <c r="FK40" s="366" t="str">
        <f>IF($AB40&gt;CDS.Tenor,"-",1-EN40)</f>
        <v>-</v>
      </c>
      <c r="FL40" s="366" t="str">
        <f>IF($AB40&gt;CDS.Tenor,"-",1-EO40)</f>
        <v>-</v>
      </c>
      <c r="FM40" s="366" t="str">
        <f>IF($AB40&gt;CDS.Tenor,"-",1-EP40)</f>
        <v>-</v>
      </c>
      <c r="FN40" s="366" t="str">
        <f>IF($AB40&gt;CDS.Tenor,"-",1-EQ40)</f>
        <v>-</v>
      </c>
      <c r="FO40" s="366" t="str">
        <f>IF($AB40&gt;CDS.Tenor,"-",1-ER40)</f>
        <v>-</v>
      </c>
      <c r="FP40" s="366" t="str">
        <f>IF($AB40&gt;CDS.Tenor,"-",1-ES40)</f>
        <v>-</v>
      </c>
      <c r="FQ40" s="366" t="str">
        <f>IF($AB40&gt;CDS.Tenor,"-",1-ET40)</f>
        <v>-</v>
      </c>
      <c r="FR40" s="366" t="str">
        <f>IF($AB40&gt;CDS.Tenor,"-",1-EU40)</f>
        <v>-</v>
      </c>
      <c r="FS40" s="366" t="str">
        <f>IF($AB40&gt;CDS.Tenor,"-",1-EV40)</f>
        <v>-</v>
      </c>
      <c r="FT40" s="366" t="str">
        <f>IF($AB40&gt;CDS.Tenor,"-",1-EW40)</f>
        <v>-</v>
      </c>
      <c r="FU40" s="366" t="str">
        <f>IF($AB40&gt;CDS.Tenor,"-",1-EX40)</f>
        <v>-</v>
      </c>
      <c r="FV40" s="366" t="str">
        <f>IF($AB40&gt;CDS.Tenor,"-",1-EY40)</f>
        <v>-</v>
      </c>
      <c r="FW40" s="366" t="str">
        <f>IF($AB40&gt;CDS.Tenor,"-",1-EZ40)</f>
        <v>-</v>
      </c>
      <c r="FX40" s="362" t="str">
        <f>IF($AB40&gt;CDS.Tenor,"-",1-FA40)</f>
        <v>-</v>
      </c>
      <c r="FZ40" s="370">
        <f t="shared" si="120"/>
        <v>9</v>
      </c>
      <c r="GA40" s="366" t="str">
        <f>IF($AB40&gt;CDS.Tenor,"-",BF40*DE40*FD40)</f>
        <v>-</v>
      </c>
      <c r="GB40" s="366" t="str">
        <f>IF($AB40&gt;CDS.Tenor,"-",BG40*DF40*FE40)</f>
        <v>-</v>
      </c>
      <c r="GC40" s="366" t="str">
        <f>IF($AB40&gt;CDS.Tenor,"-",BH40*DG40*FF40)</f>
        <v>-</v>
      </c>
      <c r="GD40" s="366" t="str">
        <f>IF($AB40&gt;CDS.Tenor,"-",BI40*DH40*FG40)</f>
        <v>-</v>
      </c>
      <c r="GE40" s="366" t="str">
        <f>IF($AB40&gt;CDS.Tenor,"-",BJ40*DI40*FH40)</f>
        <v>-</v>
      </c>
      <c r="GF40" s="366" t="str">
        <f>IF($AB40&gt;CDS.Tenor,"-",BK40*DJ40*FI40)</f>
        <v>-</v>
      </c>
      <c r="GG40" s="366" t="str">
        <f>IF($AB40&gt;CDS.Tenor,"-",BL40*DK40*FJ40)</f>
        <v>-</v>
      </c>
      <c r="GH40" s="366" t="str">
        <f>IF($AB40&gt;CDS.Tenor,"-",BM40*DL40*FK40)</f>
        <v>-</v>
      </c>
      <c r="GI40" s="366" t="str">
        <f>IF($AB40&gt;CDS.Tenor,"-",BN40*DM40*FL40)</f>
        <v>-</v>
      </c>
      <c r="GJ40" s="366" t="str">
        <f>IF($AB40&gt;CDS.Tenor,"-",BO40*DN40*FM40)</f>
        <v>-</v>
      </c>
      <c r="GK40" s="366" t="str">
        <f>IF($AB40&gt;CDS.Tenor,"-",BP40*DO40*FN40)</f>
        <v>-</v>
      </c>
      <c r="GL40" s="366" t="str">
        <f>IF($AB40&gt;CDS.Tenor,"-",BQ40*DP40*FO40)</f>
        <v>-</v>
      </c>
      <c r="GM40" s="366" t="str">
        <f>IF($AB40&gt;CDS.Tenor,"-",BR40*DQ40*FP40)</f>
        <v>-</v>
      </c>
      <c r="GN40" s="366" t="str">
        <f>IF($AB40&gt;CDS.Tenor,"-",BS40*DR40*FQ40)</f>
        <v>-</v>
      </c>
      <c r="GO40" s="366" t="str">
        <f>IF($AB40&gt;CDS.Tenor,"-",BT40*DS40*FR40)</f>
        <v>-</v>
      </c>
      <c r="GP40" s="366" t="str">
        <f>IF($AB40&gt;CDS.Tenor,"-",BU40*DT40*FS40)</f>
        <v>-</v>
      </c>
      <c r="GQ40" s="366" t="str">
        <f>IF($AB40&gt;CDS.Tenor,"-",BV40*DU40*FT40)</f>
        <v>-</v>
      </c>
      <c r="GR40" s="366" t="str">
        <f>IF($AB40&gt;CDS.Tenor,"-",BW40*DV40*FU40)</f>
        <v>-</v>
      </c>
      <c r="GS40" s="366" t="str">
        <f>IF($AB40&gt;CDS.Tenor,"-",BX40*DW40*FV40)</f>
        <v>-</v>
      </c>
      <c r="GT40" s="366" t="str">
        <f>IF($AB40&gt;CDS.Tenor,"-",BY40*DX40*FW40)</f>
        <v>-</v>
      </c>
      <c r="GU40" s="362" t="str">
        <f>IF($AB40&gt;CDS.Tenor,"-",BZ40*DY40*FX40)</f>
        <v>-</v>
      </c>
      <c r="GV40" s="42"/>
      <c r="GW40" s="370">
        <f t="shared" si="121"/>
        <v>9</v>
      </c>
      <c r="GX40" s="378" t="str">
        <f>IF($AB40&gt;CDS.Tenor,"-",SUMPRODUCT($GA40:$GU40,$GA$4:$GU$4)*dm)</f>
        <v>-</v>
      </c>
      <c r="GY40" s="381" t="str">
        <f>IF($AB40&gt;CDS.Tenor,"-",GX39-GX40)</f>
        <v>-</v>
      </c>
    </row>
    <row r="41" spans="10:207" x14ac:dyDescent="0.3">
      <c r="J41" s="156">
        <f t="shared" si="103"/>
        <v>9.25</v>
      </c>
      <c r="K41" s="28" t="str">
        <f>IF($J41&gt;CDS.Tenor,"-",CDS.PremiumSign*CDS.Notional*CDS.YearFraction*CDS.CreditSpread)</f>
        <v>-</v>
      </c>
      <c r="L41" s="10" t="str">
        <f>GX41</f>
        <v>-</v>
      </c>
      <c r="M41" s="10" t="str">
        <f>IF($J41&gt;CDS.Tenor,"-",L40-L41)</f>
        <v>-</v>
      </c>
      <c r="N41" s="94" t="str" cm="1">
        <f t="array" ref="N41">IF($J41&gt;CDS.Tenor,"-",cubicInterpolation(CurveResults.Times,CurveResults.DFs,$J41))</f>
        <v>-</v>
      </c>
      <c r="O41" s="28" t="str">
        <f>IF($J41&gt;CDS.Tenor,"-",K41*L41*N41)</f>
        <v>-</v>
      </c>
      <c r="P41" s="28" t="str">
        <f>IF($J41&gt;CDS.Tenor,"-",0.5*K41*M41*N41)</f>
        <v>-</v>
      </c>
      <c r="Q41" s="142" t="str">
        <f>IF($J41&gt;CDS.Tenor,"-",O41+P41)</f>
        <v>-</v>
      </c>
      <c r="T41" s="156">
        <f t="shared" si="104"/>
        <v>9.25</v>
      </c>
      <c r="U41" s="28" t="str">
        <f>IF($J41&gt;CDS.Tenor,"-",CDS.ProtectionSign*CDS.Notional*(1-CDS.RecoveryRate))</f>
        <v>-</v>
      </c>
      <c r="V41" s="10" t="str">
        <f>IF($J41&gt;CDS.Tenor,"-",GX41)</f>
        <v>-</v>
      </c>
      <c r="W41" s="10" t="str">
        <f>IF($J41&gt;CDS.Tenor,"-",V40-V41)</f>
        <v>-</v>
      </c>
      <c r="X41" s="94" t="str" cm="1">
        <f t="array" ref="X41">IF($T41&gt;CDS.Tenor,"-",cubicInterpolation(CurveResults.Times,CurveResults.DFs,$J41))</f>
        <v>-</v>
      </c>
      <c r="Y41" s="142" t="str">
        <f>IF($J41&gt;CDS.Tenor,"-",U41*W41*X41)</f>
        <v>-</v>
      </c>
      <c r="AB41" s="156">
        <f t="shared" si="105"/>
        <v>9.25</v>
      </c>
      <c r="AC41" s="352" t="str" cm="1">
        <f t="array" aca="1" ref="AC41" ca="1">IF($AB41&gt;CDS.Tenor,"-",flatInterpolation(AA41,INDIRECT(HazardRateTimes1),INDIRECT(HazardRateValues1)))</f>
        <v>-</v>
      </c>
      <c r="AD41" s="10" t="str">
        <f t="shared" si="106"/>
        <v>-</v>
      </c>
      <c r="AE41" s="10" t="str">
        <f t="shared" si="107"/>
        <v>-</v>
      </c>
      <c r="AF41" s="360" t="str">
        <f>IF($AB41&gt;CDS.Tenor,"-",NORMSINV(AE41))</f>
        <v>-</v>
      </c>
      <c r="AG41" s="360"/>
      <c r="AH41" s="370">
        <f t="shared" si="108"/>
        <v>9.25</v>
      </c>
      <c r="AI41" s="366" t="str">
        <f>IF($AB41&gt;CDS.Tenor,"-",_xlfn.NORM.S.DIST(($AF41-SQRT(ImpliedCorrelation)*AI$3)/SQRT(1-ImpliedCorrelation),TRUE))</f>
        <v>-</v>
      </c>
      <c r="AJ41" s="366" t="str">
        <f>IF($AB41&gt;CDS.Tenor,"-",_xlfn.NORM.S.DIST(($AF41-SQRT(ImpliedCorrelation)*AJ$3)/SQRT(1-ImpliedCorrelation),TRUE))</f>
        <v>-</v>
      </c>
      <c r="AK41" s="366" t="str">
        <f>IF($AB41&gt;CDS.Tenor,"-",_xlfn.NORM.S.DIST(($AF41-SQRT(ImpliedCorrelation)*AK$3)/SQRT(1-ImpliedCorrelation),TRUE))</f>
        <v>-</v>
      </c>
      <c r="AL41" s="366" t="str">
        <f>IF($AB41&gt;CDS.Tenor,"-",_xlfn.NORM.S.DIST(($AF41-SQRT(ImpliedCorrelation)*AL$3)/SQRT(1-ImpliedCorrelation),TRUE))</f>
        <v>-</v>
      </c>
      <c r="AM41" s="366" t="str">
        <f>IF($AB41&gt;CDS.Tenor,"-",_xlfn.NORM.S.DIST(($AF41-SQRT(ImpliedCorrelation)*AM$3)/SQRT(1-ImpliedCorrelation),TRUE))</f>
        <v>-</v>
      </c>
      <c r="AN41" s="366" t="str">
        <f>IF($AB41&gt;CDS.Tenor,"-",_xlfn.NORM.S.DIST(($AF41-SQRT(ImpliedCorrelation)*AN$3)/SQRT(1-ImpliedCorrelation),TRUE))</f>
        <v>-</v>
      </c>
      <c r="AO41" s="366" t="str">
        <f>IF($AB41&gt;CDS.Tenor,"-",_xlfn.NORM.S.DIST(($AF41-SQRT(ImpliedCorrelation)*AO$3)/SQRT(1-ImpliedCorrelation),TRUE))</f>
        <v>-</v>
      </c>
      <c r="AP41" s="366" t="str">
        <f>IF($AB41&gt;CDS.Tenor,"-",_xlfn.NORM.S.DIST(($AF41-SQRT(ImpliedCorrelation)*AP$3)/SQRT(1-ImpliedCorrelation),TRUE))</f>
        <v>-</v>
      </c>
      <c r="AQ41" s="366" t="str">
        <f>IF($AB41&gt;CDS.Tenor,"-",_xlfn.NORM.S.DIST(($AF41-SQRT(ImpliedCorrelation)*AQ$3)/SQRT(1-ImpliedCorrelation),TRUE))</f>
        <v>-</v>
      </c>
      <c r="AR41" s="366" t="str">
        <f>IF($AB41&gt;CDS.Tenor,"-",_xlfn.NORM.S.DIST(($AF41-SQRT(ImpliedCorrelation)*AR$3)/SQRT(1-ImpliedCorrelation),TRUE))</f>
        <v>-</v>
      </c>
      <c r="AS41" s="366" t="str">
        <f>IF($AB41&gt;CDS.Tenor,"-",_xlfn.NORM.S.DIST(($AF41-SQRT(ImpliedCorrelation)*AS$3)/SQRT(1-ImpliedCorrelation),TRUE))</f>
        <v>-</v>
      </c>
      <c r="AT41" s="366" t="str">
        <f>IF($AB41&gt;CDS.Tenor,"-",_xlfn.NORM.S.DIST(($AF41-SQRT(ImpliedCorrelation)*AT$3)/SQRT(1-ImpliedCorrelation),TRUE))</f>
        <v>-</v>
      </c>
      <c r="AU41" s="366" t="str">
        <f>IF($AB41&gt;CDS.Tenor,"-",_xlfn.NORM.S.DIST(($AF41-SQRT(ImpliedCorrelation)*AU$3)/SQRT(1-ImpliedCorrelation),TRUE))</f>
        <v>-</v>
      </c>
      <c r="AV41" s="366" t="str">
        <f>IF($AB41&gt;CDS.Tenor,"-",_xlfn.NORM.S.DIST(($AF41-SQRT(ImpliedCorrelation)*AV$3)/SQRT(1-ImpliedCorrelation),TRUE))</f>
        <v>-</v>
      </c>
      <c r="AW41" s="366" t="str">
        <f>IF($AB41&gt;CDS.Tenor,"-",_xlfn.NORM.S.DIST(($AF41-SQRT(ImpliedCorrelation)*AW$3)/SQRT(1-ImpliedCorrelation),TRUE))</f>
        <v>-</v>
      </c>
      <c r="AX41" s="366" t="str">
        <f>IF($AB41&gt;CDS.Tenor,"-",_xlfn.NORM.S.DIST(($AF41-SQRT(ImpliedCorrelation)*AX$3)/SQRT(1-ImpliedCorrelation),TRUE))</f>
        <v>-</v>
      </c>
      <c r="AY41" s="366" t="str">
        <f>IF($AB41&gt;CDS.Tenor,"-",_xlfn.NORM.S.DIST(($AF41-SQRT(ImpliedCorrelation)*AY$3)/SQRT(1-ImpliedCorrelation),TRUE))</f>
        <v>-</v>
      </c>
      <c r="AZ41" s="366" t="str">
        <f>IF($AB41&gt;CDS.Tenor,"-",_xlfn.NORM.S.DIST(($AF41-SQRT(ImpliedCorrelation)*AZ$3)/SQRT(1-ImpliedCorrelation),TRUE))</f>
        <v>-</v>
      </c>
      <c r="BA41" s="366" t="str">
        <f>IF($AB41&gt;CDS.Tenor,"-",_xlfn.NORM.S.DIST(($AF41-SQRT(ImpliedCorrelation)*BA$3)/SQRT(1-ImpliedCorrelation),TRUE))</f>
        <v>-</v>
      </c>
      <c r="BB41" s="366" t="str">
        <f>IF($AB41&gt;CDS.Tenor,"-",_xlfn.NORM.S.DIST(($AF41-SQRT(ImpliedCorrelation)*BB$3)/SQRT(1-ImpliedCorrelation),TRUE))</f>
        <v>-</v>
      </c>
      <c r="BC41" s="366" t="str">
        <f>IF($AB41&gt;CDS.Tenor,"-",_xlfn.NORM.S.DIST(($AF41-SQRT(ImpliedCorrelation)*BC$3)/SQRT(1-ImpliedCorrelation),TRUE))</f>
        <v>-</v>
      </c>
      <c r="BD41" s="366"/>
      <c r="BE41" s="370">
        <f t="shared" si="109"/>
        <v>9.25</v>
      </c>
      <c r="BF41" s="366" t="str">
        <f>IF($AB41&gt;CDS.Tenor,"-",1-AI41)</f>
        <v>-</v>
      </c>
      <c r="BG41" s="366" t="str">
        <f>IF($AB41&gt;CDS.Tenor,"-",1-AJ41)</f>
        <v>-</v>
      </c>
      <c r="BH41" s="366" t="str">
        <f>IF($AB41&gt;CDS.Tenor,"-",1-AK41)</f>
        <v>-</v>
      </c>
      <c r="BI41" s="366" t="str">
        <f>IF($AB41&gt;CDS.Tenor,"-",1-AL41)</f>
        <v>-</v>
      </c>
      <c r="BJ41" s="366" t="str">
        <f>IF($AB41&gt;CDS.Tenor,"-",1-AM41)</f>
        <v>-</v>
      </c>
      <c r="BK41" s="366" t="str">
        <f>IF($AB41&gt;CDS.Tenor,"-",1-AN41)</f>
        <v>-</v>
      </c>
      <c r="BL41" s="366" t="str">
        <f>IF($AB41&gt;CDS.Tenor,"-",1-AO41)</f>
        <v>-</v>
      </c>
      <c r="BM41" s="366" t="str">
        <f>IF($AB41&gt;CDS.Tenor,"-",1-AP41)</f>
        <v>-</v>
      </c>
      <c r="BN41" s="366" t="str">
        <f>IF($AB41&gt;CDS.Tenor,"-",1-AQ41)</f>
        <v>-</v>
      </c>
      <c r="BO41" s="366" t="str">
        <f>IF($AB41&gt;CDS.Tenor,"-",1-AR41)</f>
        <v>-</v>
      </c>
      <c r="BP41" s="366" t="str">
        <f>IF($AB41&gt;CDS.Tenor,"-",1-AS41)</f>
        <v>-</v>
      </c>
      <c r="BQ41" s="366" t="str">
        <f>IF($AB41&gt;CDS.Tenor,"-",1-AT41)</f>
        <v>-</v>
      </c>
      <c r="BR41" s="366" t="str">
        <f>IF($AB41&gt;CDS.Tenor,"-",1-AU41)</f>
        <v>-</v>
      </c>
      <c r="BS41" s="366" t="str">
        <f>IF($AB41&gt;CDS.Tenor,"-",1-AV41)</f>
        <v>-</v>
      </c>
      <c r="BT41" s="366" t="str">
        <f>IF($AB41&gt;CDS.Tenor,"-",1-AW41)</f>
        <v>-</v>
      </c>
      <c r="BU41" s="366" t="str">
        <f>IF($AB41&gt;CDS.Tenor,"-",1-AX41)</f>
        <v>-</v>
      </c>
      <c r="BV41" s="366" t="str">
        <f>IF($AB41&gt;CDS.Tenor,"-",1-AY41)</f>
        <v>-</v>
      </c>
      <c r="BW41" s="366" t="str">
        <f>IF($AB41&gt;CDS.Tenor,"-",1-AZ41)</f>
        <v>-</v>
      </c>
      <c r="BX41" s="366" t="str">
        <f>IF($AB41&gt;CDS.Tenor,"-",1-BA41)</f>
        <v>-</v>
      </c>
      <c r="BY41" s="366" t="str">
        <f>IF($AB41&gt;CDS.Tenor,"-",1-BB41)</f>
        <v>-</v>
      </c>
      <c r="BZ41" s="366" t="str">
        <f>IF($AB41&gt;CDS.Tenor,"-",1-BC41)</f>
        <v>-</v>
      </c>
      <c r="CA41" s="17"/>
      <c r="CB41" s="352" t="str" cm="1">
        <f t="array" aca="1" ref="CB41" ca="1">IF($AB41&gt;CDS.Tenor,"-",flatInterpolation(AB41,INDIRECT(HazardRateTimes2),INDIRECT(HazardRateValues2)))</f>
        <v>-</v>
      </c>
      <c r="CC41" s="10" t="str">
        <f t="shared" si="110"/>
        <v>-</v>
      </c>
      <c r="CD41" s="10" t="str">
        <f t="shared" si="111"/>
        <v>-</v>
      </c>
      <c r="CE41" s="81" t="str">
        <f t="shared" si="112"/>
        <v>-</v>
      </c>
      <c r="CF41" s="360"/>
      <c r="CG41" s="370">
        <f t="shared" si="113"/>
        <v>9.25</v>
      </c>
      <c r="CH41" s="366" t="str">
        <f>IF($AB41&gt;CDS.Tenor,"-",_xlfn.NORM.S.DIST(($CE41-SQRT(ImpliedCorrelation)*CH$3)/SQRT(1-ImpliedCorrelation),TRUE))</f>
        <v>-</v>
      </c>
      <c r="CI41" s="366" t="str">
        <f>IF($AB41&gt;CDS.Tenor,"-",_xlfn.NORM.S.DIST(($CE41-SQRT(ImpliedCorrelation)*CI$3)/SQRT(1-ImpliedCorrelation),TRUE))</f>
        <v>-</v>
      </c>
      <c r="CJ41" s="366" t="str">
        <f>IF($AB41&gt;CDS.Tenor,"-",_xlfn.NORM.S.DIST(($CE41-SQRT(ImpliedCorrelation)*CJ$3)/SQRT(1-ImpliedCorrelation),TRUE))</f>
        <v>-</v>
      </c>
      <c r="CK41" s="366" t="str">
        <f>IF($AB41&gt;CDS.Tenor,"-",_xlfn.NORM.S.DIST(($CE41-SQRT(ImpliedCorrelation)*CK$3)/SQRT(1-ImpliedCorrelation),TRUE))</f>
        <v>-</v>
      </c>
      <c r="CL41" s="366" t="str">
        <f>IF($AB41&gt;CDS.Tenor,"-",_xlfn.NORM.S.DIST(($CE41-SQRT(ImpliedCorrelation)*CL$3)/SQRT(1-ImpliedCorrelation),TRUE))</f>
        <v>-</v>
      </c>
      <c r="CM41" s="366" t="str">
        <f>IF($AB41&gt;CDS.Tenor,"-",_xlfn.NORM.S.DIST(($CE41-SQRT(ImpliedCorrelation)*CM$3)/SQRT(1-ImpliedCorrelation),TRUE))</f>
        <v>-</v>
      </c>
      <c r="CN41" s="366" t="str">
        <f>IF($AB41&gt;CDS.Tenor,"-",_xlfn.NORM.S.DIST(($CE41-SQRT(ImpliedCorrelation)*CN$3)/SQRT(1-ImpliedCorrelation),TRUE))</f>
        <v>-</v>
      </c>
      <c r="CO41" s="366" t="str">
        <f>IF($AB41&gt;CDS.Tenor,"-",_xlfn.NORM.S.DIST(($CE41-SQRT(ImpliedCorrelation)*CO$3)/SQRT(1-ImpliedCorrelation),TRUE))</f>
        <v>-</v>
      </c>
      <c r="CP41" s="366" t="str">
        <f>IF($AB41&gt;CDS.Tenor,"-",_xlfn.NORM.S.DIST(($CE41-SQRT(ImpliedCorrelation)*CP$3)/SQRT(1-ImpliedCorrelation),TRUE))</f>
        <v>-</v>
      </c>
      <c r="CQ41" s="366" t="str">
        <f>IF($AB41&gt;CDS.Tenor,"-",_xlfn.NORM.S.DIST(($CE41-SQRT(ImpliedCorrelation)*CQ$3)/SQRT(1-ImpliedCorrelation),TRUE))</f>
        <v>-</v>
      </c>
      <c r="CR41" s="366" t="str">
        <f>IF($AB41&gt;CDS.Tenor,"-",_xlfn.NORM.S.DIST(($CE41-SQRT(ImpliedCorrelation)*CR$3)/SQRT(1-ImpliedCorrelation),TRUE))</f>
        <v>-</v>
      </c>
      <c r="CS41" s="366" t="str">
        <f>IF($AB41&gt;CDS.Tenor,"-",_xlfn.NORM.S.DIST(($CE41-SQRT(ImpliedCorrelation)*CS$3)/SQRT(1-ImpliedCorrelation),TRUE))</f>
        <v>-</v>
      </c>
      <c r="CT41" s="366" t="str">
        <f>IF($AB41&gt;CDS.Tenor,"-",_xlfn.NORM.S.DIST(($CE41-SQRT(ImpliedCorrelation)*CT$3)/SQRT(1-ImpliedCorrelation),TRUE))</f>
        <v>-</v>
      </c>
      <c r="CU41" s="366" t="str">
        <f>IF($AB41&gt;CDS.Tenor,"-",_xlfn.NORM.S.DIST(($CE41-SQRT(ImpliedCorrelation)*CU$3)/SQRT(1-ImpliedCorrelation),TRUE))</f>
        <v>-</v>
      </c>
      <c r="CV41" s="366" t="str">
        <f>IF($AB41&gt;CDS.Tenor,"-",_xlfn.NORM.S.DIST(($CE41-SQRT(ImpliedCorrelation)*CV$3)/SQRT(1-ImpliedCorrelation),TRUE))</f>
        <v>-</v>
      </c>
      <c r="CW41" s="366" t="str">
        <f>IF($AB41&gt;CDS.Tenor,"-",_xlfn.NORM.S.DIST(($CE41-SQRT(ImpliedCorrelation)*CW$3)/SQRT(1-ImpliedCorrelation),TRUE))</f>
        <v>-</v>
      </c>
      <c r="CX41" s="366" t="str">
        <f>IF($AB41&gt;CDS.Tenor,"-",_xlfn.NORM.S.DIST(($CE41-SQRT(ImpliedCorrelation)*CX$3)/SQRT(1-ImpliedCorrelation),TRUE))</f>
        <v>-</v>
      </c>
      <c r="CY41" s="366" t="str">
        <f>IF($AB41&gt;CDS.Tenor,"-",_xlfn.NORM.S.DIST(($CE41-SQRT(ImpliedCorrelation)*CY$3)/SQRT(1-ImpliedCorrelation),TRUE))</f>
        <v>-</v>
      </c>
      <c r="CZ41" s="366" t="str">
        <f>IF($AB41&gt;CDS.Tenor,"-",_xlfn.NORM.S.DIST(($CE41-SQRT(ImpliedCorrelation)*CZ$3)/SQRT(1-ImpliedCorrelation),TRUE))</f>
        <v>-</v>
      </c>
      <c r="DA41" s="366" t="str">
        <f>IF($AB41&gt;CDS.Tenor,"-",_xlfn.NORM.S.DIST(($CE41-SQRT(ImpliedCorrelation)*DA$3)/SQRT(1-ImpliedCorrelation),TRUE))</f>
        <v>-</v>
      </c>
      <c r="DB41" s="366" t="str">
        <f>IF($AB41&gt;CDS.Tenor,"-",_xlfn.NORM.S.DIST(($CE41-SQRT(ImpliedCorrelation)*DB$3)/SQRT(1-ImpliedCorrelation),TRUE))</f>
        <v>-</v>
      </c>
      <c r="DC41" s="366"/>
      <c r="DD41" s="370">
        <f t="shared" si="114"/>
        <v>9.25</v>
      </c>
      <c r="DE41" s="366" t="str">
        <f>IF($AB41&gt;CDS.Tenor,"-",1-CH41)</f>
        <v>-</v>
      </c>
      <c r="DF41" s="366" t="str">
        <f>IF($AB41&gt;CDS.Tenor,"-",1-CI41)</f>
        <v>-</v>
      </c>
      <c r="DG41" s="366" t="str">
        <f>IF($AB41&gt;CDS.Tenor,"-",1-CJ41)</f>
        <v>-</v>
      </c>
      <c r="DH41" s="366" t="str">
        <f>IF($AB41&gt;CDS.Tenor,"-",1-CK41)</f>
        <v>-</v>
      </c>
      <c r="DI41" s="366" t="str">
        <f>IF($AB41&gt;CDS.Tenor,"-",1-CL41)</f>
        <v>-</v>
      </c>
      <c r="DJ41" s="366" t="str">
        <f>IF($AB41&gt;CDS.Tenor,"-",1-CM41)</f>
        <v>-</v>
      </c>
      <c r="DK41" s="366" t="str">
        <f>IF($AB41&gt;CDS.Tenor,"-",1-CN41)</f>
        <v>-</v>
      </c>
      <c r="DL41" s="366" t="str">
        <f>IF($AB41&gt;CDS.Tenor,"-",1-CO41)</f>
        <v>-</v>
      </c>
      <c r="DM41" s="366" t="str">
        <f>IF($AB41&gt;CDS.Tenor,"-",1-CP41)</f>
        <v>-</v>
      </c>
      <c r="DN41" s="366" t="str">
        <f>IF($AB41&gt;CDS.Tenor,"-",1-CQ41)</f>
        <v>-</v>
      </c>
      <c r="DO41" s="366" t="str">
        <f>IF($AB41&gt;CDS.Tenor,"-",1-CR41)</f>
        <v>-</v>
      </c>
      <c r="DP41" s="366" t="str">
        <f>IF($AB41&gt;CDS.Tenor,"-",1-CS41)</f>
        <v>-</v>
      </c>
      <c r="DQ41" s="366" t="str">
        <f>IF($AB41&gt;CDS.Tenor,"-",1-CT41)</f>
        <v>-</v>
      </c>
      <c r="DR41" s="366" t="str">
        <f>IF($AB41&gt;CDS.Tenor,"-",1-CU41)</f>
        <v>-</v>
      </c>
      <c r="DS41" s="366" t="str">
        <f>IF($AB41&gt;CDS.Tenor,"-",1-CV41)</f>
        <v>-</v>
      </c>
      <c r="DT41" s="366" t="str">
        <f>IF($AB41&gt;CDS.Tenor,"-",1-CW41)</f>
        <v>-</v>
      </c>
      <c r="DU41" s="366" t="str">
        <f>IF($AB41&gt;CDS.Tenor,"-",1-CX41)</f>
        <v>-</v>
      </c>
      <c r="DV41" s="366" t="str">
        <f>IF($AB41&gt;CDS.Tenor,"-",1-CY41)</f>
        <v>-</v>
      </c>
      <c r="DW41" s="366" t="str">
        <f>IF($AB41&gt;CDS.Tenor,"-",1-CZ41)</f>
        <v>-</v>
      </c>
      <c r="DX41" s="366" t="str">
        <f>IF($AB41&gt;CDS.Tenor,"-",1-DA41)</f>
        <v>-</v>
      </c>
      <c r="DY41" s="362" t="str">
        <f>IF($AB41&gt;CDS.Tenor,"-",1-DB41)</f>
        <v>-</v>
      </c>
      <c r="DZ41" s="360"/>
      <c r="EA41" s="352" t="str" cm="1">
        <f t="array" aca="1" ref="EA41" ca="1">IF($AB41&gt;CDS.Tenor,"-",flatInterpolation(CC41,INDIRECT(HazardRateTimes3),INDIRECT(HazardRateValues3)))</f>
        <v>-</v>
      </c>
      <c r="EB41" s="10" t="str">
        <f t="shared" si="115"/>
        <v>-</v>
      </c>
      <c r="EC41" s="10" t="str">
        <f t="shared" si="116"/>
        <v>-</v>
      </c>
      <c r="ED41" s="81" t="str">
        <f t="shared" si="117"/>
        <v>-</v>
      </c>
      <c r="EF41" s="370">
        <f t="shared" si="118"/>
        <v>9.25</v>
      </c>
      <c r="EG41" s="366" t="str">
        <f>IF($AB41&gt;CDS.Tenor,"-",_xlfn.NORM.S.DIST(($ED41-SQRT(ImpliedCorrelation)*EG$3)/SQRT(1-ImpliedCorrelation),TRUE))</f>
        <v>-</v>
      </c>
      <c r="EH41" s="366" t="str">
        <f>IF($AB41&gt;CDS.Tenor,"-",_xlfn.NORM.S.DIST(($ED41-SQRT(ImpliedCorrelation)*EH$3)/SQRT(1-ImpliedCorrelation),TRUE))</f>
        <v>-</v>
      </c>
      <c r="EI41" s="366" t="str">
        <f>IF($AB41&gt;CDS.Tenor,"-",_xlfn.NORM.S.DIST(($ED41-SQRT(ImpliedCorrelation)*EI$3)/SQRT(1-ImpliedCorrelation),TRUE))</f>
        <v>-</v>
      </c>
      <c r="EJ41" s="366" t="str">
        <f>IF($AB41&gt;CDS.Tenor,"-",_xlfn.NORM.S.DIST(($ED41-SQRT(ImpliedCorrelation)*EJ$3)/SQRT(1-ImpliedCorrelation),TRUE))</f>
        <v>-</v>
      </c>
      <c r="EK41" s="366" t="str">
        <f>IF($AB41&gt;CDS.Tenor,"-",_xlfn.NORM.S.DIST(($ED41-SQRT(ImpliedCorrelation)*EK$3)/SQRT(1-ImpliedCorrelation),TRUE))</f>
        <v>-</v>
      </c>
      <c r="EL41" s="366" t="str">
        <f>IF($AB41&gt;CDS.Tenor,"-",_xlfn.NORM.S.DIST(($ED41-SQRT(ImpliedCorrelation)*EL$3)/SQRT(1-ImpliedCorrelation),TRUE))</f>
        <v>-</v>
      </c>
      <c r="EM41" s="366" t="str">
        <f>IF($AB41&gt;CDS.Tenor,"-",_xlfn.NORM.S.DIST(($ED41-SQRT(ImpliedCorrelation)*EM$3)/SQRT(1-ImpliedCorrelation),TRUE))</f>
        <v>-</v>
      </c>
      <c r="EN41" s="366" t="str">
        <f>IF($AB41&gt;CDS.Tenor,"-",_xlfn.NORM.S.DIST(($ED41-SQRT(ImpliedCorrelation)*EN$3)/SQRT(1-ImpliedCorrelation),TRUE))</f>
        <v>-</v>
      </c>
      <c r="EO41" s="366" t="str">
        <f>IF($AB41&gt;CDS.Tenor,"-",_xlfn.NORM.S.DIST(($ED41-SQRT(ImpliedCorrelation)*EO$3)/SQRT(1-ImpliedCorrelation),TRUE))</f>
        <v>-</v>
      </c>
      <c r="EP41" s="366" t="str">
        <f>IF($AB41&gt;CDS.Tenor,"-",_xlfn.NORM.S.DIST(($ED41-SQRT(ImpliedCorrelation)*EP$3)/SQRT(1-ImpliedCorrelation),TRUE))</f>
        <v>-</v>
      </c>
      <c r="EQ41" s="366" t="str">
        <f>IF($AB41&gt;CDS.Tenor,"-",_xlfn.NORM.S.DIST(($ED41-SQRT(ImpliedCorrelation)*EQ$3)/SQRT(1-ImpliedCorrelation),TRUE))</f>
        <v>-</v>
      </c>
      <c r="ER41" s="366" t="str">
        <f>IF($AB41&gt;CDS.Tenor,"-",_xlfn.NORM.S.DIST(($ED41-SQRT(ImpliedCorrelation)*ER$3)/SQRT(1-ImpliedCorrelation),TRUE))</f>
        <v>-</v>
      </c>
      <c r="ES41" s="366" t="str">
        <f>IF($AB41&gt;CDS.Tenor,"-",_xlfn.NORM.S.DIST(($ED41-SQRT(ImpliedCorrelation)*ES$3)/SQRT(1-ImpliedCorrelation),TRUE))</f>
        <v>-</v>
      </c>
      <c r="ET41" s="366" t="str">
        <f>IF($AB41&gt;CDS.Tenor,"-",_xlfn.NORM.S.DIST(($ED41-SQRT(ImpliedCorrelation)*ET$3)/SQRT(1-ImpliedCorrelation),TRUE))</f>
        <v>-</v>
      </c>
      <c r="EU41" s="366" t="str">
        <f>IF($AB41&gt;CDS.Tenor,"-",_xlfn.NORM.S.DIST(($ED41-SQRT(ImpliedCorrelation)*EU$3)/SQRT(1-ImpliedCorrelation),TRUE))</f>
        <v>-</v>
      </c>
      <c r="EV41" s="366" t="str">
        <f>IF($AB41&gt;CDS.Tenor,"-",_xlfn.NORM.S.DIST(($ED41-SQRT(ImpliedCorrelation)*EV$3)/SQRT(1-ImpliedCorrelation),TRUE))</f>
        <v>-</v>
      </c>
      <c r="EW41" s="366" t="str">
        <f>IF($AB41&gt;CDS.Tenor,"-",_xlfn.NORM.S.DIST(($ED41-SQRT(ImpliedCorrelation)*EW$3)/SQRT(1-ImpliedCorrelation),TRUE))</f>
        <v>-</v>
      </c>
      <c r="EX41" s="366" t="str">
        <f>IF($AB41&gt;CDS.Tenor,"-",_xlfn.NORM.S.DIST(($ED41-SQRT(ImpliedCorrelation)*EX$3)/SQRT(1-ImpliedCorrelation),TRUE))</f>
        <v>-</v>
      </c>
      <c r="EY41" s="366" t="str">
        <f>IF($AB41&gt;CDS.Tenor,"-",_xlfn.NORM.S.DIST(($ED41-SQRT(ImpliedCorrelation)*EY$3)/SQRT(1-ImpliedCorrelation),TRUE))</f>
        <v>-</v>
      </c>
      <c r="EZ41" s="366" t="str">
        <f>IF($AB41&gt;CDS.Tenor,"-",_xlfn.NORM.S.DIST(($ED41-SQRT(ImpliedCorrelation)*EZ$3)/SQRT(1-ImpliedCorrelation),TRUE))</f>
        <v>-</v>
      </c>
      <c r="FA41" s="366" t="str">
        <f>IF($AB41&gt;CDS.Tenor,"-",_xlfn.NORM.S.DIST(($ED41-SQRT(ImpliedCorrelation)*FA$3)/SQRT(1-ImpliedCorrelation),TRUE))</f>
        <v>-</v>
      </c>
      <c r="FB41" s="366"/>
      <c r="FC41" s="370">
        <f t="shared" si="119"/>
        <v>9.25</v>
      </c>
      <c r="FD41" s="366" t="str">
        <f>IF($AB41&gt;CDS.Tenor,"-",1-EG41)</f>
        <v>-</v>
      </c>
      <c r="FE41" s="366" t="str">
        <f>IF($AB41&gt;CDS.Tenor,"-",1-EH41)</f>
        <v>-</v>
      </c>
      <c r="FF41" s="366" t="str">
        <f>IF($AB41&gt;CDS.Tenor,"-",1-EI41)</f>
        <v>-</v>
      </c>
      <c r="FG41" s="366" t="str">
        <f>IF($AB41&gt;CDS.Tenor,"-",1-EJ41)</f>
        <v>-</v>
      </c>
      <c r="FH41" s="366" t="str">
        <f>IF($AB41&gt;CDS.Tenor,"-",1-EK41)</f>
        <v>-</v>
      </c>
      <c r="FI41" s="366" t="str">
        <f>IF($AB41&gt;CDS.Tenor,"-",1-EL41)</f>
        <v>-</v>
      </c>
      <c r="FJ41" s="366" t="str">
        <f>IF($AB41&gt;CDS.Tenor,"-",1-EM41)</f>
        <v>-</v>
      </c>
      <c r="FK41" s="366" t="str">
        <f>IF($AB41&gt;CDS.Tenor,"-",1-EN41)</f>
        <v>-</v>
      </c>
      <c r="FL41" s="366" t="str">
        <f>IF($AB41&gt;CDS.Tenor,"-",1-EO41)</f>
        <v>-</v>
      </c>
      <c r="FM41" s="366" t="str">
        <f>IF($AB41&gt;CDS.Tenor,"-",1-EP41)</f>
        <v>-</v>
      </c>
      <c r="FN41" s="366" t="str">
        <f>IF($AB41&gt;CDS.Tenor,"-",1-EQ41)</f>
        <v>-</v>
      </c>
      <c r="FO41" s="366" t="str">
        <f>IF($AB41&gt;CDS.Tenor,"-",1-ER41)</f>
        <v>-</v>
      </c>
      <c r="FP41" s="366" t="str">
        <f>IF($AB41&gt;CDS.Tenor,"-",1-ES41)</f>
        <v>-</v>
      </c>
      <c r="FQ41" s="366" t="str">
        <f>IF($AB41&gt;CDS.Tenor,"-",1-ET41)</f>
        <v>-</v>
      </c>
      <c r="FR41" s="366" t="str">
        <f>IF($AB41&gt;CDS.Tenor,"-",1-EU41)</f>
        <v>-</v>
      </c>
      <c r="FS41" s="366" t="str">
        <f>IF($AB41&gt;CDS.Tenor,"-",1-EV41)</f>
        <v>-</v>
      </c>
      <c r="FT41" s="366" t="str">
        <f>IF($AB41&gt;CDS.Tenor,"-",1-EW41)</f>
        <v>-</v>
      </c>
      <c r="FU41" s="366" t="str">
        <f>IF($AB41&gt;CDS.Tenor,"-",1-EX41)</f>
        <v>-</v>
      </c>
      <c r="FV41" s="366" t="str">
        <f>IF($AB41&gt;CDS.Tenor,"-",1-EY41)</f>
        <v>-</v>
      </c>
      <c r="FW41" s="366" t="str">
        <f>IF($AB41&gt;CDS.Tenor,"-",1-EZ41)</f>
        <v>-</v>
      </c>
      <c r="FX41" s="362" t="str">
        <f>IF($AB41&gt;CDS.Tenor,"-",1-FA41)</f>
        <v>-</v>
      </c>
      <c r="FZ41" s="370">
        <f t="shared" si="120"/>
        <v>9.25</v>
      </c>
      <c r="GA41" s="366" t="str">
        <f>IF($AB41&gt;CDS.Tenor,"-",BF41*DE41*FD41)</f>
        <v>-</v>
      </c>
      <c r="GB41" s="366" t="str">
        <f>IF($AB41&gt;CDS.Tenor,"-",BG41*DF41*FE41)</f>
        <v>-</v>
      </c>
      <c r="GC41" s="366" t="str">
        <f>IF($AB41&gt;CDS.Tenor,"-",BH41*DG41*FF41)</f>
        <v>-</v>
      </c>
      <c r="GD41" s="366" t="str">
        <f>IF($AB41&gt;CDS.Tenor,"-",BI41*DH41*FG41)</f>
        <v>-</v>
      </c>
      <c r="GE41" s="366" t="str">
        <f>IF($AB41&gt;CDS.Tenor,"-",BJ41*DI41*FH41)</f>
        <v>-</v>
      </c>
      <c r="GF41" s="366" t="str">
        <f>IF($AB41&gt;CDS.Tenor,"-",BK41*DJ41*FI41)</f>
        <v>-</v>
      </c>
      <c r="GG41" s="366" t="str">
        <f>IF($AB41&gt;CDS.Tenor,"-",BL41*DK41*FJ41)</f>
        <v>-</v>
      </c>
      <c r="GH41" s="366" t="str">
        <f>IF($AB41&gt;CDS.Tenor,"-",BM41*DL41*FK41)</f>
        <v>-</v>
      </c>
      <c r="GI41" s="366" t="str">
        <f>IF($AB41&gt;CDS.Tenor,"-",BN41*DM41*FL41)</f>
        <v>-</v>
      </c>
      <c r="GJ41" s="366" t="str">
        <f>IF($AB41&gt;CDS.Tenor,"-",BO41*DN41*FM41)</f>
        <v>-</v>
      </c>
      <c r="GK41" s="366" t="str">
        <f>IF($AB41&gt;CDS.Tenor,"-",BP41*DO41*FN41)</f>
        <v>-</v>
      </c>
      <c r="GL41" s="366" t="str">
        <f>IF($AB41&gt;CDS.Tenor,"-",BQ41*DP41*FO41)</f>
        <v>-</v>
      </c>
      <c r="GM41" s="366" t="str">
        <f>IF($AB41&gt;CDS.Tenor,"-",BR41*DQ41*FP41)</f>
        <v>-</v>
      </c>
      <c r="GN41" s="366" t="str">
        <f>IF($AB41&gt;CDS.Tenor,"-",BS41*DR41*FQ41)</f>
        <v>-</v>
      </c>
      <c r="GO41" s="366" t="str">
        <f>IF($AB41&gt;CDS.Tenor,"-",BT41*DS41*FR41)</f>
        <v>-</v>
      </c>
      <c r="GP41" s="366" t="str">
        <f>IF($AB41&gt;CDS.Tenor,"-",BU41*DT41*FS41)</f>
        <v>-</v>
      </c>
      <c r="GQ41" s="366" t="str">
        <f>IF($AB41&gt;CDS.Tenor,"-",BV41*DU41*FT41)</f>
        <v>-</v>
      </c>
      <c r="GR41" s="366" t="str">
        <f>IF($AB41&gt;CDS.Tenor,"-",BW41*DV41*FU41)</f>
        <v>-</v>
      </c>
      <c r="GS41" s="366" t="str">
        <f>IF($AB41&gt;CDS.Tenor,"-",BX41*DW41*FV41)</f>
        <v>-</v>
      </c>
      <c r="GT41" s="366" t="str">
        <f>IF($AB41&gt;CDS.Tenor,"-",BY41*DX41*FW41)</f>
        <v>-</v>
      </c>
      <c r="GU41" s="362" t="str">
        <f>IF($AB41&gt;CDS.Tenor,"-",BZ41*DY41*FX41)</f>
        <v>-</v>
      </c>
      <c r="GV41" s="42"/>
      <c r="GW41" s="370">
        <f t="shared" si="121"/>
        <v>9.25</v>
      </c>
      <c r="GX41" s="378" t="str">
        <f>IF($AB41&gt;CDS.Tenor,"-",SUMPRODUCT($GA41:$GU41,$GA$4:$GU$4)*dm)</f>
        <v>-</v>
      </c>
      <c r="GY41" s="381" t="str">
        <f>IF($AB41&gt;CDS.Tenor,"-",GX40-GX41)</f>
        <v>-</v>
      </c>
    </row>
    <row r="42" spans="10:207" x14ac:dyDescent="0.3">
      <c r="J42" s="156">
        <f t="shared" si="103"/>
        <v>9.5</v>
      </c>
      <c r="K42" s="28" t="str">
        <f>IF($J42&gt;CDS.Tenor,"-",CDS.PremiumSign*CDS.Notional*CDS.YearFraction*CDS.CreditSpread)</f>
        <v>-</v>
      </c>
      <c r="L42" s="10" t="str">
        <f>GX42</f>
        <v>-</v>
      </c>
      <c r="M42" s="10" t="str">
        <f>IF($J42&gt;CDS.Tenor,"-",L41-L42)</f>
        <v>-</v>
      </c>
      <c r="N42" s="94" t="str" cm="1">
        <f t="array" ref="N42">IF($J42&gt;CDS.Tenor,"-",cubicInterpolation(CurveResults.Times,CurveResults.DFs,$J42))</f>
        <v>-</v>
      </c>
      <c r="O42" s="28" t="str">
        <f>IF($J42&gt;CDS.Tenor,"-",K42*L42*N42)</f>
        <v>-</v>
      </c>
      <c r="P42" s="28" t="str">
        <f>IF($J42&gt;CDS.Tenor,"-",0.5*K42*M42*N42)</f>
        <v>-</v>
      </c>
      <c r="Q42" s="142" t="str">
        <f>IF($J42&gt;CDS.Tenor,"-",O42+P42)</f>
        <v>-</v>
      </c>
      <c r="T42" s="156">
        <f t="shared" si="104"/>
        <v>9.5</v>
      </c>
      <c r="U42" s="28" t="str">
        <f>IF($J42&gt;CDS.Tenor,"-",CDS.ProtectionSign*CDS.Notional*(1-CDS.RecoveryRate))</f>
        <v>-</v>
      </c>
      <c r="V42" s="10" t="str">
        <f>IF($J42&gt;CDS.Tenor,"-",GX42)</f>
        <v>-</v>
      </c>
      <c r="W42" s="10" t="str">
        <f>IF($J42&gt;CDS.Tenor,"-",V41-V42)</f>
        <v>-</v>
      </c>
      <c r="X42" s="94" t="str" cm="1">
        <f t="array" ref="X42">IF($T42&gt;CDS.Tenor,"-",cubicInterpolation(CurveResults.Times,CurveResults.DFs,$J42))</f>
        <v>-</v>
      </c>
      <c r="Y42" s="142" t="str">
        <f>IF($J42&gt;CDS.Tenor,"-",U42*W42*X42)</f>
        <v>-</v>
      </c>
      <c r="AB42" s="156">
        <f t="shared" si="105"/>
        <v>9.5</v>
      </c>
      <c r="AC42" s="352" t="str" cm="1">
        <f t="array" aca="1" ref="AC42" ca="1">IF($AB42&gt;CDS.Tenor,"-",flatInterpolation(AA42,INDIRECT(HazardRateTimes1),INDIRECT(HazardRateValues1)))</f>
        <v>-</v>
      </c>
      <c r="AD42" s="10" t="str">
        <f t="shared" si="106"/>
        <v>-</v>
      </c>
      <c r="AE42" s="10" t="str">
        <f t="shared" si="107"/>
        <v>-</v>
      </c>
      <c r="AF42" s="360" t="str">
        <f>IF($AB42&gt;CDS.Tenor,"-",NORMSINV(AE42))</f>
        <v>-</v>
      </c>
      <c r="AG42" s="360"/>
      <c r="AH42" s="370">
        <f t="shared" si="108"/>
        <v>9.5</v>
      </c>
      <c r="AI42" s="366" t="str">
        <f>IF($AB42&gt;CDS.Tenor,"-",_xlfn.NORM.S.DIST(($AF42-SQRT(ImpliedCorrelation)*AI$3)/SQRT(1-ImpliedCorrelation),TRUE))</f>
        <v>-</v>
      </c>
      <c r="AJ42" s="366" t="str">
        <f>IF($AB42&gt;CDS.Tenor,"-",_xlfn.NORM.S.DIST(($AF42-SQRT(ImpliedCorrelation)*AJ$3)/SQRT(1-ImpliedCorrelation),TRUE))</f>
        <v>-</v>
      </c>
      <c r="AK42" s="366" t="str">
        <f>IF($AB42&gt;CDS.Tenor,"-",_xlfn.NORM.S.DIST(($AF42-SQRT(ImpliedCorrelation)*AK$3)/SQRT(1-ImpliedCorrelation),TRUE))</f>
        <v>-</v>
      </c>
      <c r="AL42" s="366" t="str">
        <f>IF($AB42&gt;CDS.Tenor,"-",_xlfn.NORM.S.DIST(($AF42-SQRT(ImpliedCorrelation)*AL$3)/SQRT(1-ImpliedCorrelation),TRUE))</f>
        <v>-</v>
      </c>
      <c r="AM42" s="366" t="str">
        <f>IF($AB42&gt;CDS.Tenor,"-",_xlfn.NORM.S.DIST(($AF42-SQRT(ImpliedCorrelation)*AM$3)/SQRT(1-ImpliedCorrelation),TRUE))</f>
        <v>-</v>
      </c>
      <c r="AN42" s="366" t="str">
        <f>IF($AB42&gt;CDS.Tenor,"-",_xlfn.NORM.S.DIST(($AF42-SQRT(ImpliedCorrelation)*AN$3)/SQRT(1-ImpliedCorrelation),TRUE))</f>
        <v>-</v>
      </c>
      <c r="AO42" s="366" t="str">
        <f>IF($AB42&gt;CDS.Tenor,"-",_xlfn.NORM.S.DIST(($AF42-SQRT(ImpliedCorrelation)*AO$3)/SQRT(1-ImpliedCorrelation),TRUE))</f>
        <v>-</v>
      </c>
      <c r="AP42" s="366" t="str">
        <f>IF($AB42&gt;CDS.Tenor,"-",_xlfn.NORM.S.DIST(($AF42-SQRT(ImpliedCorrelation)*AP$3)/SQRT(1-ImpliedCorrelation),TRUE))</f>
        <v>-</v>
      </c>
      <c r="AQ42" s="366" t="str">
        <f>IF($AB42&gt;CDS.Tenor,"-",_xlfn.NORM.S.DIST(($AF42-SQRT(ImpliedCorrelation)*AQ$3)/SQRT(1-ImpliedCorrelation),TRUE))</f>
        <v>-</v>
      </c>
      <c r="AR42" s="366" t="str">
        <f>IF($AB42&gt;CDS.Tenor,"-",_xlfn.NORM.S.DIST(($AF42-SQRT(ImpliedCorrelation)*AR$3)/SQRT(1-ImpliedCorrelation),TRUE))</f>
        <v>-</v>
      </c>
      <c r="AS42" s="366" t="str">
        <f>IF($AB42&gt;CDS.Tenor,"-",_xlfn.NORM.S.DIST(($AF42-SQRT(ImpliedCorrelation)*AS$3)/SQRT(1-ImpliedCorrelation),TRUE))</f>
        <v>-</v>
      </c>
      <c r="AT42" s="366" t="str">
        <f>IF($AB42&gt;CDS.Tenor,"-",_xlfn.NORM.S.DIST(($AF42-SQRT(ImpliedCorrelation)*AT$3)/SQRT(1-ImpliedCorrelation),TRUE))</f>
        <v>-</v>
      </c>
      <c r="AU42" s="366" t="str">
        <f>IF($AB42&gt;CDS.Tenor,"-",_xlfn.NORM.S.DIST(($AF42-SQRT(ImpliedCorrelation)*AU$3)/SQRT(1-ImpliedCorrelation),TRUE))</f>
        <v>-</v>
      </c>
      <c r="AV42" s="366" t="str">
        <f>IF($AB42&gt;CDS.Tenor,"-",_xlfn.NORM.S.DIST(($AF42-SQRT(ImpliedCorrelation)*AV$3)/SQRT(1-ImpliedCorrelation),TRUE))</f>
        <v>-</v>
      </c>
      <c r="AW42" s="366" t="str">
        <f>IF($AB42&gt;CDS.Tenor,"-",_xlfn.NORM.S.DIST(($AF42-SQRT(ImpliedCorrelation)*AW$3)/SQRT(1-ImpliedCorrelation),TRUE))</f>
        <v>-</v>
      </c>
      <c r="AX42" s="366" t="str">
        <f>IF($AB42&gt;CDS.Tenor,"-",_xlfn.NORM.S.DIST(($AF42-SQRT(ImpliedCorrelation)*AX$3)/SQRT(1-ImpliedCorrelation),TRUE))</f>
        <v>-</v>
      </c>
      <c r="AY42" s="366" t="str">
        <f>IF($AB42&gt;CDS.Tenor,"-",_xlfn.NORM.S.DIST(($AF42-SQRT(ImpliedCorrelation)*AY$3)/SQRT(1-ImpliedCorrelation),TRUE))</f>
        <v>-</v>
      </c>
      <c r="AZ42" s="366" t="str">
        <f>IF($AB42&gt;CDS.Tenor,"-",_xlfn.NORM.S.DIST(($AF42-SQRT(ImpliedCorrelation)*AZ$3)/SQRT(1-ImpliedCorrelation),TRUE))</f>
        <v>-</v>
      </c>
      <c r="BA42" s="366" t="str">
        <f>IF($AB42&gt;CDS.Tenor,"-",_xlfn.NORM.S.DIST(($AF42-SQRT(ImpliedCorrelation)*BA$3)/SQRT(1-ImpliedCorrelation),TRUE))</f>
        <v>-</v>
      </c>
      <c r="BB42" s="366" t="str">
        <f>IF($AB42&gt;CDS.Tenor,"-",_xlfn.NORM.S.DIST(($AF42-SQRT(ImpliedCorrelation)*BB$3)/SQRT(1-ImpliedCorrelation),TRUE))</f>
        <v>-</v>
      </c>
      <c r="BC42" s="366" t="str">
        <f>IF($AB42&gt;CDS.Tenor,"-",_xlfn.NORM.S.DIST(($AF42-SQRT(ImpliedCorrelation)*BC$3)/SQRT(1-ImpliedCorrelation),TRUE))</f>
        <v>-</v>
      </c>
      <c r="BD42" s="366"/>
      <c r="BE42" s="370">
        <f t="shared" si="109"/>
        <v>9.5</v>
      </c>
      <c r="BF42" s="366" t="str">
        <f>IF($AB42&gt;CDS.Tenor,"-",1-AI42)</f>
        <v>-</v>
      </c>
      <c r="BG42" s="366" t="str">
        <f>IF($AB42&gt;CDS.Tenor,"-",1-AJ42)</f>
        <v>-</v>
      </c>
      <c r="BH42" s="366" t="str">
        <f>IF($AB42&gt;CDS.Tenor,"-",1-AK42)</f>
        <v>-</v>
      </c>
      <c r="BI42" s="366" t="str">
        <f>IF($AB42&gt;CDS.Tenor,"-",1-AL42)</f>
        <v>-</v>
      </c>
      <c r="BJ42" s="366" t="str">
        <f>IF($AB42&gt;CDS.Tenor,"-",1-AM42)</f>
        <v>-</v>
      </c>
      <c r="BK42" s="366" t="str">
        <f>IF($AB42&gt;CDS.Tenor,"-",1-AN42)</f>
        <v>-</v>
      </c>
      <c r="BL42" s="366" t="str">
        <f>IF($AB42&gt;CDS.Tenor,"-",1-AO42)</f>
        <v>-</v>
      </c>
      <c r="BM42" s="366" t="str">
        <f>IF($AB42&gt;CDS.Tenor,"-",1-AP42)</f>
        <v>-</v>
      </c>
      <c r="BN42" s="366" t="str">
        <f>IF($AB42&gt;CDS.Tenor,"-",1-AQ42)</f>
        <v>-</v>
      </c>
      <c r="BO42" s="366" t="str">
        <f>IF($AB42&gt;CDS.Tenor,"-",1-AR42)</f>
        <v>-</v>
      </c>
      <c r="BP42" s="366" t="str">
        <f>IF($AB42&gt;CDS.Tenor,"-",1-AS42)</f>
        <v>-</v>
      </c>
      <c r="BQ42" s="366" t="str">
        <f>IF($AB42&gt;CDS.Tenor,"-",1-AT42)</f>
        <v>-</v>
      </c>
      <c r="BR42" s="366" t="str">
        <f>IF($AB42&gt;CDS.Tenor,"-",1-AU42)</f>
        <v>-</v>
      </c>
      <c r="BS42" s="366" t="str">
        <f>IF($AB42&gt;CDS.Tenor,"-",1-AV42)</f>
        <v>-</v>
      </c>
      <c r="BT42" s="366" t="str">
        <f>IF($AB42&gt;CDS.Tenor,"-",1-AW42)</f>
        <v>-</v>
      </c>
      <c r="BU42" s="366" t="str">
        <f>IF($AB42&gt;CDS.Tenor,"-",1-AX42)</f>
        <v>-</v>
      </c>
      <c r="BV42" s="366" t="str">
        <f>IF($AB42&gt;CDS.Tenor,"-",1-AY42)</f>
        <v>-</v>
      </c>
      <c r="BW42" s="366" t="str">
        <f>IF($AB42&gt;CDS.Tenor,"-",1-AZ42)</f>
        <v>-</v>
      </c>
      <c r="BX42" s="366" t="str">
        <f>IF($AB42&gt;CDS.Tenor,"-",1-BA42)</f>
        <v>-</v>
      </c>
      <c r="BY42" s="366" t="str">
        <f>IF($AB42&gt;CDS.Tenor,"-",1-BB42)</f>
        <v>-</v>
      </c>
      <c r="BZ42" s="366" t="str">
        <f>IF($AB42&gt;CDS.Tenor,"-",1-BC42)</f>
        <v>-</v>
      </c>
      <c r="CA42" s="17"/>
      <c r="CB42" s="352" t="str" cm="1">
        <f t="array" aca="1" ref="CB42" ca="1">IF($AB42&gt;CDS.Tenor,"-",flatInterpolation(AB42,INDIRECT(HazardRateTimes2),INDIRECT(HazardRateValues2)))</f>
        <v>-</v>
      </c>
      <c r="CC42" s="10" t="str">
        <f t="shared" si="110"/>
        <v>-</v>
      </c>
      <c r="CD42" s="10" t="str">
        <f t="shared" si="111"/>
        <v>-</v>
      </c>
      <c r="CE42" s="81" t="str">
        <f t="shared" si="112"/>
        <v>-</v>
      </c>
      <c r="CF42" s="360"/>
      <c r="CG42" s="370">
        <f t="shared" si="113"/>
        <v>9.5</v>
      </c>
      <c r="CH42" s="366" t="str">
        <f>IF($AB42&gt;CDS.Tenor,"-",_xlfn.NORM.S.DIST(($CE42-SQRT(ImpliedCorrelation)*CH$3)/SQRT(1-ImpliedCorrelation),TRUE))</f>
        <v>-</v>
      </c>
      <c r="CI42" s="366" t="str">
        <f>IF($AB42&gt;CDS.Tenor,"-",_xlfn.NORM.S.DIST(($CE42-SQRT(ImpliedCorrelation)*CI$3)/SQRT(1-ImpliedCorrelation),TRUE))</f>
        <v>-</v>
      </c>
      <c r="CJ42" s="366" t="str">
        <f>IF($AB42&gt;CDS.Tenor,"-",_xlfn.NORM.S.DIST(($CE42-SQRT(ImpliedCorrelation)*CJ$3)/SQRT(1-ImpliedCorrelation),TRUE))</f>
        <v>-</v>
      </c>
      <c r="CK42" s="366" t="str">
        <f>IF($AB42&gt;CDS.Tenor,"-",_xlfn.NORM.S.DIST(($CE42-SQRT(ImpliedCorrelation)*CK$3)/SQRT(1-ImpliedCorrelation),TRUE))</f>
        <v>-</v>
      </c>
      <c r="CL42" s="366" t="str">
        <f>IF($AB42&gt;CDS.Tenor,"-",_xlfn.NORM.S.DIST(($CE42-SQRT(ImpliedCorrelation)*CL$3)/SQRT(1-ImpliedCorrelation),TRUE))</f>
        <v>-</v>
      </c>
      <c r="CM42" s="366" t="str">
        <f>IF($AB42&gt;CDS.Tenor,"-",_xlfn.NORM.S.DIST(($CE42-SQRT(ImpliedCorrelation)*CM$3)/SQRT(1-ImpliedCorrelation),TRUE))</f>
        <v>-</v>
      </c>
      <c r="CN42" s="366" t="str">
        <f>IF($AB42&gt;CDS.Tenor,"-",_xlfn.NORM.S.DIST(($CE42-SQRT(ImpliedCorrelation)*CN$3)/SQRT(1-ImpliedCorrelation),TRUE))</f>
        <v>-</v>
      </c>
      <c r="CO42" s="366" t="str">
        <f>IF($AB42&gt;CDS.Tenor,"-",_xlfn.NORM.S.DIST(($CE42-SQRT(ImpliedCorrelation)*CO$3)/SQRT(1-ImpliedCorrelation),TRUE))</f>
        <v>-</v>
      </c>
      <c r="CP42" s="366" t="str">
        <f>IF($AB42&gt;CDS.Tenor,"-",_xlfn.NORM.S.DIST(($CE42-SQRT(ImpliedCorrelation)*CP$3)/SQRT(1-ImpliedCorrelation),TRUE))</f>
        <v>-</v>
      </c>
      <c r="CQ42" s="366" t="str">
        <f>IF($AB42&gt;CDS.Tenor,"-",_xlfn.NORM.S.DIST(($CE42-SQRT(ImpliedCorrelation)*CQ$3)/SQRT(1-ImpliedCorrelation),TRUE))</f>
        <v>-</v>
      </c>
      <c r="CR42" s="366" t="str">
        <f>IF($AB42&gt;CDS.Tenor,"-",_xlfn.NORM.S.DIST(($CE42-SQRT(ImpliedCorrelation)*CR$3)/SQRT(1-ImpliedCorrelation),TRUE))</f>
        <v>-</v>
      </c>
      <c r="CS42" s="366" t="str">
        <f>IF($AB42&gt;CDS.Tenor,"-",_xlfn.NORM.S.DIST(($CE42-SQRT(ImpliedCorrelation)*CS$3)/SQRT(1-ImpliedCorrelation),TRUE))</f>
        <v>-</v>
      </c>
      <c r="CT42" s="366" t="str">
        <f>IF($AB42&gt;CDS.Tenor,"-",_xlfn.NORM.S.DIST(($CE42-SQRT(ImpliedCorrelation)*CT$3)/SQRT(1-ImpliedCorrelation),TRUE))</f>
        <v>-</v>
      </c>
      <c r="CU42" s="366" t="str">
        <f>IF($AB42&gt;CDS.Tenor,"-",_xlfn.NORM.S.DIST(($CE42-SQRT(ImpliedCorrelation)*CU$3)/SQRT(1-ImpliedCorrelation),TRUE))</f>
        <v>-</v>
      </c>
      <c r="CV42" s="366" t="str">
        <f>IF($AB42&gt;CDS.Tenor,"-",_xlfn.NORM.S.DIST(($CE42-SQRT(ImpliedCorrelation)*CV$3)/SQRT(1-ImpliedCorrelation),TRUE))</f>
        <v>-</v>
      </c>
      <c r="CW42" s="366" t="str">
        <f>IF($AB42&gt;CDS.Tenor,"-",_xlfn.NORM.S.DIST(($CE42-SQRT(ImpliedCorrelation)*CW$3)/SQRT(1-ImpliedCorrelation),TRUE))</f>
        <v>-</v>
      </c>
      <c r="CX42" s="366" t="str">
        <f>IF($AB42&gt;CDS.Tenor,"-",_xlfn.NORM.S.DIST(($CE42-SQRT(ImpliedCorrelation)*CX$3)/SQRT(1-ImpliedCorrelation),TRUE))</f>
        <v>-</v>
      </c>
      <c r="CY42" s="366" t="str">
        <f>IF($AB42&gt;CDS.Tenor,"-",_xlfn.NORM.S.DIST(($CE42-SQRT(ImpliedCorrelation)*CY$3)/SQRT(1-ImpliedCorrelation),TRUE))</f>
        <v>-</v>
      </c>
      <c r="CZ42" s="366" t="str">
        <f>IF($AB42&gt;CDS.Tenor,"-",_xlfn.NORM.S.DIST(($CE42-SQRT(ImpliedCorrelation)*CZ$3)/SQRT(1-ImpliedCorrelation),TRUE))</f>
        <v>-</v>
      </c>
      <c r="DA42" s="366" t="str">
        <f>IF($AB42&gt;CDS.Tenor,"-",_xlfn.NORM.S.DIST(($CE42-SQRT(ImpliedCorrelation)*DA$3)/SQRT(1-ImpliedCorrelation),TRUE))</f>
        <v>-</v>
      </c>
      <c r="DB42" s="366" t="str">
        <f>IF($AB42&gt;CDS.Tenor,"-",_xlfn.NORM.S.DIST(($CE42-SQRT(ImpliedCorrelation)*DB$3)/SQRT(1-ImpliedCorrelation),TRUE))</f>
        <v>-</v>
      </c>
      <c r="DC42" s="366"/>
      <c r="DD42" s="370">
        <f t="shared" si="114"/>
        <v>9.5</v>
      </c>
      <c r="DE42" s="366" t="str">
        <f>IF($AB42&gt;CDS.Tenor,"-",1-CH42)</f>
        <v>-</v>
      </c>
      <c r="DF42" s="366" t="str">
        <f>IF($AB42&gt;CDS.Tenor,"-",1-CI42)</f>
        <v>-</v>
      </c>
      <c r="DG42" s="366" t="str">
        <f>IF($AB42&gt;CDS.Tenor,"-",1-CJ42)</f>
        <v>-</v>
      </c>
      <c r="DH42" s="366" t="str">
        <f>IF($AB42&gt;CDS.Tenor,"-",1-CK42)</f>
        <v>-</v>
      </c>
      <c r="DI42" s="366" t="str">
        <f>IF($AB42&gt;CDS.Tenor,"-",1-CL42)</f>
        <v>-</v>
      </c>
      <c r="DJ42" s="366" t="str">
        <f>IF($AB42&gt;CDS.Tenor,"-",1-CM42)</f>
        <v>-</v>
      </c>
      <c r="DK42" s="366" t="str">
        <f>IF($AB42&gt;CDS.Tenor,"-",1-CN42)</f>
        <v>-</v>
      </c>
      <c r="DL42" s="366" t="str">
        <f>IF($AB42&gt;CDS.Tenor,"-",1-CO42)</f>
        <v>-</v>
      </c>
      <c r="DM42" s="366" t="str">
        <f>IF($AB42&gt;CDS.Tenor,"-",1-CP42)</f>
        <v>-</v>
      </c>
      <c r="DN42" s="366" t="str">
        <f>IF($AB42&gt;CDS.Tenor,"-",1-CQ42)</f>
        <v>-</v>
      </c>
      <c r="DO42" s="366" t="str">
        <f>IF($AB42&gt;CDS.Tenor,"-",1-CR42)</f>
        <v>-</v>
      </c>
      <c r="DP42" s="366" t="str">
        <f>IF($AB42&gt;CDS.Tenor,"-",1-CS42)</f>
        <v>-</v>
      </c>
      <c r="DQ42" s="366" t="str">
        <f>IF($AB42&gt;CDS.Tenor,"-",1-CT42)</f>
        <v>-</v>
      </c>
      <c r="DR42" s="366" t="str">
        <f>IF($AB42&gt;CDS.Tenor,"-",1-CU42)</f>
        <v>-</v>
      </c>
      <c r="DS42" s="366" t="str">
        <f>IF($AB42&gt;CDS.Tenor,"-",1-CV42)</f>
        <v>-</v>
      </c>
      <c r="DT42" s="366" t="str">
        <f>IF($AB42&gt;CDS.Tenor,"-",1-CW42)</f>
        <v>-</v>
      </c>
      <c r="DU42" s="366" t="str">
        <f>IF($AB42&gt;CDS.Tenor,"-",1-CX42)</f>
        <v>-</v>
      </c>
      <c r="DV42" s="366" t="str">
        <f>IF($AB42&gt;CDS.Tenor,"-",1-CY42)</f>
        <v>-</v>
      </c>
      <c r="DW42" s="366" t="str">
        <f>IF($AB42&gt;CDS.Tenor,"-",1-CZ42)</f>
        <v>-</v>
      </c>
      <c r="DX42" s="366" t="str">
        <f>IF($AB42&gt;CDS.Tenor,"-",1-DA42)</f>
        <v>-</v>
      </c>
      <c r="DY42" s="362" t="str">
        <f>IF($AB42&gt;CDS.Tenor,"-",1-DB42)</f>
        <v>-</v>
      </c>
      <c r="DZ42" s="360"/>
      <c r="EA42" s="352" t="str" cm="1">
        <f t="array" aca="1" ref="EA42" ca="1">IF($AB42&gt;CDS.Tenor,"-",flatInterpolation(CC42,INDIRECT(HazardRateTimes3),INDIRECT(HazardRateValues3)))</f>
        <v>-</v>
      </c>
      <c r="EB42" s="10" t="str">
        <f t="shared" si="115"/>
        <v>-</v>
      </c>
      <c r="EC42" s="10" t="str">
        <f t="shared" si="116"/>
        <v>-</v>
      </c>
      <c r="ED42" s="81" t="str">
        <f t="shared" si="117"/>
        <v>-</v>
      </c>
      <c r="EF42" s="370">
        <f t="shared" si="118"/>
        <v>9.5</v>
      </c>
      <c r="EG42" s="366" t="str">
        <f>IF($AB42&gt;CDS.Tenor,"-",_xlfn.NORM.S.DIST(($ED42-SQRT(ImpliedCorrelation)*EG$3)/SQRT(1-ImpliedCorrelation),TRUE))</f>
        <v>-</v>
      </c>
      <c r="EH42" s="366" t="str">
        <f>IF($AB42&gt;CDS.Tenor,"-",_xlfn.NORM.S.DIST(($ED42-SQRT(ImpliedCorrelation)*EH$3)/SQRT(1-ImpliedCorrelation),TRUE))</f>
        <v>-</v>
      </c>
      <c r="EI42" s="366" t="str">
        <f>IF($AB42&gt;CDS.Tenor,"-",_xlfn.NORM.S.DIST(($ED42-SQRT(ImpliedCorrelation)*EI$3)/SQRT(1-ImpliedCorrelation),TRUE))</f>
        <v>-</v>
      </c>
      <c r="EJ42" s="366" t="str">
        <f>IF($AB42&gt;CDS.Tenor,"-",_xlfn.NORM.S.DIST(($ED42-SQRT(ImpliedCorrelation)*EJ$3)/SQRT(1-ImpliedCorrelation),TRUE))</f>
        <v>-</v>
      </c>
      <c r="EK42" s="366" t="str">
        <f>IF($AB42&gt;CDS.Tenor,"-",_xlfn.NORM.S.DIST(($ED42-SQRT(ImpliedCorrelation)*EK$3)/SQRT(1-ImpliedCorrelation),TRUE))</f>
        <v>-</v>
      </c>
      <c r="EL42" s="366" t="str">
        <f>IF($AB42&gt;CDS.Tenor,"-",_xlfn.NORM.S.DIST(($ED42-SQRT(ImpliedCorrelation)*EL$3)/SQRT(1-ImpliedCorrelation),TRUE))</f>
        <v>-</v>
      </c>
      <c r="EM42" s="366" t="str">
        <f>IF($AB42&gt;CDS.Tenor,"-",_xlfn.NORM.S.DIST(($ED42-SQRT(ImpliedCorrelation)*EM$3)/SQRT(1-ImpliedCorrelation),TRUE))</f>
        <v>-</v>
      </c>
      <c r="EN42" s="366" t="str">
        <f>IF($AB42&gt;CDS.Tenor,"-",_xlfn.NORM.S.DIST(($ED42-SQRT(ImpliedCorrelation)*EN$3)/SQRT(1-ImpliedCorrelation),TRUE))</f>
        <v>-</v>
      </c>
      <c r="EO42" s="366" t="str">
        <f>IF($AB42&gt;CDS.Tenor,"-",_xlfn.NORM.S.DIST(($ED42-SQRT(ImpliedCorrelation)*EO$3)/SQRT(1-ImpliedCorrelation),TRUE))</f>
        <v>-</v>
      </c>
      <c r="EP42" s="366" t="str">
        <f>IF($AB42&gt;CDS.Tenor,"-",_xlfn.NORM.S.DIST(($ED42-SQRT(ImpliedCorrelation)*EP$3)/SQRT(1-ImpliedCorrelation),TRUE))</f>
        <v>-</v>
      </c>
      <c r="EQ42" s="366" t="str">
        <f>IF($AB42&gt;CDS.Tenor,"-",_xlfn.NORM.S.DIST(($ED42-SQRT(ImpliedCorrelation)*EQ$3)/SQRT(1-ImpliedCorrelation),TRUE))</f>
        <v>-</v>
      </c>
      <c r="ER42" s="366" t="str">
        <f>IF($AB42&gt;CDS.Tenor,"-",_xlfn.NORM.S.DIST(($ED42-SQRT(ImpliedCorrelation)*ER$3)/SQRT(1-ImpliedCorrelation),TRUE))</f>
        <v>-</v>
      </c>
      <c r="ES42" s="366" t="str">
        <f>IF($AB42&gt;CDS.Tenor,"-",_xlfn.NORM.S.DIST(($ED42-SQRT(ImpliedCorrelation)*ES$3)/SQRT(1-ImpliedCorrelation),TRUE))</f>
        <v>-</v>
      </c>
      <c r="ET42" s="366" t="str">
        <f>IF($AB42&gt;CDS.Tenor,"-",_xlfn.NORM.S.DIST(($ED42-SQRT(ImpliedCorrelation)*ET$3)/SQRT(1-ImpliedCorrelation),TRUE))</f>
        <v>-</v>
      </c>
      <c r="EU42" s="366" t="str">
        <f>IF($AB42&gt;CDS.Tenor,"-",_xlfn.NORM.S.DIST(($ED42-SQRT(ImpliedCorrelation)*EU$3)/SQRT(1-ImpliedCorrelation),TRUE))</f>
        <v>-</v>
      </c>
      <c r="EV42" s="366" t="str">
        <f>IF($AB42&gt;CDS.Tenor,"-",_xlfn.NORM.S.DIST(($ED42-SQRT(ImpliedCorrelation)*EV$3)/SQRT(1-ImpliedCorrelation),TRUE))</f>
        <v>-</v>
      </c>
      <c r="EW42" s="366" t="str">
        <f>IF($AB42&gt;CDS.Tenor,"-",_xlfn.NORM.S.DIST(($ED42-SQRT(ImpliedCorrelation)*EW$3)/SQRT(1-ImpliedCorrelation),TRUE))</f>
        <v>-</v>
      </c>
      <c r="EX42" s="366" t="str">
        <f>IF($AB42&gt;CDS.Tenor,"-",_xlfn.NORM.S.DIST(($ED42-SQRT(ImpliedCorrelation)*EX$3)/SQRT(1-ImpliedCorrelation),TRUE))</f>
        <v>-</v>
      </c>
      <c r="EY42" s="366" t="str">
        <f>IF($AB42&gt;CDS.Tenor,"-",_xlfn.NORM.S.DIST(($ED42-SQRT(ImpliedCorrelation)*EY$3)/SQRT(1-ImpliedCorrelation),TRUE))</f>
        <v>-</v>
      </c>
      <c r="EZ42" s="366" t="str">
        <f>IF($AB42&gt;CDS.Tenor,"-",_xlfn.NORM.S.DIST(($ED42-SQRT(ImpliedCorrelation)*EZ$3)/SQRT(1-ImpliedCorrelation),TRUE))</f>
        <v>-</v>
      </c>
      <c r="FA42" s="366" t="str">
        <f>IF($AB42&gt;CDS.Tenor,"-",_xlfn.NORM.S.DIST(($ED42-SQRT(ImpliedCorrelation)*FA$3)/SQRT(1-ImpliedCorrelation),TRUE))</f>
        <v>-</v>
      </c>
      <c r="FB42" s="366"/>
      <c r="FC42" s="370">
        <f t="shared" si="119"/>
        <v>9.5</v>
      </c>
      <c r="FD42" s="366" t="str">
        <f>IF($AB42&gt;CDS.Tenor,"-",1-EG42)</f>
        <v>-</v>
      </c>
      <c r="FE42" s="366" t="str">
        <f>IF($AB42&gt;CDS.Tenor,"-",1-EH42)</f>
        <v>-</v>
      </c>
      <c r="FF42" s="366" t="str">
        <f>IF($AB42&gt;CDS.Tenor,"-",1-EI42)</f>
        <v>-</v>
      </c>
      <c r="FG42" s="366" t="str">
        <f>IF($AB42&gt;CDS.Tenor,"-",1-EJ42)</f>
        <v>-</v>
      </c>
      <c r="FH42" s="366" t="str">
        <f>IF($AB42&gt;CDS.Tenor,"-",1-EK42)</f>
        <v>-</v>
      </c>
      <c r="FI42" s="366" t="str">
        <f>IF($AB42&gt;CDS.Tenor,"-",1-EL42)</f>
        <v>-</v>
      </c>
      <c r="FJ42" s="366" t="str">
        <f>IF($AB42&gt;CDS.Tenor,"-",1-EM42)</f>
        <v>-</v>
      </c>
      <c r="FK42" s="366" t="str">
        <f>IF($AB42&gt;CDS.Tenor,"-",1-EN42)</f>
        <v>-</v>
      </c>
      <c r="FL42" s="366" t="str">
        <f>IF($AB42&gt;CDS.Tenor,"-",1-EO42)</f>
        <v>-</v>
      </c>
      <c r="FM42" s="366" t="str">
        <f>IF($AB42&gt;CDS.Tenor,"-",1-EP42)</f>
        <v>-</v>
      </c>
      <c r="FN42" s="366" t="str">
        <f>IF($AB42&gt;CDS.Tenor,"-",1-EQ42)</f>
        <v>-</v>
      </c>
      <c r="FO42" s="366" t="str">
        <f>IF($AB42&gt;CDS.Tenor,"-",1-ER42)</f>
        <v>-</v>
      </c>
      <c r="FP42" s="366" t="str">
        <f>IF($AB42&gt;CDS.Tenor,"-",1-ES42)</f>
        <v>-</v>
      </c>
      <c r="FQ42" s="366" t="str">
        <f>IF($AB42&gt;CDS.Tenor,"-",1-ET42)</f>
        <v>-</v>
      </c>
      <c r="FR42" s="366" t="str">
        <f>IF($AB42&gt;CDS.Tenor,"-",1-EU42)</f>
        <v>-</v>
      </c>
      <c r="FS42" s="366" t="str">
        <f>IF($AB42&gt;CDS.Tenor,"-",1-EV42)</f>
        <v>-</v>
      </c>
      <c r="FT42" s="366" t="str">
        <f>IF($AB42&gt;CDS.Tenor,"-",1-EW42)</f>
        <v>-</v>
      </c>
      <c r="FU42" s="366" t="str">
        <f>IF($AB42&gt;CDS.Tenor,"-",1-EX42)</f>
        <v>-</v>
      </c>
      <c r="FV42" s="366" t="str">
        <f>IF($AB42&gt;CDS.Tenor,"-",1-EY42)</f>
        <v>-</v>
      </c>
      <c r="FW42" s="366" t="str">
        <f>IF($AB42&gt;CDS.Tenor,"-",1-EZ42)</f>
        <v>-</v>
      </c>
      <c r="FX42" s="362" t="str">
        <f>IF($AB42&gt;CDS.Tenor,"-",1-FA42)</f>
        <v>-</v>
      </c>
      <c r="FZ42" s="370">
        <f t="shared" si="120"/>
        <v>9.5</v>
      </c>
      <c r="GA42" s="366" t="str">
        <f>IF($AB42&gt;CDS.Tenor,"-",BF42*DE42*FD42)</f>
        <v>-</v>
      </c>
      <c r="GB42" s="366" t="str">
        <f>IF($AB42&gt;CDS.Tenor,"-",BG42*DF42*FE42)</f>
        <v>-</v>
      </c>
      <c r="GC42" s="366" t="str">
        <f>IF($AB42&gt;CDS.Tenor,"-",BH42*DG42*FF42)</f>
        <v>-</v>
      </c>
      <c r="GD42" s="366" t="str">
        <f>IF($AB42&gt;CDS.Tenor,"-",BI42*DH42*FG42)</f>
        <v>-</v>
      </c>
      <c r="GE42" s="366" t="str">
        <f>IF($AB42&gt;CDS.Tenor,"-",BJ42*DI42*FH42)</f>
        <v>-</v>
      </c>
      <c r="GF42" s="366" t="str">
        <f>IF($AB42&gt;CDS.Tenor,"-",BK42*DJ42*FI42)</f>
        <v>-</v>
      </c>
      <c r="GG42" s="366" t="str">
        <f>IF($AB42&gt;CDS.Tenor,"-",BL42*DK42*FJ42)</f>
        <v>-</v>
      </c>
      <c r="GH42" s="366" t="str">
        <f>IF($AB42&gt;CDS.Tenor,"-",BM42*DL42*FK42)</f>
        <v>-</v>
      </c>
      <c r="GI42" s="366" t="str">
        <f>IF($AB42&gt;CDS.Tenor,"-",BN42*DM42*FL42)</f>
        <v>-</v>
      </c>
      <c r="GJ42" s="366" t="str">
        <f>IF($AB42&gt;CDS.Tenor,"-",BO42*DN42*FM42)</f>
        <v>-</v>
      </c>
      <c r="GK42" s="366" t="str">
        <f>IF($AB42&gt;CDS.Tenor,"-",BP42*DO42*FN42)</f>
        <v>-</v>
      </c>
      <c r="GL42" s="366" t="str">
        <f>IF($AB42&gt;CDS.Tenor,"-",BQ42*DP42*FO42)</f>
        <v>-</v>
      </c>
      <c r="GM42" s="366" t="str">
        <f>IF($AB42&gt;CDS.Tenor,"-",BR42*DQ42*FP42)</f>
        <v>-</v>
      </c>
      <c r="GN42" s="366" t="str">
        <f>IF($AB42&gt;CDS.Tenor,"-",BS42*DR42*FQ42)</f>
        <v>-</v>
      </c>
      <c r="GO42" s="366" t="str">
        <f>IF($AB42&gt;CDS.Tenor,"-",BT42*DS42*FR42)</f>
        <v>-</v>
      </c>
      <c r="GP42" s="366" t="str">
        <f>IF($AB42&gt;CDS.Tenor,"-",BU42*DT42*FS42)</f>
        <v>-</v>
      </c>
      <c r="GQ42" s="366" t="str">
        <f>IF($AB42&gt;CDS.Tenor,"-",BV42*DU42*FT42)</f>
        <v>-</v>
      </c>
      <c r="GR42" s="366" t="str">
        <f>IF($AB42&gt;CDS.Tenor,"-",BW42*DV42*FU42)</f>
        <v>-</v>
      </c>
      <c r="GS42" s="366" t="str">
        <f>IF($AB42&gt;CDS.Tenor,"-",BX42*DW42*FV42)</f>
        <v>-</v>
      </c>
      <c r="GT42" s="366" t="str">
        <f>IF($AB42&gt;CDS.Tenor,"-",BY42*DX42*FW42)</f>
        <v>-</v>
      </c>
      <c r="GU42" s="362" t="str">
        <f>IF($AB42&gt;CDS.Tenor,"-",BZ42*DY42*FX42)</f>
        <v>-</v>
      </c>
      <c r="GV42" s="42"/>
      <c r="GW42" s="370">
        <f t="shared" si="121"/>
        <v>9.5</v>
      </c>
      <c r="GX42" s="378" t="str">
        <f>IF($AB42&gt;CDS.Tenor,"-",SUMPRODUCT($GA42:$GU42,$GA$4:$GU$4)*dm)</f>
        <v>-</v>
      </c>
      <c r="GY42" s="381" t="str">
        <f>IF($AB42&gt;CDS.Tenor,"-",GX41-GX42)</f>
        <v>-</v>
      </c>
    </row>
    <row r="43" spans="10:207" x14ac:dyDescent="0.3">
      <c r="J43" s="156">
        <f t="shared" si="103"/>
        <v>9.75</v>
      </c>
      <c r="K43" s="28" t="str">
        <f>IF($J43&gt;CDS.Tenor,"-",CDS.PremiumSign*CDS.Notional*CDS.YearFraction*CDS.CreditSpread)</f>
        <v>-</v>
      </c>
      <c r="L43" s="10" t="str">
        <f>GX43</f>
        <v>-</v>
      </c>
      <c r="M43" s="10" t="str">
        <f>IF($J43&gt;CDS.Tenor,"-",L42-L43)</f>
        <v>-</v>
      </c>
      <c r="N43" s="94" t="str" cm="1">
        <f t="array" ref="N43">IF($J43&gt;CDS.Tenor,"-",cubicInterpolation(CurveResults.Times,CurveResults.DFs,$J43))</f>
        <v>-</v>
      </c>
      <c r="O43" s="28" t="str">
        <f>IF($J43&gt;CDS.Tenor,"-",K43*L43*N43)</f>
        <v>-</v>
      </c>
      <c r="P43" s="28" t="str">
        <f>IF($J43&gt;CDS.Tenor,"-",0.5*K43*M43*N43)</f>
        <v>-</v>
      </c>
      <c r="Q43" s="142" t="str">
        <f>IF($J43&gt;CDS.Tenor,"-",O43+P43)</f>
        <v>-</v>
      </c>
      <c r="T43" s="156">
        <f t="shared" si="104"/>
        <v>9.75</v>
      </c>
      <c r="U43" s="28" t="str">
        <f>IF($J43&gt;CDS.Tenor,"-",CDS.ProtectionSign*CDS.Notional*(1-CDS.RecoveryRate))</f>
        <v>-</v>
      </c>
      <c r="V43" s="10" t="str">
        <f>IF($J43&gt;CDS.Tenor,"-",GX43)</f>
        <v>-</v>
      </c>
      <c r="W43" s="10" t="str">
        <f>IF($J43&gt;CDS.Tenor,"-",V42-V43)</f>
        <v>-</v>
      </c>
      <c r="X43" s="94" t="str" cm="1">
        <f t="array" ref="X43">IF($T43&gt;CDS.Tenor,"-",cubicInterpolation(CurveResults.Times,CurveResults.DFs,$J43))</f>
        <v>-</v>
      </c>
      <c r="Y43" s="142" t="str">
        <f>IF($J43&gt;CDS.Tenor,"-",U43*W43*X43)</f>
        <v>-</v>
      </c>
      <c r="AB43" s="156">
        <f t="shared" si="105"/>
        <v>9.75</v>
      </c>
      <c r="AC43" s="352" t="str" cm="1">
        <f t="array" aca="1" ref="AC43" ca="1">IF($AB43&gt;CDS.Tenor,"-",flatInterpolation(AA43,INDIRECT(HazardRateTimes1),INDIRECT(HazardRateValues1)))</f>
        <v>-</v>
      </c>
      <c r="AD43" s="10" t="str">
        <f t="shared" si="106"/>
        <v>-</v>
      </c>
      <c r="AE43" s="10" t="str">
        <f t="shared" si="107"/>
        <v>-</v>
      </c>
      <c r="AF43" s="360" t="str">
        <f>IF($AB43&gt;CDS.Tenor,"-",NORMSINV(AE43))</f>
        <v>-</v>
      </c>
      <c r="AG43" s="360"/>
      <c r="AH43" s="370">
        <f t="shared" si="108"/>
        <v>9.75</v>
      </c>
      <c r="AI43" s="366" t="str">
        <f>IF($AB43&gt;CDS.Tenor,"-",_xlfn.NORM.S.DIST(($AF43-SQRT(ImpliedCorrelation)*AI$3)/SQRT(1-ImpliedCorrelation),TRUE))</f>
        <v>-</v>
      </c>
      <c r="AJ43" s="366" t="str">
        <f>IF($AB43&gt;CDS.Tenor,"-",_xlfn.NORM.S.DIST(($AF43-SQRT(ImpliedCorrelation)*AJ$3)/SQRT(1-ImpliedCorrelation),TRUE))</f>
        <v>-</v>
      </c>
      <c r="AK43" s="366" t="str">
        <f>IF($AB43&gt;CDS.Tenor,"-",_xlfn.NORM.S.DIST(($AF43-SQRT(ImpliedCorrelation)*AK$3)/SQRT(1-ImpliedCorrelation),TRUE))</f>
        <v>-</v>
      </c>
      <c r="AL43" s="366" t="str">
        <f>IF($AB43&gt;CDS.Tenor,"-",_xlfn.NORM.S.DIST(($AF43-SQRT(ImpliedCorrelation)*AL$3)/SQRT(1-ImpliedCorrelation),TRUE))</f>
        <v>-</v>
      </c>
      <c r="AM43" s="366" t="str">
        <f>IF($AB43&gt;CDS.Tenor,"-",_xlfn.NORM.S.DIST(($AF43-SQRT(ImpliedCorrelation)*AM$3)/SQRT(1-ImpliedCorrelation),TRUE))</f>
        <v>-</v>
      </c>
      <c r="AN43" s="366" t="str">
        <f>IF($AB43&gt;CDS.Tenor,"-",_xlfn.NORM.S.DIST(($AF43-SQRT(ImpliedCorrelation)*AN$3)/SQRT(1-ImpliedCorrelation),TRUE))</f>
        <v>-</v>
      </c>
      <c r="AO43" s="366" t="str">
        <f>IF($AB43&gt;CDS.Tenor,"-",_xlfn.NORM.S.DIST(($AF43-SQRT(ImpliedCorrelation)*AO$3)/SQRT(1-ImpliedCorrelation),TRUE))</f>
        <v>-</v>
      </c>
      <c r="AP43" s="366" t="str">
        <f>IF($AB43&gt;CDS.Tenor,"-",_xlfn.NORM.S.DIST(($AF43-SQRT(ImpliedCorrelation)*AP$3)/SQRT(1-ImpliedCorrelation),TRUE))</f>
        <v>-</v>
      </c>
      <c r="AQ43" s="366" t="str">
        <f>IF($AB43&gt;CDS.Tenor,"-",_xlfn.NORM.S.DIST(($AF43-SQRT(ImpliedCorrelation)*AQ$3)/SQRT(1-ImpliedCorrelation),TRUE))</f>
        <v>-</v>
      </c>
      <c r="AR43" s="366" t="str">
        <f>IF($AB43&gt;CDS.Tenor,"-",_xlfn.NORM.S.DIST(($AF43-SQRT(ImpliedCorrelation)*AR$3)/SQRT(1-ImpliedCorrelation),TRUE))</f>
        <v>-</v>
      </c>
      <c r="AS43" s="366" t="str">
        <f>IF($AB43&gt;CDS.Tenor,"-",_xlfn.NORM.S.DIST(($AF43-SQRT(ImpliedCorrelation)*AS$3)/SQRT(1-ImpliedCorrelation),TRUE))</f>
        <v>-</v>
      </c>
      <c r="AT43" s="366" t="str">
        <f>IF($AB43&gt;CDS.Tenor,"-",_xlfn.NORM.S.DIST(($AF43-SQRT(ImpliedCorrelation)*AT$3)/SQRT(1-ImpliedCorrelation),TRUE))</f>
        <v>-</v>
      </c>
      <c r="AU43" s="366" t="str">
        <f>IF($AB43&gt;CDS.Tenor,"-",_xlfn.NORM.S.DIST(($AF43-SQRT(ImpliedCorrelation)*AU$3)/SQRT(1-ImpliedCorrelation),TRUE))</f>
        <v>-</v>
      </c>
      <c r="AV43" s="366" t="str">
        <f>IF($AB43&gt;CDS.Tenor,"-",_xlfn.NORM.S.DIST(($AF43-SQRT(ImpliedCorrelation)*AV$3)/SQRT(1-ImpliedCorrelation),TRUE))</f>
        <v>-</v>
      </c>
      <c r="AW43" s="366" t="str">
        <f>IF($AB43&gt;CDS.Tenor,"-",_xlfn.NORM.S.DIST(($AF43-SQRT(ImpliedCorrelation)*AW$3)/SQRT(1-ImpliedCorrelation),TRUE))</f>
        <v>-</v>
      </c>
      <c r="AX43" s="366" t="str">
        <f>IF($AB43&gt;CDS.Tenor,"-",_xlfn.NORM.S.DIST(($AF43-SQRT(ImpliedCorrelation)*AX$3)/SQRT(1-ImpliedCorrelation),TRUE))</f>
        <v>-</v>
      </c>
      <c r="AY43" s="366" t="str">
        <f>IF($AB43&gt;CDS.Tenor,"-",_xlfn.NORM.S.DIST(($AF43-SQRT(ImpliedCorrelation)*AY$3)/SQRT(1-ImpliedCorrelation),TRUE))</f>
        <v>-</v>
      </c>
      <c r="AZ43" s="366" t="str">
        <f>IF($AB43&gt;CDS.Tenor,"-",_xlfn.NORM.S.DIST(($AF43-SQRT(ImpliedCorrelation)*AZ$3)/SQRT(1-ImpliedCorrelation),TRUE))</f>
        <v>-</v>
      </c>
      <c r="BA43" s="366" t="str">
        <f>IF($AB43&gt;CDS.Tenor,"-",_xlfn.NORM.S.DIST(($AF43-SQRT(ImpliedCorrelation)*BA$3)/SQRT(1-ImpliedCorrelation),TRUE))</f>
        <v>-</v>
      </c>
      <c r="BB43" s="366" t="str">
        <f>IF($AB43&gt;CDS.Tenor,"-",_xlfn.NORM.S.DIST(($AF43-SQRT(ImpliedCorrelation)*BB$3)/SQRT(1-ImpliedCorrelation),TRUE))</f>
        <v>-</v>
      </c>
      <c r="BC43" s="366" t="str">
        <f>IF($AB43&gt;CDS.Tenor,"-",_xlfn.NORM.S.DIST(($AF43-SQRT(ImpliedCorrelation)*BC$3)/SQRT(1-ImpliedCorrelation),TRUE))</f>
        <v>-</v>
      </c>
      <c r="BD43" s="366"/>
      <c r="BE43" s="370">
        <f t="shared" si="109"/>
        <v>9.75</v>
      </c>
      <c r="BF43" s="366" t="str">
        <f>IF($AB43&gt;CDS.Tenor,"-",1-AI43)</f>
        <v>-</v>
      </c>
      <c r="BG43" s="366" t="str">
        <f>IF($AB43&gt;CDS.Tenor,"-",1-AJ43)</f>
        <v>-</v>
      </c>
      <c r="BH43" s="366" t="str">
        <f>IF($AB43&gt;CDS.Tenor,"-",1-AK43)</f>
        <v>-</v>
      </c>
      <c r="BI43" s="366" t="str">
        <f>IF($AB43&gt;CDS.Tenor,"-",1-AL43)</f>
        <v>-</v>
      </c>
      <c r="BJ43" s="366" t="str">
        <f>IF($AB43&gt;CDS.Tenor,"-",1-AM43)</f>
        <v>-</v>
      </c>
      <c r="BK43" s="366" t="str">
        <f>IF($AB43&gt;CDS.Tenor,"-",1-AN43)</f>
        <v>-</v>
      </c>
      <c r="BL43" s="366" t="str">
        <f>IF($AB43&gt;CDS.Tenor,"-",1-AO43)</f>
        <v>-</v>
      </c>
      <c r="BM43" s="366" t="str">
        <f>IF($AB43&gt;CDS.Tenor,"-",1-AP43)</f>
        <v>-</v>
      </c>
      <c r="BN43" s="366" t="str">
        <f>IF($AB43&gt;CDS.Tenor,"-",1-AQ43)</f>
        <v>-</v>
      </c>
      <c r="BO43" s="366" t="str">
        <f>IF($AB43&gt;CDS.Tenor,"-",1-AR43)</f>
        <v>-</v>
      </c>
      <c r="BP43" s="366" t="str">
        <f>IF($AB43&gt;CDS.Tenor,"-",1-AS43)</f>
        <v>-</v>
      </c>
      <c r="BQ43" s="366" t="str">
        <f>IF($AB43&gt;CDS.Tenor,"-",1-AT43)</f>
        <v>-</v>
      </c>
      <c r="BR43" s="366" t="str">
        <f>IF($AB43&gt;CDS.Tenor,"-",1-AU43)</f>
        <v>-</v>
      </c>
      <c r="BS43" s="366" t="str">
        <f>IF($AB43&gt;CDS.Tenor,"-",1-AV43)</f>
        <v>-</v>
      </c>
      <c r="BT43" s="366" t="str">
        <f>IF($AB43&gt;CDS.Tenor,"-",1-AW43)</f>
        <v>-</v>
      </c>
      <c r="BU43" s="366" t="str">
        <f>IF($AB43&gt;CDS.Tenor,"-",1-AX43)</f>
        <v>-</v>
      </c>
      <c r="BV43" s="366" t="str">
        <f>IF($AB43&gt;CDS.Tenor,"-",1-AY43)</f>
        <v>-</v>
      </c>
      <c r="BW43" s="366" t="str">
        <f>IF($AB43&gt;CDS.Tenor,"-",1-AZ43)</f>
        <v>-</v>
      </c>
      <c r="BX43" s="366" t="str">
        <f>IF($AB43&gt;CDS.Tenor,"-",1-BA43)</f>
        <v>-</v>
      </c>
      <c r="BY43" s="366" t="str">
        <f>IF($AB43&gt;CDS.Tenor,"-",1-BB43)</f>
        <v>-</v>
      </c>
      <c r="BZ43" s="366" t="str">
        <f>IF($AB43&gt;CDS.Tenor,"-",1-BC43)</f>
        <v>-</v>
      </c>
      <c r="CA43" s="17"/>
      <c r="CB43" s="352" t="str" cm="1">
        <f t="array" aca="1" ref="CB43" ca="1">IF($AB43&gt;CDS.Tenor,"-",flatInterpolation(AB43,INDIRECT(HazardRateTimes2),INDIRECT(HazardRateValues2)))</f>
        <v>-</v>
      </c>
      <c r="CC43" s="10" t="str">
        <f t="shared" si="110"/>
        <v>-</v>
      </c>
      <c r="CD43" s="10" t="str">
        <f t="shared" si="111"/>
        <v>-</v>
      </c>
      <c r="CE43" s="81" t="str">
        <f t="shared" si="112"/>
        <v>-</v>
      </c>
      <c r="CF43" s="360"/>
      <c r="CG43" s="370">
        <f t="shared" si="113"/>
        <v>9.75</v>
      </c>
      <c r="CH43" s="366" t="str">
        <f>IF($AB43&gt;CDS.Tenor,"-",_xlfn.NORM.S.DIST(($CE43-SQRT(ImpliedCorrelation)*CH$3)/SQRT(1-ImpliedCorrelation),TRUE))</f>
        <v>-</v>
      </c>
      <c r="CI43" s="366" t="str">
        <f>IF($AB43&gt;CDS.Tenor,"-",_xlfn.NORM.S.DIST(($CE43-SQRT(ImpliedCorrelation)*CI$3)/SQRT(1-ImpliedCorrelation),TRUE))</f>
        <v>-</v>
      </c>
      <c r="CJ43" s="366" t="str">
        <f>IF($AB43&gt;CDS.Tenor,"-",_xlfn.NORM.S.DIST(($CE43-SQRT(ImpliedCorrelation)*CJ$3)/SQRT(1-ImpliedCorrelation),TRUE))</f>
        <v>-</v>
      </c>
      <c r="CK43" s="366" t="str">
        <f>IF($AB43&gt;CDS.Tenor,"-",_xlfn.NORM.S.DIST(($CE43-SQRT(ImpliedCorrelation)*CK$3)/SQRT(1-ImpliedCorrelation),TRUE))</f>
        <v>-</v>
      </c>
      <c r="CL43" s="366" t="str">
        <f>IF($AB43&gt;CDS.Tenor,"-",_xlfn.NORM.S.DIST(($CE43-SQRT(ImpliedCorrelation)*CL$3)/SQRT(1-ImpliedCorrelation),TRUE))</f>
        <v>-</v>
      </c>
      <c r="CM43" s="366" t="str">
        <f>IF($AB43&gt;CDS.Tenor,"-",_xlfn.NORM.S.DIST(($CE43-SQRT(ImpliedCorrelation)*CM$3)/SQRT(1-ImpliedCorrelation),TRUE))</f>
        <v>-</v>
      </c>
      <c r="CN43" s="366" t="str">
        <f>IF($AB43&gt;CDS.Tenor,"-",_xlfn.NORM.S.DIST(($CE43-SQRT(ImpliedCorrelation)*CN$3)/SQRT(1-ImpliedCorrelation),TRUE))</f>
        <v>-</v>
      </c>
      <c r="CO43" s="366" t="str">
        <f>IF($AB43&gt;CDS.Tenor,"-",_xlfn.NORM.S.DIST(($CE43-SQRT(ImpliedCorrelation)*CO$3)/SQRT(1-ImpliedCorrelation),TRUE))</f>
        <v>-</v>
      </c>
      <c r="CP43" s="366" t="str">
        <f>IF($AB43&gt;CDS.Tenor,"-",_xlfn.NORM.S.DIST(($CE43-SQRT(ImpliedCorrelation)*CP$3)/SQRT(1-ImpliedCorrelation),TRUE))</f>
        <v>-</v>
      </c>
      <c r="CQ43" s="366" t="str">
        <f>IF($AB43&gt;CDS.Tenor,"-",_xlfn.NORM.S.DIST(($CE43-SQRT(ImpliedCorrelation)*CQ$3)/SQRT(1-ImpliedCorrelation),TRUE))</f>
        <v>-</v>
      </c>
      <c r="CR43" s="366" t="str">
        <f>IF($AB43&gt;CDS.Tenor,"-",_xlfn.NORM.S.DIST(($CE43-SQRT(ImpliedCorrelation)*CR$3)/SQRT(1-ImpliedCorrelation),TRUE))</f>
        <v>-</v>
      </c>
      <c r="CS43" s="366" t="str">
        <f>IF($AB43&gt;CDS.Tenor,"-",_xlfn.NORM.S.DIST(($CE43-SQRT(ImpliedCorrelation)*CS$3)/SQRT(1-ImpliedCorrelation),TRUE))</f>
        <v>-</v>
      </c>
      <c r="CT43" s="366" t="str">
        <f>IF($AB43&gt;CDS.Tenor,"-",_xlfn.NORM.S.DIST(($CE43-SQRT(ImpliedCorrelation)*CT$3)/SQRT(1-ImpliedCorrelation),TRUE))</f>
        <v>-</v>
      </c>
      <c r="CU43" s="366" t="str">
        <f>IF($AB43&gt;CDS.Tenor,"-",_xlfn.NORM.S.DIST(($CE43-SQRT(ImpliedCorrelation)*CU$3)/SQRT(1-ImpliedCorrelation),TRUE))</f>
        <v>-</v>
      </c>
      <c r="CV43" s="366" t="str">
        <f>IF($AB43&gt;CDS.Tenor,"-",_xlfn.NORM.S.DIST(($CE43-SQRT(ImpliedCorrelation)*CV$3)/SQRT(1-ImpliedCorrelation),TRUE))</f>
        <v>-</v>
      </c>
      <c r="CW43" s="366" t="str">
        <f>IF($AB43&gt;CDS.Tenor,"-",_xlfn.NORM.S.DIST(($CE43-SQRT(ImpliedCorrelation)*CW$3)/SQRT(1-ImpliedCorrelation),TRUE))</f>
        <v>-</v>
      </c>
      <c r="CX43" s="366" t="str">
        <f>IF($AB43&gt;CDS.Tenor,"-",_xlfn.NORM.S.DIST(($CE43-SQRT(ImpliedCorrelation)*CX$3)/SQRT(1-ImpliedCorrelation),TRUE))</f>
        <v>-</v>
      </c>
      <c r="CY43" s="366" t="str">
        <f>IF($AB43&gt;CDS.Tenor,"-",_xlfn.NORM.S.DIST(($CE43-SQRT(ImpliedCorrelation)*CY$3)/SQRT(1-ImpliedCorrelation),TRUE))</f>
        <v>-</v>
      </c>
      <c r="CZ43" s="366" t="str">
        <f>IF($AB43&gt;CDS.Tenor,"-",_xlfn.NORM.S.DIST(($CE43-SQRT(ImpliedCorrelation)*CZ$3)/SQRT(1-ImpliedCorrelation),TRUE))</f>
        <v>-</v>
      </c>
      <c r="DA43" s="366" t="str">
        <f>IF($AB43&gt;CDS.Tenor,"-",_xlfn.NORM.S.DIST(($CE43-SQRT(ImpliedCorrelation)*DA$3)/SQRT(1-ImpliedCorrelation),TRUE))</f>
        <v>-</v>
      </c>
      <c r="DB43" s="366" t="str">
        <f>IF($AB43&gt;CDS.Tenor,"-",_xlfn.NORM.S.DIST(($CE43-SQRT(ImpliedCorrelation)*DB$3)/SQRT(1-ImpliedCorrelation),TRUE))</f>
        <v>-</v>
      </c>
      <c r="DC43" s="366"/>
      <c r="DD43" s="370">
        <f t="shared" si="114"/>
        <v>9.75</v>
      </c>
      <c r="DE43" s="366" t="str">
        <f>IF($AB43&gt;CDS.Tenor,"-",1-CH43)</f>
        <v>-</v>
      </c>
      <c r="DF43" s="366" t="str">
        <f>IF($AB43&gt;CDS.Tenor,"-",1-CI43)</f>
        <v>-</v>
      </c>
      <c r="DG43" s="366" t="str">
        <f>IF($AB43&gt;CDS.Tenor,"-",1-CJ43)</f>
        <v>-</v>
      </c>
      <c r="DH43" s="366" t="str">
        <f>IF($AB43&gt;CDS.Tenor,"-",1-CK43)</f>
        <v>-</v>
      </c>
      <c r="DI43" s="366" t="str">
        <f>IF($AB43&gt;CDS.Tenor,"-",1-CL43)</f>
        <v>-</v>
      </c>
      <c r="DJ43" s="366" t="str">
        <f>IF($AB43&gt;CDS.Tenor,"-",1-CM43)</f>
        <v>-</v>
      </c>
      <c r="DK43" s="366" t="str">
        <f>IF($AB43&gt;CDS.Tenor,"-",1-CN43)</f>
        <v>-</v>
      </c>
      <c r="DL43" s="366" t="str">
        <f>IF($AB43&gt;CDS.Tenor,"-",1-CO43)</f>
        <v>-</v>
      </c>
      <c r="DM43" s="366" t="str">
        <f>IF($AB43&gt;CDS.Tenor,"-",1-CP43)</f>
        <v>-</v>
      </c>
      <c r="DN43" s="366" t="str">
        <f>IF($AB43&gt;CDS.Tenor,"-",1-CQ43)</f>
        <v>-</v>
      </c>
      <c r="DO43" s="366" t="str">
        <f>IF($AB43&gt;CDS.Tenor,"-",1-CR43)</f>
        <v>-</v>
      </c>
      <c r="DP43" s="366" t="str">
        <f>IF($AB43&gt;CDS.Tenor,"-",1-CS43)</f>
        <v>-</v>
      </c>
      <c r="DQ43" s="366" t="str">
        <f>IF($AB43&gt;CDS.Tenor,"-",1-CT43)</f>
        <v>-</v>
      </c>
      <c r="DR43" s="366" t="str">
        <f>IF($AB43&gt;CDS.Tenor,"-",1-CU43)</f>
        <v>-</v>
      </c>
      <c r="DS43" s="366" t="str">
        <f>IF($AB43&gt;CDS.Tenor,"-",1-CV43)</f>
        <v>-</v>
      </c>
      <c r="DT43" s="366" t="str">
        <f>IF($AB43&gt;CDS.Tenor,"-",1-CW43)</f>
        <v>-</v>
      </c>
      <c r="DU43" s="366" t="str">
        <f>IF($AB43&gt;CDS.Tenor,"-",1-CX43)</f>
        <v>-</v>
      </c>
      <c r="DV43" s="366" t="str">
        <f>IF($AB43&gt;CDS.Tenor,"-",1-CY43)</f>
        <v>-</v>
      </c>
      <c r="DW43" s="366" t="str">
        <f>IF($AB43&gt;CDS.Tenor,"-",1-CZ43)</f>
        <v>-</v>
      </c>
      <c r="DX43" s="366" t="str">
        <f>IF($AB43&gt;CDS.Tenor,"-",1-DA43)</f>
        <v>-</v>
      </c>
      <c r="DY43" s="362" t="str">
        <f>IF($AB43&gt;CDS.Tenor,"-",1-DB43)</f>
        <v>-</v>
      </c>
      <c r="DZ43" s="360"/>
      <c r="EA43" s="352" t="str" cm="1">
        <f t="array" aca="1" ref="EA43" ca="1">IF($AB43&gt;CDS.Tenor,"-",flatInterpolation(CC43,INDIRECT(HazardRateTimes3),INDIRECT(HazardRateValues3)))</f>
        <v>-</v>
      </c>
      <c r="EB43" s="10" t="str">
        <f t="shared" si="115"/>
        <v>-</v>
      </c>
      <c r="EC43" s="10" t="str">
        <f t="shared" si="116"/>
        <v>-</v>
      </c>
      <c r="ED43" s="81" t="str">
        <f t="shared" si="117"/>
        <v>-</v>
      </c>
      <c r="EF43" s="370">
        <f t="shared" si="118"/>
        <v>9.75</v>
      </c>
      <c r="EG43" s="366" t="str">
        <f>IF($AB43&gt;CDS.Tenor,"-",_xlfn.NORM.S.DIST(($ED43-SQRT(ImpliedCorrelation)*EG$3)/SQRT(1-ImpliedCorrelation),TRUE))</f>
        <v>-</v>
      </c>
      <c r="EH43" s="366" t="str">
        <f>IF($AB43&gt;CDS.Tenor,"-",_xlfn.NORM.S.DIST(($ED43-SQRT(ImpliedCorrelation)*EH$3)/SQRT(1-ImpliedCorrelation),TRUE))</f>
        <v>-</v>
      </c>
      <c r="EI43" s="366" t="str">
        <f>IF($AB43&gt;CDS.Tenor,"-",_xlfn.NORM.S.DIST(($ED43-SQRT(ImpliedCorrelation)*EI$3)/SQRT(1-ImpliedCorrelation),TRUE))</f>
        <v>-</v>
      </c>
      <c r="EJ43" s="366" t="str">
        <f>IF($AB43&gt;CDS.Tenor,"-",_xlfn.NORM.S.DIST(($ED43-SQRT(ImpliedCorrelation)*EJ$3)/SQRT(1-ImpliedCorrelation),TRUE))</f>
        <v>-</v>
      </c>
      <c r="EK43" s="366" t="str">
        <f>IF($AB43&gt;CDS.Tenor,"-",_xlfn.NORM.S.DIST(($ED43-SQRT(ImpliedCorrelation)*EK$3)/SQRT(1-ImpliedCorrelation),TRUE))</f>
        <v>-</v>
      </c>
      <c r="EL43" s="366" t="str">
        <f>IF($AB43&gt;CDS.Tenor,"-",_xlfn.NORM.S.DIST(($ED43-SQRT(ImpliedCorrelation)*EL$3)/SQRT(1-ImpliedCorrelation),TRUE))</f>
        <v>-</v>
      </c>
      <c r="EM43" s="366" t="str">
        <f>IF($AB43&gt;CDS.Tenor,"-",_xlfn.NORM.S.DIST(($ED43-SQRT(ImpliedCorrelation)*EM$3)/SQRT(1-ImpliedCorrelation),TRUE))</f>
        <v>-</v>
      </c>
      <c r="EN43" s="366" t="str">
        <f>IF($AB43&gt;CDS.Tenor,"-",_xlfn.NORM.S.DIST(($ED43-SQRT(ImpliedCorrelation)*EN$3)/SQRT(1-ImpliedCorrelation),TRUE))</f>
        <v>-</v>
      </c>
      <c r="EO43" s="366" t="str">
        <f>IF($AB43&gt;CDS.Tenor,"-",_xlfn.NORM.S.DIST(($ED43-SQRT(ImpliedCorrelation)*EO$3)/SQRT(1-ImpliedCorrelation),TRUE))</f>
        <v>-</v>
      </c>
      <c r="EP43" s="366" t="str">
        <f>IF($AB43&gt;CDS.Tenor,"-",_xlfn.NORM.S.DIST(($ED43-SQRT(ImpliedCorrelation)*EP$3)/SQRT(1-ImpliedCorrelation),TRUE))</f>
        <v>-</v>
      </c>
      <c r="EQ43" s="366" t="str">
        <f>IF($AB43&gt;CDS.Tenor,"-",_xlfn.NORM.S.DIST(($ED43-SQRT(ImpliedCorrelation)*EQ$3)/SQRT(1-ImpliedCorrelation),TRUE))</f>
        <v>-</v>
      </c>
      <c r="ER43" s="366" t="str">
        <f>IF($AB43&gt;CDS.Tenor,"-",_xlfn.NORM.S.DIST(($ED43-SQRT(ImpliedCorrelation)*ER$3)/SQRT(1-ImpliedCorrelation),TRUE))</f>
        <v>-</v>
      </c>
      <c r="ES43" s="366" t="str">
        <f>IF($AB43&gt;CDS.Tenor,"-",_xlfn.NORM.S.DIST(($ED43-SQRT(ImpliedCorrelation)*ES$3)/SQRT(1-ImpliedCorrelation),TRUE))</f>
        <v>-</v>
      </c>
      <c r="ET43" s="366" t="str">
        <f>IF($AB43&gt;CDS.Tenor,"-",_xlfn.NORM.S.DIST(($ED43-SQRT(ImpliedCorrelation)*ET$3)/SQRT(1-ImpliedCorrelation),TRUE))</f>
        <v>-</v>
      </c>
      <c r="EU43" s="366" t="str">
        <f>IF($AB43&gt;CDS.Tenor,"-",_xlfn.NORM.S.DIST(($ED43-SQRT(ImpliedCorrelation)*EU$3)/SQRT(1-ImpliedCorrelation),TRUE))</f>
        <v>-</v>
      </c>
      <c r="EV43" s="366" t="str">
        <f>IF($AB43&gt;CDS.Tenor,"-",_xlfn.NORM.S.DIST(($ED43-SQRT(ImpliedCorrelation)*EV$3)/SQRT(1-ImpliedCorrelation),TRUE))</f>
        <v>-</v>
      </c>
      <c r="EW43" s="366" t="str">
        <f>IF($AB43&gt;CDS.Tenor,"-",_xlfn.NORM.S.DIST(($ED43-SQRT(ImpliedCorrelation)*EW$3)/SQRT(1-ImpliedCorrelation),TRUE))</f>
        <v>-</v>
      </c>
      <c r="EX43" s="366" t="str">
        <f>IF($AB43&gt;CDS.Tenor,"-",_xlfn.NORM.S.DIST(($ED43-SQRT(ImpliedCorrelation)*EX$3)/SQRT(1-ImpliedCorrelation),TRUE))</f>
        <v>-</v>
      </c>
      <c r="EY43" s="366" t="str">
        <f>IF($AB43&gt;CDS.Tenor,"-",_xlfn.NORM.S.DIST(($ED43-SQRT(ImpliedCorrelation)*EY$3)/SQRT(1-ImpliedCorrelation),TRUE))</f>
        <v>-</v>
      </c>
      <c r="EZ43" s="366" t="str">
        <f>IF($AB43&gt;CDS.Tenor,"-",_xlfn.NORM.S.DIST(($ED43-SQRT(ImpliedCorrelation)*EZ$3)/SQRT(1-ImpliedCorrelation),TRUE))</f>
        <v>-</v>
      </c>
      <c r="FA43" s="366" t="str">
        <f>IF($AB43&gt;CDS.Tenor,"-",_xlfn.NORM.S.DIST(($ED43-SQRT(ImpliedCorrelation)*FA$3)/SQRT(1-ImpliedCorrelation),TRUE))</f>
        <v>-</v>
      </c>
      <c r="FB43" s="366"/>
      <c r="FC43" s="370">
        <f t="shared" si="119"/>
        <v>9.75</v>
      </c>
      <c r="FD43" s="366" t="str">
        <f>IF($AB43&gt;CDS.Tenor,"-",1-EG43)</f>
        <v>-</v>
      </c>
      <c r="FE43" s="366" t="str">
        <f>IF($AB43&gt;CDS.Tenor,"-",1-EH43)</f>
        <v>-</v>
      </c>
      <c r="FF43" s="366" t="str">
        <f>IF($AB43&gt;CDS.Tenor,"-",1-EI43)</f>
        <v>-</v>
      </c>
      <c r="FG43" s="366" t="str">
        <f>IF($AB43&gt;CDS.Tenor,"-",1-EJ43)</f>
        <v>-</v>
      </c>
      <c r="FH43" s="366" t="str">
        <f>IF($AB43&gt;CDS.Tenor,"-",1-EK43)</f>
        <v>-</v>
      </c>
      <c r="FI43" s="366" t="str">
        <f>IF($AB43&gt;CDS.Tenor,"-",1-EL43)</f>
        <v>-</v>
      </c>
      <c r="FJ43" s="366" t="str">
        <f>IF($AB43&gt;CDS.Tenor,"-",1-EM43)</f>
        <v>-</v>
      </c>
      <c r="FK43" s="366" t="str">
        <f>IF($AB43&gt;CDS.Tenor,"-",1-EN43)</f>
        <v>-</v>
      </c>
      <c r="FL43" s="366" t="str">
        <f>IF($AB43&gt;CDS.Tenor,"-",1-EO43)</f>
        <v>-</v>
      </c>
      <c r="FM43" s="366" t="str">
        <f>IF($AB43&gt;CDS.Tenor,"-",1-EP43)</f>
        <v>-</v>
      </c>
      <c r="FN43" s="366" t="str">
        <f>IF($AB43&gt;CDS.Tenor,"-",1-EQ43)</f>
        <v>-</v>
      </c>
      <c r="FO43" s="366" t="str">
        <f>IF($AB43&gt;CDS.Tenor,"-",1-ER43)</f>
        <v>-</v>
      </c>
      <c r="FP43" s="366" t="str">
        <f>IF($AB43&gt;CDS.Tenor,"-",1-ES43)</f>
        <v>-</v>
      </c>
      <c r="FQ43" s="366" t="str">
        <f>IF($AB43&gt;CDS.Tenor,"-",1-ET43)</f>
        <v>-</v>
      </c>
      <c r="FR43" s="366" t="str">
        <f>IF($AB43&gt;CDS.Tenor,"-",1-EU43)</f>
        <v>-</v>
      </c>
      <c r="FS43" s="366" t="str">
        <f>IF($AB43&gt;CDS.Tenor,"-",1-EV43)</f>
        <v>-</v>
      </c>
      <c r="FT43" s="366" t="str">
        <f>IF($AB43&gt;CDS.Tenor,"-",1-EW43)</f>
        <v>-</v>
      </c>
      <c r="FU43" s="366" t="str">
        <f>IF($AB43&gt;CDS.Tenor,"-",1-EX43)</f>
        <v>-</v>
      </c>
      <c r="FV43" s="366" t="str">
        <f>IF($AB43&gt;CDS.Tenor,"-",1-EY43)</f>
        <v>-</v>
      </c>
      <c r="FW43" s="366" t="str">
        <f>IF($AB43&gt;CDS.Tenor,"-",1-EZ43)</f>
        <v>-</v>
      </c>
      <c r="FX43" s="362" t="str">
        <f>IF($AB43&gt;CDS.Tenor,"-",1-FA43)</f>
        <v>-</v>
      </c>
      <c r="FZ43" s="370">
        <f t="shared" si="120"/>
        <v>9.75</v>
      </c>
      <c r="GA43" s="366" t="str">
        <f>IF($AB43&gt;CDS.Tenor,"-",BF43*DE43*FD43)</f>
        <v>-</v>
      </c>
      <c r="GB43" s="366" t="str">
        <f>IF($AB43&gt;CDS.Tenor,"-",BG43*DF43*FE43)</f>
        <v>-</v>
      </c>
      <c r="GC43" s="366" t="str">
        <f>IF($AB43&gt;CDS.Tenor,"-",BH43*DG43*FF43)</f>
        <v>-</v>
      </c>
      <c r="GD43" s="366" t="str">
        <f>IF($AB43&gt;CDS.Tenor,"-",BI43*DH43*FG43)</f>
        <v>-</v>
      </c>
      <c r="GE43" s="366" t="str">
        <f>IF($AB43&gt;CDS.Tenor,"-",BJ43*DI43*FH43)</f>
        <v>-</v>
      </c>
      <c r="GF43" s="366" t="str">
        <f>IF($AB43&gt;CDS.Tenor,"-",BK43*DJ43*FI43)</f>
        <v>-</v>
      </c>
      <c r="GG43" s="366" t="str">
        <f>IF($AB43&gt;CDS.Tenor,"-",BL43*DK43*FJ43)</f>
        <v>-</v>
      </c>
      <c r="GH43" s="366" t="str">
        <f>IF($AB43&gt;CDS.Tenor,"-",BM43*DL43*FK43)</f>
        <v>-</v>
      </c>
      <c r="GI43" s="366" t="str">
        <f>IF($AB43&gt;CDS.Tenor,"-",BN43*DM43*FL43)</f>
        <v>-</v>
      </c>
      <c r="GJ43" s="366" t="str">
        <f>IF($AB43&gt;CDS.Tenor,"-",BO43*DN43*FM43)</f>
        <v>-</v>
      </c>
      <c r="GK43" s="366" t="str">
        <f>IF($AB43&gt;CDS.Tenor,"-",BP43*DO43*FN43)</f>
        <v>-</v>
      </c>
      <c r="GL43" s="366" t="str">
        <f>IF($AB43&gt;CDS.Tenor,"-",BQ43*DP43*FO43)</f>
        <v>-</v>
      </c>
      <c r="GM43" s="366" t="str">
        <f>IF($AB43&gt;CDS.Tenor,"-",BR43*DQ43*FP43)</f>
        <v>-</v>
      </c>
      <c r="GN43" s="366" t="str">
        <f>IF($AB43&gt;CDS.Tenor,"-",BS43*DR43*FQ43)</f>
        <v>-</v>
      </c>
      <c r="GO43" s="366" t="str">
        <f>IF($AB43&gt;CDS.Tenor,"-",BT43*DS43*FR43)</f>
        <v>-</v>
      </c>
      <c r="GP43" s="366" t="str">
        <f>IF($AB43&gt;CDS.Tenor,"-",BU43*DT43*FS43)</f>
        <v>-</v>
      </c>
      <c r="GQ43" s="366" t="str">
        <f>IF($AB43&gt;CDS.Tenor,"-",BV43*DU43*FT43)</f>
        <v>-</v>
      </c>
      <c r="GR43" s="366" t="str">
        <f>IF($AB43&gt;CDS.Tenor,"-",BW43*DV43*FU43)</f>
        <v>-</v>
      </c>
      <c r="GS43" s="366" t="str">
        <f>IF($AB43&gt;CDS.Tenor,"-",BX43*DW43*FV43)</f>
        <v>-</v>
      </c>
      <c r="GT43" s="366" t="str">
        <f>IF($AB43&gt;CDS.Tenor,"-",BY43*DX43*FW43)</f>
        <v>-</v>
      </c>
      <c r="GU43" s="362" t="str">
        <f>IF($AB43&gt;CDS.Tenor,"-",BZ43*DY43*FX43)</f>
        <v>-</v>
      </c>
      <c r="GV43" s="42"/>
      <c r="GW43" s="370">
        <f t="shared" si="121"/>
        <v>9.75</v>
      </c>
      <c r="GX43" s="378" t="str">
        <f>IF($AB43&gt;CDS.Tenor,"-",SUMPRODUCT($GA43:$GU43,$GA$4:$GU$4)*dm)</f>
        <v>-</v>
      </c>
      <c r="GY43" s="381" t="str">
        <f>IF($AB43&gt;CDS.Tenor,"-",GX42-GX43)</f>
        <v>-</v>
      </c>
    </row>
    <row r="44" spans="10:207" x14ac:dyDescent="0.3">
      <c r="J44" s="157">
        <f t="shared" si="103"/>
        <v>10</v>
      </c>
      <c r="K44" s="38" t="str">
        <f>IF($J44&gt;CDS.Tenor,"-",CDS.PremiumSign*CDS.Notional*CDS.YearFraction*CDS.CreditSpread)</f>
        <v>-</v>
      </c>
      <c r="L44" s="131" t="str">
        <f>GX44</f>
        <v>-</v>
      </c>
      <c r="M44" s="131" t="str">
        <f>IF($J44&gt;CDS.Tenor,"-",L43-L44)</f>
        <v>-</v>
      </c>
      <c r="N44" s="102" t="str" cm="1">
        <f t="array" ref="N44">IF($J44&gt;CDS.Tenor,"-",cubicInterpolation(CurveResults.Times,CurveResults.DFs,$J44))</f>
        <v>-</v>
      </c>
      <c r="O44" s="38" t="str">
        <f>IF($J44&gt;CDS.Tenor,"-",K44*L44*N44)</f>
        <v>-</v>
      </c>
      <c r="P44" s="38" t="str">
        <f>IF($J44&gt;CDS.Tenor,"-",0.5*K44*M44*N44)</f>
        <v>-</v>
      </c>
      <c r="Q44" s="158" t="str">
        <f>IF($J44&gt;CDS.Tenor,"-",O44+P44)</f>
        <v>-</v>
      </c>
      <c r="T44" s="157">
        <f t="shared" si="104"/>
        <v>10</v>
      </c>
      <c r="U44" s="38" t="str">
        <f>IF($J44&gt;CDS.Tenor,"-",CDS.ProtectionSign*CDS.Notional*(1-CDS.RecoveryRate))</f>
        <v>-</v>
      </c>
      <c r="V44" s="131" t="str">
        <f>IF($J44&gt;CDS.Tenor,"-",GX44)</f>
        <v>-</v>
      </c>
      <c r="W44" s="131" t="str">
        <f>IF($J44&gt;CDS.Tenor,"-",V43-V44)</f>
        <v>-</v>
      </c>
      <c r="X44" s="102" t="str" cm="1">
        <f t="array" ref="X44">IF($T44&gt;CDS.Tenor,"-",cubicInterpolation(CurveResults.Times,CurveResults.DFs,$J44))</f>
        <v>-</v>
      </c>
      <c r="Y44" s="158" t="str">
        <f>IF($J44&gt;CDS.Tenor,"-",U44*W44*X44)</f>
        <v>-</v>
      </c>
      <c r="AB44" s="157">
        <f t="shared" si="105"/>
        <v>10</v>
      </c>
      <c r="AC44" s="353" t="str" cm="1">
        <f t="array" aca="1" ref="AC44" ca="1">IF($AB44&gt;CDS.Tenor,"-",flatInterpolation(AA44,INDIRECT(HazardRateTimes1),INDIRECT(HazardRateValues1)))</f>
        <v>-</v>
      </c>
      <c r="AD44" s="131" t="str">
        <f t="shared" si="106"/>
        <v>-</v>
      </c>
      <c r="AE44" s="131" t="str">
        <f t="shared" si="107"/>
        <v>-</v>
      </c>
      <c r="AF44" s="221" t="str">
        <f>IF($AB44&gt;CDS.Tenor,"-",NORMSINV(AE44))</f>
        <v>-</v>
      </c>
      <c r="AG44" s="221"/>
      <c r="AH44" s="371">
        <f t="shared" si="108"/>
        <v>10</v>
      </c>
      <c r="AI44" s="367" t="str">
        <f>IF($AB44&gt;CDS.Tenor,"-",_xlfn.NORM.S.DIST(($AF44-SQRT(ImpliedCorrelation)*AI$3)/SQRT(1-ImpliedCorrelation),TRUE))</f>
        <v>-</v>
      </c>
      <c r="AJ44" s="367" t="str">
        <f>IF($AB44&gt;CDS.Tenor,"-",_xlfn.NORM.S.DIST(($AF44-SQRT(ImpliedCorrelation)*AJ$3)/SQRT(1-ImpliedCorrelation),TRUE))</f>
        <v>-</v>
      </c>
      <c r="AK44" s="367" t="str">
        <f>IF($AB44&gt;CDS.Tenor,"-",_xlfn.NORM.S.DIST(($AF44-SQRT(ImpliedCorrelation)*AK$3)/SQRT(1-ImpliedCorrelation),TRUE))</f>
        <v>-</v>
      </c>
      <c r="AL44" s="367" t="str">
        <f>IF($AB44&gt;CDS.Tenor,"-",_xlfn.NORM.S.DIST(($AF44-SQRT(ImpliedCorrelation)*AL$3)/SQRT(1-ImpliedCorrelation),TRUE))</f>
        <v>-</v>
      </c>
      <c r="AM44" s="367" t="str">
        <f>IF($AB44&gt;CDS.Tenor,"-",_xlfn.NORM.S.DIST(($AF44-SQRT(ImpliedCorrelation)*AM$3)/SQRT(1-ImpliedCorrelation),TRUE))</f>
        <v>-</v>
      </c>
      <c r="AN44" s="367" t="str">
        <f>IF($AB44&gt;CDS.Tenor,"-",_xlfn.NORM.S.DIST(($AF44-SQRT(ImpliedCorrelation)*AN$3)/SQRT(1-ImpliedCorrelation),TRUE))</f>
        <v>-</v>
      </c>
      <c r="AO44" s="367" t="str">
        <f>IF($AB44&gt;CDS.Tenor,"-",_xlfn.NORM.S.DIST(($AF44-SQRT(ImpliedCorrelation)*AO$3)/SQRT(1-ImpliedCorrelation),TRUE))</f>
        <v>-</v>
      </c>
      <c r="AP44" s="367" t="str">
        <f>IF($AB44&gt;CDS.Tenor,"-",_xlfn.NORM.S.DIST(($AF44-SQRT(ImpliedCorrelation)*AP$3)/SQRT(1-ImpliedCorrelation),TRUE))</f>
        <v>-</v>
      </c>
      <c r="AQ44" s="367" t="str">
        <f>IF($AB44&gt;CDS.Tenor,"-",_xlfn.NORM.S.DIST(($AF44-SQRT(ImpliedCorrelation)*AQ$3)/SQRT(1-ImpliedCorrelation),TRUE))</f>
        <v>-</v>
      </c>
      <c r="AR44" s="367" t="str">
        <f>IF($AB44&gt;CDS.Tenor,"-",_xlfn.NORM.S.DIST(($AF44-SQRT(ImpliedCorrelation)*AR$3)/SQRT(1-ImpliedCorrelation),TRUE))</f>
        <v>-</v>
      </c>
      <c r="AS44" s="367" t="str">
        <f>IF($AB44&gt;CDS.Tenor,"-",_xlfn.NORM.S.DIST(($AF44-SQRT(ImpliedCorrelation)*AS$3)/SQRT(1-ImpliedCorrelation),TRUE))</f>
        <v>-</v>
      </c>
      <c r="AT44" s="367" t="str">
        <f>IF($AB44&gt;CDS.Tenor,"-",_xlfn.NORM.S.DIST(($AF44-SQRT(ImpliedCorrelation)*AT$3)/SQRT(1-ImpliedCorrelation),TRUE))</f>
        <v>-</v>
      </c>
      <c r="AU44" s="367" t="str">
        <f>IF($AB44&gt;CDS.Tenor,"-",_xlfn.NORM.S.DIST(($AF44-SQRT(ImpliedCorrelation)*AU$3)/SQRT(1-ImpliedCorrelation),TRUE))</f>
        <v>-</v>
      </c>
      <c r="AV44" s="367" t="str">
        <f>IF($AB44&gt;CDS.Tenor,"-",_xlfn.NORM.S.DIST(($AF44-SQRT(ImpliedCorrelation)*AV$3)/SQRT(1-ImpliedCorrelation),TRUE))</f>
        <v>-</v>
      </c>
      <c r="AW44" s="367" t="str">
        <f>IF($AB44&gt;CDS.Tenor,"-",_xlfn.NORM.S.DIST(($AF44-SQRT(ImpliedCorrelation)*AW$3)/SQRT(1-ImpliedCorrelation),TRUE))</f>
        <v>-</v>
      </c>
      <c r="AX44" s="367" t="str">
        <f>IF($AB44&gt;CDS.Tenor,"-",_xlfn.NORM.S.DIST(($AF44-SQRT(ImpliedCorrelation)*AX$3)/SQRT(1-ImpliedCorrelation),TRUE))</f>
        <v>-</v>
      </c>
      <c r="AY44" s="367" t="str">
        <f>IF($AB44&gt;CDS.Tenor,"-",_xlfn.NORM.S.DIST(($AF44-SQRT(ImpliedCorrelation)*AY$3)/SQRT(1-ImpliedCorrelation),TRUE))</f>
        <v>-</v>
      </c>
      <c r="AZ44" s="367" t="str">
        <f>IF($AB44&gt;CDS.Tenor,"-",_xlfn.NORM.S.DIST(($AF44-SQRT(ImpliedCorrelation)*AZ$3)/SQRT(1-ImpliedCorrelation),TRUE))</f>
        <v>-</v>
      </c>
      <c r="BA44" s="367" t="str">
        <f>IF($AB44&gt;CDS.Tenor,"-",_xlfn.NORM.S.DIST(($AF44-SQRT(ImpliedCorrelation)*BA$3)/SQRT(1-ImpliedCorrelation),TRUE))</f>
        <v>-</v>
      </c>
      <c r="BB44" s="367" t="str">
        <f>IF($AB44&gt;CDS.Tenor,"-",_xlfn.NORM.S.DIST(($AF44-SQRT(ImpliedCorrelation)*BB$3)/SQRT(1-ImpliedCorrelation),TRUE))</f>
        <v>-</v>
      </c>
      <c r="BC44" s="367" t="str">
        <f>IF($AB44&gt;CDS.Tenor,"-",_xlfn.NORM.S.DIST(($AF44-SQRT(ImpliedCorrelation)*BC$3)/SQRT(1-ImpliedCorrelation),TRUE))</f>
        <v>-</v>
      </c>
      <c r="BD44" s="367"/>
      <c r="BE44" s="371">
        <f t="shared" si="109"/>
        <v>10</v>
      </c>
      <c r="BF44" s="367" t="str">
        <f>IF($AB44&gt;CDS.Tenor,"-",1-AI44)</f>
        <v>-</v>
      </c>
      <c r="BG44" s="367" t="str">
        <f>IF($AB44&gt;CDS.Tenor,"-",1-AJ44)</f>
        <v>-</v>
      </c>
      <c r="BH44" s="367" t="str">
        <f>IF($AB44&gt;CDS.Tenor,"-",1-AK44)</f>
        <v>-</v>
      </c>
      <c r="BI44" s="367" t="str">
        <f>IF($AB44&gt;CDS.Tenor,"-",1-AL44)</f>
        <v>-</v>
      </c>
      <c r="BJ44" s="367" t="str">
        <f>IF($AB44&gt;CDS.Tenor,"-",1-AM44)</f>
        <v>-</v>
      </c>
      <c r="BK44" s="367" t="str">
        <f>IF($AB44&gt;CDS.Tenor,"-",1-AN44)</f>
        <v>-</v>
      </c>
      <c r="BL44" s="367" t="str">
        <f>IF($AB44&gt;CDS.Tenor,"-",1-AO44)</f>
        <v>-</v>
      </c>
      <c r="BM44" s="367" t="str">
        <f>IF($AB44&gt;CDS.Tenor,"-",1-AP44)</f>
        <v>-</v>
      </c>
      <c r="BN44" s="367" t="str">
        <f>IF($AB44&gt;CDS.Tenor,"-",1-AQ44)</f>
        <v>-</v>
      </c>
      <c r="BO44" s="367" t="str">
        <f>IF($AB44&gt;CDS.Tenor,"-",1-AR44)</f>
        <v>-</v>
      </c>
      <c r="BP44" s="367" t="str">
        <f>IF($AB44&gt;CDS.Tenor,"-",1-AS44)</f>
        <v>-</v>
      </c>
      <c r="BQ44" s="367" t="str">
        <f>IF($AB44&gt;CDS.Tenor,"-",1-AT44)</f>
        <v>-</v>
      </c>
      <c r="BR44" s="367" t="str">
        <f>IF($AB44&gt;CDS.Tenor,"-",1-AU44)</f>
        <v>-</v>
      </c>
      <c r="BS44" s="367" t="str">
        <f>IF($AB44&gt;CDS.Tenor,"-",1-AV44)</f>
        <v>-</v>
      </c>
      <c r="BT44" s="367" t="str">
        <f>IF($AB44&gt;CDS.Tenor,"-",1-AW44)</f>
        <v>-</v>
      </c>
      <c r="BU44" s="367" t="str">
        <f>IF($AB44&gt;CDS.Tenor,"-",1-AX44)</f>
        <v>-</v>
      </c>
      <c r="BV44" s="367" t="str">
        <f>IF($AB44&gt;CDS.Tenor,"-",1-AY44)</f>
        <v>-</v>
      </c>
      <c r="BW44" s="367" t="str">
        <f>IF($AB44&gt;CDS.Tenor,"-",1-AZ44)</f>
        <v>-</v>
      </c>
      <c r="BX44" s="367" t="str">
        <f>IF($AB44&gt;CDS.Tenor,"-",1-BA44)</f>
        <v>-</v>
      </c>
      <c r="BY44" s="367" t="str">
        <f>IF($AB44&gt;CDS.Tenor,"-",1-BB44)</f>
        <v>-</v>
      </c>
      <c r="BZ44" s="367" t="str">
        <f>IF($AB44&gt;CDS.Tenor,"-",1-BC44)</f>
        <v>-</v>
      </c>
      <c r="CA44" s="81"/>
      <c r="CB44" s="353" t="str" cm="1">
        <f t="array" aca="1" ref="CB44" ca="1">IF($AB44&gt;CDS.Tenor,"-",flatInterpolation(AB44,INDIRECT(HazardRateTimes2),INDIRECT(HazardRateValues2)))</f>
        <v>-</v>
      </c>
      <c r="CC44" s="131" t="str">
        <f t="shared" si="110"/>
        <v>-</v>
      </c>
      <c r="CD44" s="131" t="str">
        <f t="shared" si="111"/>
        <v>-</v>
      </c>
      <c r="CE44" s="82" t="str">
        <f t="shared" si="112"/>
        <v>-</v>
      </c>
      <c r="CF44" s="221"/>
      <c r="CG44" s="371">
        <f t="shared" si="113"/>
        <v>10</v>
      </c>
      <c r="CH44" s="367" t="str">
        <f>IF($AB44&gt;CDS.Tenor,"-",_xlfn.NORM.S.DIST(($CE44-SQRT(ImpliedCorrelation)*CH$3)/SQRT(1-ImpliedCorrelation),TRUE))</f>
        <v>-</v>
      </c>
      <c r="CI44" s="367" t="str">
        <f>IF($AB44&gt;CDS.Tenor,"-",_xlfn.NORM.S.DIST(($CE44-SQRT(ImpliedCorrelation)*CI$3)/SQRT(1-ImpliedCorrelation),TRUE))</f>
        <v>-</v>
      </c>
      <c r="CJ44" s="367" t="str">
        <f>IF($AB44&gt;CDS.Tenor,"-",_xlfn.NORM.S.DIST(($CE44-SQRT(ImpliedCorrelation)*CJ$3)/SQRT(1-ImpliedCorrelation),TRUE))</f>
        <v>-</v>
      </c>
      <c r="CK44" s="367" t="str">
        <f>IF($AB44&gt;CDS.Tenor,"-",_xlfn.NORM.S.DIST(($CE44-SQRT(ImpliedCorrelation)*CK$3)/SQRT(1-ImpliedCorrelation),TRUE))</f>
        <v>-</v>
      </c>
      <c r="CL44" s="367" t="str">
        <f>IF($AB44&gt;CDS.Tenor,"-",_xlfn.NORM.S.DIST(($CE44-SQRT(ImpliedCorrelation)*CL$3)/SQRT(1-ImpliedCorrelation),TRUE))</f>
        <v>-</v>
      </c>
      <c r="CM44" s="367" t="str">
        <f>IF($AB44&gt;CDS.Tenor,"-",_xlfn.NORM.S.DIST(($CE44-SQRT(ImpliedCorrelation)*CM$3)/SQRT(1-ImpliedCorrelation),TRUE))</f>
        <v>-</v>
      </c>
      <c r="CN44" s="367" t="str">
        <f>IF($AB44&gt;CDS.Tenor,"-",_xlfn.NORM.S.DIST(($CE44-SQRT(ImpliedCorrelation)*CN$3)/SQRT(1-ImpliedCorrelation),TRUE))</f>
        <v>-</v>
      </c>
      <c r="CO44" s="367" t="str">
        <f>IF($AB44&gt;CDS.Tenor,"-",_xlfn.NORM.S.DIST(($CE44-SQRT(ImpliedCorrelation)*CO$3)/SQRT(1-ImpliedCorrelation),TRUE))</f>
        <v>-</v>
      </c>
      <c r="CP44" s="367" t="str">
        <f>IF($AB44&gt;CDS.Tenor,"-",_xlfn.NORM.S.DIST(($CE44-SQRT(ImpliedCorrelation)*CP$3)/SQRT(1-ImpliedCorrelation),TRUE))</f>
        <v>-</v>
      </c>
      <c r="CQ44" s="367" t="str">
        <f>IF($AB44&gt;CDS.Tenor,"-",_xlfn.NORM.S.DIST(($CE44-SQRT(ImpliedCorrelation)*CQ$3)/SQRT(1-ImpliedCorrelation),TRUE))</f>
        <v>-</v>
      </c>
      <c r="CR44" s="367" t="str">
        <f>IF($AB44&gt;CDS.Tenor,"-",_xlfn.NORM.S.DIST(($CE44-SQRT(ImpliedCorrelation)*CR$3)/SQRT(1-ImpliedCorrelation),TRUE))</f>
        <v>-</v>
      </c>
      <c r="CS44" s="367" t="str">
        <f>IF($AB44&gt;CDS.Tenor,"-",_xlfn.NORM.S.DIST(($CE44-SQRT(ImpliedCorrelation)*CS$3)/SQRT(1-ImpliedCorrelation),TRUE))</f>
        <v>-</v>
      </c>
      <c r="CT44" s="367" t="str">
        <f>IF($AB44&gt;CDS.Tenor,"-",_xlfn.NORM.S.DIST(($CE44-SQRT(ImpliedCorrelation)*CT$3)/SQRT(1-ImpliedCorrelation),TRUE))</f>
        <v>-</v>
      </c>
      <c r="CU44" s="367" t="str">
        <f>IF($AB44&gt;CDS.Tenor,"-",_xlfn.NORM.S.DIST(($CE44-SQRT(ImpliedCorrelation)*CU$3)/SQRT(1-ImpliedCorrelation),TRUE))</f>
        <v>-</v>
      </c>
      <c r="CV44" s="367" t="str">
        <f>IF($AB44&gt;CDS.Tenor,"-",_xlfn.NORM.S.DIST(($CE44-SQRT(ImpliedCorrelation)*CV$3)/SQRT(1-ImpliedCorrelation),TRUE))</f>
        <v>-</v>
      </c>
      <c r="CW44" s="367" t="str">
        <f>IF($AB44&gt;CDS.Tenor,"-",_xlfn.NORM.S.DIST(($CE44-SQRT(ImpliedCorrelation)*CW$3)/SQRT(1-ImpliedCorrelation),TRUE))</f>
        <v>-</v>
      </c>
      <c r="CX44" s="367" t="str">
        <f>IF($AB44&gt;CDS.Tenor,"-",_xlfn.NORM.S.DIST(($CE44-SQRT(ImpliedCorrelation)*CX$3)/SQRT(1-ImpliedCorrelation),TRUE))</f>
        <v>-</v>
      </c>
      <c r="CY44" s="367" t="str">
        <f>IF($AB44&gt;CDS.Tenor,"-",_xlfn.NORM.S.DIST(($CE44-SQRT(ImpliedCorrelation)*CY$3)/SQRT(1-ImpliedCorrelation),TRUE))</f>
        <v>-</v>
      </c>
      <c r="CZ44" s="367" t="str">
        <f>IF($AB44&gt;CDS.Tenor,"-",_xlfn.NORM.S.DIST(($CE44-SQRT(ImpliedCorrelation)*CZ$3)/SQRT(1-ImpliedCorrelation),TRUE))</f>
        <v>-</v>
      </c>
      <c r="DA44" s="367" t="str">
        <f>IF($AB44&gt;CDS.Tenor,"-",_xlfn.NORM.S.DIST(($CE44-SQRT(ImpliedCorrelation)*DA$3)/SQRT(1-ImpliedCorrelation),TRUE))</f>
        <v>-</v>
      </c>
      <c r="DB44" s="367" t="str">
        <f>IF($AB44&gt;CDS.Tenor,"-",_xlfn.NORM.S.DIST(($CE44-SQRT(ImpliedCorrelation)*DB$3)/SQRT(1-ImpliedCorrelation),TRUE))</f>
        <v>-</v>
      </c>
      <c r="DC44" s="367"/>
      <c r="DD44" s="371">
        <f t="shared" si="114"/>
        <v>10</v>
      </c>
      <c r="DE44" s="367" t="str">
        <f>IF($AB44&gt;CDS.Tenor,"-",1-CH44)</f>
        <v>-</v>
      </c>
      <c r="DF44" s="367" t="str">
        <f>IF($AB44&gt;CDS.Tenor,"-",1-CI44)</f>
        <v>-</v>
      </c>
      <c r="DG44" s="367" t="str">
        <f>IF($AB44&gt;CDS.Tenor,"-",1-CJ44)</f>
        <v>-</v>
      </c>
      <c r="DH44" s="367" t="str">
        <f>IF($AB44&gt;CDS.Tenor,"-",1-CK44)</f>
        <v>-</v>
      </c>
      <c r="DI44" s="367" t="str">
        <f>IF($AB44&gt;CDS.Tenor,"-",1-CL44)</f>
        <v>-</v>
      </c>
      <c r="DJ44" s="367" t="str">
        <f>IF($AB44&gt;CDS.Tenor,"-",1-CM44)</f>
        <v>-</v>
      </c>
      <c r="DK44" s="367" t="str">
        <f>IF($AB44&gt;CDS.Tenor,"-",1-CN44)</f>
        <v>-</v>
      </c>
      <c r="DL44" s="367" t="str">
        <f>IF($AB44&gt;CDS.Tenor,"-",1-CO44)</f>
        <v>-</v>
      </c>
      <c r="DM44" s="367" t="str">
        <f>IF($AB44&gt;CDS.Tenor,"-",1-CP44)</f>
        <v>-</v>
      </c>
      <c r="DN44" s="367" t="str">
        <f>IF($AB44&gt;CDS.Tenor,"-",1-CQ44)</f>
        <v>-</v>
      </c>
      <c r="DO44" s="367" t="str">
        <f>IF($AB44&gt;CDS.Tenor,"-",1-CR44)</f>
        <v>-</v>
      </c>
      <c r="DP44" s="367" t="str">
        <f>IF($AB44&gt;CDS.Tenor,"-",1-CS44)</f>
        <v>-</v>
      </c>
      <c r="DQ44" s="367" t="str">
        <f>IF($AB44&gt;CDS.Tenor,"-",1-CT44)</f>
        <v>-</v>
      </c>
      <c r="DR44" s="367" t="str">
        <f>IF($AB44&gt;CDS.Tenor,"-",1-CU44)</f>
        <v>-</v>
      </c>
      <c r="DS44" s="367" t="str">
        <f>IF($AB44&gt;CDS.Tenor,"-",1-CV44)</f>
        <v>-</v>
      </c>
      <c r="DT44" s="367" t="str">
        <f>IF($AB44&gt;CDS.Tenor,"-",1-CW44)</f>
        <v>-</v>
      </c>
      <c r="DU44" s="367" t="str">
        <f>IF($AB44&gt;CDS.Tenor,"-",1-CX44)</f>
        <v>-</v>
      </c>
      <c r="DV44" s="367" t="str">
        <f>IF($AB44&gt;CDS.Tenor,"-",1-CY44)</f>
        <v>-</v>
      </c>
      <c r="DW44" s="367" t="str">
        <f>IF($AB44&gt;CDS.Tenor,"-",1-CZ44)</f>
        <v>-</v>
      </c>
      <c r="DX44" s="367" t="str">
        <f>IF($AB44&gt;CDS.Tenor,"-",1-DA44)</f>
        <v>-</v>
      </c>
      <c r="DY44" s="363" t="str">
        <f>IF($AB44&gt;CDS.Tenor,"-",1-DB44)</f>
        <v>-</v>
      </c>
      <c r="DZ44" s="360"/>
      <c r="EA44" s="353" t="str" cm="1">
        <f t="array" aca="1" ref="EA44" ca="1">IF($AB44&gt;CDS.Tenor,"-",flatInterpolation(CC44,INDIRECT(HazardRateTimes3),INDIRECT(HazardRateValues3)))</f>
        <v>-</v>
      </c>
      <c r="EB44" s="131" t="str">
        <f t="shared" si="115"/>
        <v>-</v>
      </c>
      <c r="EC44" s="131" t="str">
        <f t="shared" si="116"/>
        <v>-</v>
      </c>
      <c r="ED44" s="82" t="str">
        <f t="shared" si="117"/>
        <v>-</v>
      </c>
      <c r="EE44" s="360"/>
      <c r="EF44" s="371">
        <f t="shared" si="118"/>
        <v>10</v>
      </c>
      <c r="EG44" s="367" t="str">
        <f>IF($AB44&gt;CDS.Tenor,"-",_xlfn.NORM.S.DIST(($ED44-SQRT(ImpliedCorrelation)*EG$3)/SQRT(1-ImpliedCorrelation),TRUE))</f>
        <v>-</v>
      </c>
      <c r="EH44" s="367" t="str">
        <f>IF($AB44&gt;CDS.Tenor,"-",_xlfn.NORM.S.DIST(($ED44-SQRT(ImpliedCorrelation)*EH$3)/SQRT(1-ImpliedCorrelation),TRUE))</f>
        <v>-</v>
      </c>
      <c r="EI44" s="367" t="str">
        <f>IF($AB44&gt;CDS.Tenor,"-",_xlfn.NORM.S.DIST(($ED44-SQRT(ImpliedCorrelation)*EI$3)/SQRT(1-ImpliedCorrelation),TRUE))</f>
        <v>-</v>
      </c>
      <c r="EJ44" s="367" t="str">
        <f>IF($AB44&gt;CDS.Tenor,"-",_xlfn.NORM.S.DIST(($ED44-SQRT(ImpliedCorrelation)*EJ$3)/SQRT(1-ImpliedCorrelation),TRUE))</f>
        <v>-</v>
      </c>
      <c r="EK44" s="367" t="str">
        <f>IF($AB44&gt;CDS.Tenor,"-",_xlfn.NORM.S.DIST(($ED44-SQRT(ImpliedCorrelation)*EK$3)/SQRT(1-ImpliedCorrelation),TRUE))</f>
        <v>-</v>
      </c>
      <c r="EL44" s="367" t="str">
        <f>IF($AB44&gt;CDS.Tenor,"-",_xlfn.NORM.S.DIST(($ED44-SQRT(ImpliedCorrelation)*EL$3)/SQRT(1-ImpliedCorrelation),TRUE))</f>
        <v>-</v>
      </c>
      <c r="EM44" s="367" t="str">
        <f>IF($AB44&gt;CDS.Tenor,"-",_xlfn.NORM.S.DIST(($ED44-SQRT(ImpliedCorrelation)*EM$3)/SQRT(1-ImpliedCorrelation),TRUE))</f>
        <v>-</v>
      </c>
      <c r="EN44" s="367" t="str">
        <f>IF($AB44&gt;CDS.Tenor,"-",_xlfn.NORM.S.DIST(($ED44-SQRT(ImpliedCorrelation)*EN$3)/SQRT(1-ImpliedCorrelation),TRUE))</f>
        <v>-</v>
      </c>
      <c r="EO44" s="367" t="str">
        <f>IF($AB44&gt;CDS.Tenor,"-",_xlfn.NORM.S.DIST(($ED44-SQRT(ImpliedCorrelation)*EO$3)/SQRT(1-ImpliedCorrelation),TRUE))</f>
        <v>-</v>
      </c>
      <c r="EP44" s="367" t="str">
        <f>IF($AB44&gt;CDS.Tenor,"-",_xlfn.NORM.S.DIST(($ED44-SQRT(ImpliedCorrelation)*EP$3)/SQRT(1-ImpliedCorrelation),TRUE))</f>
        <v>-</v>
      </c>
      <c r="EQ44" s="367" t="str">
        <f>IF($AB44&gt;CDS.Tenor,"-",_xlfn.NORM.S.DIST(($ED44-SQRT(ImpliedCorrelation)*EQ$3)/SQRT(1-ImpliedCorrelation),TRUE))</f>
        <v>-</v>
      </c>
      <c r="ER44" s="367" t="str">
        <f>IF($AB44&gt;CDS.Tenor,"-",_xlfn.NORM.S.DIST(($ED44-SQRT(ImpliedCorrelation)*ER$3)/SQRT(1-ImpliedCorrelation),TRUE))</f>
        <v>-</v>
      </c>
      <c r="ES44" s="367" t="str">
        <f>IF($AB44&gt;CDS.Tenor,"-",_xlfn.NORM.S.DIST(($ED44-SQRT(ImpliedCorrelation)*ES$3)/SQRT(1-ImpliedCorrelation),TRUE))</f>
        <v>-</v>
      </c>
      <c r="ET44" s="367" t="str">
        <f>IF($AB44&gt;CDS.Tenor,"-",_xlfn.NORM.S.DIST(($ED44-SQRT(ImpliedCorrelation)*ET$3)/SQRT(1-ImpliedCorrelation),TRUE))</f>
        <v>-</v>
      </c>
      <c r="EU44" s="367" t="str">
        <f>IF($AB44&gt;CDS.Tenor,"-",_xlfn.NORM.S.DIST(($ED44-SQRT(ImpliedCorrelation)*EU$3)/SQRT(1-ImpliedCorrelation),TRUE))</f>
        <v>-</v>
      </c>
      <c r="EV44" s="367" t="str">
        <f>IF($AB44&gt;CDS.Tenor,"-",_xlfn.NORM.S.DIST(($ED44-SQRT(ImpliedCorrelation)*EV$3)/SQRT(1-ImpliedCorrelation),TRUE))</f>
        <v>-</v>
      </c>
      <c r="EW44" s="367" t="str">
        <f>IF($AB44&gt;CDS.Tenor,"-",_xlfn.NORM.S.DIST(($ED44-SQRT(ImpliedCorrelation)*EW$3)/SQRT(1-ImpliedCorrelation),TRUE))</f>
        <v>-</v>
      </c>
      <c r="EX44" s="367" t="str">
        <f>IF($AB44&gt;CDS.Tenor,"-",_xlfn.NORM.S.DIST(($ED44-SQRT(ImpliedCorrelation)*EX$3)/SQRT(1-ImpliedCorrelation),TRUE))</f>
        <v>-</v>
      </c>
      <c r="EY44" s="367" t="str">
        <f>IF($AB44&gt;CDS.Tenor,"-",_xlfn.NORM.S.DIST(($ED44-SQRT(ImpliedCorrelation)*EY$3)/SQRT(1-ImpliedCorrelation),TRUE))</f>
        <v>-</v>
      </c>
      <c r="EZ44" s="367" t="str">
        <f>IF($AB44&gt;CDS.Tenor,"-",_xlfn.NORM.S.DIST(($ED44-SQRT(ImpliedCorrelation)*EZ$3)/SQRT(1-ImpliedCorrelation),TRUE))</f>
        <v>-</v>
      </c>
      <c r="FA44" s="367" t="str">
        <f>IF($AB44&gt;CDS.Tenor,"-",_xlfn.NORM.S.DIST(($ED44-SQRT(ImpliedCorrelation)*FA$3)/SQRT(1-ImpliedCorrelation),TRUE))</f>
        <v>-</v>
      </c>
      <c r="FB44" s="366"/>
      <c r="FC44" s="371">
        <f t="shared" si="119"/>
        <v>10</v>
      </c>
      <c r="FD44" s="367" t="str">
        <f>IF($AB44&gt;CDS.Tenor,"-",1-EG44)</f>
        <v>-</v>
      </c>
      <c r="FE44" s="367" t="str">
        <f>IF($AB44&gt;CDS.Tenor,"-",1-EH44)</f>
        <v>-</v>
      </c>
      <c r="FF44" s="367" t="str">
        <f>IF($AB44&gt;CDS.Tenor,"-",1-EI44)</f>
        <v>-</v>
      </c>
      <c r="FG44" s="367" t="str">
        <f>IF($AB44&gt;CDS.Tenor,"-",1-EJ44)</f>
        <v>-</v>
      </c>
      <c r="FH44" s="367" t="str">
        <f>IF($AB44&gt;CDS.Tenor,"-",1-EK44)</f>
        <v>-</v>
      </c>
      <c r="FI44" s="367" t="str">
        <f>IF($AB44&gt;CDS.Tenor,"-",1-EL44)</f>
        <v>-</v>
      </c>
      <c r="FJ44" s="367" t="str">
        <f>IF($AB44&gt;CDS.Tenor,"-",1-EM44)</f>
        <v>-</v>
      </c>
      <c r="FK44" s="367" t="str">
        <f>IF($AB44&gt;CDS.Tenor,"-",1-EN44)</f>
        <v>-</v>
      </c>
      <c r="FL44" s="367" t="str">
        <f>IF($AB44&gt;CDS.Tenor,"-",1-EO44)</f>
        <v>-</v>
      </c>
      <c r="FM44" s="367" t="str">
        <f>IF($AB44&gt;CDS.Tenor,"-",1-EP44)</f>
        <v>-</v>
      </c>
      <c r="FN44" s="367" t="str">
        <f>IF($AB44&gt;CDS.Tenor,"-",1-EQ44)</f>
        <v>-</v>
      </c>
      <c r="FO44" s="367" t="str">
        <f>IF($AB44&gt;CDS.Tenor,"-",1-ER44)</f>
        <v>-</v>
      </c>
      <c r="FP44" s="367" t="str">
        <f>IF($AB44&gt;CDS.Tenor,"-",1-ES44)</f>
        <v>-</v>
      </c>
      <c r="FQ44" s="367" t="str">
        <f>IF($AB44&gt;CDS.Tenor,"-",1-ET44)</f>
        <v>-</v>
      </c>
      <c r="FR44" s="367" t="str">
        <f>IF($AB44&gt;CDS.Tenor,"-",1-EU44)</f>
        <v>-</v>
      </c>
      <c r="FS44" s="367" t="str">
        <f>IF($AB44&gt;CDS.Tenor,"-",1-EV44)</f>
        <v>-</v>
      </c>
      <c r="FT44" s="367" t="str">
        <f>IF($AB44&gt;CDS.Tenor,"-",1-EW44)</f>
        <v>-</v>
      </c>
      <c r="FU44" s="367" t="str">
        <f>IF($AB44&gt;CDS.Tenor,"-",1-EX44)</f>
        <v>-</v>
      </c>
      <c r="FV44" s="367" t="str">
        <f>IF($AB44&gt;CDS.Tenor,"-",1-EY44)</f>
        <v>-</v>
      </c>
      <c r="FW44" s="367" t="str">
        <f>IF($AB44&gt;CDS.Tenor,"-",1-EZ44)</f>
        <v>-</v>
      </c>
      <c r="FX44" s="363" t="str">
        <f>IF($AB44&gt;CDS.Tenor,"-",1-FA44)</f>
        <v>-</v>
      </c>
      <c r="FZ44" s="371">
        <f t="shared" si="120"/>
        <v>10</v>
      </c>
      <c r="GA44" s="367" t="str">
        <f>IF($AB44&gt;CDS.Tenor,"-",BF44*DE44*FD44)</f>
        <v>-</v>
      </c>
      <c r="GB44" s="367" t="str">
        <f>IF($AB44&gt;CDS.Tenor,"-",BG44*DF44*FE44)</f>
        <v>-</v>
      </c>
      <c r="GC44" s="367" t="str">
        <f>IF($AB44&gt;CDS.Tenor,"-",BH44*DG44*FF44)</f>
        <v>-</v>
      </c>
      <c r="GD44" s="367" t="str">
        <f>IF($AB44&gt;CDS.Tenor,"-",BI44*DH44*FG44)</f>
        <v>-</v>
      </c>
      <c r="GE44" s="367" t="str">
        <f>IF($AB44&gt;CDS.Tenor,"-",BJ44*DI44*FH44)</f>
        <v>-</v>
      </c>
      <c r="GF44" s="367" t="str">
        <f>IF($AB44&gt;CDS.Tenor,"-",BK44*DJ44*FI44)</f>
        <v>-</v>
      </c>
      <c r="GG44" s="367" t="str">
        <f>IF($AB44&gt;CDS.Tenor,"-",BL44*DK44*FJ44)</f>
        <v>-</v>
      </c>
      <c r="GH44" s="367" t="str">
        <f>IF($AB44&gt;CDS.Tenor,"-",BM44*DL44*FK44)</f>
        <v>-</v>
      </c>
      <c r="GI44" s="367" t="str">
        <f>IF($AB44&gt;CDS.Tenor,"-",BN44*DM44*FL44)</f>
        <v>-</v>
      </c>
      <c r="GJ44" s="367" t="str">
        <f>IF($AB44&gt;CDS.Tenor,"-",BO44*DN44*FM44)</f>
        <v>-</v>
      </c>
      <c r="GK44" s="367" t="str">
        <f>IF($AB44&gt;CDS.Tenor,"-",BP44*DO44*FN44)</f>
        <v>-</v>
      </c>
      <c r="GL44" s="367" t="str">
        <f>IF($AB44&gt;CDS.Tenor,"-",BQ44*DP44*FO44)</f>
        <v>-</v>
      </c>
      <c r="GM44" s="367" t="str">
        <f>IF($AB44&gt;CDS.Tenor,"-",BR44*DQ44*FP44)</f>
        <v>-</v>
      </c>
      <c r="GN44" s="367" t="str">
        <f>IF($AB44&gt;CDS.Tenor,"-",BS44*DR44*FQ44)</f>
        <v>-</v>
      </c>
      <c r="GO44" s="367" t="str">
        <f>IF($AB44&gt;CDS.Tenor,"-",BT44*DS44*FR44)</f>
        <v>-</v>
      </c>
      <c r="GP44" s="367" t="str">
        <f>IF($AB44&gt;CDS.Tenor,"-",BU44*DT44*FS44)</f>
        <v>-</v>
      </c>
      <c r="GQ44" s="367" t="str">
        <f>IF($AB44&gt;CDS.Tenor,"-",BV44*DU44*FT44)</f>
        <v>-</v>
      </c>
      <c r="GR44" s="367" t="str">
        <f>IF($AB44&gt;CDS.Tenor,"-",BW44*DV44*FU44)</f>
        <v>-</v>
      </c>
      <c r="GS44" s="367" t="str">
        <f>IF($AB44&gt;CDS.Tenor,"-",BX44*DW44*FV44)</f>
        <v>-</v>
      </c>
      <c r="GT44" s="367" t="str">
        <f>IF($AB44&gt;CDS.Tenor,"-",BY44*DX44*FW44)</f>
        <v>-</v>
      </c>
      <c r="GU44" s="363" t="str">
        <f>IF($AB44&gt;CDS.Tenor,"-",BZ44*DY44*FX44)</f>
        <v>-</v>
      </c>
      <c r="GV44" s="42"/>
      <c r="GW44" s="371">
        <f t="shared" si="121"/>
        <v>10</v>
      </c>
      <c r="GX44" s="379" t="str">
        <f>IF($AB44&gt;CDS.Tenor,"-",SUMPRODUCT($GA44:$GU44,$GA$4:$GU$4)*dm)</f>
        <v>-</v>
      </c>
      <c r="GY44" s="382" t="str">
        <f>IF($AB44&gt;CDS.Tenor,"-",GX43-GX44)</f>
        <v>-</v>
      </c>
    </row>
    <row r="45" spans="10:207" x14ac:dyDescent="0.3">
      <c r="GV45" s="42"/>
    </row>
    <row r="46" spans="10:207" x14ac:dyDescent="0.3">
      <c r="GV46" s="42"/>
    </row>
    <row r="47" spans="10:207" x14ac:dyDescent="0.3">
      <c r="GV47" s="42"/>
    </row>
    <row r="48" spans="10:207" x14ac:dyDescent="0.3">
      <c r="GV48" s="42"/>
    </row>
    <row r="49" spans="204:204" x14ac:dyDescent="0.3">
      <c r="GV49" s="42"/>
    </row>
    <row r="50" spans="204:204" x14ac:dyDescent="0.3">
      <c r="GV50" s="42"/>
    </row>
    <row r="51" spans="204:204" x14ac:dyDescent="0.3">
      <c r="GV51" s="42"/>
    </row>
    <row r="52" spans="204:204" x14ac:dyDescent="0.3">
      <c r="GV52" s="42"/>
    </row>
  </sheetData>
  <dataValidations disablePrompts="1" count="2">
    <dataValidation type="list" allowBlank="1" showInputMessage="1" showErrorMessage="1" sqref="D7" xr:uid="{F3C77BDB-71DC-4B52-8456-839673ABF947}">
      <formula1>"AAPL,MSFT,NVDA"</formula1>
    </dataValidation>
    <dataValidation type="list" allowBlank="1" showInputMessage="1" showErrorMessage="1" sqref="D6" xr:uid="{39203EBE-B6BA-4187-BDCA-1B1E05B79462}">
      <formula1>"BUY,SELL"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250</vt:i4>
      </vt:variant>
    </vt:vector>
  </HeadingPairs>
  <TitlesOfParts>
    <vt:vector size="257" baseType="lpstr">
      <vt:lpstr>IR Yield Curve</vt:lpstr>
      <vt:lpstr>IR Swap</vt:lpstr>
      <vt:lpstr>Credit Curve AAPL</vt:lpstr>
      <vt:lpstr>Credit Curve MSFT</vt:lpstr>
      <vt:lpstr>Credit Curve NVDA</vt:lpstr>
      <vt:lpstr>Credit Default Swap</vt:lpstr>
      <vt:lpstr>First-to-Default CDS</vt:lpstr>
      <vt:lpstr>AnalyticalDV01</vt:lpstr>
      <vt:lpstr>Annuity_Fixed</vt:lpstr>
      <vt:lpstr>Annuity_Float</vt:lpstr>
      <vt:lpstr>ApplyBump</vt:lpstr>
      <vt:lpstr>AsOfDate</vt:lpstr>
      <vt:lpstr>'Credit Curve MSFT'!Calibration.HazardRates</vt:lpstr>
      <vt:lpstr>'Credit Curve NVDA'!Calibration.HazardRates</vt:lpstr>
      <vt:lpstr>Calibration.HazardRates</vt:lpstr>
      <vt:lpstr>'Credit Curve MSFT'!Calibration.Times</vt:lpstr>
      <vt:lpstr>'Credit Curve NVDA'!Calibration.Times</vt:lpstr>
      <vt:lpstr>Calibration.Times</vt:lpstr>
      <vt:lpstr>'First-to-Default CDS'!CDS.BuySell</vt:lpstr>
      <vt:lpstr>CDS.BuySell</vt:lpstr>
      <vt:lpstr>'First-to-Default CDS'!CDS.CreditSpread</vt:lpstr>
      <vt:lpstr>CDS.CreditSpread</vt:lpstr>
      <vt:lpstr>'First-to-Default CDS'!CDS.Notional</vt:lpstr>
      <vt:lpstr>CDS.Notional</vt:lpstr>
      <vt:lpstr>'First-to-Default CDS'!CDS.PremiumLegPV</vt:lpstr>
      <vt:lpstr>CDS.PremiumLegPV</vt:lpstr>
      <vt:lpstr>'First-to-Default CDS'!CDS.PremiumSign</vt:lpstr>
      <vt:lpstr>CDS.PremiumSign</vt:lpstr>
      <vt:lpstr>'First-to-Default CDS'!CDS.ProtectionSign</vt:lpstr>
      <vt:lpstr>CDS.ProtectionSign</vt:lpstr>
      <vt:lpstr>'First-to-Default CDS'!CDS.RecoveryRate</vt:lpstr>
      <vt:lpstr>CDS.RecoveryRate</vt:lpstr>
      <vt:lpstr>'First-to-Default CDS'!CDS.Spread</vt:lpstr>
      <vt:lpstr>CDS.Spread</vt:lpstr>
      <vt:lpstr>'First-to-Default CDS'!CDS.Tenor</vt:lpstr>
      <vt:lpstr>CDS.Tenor</vt:lpstr>
      <vt:lpstr>'First-to-Default CDS'!CDS.YearFraction</vt:lpstr>
      <vt:lpstr>CDS.YearFraction</vt:lpstr>
      <vt:lpstr>'Credit Default Swap'!CreditCurve</vt:lpstr>
      <vt:lpstr>'Credit Curve MSFT'!CreditName</vt:lpstr>
      <vt:lpstr>'Credit Curve NVDA'!CreditName</vt:lpstr>
      <vt:lpstr>CreditName</vt:lpstr>
      <vt:lpstr>'First-to-Default CDS'!CreditRef1</vt:lpstr>
      <vt:lpstr>'First-to-Default CDS'!CreditRef2</vt:lpstr>
      <vt:lpstr>'First-to-Default CDS'!CreditRef3</vt:lpstr>
      <vt:lpstr>'Credit Curve MSFT'!Currency</vt:lpstr>
      <vt:lpstr>'Credit Curve NVDA'!Currency</vt:lpstr>
      <vt:lpstr>'IR Swap'!Currency</vt:lpstr>
      <vt:lpstr>Currency</vt:lpstr>
      <vt:lpstr>CurveResults.DF.Bumped</vt:lpstr>
      <vt:lpstr>CurveResults.DFs</vt:lpstr>
      <vt:lpstr>CurveResults.Times</vt:lpstr>
      <vt:lpstr>CurveResults.USDSOFR</vt:lpstr>
      <vt:lpstr>'Credit Curve MSFT'!DiscFactors10Y</vt:lpstr>
      <vt:lpstr>'Credit Curve NVDA'!DiscFactors10Y</vt:lpstr>
      <vt:lpstr>DiscFactors10Y</vt:lpstr>
      <vt:lpstr>'Credit Curve MSFT'!DiscFactors1Y</vt:lpstr>
      <vt:lpstr>'Credit Curve NVDA'!DiscFactors1Y</vt:lpstr>
      <vt:lpstr>DiscFactors1Y</vt:lpstr>
      <vt:lpstr>'Credit Curve MSFT'!DiscFactors2Y</vt:lpstr>
      <vt:lpstr>'Credit Curve NVDA'!DiscFactors2Y</vt:lpstr>
      <vt:lpstr>DiscFactors2Y</vt:lpstr>
      <vt:lpstr>'Credit Curve MSFT'!DiscFactors3Y</vt:lpstr>
      <vt:lpstr>'Credit Curve NVDA'!DiscFactors3Y</vt:lpstr>
      <vt:lpstr>DiscFactors3Y</vt:lpstr>
      <vt:lpstr>'Credit Curve MSFT'!DiscFactors4Y</vt:lpstr>
      <vt:lpstr>'Credit Curve NVDA'!DiscFactors4Y</vt:lpstr>
      <vt:lpstr>DiscFactors4Y</vt:lpstr>
      <vt:lpstr>'Credit Curve MSFT'!DiscFactors5Y</vt:lpstr>
      <vt:lpstr>'Credit Curve NVDA'!DiscFactors5Y</vt:lpstr>
      <vt:lpstr>DiscFactors5Y</vt:lpstr>
      <vt:lpstr>'First-to-Default CDS'!dm</vt:lpstr>
      <vt:lpstr>DurationFixed</vt:lpstr>
      <vt:lpstr>DurationFloat</vt:lpstr>
      <vt:lpstr>'Credit Curve MSFT'!Epsilon</vt:lpstr>
      <vt:lpstr>'Credit Curve NVDA'!Epsilon</vt:lpstr>
      <vt:lpstr>'IR Swap'!Epsilon</vt:lpstr>
      <vt:lpstr>'IR Yield Curve'!Epsilon</vt:lpstr>
      <vt:lpstr>Epsilon</vt:lpstr>
      <vt:lpstr>'Credit Curve MSFT'!Frequency</vt:lpstr>
      <vt:lpstr>'Credit Curve NVDA'!Frequency</vt:lpstr>
      <vt:lpstr>Frequency</vt:lpstr>
      <vt:lpstr>'Credit Curve MSFT'!HazardRate10Y</vt:lpstr>
      <vt:lpstr>'Credit Curve NVDA'!HazardRate10Y</vt:lpstr>
      <vt:lpstr>HazardRate10Y</vt:lpstr>
      <vt:lpstr>'Credit Curve MSFT'!HazardRate1Y</vt:lpstr>
      <vt:lpstr>'Credit Curve NVDA'!HazardRate1Y</vt:lpstr>
      <vt:lpstr>HazardRate1Y</vt:lpstr>
      <vt:lpstr>'Credit Curve MSFT'!HazardRate2Y</vt:lpstr>
      <vt:lpstr>'Credit Curve NVDA'!HazardRate2Y</vt:lpstr>
      <vt:lpstr>HazardRate2Y</vt:lpstr>
      <vt:lpstr>'Credit Curve MSFT'!HazardRate3Y</vt:lpstr>
      <vt:lpstr>'Credit Curve NVDA'!HazardRate3Y</vt:lpstr>
      <vt:lpstr>HazardRate3Y</vt:lpstr>
      <vt:lpstr>'Credit Curve MSFT'!HazardRate4Y</vt:lpstr>
      <vt:lpstr>'Credit Curve NVDA'!HazardRate4Y</vt:lpstr>
      <vt:lpstr>HazardRate4Y</vt:lpstr>
      <vt:lpstr>'Credit Curve MSFT'!HazardRate5Y</vt:lpstr>
      <vt:lpstr>'Credit Curve NVDA'!HazardRate5Y</vt:lpstr>
      <vt:lpstr>HazardRate5Y</vt:lpstr>
      <vt:lpstr>'Credit Default Swap'!HazardRateTimes</vt:lpstr>
      <vt:lpstr>HazardRateTimes1</vt:lpstr>
      <vt:lpstr>HazardRateTimes2</vt:lpstr>
      <vt:lpstr>HazardRateTimes3</vt:lpstr>
      <vt:lpstr>'Credit Default Swap'!HazardRateValues</vt:lpstr>
      <vt:lpstr>HazardRateValues1</vt:lpstr>
      <vt:lpstr>HazardRateValues2</vt:lpstr>
      <vt:lpstr>HazardRateValues3</vt:lpstr>
      <vt:lpstr>'First-to-Default CDS'!ImpliedCorrelation</vt:lpstr>
      <vt:lpstr>'Credit Curve MSFT'!InterationResults</vt:lpstr>
      <vt:lpstr>'Credit Curve NVDA'!InterationResults</vt:lpstr>
      <vt:lpstr>'IR Swap'!InterationResults</vt:lpstr>
      <vt:lpstr>'IR Yield Curve'!InterationResults</vt:lpstr>
      <vt:lpstr>InterationResults</vt:lpstr>
      <vt:lpstr>'Credit Curve MSFT'!InterationResults1</vt:lpstr>
      <vt:lpstr>'Credit Curve NVDA'!InterationResults1</vt:lpstr>
      <vt:lpstr>'IR Swap'!InterationResults1</vt:lpstr>
      <vt:lpstr>'IR Yield Curve'!InterationResults1</vt:lpstr>
      <vt:lpstr>InterationResults1</vt:lpstr>
      <vt:lpstr>'Credit Curve MSFT'!IterationCount</vt:lpstr>
      <vt:lpstr>'Credit Curve NVDA'!IterationCount</vt:lpstr>
      <vt:lpstr>'IR Swap'!IterationCount</vt:lpstr>
      <vt:lpstr>'IR Yield Curve'!IterationCount</vt:lpstr>
      <vt:lpstr>IterationCount</vt:lpstr>
      <vt:lpstr>'Credit Curve MSFT'!LGD</vt:lpstr>
      <vt:lpstr>'Credit Curve NVDA'!LGD</vt:lpstr>
      <vt:lpstr>LGD</vt:lpstr>
      <vt:lpstr>N</vt:lpstr>
      <vt:lpstr>'Credit Curve MSFT'!Notional</vt:lpstr>
      <vt:lpstr>'Credit Curve NVDA'!Notional</vt:lpstr>
      <vt:lpstr>Notional</vt:lpstr>
      <vt:lpstr>NumericalDV01</vt:lpstr>
      <vt:lpstr>p</vt:lpstr>
      <vt:lpstr>PAYREC</vt:lpstr>
      <vt:lpstr>'Credit Curve MSFT'!PDefault10Y</vt:lpstr>
      <vt:lpstr>'Credit Curve NVDA'!PDefault10Y</vt:lpstr>
      <vt:lpstr>PDefault10Y</vt:lpstr>
      <vt:lpstr>'Credit Curve MSFT'!PDefault1Y</vt:lpstr>
      <vt:lpstr>'Credit Curve NVDA'!PDefault1Y</vt:lpstr>
      <vt:lpstr>PDefault1Y</vt:lpstr>
      <vt:lpstr>'Credit Curve MSFT'!PDefault2Y</vt:lpstr>
      <vt:lpstr>'Credit Curve NVDA'!PDefault2Y</vt:lpstr>
      <vt:lpstr>PDefault2Y</vt:lpstr>
      <vt:lpstr>'Credit Curve MSFT'!PDefault3Y</vt:lpstr>
      <vt:lpstr>'Credit Curve NVDA'!PDefault3Y</vt:lpstr>
      <vt:lpstr>PDefault3Y</vt:lpstr>
      <vt:lpstr>'Credit Curve MSFT'!PDefault4Y</vt:lpstr>
      <vt:lpstr>'Credit Curve NVDA'!PDefault4Y</vt:lpstr>
      <vt:lpstr>PDefault4Y</vt:lpstr>
      <vt:lpstr>'Credit Curve MSFT'!PDefault5Y</vt:lpstr>
      <vt:lpstr>'Credit Curve NVDA'!PDefault5Y</vt:lpstr>
      <vt:lpstr>PDefault5Y</vt:lpstr>
      <vt:lpstr>Phi</vt:lpstr>
      <vt:lpstr>'Credit Curve MSFT'!Protection10Y</vt:lpstr>
      <vt:lpstr>'Credit Curve NVDA'!Protection10Y</vt:lpstr>
      <vt:lpstr>Protection10Y</vt:lpstr>
      <vt:lpstr>'Credit Curve MSFT'!Protection1Y</vt:lpstr>
      <vt:lpstr>'Credit Curve NVDA'!Protection1Y</vt:lpstr>
      <vt:lpstr>Protection1Y</vt:lpstr>
      <vt:lpstr>'Credit Curve MSFT'!Protection2Y</vt:lpstr>
      <vt:lpstr>'Credit Curve NVDA'!Protection2Y</vt:lpstr>
      <vt:lpstr>Protection2Y</vt:lpstr>
      <vt:lpstr>'Credit Curve MSFT'!Protection3Y</vt:lpstr>
      <vt:lpstr>'Credit Curve NVDA'!Protection3Y</vt:lpstr>
      <vt:lpstr>Protection3Y</vt:lpstr>
      <vt:lpstr>'Credit Curve MSFT'!Protection4Y</vt:lpstr>
      <vt:lpstr>'Credit Curve NVDA'!Protection4Y</vt:lpstr>
      <vt:lpstr>Protection4Y</vt:lpstr>
      <vt:lpstr>'Credit Curve MSFT'!Protection5Y</vt:lpstr>
      <vt:lpstr>'Credit Curve NVDA'!Protection5Y</vt:lpstr>
      <vt:lpstr>Protection5Y</vt:lpstr>
      <vt:lpstr>'Credit Curve MSFT'!PSurvival10Y</vt:lpstr>
      <vt:lpstr>'Credit Curve NVDA'!PSurvival10Y</vt:lpstr>
      <vt:lpstr>PSurvival10Y</vt:lpstr>
      <vt:lpstr>'Credit Curve MSFT'!PSurvival1Y</vt:lpstr>
      <vt:lpstr>'Credit Curve NVDA'!PSurvival1Y</vt:lpstr>
      <vt:lpstr>PSurvival1Y</vt:lpstr>
      <vt:lpstr>'Credit Curve MSFT'!PSurvival2Y</vt:lpstr>
      <vt:lpstr>'Credit Curve NVDA'!PSurvival2Y</vt:lpstr>
      <vt:lpstr>PSurvival2Y</vt:lpstr>
      <vt:lpstr>'Credit Curve MSFT'!PSurvival3Y</vt:lpstr>
      <vt:lpstr>'Credit Curve NVDA'!PSurvival3Y</vt:lpstr>
      <vt:lpstr>PSurvival3Y</vt:lpstr>
      <vt:lpstr>'Credit Curve MSFT'!PSurvival4Y</vt:lpstr>
      <vt:lpstr>'Credit Curve NVDA'!PSurvival4Y</vt:lpstr>
      <vt:lpstr>PSurvival4Y</vt:lpstr>
      <vt:lpstr>'Credit Curve MSFT'!PSurvival5Y</vt:lpstr>
      <vt:lpstr>'Credit Curve NVDA'!PSurvival5Y</vt:lpstr>
      <vt:lpstr>PSurvival5Y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'Credit Curve MSFT'!RecoveryRate</vt:lpstr>
      <vt:lpstr>'Credit Curve NVDA'!RecoveryRate</vt:lpstr>
      <vt:lpstr>RecoveryRate</vt:lpstr>
      <vt:lpstr>RiskPV_NoBump</vt:lpstr>
      <vt:lpstr>RiskPV_WithBump</vt:lpstr>
      <vt:lpstr>'Credit Curve MSFT'!RiskyAnnuity10Y</vt:lpstr>
      <vt:lpstr>'Credit Curve NVDA'!RiskyAnnuity10Y</vt:lpstr>
      <vt:lpstr>RiskyAnnuity10Y</vt:lpstr>
      <vt:lpstr>'Credit Curve MSFT'!RiskyAnnuity1Y</vt:lpstr>
      <vt:lpstr>'Credit Curve NVDA'!RiskyAnnuity1Y</vt:lpstr>
      <vt:lpstr>RiskyAnnuity1Y</vt:lpstr>
      <vt:lpstr>'Credit Curve MSFT'!RiskyAnnuity2Y</vt:lpstr>
      <vt:lpstr>'Credit Curve NVDA'!RiskyAnnuity2Y</vt:lpstr>
      <vt:lpstr>RiskyAnnuity2Y</vt:lpstr>
      <vt:lpstr>'Credit Curve MSFT'!RiskyAnnuity3Y</vt:lpstr>
      <vt:lpstr>'Credit Curve NVDA'!RiskyAnnuity3Y</vt:lpstr>
      <vt:lpstr>RiskyAnnuity3Y</vt:lpstr>
      <vt:lpstr>'Credit Curve MSFT'!RiskyAnnuity4Y</vt:lpstr>
      <vt:lpstr>'Credit Curve NVDA'!RiskyAnnuity4Y</vt:lpstr>
      <vt:lpstr>RiskyAnnuity4Y</vt:lpstr>
      <vt:lpstr>'Credit Curve MSFT'!RiskyAnnuity5Y</vt:lpstr>
      <vt:lpstr>'Credit Curve NVDA'!RiskyAnnuity5Y</vt:lpstr>
      <vt:lpstr>RiskyAnnuity5Y</vt:lpstr>
      <vt:lpstr>s</vt:lpstr>
      <vt:lpstr>'Credit Curve MSFT'!ShiftSize</vt:lpstr>
      <vt:lpstr>'Credit Curve NVDA'!ShiftSize</vt:lpstr>
      <vt:lpstr>ShiftSize</vt:lpstr>
      <vt:lpstr>'Credit Curve MSFT'!ShowIterations</vt:lpstr>
      <vt:lpstr>'Credit Curve NVDA'!ShowIterations</vt:lpstr>
      <vt:lpstr>'IR Swap'!ShowIterations</vt:lpstr>
      <vt:lpstr>'IR Yield Curve'!ShowIterations</vt:lpstr>
      <vt:lpstr>ShowIterations</vt:lpstr>
      <vt:lpstr>T</vt:lpstr>
      <vt:lpstr>tau_i</vt:lpstr>
      <vt:lpstr>tau_j</vt:lpstr>
      <vt:lpstr>'Credit Curve MSFT'!Tolerance</vt:lpstr>
      <vt:lpstr>'Credit Curve NVDA'!Tolerance</vt:lpstr>
      <vt:lpstr>'IR Swap'!Tolerance</vt:lpstr>
      <vt:lpstr>'IR Yield Curve'!Tolerance</vt:lpstr>
      <vt:lpstr>Tolerance</vt:lpstr>
      <vt:lpstr>'Credit Curve MSFT'!X0</vt:lpstr>
      <vt:lpstr>'Credit Curve NVDA'!X0</vt:lpstr>
      <vt:lpstr>'IR Swap'!X0</vt:lpstr>
      <vt:lpstr>'IR Yield Curve'!X0</vt:lpstr>
      <vt:lpstr>X0</vt:lpstr>
      <vt:lpstr>'Credit Curve MSFT'!Xn</vt:lpstr>
      <vt:lpstr>'Credit Curve NVDA'!Xn</vt:lpstr>
      <vt:lpstr>'IR Swap'!Xn</vt:lpstr>
      <vt:lpstr>'IR Yield Curve'!Xn</vt:lpstr>
      <vt:lpstr>Xn</vt:lpstr>
      <vt:lpstr>'Credit Curve MSFT'!XnPlus1</vt:lpstr>
      <vt:lpstr>'Credit Curve NVDA'!XnPlus1</vt:lpstr>
      <vt:lpstr>'IR Swap'!XnPlus1</vt:lpstr>
      <vt:lpstr>'IR Yield Curve'!XnPlus1</vt:lpstr>
      <vt:lpstr>XnPlus1</vt:lpstr>
      <vt:lpstr>'Credit Curve MSFT'!YearFraction</vt:lpstr>
      <vt:lpstr>'Credit Curve NVDA'!YearFraction</vt:lpstr>
      <vt:lpstr>YearFraction</vt:lpstr>
      <vt:lpstr>YieldCurveDates</vt:lpstr>
      <vt:lpstr>YieldCurveForwards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2026-02-09T22:21:18Z</dcterms:modified>
</cp:coreProperties>
</file>