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esktop\"/>
    </mc:Choice>
  </mc:AlternateContent>
  <xr:revisionPtr revIDLastSave="0" documentId="13_ncr:1_{360687B5-35EA-45A0-A6DE-647B3C8489B1}" xr6:coauthVersionLast="47" xr6:coauthVersionMax="47" xr10:uidLastSave="{00000000-0000-0000-0000-000000000000}"/>
  <bookViews>
    <workbookView xWindow="-108" yWindow="-108" windowWidth="23256" windowHeight="12456" firstSheet="4" activeTab="6" xr2:uid="{240FB811-79B9-4413-B467-37154B088B69}"/>
  </bookViews>
  <sheets>
    <sheet name="IR Yield Curve" sheetId="4" r:id="rId1"/>
    <sheet name="IR Swap" sheetId="5" r:id="rId2"/>
    <sheet name="Credit Curve AAPL" sheetId="1" r:id="rId3"/>
    <sheet name="Credit Curve MSFT" sheetId="6" r:id="rId4"/>
    <sheet name="Credit Curve NVDA" sheetId="7" r:id="rId5"/>
    <sheet name="Credit Default Swap" sheetId="3" r:id="rId6"/>
    <sheet name="First-to-Default CDS" sheetId="8" r:id="rId7"/>
  </sheets>
  <functionGroups builtInGroupCount="19"/>
  <definedNames>
    <definedName name="_xlnm._FilterDatabase" localSheetId="6" hidden="1">'First-to-Default CDS'!$AN$1:$CL$44</definedName>
    <definedName name="AnalyticalDV01">'IR Swap'!$AH$22</definedName>
    <definedName name="Annuity_Fixed">'IR Swap'!$AH$15</definedName>
    <definedName name="Annuity_Float">'IR Swap'!$AH$16</definedName>
    <definedName name="ApplyBump">'IR Swap'!$AH$25</definedName>
    <definedName name="AsOfDate">'IR Yield Curve'!$M$2</definedName>
    <definedName name="Calibration.HazardRates" localSheetId="3">'Credit Curve MSFT'!$T$4:$T$9</definedName>
    <definedName name="Calibration.HazardRates" localSheetId="4">'Credit Curve NVDA'!$T$4:$T$9</definedName>
    <definedName name="Calibration.HazardRates">'Credit Curve AAPL'!$T$4:$T$9</definedName>
    <definedName name="Calibration.Times" localSheetId="3">'Credit Curve MSFT'!$S$4:$S$9</definedName>
    <definedName name="Calibration.Times" localSheetId="4">'Credit Curve NVDA'!$S$4:$S$9</definedName>
    <definedName name="Calibration.Times">'Credit Curve AAPL'!$S$4:$S$9</definedName>
    <definedName name="CDS.BuySell" localSheetId="6">'First-to-Default CDS'!$D$6</definedName>
    <definedName name="CDS.BuySell">'Credit Default Swap'!$D$6</definedName>
    <definedName name="CDS.CreditSpread" localSheetId="6">'First-to-Default CDS'!$D$16</definedName>
    <definedName name="CDS.CreditSpread">'Credit Default Swap'!$D$16</definedName>
    <definedName name="CDS.Notional" localSheetId="6">'First-to-Default CDS'!$D$8</definedName>
    <definedName name="CDS.Notional">'Credit Default Swap'!$D$8</definedName>
    <definedName name="CDS.PremiumLegPV" localSheetId="6">'First-to-Default CDS'!$D$21</definedName>
    <definedName name="CDS.PremiumLegPV">'Credit Default Swap'!$D$21</definedName>
    <definedName name="CDS.PremiumSign" localSheetId="6">'First-to-Default CDS'!$D$14</definedName>
    <definedName name="CDS.PremiumSign">'Credit Default Swap'!$D$14</definedName>
    <definedName name="CDS.ProtectionSign" localSheetId="6">'First-to-Default CDS'!$D$15</definedName>
    <definedName name="CDS.ProtectionSign">'Credit Default Swap'!$D$15</definedName>
    <definedName name="CDS.RecoveryRate" localSheetId="6">'First-to-Default CDS'!$D$11</definedName>
    <definedName name="CDS.RecoveryRate">'Credit Default Swap'!$D$11</definedName>
    <definedName name="CDS.Spread" localSheetId="6">'First-to-Default CDS'!$D$9</definedName>
    <definedName name="CDS.Spread">'Credit Default Swap'!$D$9</definedName>
    <definedName name="CDS.Tenor" localSheetId="6">'First-to-Default CDS'!$D$10</definedName>
    <definedName name="CDS.Tenor">'Credit Default Swap'!$D$10</definedName>
    <definedName name="CDS.YearFraction" localSheetId="6">'First-to-Default CDS'!$D$17</definedName>
    <definedName name="CDS.YearFraction">'Credit Default Swap'!$D$17</definedName>
    <definedName name="Correlation1" localSheetId="6">'First-to-Default CDS'!$O$9</definedName>
    <definedName name="Correlation2" localSheetId="6">'First-to-Default CDS'!$O$10</definedName>
    <definedName name="Correlation3">'First-to-Default CDS'!$O$11</definedName>
    <definedName name="CreditCurve" localSheetId="5">'Credit Default Swap'!$B$29</definedName>
    <definedName name="CreditName" localSheetId="3">'Credit Curve MSFT'!$M$3</definedName>
    <definedName name="CreditName" localSheetId="4">'Credit Curve NVDA'!$M$3</definedName>
    <definedName name="CreditName">'Credit Curve AAPL'!$M$3</definedName>
    <definedName name="CreditRef1" localSheetId="6">'First-to-Default CDS'!$F$9</definedName>
    <definedName name="CreditRef2" localSheetId="6">'First-to-Default CDS'!$F$10</definedName>
    <definedName name="CreditRef3" localSheetId="6">'First-to-Default CDS'!$F$11</definedName>
    <definedName name="Currency" localSheetId="3">'Credit Curve MSFT'!$M$4</definedName>
    <definedName name="Currency" localSheetId="4">'Credit Curve NVDA'!$M$4</definedName>
    <definedName name="Currency" localSheetId="1">'IR Swap'!$C$6</definedName>
    <definedName name="Currency">'Credit Curve AAPL'!$M$4</definedName>
    <definedName name="CurveResults.DF.Bumped">'IR Yield Curve'!$AL$24:$AL$34</definedName>
    <definedName name="CurveResults.DFs">'IR Yield Curve'!$AK$24:$AK$34</definedName>
    <definedName name="CurveResults.Times">'IR Yield Curve'!$AD$24:$AD$34</definedName>
    <definedName name="CurveResults.USDSOFR">'IR Yield Curve'!$AE$24:$AE$34</definedName>
    <definedName name="DiscFactors10Y" localSheetId="3">'Credit Curve MSFT'!$AB$5:$AB$44</definedName>
    <definedName name="DiscFactors10Y" localSheetId="4">'Credit Curve NVDA'!$AB$5:$AB$44</definedName>
    <definedName name="DiscFactors10Y">'Credit Curve AAPL'!$AB$5:$AB$44</definedName>
    <definedName name="DiscFactors1Y" localSheetId="3">'Credit Curve MSFT'!$AB$5:$AB$8</definedName>
    <definedName name="DiscFactors1Y" localSheetId="4">'Credit Curve NVDA'!$AB$5:$AB$8</definedName>
    <definedName name="DiscFactors1Y">'Credit Curve AAPL'!$AB$5:$AB$8</definedName>
    <definedName name="DiscFactors2Y" localSheetId="3">'Credit Curve MSFT'!$AB$5:$AB$12</definedName>
    <definedName name="DiscFactors2Y" localSheetId="4">'Credit Curve NVDA'!$AB$5:$AB$12</definedName>
    <definedName name="DiscFactors2Y">'Credit Curve AAPL'!$AB$5:$AB$12</definedName>
    <definedName name="DiscFactors3Y" localSheetId="3">'Credit Curve MSFT'!$AB$5:$AB$16</definedName>
    <definedName name="DiscFactors3Y" localSheetId="4">'Credit Curve NVDA'!$AB$5:$AB$16</definedName>
    <definedName name="DiscFactors3Y">'Credit Curve AAPL'!$AB$5:$AB$16</definedName>
    <definedName name="DiscFactors4Y" localSheetId="3">'Credit Curve MSFT'!$AB$5:$AB$20</definedName>
    <definedName name="DiscFactors4Y" localSheetId="4">'Credit Curve NVDA'!$AB$5:$AB$20</definedName>
    <definedName name="DiscFactors4Y">'Credit Curve AAPL'!$AB$5:$AB$20</definedName>
    <definedName name="DiscFactors5Y" localSheetId="3">'Credit Curve MSFT'!$AB$5:$AB$24</definedName>
    <definedName name="DiscFactors5Y" localSheetId="4">'Credit Curve NVDA'!$AB$5:$AB$24</definedName>
    <definedName name="DiscFactors5Y">'Credit Curve AAPL'!$AB$5:$AB$24</definedName>
    <definedName name="dm" localSheetId="6">'First-to-Default CDS'!$G$3</definedName>
    <definedName name="DurationFixed">'IR Swap'!$AH$19</definedName>
    <definedName name="DurationFloat">'IR Swap'!$AH$20</definedName>
    <definedName name="Epsilon" localSheetId="3">'Credit Curve MSFT'!$Q$23</definedName>
    <definedName name="Epsilon" localSheetId="4">'Credit Curve NVDA'!$Q$23</definedName>
    <definedName name="Epsilon" localSheetId="1">'IR Yield Curve'!$X$4</definedName>
    <definedName name="Epsilon" localSheetId="0">'IR Yield Curve'!$X$4</definedName>
    <definedName name="Epsilon">'Credit Curve AAPL'!$Q$23</definedName>
    <definedName name="Frequency" localSheetId="3">'Credit Curve MSFT'!$M$5</definedName>
    <definedName name="Frequency" localSheetId="4">'Credit Curve NVDA'!$M$5</definedName>
    <definedName name="Frequency">'Credit Curve AAPL'!$M$5</definedName>
    <definedName name="HazardRate10Y" localSheetId="3">'Credit Curve MSFT'!$T$9</definedName>
    <definedName name="HazardRate10Y" localSheetId="4">'Credit Curve NVDA'!$T$9</definedName>
    <definedName name="HazardRate10Y">'Credit Curve AAPL'!$T$9</definedName>
    <definedName name="HazardRate1Y" localSheetId="3">'Credit Curve MSFT'!$T$4</definedName>
    <definedName name="HazardRate1Y" localSheetId="4">'Credit Curve NVDA'!$T$4</definedName>
    <definedName name="HazardRate1Y">'Credit Curve AAPL'!$T$4</definedName>
    <definedName name="HazardRate2Y" localSheetId="3">'Credit Curve MSFT'!$T$5</definedName>
    <definedName name="HazardRate2Y" localSheetId="4">'Credit Curve NVDA'!$T$5</definedName>
    <definedName name="HazardRate2Y">'Credit Curve AAPL'!$T$5</definedName>
    <definedName name="HazardRate3Y" localSheetId="3">'Credit Curve MSFT'!$T$6</definedName>
    <definedName name="HazardRate3Y" localSheetId="4">'Credit Curve NVDA'!$T$6</definedName>
    <definedName name="HazardRate3Y">'Credit Curve AAPL'!$T$6</definedName>
    <definedName name="HazardRate4Y" localSheetId="3">'Credit Curve MSFT'!$T$7</definedName>
    <definedName name="HazardRate4Y" localSheetId="4">'Credit Curve NVDA'!$T$7</definedName>
    <definedName name="HazardRate4Y">'Credit Curve AAPL'!$T$7</definedName>
    <definedName name="HazardRate5Y" localSheetId="3">'Credit Curve MSFT'!$T$8</definedName>
    <definedName name="HazardRate5Y" localSheetId="4">'Credit Curve NVDA'!$T$8</definedName>
    <definedName name="HazardRate5Y">'Credit Curve AAPL'!$T$8</definedName>
    <definedName name="HazardRateTimes" localSheetId="5">'Credit Default Swap'!$B$30</definedName>
    <definedName name="HazardRateTimes1">'First-to-Default CDS'!$AN$50</definedName>
    <definedName name="HazardRateTimes2">'First-to-Default CDS'!$CO$50</definedName>
    <definedName name="HazardRateTimes3">'First-to-Default CDS'!$EO$50</definedName>
    <definedName name="HazardRateValues" localSheetId="5">'Credit Default Swap'!$B$31</definedName>
    <definedName name="HazardRateValues1">'First-to-Default CDS'!$AN$51</definedName>
    <definedName name="HazardRateValues2">'First-to-Default CDS'!$CO$51</definedName>
    <definedName name="HazardRateValues3">'First-to-Default CDS'!$EO$51</definedName>
    <definedName name="ImpliedCorrelation" localSheetId="6">'First-to-Default CDS'!$F$6</definedName>
    <definedName name="InterationResults" localSheetId="3">'Credit Curve MSFT'!$K$42:$U$47</definedName>
    <definedName name="InterationResults" localSheetId="4">'Credit Curve NVDA'!$K$42:$U$47</definedName>
    <definedName name="InterationResults" localSheetId="1">'IR Yield Curve'!$N$23:$X$32</definedName>
    <definedName name="InterationResults" localSheetId="0">'IR Yield Curve'!$N$23:$X$32</definedName>
    <definedName name="InterationResults">'Credit Curve AAPL'!$K$42:$U$47</definedName>
    <definedName name="InterationResults1" localSheetId="3">'Credit Curve MSFT'!$K$42:$K$47</definedName>
    <definedName name="InterationResults1" localSheetId="4">'Credit Curve NVDA'!$K$42:$K$47</definedName>
    <definedName name="InterationResults1" localSheetId="1">'IR Yield Curve'!$N$23:$N$32</definedName>
    <definedName name="InterationResults1" localSheetId="0">'IR Yield Curve'!$N$23:$N$32</definedName>
    <definedName name="InterationResults1">'Credit Curve AAPL'!$K$42:$K$47</definedName>
    <definedName name="IterationCount" localSheetId="3">'Credit Curve MSFT'!$K$25</definedName>
    <definedName name="IterationCount" localSheetId="4">'Credit Curve NVDA'!$K$25</definedName>
    <definedName name="IterationCount" localSheetId="1">'IR Yield Curve'!$Q$6</definedName>
    <definedName name="IterationCount" localSheetId="0">'IR Yield Curve'!$Q$6</definedName>
    <definedName name="IterationCount">'Credit Curve AAPL'!$K$25</definedName>
    <definedName name="LGD" localSheetId="3">'Credit Curve MSFT'!$M$9</definedName>
    <definedName name="LGD" localSheetId="4">'Credit Curve NVDA'!$M$9</definedName>
    <definedName name="LGD">'Credit Curve AAPL'!$M$9</definedName>
    <definedName name="N">'IR Swap'!$C$7</definedName>
    <definedName name="Notional" localSheetId="3">'Credit Curve MSFT'!$M$8</definedName>
    <definedName name="Notional" localSheetId="4">'Credit Curve NVDA'!$M$8</definedName>
    <definedName name="Notional">'Credit Curve AAPL'!$M$8</definedName>
    <definedName name="NumericalDV01">'IR Swap'!$AH$28</definedName>
    <definedName name="p">'IR Swap'!$AH$10</definedName>
    <definedName name="PAYREC">'IR Swap'!$C$5</definedName>
    <definedName name="PDefault10Y" localSheetId="3">'Credit Curve MSFT'!$AA$5:$AA$44</definedName>
    <definedName name="PDefault10Y" localSheetId="4">'Credit Curve NVDA'!$AA$5:$AA$44</definedName>
    <definedName name="PDefault10Y">'Credit Curve AAPL'!$AA$5:$AA$44</definedName>
    <definedName name="PDefault1Y" localSheetId="3">'Credit Curve MSFT'!$AA$5:$AA$8</definedName>
    <definedName name="PDefault1Y" localSheetId="4">'Credit Curve NVDA'!$AA$5:$AA$8</definedName>
    <definedName name="PDefault1Y">'Credit Curve AAPL'!$AA$5:$AA$8</definedName>
    <definedName name="PDefault2Y" localSheetId="3">'Credit Curve MSFT'!$AA$5:$AA$12</definedName>
    <definedName name="PDefault2Y" localSheetId="4">'Credit Curve NVDA'!$AA$5:$AA$12</definedName>
    <definedName name="PDefault2Y">'Credit Curve AAPL'!$AA$5:$AA$12</definedName>
    <definedName name="PDefault3Y" localSheetId="3">'Credit Curve MSFT'!$AA$5:$AA$16</definedName>
    <definedName name="PDefault3Y" localSheetId="4">'Credit Curve NVDA'!$AA$5:$AA$16</definedName>
    <definedName name="PDefault3Y">'Credit Curve AAPL'!$AA$5:$AA$16</definedName>
    <definedName name="PDefault4Y" localSheetId="3">'Credit Curve MSFT'!$AA$5:$AA$20</definedName>
    <definedName name="PDefault4Y" localSheetId="4">'Credit Curve NVDA'!$AA$5:$AA$20</definedName>
    <definedName name="PDefault4Y">'Credit Curve AAPL'!$AA$5:$AA$20</definedName>
    <definedName name="PDefault5Y" localSheetId="3">'Credit Curve MSFT'!$AA$5:$AA$24</definedName>
    <definedName name="PDefault5Y" localSheetId="4">'Credit Curve NVDA'!$AA$5:$AA$24</definedName>
    <definedName name="PDefault5Y">'Credit Curve AAPL'!$AA$5:$AA$24</definedName>
    <definedName name="Phi">'IR Swap'!$A$5</definedName>
    <definedName name="Protection10Y" localSheetId="3">'Credit Curve MSFT'!$P$19</definedName>
    <definedName name="Protection10Y" localSheetId="4">'Credit Curve NVDA'!$P$19</definedName>
    <definedName name="Protection10Y">'Credit Curve AAPL'!$P$19</definedName>
    <definedName name="Protection1Y" localSheetId="3">'Credit Curve MSFT'!$P$14</definedName>
    <definedName name="Protection1Y" localSheetId="4">'Credit Curve NVDA'!$P$14</definedName>
    <definedName name="Protection1Y">'Credit Curve AAPL'!$P$14</definedName>
    <definedName name="Protection2Y" localSheetId="3">'Credit Curve MSFT'!$P$15</definedName>
    <definedName name="Protection2Y" localSheetId="4">'Credit Curve NVDA'!$P$15</definedName>
    <definedName name="Protection2Y">'Credit Curve AAPL'!$P$15</definedName>
    <definedName name="Protection3Y" localSheetId="3">'Credit Curve MSFT'!$P$16</definedName>
    <definedName name="Protection3Y" localSheetId="4">'Credit Curve NVDA'!$P$16</definedName>
    <definedName name="Protection3Y">'Credit Curve AAPL'!$P$16</definedName>
    <definedName name="Protection4Y" localSheetId="3">'Credit Curve MSFT'!$P$17</definedName>
    <definedName name="Protection4Y" localSheetId="4">'Credit Curve NVDA'!$P$17</definedName>
    <definedName name="Protection4Y">'Credit Curve AAPL'!$P$17</definedName>
    <definedName name="Protection5Y" localSheetId="3">'Credit Curve MSFT'!$P$18</definedName>
    <definedName name="Protection5Y" localSheetId="4">'Credit Curve NVDA'!$P$18</definedName>
    <definedName name="Protection5Y">'Credit Curve AAPL'!$P$18</definedName>
    <definedName name="PSurvival10Y" localSheetId="3">'Credit Curve MSFT'!$Z$5:$Z$44</definedName>
    <definedName name="PSurvival10Y" localSheetId="4">'Credit Curve NVDA'!$Z$5:$Z$44</definedName>
    <definedName name="PSurvival10Y">'Credit Curve AAPL'!$Z$5:$Z$44</definedName>
    <definedName name="PSurvival1Y" localSheetId="3">'Credit Curve MSFT'!$Z$5:$Z$8</definedName>
    <definedName name="PSurvival1Y" localSheetId="4">'Credit Curve NVDA'!$Z$5:$Z$8</definedName>
    <definedName name="PSurvival1Y">'Credit Curve AAPL'!$Z$5:$Z$8</definedName>
    <definedName name="PSurvival2Y" localSheetId="3">'Credit Curve MSFT'!$Z$5:$Z$12</definedName>
    <definedName name="PSurvival2Y" localSheetId="4">'Credit Curve NVDA'!$Z$5:$Z$12</definedName>
    <definedName name="PSurvival2Y">'Credit Curve AAPL'!$Z$5:$Z$12</definedName>
    <definedName name="PSurvival3Y" localSheetId="3">'Credit Curve MSFT'!$Z$5:$Z$16</definedName>
    <definedName name="PSurvival3Y" localSheetId="4">'Credit Curve NVDA'!$Z$5:$Z$16</definedName>
    <definedName name="PSurvival3Y">'Credit Curve AAPL'!$Z$5:$Z$16</definedName>
    <definedName name="PSurvival4Y" localSheetId="3">'Credit Curve MSFT'!$Z$5:$Z$20</definedName>
    <definedName name="PSurvival4Y" localSheetId="4">'Credit Curve NVDA'!$Z$5:$Z$20</definedName>
    <definedName name="PSurvival4Y">'Credit Curve AAPL'!$Z$5:$Z$20</definedName>
    <definedName name="PSurvival5Y" localSheetId="3">'Credit Curve MSFT'!$Z$5:$Z$24</definedName>
    <definedName name="PSurvival5Y" localSheetId="4">'Credit Curve NVDA'!$Z$5:$Z$24</definedName>
    <definedName name="PSurvival5Y">'Credit Curve AAPL'!$Z$5:$Z$24</definedName>
    <definedName name="PV_FixedLeg">'IR Swap'!$AH$6</definedName>
    <definedName name="PV_FloatLeg">'IR Swap'!$AH$7</definedName>
    <definedName name="PV_FloatSpread">'IR Swap'!$AH$8</definedName>
    <definedName name="PV_Swap">'IR Swap'!$AH$9</definedName>
    <definedName name="PV01_">'IR Swap'!$AH$21</definedName>
    <definedName name="PVlets_Fixed">'IR Swap'!$M$6:$M$55</definedName>
    <definedName name="PVlets_Float">'IR Swap'!$AA$6:$AA$55</definedName>
    <definedName name="r_fixed">'IR Swap'!$C$8</definedName>
    <definedName name="RecoveryRate" localSheetId="3">'Credit Curve MSFT'!$M$6</definedName>
    <definedName name="RecoveryRate" localSheetId="4">'Credit Curve NVDA'!$M$6</definedName>
    <definedName name="RecoveryRate">'Credit Curve AAPL'!$M$6</definedName>
    <definedName name="RiskPV_NoBump">'IR Swap'!$AH$26</definedName>
    <definedName name="RiskPV_WithBump">'IR Swap'!$AH$27</definedName>
    <definedName name="RiskyAnnuity10Y" localSheetId="3">'Credit Curve MSFT'!$S$19</definedName>
    <definedName name="RiskyAnnuity10Y" localSheetId="4">'Credit Curve NVDA'!$S$19</definedName>
    <definedName name="RiskyAnnuity10Y">'Credit Curve AAPL'!$S$19</definedName>
    <definedName name="RiskyAnnuity1Y" localSheetId="3">'Credit Curve MSFT'!$S$14</definedName>
    <definedName name="RiskyAnnuity1Y" localSheetId="4">'Credit Curve NVDA'!$S$14</definedName>
    <definedName name="RiskyAnnuity1Y">'Credit Curve AAPL'!$S$14</definedName>
    <definedName name="RiskyAnnuity2Y" localSheetId="3">'Credit Curve MSFT'!$S$15</definedName>
    <definedName name="RiskyAnnuity2Y" localSheetId="4">'Credit Curve NVDA'!$S$15</definedName>
    <definedName name="RiskyAnnuity2Y">'Credit Curve AAPL'!$S$15</definedName>
    <definedName name="RiskyAnnuity3Y" localSheetId="3">'Credit Curve MSFT'!$S$16</definedName>
    <definedName name="RiskyAnnuity3Y" localSheetId="4">'Credit Curve NVDA'!$S$16</definedName>
    <definedName name="RiskyAnnuity3Y">'Credit Curve AAPL'!$S$16</definedName>
    <definedName name="RiskyAnnuity4Y" localSheetId="3">'Credit Curve MSFT'!$S$17</definedName>
    <definedName name="RiskyAnnuity4Y" localSheetId="4">'Credit Curve NVDA'!$S$17</definedName>
    <definedName name="RiskyAnnuity4Y">'Credit Curve AAPL'!$S$17</definedName>
    <definedName name="RiskyAnnuity5Y" localSheetId="3">'Credit Curve MSFT'!$S$18</definedName>
    <definedName name="RiskyAnnuity5Y" localSheetId="4">'Credit Curve NVDA'!$S$18</definedName>
    <definedName name="RiskyAnnuity5Y">'Credit Curve AAPL'!$S$18</definedName>
    <definedName name="s">'IR Swap'!$C$11</definedName>
    <definedName name="ShiftSize" localSheetId="3">'Credit Curve MSFT'!$AH$48</definedName>
    <definedName name="ShiftSize" localSheetId="4">'Credit Curve NVDA'!$AH$48</definedName>
    <definedName name="ShiftSize">'Credit Curve AAPL'!$AH$48</definedName>
    <definedName name="ShowIterations" localSheetId="3">'Credit Curve MSFT'!$O$37</definedName>
    <definedName name="ShowIterations" localSheetId="4">'Credit Curve NVDA'!$O$37</definedName>
    <definedName name="ShowIterations" localSheetId="1">'IR Yield Curve'!$Z$23</definedName>
    <definedName name="ShowIterations" localSheetId="0">'IR Yield Curve'!$Z$23</definedName>
    <definedName name="ShowIterations">'Credit Curve AAPL'!$O$37</definedName>
    <definedName name="solver_adj" localSheetId="6" hidden="1">'First-to-Default CDS'!#REF!</definedName>
    <definedName name="solver_cvg" localSheetId="6" hidden="1">0.0001</definedName>
    <definedName name="solver_drv" localSheetId="6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'First-to-Default CDS'!$O$9</definedName>
    <definedName name="solver_lhs2" localSheetId="6" hidden="1">'First-to-Default CDS'!$O$10</definedName>
    <definedName name="solver_lhs3" localSheetId="6" hidden="1">'First-to-Default CDS'!$O$11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3</definedName>
    <definedName name="solver_nwt" localSheetId="6" hidden="1">1</definedName>
    <definedName name="solver_opt" localSheetId="6" hidden="1">'First-to-Default CDS'!$N$18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el2" localSheetId="6" hidden="1">1</definedName>
    <definedName name="solver_rel3" localSheetId="6" hidden="1">1</definedName>
    <definedName name="solver_rhs1" localSheetId="6" hidden="1">0.9999</definedName>
    <definedName name="solver_rhs2" localSheetId="6" hidden="1">0.9999</definedName>
    <definedName name="solver_rhs3" localSheetId="6" hidden="1">0.9999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3</definedName>
    <definedName name="solver_val" localSheetId="6" hidden="1">0</definedName>
    <definedName name="solver_ver" localSheetId="6" hidden="1">3</definedName>
    <definedName name="T">'IR Swap'!$C$12</definedName>
    <definedName name="tau_i">'IR Swap'!$A$9</definedName>
    <definedName name="tau_j">'IR Swap'!$A$10</definedName>
    <definedName name="Tolerance" localSheetId="3">'Credit Curve MSFT'!$O$23</definedName>
    <definedName name="Tolerance" localSheetId="4">'Credit Curve NVDA'!$O$23</definedName>
    <definedName name="Tolerance" localSheetId="1">'IR Yield Curve'!$V$4</definedName>
    <definedName name="Tolerance" localSheetId="0">'IR Yield Curve'!$V$4</definedName>
    <definedName name="Tolerance">'Credit Curve AAPL'!$O$23</definedName>
    <definedName name="X0" localSheetId="3">'Credit Curve MSFT'!$O$27:$O$32</definedName>
    <definedName name="X0" localSheetId="4">'Credit Curve NVDA'!$O$27:$O$32</definedName>
    <definedName name="X0" localSheetId="1">'IR Yield Curve'!$V$8:$V$17</definedName>
    <definedName name="X0" localSheetId="0">'IR Yield Curve'!$V$8:$V$17</definedName>
    <definedName name="X0">'Credit Curve AAPL'!$O$27:$O$32</definedName>
    <definedName name="Xn" localSheetId="3">'Credit Curve MSFT'!$N$27:$N$32</definedName>
    <definedName name="Xn" localSheetId="4">'Credit Curve NVDA'!$N$27:$N$32</definedName>
    <definedName name="Xn" localSheetId="1">'IR Yield Curve'!$U$8:$U$17</definedName>
    <definedName name="Xn" localSheetId="0">'IR Yield Curve'!$U$8:$U$17</definedName>
    <definedName name="Xn">'Credit Curve AAPL'!$N$27:$N$32</definedName>
    <definedName name="XnPlus1" localSheetId="3">'Credit Curve MSFT'!$M$27:$M$32</definedName>
    <definedName name="XnPlus1" localSheetId="4">'Credit Curve NVDA'!$M$27:$M$32</definedName>
    <definedName name="XnPlus1" localSheetId="1">'IR Yield Curve'!$T$8:$T$17</definedName>
    <definedName name="XnPlus1" localSheetId="0">'IR Yield Curve'!$T$8:$T$17</definedName>
    <definedName name="XnPlus1">'Credit Curve AAPL'!$M$27:$M$32</definedName>
    <definedName name="YearFraction" localSheetId="3">'Credit Curve MSFT'!$M$7</definedName>
    <definedName name="YearFraction" localSheetId="4">'Credit Curve NVDA'!$M$7</definedName>
    <definedName name="YearFraction">'Credit Curve AAPL'!$M$7</definedName>
    <definedName name="YieldCurveDates">'IR Yield Curve'!$AD$24:$AD$34</definedName>
    <definedName name="YieldCurveForwards">'IR Yield Curve'!$AE$24:$AE$34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8" l="1"/>
  <c r="J11" i="8"/>
  <c r="J10" i="8"/>
  <c r="E15" i="8" a="1"/>
  <c r="E15" i="8" s="1"/>
  <c r="F21" i="8" a="1"/>
  <c r="F21" i="8" s="1"/>
  <c r="F14" i="8" a="1"/>
  <c r="F14" i="8" s="1"/>
  <c r="G23" i="8"/>
  <c r="G22" i="8"/>
  <c r="G21" i="8"/>
  <c r="FQ2" i="8"/>
  <c r="ET2" i="8"/>
  <c r="EO2" i="8"/>
  <c r="DQ2" i="8"/>
  <c r="CT2" i="8"/>
  <c r="CO2" i="8"/>
  <c r="BQ2" i="8"/>
  <c r="AN2" i="8"/>
  <c r="AT2" i="8"/>
  <c r="EV3" i="8"/>
  <c r="EW3" i="8" s="1"/>
  <c r="EX3" i="8" s="1"/>
  <c r="EY3" i="8" s="1"/>
  <c r="EZ3" i="8" s="1"/>
  <c r="FA3" i="8" s="1"/>
  <c r="FB3" i="8" s="1"/>
  <c r="FC3" i="8" s="1"/>
  <c r="FD3" i="8" s="1"/>
  <c r="FE3" i="8" s="1"/>
  <c r="FF3" i="8" s="1"/>
  <c r="FG3" i="8" s="1"/>
  <c r="FH3" i="8" s="1"/>
  <c r="FI3" i="8" s="1"/>
  <c r="FJ3" i="8" s="1"/>
  <c r="FK3" i="8" s="1"/>
  <c r="FL3" i="8" s="1"/>
  <c r="FM3" i="8" s="1"/>
  <c r="FN3" i="8" s="1"/>
  <c r="FO3" i="8" s="1"/>
  <c r="CV3" i="8"/>
  <c r="CW3" i="8" s="1"/>
  <c r="CX3" i="8" s="1"/>
  <c r="CY3" i="8" s="1"/>
  <c r="CZ3" i="8" s="1"/>
  <c r="DA3" i="8" s="1"/>
  <c r="DB3" i="8" s="1"/>
  <c r="DC3" i="8" s="1"/>
  <c r="DD3" i="8" s="1"/>
  <c r="DE3" i="8" s="1"/>
  <c r="DF3" i="8" s="1"/>
  <c r="DG3" i="8" s="1"/>
  <c r="DH3" i="8" s="1"/>
  <c r="DI3" i="8" s="1"/>
  <c r="DJ3" i="8" s="1"/>
  <c r="DK3" i="8" s="1"/>
  <c r="DL3" i="8" s="1"/>
  <c r="DM3" i="8" s="1"/>
  <c r="DN3" i="8" s="1"/>
  <c r="DO3" i="8" s="1"/>
  <c r="AV3" i="8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BI3" i="8" s="1"/>
  <c r="BJ3" i="8" s="1"/>
  <c r="BK3" i="8" s="1"/>
  <c r="BL3" i="8" s="1"/>
  <c r="BM3" i="8" s="1"/>
  <c r="BN3" i="8" s="1"/>
  <c r="BO3" i="8" s="1"/>
  <c r="GM1" i="8"/>
  <c r="FR3" i="8"/>
  <c r="GP3" i="8" s="1"/>
  <c r="EM1" i="8"/>
  <c r="DR3" i="8"/>
  <c r="CM1" i="8"/>
  <c r="BR3" i="8"/>
  <c r="CU4" i="8"/>
  <c r="DR4" i="8" s="1"/>
  <c r="EU4" i="8"/>
  <c r="FR4" i="8" s="1"/>
  <c r="GP4" i="8" s="1"/>
  <c r="AU4" i="8"/>
  <c r="BR4" i="8" s="1"/>
  <c r="EO51" i="8"/>
  <c r="EO50" i="8"/>
  <c r="CO51" i="8"/>
  <c r="CO50" i="8"/>
  <c r="AN51" i="8"/>
  <c r="AN50" i="8"/>
  <c r="EO49" i="8"/>
  <c r="CO49" i="8"/>
  <c r="AN49" i="8"/>
  <c r="AN5" i="8"/>
  <c r="K18" i="8" l="1"/>
  <c r="J15" i="8"/>
  <c r="K17" i="8" s="1"/>
  <c r="G26" i="8"/>
  <c r="G25" i="8"/>
  <c r="AV4" i="8"/>
  <c r="BS4" i="8" s="1"/>
  <c r="HM5" i="8"/>
  <c r="FS3" i="8"/>
  <c r="GQ3" i="8" s="1"/>
  <c r="CV4" i="8"/>
  <c r="DS4" i="8" s="1"/>
  <c r="AW4" i="8"/>
  <c r="BT4" i="8" s="1"/>
  <c r="DS3" i="8"/>
  <c r="DQ5" i="8"/>
  <c r="GO5" i="8"/>
  <c r="CT5" i="8"/>
  <c r="ET5" i="8"/>
  <c r="BQ5" i="8"/>
  <c r="AT5" i="8"/>
  <c r="FQ5" i="8"/>
  <c r="BS3" i="8"/>
  <c r="AN6" i="8"/>
  <c r="EV4" i="8"/>
  <c r="FS4" i="8" s="1"/>
  <c r="GQ4" i="8" s="1"/>
  <c r="FT3" i="8"/>
  <c r="GR3" i="8" s="1"/>
  <c r="D16" i="8"/>
  <c r="D14" i="8"/>
  <c r="D15" i="8" s="1"/>
  <c r="AF5" i="8"/>
  <c r="V5" i="8"/>
  <c r="AK4" i="8"/>
  <c r="AG4" i="8"/>
  <c r="K19" i="8" l="1"/>
  <c r="HM6" i="8"/>
  <c r="BV3" i="8"/>
  <c r="BT3" i="8"/>
  <c r="DQ6" i="8"/>
  <c r="FQ6" i="8"/>
  <c r="GO6" i="8"/>
  <c r="ET6" i="8"/>
  <c r="BQ6" i="8"/>
  <c r="AT6" i="8"/>
  <c r="CT6" i="8"/>
  <c r="DU3" i="8"/>
  <c r="DT3" i="8"/>
  <c r="CW4" i="8"/>
  <c r="DT4" i="8" s="1"/>
  <c r="DV3" i="8"/>
  <c r="CX4" i="8"/>
  <c r="DU4" i="8" s="1"/>
  <c r="FU3" i="8"/>
  <c r="GS3" i="8" s="1"/>
  <c r="EW4" i="8"/>
  <c r="FT4" i="8" s="1"/>
  <c r="GR4" i="8" s="1"/>
  <c r="AN7" i="8"/>
  <c r="V6" i="8"/>
  <c r="AG5" i="8"/>
  <c r="W5" i="8"/>
  <c r="AF6" i="8"/>
  <c r="K10" i="8" l="1"/>
  <c r="K11" i="8"/>
  <c r="K9" i="8"/>
  <c r="W6" i="8"/>
  <c r="HM7" i="8"/>
  <c r="AX4" i="8"/>
  <c r="BU4" i="8" s="1"/>
  <c r="BU3" i="8"/>
  <c r="DQ7" i="8"/>
  <c r="FQ7" i="8"/>
  <c r="ET7" i="8"/>
  <c r="GO7" i="8"/>
  <c r="BQ7" i="8"/>
  <c r="AT7" i="8"/>
  <c r="CT7" i="8"/>
  <c r="AY4" i="8"/>
  <c r="BV4" i="8" s="1"/>
  <c r="BW3" i="8"/>
  <c r="DW3" i="8"/>
  <c r="CY4" i="8"/>
  <c r="DV4" i="8" s="1"/>
  <c r="AN8" i="8"/>
  <c r="EX4" i="8"/>
  <c r="FU4" i="8" s="1"/>
  <c r="GS4" i="8" s="1"/>
  <c r="FV3" i="8"/>
  <c r="GT3" i="8" s="1"/>
  <c r="AG6" i="8"/>
  <c r="V7" i="8"/>
  <c r="AF7" i="8"/>
  <c r="N3" i="8" l="1"/>
  <c r="V8" i="8"/>
  <c r="V9" i="8" s="1"/>
  <c r="HM8" i="8"/>
  <c r="DQ8" i="8"/>
  <c r="GO8" i="8"/>
  <c r="FQ8" i="8"/>
  <c r="ET8" i="8"/>
  <c r="BQ8" i="8"/>
  <c r="CT8" i="8"/>
  <c r="AT8" i="8"/>
  <c r="AZ4" i="8"/>
  <c r="BW4" i="8" s="1"/>
  <c r="W7" i="8"/>
  <c r="AG7" i="8"/>
  <c r="DX3" i="8"/>
  <c r="CZ4" i="8"/>
  <c r="DW4" i="8" s="1"/>
  <c r="EY4" i="8"/>
  <c r="FV4" i="8" s="1"/>
  <c r="GT4" i="8" s="1"/>
  <c r="AN9" i="8"/>
  <c r="AF8" i="8"/>
  <c r="N9" i="8" l="1"/>
  <c r="N10" i="8"/>
  <c r="O9" i="8"/>
  <c r="O10" i="8"/>
  <c r="O11" i="8"/>
  <c r="N11" i="8"/>
  <c r="W8" i="8"/>
  <c r="AG8" i="8"/>
  <c r="HM9" i="8"/>
  <c r="BA4" i="8"/>
  <c r="BX4" i="8" s="1"/>
  <c r="BX3" i="8"/>
  <c r="DQ9" i="8"/>
  <c r="GO9" i="8"/>
  <c r="FQ9" i="8"/>
  <c r="ET9" i="8"/>
  <c r="BQ9" i="8"/>
  <c r="AT9" i="8"/>
  <c r="CT9" i="8"/>
  <c r="FW3" i="8"/>
  <c r="GU3" i="8" s="1"/>
  <c r="BY3" i="8"/>
  <c r="DY3" i="8"/>
  <c r="DA4" i="8"/>
  <c r="DX4" i="8" s="1"/>
  <c r="AN10" i="8"/>
  <c r="BB4" i="8"/>
  <c r="BY4" i="8" s="1"/>
  <c r="EZ4" i="8"/>
  <c r="FW4" i="8" s="1"/>
  <c r="GU4" i="8" s="1"/>
  <c r="FX3" i="8"/>
  <c r="GV3" i="8" s="1"/>
  <c r="AG9" i="8"/>
  <c r="W9" i="8"/>
  <c r="V10" i="8"/>
  <c r="AF9" i="8"/>
  <c r="HM10" i="8" l="1"/>
  <c r="GO10" i="8"/>
  <c r="ET10" i="8"/>
  <c r="BQ10" i="8"/>
  <c r="DQ10" i="8"/>
  <c r="FQ10" i="8"/>
  <c r="CT10" i="8"/>
  <c r="AT10" i="8"/>
  <c r="BZ3" i="8"/>
  <c r="DB4" i="8"/>
  <c r="DY4" i="8" s="1"/>
  <c r="DZ3" i="8"/>
  <c r="FA4" i="8"/>
  <c r="FX4" i="8" s="1"/>
  <c r="GV4" i="8" s="1"/>
  <c r="AN11" i="8"/>
  <c r="BC4" i="8"/>
  <c r="BZ4" i="8" s="1"/>
  <c r="W10" i="8"/>
  <c r="V11" i="8"/>
  <c r="AG10" i="8"/>
  <c r="AF10" i="8"/>
  <c r="HM11" i="8" l="1"/>
  <c r="FQ11" i="8"/>
  <c r="DQ11" i="8"/>
  <c r="ET11" i="8"/>
  <c r="BQ11" i="8"/>
  <c r="CT11" i="8"/>
  <c r="AT11" i="8"/>
  <c r="GO11" i="8"/>
  <c r="FY3" i="8"/>
  <c r="GW3" i="8" s="1"/>
  <c r="CA3" i="8"/>
  <c r="DC4" i="8"/>
  <c r="DZ4" i="8" s="1"/>
  <c r="FB4" i="8"/>
  <c r="FY4" i="8" s="1"/>
  <c r="GW4" i="8" s="1"/>
  <c r="FZ3" i="8"/>
  <c r="GX3" i="8" s="1"/>
  <c r="BD4" i="8"/>
  <c r="CA4" i="8" s="1"/>
  <c r="AN12" i="8"/>
  <c r="V12" i="8"/>
  <c r="AG11" i="8"/>
  <c r="W11" i="8"/>
  <c r="AF11" i="8"/>
  <c r="HM12" i="8" l="1"/>
  <c r="FQ12" i="8"/>
  <c r="GO12" i="8"/>
  <c r="AT12" i="8"/>
  <c r="DQ12" i="8"/>
  <c r="CT12" i="8"/>
  <c r="ET12" i="8"/>
  <c r="BQ12" i="8"/>
  <c r="EA3" i="8"/>
  <c r="CB3" i="8"/>
  <c r="EB3" i="8"/>
  <c r="DD4" i="8"/>
  <c r="EA4" i="8" s="1"/>
  <c r="FC4" i="8"/>
  <c r="FZ4" i="8" s="1"/>
  <c r="GX4" i="8" s="1"/>
  <c r="GA3" i="8"/>
  <c r="GY3" i="8" s="1"/>
  <c r="AN13" i="8"/>
  <c r="BE4" i="8"/>
  <c r="CB4" i="8" s="1"/>
  <c r="V13" i="8"/>
  <c r="AG12" i="8"/>
  <c r="W12" i="8"/>
  <c r="AF12" i="8"/>
  <c r="HM13" i="8" l="1"/>
  <c r="FQ13" i="8"/>
  <c r="GO13" i="8"/>
  <c r="ET13" i="8"/>
  <c r="BQ13" i="8"/>
  <c r="CT13" i="8"/>
  <c r="DQ13" i="8"/>
  <c r="AT13" i="8"/>
  <c r="CC3" i="8"/>
  <c r="EC3" i="8"/>
  <c r="DE4" i="8"/>
  <c r="EB4" i="8" s="1"/>
  <c r="FD4" i="8"/>
  <c r="GA4" i="8" s="1"/>
  <c r="GY4" i="8" s="1"/>
  <c r="AN14" i="8"/>
  <c r="BF4" i="8"/>
  <c r="CC4" i="8" s="1"/>
  <c r="AF13" i="8"/>
  <c r="AG13" i="8"/>
  <c r="W13" i="8"/>
  <c r="V14" i="8"/>
  <c r="HM14" i="8" l="1"/>
  <c r="FQ14" i="8"/>
  <c r="GO14" i="8"/>
  <c r="DQ14" i="8"/>
  <c r="AT14" i="8"/>
  <c r="CT14" i="8"/>
  <c r="ET14" i="8"/>
  <c r="BQ14" i="8"/>
  <c r="GB3" i="8"/>
  <c r="GZ3" i="8" s="1"/>
  <c r="CD3" i="8"/>
  <c r="DF4" i="8"/>
  <c r="EC4" i="8" s="1"/>
  <c r="FE4" i="8"/>
  <c r="GB4" i="8" s="1"/>
  <c r="GZ4" i="8" s="1"/>
  <c r="GC3" i="8"/>
  <c r="HA3" i="8" s="1"/>
  <c r="BG4" i="8"/>
  <c r="CD4" i="8" s="1"/>
  <c r="AN15" i="8"/>
  <c r="AF14" i="8"/>
  <c r="V15" i="8"/>
  <c r="W14" i="8"/>
  <c r="AG14" i="8"/>
  <c r="HM15" i="8" l="1"/>
  <c r="ED3" i="8"/>
  <c r="FQ15" i="8"/>
  <c r="GO15" i="8"/>
  <c r="AT15" i="8"/>
  <c r="CT15" i="8"/>
  <c r="DQ15" i="8"/>
  <c r="ET15" i="8"/>
  <c r="BQ15" i="8"/>
  <c r="CE3" i="8"/>
  <c r="EE3" i="8"/>
  <c r="DG4" i="8"/>
  <c r="ED4" i="8" s="1"/>
  <c r="CF3" i="8"/>
  <c r="BH4" i="8"/>
  <c r="CE4" i="8" s="1"/>
  <c r="FF4" i="8"/>
  <c r="GC4" i="8" s="1"/>
  <c r="HA4" i="8" s="1"/>
  <c r="AN16" i="8"/>
  <c r="AG15" i="8"/>
  <c r="V16" i="8"/>
  <c r="W15" i="8"/>
  <c r="AF15" i="8"/>
  <c r="HM16" i="8" l="1"/>
  <c r="GO16" i="8"/>
  <c r="FQ16" i="8"/>
  <c r="DQ16" i="8"/>
  <c r="CT16" i="8"/>
  <c r="BQ16" i="8"/>
  <c r="ET16" i="8"/>
  <c r="AT16" i="8"/>
  <c r="GD3" i="8"/>
  <c r="HB3" i="8" s="1"/>
  <c r="DH4" i="8"/>
  <c r="EE4" i="8" s="1"/>
  <c r="EF3" i="8"/>
  <c r="BI4" i="8"/>
  <c r="CF4" i="8" s="1"/>
  <c r="AN17" i="8"/>
  <c r="FG4" i="8"/>
  <c r="GD4" i="8" s="1"/>
  <c r="HB4" i="8" s="1"/>
  <c r="AF16" i="8"/>
  <c r="V17" i="8"/>
  <c r="AG16" i="8"/>
  <c r="W16" i="8"/>
  <c r="HM17" i="8" l="1"/>
  <c r="GE3" i="8"/>
  <c r="HC3" i="8" s="1"/>
  <c r="GO17" i="8"/>
  <c r="FQ17" i="8"/>
  <c r="DQ17" i="8"/>
  <c r="AT17" i="8"/>
  <c r="CT17" i="8"/>
  <c r="ET17" i="8"/>
  <c r="BQ17" i="8"/>
  <c r="CG3" i="8"/>
  <c r="EG3" i="8"/>
  <c r="DI4" i="8"/>
  <c r="EF4" i="8" s="1"/>
  <c r="CH3" i="8"/>
  <c r="BJ4" i="8"/>
  <c r="CG4" i="8" s="1"/>
  <c r="FH4" i="8"/>
  <c r="GE4" i="8" s="1"/>
  <c r="HC4" i="8" s="1"/>
  <c r="AN18" i="8"/>
  <c r="AG17" i="8"/>
  <c r="W17" i="8"/>
  <c r="V18" i="8"/>
  <c r="AF17" i="8"/>
  <c r="HM18" i="8" l="1"/>
  <c r="GF3" i="8"/>
  <c r="HD3" i="8" s="1"/>
  <c r="FQ18" i="8"/>
  <c r="CT18" i="8"/>
  <c r="GO18" i="8"/>
  <c r="DQ18" i="8"/>
  <c r="ET18" i="8"/>
  <c r="BQ18" i="8"/>
  <c r="AT18" i="8"/>
  <c r="EH3" i="8"/>
  <c r="DJ4" i="8"/>
  <c r="EG4" i="8" s="1"/>
  <c r="GG3" i="8"/>
  <c r="HE3" i="8" s="1"/>
  <c r="FI4" i="8"/>
  <c r="GF4" i="8" s="1"/>
  <c r="HD4" i="8" s="1"/>
  <c r="CI3" i="8"/>
  <c r="BK4" i="8"/>
  <c r="CH4" i="8" s="1"/>
  <c r="AN19" i="8"/>
  <c r="AF18" i="8"/>
  <c r="V19" i="8"/>
  <c r="AG18" i="8"/>
  <c r="W18" i="8"/>
  <c r="HM19" i="8" l="1"/>
  <c r="GO19" i="8"/>
  <c r="DQ19" i="8"/>
  <c r="CT19" i="8"/>
  <c r="FQ19" i="8"/>
  <c r="ET19" i="8"/>
  <c r="BQ19" i="8"/>
  <c r="AT19" i="8"/>
  <c r="DK4" i="8"/>
  <c r="EH4" i="8" s="1"/>
  <c r="GH3" i="8"/>
  <c r="HF3" i="8" s="1"/>
  <c r="FJ4" i="8"/>
  <c r="GG4" i="8" s="1"/>
  <c r="HE4" i="8" s="1"/>
  <c r="AN20" i="8"/>
  <c r="CJ3" i="8"/>
  <c r="BL4" i="8"/>
  <c r="CI4" i="8" s="1"/>
  <c r="W19" i="8"/>
  <c r="V20" i="8"/>
  <c r="AG19" i="8"/>
  <c r="AF19" i="8"/>
  <c r="HM20" i="8" l="1"/>
  <c r="FQ20" i="8"/>
  <c r="DQ20" i="8"/>
  <c r="GO20" i="8"/>
  <c r="AT20" i="8"/>
  <c r="CT20" i="8"/>
  <c r="BQ20" i="8"/>
  <c r="ET20" i="8"/>
  <c r="EI3" i="8"/>
  <c r="DL4" i="8"/>
  <c r="EI4" i="8" s="1"/>
  <c r="EJ3" i="8"/>
  <c r="FK4" i="8"/>
  <c r="GH4" i="8" s="1"/>
  <c r="HF4" i="8" s="1"/>
  <c r="GI3" i="8"/>
  <c r="HG3" i="8" s="1"/>
  <c r="BM4" i="8"/>
  <c r="CJ4" i="8" s="1"/>
  <c r="AN21" i="8"/>
  <c r="AG20" i="8"/>
  <c r="V21" i="8"/>
  <c r="W20" i="8"/>
  <c r="AF20" i="8"/>
  <c r="HM21" i="8" l="1"/>
  <c r="DQ21" i="8"/>
  <c r="GO21" i="8"/>
  <c r="FQ21" i="8"/>
  <c r="CT21" i="8"/>
  <c r="ET21" i="8"/>
  <c r="BQ21" i="8"/>
  <c r="AT21" i="8"/>
  <c r="CK3" i="8"/>
  <c r="DM4" i="8"/>
  <c r="EJ4" i="8" s="1"/>
  <c r="EK3" i="8"/>
  <c r="FL4" i="8"/>
  <c r="GI4" i="8" s="1"/>
  <c r="HG4" i="8" s="1"/>
  <c r="AN22" i="8"/>
  <c r="CL3" i="8"/>
  <c r="BN4" i="8"/>
  <c r="CK4" i="8" s="1"/>
  <c r="V22" i="8"/>
  <c r="W21" i="8"/>
  <c r="AG21" i="8"/>
  <c r="AF21" i="8"/>
  <c r="HM22" i="8" l="1"/>
  <c r="DQ22" i="8"/>
  <c r="FQ22" i="8"/>
  <c r="GO22" i="8"/>
  <c r="CT22" i="8"/>
  <c r="BQ22" i="8"/>
  <c r="ET22" i="8"/>
  <c r="AT22" i="8"/>
  <c r="GJ3" i="8"/>
  <c r="HH3" i="8" s="1"/>
  <c r="DN4" i="8"/>
  <c r="EK4" i="8" s="1"/>
  <c r="EL3" i="8"/>
  <c r="BO4" i="8"/>
  <c r="CL4" i="8" s="1"/>
  <c r="AN23" i="8"/>
  <c r="FM4" i="8"/>
  <c r="GJ4" i="8" s="1"/>
  <c r="HH4" i="8" s="1"/>
  <c r="GK3" i="8"/>
  <c r="HI3" i="8" s="1"/>
  <c r="W22" i="8"/>
  <c r="AG22" i="8"/>
  <c r="V23" i="8"/>
  <c r="AF22" i="8"/>
  <c r="HM23" i="8" l="1"/>
  <c r="GO23" i="8"/>
  <c r="DQ23" i="8"/>
  <c r="FQ23" i="8"/>
  <c r="ET23" i="8"/>
  <c r="AT23" i="8"/>
  <c r="CT23" i="8"/>
  <c r="BQ23" i="8"/>
  <c r="DO4" i="8"/>
  <c r="EL4" i="8" s="1"/>
  <c r="AN24" i="8"/>
  <c r="FN4" i="8"/>
  <c r="GK4" i="8" s="1"/>
  <c r="HI4" i="8" s="1"/>
  <c r="GL3" i="8"/>
  <c r="HJ3" i="8" s="1"/>
  <c r="AG23" i="8"/>
  <c r="W23" i="8"/>
  <c r="V24" i="8"/>
  <c r="AF23" i="8"/>
  <c r="HM24" i="8" l="1"/>
  <c r="DQ24" i="8"/>
  <c r="GO24" i="8"/>
  <c r="FQ24" i="8"/>
  <c r="ET24" i="8"/>
  <c r="BQ24" i="8"/>
  <c r="AT24" i="8"/>
  <c r="CT24" i="8"/>
  <c r="AN25" i="8"/>
  <c r="FO4" i="8"/>
  <c r="GL4" i="8" s="1"/>
  <c r="HJ4" i="8" s="1"/>
  <c r="AF24" i="8"/>
  <c r="W24" i="8"/>
  <c r="V25" i="8"/>
  <c r="AH25" i="8" s="1"/>
  <c r="AG24" i="8"/>
  <c r="FJ25" i="8" l="1"/>
  <c r="EY25" i="8"/>
  <c r="FO25" i="8"/>
  <c r="DG25" i="8"/>
  <c r="FB25" i="8"/>
  <c r="FC25" i="8"/>
  <c r="CU25" i="8"/>
  <c r="DK25" i="8"/>
  <c r="FF25" i="8"/>
  <c r="CX25" i="8"/>
  <c r="DN25" i="8"/>
  <c r="EZ25" i="8"/>
  <c r="DL25" i="8"/>
  <c r="FA25" i="8"/>
  <c r="DM25" i="8"/>
  <c r="FK25" i="8"/>
  <c r="DA25" i="8"/>
  <c r="FL25" i="8"/>
  <c r="DB25" i="8"/>
  <c r="FN25" i="8"/>
  <c r="DD25" i="8"/>
  <c r="FM25" i="8"/>
  <c r="CW25" i="8"/>
  <c r="CZ25" i="8"/>
  <c r="EV25" i="8"/>
  <c r="DE25" i="8"/>
  <c r="EW25" i="8"/>
  <c r="AW25" i="8"/>
  <c r="BM25" i="8"/>
  <c r="FD25" i="8"/>
  <c r="AY25" i="8"/>
  <c r="BO25" i="8"/>
  <c r="FG25" i="8"/>
  <c r="BA25" i="8"/>
  <c r="DF25" i="8"/>
  <c r="BN25" i="8"/>
  <c r="DH25" i="8"/>
  <c r="DI25" i="8"/>
  <c r="DJ25" i="8"/>
  <c r="DO25" i="8"/>
  <c r="BB25" i="8"/>
  <c r="BC25" i="8"/>
  <c r="BD25" i="8"/>
  <c r="BE25" i="8"/>
  <c r="BF25" i="8"/>
  <c r="EU25" i="8"/>
  <c r="EX25" i="8"/>
  <c r="BI25" i="8"/>
  <c r="FE25" i="8"/>
  <c r="CV25" i="8"/>
  <c r="BJ25" i="8"/>
  <c r="FI25" i="8"/>
  <c r="FH25" i="8"/>
  <c r="CY25" i="8"/>
  <c r="BK25" i="8"/>
  <c r="AU25" i="8"/>
  <c r="AX25" i="8"/>
  <c r="DC25" i="8"/>
  <c r="AV25" i="8"/>
  <c r="AZ25" i="8"/>
  <c r="BG25" i="8"/>
  <c r="BH25" i="8"/>
  <c r="BL25" i="8"/>
  <c r="HM25" i="8"/>
  <c r="DQ25" i="8"/>
  <c r="FY25" i="8"/>
  <c r="FW25" i="8"/>
  <c r="GL25" i="8"/>
  <c r="FV25" i="8"/>
  <c r="GO25" i="8"/>
  <c r="GJ25" i="8"/>
  <c r="FT25" i="8"/>
  <c r="FQ25" i="8"/>
  <c r="FU25" i="8"/>
  <c r="EH25" i="8"/>
  <c r="DR25" i="8"/>
  <c r="FR25" i="8"/>
  <c r="EF25" i="8"/>
  <c r="EE25" i="8"/>
  <c r="GI25" i="8"/>
  <c r="GH25" i="8"/>
  <c r="GF25" i="8"/>
  <c r="GD25" i="8"/>
  <c r="DT25" i="8"/>
  <c r="EK25" i="8"/>
  <c r="EJ25" i="8"/>
  <c r="GG25" i="8"/>
  <c r="EG25" i="8"/>
  <c r="GE25" i="8"/>
  <c r="ED25" i="8"/>
  <c r="GB25" i="8"/>
  <c r="EB25" i="8"/>
  <c r="FZ25" i="8"/>
  <c r="DZ25" i="8"/>
  <c r="FX25" i="8"/>
  <c r="DY25" i="8"/>
  <c r="DW25" i="8"/>
  <c r="DV25" i="8"/>
  <c r="EC25" i="8"/>
  <c r="GK25" i="8"/>
  <c r="EA25" i="8"/>
  <c r="GC25" i="8"/>
  <c r="DX25" i="8"/>
  <c r="AT25" i="8"/>
  <c r="FS25" i="8"/>
  <c r="GA25" i="8"/>
  <c r="DU25" i="8"/>
  <c r="DS25" i="8"/>
  <c r="BQ25" i="8"/>
  <c r="ET25" i="8"/>
  <c r="EI25" i="8"/>
  <c r="CT25" i="8"/>
  <c r="EL25" i="8"/>
  <c r="CD25" i="8"/>
  <c r="CE25" i="8"/>
  <c r="CF25" i="8"/>
  <c r="CG25" i="8"/>
  <c r="CA25" i="8"/>
  <c r="BR25" i="8"/>
  <c r="BS25" i="8"/>
  <c r="BT25" i="8"/>
  <c r="BU25" i="8"/>
  <c r="BV25" i="8"/>
  <c r="CJ25" i="8"/>
  <c r="BW25" i="8"/>
  <c r="BX25" i="8"/>
  <c r="CC25" i="8"/>
  <c r="CH25" i="8"/>
  <c r="CI25" i="8"/>
  <c r="BY25" i="8"/>
  <c r="BZ25" i="8"/>
  <c r="CB25" i="8"/>
  <c r="CK25" i="8"/>
  <c r="CL25" i="8"/>
  <c r="AN26" i="8"/>
  <c r="ER25" i="8"/>
  <c r="AP25" i="8"/>
  <c r="CO25" i="8" a="1"/>
  <c r="CO25" i="8" s="1"/>
  <c r="AR25" i="8"/>
  <c r="EO25" i="8" a="1"/>
  <c r="EO25" i="8" s="1"/>
  <c r="CP25" i="8"/>
  <c r="AO25" i="8" a="1"/>
  <c r="AO25" i="8" s="1"/>
  <c r="AQ25" i="8"/>
  <c r="CQ25" i="8"/>
  <c r="EQ25" i="8"/>
  <c r="CR25" i="8"/>
  <c r="EP25" i="8"/>
  <c r="AK25" i="8"/>
  <c r="W25" i="8"/>
  <c r="AG25" i="8"/>
  <c r="AB25" i="8"/>
  <c r="AA25" i="8"/>
  <c r="Z25" i="8" a="1"/>
  <c r="Z25" i="8" s="1"/>
  <c r="V26" i="8"/>
  <c r="AH26" i="8" s="1"/>
  <c r="Y25" i="8"/>
  <c r="AC25" i="8"/>
  <c r="AI25" i="8"/>
  <c r="AF25" i="8"/>
  <c r="FE26" i="8" l="1"/>
  <c r="FJ26" i="8"/>
  <c r="DB26" i="8"/>
  <c r="EW26" i="8"/>
  <c r="FM26" i="8"/>
  <c r="EX26" i="8"/>
  <c r="FN26" i="8"/>
  <c r="DF26" i="8"/>
  <c r="FA26" i="8"/>
  <c r="DI26" i="8"/>
  <c r="FC26" i="8"/>
  <c r="DK26" i="8"/>
  <c r="FD26" i="8"/>
  <c r="DL26" i="8"/>
  <c r="FL26" i="8"/>
  <c r="CY26" i="8"/>
  <c r="FO26" i="8"/>
  <c r="CZ26" i="8"/>
  <c r="DC26" i="8"/>
  <c r="CW26" i="8"/>
  <c r="EZ26" i="8"/>
  <c r="DE26" i="8"/>
  <c r="FF26" i="8"/>
  <c r="DH26" i="8"/>
  <c r="FH26" i="8"/>
  <c r="DM26" i="8"/>
  <c r="FK26" i="8"/>
  <c r="DA26" i="8"/>
  <c r="BH26" i="8"/>
  <c r="DG26" i="8"/>
  <c r="BJ26" i="8"/>
  <c r="DN26" i="8"/>
  <c r="AV26" i="8"/>
  <c r="BL26" i="8"/>
  <c r="EY26" i="8"/>
  <c r="FG26" i="8"/>
  <c r="EU26" i="8"/>
  <c r="BN26" i="8"/>
  <c r="EV26" i="8"/>
  <c r="FB26" i="8"/>
  <c r="FI26" i="8"/>
  <c r="CU26" i="8"/>
  <c r="AZ26" i="8"/>
  <c r="CV26" i="8"/>
  <c r="BA26" i="8"/>
  <c r="CX26" i="8"/>
  <c r="BB26" i="8"/>
  <c r="DD26" i="8"/>
  <c r="BC26" i="8"/>
  <c r="DJ26" i="8"/>
  <c r="BD26" i="8"/>
  <c r="BG26" i="8"/>
  <c r="BI26" i="8"/>
  <c r="BK26" i="8"/>
  <c r="AX26" i="8"/>
  <c r="BE26" i="8"/>
  <c r="BF26" i="8"/>
  <c r="BM26" i="8"/>
  <c r="BO26" i="8"/>
  <c r="DO26" i="8"/>
  <c r="AW26" i="8"/>
  <c r="AU26" i="8"/>
  <c r="AY26" i="8"/>
  <c r="GR25" i="8"/>
  <c r="GZ25" i="8"/>
  <c r="HH25" i="8"/>
  <c r="GS25" i="8"/>
  <c r="HA25" i="8"/>
  <c r="HI25" i="8"/>
  <c r="GX25" i="8"/>
  <c r="HJ25" i="8"/>
  <c r="GY25" i="8"/>
  <c r="GT25" i="8"/>
  <c r="HD25" i="8"/>
  <c r="GU25" i="8"/>
  <c r="GW25" i="8"/>
  <c r="HB25" i="8"/>
  <c r="HC25" i="8"/>
  <c r="HE25" i="8"/>
  <c r="GP25" i="8"/>
  <c r="HF25" i="8"/>
  <c r="GQ25" i="8"/>
  <c r="GV25" i="8"/>
  <c r="HG25" i="8"/>
  <c r="HO25" i="8"/>
  <c r="HN25" i="8"/>
  <c r="X25" i="8" s="1"/>
  <c r="HM26" i="8"/>
  <c r="GJ26" i="8"/>
  <c r="FT26" i="8"/>
  <c r="GH26" i="8"/>
  <c r="FR26" i="8"/>
  <c r="GG26" i="8"/>
  <c r="GE26" i="8"/>
  <c r="FW26" i="8"/>
  <c r="EC26" i="8"/>
  <c r="FU26" i="8"/>
  <c r="EA26" i="8"/>
  <c r="FQ26" i="8"/>
  <c r="FS26" i="8"/>
  <c r="DZ26" i="8"/>
  <c r="GO26" i="8"/>
  <c r="GL26" i="8"/>
  <c r="GK26" i="8"/>
  <c r="GF26" i="8"/>
  <c r="GC26" i="8"/>
  <c r="FZ26" i="8"/>
  <c r="EK26" i="8"/>
  <c r="DR26" i="8"/>
  <c r="FX26" i="8"/>
  <c r="EI26" i="8"/>
  <c r="FV26" i="8"/>
  <c r="EH26" i="8"/>
  <c r="ET26" i="8"/>
  <c r="BQ26" i="8"/>
  <c r="EF26" i="8"/>
  <c r="EE26" i="8"/>
  <c r="EB26" i="8"/>
  <c r="DX26" i="8"/>
  <c r="DW26" i="8"/>
  <c r="GD26" i="8"/>
  <c r="DU26" i="8"/>
  <c r="GB26" i="8"/>
  <c r="DT26" i="8"/>
  <c r="GA26" i="8"/>
  <c r="FY26" i="8"/>
  <c r="DQ26" i="8"/>
  <c r="EL26" i="8"/>
  <c r="AT26" i="8"/>
  <c r="CT26" i="8"/>
  <c r="EJ26" i="8"/>
  <c r="EG26" i="8"/>
  <c r="ED26" i="8"/>
  <c r="DV26" i="8"/>
  <c r="DY26" i="8"/>
  <c r="DS26" i="8"/>
  <c r="GI26" i="8"/>
  <c r="BY26" i="8"/>
  <c r="BZ26" i="8"/>
  <c r="CA26" i="8"/>
  <c r="CB26" i="8"/>
  <c r="BV26" i="8"/>
  <c r="CL26" i="8"/>
  <c r="BR26" i="8"/>
  <c r="CJ26" i="8"/>
  <c r="BS26" i="8"/>
  <c r="BT26" i="8"/>
  <c r="BU26" i="8"/>
  <c r="BW26" i="8"/>
  <c r="CI26" i="8"/>
  <c r="BX26" i="8"/>
  <c r="CG26" i="8"/>
  <c r="CC26" i="8"/>
  <c r="CD26" i="8"/>
  <c r="CE26" i="8"/>
  <c r="CH26" i="8"/>
  <c r="CF26" i="8"/>
  <c r="CK26" i="8"/>
  <c r="AN27" i="8"/>
  <c r="AQ26" i="8"/>
  <c r="EO26" i="8" a="1"/>
  <c r="EO26" i="8" s="1"/>
  <c r="CO26" i="8" a="1"/>
  <c r="CO26" i="8" s="1"/>
  <c r="EP26" i="8"/>
  <c r="AO26" i="8" a="1"/>
  <c r="AO26" i="8" s="1"/>
  <c r="CP26" i="8"/>
  <c r="ER26" i="8"/>
  <c r="CR26" i="8"/>
  <c r="CQ26" i="8"/>
  <c r="EQ26" i="8"/>
  <c r="AR26" i="8"/>
  <c r="AP26" i="8"/>
  <c r="AG26" i="8"/>
  <c r="AA26" i="8"/>
  <c r="V27" i="8"/>
  <c r="AH27" i="8" s="1"/>
  <c r="AK26" i="8"/>
  <c r="W26" i="8"/>
  <c r="AI26" i="8"/>
  <c r="AC26" i="8"/>
  <c r="AB26" i="8"/>
  <c r="Y26" i="8"/>
  <c r="Z26" i="8" a="1"/>
  <c r="Z26" i="8" s="1"/>
  <c r="AJ25" i="8" a="1"/>
  <c r="AJ25" i="8" s="1"/>
  <c r="AF26" i="8"/>
  <c r="EZ27" i="8" l="1"/>
  <c r="FE27" i="8"/>
  <c r="CW27" i="8"/>
  <c r="DM27" i="8"/>
  <c r="FH27" i="8"/>
  <c r="FI27" i="8"/>
  <c r="DA27" i="8"/>
  <c r="EV27" i="8"/>
  <c r="FL27" i="8"/>
  <c r="DD27" i="8"/>
  <c r="FD27" i="8"/>
  <c r="DI27" i="8"/>
  <c r="FF27" i="8"/>
  <c r="DJ27" i="8"/>
  <c r="FO27" i="8"/>
  <c r="CX27" i="8"/>
  <c r="CY27" i="8"/>
  <c r="EW27" i="8"/>
  <c r="DB27" i="8"/>
  <c r="FC27" i="8"/>
  <c r="DF27" i="8"/>
  <c r="FM27" i="8"/>
  <c r="DL27" i="8"/>
  <c r="DO27" i="8"/>
  <c r="EY27" i="8"/>
  <c r="BC27" i="8"/>
  <c r="FB27" i="8"/>
  <c r="BE27" i="8"/>
  <c r="FJ27" i="8"/>
  <c r="DG27" i="8"/>
  <c r="BK27" i="8"/>
  <c r="DH27" i="8"/>
  <c r="DK27" i="8"/>
  <c r="DN27" i="8"/>
  <c r="EU27" i="8"/>
  <c r="EX27" i="8"/>
  <c r="AX27" i="8"/>
  <c r="FA27" i="8"/>
  <c r="AY27" i="8"/>
  <c r="FG27" i="8"/>
  <c r="AZ27" i="8"/>
  <c r="FK27" i="8"/>
  <c r="BA27" i="8"/>
  <c r="FN27" i="8"/>
  <c r="BB27" i="8"/>
  <c r="CU27" i="8"/>
  <c r="CV27" i="8"/>
  <c r="BG27" i="8"/>
  <c r="CZ27" i="8"/>
  <c r="BH27" i="8"/>
  <c r="DC27" i="8"/>
  <c r="BI27" i="8"/>
  <c r="AW27" i="8"/>
  <c r="AU27" i="8"/>
  <c r="AV27" i="8"/>
  <c r="DE27" i="8"/>
  <c r="BD27" i="8"/>
  <c r="BO27" i="8"/>
  <c r="BF27" i="8"/>
  <c r="BJ27" i="8"/>
  <c r="BL27" i="8"/>
  <c r="BM27" i="8"/>
  <c r="BN27" i="8"/>
  <c r="HN26" i="8"/>
  <c r="X26" i="8" s="1"/>
  <c r="HO26" i="8"/>
  <c r="GU26" i="8"/>
  <c r="HC26" i="8"/>
  <c r="GV26" i="8"/>
  <c r="HD26" i="8"/>
  <c r="GY26" i="8"/>
  <c r="HI26" i="8"/>
  <c r="GP26" i="8"/>
  <c r="GZ26" i="8"/>
  <c r="HJ26" i="8"/>
  <c r="GS26" i="8"/>
  <c r="HE26" i="8"/>
  <c r="GQ26" i="8"/>
  <c r="HG26" i="8"/>
  <c r="GT26" i="8"/>
  <c r="GW26" i="8"/>
  <c r="GX26" i="8"/>
  <c r="HA26" i="8"/>
  <c r="HB26" i="8"/>
  <c r="GR26" i="8"/>
  <c r="HF26" i="8"/>
  <c r="HH26" i="8"/>
  <c r="HM27" i="8"/>
  <c r="GE27" i="8"/>
  <c r="DQ27" i="8"/>
  <c r="GC27" i="8"/>
  <c r="GO27" i="8"/>
  <c r="GB27" i="8"/>
  <c r="FZ27" i="8"/>
  <c r="FV27" i="8"/>
  <c r="DX27" i="8"/>
  <c r="FT27" i="8"/>
  <c r="EL27" i="8"/>
  <c r="DV27" i="8"/>
  <c r="FS27" i="8"/>
  <c r="EK27" i="8"/>
  <c r="DU27" i="8"/>
  <c r="GK27" i="8"/>
  <c r="EI27" i="8"/>
  <c r="DS27" i="8"/>
  <c r="GJ27" i="8"/>
  <c r="GH27" i="8"/>
  <c r="GF27" i="8"/>
  <c r="GL27" i="8"/>
  <c r="EH27" i="8"/>
  <c r="ET27" i="8"/>
  <c r="BQ27" i="8"/>
  <c r="GI27" i="8"/>
  <c r="EG27" i="8"/>
  <c r="GD27" i="8"/>
  <c r="EE27" i="8"/>
  <c r="FQ27" i="8"/>
  <c r="GA27" i="8"/>
  <c r="ED27" i="8"/>
  <c r="FX27" i="8"/>
  <c r="EB27" i="8"/>
  <c r="FU27" i="8"/>
  <c r="DZ27" i="8"/>
  <c r="CT27" i="8"/>
  <c r="FR27" i="8"/>
  <c r="DY27" i="8"/>
  <c r="DT27" i="8"/>
  <c r="DR27" i="8"/>
  <c r="EJ27" i="8"/>
  <c r="AT27" i="8"/>
  <c r="EF27" i="8"/>
  <c r="EC27" i="8"/>
  <c r="EA27" i="8"/>
  <c r="DW27" i="8"/>
  <c r="FY27" i="8"/>
  <c r="GG27" i="8"/>
  <c r="FW27" i="8"/>
  <c r="BT27" i="8"/>
  <c r="CJ27" i="8"/>
  <c r="BU27" i="8"/>
  <c r="CK27" i="8"/>
  <c r="BW27" i="8"/>
  <c r="CG27" i="8"/>
  <c r="BS27" i="8"/>
  <c r="BX27" i="8"/>
  <c r="BV27" i="8"/>
  <c r="BY27" i="8"/>
  <c r="BZ27" i="8"/>
  <c r="CH27" i="8"/>
  <c r="CA27" i="8"/>
  <c r="CB27" i="8"/>
  <c r="CC27" i="8"/>
  <c r="CL27" i="8"/>
  <c r="CD27" i="8"/>
  <c r="CF27" i="8"/>
  <c r="CI27" i="8"/>
  <c r="CE27" i="8"/>
  <c r="BR27" i="8"/>
  <c r="AN28" i="8"/>
  <c r="EQ27" i="8"/>
  <c r="AP27" i="8"/>
  <c r="AO27" i="8" a="1"/>
  <c r="AO27" i="8" s="1"/>
  <c r="EP27" i="8"/>
  <c r="CO27" i="8" a="1"/>
  <c r="CO27" i="8" s="1"/>
  <c r="AR27" i="8"/>
  <c r="AQ27" i="8"/>
  <c r="EO27" i="8" a="1"/>
  <c r="EO27" i="8" s="1"/>
  <c r="CR27" i="8"/>
  <c r="CP27" i="8"/>
  <c r="ER27" i="8"/>
  <c r="CQ27" i="8"/>
  <c r="AC27" i="8"/>
  <c r="AB27" i="8"/>
  <c r="AA27" i="8"/>
  <c r="V28" i="8"/>
  <c r="AH28" i="8" s="1"/>
  <c r="AK27" i="8"/>
  <c r="AI27" i="8"/>
  <c r="AG27" i="8"/>
  <c r="Z27" i="8" a="1"/>
  <c r="Z27" i="8" s="1"/>
  <c r="Y27" i="8"/>
  <c r="W27" i="8"/>
  <c r="AJ26" i="8" a="1"/>
  <c r="AJ26" i="8" s="1"/>
  <c r="AF27" i="8"/>
  <c r="EU28" i="8" l="1"/>
  <c r="FK28" i="8"/>
  <c r="EZ28" i="8"/>
  <c r="DH28" i="8"/>
  <c r="FC28" i="8"/>
  <c r="FD28" i="8"/>
  <c r="CV28" i="8"/>
  <c r="DL28" i="8"/>
  <c r="FG28" i="8"/>
  <c r="CY28" i="8"/>
  <c r="DO28" i="8"/>
  <c r="FH28" i="8"/>
  <c r="DG28" i="8"/>
  <c r="FI28" i="8"/>
  <c r="DI28" i="8"/>
  <c r="CW28" i="8"/>
  <c r="EV28" i="8"/>
  <c r="EX28" i="8"/>
  <c r="DA28" i="8"/>
  <c r="FO28" i="8"/>
  <c r="DK28" i="8"/>
  <c r="EW28" i="8"/>
  <c r="FA28" i="8"/>
  <c r="CX28" i="8"/>
  <c r="FM28" i="8"/>
  <c r="CZ28" i="8"/>
  <c r="AX28" i="8"/>
  <c r="BN28" i="8"/>
  <c r="DC28" i="8"/>
  <c r="AZ28" i="8"/>
  <c r="DE28" i="8"/>
  <c r="FE28" i="8"/>
  <c r="FJ28" i="8"/>
  <c r="BH28" i="8"/>
  <c r="CU28" i="8"/>
  <c r="DB28" i="8"/>
  <c r="AU28" i="8"/>
  <c r="BM28" i="8"/>
  <c r="DD28" i="8"/>
  <c r="AV28" i="8"/>
  <c r="BO28" i="8"/>
  <c r="DF28" i="8"/>
  <c r="AW28" i="8"/>
  <c r="DJ28" i="8"/>
  <c r="AY28" i="8"/>
  <c r="EY28" i="8"/>
  <c r="DM28" i="8"/>
  <c r="BA28" i="8"/>
  <c r="FB28" i="8"/>
  <c r="FF28" i="8"/>
  <c r="BD28" i="8"/>
  <c r="FL28" i="8"/>
  <c r="BE28" i="8"/>
  <c r="FN28" i="8"/>
  <c r="BF28" i="8"/>
  <c r="BG28" i="8"/>
  <c r="BI28" i="8"/>
  <c r="BJ28" i="8"/>
  <c r="BB28" i="8"/>
  <c r="BK28" i="8"/>
  <c r="BL28" i="8"/>
  <c r="DN28" i="8"/>
  <c r="BC28" i="8"/>
  <c r="HO27" i="8"/>
  <c r="HN27" i="8"/>
  <c r="X27" i="8" s="1"/>
  <c r="GP27" i="8"/>
  <c r="GX27" i="8"/>
  <c r="HF27" i="8"/>
  <c r="GQ27" i="8"/>
  <c r="GY27" i="8"/>
  <c r="HG27" i="8"/>
  <c r="GZ27" i="8"/>
  <c r="HJ27" i="8"/>
  <c r="HA27" i="8"/>
  <c r="GT27" i="8"/>
  <c r="HD27" i="8"/>
  <c r="HC27" i="8"/>
  <c r="GR27" i="8"/>
  <c r="HH27" i="8"/>
  <c r="GS27" i="8"/>
  <c r="HI27" i="8"/>
  <c r="GU27" i="8"/>
  <c r="GV27" i="8"/>
  <c r="GW27" i="8"/>
  <c r="HB27" i="8"/>
  <c r="HE27" i="8"/>
  <c r="HM28" i="8"/>
  <c r="GB28" i="8"/>
  <c r="GA28" i="8"/>
  <c r="GO28" i="8"/>
  <c r="GL28" i="8"/>
  <c r="FV28" i="8"/>
  <c r="GJ28" i="8"/>
  <c r="FT28" i="8"/>
  <c r="GD28" i="8"/>
  <c r="FZ28" i="8"/>
  <c r="DQ28" i="8"/>
  <c r="FY28" i="8"/>
  <c r="FW28" i="8"/>
  <c r="FR28" i="8"/>
  <c r="GC28" i="8"/>
  <c r="EI28" i="8"/>
  <c r="DS28" i="8"/>
  <c r="FU28" i="8"/>
  <c r="EG28" i="8"/>
  <c r="FS28" i="8"/>
  <c r="EF28" i="8"/>
  <c r="FQ28" i="8"/>
  <c r="ED28" i="8"/>
  <c r="GK28" i="8"/>
  <c r="GE28" i="8"/>
  <c r="DR28" i="8"/>
  <c r="AT28" i="8"/>
  <c r="EK28" i="8"/>
  <c r="EJ28" i="8"/>
  <c r="EE28" i="8"/>
  <c r="EC28" i="8"/>
  <c r="EA28" i="8"/>
  <c r="DY28" i="8"/>
  <c r="DX28" i="8"/>
  <c r="GH28" i="8"/>
  <c r="DV28" i="8"/>
  <c r="GG28" i="8"/>
  <c r="DU28" i="8"/>
  <c r="DW28" i="8"/>
  <c r="DT28" i="8"/>
  <c r="BQ28" i="8"/>
  <c r="ET28" i="8"/>
  <c r="GI28" i="8"/>
  <c r="GF28" i="8"/>
  <c r="FX28" i="8"/>
  <c r="CT28" i="8"/>
  <c r="EL28" i="8"/>
  <c r="EH28" i="8"/>
  <c r="DZ28" i="8"/>
  <c r="EB28" i="8"/>
  <c r="CE28" i="8"/>
  <c r="CF28" i="8"/>
  <c r="BR28" i="8"/>
  <c r="CH28" i="8"/>
  <c r="CB28" i="8"/>
  <c r="BU28" i="8"/>
  <c r="BV28" i="8"/>
  <c r="BW28" i="8"/>
  <c r="BX28" i="8"/>
  <c r="BY28" i="8"/>
  <c r="CI28" i="8"/>
  <c r="BZ28" i="8"/>
  <c r="CK28" i="8"/>
  <c r="CL28" i="8"/>
  <c r="CA28" i="8"/>
  <c r="CC28" i="8"/>
  <c r="CD28" i="8"/>
  <c r="CG28" i="8"/>
  <c r="CJ28" i="8"/>
  <c r="BS28" i="8"/>
  <c r="BT28" i="8"/>
  <c r="AN29" i="8"/>
  <c r="CO28" i="8" a="1"/>
  <c r="CO28" i="8" s="1"/>
  <c r="AP28" i="8"/>
  <c r="ER28" i="8"/>
  <c r="EO28" i="8" a="1"/>
  <c r="EO28" i="8" s="1"/>
  <c r="CQ28" i="8"/>
  <c r="CP28" i="8"/>
  <c r="AQ28" i="8"/>
  <c r="AO28" i="8" a="1"/>
  <c r="AO28" i="8" s="1"/>
  <c r="AR28" i="8"/>
  <c r="EP28" i="8"/>
  <c r="EQ28" i="8"/>
  <c r="CR28" i="8"/>
  <c r="AF28" i="8"/>
  <c r="AJ27" i="8" a="1"/>
  <c r="AJ27" i="8" s="1"/>
  <c r="Z28" i="8" a="1"/>
  <c r="Z28" i="8" s="1"/>
  <c r="V29" i="8"/>
  <c r="AH29" i="8" s="1"/>
  <c r="Y28" i="8"/>
  <c r="AI28" i="8"/>
  <c r="AG28" i="8"/>
  <c r="AB28" i="8"/>
  <c r="AA28" i="8"/>
  <c r="AK28" i="8"/>
  <c r="AC28" i="8"/>
  <c r="W28" i="8"/>
  <c r="FF29" i="8" l="1"/>
  <c r="EU29" i="8"/>
  <c r="FK29" i="8"/>
  <c r="DC29" i="8"/>
  <c r="EX29" i="8"/>
  <c r="FN29" i="8"/>
  <c r="EY29" i="8"/>
  <c r="FO29" i="8"/>
  <c r="DG29" i="8"/>
  <c r="FB29" i="8"/>
  <c r="DJ29" i="8"/>
  <c r="FI29" i="8"/>
  <c r="DF29" i="8"/>
  <c r="FJ29" i="8"/>
  <c r="DH29" i="8"/>
  <c r="EV29" i="8"/>
  <c r="CV29" i="8"/>
  <c r="DO29" i="8"/>
  <c r="EW29" i="8"/>
  <c r="FA29" i="8"/>
  <c r="CY29" i="8"/>
  <c r="FE29" i="8"/>
  <c r="CW29" i="8"/>
  <c r="FH29" i="8"/>
  <c r="CZ29" i="8"/>
  <c r="FM29" i="8"/>
  <c r="DB29" i="8"/>
  <c r="FC29" i="8"/>
  <c r="DL29" i="8"/>
  <c r="BI29" i="8"/>
  <c r="FG29" i="8"/>
  <c r="DN29" i="8"/>
  <c r="AU29" i="8"/>
  <c r="BK29" i="8"/>
  <c r="FD29" i="8"/>
  <c r="DI29" i="8"/>
  <c r="BE29" i="8"/>
  <c r="FL29" i="8"/>
  <c r="DK29" i="8"/>
  <c r="DM29" i="8"/>
  <c r="BL29" i="8"/>
  <c r="BM29" i="8"/>
  <c r="AV29" i="8"/>
  <c r="BN29" i="8"/>
  <c r="AW29" i="8"/>
  <c r="BO29" i="8"/>
  <c r="AX29" i="8"/>
  <c r="CU29" i="8"/>
  <c r="CX29" i="8"/>
  <c r="BA29" i="8"/>
  <c r="DA29" i="8"/>
  <c r="BB29" i="8"/>
  <c r="EZ29" i="8"/>
  <c r="DD29" i="8"/>
  <c r="BC29" i="8"/>
  <c r="AZ29" i="8"/>
  <c r="BD29" i="8"/>
  <c r="AY29" i="8"/>
  <c r="BF29" i="8"/>
  <c r="DE29" i="8"/>
  <c r="BG29" i="8"/>
  <c r="BH29" i="8"/>
  <c r="BJ29" i="8"/>
  <c r="GS28" i="8"/>
  <c r="HA28" i="8"/>
  <c r="HI28" i="8"/>
  <c r="GT28" i="8"/>
  <c r="HB28" i="8"/>
  <c r="HJ28" i="8"/>
  <c r="GY28" i="8"/>
  <c r="GP28" i="8"/>
  <c r="GZ28" i="8"/>
  <c r="GU28" i="8"/>
  <c r="HE28" i="8"/>
  <c r="GX28" i="8"/>
  <c r="HD28" i="8"/>
  <c r="HF28" i="8"/>
  <c r="GQ28" i="8"/>
  <c r="HG28" i="8"/>
  <c r="GR28" i="8"/>
  <c r="HH28" i="8"/>
  <c r="GV28" i="8"/>
  <c r="GW28" i="8"/>
  <c r="HC28" i="8"/>
  <c r="HN28" i="8"/>
  <c r="X28" i="8" s="1"/>
  <c r="HO28" i="8"/>
  <c r="HM29" i="8"/>
  <c r="FQ29" i="8"/>
  <c r="FW29" i="8"/>
  <c r="GO29" i="8"/>
  <c r="GL29" i="8"/>
  <c r="FV29" i="8"/>
  <c r="GG29" i="8"/>
  <c r="GE29" i="8"/>
  <c r="GC29" i="8"/>
  <c r="GA29" i="8"/>
  <c r="FZ29" i="8"/>
  <c r="FX29" i="8"/>
  <c r="FS29" i="8"/>
  <c r="GJ29" i="8"/>
  <c r="ED29" i="8"/>
  <c r="GH29" i="8"/>
  <c r="EB29" i="8"/>
  <c r="GF29" i="8"/>
  <c r="EA29" i="8"/>
  <c r="DQ29" i="8"/>
  <c r="GB29" i="8"/>
  <c r="DY29" i="8"/>
  <c r="FY29" i="8"/>
  <c r="FT29" i="8"/>
  <c r="EL29" i="8"/>
  <c r="DR29" i="8"/>
  <c r="ET29" i="8"/>
  <c r="BQ29" i="8"/>
  <c r="EJ29" i="8"/>
  <c r="EI29" i="8"/>
  <c r="EG29" i="8"/>
  <c r="EF29" i="8"/>
  <c r="GI29" i="8"/>
  <c r="EC29" i="8"/>
  <c r="CT29" i="8"/>
  <c r="FU29" i="8"/>
  <c r="DX29" i="8"/>
  <c r="FR29" i="8"/>
  <c r="DW29" i="8"/>
  <c r="DU29" i="8"/>
  <c r="DT29" i="8"/>
  <c r="GD29" i="8"/>
  <c r="EH29" i="8"/>
  <c r="AT29" i="8"/>
  <c r="GK29" i="8"/>
  <c r="EK29" i="8"/>
  <c r="EE29" i="8"/>
  <c r="DZ29" i="8"/>
  <c r="DV29" i="8"/>
  <c r="DS29" i="8"/>
  <c r="BZ29" i="8"/>
  <c r="CA29" i="8"/>
  <c r="CC29" i="8"/>
  <c r="BW29" i="8"/>
  <c r="BT29" i="8"/>
  <c r="BU29" i="8"/>
  <c r="BV29" i="8"/>
  <c r="BX29" i="8"/>
  <c r="BY29" i="8"/>
  <c r="CB29" i="8"/>
  <c r="CI29" i="8"/>
  <c r="CD29" i="8"/>
  <c r="CH29" i="8"/>
  <c r="CK29" i="8"/>
  <c r="CE29" i="8"/>
  <c r="CF29" i="8"/>
  <c r="CG29" i="8"/>
  <c r="CJ29" i="8"/>
  <c r="BR29" i="8"/>
  <c r="CL29" i="8"/>
  <c r="BS29" i="8"/>
  <c r="AN30" i="8"/>
  <c r="AO29" i="8" a="1"/>
  <c r="AO29" i="8" s="1"/>
  <c r="EO29" i="8" a="1"/>
  <c r="EO29" i="8" s="1"/>
  <c r="CP29" i="8"/>
  <c r="EP29" i="8"/>
  <c r="CQ29" i="8"/>
  <c r="CO29" i="8" a="1"/>
  <c r="CO29" i="8" s="1"/>
  <c r="CR29" i="8"/>
  <c r="EQ29" i="8"/>
  <c r="ER29" i="8"/>
  <c r="AR29" i="8"/>
  <c r="AQ29" i="8"/>
  <c r="AP29" i="8"/>
  <c r="W29" i="8"/>
  <c r="AI29" i="8"/>
  <c r="AC29" i="8"/>
  <c r="Z29" i="8" a="1"/>
  <c r="Z29" i="8" s="1"/>
  <c r="AK29" i="8"/>
  <c r="V30" i="8"/>
  <c r="AH30" i="8" s="1"/>
  <c r="AG29" i="8"/>
  <c r="AB29" i="8"/>
  <c r="AA29" i="8"/>
  <c r="Y29" i="8"/>
  <c r="AF29" i="8"/>
  <c r="AJ28" i="8" a="1"/>
  <c r="AJ28" i="8" s="1"/>
  <c r="FA30" i="8" l="1"/>
  <c r="FF30" i="8"/>
  <c r="FI30" i="8"/>
  <c r="FJ30" i="8"/>
  <c r="EW30" i="8"/>
  <c r="FM30" i="8"/>
  <c r="FL30" i="8"/>
  <c r="DC30" i="8"/>
  <c r="FN30" i="8"/>
  <c r="DD30" i="8"/>
  <c r="EY30" i="8"/>
  <c r="DJ30" i="8"/>
  <c r="EZ30" i="8"/>
  <c r="FC30" i="8"/>
  <c r="CW30" i="8"/>
  <c r="DM30" i="8"/>
  <c r="FH30" i="8"/>
  <c r="CU30" i="8"/>
  <c r="CZ30" i="8"/>
  <c r="DB30" i="8"/>
  <c r="DF30" i="8"/>
  <c r="BD30" i="8"/>
  <c r="BF30" i="8"/>
  <c r="EU30" i="8"/>
  <c r="CX30" i="8"/>
  <c r="FE30" i="8"/>
  <c r="FK30" i="8"/>
  <c r="BB30" i="8"/>
  <c r="EV30" i="8"/>
  <c r="EX30" i="8"/>
  <c r="CV30" i="8"/>
  <c r="FB30" i="8"/>
  <c r="CY30" i="8"/>
  <c r="FD30" i="8"/>
  <c r="DA30" i="8"/>
  <c r="BI30" i="8"/>
  <c r="FG30" i="8"/>
  <c r="DE30" i="8"/>
  <c r="BJ30" i="8"/>
  <c r="FO30" i="8"/>
  <c r="DG30" i="8"/>
  <c r="BK30" i="8"/>
  <c r="DH30" i="8"/>
  <c r="BL30" i="8"/>
  <c r="DI30" i="8"/>
  <c r="AU30" i="8"/>
  <c r="BM30" i="8"/>
  <c r="DL30" i="8"/>
  <c r="DN30" i="8"/>
  <c r="AX30" i="8"/>
  <c r="DO30" i="8"/>
  <c r="AY30" i="8"/>
  <c r="AZ30" i="8"/>
  <c r="BE30" i="8"/>
  <c r="BH30" i="8"/>
  <c r="BG30" i="8"/>
  <c r="BC30" i="8"/>
  <c r="BN30" i="8"/>
  <c r="BO30" i="8"/>
  <c r="BA30" i="8"/>
  <c r="AW30" i="8"/>
  <c r="DK30" i="8"/>
  <c r="AV30" i="8"/>
  <c r="HO29" i="8"/>
  <c r="HN29" i="8"/>
  <c r="X29" i="8" s="1"/>
  <c r="GV29" i="8"/>
  <c r="HD29" i="8"/>
  <c r="GW29" i="8"/>
  <c r="HE29" i="8"/>
  <c r="GP29" i="8"/>
  <c r="GZ29" i="8"/>
  <c r="HJ29" i="8"/>
  <c r="GQ29" i="8"/>
  <c r="HA29" i="8"/>
  <c r="GT29" i="8"/>
  <c r="HF29" i="8"/>
  <c r="GU29" i="8"/>
  <c r="GY29" i="8"/>
  <c r="HB29" i="8"/>
  <c r="HC29" i="8"/>
  <c r="HG29" i="8"/>
  <c r="GR29" i="8"/>
  <c r="HH29" i="8"/>
  <c r="GX29" i="8"/>
  <c r="HI29" i="8"/>
  <c r="GS29" i="8"/>
  <c r="HM30" i="8"/>
  <c r="FQ30" i="8"/>
  <c r="GO30" i="8"/>
  <c r="GH30" i="8"/>
  <c r="FR30" i="8"/>
  <c r="GG30" i="8"/>
  <c r="DQ30" i="8"/>
  <c r="GB30" i="8"/>
  <c r="FZ30" i="8"/>
  <c r="GD30" i="8"/>
  <c r="GA30" i="8"/>
  <c r="FY30" i="8"/>
  <c r="FW30" i="8"/>
  <c r="FT30" i="8"/>
  <c r="DY30" i="8"/>
  <c r="DW30" i="8"/>
  <c r="EL30" i="8"/>
  <c r="DV30" i="8"/>
  <c r="GK30" i="8"/>
  <c r="EJ30" i="8"/>
  <c r="DT30" i="8"/>
  <c r="GJ30" i="8"/>
  <c r="GF30" i="8"/>
  <c r="GC30" i="8"/>
  <c r="GL30" i="8"/>
  <c r="GE30" i="8"/>
  <c r="EI30" i="8"/>
  <c r="AT30" i="8"/>
  <c r="FX30" i="8"/>
  <c r="EH30" i="8"/>
  <c r="FU30" i="8"/>
  <c r="EF30" i="8"/>
  <c r="FS30" i="8"/>
  <c r="EE30" i="8"/>
  <c r="EC30" i="8"/>
  <c r="EA30" i="8"/>
  <c r="DZ30" i="8"/>
  <c r="DU30" i="8"/>
  <c r="DS30" i="8"/>
  <c r="EK30" i="8"/>
  <c r="EG30" i="8"/>
  <c r="ED30" i="8"/>
  <c r="DX30" i="8"/>
  <c r="EB30" i="8"/>
  <c r="BQ30" i="8"/>
  <c r="GI30" i="8"/>
  <c r="FV30" i="8"/>
  <c r="DR30" i="8"/>
  <c r="ET30" i="8"/>
  <c r="CT30" i="8"/>
  <c r="BU30" i="8"/>
  <c r="CK30" i="8"/>
  <c r="BV30" i="8"/>
  <c r="CL30" i="8"/>
  <c r="BX30" i="8"/>
  <c r="BR30" i="8"/>
  <c r="CH30" i="8"/>
  <c r="BT30" i="8"/>
  <c r="BY30" i="8"/>
  <c r="BW30" i="8"/>
  <c r="BZ30" i="8"/>
  <c r="CA30" i="8"/>
  <c r="CB30" i="8"/>
  <c r="CC30" i="8"/>
  <c r="CI30" i="8"/>
  <c r="CD30" i="8"/>
  <c r="CE30" i="8"/>
  <c r="CF30" i="8"/>
  <c r="CG30" i="8"/>
  <c r="CJ30" i="8"/>
  <c r="BS30" i="8"/>
  <c r="AN31" i="8"/>
  <c r="EO30" i="8" a="1"/>
  <c r="EO30" i="8" s="1"/>
  <c r="CQ30" i="8"/>
  <c r="CP30" i="8"/>
  <c r="ER30" i="8"/>
  <c r="AQ30" i="8"/>
  <c r="AO30" i="8" a="1"/>
  <c r="AO30" i="8" s="1"/>
  <c r="EQ30" i="8"/>
  <c r="AR30" i="8"/>
  <c r="CR30" i="8"/>
  <c r="CO30" i="8" a="1"/>
  <c r="CO30" i="8" s="1"/>
  <c r="EP30" i="8"/>
  <c r="AP30" i="8"/>
  <c r="AG30" i="8"/>
  <c r="AC30" i="8"/>
  <c r="Z30" i="8" a="1"/>
  <c r="Z30" i="8" s="1"/>
  <c r="V31" i="8"/>
  <c r="AH31" i="8" s="1"/>
  <c r="Y30" i="8"/>
  <c r="W30" i="8"/>
  <c r="AI30" i="8"/>
  <c r="AB30" i="8"/>
  <c r="AA30" i="8"/>
  <c r="AK30" i="8"/>
  <c r="AJ29" i="8" a="1"/>
  <c r="AJ29" i="8" s="1"/>
  <c r="AF30" i="8"/>
  <c r="EV31" i="8" l="1"/>
  <c r="FL31" i="8"/>
  <c r="FA31" i="8"/>
  <c r="FD31" i="8"/>
  <c r="FE31" i="8"/>
  <c r="FH31" i="8"/>
  <c r="FN31" i="8"/>
  <c r="CX31" i="8"/>
  <c r="DN31" i="8"/>
  <c r="FO31" i="8"/>
  <c r="CY31" i="8"/>
  <c r="DO31" i="8"/>
  <c r="EZ31" i="8"/>
  <c r="DE31" i="8"/>
  <c r="FB31" i="8"/>
  <c r="FF31" i="8"/>
  <c r="CU31" i="8"/>
  <c r="EW31" i="8"/>
  <c r="DA31" i="8"/>
  <c r="EY31" i="8"/>
  <c r="DC31" i="8"/>
  <c r="FG31" i="8"/>
  <c r="DF31" i="8"/>
  <c r="EU31" i="8"/>
  <c r="FI31" i="8"/>
  <c r="CW31" i="8"/>
  <c r="AY31" i="8"/>
  <c r="BO31" i="8"/>
  <c r="FK31" i="8"/>
  <c r="DB31" i="8"/>
  <c r="BA31" i="8"/>
  <c r="DG31" i="8"/>
  <c r="DD31" i="8"/>
  <c r="AZ31" i="8"/>
  <c r="DH31" i="8"/>
  <c r="DI31" i="8"/>
  <c r="DJ31" i="8"/>
  <c r="DK31" i="8"/>
  <c r="DL31" i="8"/>
  <c r="BF31" i="8"/>
  <c r="DM31" i="8"/>
  <c r="BG31" i="8"/>
  <c r="BH31" i="8"/>
  <c r="EX31" i="8"/>
  <c r="BI31" i="8"/>
  <c r="FJ31" i="8"/>
  <c r="FC31" i="8"/>
  <c r="BJ31" i="8"/>
  <c r="FM31" i="8"/>
  <c r="AU31" i="8"/>
  <c r="BM31" i="8"/>
  <c r="AV31" i="8"/>
  <c r="BN31" i="8"/>
  <c r="CV31" i="8"/>
  <c r="AW31" i="8"/>
  <c r="BC31" i="8"/>
  <c r="AX31" i="8"/>
  <c r="BB31" i="8"/>
  <c r="BD31" i="8"/>
  <c r="BE31" i="8"/>
  <c r="BK31" i="8"/>
  <c r="CZ31" i="8"/>
  <c r="BL31" i="8"/>
  <c r="GQ30" i="8"/>
  <c r="GY30" i="8"/>
  <c r="HG30" i="8"/>
  <c r="GR30" i="8"/>
  <c r="GZ30" i="8"/>
  <c r="HH30" i="8"/>
  <c r="HA30" i="8"/>
  <c r="GP30" i="8"/>
  <c r="HB30" i="8"/>
  <c r="GU30" i="8"/>
  <c r="HE30" i="8"/>
  <c r="GS30" i="8"/>
  <c r="HI30" i="8"/>
  <c r="GV30" i="8"/>
  <c r="GW30" i="8"/>
  <c r="GX30" i="8"/>
  <c r="HC30" i="8"/>
  <c r="HD30" i="8"/>
  <c r="HF30" i="8"/>
  <c r="GT30" i="8"/>
  <c r="HJ30" i="8"/>
  <c r="HO30" i="8"/>
  <c r="HN30" i="8"/>
  <c r="X30" i="8" s="1"/>
  <c r="HM31" i="8"/>
  <c r="GC31" i="8"/>
  <c r="GB31" i="8"/>
  <c r="FW31" i="8"/>
  <c r="GK31" i="8"/>
  <c r="FU31" i="8"/>
  <c r="GE31" i="8"/>
  <c r="GO31" i="8"/>
  <c r="GA31" i="8"/>
  <c r="FZ31" i="8"/>
  <c r="DQ31" i="8"/>
  <c r="FX31" i="8"/>
  <c r="FS31" i="8"/>
  <c r="FY31" i="8"/>
  <c r="EJ31" i="8"/>
  <c r="DT31" i="8"/>
  <c r="FT31" i="8"/>
  <c r="EH31" i="8"/>
  <c r="DR31" i="8"/>
  <c r="FR31" i="8"/>
  <c r="EG31" i="8"/>
  <c r="EE31" i="8"/>
  <c r="FQ31" i="8"/>
  <c r="GJ31" i="8"/>
  <c r="DS31" i="8"/>
  <c r="EL31" i="8"/>
  <c r="EK31" i="8"/>
  <c r="AT31" i="8"/>
  <c r="EF31" i="8"/>
  <c r="ED31" i="8"/>
  <c r="CT31" i="8"/>
  <c r="EB31" i="8"/>
  <c r="GI31" i="8"/>
  <c r="DZ31" i="8"/>
  <c r="GH31" i="8"/>
  <c r="DY31" i="8"/>
  <c r="GF31" i="8"/>
  <c r="DW31" i="8"/>
  <c r="GD31" i="8"/>
  <c r="DV31" i="8"/>
  <c r="GL31" i="8"/>
  <c r="GG31" i="8"/>
  <c r="BQ31" i="8"/>
  <c r="DU31" i="8"/>
  <c r="FV31" i="8"/>
  <c r="ET31" i="8"/>
  <c r="EC31" i="8"/>
  <c r="EI31" i="8"/>
  <c r="EA31" i="8"/>
  <c r="DX31" i="8"/>
  <c r="CF31" i="8"/>
  <c r="CG31" i="8"/>
  <c r="BS31" i="8"/>
  <c r="CI31" i="8"/>
  <c r="CC31" i="8"/>
  <c r="BV31" i="8"/>
  <c r="BY31" i="8"/>
  <c r="BW31" i="8"/>
  <c r="BX31" i="8"/>
  <c r="BZ31" i="8"/>
  <c r="CA31" i="8"/>
  <c r="CB31" i="8"/>
  <c r="CE31" i="8"/>
  <c r="CD31" i="8"/>
  <c r="CJ31" i="8"/>
  <c r="CK31" i="8"/>
  <c r="CL31" i="8"/>
  <c r="CH31" i="8"/>
  <c r="BR31" i="8"/>
  <c r="BT31" i="8"/>
  <c r="BU31" i="8"/>
  <c r="AN32" i="8"/>
  <c r="CQ31" i="8"/>
  <c r="AR31" i="8"/>
  <c r="CP31" i="8"/>
  <c r="AO31" i="8" a="1"/>
  <c r="AO31" i="8" s="1"/>
  <c r="EP31" i="8"/>
  <c r="EO31" i="8" a="1"/>
  <c r="EO31" i="8" s="1"/>
  <c r="EQ31" i="8"/>
  <c r="AQ31" i="8"/>
  <c r="CO31" i="8" a="1"/>
  <c r="CO31" i="8" s="1"/>
  <c r="AP31" i="8"/>
  <c r="CR31" i="8"/>
  <c r="ER31" i="8"/>
  <c r="Z31" i="8" a="1"/>
  <c r="Z31" i="8" s="1"/>
  <c r="Y31" i="8"/>
  <c r="W31" i="8"/>
  <c r="AI31" i="8"/>
  <c r="AG31" i="8"/>
  <c r="AC31" i="8"/>
  <c r="AB31" i="8"/>
  <c r="V32" i="8"/>
  <c r="AH32" i="8" s="1"/>
  <c r="AK31" i="8"/>
  <c r="AA31" i="8"/>
  <c r="AJ30" i="8" a="1"/>
  <c r="AJ30" i="8" s="1"/>
  <c r="AF31" i="8"/>
  <c r="FG32" i="8" l="1"/>
  <c r="EV32" i="8"/>
  <c r="FL32" i="8"/>
  <c r="EY32" i="8"/>
  <c r="FO32" i="8"/>
  <c r="EZ32" i="8"/>
  <c r="FC32" i="8"/>
  <c r="DI32" i="8"/>
  <c r="DJ32" i="8"/>
  <c r="FD32" i="8"/>
  <c r="CZ32" i="8"/>
  <c r="FE32" i="8"/>
  <c r="FH32" i="8"/>
  <c r="FA32" i="8"/>
  <c r="CU32" i="8"/>
  <c r="DN32" i="8"/>
  <c r="FJ32" i="8"/>
  <c r="CY32" i="8"/>
  <c r="FM32" i="8"/>
  <c r="DB32" i="8"/>
  <c r="DD32" i="8"/>
  <c r="DE32" i="8"/>
  <c r="BJ32" i="8"/>
  <c r="DG32" i="8"/>
  <c r="AV32" i="8"/>
  <c r="BL32" i="8"/>
  <c r="EU32" i="8"/>
  <c r="DK32" i="8"/>
  <c r="FI32" i="8"/>
  <c r="FN32" i="8"/>
  <c r="FK32" i="8"/>
  <c r="DO32" i="8"/>
  <c r="AX32" i="8"/>
  <c r="BC32" i="8"/>
  <c r="BD32" i="8"/>
  <c r="CV32" i="8"/>
  <c r="BE32" i="8"/>
  <c r="CW32" i="8"/>
  <c r="BF32" i="8"/>
  <c r="CX32" i="8"/>
  <c r="BG32" i="8"/>
  <c r="DC32" i="8"/>
  <c r="EW32" i="8"/>
  <c r="DF32" i="8"/>
  <c r="BK32" i="8"/>
  <c r="EX32" i="8"/>
  <c r="DH32" i="8"/>
  <c r="BM32" i="8"/>
  <c r="FF32" i="8"/>
  <c r="FB32" i="8"/>
  <c r="DL32" i="8"/>
  <c r="AU32" i="8"/>
  <c r="BN32" i="8"/>
  <c r="BB32" i="8"/>
  <c r="BH32" i="8"/>
  <c r="BI32" i="8"/>
  <c r="AY32" i="8"/>
  <c r="BO32" i="8"/>
  <c r="DM32" i="8"/>
  <c r="BA32" i="8"/>
  <c r="DA32" i="8"/>
  <c r="AW32" i="8"/>
  <c r="AZ32" i="8"/>
  <c r="HN31" i="8"/>
  <c r="X31" i="8" s="1"/>
  <c r="HO31" i="8"/>
  <c r="GT31" i="8"/>
  <c r="HB31" i="8"/>
  <c r="HJ31" i="8"/>
  <c r="GU31" i="8"/>
  <c r="HC31" i="8"/>
  <c r="GP31" i="8"/>
  <c r="GZ31" i="8"/>
  <c r="GQ31" i="8"/>
  <c r="HA31" i="8"/>
  <c r="GV31" i="8"/>
  <c r="HF31" i="8"/>
  <c r="HE31" i="8"/>
  <c r="GR31" i="8"/>
  <c r="HH31" i="8"/>
  <c r="GS31" i="8"/>
  <c r="HI31" i="8"/>
  <c r="GW31" i="8"/>
  <c r="GX31" i="8"/>
  <c r="GY31" i="8"/>
  <c r="HD31" i="8"/>
  <c r="HG31" i="8"/>
  <c r="HM32" i="8"/>
  <c r="GO32" i="8"/>
  <c r="FQ32" i="8"/>
  <c r="FX32" i="8"/>
  <c r="FW32" i="8"/>
  <c r="GH32" i="8"/>
  <c r="FR32" i="8"/>
  <c r="DQ32" i="8"/>
  <c r="GF32" i="8"/>
  <c r="GD32" i="8"/>
  <c r="GB32" i="8"/>
  <c r="GA32" i="8"/>
  <c r="FY32" i="8"/>
  <c r="FT32" i="8"/>
  <c r="GJ32" i="8"/>
  <c r="EE32" i="8"/>
  <c r="GG32" i="8"/>
  <c r="EC32" i="8"/>
  <c r="GE32" i="8"/>
  <c r="EB32" i="8"/>
  <c r="FZ32" i="8"/>
  <c r="DZ32" i="8"/>
  <c r="FV32" i="8"/>
  <c r="FS32" i="8"/>
  <c r="DS32" i="8"/>
  <c r="EK32" i="8"/>
  <c r="EJ32" i="8"/>
  <c r="GK32" i="8"/>
  <c r="EH32" i="8"/>
  <c r="CT32" i="8"/>
  <c r="GI32" i="8"/>
  <c r="EG32" i="8"/>
  <c r="FU32" i="8"/>
  <c r="ED32" i="8"/>
  <c r="DY32" i="8"/>
  <c r="DX32" i="8"/>
  <c r="DV32" i="8"/>
  <c r="DU32" i="8"/>
  <c r="GL32" i="8"/>
  <c r="GC32" i="8"/>
  <c r="BQ32" i="8"/>
  <c r="EA32" i="8"/>
  <c r="ET32" i="8"/>
  <c r="EL32" i="8"/>
  <c r="EI32" i="8"/>
  <c r="EF32" i="8"/>
  <c r="AT32" i="8"/>
  <c r="DW32" i="8"/>
  <c r="DT32" i="8"/>
  <c r="DR32" i="8"/>
  <c r="CA32" i="8"/>
  <c r="CB32" i="8"/>
  <c r="CD32" i="8"/>
  <c r="BX32" i="8"/>
  <c r="BU32" i="8"/>
  <c r="BW32" i="8"/>
  <c r="BV32" i="8"/>
  <c r="BY32" i="8"/>
  <c r="BZ32" i="8"/>
  <c r="CJ32" i="8"/>
  <c r="CL32" i="8"/>
  <c r="CC32" i="8"/>
  <c r="CE32" i="8"/>
  <c r="CI32" i="8"/>
  <c r="CF32" i="8"/>
  <c r="CG32" i="8"/>
  <c r="BR32" i="8"/>
  <c r="CH32" i="8"/>
  <c r="CK32" i="8"/>
  <c r="BS32" i="8"/>
  <c r="BT32" i="8"/>
  <c r="AN33" i="8"/>
  <c r="CR32" i="8"/>
  <c r="AP32" i="8"/>
  <c r="CO32" i="8" a="1"/>
  <c r="CO32" i="8" s="1"/>
  <c r="ER32" i="8"/>
  <c r="AO32" i="8" a="1"/>
  <c r="AO32" i="8" s="1"/>
  <c r="EP32" i="8"/>
  <c r="CQ32" i="8"/>
  <c r="EQ32" i="8"/>
  <c r="AR32" i="8"/>
  <c r="AQ32" i="8"/>
  <c r="EO32" i="8" a="1"/>
  <c r="EO32" i="8" s="1"/>
  <c r="CP32" i="8"/>
  <c r="AJ31" i="8" a="1"/>
  <c r="AJ31" i="8" s="1"/>
  <c r="AF32" i="8"/>
  <c r="AK32" i="8"/>
  <c r="W32" i="8"/>
  <c r="AG32" i="8"/>
  <c r="AB32" i="8"/>
  <c r="AA32" i="8"/>
  <c r="Z32" i="8" a="1"/>
  <c r="Z32" i="8" s="1"/>
  <c r="Y32" i="8"/>
  <c r="AC32" i="8"/>
  <c r="AI32" i="8"/>
  <c r="V33" i="8"/>
  <c r="AH33" i="8" s="1"/>
  <c r="FB33" i="8" l="1"/>
  <c r="FG33" i="8"/>
  <c r="FJ33" i="8"/>
  <c r="EU33" i="8"/>
  <c r="FK33" i="8"/>
  <c r="EX33" i="8"/>
  <c r="FN33" i="8"/>
  <c r="EV33" i="8"/>
  <c r="DD33" i="8"/>
  <c r="EW33" i="8"/>
  <c r="DE33" i="8"/>
  <c r="FE33" i="8"/>
  <c r="CU33" i="8"/>
  <c r="DK33" i="8"/>
  <c r="FF33" i="8"/>
  <c r="FI33" i="8"/>
  <c r="FO33" i="8"/>
  <c r="DM33" i="8"/>
  <c r="CX33" i="8"/>
  <c r="CZ33" i="8"/>
  <c r="EY33" i="8"/>
  <c r="FA33" i="8"/>
  <c r="FH33" i="8"/>
  <c r="DH33" i="8"/>
  <c r="BE33" i="8"/>
  <c r="FM33" i="8"/>
  <c r="DJ33" i="8"/>
  <c r="BG33" i="8"/>
  <c r="DN33" i="8"/>
  <c r="AU33" i="8"/>
  <c r="BM33" i="8"/>
  <c r="EZ33" i="8"/>
  <c r="CV33" i="8"/>
  <c r="FC33" i="8"/>
  <c r="CW33" i="8"/>
  <c r="FD33" i="8"/>
  <c r="CY33" i="8"/>
  <c r="FL33" i="8"/>
  <c r="DA33" i="8"/>
  <c r="DB33" i="8"/>
  <c r="AZ33" i="8"/>
  <c r="DC33" i="8"/>
  <c r="BA33" i="8"/>
  <c r="DF33" i="8"/>
  <c r="BB33" i="8"/>
  <c r="DG33" i="8"/>
  <c r="BC33" i="8"/>
  <c r="DI33" i="8"/>
  <c r="BD33" i="8"/>
  <c r="DO33" i="8"/>
  <c r="BI33" i="8"/>
  <c r="BJ33" i="8"/>
  <c r="BK33" i="8"/>
  <c r="DL33" i="8"/>
  <c r="AV33" i="8"/>
  <c r="AW33" i="8"/>
  <c r="AX33" i="8"/>
  <c r="AY33" i="8"/>
  <c r="BF33" i="8"/>
  <c r="BH33" i="8"/>
  <c r="BL33" i="8"/>
  <c r="BN33" i="8"/>
  <c r="BO33" i="8"/>
  <c r="GW32" i="8"/>
  <c r="HE32" i="8"/>
  <c r="GP32" i="8"/>
  <c r="GX32" i="8"/>
  <c r="HF32" i="8"/>
  <c r="GQ32" i="8"/>
  <c r="HA32" i="8"/>
  <c r="GR32" i="8"/>
  <c r="HB32" i="8"/>
  <c r="GU32" i="8"/>
  <c r="HG32" i="8"/>
  <c r="GZ32" i="8"/>
  <c r="HD32" i="8"/>
  <c r="HH32" i="8"/>
  <c r="HI32" i="8"/>
  <c r="GS32" i="8"/>
  <c r="GT32" i="8"/>
  <c r="HJ32" i="8"/>
  <c r="GV32" i="8"/>
  <c r="HC32" i="8"/>
  <c r="GY32" i="8"/>
  <c r="HO32" i="8"/>
  <c r="HN32" i="8"/>
  <c r="X32" i="8" s="1"/>
  <c r="HM33" i="8"/>
  <c r="GO33" i="8"/>
  <c r="GI33" i="8"/>
  <c r="FS33" i="8"/>
  <c r="FQ33" i="8"/>
  <c r="GH33" i="8"/>
  <c r="FR33" i="8"/>
  <c r="GC33" i="8"/>
  <c r="GA33" i="8"/>
  <c r="GE33" i="8"/>
  <c r="GB33" i="8"/>
  <c r="FZ33" i="8"/>
  <c r="FX33" i="8"/>
  <c r="DQ33" i="8"/>
  <c r="FU33" i="8"/>
  <c r="DZ33" i="8"/>
  <c r="DX33" i="8"/>
  <c r="DW33" i="8"/>
  <c r="GK33" i="8"/>
  <c r="EK33" i="8"/>
  <c r="DU33" i="8"/>
  <c r="GJ33" i="8"/>
  <c r="GF33" i="8"/>
  <c r="FY33" i="8"/>
  <c r="GD33" i="8"/>
  <c r="DR33" i="8"/>
  <c r="FV33" i="8"/>
  <c r="EJ33" i="8"/>
  <c r="FT33" i="8"/>
  <c r="EI33" i="8"/>
  <c r="EG33" i="8"/>
  <c r="AT33" i="8"/>
  <c r="EF33" i="8"/>
  <c r="ED33" i="8"/>
  <c r="EB33" i="8"/>
  <c r="EA33" i="8"/>
  <c r="DV33" i="8"/>
  <c r="GL33" i="8"/>
  <c r="DT33" i="8"/>
  <c r="EE33" i="8"/>
  <c r="BQ33" i="8"/>
  <c r="EC33" i="8"/>
  <c r="CT33" i="8"/>
  <c r="DY33" i="8"/>
  <c r="ET33" i="8"/>
  <c r="DS33" i="8"/>
  <c r="EH33" i="8"/>
  <c r="GG33" i="8"/>
  <c r="FW33" i="8"/>
  <c r="EL33" i="8"/>
  <c r="BV33" i="8"/>
  <c r="CL33" i="8"/>
  <c r="BW33" i="8"/>
  <c r="BY33" i="8"/>
  <c r="BS33" i="8"/>
  <c r="CI33" i="8"/>
  <c r="BU33" i="8"/>
  <c r="BX33" i="8"/>
  <c r="BZ33" i="8"/>
  <c r="CA33" i="8"/>
  <c r="CK33" i="8"/>
  <c r="CB33" i="8"/>
  <c r="CC33" i="8"/>
  <c r="CD33" i="8"/>
  <c r="CE33" i="8"/>
  <c r="CF33" i="8"/>
  <c r="CH33" i="8"/>
  <c r="CG33" i="8"/>
  <c r="CJ33" i="8"/>
  <c r="BR33" i="8"/>
  <c r="BT33" i="8"/>
  <c r="AN34" i="8"/>
  <c r="AO33" i="8" a="1"/>
  <c r="AO33" i="8" s="1"/>
  <c r="CO33" i="8" a="1"/>
  <c r="CO33" i="8" s="1"/>
  <c r="AQ33" i="8"/>
  <c r="CP33" i="8"/>
  <c r="AR33" i="8"/>
  <c r="CQ33" i="8"/>
  <c r="EO33" i="8" a="1"/>
  <c r="EO33" i="8" s="1"/>
  <c r="ER33" i="8"/>
  <c r="AP33" i="8"/>
  <c r="EP33" i="8"/>
  <c r="EQ33" i="8"/>
  <c r="CR33" i="8"/>
  <c r="AB33" i="8"/>
  <c r="AA33" i="8"/>
  <c r="Y33" i="8"/>
  <c r="V34" i="8"/>
  <c r="AH34" i="8" s="1"/>
  <c r="W33" i="8"/>
  <c r="AK33" i="8"/>
  <c r="AI33" i="8"/>
  <c r="AG33" i="8"/>
  <c r="AC33" i="8"/>
  <c r="Z33" i="8" a="1"/>
  <c r="Z33" i="8" s="1"/>
  <c r="AJ32" i="8" a="1"/>
  <c r="AJ32" i="8" s="1"/>
  <c r="AF33" i="8"/>
  <c r="EW34" i="8" l="1"/>
  <c r="FM34" i="8"/>
  <c r="FB34" i="8"/>
  <c r="FE34" i="8"/>
  <c r="FF34" i="8"/>
  <c r="FI34" i="8"/>
  <c r="EX34" i="8"/>
  <c r="CY34" i="8"/>
  <c r="DO34" i="8"/>
  <c r="EY34" i="8"/>
  <c r="CZ34" i="8"/>
  <c r="FH34" i="8"/>
  <c r="DF34" i="8"/>
  <c r="FJ34" i="8"/>
  <c r="FL34" i="8"/>
  <c r="DK34" i="8"/>
  <c r="FA34" i="8"/>
  <c r="CV34" i="8"/>
  <c r="FD34" i="8"/>
  <c r="CX34" i="8"/>
  <c r="FK34" i="8"/>
  <c r="DJ34" i="8"/>
  <c r="AZ34" i="8"/>
  <c r="DM34" i="8"/>
  <c r="BB34" i="8"/>
  <c r="EV34" i="8"/>
  <c r="FO34" i="8"/>
  <c r="DC34" i="8"/>
  <c r="BJ34" i="8"/>
  <c r="DD34" i="8"/>
  <c r="DE34" i="8"/>
  <c r="DG34" i="8"/>
  <c r="DH34" i="8"/>
  <c r="EU34" i="8"/>
  <c r="DI34" i="8"/>
  <c r="AW34" i="8"/>
  <c r="BO34" i="8"/>
  <c r="EZ34" i="8"/>
  <c r="DL34" i="8"/>
  <c r="AX34" i="8"/>
  <c r="FC34" i="8"/>
  <c r="DN34" i="8"/>
  <c r="AY34" i="8"/>
  <c r="FG34" i="8"/>
  <c r="BA34" i="8"/>
  <c r="FN34" i="8"/>
  <c r="BC34" i="8"/>
  <c r="CU34" i="8"/>
  <c r="BF34" i="8"/>
  <c r="CW34" i="8"/>
  <c r="BG34" i="8"/>
  <c r="DA34" i="8"/>
  <c r="BH34" i="8"/>
  <c r="BE34" i="8"/>
  <c r="BI34" i="8"/>
  <c r="BK34" i="8"/>
  <c r="BL34" i="8"/>
  <c r="BM34" i="8"/>
  <c r="BN34" i="8"/>
  <c r="AU34" i="8"/>
  <c r="BD34" i="8"/>
  <c r="DB34" i="8"/>
  <c r="AV34" i="8"/>
  <c r="GR33" i="8"/>
  <c r="GZ33" i="8"/>
  <c r="HH33" i="8"/>
  <c r="GS33" i="8"/>
  <c r="HA33" i="8"/>
  <c r="HI33" i="8"/>
  <c r="GP33" i="8"/>
  <c r="HB33" i="8"/>
  <c r="GQ33" i="8"/>
  <c r="HC33" i="8"/>
  <c r="GV33" i="8"/>
  <c r="HF33" i="8"/>
  <c r="GW33" i="8"/>
  <c r="GY33" i="8"/>
  <c r="HD33" i="8"/>
  <c r="HE33" i="8"/>
  <c r="HG33" i="8"/>
  <c r="GT33" i="8"/>
  <c r="HJ33" i="8"/>
  <c r="GU33" i="8"/>
  <c r="GX33" i="8"/>
  <c r="HO33" i="8"/>
  <c r="HN33" i="8"/>
  <c r="X33" i="8" s="1"/>
  <c r="HM34" i="8"/>
  <c r="GD34" i="8"/>
  <c r="GC34" i="8"/>
  <c r="FX34" i="8"/>
  <c r="GL34" i="8"/>
  <c r="FV34" i="8"/>
  <c r="GF34" i="8"/>
  <c r="GB34" i="8"/>
  <c r="GA34" i="8"/>
  <c r="FY34" i="8"/>
  <c r="FT34" i="8"/>
  <c r="FW34" i="8"/>
  <c r="EK34" i="8"/>
  <c r="DU34" i="8"/>
  <c r="FS34" i="8"/>
  <c r="EI34" i="8"/>
  <c r="DS34" i="8"/>
  <c r="FR34" i="8"/>
  <c r="EH34" i="8"/>
  <c r="DR34" i="8"/>
  <c r="EF34" i="8"/>
  <c r="DQ34" i="8"/>
  <c r="GJ34" i="8"/>
  <c r="DT34" i="8"/>
  <c r="EL34" i="8"/>
  <c r="CT34" i="8"/>
  <c r="GO34" i="8"/>
  <c r="EG34" i="8"/>
  <c r="EE34" i="8"/>
  <c r="GI34" i="8"/>
  <c r="EC34" i="8"/>
  <c r="GG34" i="8"/>
  <c r="EA34" i="8"/>
  <c r="GE34" i="8"/>
  <c r="DZ34" i="8"/>
  <c r="ET34" i="8"/>
  <c r="FU34" i="8"/>
  <c r="DX34" i="8"/>
  <c r="DW34" i="8"/>
  <c r="FQ34" i="8"/>
  <c r="AT34" i="8"/>
  <c r="EJ34" i="8"/>
  <c r="BQ34" i="8"/>
  <c r="GK34" i="8"/>
  <c r="ED34" i="8"/>
  <c r="GH34" i="8"/>
  <c r="EB34" i="8"/>
  <c r="FZ34" i="8"/>
  <c r="DY34" i="8"/>
  <c r="DV34" i="8"/>
  <c r="CG34" i="8"/>
  <c r="BR34" i="8"/>
  <c r="CH34" i="8"/>
  <c r="BT34" i="8"/>
  <c r="CJ34" i="8"/>
  <c r="CD34" i="8"/>
  <c r="BW34" i="8"/>
  <c r="BY34" i="8"/>
  <c r="BZ34" i="8"/>
  <c r="BX34" i="8"/>
  <c r="CA34" i="8"/>
  <c r="CB34" i="8"/>
  <c r="CK34" i="8"/>
  <c r="CC34" i="8"/>
  <c r="CF34" i="8"/>
  <c r="CE34" i="8"/>
  <c r="BS34" i="8"/>
  <c r="CL34" i="8"/>
  <c r="CI34" i="8"/>
  <c r="BU34" i="8"/>
  <c r="BV34" i="8"/>
  <c r="AN35" i="8"/>
  <c r="AO34" i="8" a="1"/>
  <c r="AO34" i="8" s="1"/>
  <c r="CR34" i="8"/>
  <c r="EP34" i="8"/>
  <c r="CQ34" i="8"/>
  <c r="AP34" i="8"/>
  <c r="AQ34" i="8"/>
  <c r="ER34" i="8"/>
  <c r="CO34" i="8" a="1"/>
  <c r="CO34" i="8" s="1"/>
  <c r="CP34" i="8"/>
  <c r="EQ34" i="8"/>
  <c r="EO34" i="8" a="1"/>
  <c r="EO34" i="8" s="1"/>
  <c r="AR34" i="8"/>
  <c r="AC34" i="8"/>
  <c r="AB34" i="8"/>
  <c r="Y34" i="8"/>
  <c r="V35" i="8"/>
  <c r="AH35" i="8" s="1"/>
  <c r="W34" i="8"/>
  <c r="AI34" i="8"/>
  <c r="Z34" i="8" a="1"/>
  <c r="Z34" i="8" s="1"/>
  <c r="AK34" i="8"/>
  <c r="AG34" i="8"/>
  <c r="AA34" i="8"/>
  <c r="AF34" i="8"/>
  <c r="AJ33" i="8" a="1"/>
  <c r="AJ33" i="8" s="1"/>
  <c r="FH35" i="8" l="1"/>
  <c r="EW35" i="8"/>
  <c r="FM35" i="8"/>
  <c r="EZ35" i="8"/>
  <c r="FA35" i="8"/>
  <c r="FD35" i="8"/>
  <c r="EY35" i="8"/>
  <c r="DJ35" i="8"/>
  <c r="FB35" i="8"/>
  <c r="CU35" i="8"/>
  <c r="DK35" i="8"/>
  <c r="FJ35" i="8"/>
  <c r="DA35" i="8"/>
  <c r="FK35" i="8"/>
  <c r="FN35" i="8"/>
  <c r="FF35" i="8"/>
  <c r="DI35" i="8"/>
  <c r="FO35" i="8"/>
  <c r="CV35" i="8"/>
  <c r="DO35" i="8"/>
  <c r="CX35" i="8"/>
  <c r="FC35" i="8"/>
  <c r="FI35" i="8"/>
  <c r="DN35" i="8"/>
  <c r="AU35" i="8"/>
  <c r="BK35" i="8"/>
  <c r="AW35" i="8"/>
  <c r="BM35" i="8"/>
  <c r="CW35" i="8"/>
  <c r="EV35" i="8"/>
  <c r="DH35" i="8"/>
  <c r="BG35" i="8"/>
  <c r="DL35" i="8"/>
  <c r="BN35" i="8"/>
  <c r="AV35" i="8"/>
  <c r="BO35" i="8"/>
  <c r="EU35" i="8"/>
  <c r="AX35" i="8"/>
  <c r="CY35" i="8"/>
  <c r="AY35" i="8"/>
  <c r="CZ35" i="8"/>
  <c r="AZ35" i="8"/>
  <c r="EX35" i="8"/>
  <c r="DC35" i="8"/>
  <c r="FE35" i="8"/>
  <c r="DD35" i="8"/>
  <c r="BC35" i="8"/>
  <c r="FG35" i="8"/>
  <c r="DE35" i="8"/>
  <c r="BD35" i="8"/>
  <c r="FL35" i="8"/>
  <c r="DF35" i="8"/>
  <c r="BE35" i="8"/>
  <c r="DB35" i="8"/>
  <c r="DM35" i="8"/>
  <c r="DG35" i="8"/>
  <c r="BB35" i="8"/>
  <c r="BA35" i="8"/>
  <c r="BF35" i="8"/>
  <c r="BH35" i="8"/>
  <c r="BI35" i="8"/>
  <c r="BJ35" i="8"/>
  <c r="BL35" i="8"/>
  <c r="GU34" i="8"/>
  <c r="HC34" i="8"/>
  <c r="GV34" i="8"/>
  <c r="HD34" i="8"/>
  <c r="GQ34" i="8"/>
  <c r="HA34" i="8"/>
  <c r="GR34" i="8"/>
  <c r="HB34" i="8"/>
  <c r="GW34" i="8"/>
  <c r="HG34" i="8"/>
  <c r="GS34" i="8"/>
  <c r="HI34" i="8"/>
  <c r="GX34" i="8"/>
  <c r="GY34" i="8"/>
  <c r="GZ34" i="8"/>
  <c r="HE34" i="8"/>
  <c r="HF34" i="8"/>
  <c r="HH34" i="8"/>
  <c r="HJ34" i="8"/>
  <c r="GP34" i="8"/>
  <c r="GT34" i="8"/>
  <c r="HO34" i="8"/>
  <c r="HN34" i="8"/>
  <c r="X34" i="8" s="1"/>
  <c r="HM35" i="8"/>
  <c r="GO35" i="8"/>
  <c r="FY35" i="8"/>
  <c r="FX35" i="8"/>
  <c r="GI35" i="8"/>
  <c r="FS35" i="8"/>
  <c r="GG35" i="8"/>
  <c r="GE35" i="8"/>
  <c r="GC35" i="8"/>
  <c r="GB35" i="8"/>
  <c r="FZ35" i="8"/>
  <c r="DQ35" i="8"/>
  <c r="FU35" i="8"/>
  <c r="GJ35" i="8"/>
  <c r="EF35" i="8"/>
  <c r="GF35" i="8"/>
  <c r="ED35" i="8"/>
  <c r="GD35" i="8"/>
  <c r="EC35" i="8"/>
  <c r="FW35" i="8"/>
  <c r="EA35" i="8"/>
  <c r="FV35" i="8"/>
  <c r="FQ35" i="8"/>
  <c r="FR35" i="8"/>
  <c r="DT35" i="8"/>
  <c r="GL35" i="8"/>
  <c r="EL35" i="8"/>
  <c r="DR35" i="8"/>
  <c r="CT35" i="8"/>
  <c r="GK35" i="8"/>
  <c r="EK35" i="8"/>
  <c r="GA35" i="8"/>
  <c r="EI35" i="8"/>
  <c r="FT35" i="8"/>
  <c r="EH35" i="8"/>
  <c r="EE35" i="8"/>
  <c r="DZ35" i="8"/>
  <c r="ET35" i="8"/>
  <c r="DY35" i="8"/>
  <c r="DW35" i="8"/>
  <c r="DV35" i="8"/>
  <c r="DU35" i="8"/>
  <c r="EG35" i="8"/>
  <c r="EJ35" i="8"/>
  <c r="EB35" i="8"/>
  <c r="DX35" i="8"/>
  <c r="DS35" i="8"/>
  <c r="AT35" i="8"/>
  <c r="GH35" i="8"/>
  <c r="BQ35" i="8"/>
  <c r="CB35" i="8"/>
  <c r="CC35" i="8"/>
  <c r="CE35" i="8"/>
  <c r="BY35" i="8"/>
  <c r="BV35" i="8"/>
  <c r="BR35" i="8"/>
  <c r="BW35" i="8"/>
  <c r="BX35" i="8"/>
  <c r="BZ35" i="8"/>
  <c r="BS35" i="8"/>
  <c r="CL35" i="8"/>
  <c r="CA35" i="8"/>
  <c r="CD35" i="8"/>
  <c r="CJ35" i="8"/>
  <c r="CF35" i="8"/>
  <c r="CK35" i="8"/>
  <c r="CG35" i="8"/>
  <c r="CH35" i="8"/>
  <c r="CI35" i="8"/>
  <c r="BT35" i="8"/>
  <c r="BU35" i="8"/>
  <c r="AN36" i="8"/>
  <c r="AQ35" i="8"/>
  <c r="ER35" i="8"/>
  <c r="AO35" i="8" a="1"/>
  <c r="AO35" i="8" s="1"/>
  <c r="EQ35" i="8"/>
  <c r="EO35" i="8" a="1"/>
  <c r="EO35" i="8" s="1"/>
  <c r="EP35" i="8"/>
  <c r="AP35" i="8"/>
  <c r="AR35" i="8"/>
  <c r="CP35" i="8"/>
  <c r="CO35" i="8" a="1"/>
  <c r="CO35" i="8" s="1"/>
  <c r="CR35" i="8"/>
  <c r="CQ35" i="8"/>
  <c r="AJ34" i="8" a="1"/>
  <c r="AJ34" i="8" s="1"/>
  <c r="AF35" i="8"/>
  <c r="Z35" i="8" a="1"/>
  <c r="Z35" i="8" s="1"/>
  <c r="Y35" i="8"/>
  <c r="W35" i="8"/>
  <c r="AI35" i="8"/>
  <c r="AG35" i="8"/>
  <c r="AC35" i="8"/>
  <c r="AB35" i="8"/>
  <c r="V36" i="8"/>
  <c r="AH36" i="8" s="1"/>
  <c r="AK35" i="8"/>
  <c r="AA35" i="8"/>
  <c r="FC36" i="8" l="1"/>
  <c r="FH36" i="8"/>
  <c r="EU36" i="8"/>
  <c r="FK36" i="8"/>
  <c r="EV36" i="8"/>
  <c r="FL36" i="8"/>
  <c r="EY36" i="8"/>
  <c r="FO36" i="8"/>
  <c r="FB36" i="8"/>
  <c r="DE36" i="8"/>
  <c r="FD36" i="8"/>
  <c r="DF36" i="8"/>
  <c r="FM36" i="8"/>
  <c r="CV36" i="8"/>
  <c r="DL36" i="8"/>
  <c r="FN36" i="8"/>
  <c r="DI36" i="8"/>
  <c r="DN36" i="8"/>
  <c r="EX36" i="8"/>
  <c r="CW36" i="8"/>
  <c r="FA36" i="8"/>
  <c r="BF36" i="8"/>
  <c r="EW36" i="8"/>
  <c r="CX36" i="8"/>
  <c r="BH36" i="8"/>
  <c r="FE36" i="8"/>
  <c r="CZ36" i="8"/>
  <c r="FF36" i="8"/>
  <c r="BD36" i="8"/>
  <c r="FG36" i="8"/>
  <c r="FI36" i="8"/>
  <c r="FJ36" i="8"/>
  <c r="CU36" i="8"/>
  <c r="CY36" i="8"/>
  <c r="DA36" i="8"/>
  <c r="BK36" i="8"/>
  <c r="DB36" i="8"/>
  <c r="BL36" i="8"/>
  <c r="DC36" i="8"/>
  <c r="AU36" i="8"/>
  <c r="BM36" i="8"/>
  <c r="DD36" i="8"/>
  <c r="AV36" i="8"/>
  <c r="BN36" i="8"/>
  <c r="DG36" i="8"/>
  <c r="AW36" i="8"/>
  <c r="BO36" i="8"/>
  <c r="DK36" i="8"/>
  <c r="AZ36" i="8"/>
  <c r="DM36" i="8"/>
  <c r="BA36" i="8"/>
  <c r="EZ36" i="8"/>
  <c r="DO36" i="8"/>
  <c r="BB36" i="8"/>
  <c r="BE36" i="8"/>
  <c r="AX36" i="8"/>
  <c r="BG36" i="8"/>
  <c r="BI36" i="8"/>
  <c r="AY36" i="8"/>
  <c r="DH36" i="8"/>
  <c r="BJ36" i="8"/>
  <c r="DJ36" i="8"/>
  <c r="BC36" i="8"/>
  <c r="GP35" i="8"/>
  <c r="GX35" i="8"/>
  <c r="HF35" i="8"/>
  <c r="GQ35" i="8"/>
  <c r="GY35" i="8"/>
  <c r="HG35" i="8"/>
  <c r="GR35" i="8"/>
  <c r="HB35" i="8"/>
  <c r="GS35" i="8"/>
  <c r="HC35" i="8"/>
  <c r="GV35" i="8"/>
  <c r="HH35" i="8"/>
  <c r="HE35" i="8"/>
  <c r="GT35" i="8"/>
  <c r="HJ35" i="8"/>
  <c r="GU35" i="8"/>
  <c r="GW35" i="8"/>
  <c r="GZ35" i="8"/>
  <c r="HA35" i="8"/>
  <c r="HI35" i="8"/>
  <c r="HD35" i="8"/>
  <c r="HN35" i="8"/>
  <c r="X35" i="8" s="1"/>
  <c r="HO35" i="8"/>
  <c r="HM36" i="8"/>
  <c r="GJ36" i="8"/>
  <c r="FT36" i="8"/>
  <c r="GI36" i="8"/>
  <c r="FS36" i="8"/>
  <c r="GD36" i="8"/>
  <c r="GB36" i="8"/>
  <c r="GO36" i="8"/>
  <c r="GF36" i="8"/>
  <c r="GC36" i="8"/>
  <c r="GA36" i="8"/>
  <c r="FY36" i="8"/>
  <c r="FV36" i="8"/>
  <c r="EA36" i="8"/>
  <c r="DY36" i="8"/>
  <c r="DX36" i="8"/>
  <c r="GK36" i="8"/>
  <c r="EL36" i="8"/>
  <c r="DV36" i="8"/>
  <c r="GH36" i="8"/>
  <c r="GE36" i="8"/>
  <c r="FX36" i="8"/>
  <c r="DQ36" i="8"/>
  <c r="FU36" i="8"/>
  <c r="DS36" i="8"/>
  <c r="EK36" i="8"/>
  <c r="EJ36" i="8"/>
  <c r="EH36" i="8"/>
  <c r="EG36" i="8"/>
  <c r="FQ36" i="8"/>
  <c r="EE36" i="8"/>
  <c r="AT36" i="8"/>
  <c r="EC36" i="8"/>
  <c r="EB36" i="8"/>
  <c r="GG36" i="8"/>
  <c r="DW36" i="8"/>
  <c r="FZ36" i="8"/>
  <c r="DU36" i="8"/>
  <c r="ED36" i="8"/>
  <c r="DZ36" i="8"/>
  <c r="DT36" i="8"/>
  <c r="ET36" i="8"/>
  <c r="DR36" i="8"/>
  <c r="FW36" i="8"/>
  <c r="GL36" i="8"/>
  <c r="FR36" i="8"/>
  <c r="CT36" i="8"/>
  <c r="EI36" i="8"/>
  <c r="BQ36" i="8"/>
  <c r="EF36" i="8"/>
  <c r="BW36" i="8"/>
  <c r="BX36" i="8"/>
  <c r="BZ36" i="8"/>
  <c r="BT36" i="8"/>
  <c r="CJ36" i="8"/>
  <c r="BV36" i="8"/>
  <c r="CB36" i="8"/>
  <c r="BY36" i="8"/>
  <c r="CA36" i="8"/>
  <c r="CC36" i="8"/>
  <c r="CD36" i="8"/>
  <c r="CK36" i="8"/>
  <c r="CE36" i="8"/>
  <c r="CG36" i="8"/>
  <c r="BR36" i="8"/>
  <c r="CF36" i="8"/>
  <c r="CI36" i="8"/>
  <c r="CL36" i="8"/>
  <c r="CH36" i="8"/>
  <c r="BS36" i="8"/>
  <c r="BU36" i="8"/>
  <c r="AN37" i="8"/>
  <c r="EO36" i="8" a="1"/>
  <c r="EO36" i="8" s="1"/>
  <c r="ER36" i="8"/>
  <c r="CQ36" i="8"/>
  <c r="AQ36" i="8"/>
  <c r="EQ36" i="8"/>
  <c r="AP36" i="8"/>
  <c r="EP36" i="8"/>
  <c r="AR36" i="8"/>
  <c r="AO36" i="8" a="1"/>
  <c r="AO36" i="8" s="1"/>
  <c r="CR36" i="8"/>
  <c r="CP36" i="8"/>
  <c r="CO36" i="8" a="1"/>
  <c r="CO36" i="8" s="1"/>
  <c r="AJ35" i="8" a="1"/>
  <c r="AJ35" i="8" s="1"/>
  <c r="AF36" i="8"/>
  <c r="AK36" i="8"/>
  <c r="W36" i="8"/>
  <c r="AI36" i="8"/>
  <c r="AG36" i="8"/>
  <c r="AB36" i="8"/>
  <c r="AA36" i="8"/>
  <c r="Z36" i="8" a="1"/>
  <c r="Z36" i="8" s="1"/>
  <c r="Y36" i="8"/>
  <c r="V37" i="8"/>
  <c r="AH37" i="8" s="1"/>
  <c r="AC36" i="8"/>
  <c r="EX37" i="8" l="1"/>
  <c r="FN37" i="8"/>
  <c r="FC37" i="8"/>
  <c r="FF37" i="8"/>
  <c r="FG37" i="8"/>
  <c r="FJ37" i="8"/>
  <c r="FD37" i="8"/>
  <c r="CZ37" i="8"/>
  <c r="FE37" i="8"/>
  <c r="DA37" i="8"/>
  <c r="FO37" i="8"/>
  <c r="EV37" i="8"/>
  <c r="EY37" i="8"/>
  <c r="DG37" i="8"/>
  <c r="FH37" i="8"/>
  <c r="DK37" i="8"/>
  <c r="FK37" i="8"/>
  <c r="CU37" i="8"/>
  <c r="DM37" i="8"/>
  <c r="FM37" i="8"/>
  <c r="FB37" i="8"/>
  <c r="CW37" i="8"/>
  <c r="BA37" i="8"/>
  <c r="CY37" i="8"/>
  <c r="BC37" i="8"/>
  <c r="DC37" i="8"/>
  <c r="EU37" i="8"/>
  <c r="EZ37" i="8"/>
  <c r="CX37" i="8"/>
  <c r="BB37" i="8"/>
  <c r="DB37" i="8"/>
  <c r="DE37" i="8"/>
  <c r="EW37" i="8"/>
  <c r="DF37" i="8"/>
  <c r="FA37" i="8"/>
  <c r="DH37" i="8"/>
  <c r="BH37" i="8"/>
  <c r="FI37" i="8"/>
  <c r="DI37" i="8"/>
  <c r="BI37" i="8"/>
  <c r="FL37" i="8"/>
  <c r="DJ37" i="8"/>
  <c r="BJ37" i="8"/>
  <c r="DL37" i="8"/>
  <c r="BK37" i="8"/>
  <c r="DN37" i="8"/>
  <c r="BL37" i="8"/>
  <c r="AW37" i="8"/>
  <c r="BO37" i="8"/>
  <c r="AX37" i="8"/>
  <c r="AY37" i="8"/>
  <c r="AZ37" i="8"/>
  <c r="DO37" i="8"/>
  <c r="DD37" i="8"/>
  <c r="AU37" i="8"/>
  <c r="CV37" i="8"/>
  <c r="AV37" i="8"/>
  <c r="BD37" i="8"/>
  <c r="BE37" i="8"/>
  <c r="BF37" i="8"/>
  <c r="BG37" i="8"/>
  <c r="BM37" i="8"/>
  <c r="BN37" i="8"/>
  <c r="HO36" i="8"/>
  <c r="HN36" i="8"/>
  <c r="X36" i="8" s="1"/>
  <c r="GS36" i="8"/>
  <c r="HA36" i="8"/>
  <c r="HI36" i="8"/>
  <c r="GT36" i="8"/>
  <c r="HB36" i="8"/>
  <c r="HJ36" i="8"/>
  <c r="GQ36" i="8"/>
  <c r="HC36" i="8"/>
  <c r="GR36" i="8"/>
  <c r="HD36" i="8"/>
  <c r="GW36" i="8"/>
  <c r="HG36" i="8"/>
  <c r="GZ36" i="8"/>
  <c r="HF36" i="8"/>
  <c r="GP36" i="8"/>
  <c r="HH36" i="8"/>
  <c r="GU36" i="8"/>
  <c r="GV36" i="8"/>
  <c r="GX36" i="8"/>
  <c r="GY36" i="8"/>
  <c r="HE36" i="8"/>
  <c r="HM37" i="8"/>
  <c r="DQ37" i="8"/>
  <c r="GG37" i="8"/>
  <c r="GE37" i="8"/>
  <c r="GD37" i="8"/>
  <c r="FY37" i="8"/>
  <c r="FW37" i="8"/>
  <c r="FQ37" i="8"/>
  <c r="GH37" i="8"/>
  <c r="GC37" i="8"/>
  <c r="GB37" i="8"/>
  <c r="FZ37" i="8"/>
  <c r="FU37" i="8"/>
  <c r="FV37" i="8"/>
  <c r="EL37" i="8"/>
  <c r="DV37" i="8"/>
  <c r="FS37" i="8"/>
  <c r="EJ37" i="8"/>
  <c r="DT37" i="8"/>
  <c r="GO37" i="8"/>
  <c r="FR37" i="8"/>
  <c r="EI37" i="8"/>
  <c r="DS37" i="8"/>
  <c r="EG37" i="8"/>
  <c r="GK37" i="8"/>
  <c r="DU37" i="8"/>
  <c r="CT37" i="8"/>
  <c r="GL37" i="8"/>
  <c r="EH37" i="8"/>
  <c r="GJ37" i="8"/>
  <c r="EF37" i="8"/>
  <c r="GF37" i="8"/>
  <c r="ED37" i="8"/>
  <c r="ET37" i="8"/>
  <c r="BQ37" i="8"/>
  <c r="FX37" i="8"/>
  <c r="EB37" i="8"/>
  <c r="FT37" i="8"/>
  <c r="EA37" i="8"/>
  <c r="DY37" i="8"/>
  <c r="DX37" i="8"/>
  <c r="GI37" i="8"/>
  <c r="EK37" i="8"/>
  <c r="GA37" i="8"/>
  <c r="EE37" i="8"/>
  <c r="EC37" i="8"/>
  <c r="AT37" i="8"/>
  <c r="DZ37" i="8"/>
  <c r="DR37" i="8"/>
  <c r="DW37" i="8"/>
  <c r="BR37" i="8"/>
  <c r="CH37" i="8"/>
  <c r="BS37" i="8"/>
  <c r="CI37" i="8"/>
  <c r="BU37" i="8"/>
  <c r="CK37" i="8"/>
  <c r="CE37" i="8"/>
  <c r="BX37" i="8"/>
  <c r="BZ37" i="8"/>
  <c r="BT37" i="8"/>
  <c r="BY37" i="8"/>
  <c r="CA37" i="8"/>
  <c r="CB37" i="8"/>
  <c r="CC37" i="8"/>
  <c r="CD37" i="8"/>
  <c r="CL37" i="8"/>
  <c r="CF37" i="8"/>
  <c r="CG37" i="8"/>
  <c r="CJ37" i="8"/>
  <c r="BV37" i="8"/>
  <c r="BW37" i="8"/>
  <c r="AN38" i="8"/>
  <c r="ER37" i="8"/>
  <c r="AR37" i="8"/>
  <c r="AO37" i="8" a="1"/>
  <c r="AO37" i="8" s="1"/>
  <c r="CP37" i="8"/>
  <c r="AQ37" i="8"/>
  <c r="AP37" i="8"/>
  <c r="CQ37" i="8"/>
  <c r="CO37" i="8" a="1"/>
  <c r="CO37" i="8" s="1"/>
  <c r="EP37" i="8"/>
  <c r="EO37" i="8" a="1"/>
  <c r="EO37" i="8" s="1"/>
  <c r="EQ37" i="8"/>
  <c r="CR37" i="8"/>
  <c r="AJ36" i="8" a="1"/>
  <c r="AJ36" i="8" s="1"/>
  <c r="AF37" i="8"/>
  <c r="AG37" i="8"/>
  <c r="AB37" i="8"/>
  <c r="AA37" i="8"/>
  <c r="Y37" i="8"/>
  <c r="V38" i="8"/>
  <c r="AH38" i="8" s="1"/>
  <c r="W37" i="8"/>
  <c r="AK37" i="8"/>
  <c r="AI37" i="8"/>
  <c r="AC37" i="8"/>
  <c r="Z37" i="8" a="1"/>
  <c r="Z37" i="8" s="1"/>
  <c r="FI38" i="8" l="1"/>
  <c r="EX38" i="8"/>
  <c r="FN38" i="8"/>
  <c r="FA38" i="8"/>
  <c r="FB38" i="8"/>
  <c r="FE38" i="8"/>
  <c r="FG38" i="8"/>
  <c r="CU38" i="8"/>
  <c r="FH38" i="8"/>
  <c r="CV38" i="8"/>
  <c r="DL38" i="8"/>
  <c r="EU38" i="8"/>
  <c r="EW38" i="8"/>
  <c r="FK38" i="8"/>
  <c r="DD38" i="8"/>
  <c r="DH38" i="8"/>
  <c r="DJ38" i="8"/>
  <c r="EV38" i="8"/>
  <c r="CY38" i="8"/>
  <c r="EZ38" i="8"/>
  <c r="DA38" i="8"/>
  <c r="AX38" i="8"/>
  <c r="FD38" i="8"/>
  <c r="DC38" i="8"/>
  <c r="DF38" i="8"/>
  <c r="AY38" i="8"/>
  <c r="BO38" i="8"/>
  <c r="DG38" i="8"/>
  <c r="DK38" i="8"/>
  <c r="DM38" i="8"/>
  <c r="DN38" i="8"/>
  <c r="BD38" i="8"/>
  <c r="DO38" i="8"/>
  <c r="BE38" i="8"/>
  <c r="BF38" i="8"/>
  <c r="EY38" i="8"/>
  <c r="BG38" i="8"/>
  <c r="BH38" i="8"/>
  <c r="FF38" i="8"/>
  <c r="FC38" i="8"/>
  <c r="FJ38" i="8"/>
  <c r="FL38" i="8"/>
  <c r="CX38" i="8"/>
  <c r="BK38" i="8"/>
  <c r="FM38" i="8"/>
  <c r="CZ38" i="8"/>
  <c r="AU38" i="8"/>
  <c r="BL38" i="8"/>
  <c r="FO38" i="8"/>
  <c r="DB38" i="8"/>
  <c r="AV38" i="8"/>
  <c r="BM38" i="8"/>
  <c r="AZ38" i="8"/>
  <c r="BB38" i="8"/>
  <c r="BC38" i="8"/>
  <c r="BI38" i="8"/>
  <c r="BJ38" i="8"/>
  <c r="BN38" i="8"/>
  <c r="AW38" i="8"/>
  <c r="CW38" i="8"/>
  <c r="DE38" i="8"/>
  <c r="BA38" i="8"/>
  <c r="DI38" i="8"/>
  <c r="GV37" i="8"/>
  <c r="GW37" i="8"/>
  <c r="GR37" i="8"/>
  <c r="HB37" i="8"/>
  <c r="HJ37" i="8"/>
  <c r="GS37" i="8"/>
  <c r="HC37" i="8"/>
  <c r="GX37" i="8"/>
  <c r="HF37" i="8"/>
  <c r="GY37" i="8"/>
  <c r="HA37" i="8"/>
  <c r="HD37" i="8"/>
  <c r="HE37" i="8"/>
  <c r="GP37" i="8"/>
  <c r="GQ37" i="8"/>
  <c r="HG37" i="8"/>
  <c r="GT37" i="8"/>
  <c r="HH37" i="8"/>
  <c r="GU37" i="8"/>
  <c r="GZ37" i="8"/>
  <c r="HI37" i="8"/>
  <c r="HO37" i="8"/>
  <c r="HN37" i="8"/>
  <c r="X37" i="8" s="1"/>
  <c r="HM38" i="8"/>
  <c r="DQ38" i="8"/>
  <c r="GB38" i="8"/>
  <c r="FZ38" i="8"/>
  <c r="FY38" i="8"/>
  <c r="FQ38" i="8"/>
  <c r="GJ38" i="8"/>
  <c r="FT38" i="8"/>
  <c r="GO38" i="8"/>
  <c r="GH38" i="8"/>
  <c r="FR38" i="8"/>
  <c r="GI38" i="8"/>
  <c r="GF38" i="8"/>
  <c r="GE38" i="8"/>
  <c r="GC38" i="8"/>
  <c r="FW38" i="8"/>
  <c r="GL38" i="8"/>
  <c r="EG38" i="8"/>
  <c r="GG38" i="8"/>
  <c r="EE38" i="8"/>
  <c r="GD38" i="8"/>
  <c r="ED38" i="8"/>
  <c r="FX38" i="8"/>
  <c r="EB38" i="8"/>
  <c r="FV38" i="8"/>
  <c r="FS38" i="8"/>
  <c r="DU38" i="8"/>
  <c r="GK38" i="8"/>
  <c r="DS38" i="8"/>
  <c r="GA38" i="8"/>
  <c r="EL38" i="8"/>
  <c r="DR38" i="8"/>
  <c r="EJ38" i="8"/>
  <c r="EI38" i="8"/>
  <c r="EF38" i="8"/>
  <c r="EA38" i="8"/>
  <c r="DZ38" i="8"/>
  <c r="DX38" i="8"/>
  <c r="DW38" i="8"/>
  <c r="ET38" i="8"/>
  <c r="EK38" i="8"/>
  <c r="EH38" i="8"/>
  <c r="FU38" i="8"/>
  <c r="EC38" i="8"/>
  <c r="DY38" i="8"/>
  <c r="CT38" i="8"/>
  <c r="DV38" i="8"/>
  <c r="BQ38" i="8"/>
  <c r="DT38" i="8"/>
  <c r="AT38" i="8"/>
  <c r="CC38" i="8"/>
  <c r="CD38" i="8"/>
  <c r="CF38" i="8"/>
  <c r="BZ38" i="8"/>
  <c r="BW38" i="8"/>
  <c r="BX38" i="8"/>
  <c r="BY38" i="8"/>
  <c r="CA38" i="8"/>
  <c r="CB38" i="8"/>
  <c r="CI38" i="8"/>
  <c r="CE38" i="8"/>
  <c r="BR38" i="8"/>
  <c r="CG38" i="8"/>
  <c r="BS38" i="8"/>
  <c r="CH38" i="8"/>
  <c r="CL38" i="8"/>
  <c r="CJ38" i="8"/>
  <c r="CK38" i="8"/>
  <c r="BT38" i="8"/>
  <c r="BU38" i="8"/>
  <c r="BV38" i="8"/>
  <c r="AN39" i="8"/>
  <c r="CO38" i="8" a="1"/>
  <c r="CO38" i="8" s="1"/>
  <c r="CQ38" i="8"/>
  <c r="AQ38" i="8"/>
  <c r="AR38" i="8"/>
  <c r="CP38" i="8"/>
  <c r="AO38" i="8" a="1"/>
  <c r="AO38" i="8" s="1"/>
  <c r="EQ38" i="8"/>
  <c r="AP38" i="8"/>
  <c r="CR38" i="8"/>
  <c r="EO38" i="8" a="1"/>
  <c r="EO38" i="8" s="1"/>
  <c r="ER38" i="8"/>
  <c r="EP38" i="8"/>
  <c r="AF38" i="8"/>
  <c r="AJ37" i="8" a="1"/>
  <c r="AJ37" i="8" s="1"/>
  <c r="AC38" i="8"/>
  <c r="AB38" i="8"/>
  <c r="AA38" i="8"/>
  <c r="Y38" i="8"/>
  <c r="V39" i="8"/>
  <c r="AH39" i="8" s="1"/>
  <c r="W38" i="8"/>
  <c r="AI38" i="8"/>
  <c r="Z38" i="8" a="1"/>
  <c r="Z38" i="8" s="1"/>
  <c r="AK38" i="8"/>
  <c r="AG38" i="8"/>
  <c r="FD39" i="8" l="1"/>
  <c r="FI39" i="8"/>
  <c r="EV39" i="8"/>
  <c r="FL39" i="8"/>
  <c r="EW39" i="8"/>
  <c r="FM39" i="8"/>
  <c r="EZ39" i="8"/>
  <c r="FH39" i="8"/>
  <c r="FJ39" i="8"/>
  <c r="DG39" i="8"/>
  <c r="EU39" i="8"/>
  <c r="EX39" i="8"/>
  <c r="FA39" i="8"/>
  <c r="CZ39" i="8"/>
  <c r="EY39" i="8"/>
  <c r="DD39" i="8"/>
  <c r="FC39" i="8"/>
  <c r="DF39" i="8"/>
  <c r="FF39" i="8"/>
  <c r="FK39" i="8"/>
  <c r="CX39" i="8"/>
  <c r="DA39" i="8"/>
  <c r="DC39" i="8"/>
  <c r="FE39" i="8"/>
  <c r="FG39" i="8"/>
  <c r="DK39" i="8"/>
  <c r="BJ39" i="8"/>
  <c r="FN39" i="8"/>
  <c r="DL39" i="8"/>
  <c r="FO39" i="8"/>
  <c r="AY39" i="8"/>
  <c r="BO39" i="8"/>
  <c r="AZ39" i="8"/>
  <c r="CU39" i="8"/>
  <c r="BA39" i="8"/>
  <c r="CV39" i="8"/>
  <c r="BB39" i="8"/>
  <c r="CW39" i="8"/>
  <c r="BC39" i="8"/>
  <c r="DE39" i="8"/>
  <c r="BF39" i="8"/>
  <c r="DH39" i="8"/>
  <c r="BG39" i="8"/>
  <c r="FB39" i="8"/>
  <c r="DI39" i="8"/>
  <c r="BH39" i="8"/>
  <c r="DM39" i="8"/>
  <c r="DO39" i="8"/>
  <c r="BN39" i="8"/>
  <c r="AU39" i="8"/>
  <c r="AW39" i="8"/>
  <c r="AV39" i="8"/>
  <c r="BL39" i="8"/>
  <c r="BM39" i="8"/>
  <c r="DN39" i="8"/>
  <c r="AX39" i="8"/>
  <c r="BD39" i="8"/>
  <c r="DJ39" i="8"/>
  <c r="BE39" i="8"/>
  <c r="CY39" i="8"/>
  <c r="BI39" i="8"/>
  <c r="DB39" i="8"/>
  <c r="BK39" i="8"/>
  <c r="GW38" i="8"/>
  <c r="HE38" i="8"/>
  <c r="GP38" i="8"/>
  <c r="GX38" i="8"/>
  <c r="HF38" i="8"/>
  <c r="GS38" i="8"/>
  <c r="HA38" i="8"/>
  <c r="HI38" i="8"/>
  <c r="GQ38" i="8"/>
  <c r="HC38" i="8"/>
  <c r="GT38" i="8"/>
  <c r="HG38" i="8"/>
  <c r="GU38" i="8"/>
  <c r="HH38" i="8"/>
  <c r="HJ38" i="8"/>
  <c r="GV38" i="8"/>
  <c r="GY38" i="8"/>
  <c r="GZ38" i="8"/>
  <c r="HD38" i="8"/>
  <c r="GR38" i="8"/>
  <c r="HB38" i="8"/>
  <c r="HN38" i="8"/>
  <c r="X38" i="8" s="1"/>
  <c r="HO38" i="8"/>
  <c r="HM39" i="8"/>
  <c r="FW39" i="8"/>
  <c r="GK39" i="8"/>
  <c r="FU39" i="8"/>
  <c r="GJ39" i="8"/>
  <c r="FT39" i="8"/>
  <c r="GE39" i="8"/>
  <c r="GO39" i="8"/>
  <c r="GC39" i="8"/>
  <c r="GL39" i="8"/>
  <c r="DW39" i="8"/>
  <c r="GH39" i="8"/>
  <c r="EK39" i="8"/>
  <c r="DU39" i="8"/>
  <c r="GG39" i="8"/>
  <c r="GD39" i="8"/>
  <c r="FZ39" i="8"/>
  <c r="ED39" i="8"/>
  <c r="EB39" i="8"/>
  <c r="EA39" i="8"/>
  <c r="DY39" i="8"/>
  <c r="DQ39" i="8"/>
  <c r="GF39" i="8"/>
  <c r="FQ39" i="8"/>
  <c r="GA39" i="8"/>
  <c r="FS39" i="8"/>
  <c r="DT39" i="8"/>
  <c r="DR39" i="8"/>
  <c r="EL39" i="8"/>
  <c r="EJ39" i="8"/>
  <c r="BQ39" i="8"/>
  <c r="EH39" i="8"/>
  <c r="EF39" i="8"/>
  <c r="GI39" i="8"/>
  <c r="EE39" i="8"/>
  <c r="FY39" i="8"/>
  <c r="DZ39" i="8"/>
  <c r="FX39" i="8"/>
  <c r="DX39" i="8"/>
  <c r="GB39" i="8"/>
  <c r="DS39" i="8"/>
  <c r="FV39" i="8"/>
  <c r="FR39" i="8"/>
  <c r="DV39" i="8"/>
  <c r="CT39" i="8"/>
  <c r="AT39" i="8"/>
  <c r="EI39" i="8"/>
  <c r="EG39" i="8"/>
  <c r="EC39" i="8"/>
  <c r="ET39" i="8"/>
  <c r="BX39" i="8"/>
  <c r="BY39" i="8"/>
  <c r="CA39" i="8"/>
  <c r="BU39" i="8"/>
  <c r="CK39" i="8"/>
  <c r="BW39" i="8"/>
  <c r="CB39" i="8"/>
  <c r="CC39" i="8"/>
  <c r="BZ39" i="8"/>
  <c r="CD39" i="8"/>
  <c r="CE39" i="8"/>
  <c r="BS39" i="8"/>
  <c r="CF39" i="8"/>
  <c r="CH39" i="8"/>
  <c r="CL39" i="8"/>
  <c r="CG39" i="8"/>
  <c r="CJ39" i="8"/>
  <c r="CI39" i="8"/>
  <c r="BR39" i="8"/>
  <c r="BT39" i="8"/>
  <c r="BV39" i="8"/>
  <c r="AN40" i="8"/>
  <c r="AP39" i="8"/>
  <c r="CQ39" i="8"/>
  <c r="AO39" i="8" a="1"/>
  <c r="AO39" i="8" s="1"/>
  <c r="AQ39" i="8"/>
  <c r="EQ39" i="8"/>
  <c r="EP39" i="8"/>
  <c r="CO39" i="8" a="1"/>
  <c r="CO39" i="8" s="1"/>
  <c r="AR39" i="8"/>
  <c r="CP39" i="8"/>
  <c r="EO39" i="8" a="1"/>
  <c r="EO39" i="8" s="1"/>
  <c r="CR39" i="8"/>
  <c r="ER39" i="8"/>
  <c r="Z39" i="8" a="1"/>
  <c r="Z39" i="8" s="1"/>
  <c r="Y39" i="8"/>
  <c r="V40" i="8"/>
  <c r="AH40" i="8" s="1"/>
  <c r="W39" i="8"/>
  <c r="AI39" i="8"/>
  <c r="AG39" i="8"/>
  <c r="AC39" i="8"/>
  <c r="AB39" i="8"/>
  <c r="AK39" i="8"/>
  <c r="AA39" i="8"/>
  <c r="AJ38" i="8" a="1"/>
  <c r="AJ38" i="8" s="1"/>
  <c r="AF39" i="8"/>
  <c r="EY40" i="8" l="1"/>
  <c r="FO40" i="8"/>
  <c r="FD40" i="8"/>
  <c r="FG40" i="8"/>
  <c r="FH40" i="8"/>
  <c r="EU40" i="8"/>
  <c r="FK40" i="8"/>
  <c r="FL40" i="8"/>
  <c r="FM40" i="8"/>
  <c r="DB40" i="8"/>
  <c r="EX40" i="8"/>
  <c r="EZ40" i="8"/>
  <c r="FB40" i="8"/>
  <c r="FC40" i="8"/>
  <c r="CV40" i="8"/>
  <c r="DM40" i="8"/>
  <c r="FJ40" i="8"/>
  <c r="CZ40" i="8"/>
  <c r="DC40" i="8"/>
  <c r="EV40" i="8"/>
  <c r="CX40" i="8"/>
  <c r="FA40" i="8"/>
  <c r="DA40" i="8"/>
  <c r="FF40" i="8"/>
  <c r="DE40" i="8"/>
  <c r="DN40" i="8"/>
  <c r="BE40" i="8"/>
  <c r="DO40" i="8"/>
  <c r="EW40" i="8"/>
  <c r="FE40" i="8"/>
  <c r="FI40" i="8"/>
  <c r="CU40" i="8"/>
  <c r="BJ40" i="8"/>
  <c r="FN40" i="8"/>
  <c r="CW40" i="8"/>
  <c r="AU40" i="8"/>
  <c r="BK40" i="8"/>
  <c r="AV40" i="8"/>
  <c r="CY40" i="8"/>
  <c r="BL40" i="8"/>
  <c r="DD40" i="8"/>
  <c r="AW40" i="8"/>
  <c r="BM40" i="8"/>
  <c r="DF40" i="8"/>
  <c r="AX40" i="8"/>
  <c r="BN40" i="8"/>
  <c r="DI40" i="8"/>
  <c r="BA40" i="8"/>
  <c r="DJ40" i="8"/>
  <c r="BB40" i="8"/>
  <c r="DK40" i="8"/>
  <c r="BC40" i="8"/>
  <c r="AY40" i="8"/>
  <c r="BD40" i="8"/>
  <c r="BO40" i="8"/>
  <c r="DG40" i="8"/>
  <c r="AZ40" i="8"/>
  <c r="DH40" i="8"/>
  <c r="BI40" i="8"/>
  <c r="DL40" i="8"/>
  <c r="BF40" i="8"/>
  <c r="BG40" i="8"/>
  <c r="BH40" i="8"/>
  <c r="HO39" i="8"/>
  <c r="HN39" i="8"/>
  <c r="X39" i="8" s="1"/>
  <c r="GR39" i="8"/>
  <c r="GZ39" i="8"/>
  <c r="HH39" i="8"/>
  <c r="GS39" i="8"/>
  <c r="HA39" i="8"/>
  <c r="HI39" i="8"/>
  <c r="GV39" i="8"/>
  <c r="HD39" i="8"/>
  <c r="GU39" i="8"/>
  <c r="HG39" i="8"/>
  <c r="GX39" i="8"/>
  <c r="GY39" i="8"/>
  <c r="HB39" i="8"/>
  <c r="GP39" i="8"/>
  <c r="HC39" i="8"/>
  <c r="GQ39" i="8"/>
  <c r="HE39" i="8"/>
  <c r="GT39" i="8"/>
  <c r="HF39" i="8"/>
  <c r="GW39" i="8"/>
  <c r="HJ39" i="8"/>
  <c r="HM40" i="8"/>
  <c r="GI40" i="8"/>
  <c r="FS40" i="8"/>
  <c r="GH40" i="8"/>
  <c r="FR40" i="8"/>
  <c r="DQ40" i="8"/>
  <c r="GF40" i="8"/>
  <c r="GE40" i="8"/>
  <c r="GO40" i="8"/>
  <c r="FZ40" i="8"/>
  <c r="FQ40" i="8"/>
  <c r="FX40" i="8"/>
  <c r="EH40" i="8"/>
  <c r="DR40" i="8"/>
  <c r="EF40" i="8"/>
  <c r="GL40" i="8"/>
  <c r="GJ40" i="8"/>
  <c r="GC40" i="8"/>
  <c r="GB40" i="8"/>
  <c r="EA40" i="8"/>
  <c r="FY40" i="8"/>
  <c r="DY40" i="8"/>
  <c r="FW40" i="8"/>
  <c r="DX40" i="8"/>
  <c r="FU40" i="8"/>
  <c r="DV40" i="8"/>
  <c r="FT40" i="8"/>
  <c r="DZ40" i="8"/>
  <c r="DU40" i="8"/>
  <c r="DT40" i="8"/>
  <c r="ET40" i="8"/>
  <c r="BQ40" i="8"/>
  <c r="GK40" i="8"/>
  <c r="GD40" i="8"/>
  <c r="EK40" i="8"/>
  <c r="FV40" i="8"/>
  <c r="EI40" i="8"/>
  <c r="EG40" i="8"/>
  <c r="ED40" i="8"/>
  <c r="EC40" i="8"/>
  <c r="AT40" i="8"/>
  <c r="CT40" i="8"/>
  <c r="EL40" i="8"/>
  <c r="EJ40" i="8"/>
  <c r="EE40" i="8"/>
  <c r="EB40" i="8"/>
  <c r="DW40" i="8"/>
  <c r="DS40" i="8"/>
  <c r="GA40" i="8"/>
  <c r="GG40" i="8"/>
  <c r="BS40" i="8"/>
  <c r="CI40" i="8"/>
  <c r="BT40" i="8"/>
  <c r="CJ40" i="8"/>
  <c r="BV40" i="8"/>
  <c r="CL40" i="8"/>
  <c r="CF40" i="8"/>
  <c r="BY40" i="8"/>
  <c r="BZ40" i="8"/>
  <c r="CA40" i="8"/>
  <c r="CB40" i="8"/>
  <c r="CC40" i="8"/>
  <c r="BR40" i="8"/>
  <c r="CD40" i="8"/>
  <c r="CE40" i="8"/>
  <c r="CG40" i="8"/>
  <c r="BU40" i="8"/>
  <c r="CH40" i="8"/>
  <c r="CK40" i="8"/>
  <c r="BW40" i="8"/>
  <c r="BX40" i="8"/>
  <c r="AN41" i="8"/>
  <c r="EQ40" i="8"/>
  <c r="CR40" i="8"/>
  <c r="AP40" i="8"/>
  <c r="AO40" i="8" a="1"/>
  <c r="AO40" i="8" s="1"/>
  <c r="CQ40" i="8"/>
  <c r="EP40" i="8"/>
  <c r="CO40" i="8" a="1"/>
  <c r="CO40" i="8" s="1"/>
  <c r="AR40" i="8"/>
  <c r="EO40" i="8" a="1"/>
  <c r="EO40" i="8" s="1"/>
  <c r="CP40" i="8"/>
  <c r="AQ40" i="8"/>
  <c r="ER40" i="8"/>
  <c r="AK40" i="8"/>
  <c r="W40" i="8"/>
  <c r="AI40" i="8"/>
  <c r="AG40" i="8"/>
  <c r="AB40" i="8"/>
  <c r="AA40" i="8"/>
  <c r="Z40" i="8" a="1"/>
  <c r="Z40" i="8" s="1"/>
  <c r="Y40" i="8"/>
  <c r="AC40" i="8"/>
  <c r="V41" i="8"/>
  <c r="AH41" i="8" s="1"/>
  <c r="AJ39" i="8" a="1"/>
  <c r="AJ39" i="8" s="1"/>
  <c r="AF40" i="8"/>
  <c r="FJ41" i="8" l="1"/>
  <c r="EY41" i="8"/>
  <c r="FO41" i="8"/>
  <c r="FB41" i="8"/>
  <c r="FC41" i="8"/>
  <c r="FF41" i="8"/>
  <c r="FM41" i="8"/>
  <c r="FN41" i="8"/>
  <c r="CW41" i="8"/>
  <c r="DM41" i="8"/>
  <c r="EZ41" i="8"/>
  <c r="FA41" i="8"/>
  <c r="FE41" i="8"/>
  <c r="DI41" i="8"/>
  <c r="CV41" i="8"/>
  <c r="DN41" i="8"/>
  <c r="EU41" i="8"/>
  <c r="CY41" i="8"/>
  <c r="EW41" i="8"/>
  <c r="FK41" i="8"/>
  <c r="CZ41" i="8"/>
  <c r="DB41" i="8"/>
  <c r="DD41" i="8"/>
  <c r="FH41" i="8"/>
  <c r="AZ41" i="8"/>
  <c r="DC41" i="8"/>
  <c r="BE41" i="8"/>
  <c r="BG41" i="8"/>
  <c r="DE41" i="8"/>
  <c r="BF41" i="8"/>
  <c r="EV41" i="8"/>
  <c r="DF41" i="8"/>
  <c r="EX41" i="8"/>
  <c r="DG41" i="8"/>
  <c r="BH41" i="8"/>
  <c r="FG41" i="8"/>
  <c r="FD41" i="8"/>
  <c r="DH41" i="8"/>
  <c r="BI41" i="8"/>
  <c r="FI41" i="8"/>
  <c r="FL41" i="8"/>
  <c r="DL41" i="8"/>
  <c r="AV41" i="8"/>
  <c r="BL41" i="8"/>
  <c r="DO41" i="8"/>
  <c r="AW41" i="8"/>
  <c r="BM41" i="8"/>
  <c r="AX41" i="8"/>
  <c r="BN41" i="8"/>
  <c r="BO41" i="8"/>
  <c r="DA41" i="8"/>
  <c r="BJ41" i="8"/>
  <c r="DJ41" i="8"/>
  <c r="BK41" i="8"/>
  <c r="CU41" i="8"/>
  <c r="CX41" i="8"/>
  <c r="DK41" i="8"/>
  <c r="AU41" i="8"/>
  <c r="AY41" i="8"/>
  <c r="BD41" i="8"/>
  <c r="BA41" i="8"/>
  <c r="BB41" i="8"/>
  <c r="BC41" i="8"/>
  <c r="HN40" i="8"/>
  <c r="X40" i="8" s="1"/>
  <c r="HO40" i="8"/>
  <c r="GU40" i="8"/>
  <c r="HC40" i="8"/>
  <c r="GV40" i="8"/>
  <c r="HD40" i="8"/>
  <c r="GQ40" i="8"/>
  <c r="GY40" i="8"/>
  <c r="HG40" i="8"/>
  <c r="GZ40" i="8"/>
  <c r="GP40" i="8"/>
  <c r="HB40" i="8"/>
  <c r="GR40" i="8"/>
  <c r="HE40" i="8"/>
  <c r="HF40" i="8"/>
  <c r="GS40" i="8"/>
  <c r="GT40" i="8"/>
  <c r="HH40" i="8"/>
  <c r="GW40" i="8"/>
  <c r="HI40" i="8"/>
  <c r="GX40" i="8"/>
  <c r="HA40" i="8"/>
  <c r="HJ40" i="8"/>
  <c r="HM41" i="8"/>
  <c r="GD41" i="8"/>
  <c r="GC41" i="8"/>
  <c r="GA41" i="8"/>
  <c r="DQ41" i="8"/>
  <c r="FZ41" i="8"/>
  <c r="GK41" i="8"/>
  <c r="FU41" i="8"/>
  <c r="GI41" i="8"/>
  <c r="FS41" i="8"/>
  <c r="FV41" i="8"/>
  <c r="EC41" i="8"/>
  <c r="FQ41" i="8"/>
  <c r="FR41" i="8"/>
  <c r="EA41" i="8"/>
  <c r="GL41" i="8"/>
  <c r="GH41" i="8"/>
  <c r="DX41" i="8"/>
  <c r="GO41" i="8"/>
  <c r="DV41" i="8"/>
  <c r="DU41" i="8"/>
  <c r="GG41" i="8"/>
  <c r="EK41" i="8"/>
  <c r="DS41" i="8"/>
  <c r="GF41" i="8"/>
  <c r="GB41" i="8"/>
  <c r="FX41" i="8"/>
  <c r="ED41" i="8"/>
  <c r="GE41" i="8"/>
  <c r="DZ41" i="8"/>
  <c r="FY41" i="8"/>
  <c r="DY41" i="8"/>
  <c r="FT41" i="8"/>
  <c r="DT41" i="8"/>
  <c r="DR41" i="8"/>
  <c r="EJ41" i="8"/>
  <c r="EI41" i="8"/>
  <c r="EG41" i="8"/>
  <c r="EF41" i="8"/>
  <c r="EL41" i="8"/>
  <c r="EH41" i="8"/>
  <c r="CT41" i="8"/>
  <c r="EE41" i="8"/>
  <c r="EB41" i="8"/>
  <c r="DW41" i="8"/>
  <c r="GJ41" i="8"/>
  <c r="BQ41" i="8"/>
  <c r="FW41" i="8"/>
  <c r="AT41" i="8"/>
  <c r="ET41" i="8"/>
  <c r="CD41" i="8"/>
  <c r="CE41" i="8"/>
  <c r="CG41" i="8"/>
  <c r="CA41" i="8"/>
  <c r="BX41" i="8"/>
  <c r="BZ41" i="8"/>
  <c r="CB41" i="8"/>
  <c r="BY41" i="8"/>
  <c r="CC41" i="8"/>
  <c r="CF41" i="8"/>
  <c r="CL41" i="8"/>
  <c r="BT41" i="8"/>
  <c r="CH41" i="8"/>
  <c r="CI41" i="8"/>
  <c r="CJ41" i="8"/>
  <c r="BR41" i="8"/>
  <c r="BU41" i="8"/>
  <c r="CK41" i="8"/>
  <c r="BS41" i="8"/>
  <c r="BV41" i="8"/>
  <c r="BW41" i="8"/>
  <c r="AN42" i="8"/>
  <c r="EQ41" i="8"/>
  <c r="CR41" i="8"/>
  <c r="AP41" i="8"/>
  <c r="CO41" i="8" a="1"/>
  <c r="CO41" i="8" s="1"/>
  <c r="ER41" i="8"/>
  <c r="AO41" i="8" a="1"/>
  <c r="AO41" i="8" s="1"/>
  <c r="CP41" i="8"/>
  <c r="EP41" i="8"/>
  <c r="AR41" i="8"/>
  <c r="AQ41" i="8"/>
  <c r="CQ41" i="8"/>
  <c r="EO41" i="8" a="1"/>
  <c r="EO41" i="8" s="1"/>
  <c r="AJ40" i="8" a="1"/>
  <c r="AJ40" i="8" s="1"/>
  <c r="AF41" i="8"/>
  <c r="AG41" i="8"/>
  <c r="AB41" i="8"/>
  <c r="AA41" i="8"/>
  <c r="Y41" i="8"/>
  <c r="V42" i="8"/>
  <c r="AH42" i="8" s="1"/>
  <c r="W41" i="8"/>
  <c r="AK41" i="8"/>
  <c r="AI41" i="8"/>
  <c r="AC41" i="8"/>
  <c r="Z41" i="8" a="1"/>
  <c r="Z41" i="8" s="1"/>
  <c r="FE42" i="8" l="1"/>
  <c r="FJ42" i="8"/>
  <c r="EW42" i="8"/>
  <c r="FM42" i="8"/>
  <c r="EX42" i="8"/>
  <c r="FN42" i="8"/>
  <c r="FA42" i="8"/>
  <c r="DH42" i="8"/>
  <c r="FC42" i="8"/>
  <c r="FD42" i="8"/>
  <c r="FG42" i="8"/>
  <c r="EU42" i="8"/>
  <c r="DE42" i="8"/>
  <c r="FB42" i="8"/>
  <c r="DJ42" i="8"/>
  <c r="FH42" i="8"/>
  <c r="CU42" i="8"/>
  <c r="DL42" i="8"/>
  <c r="FK42" i="8"/>
  <c r="EY42" i="8"/>
  <c r="CY42" i="8"/>
  <c r="FF42" i="8"/>
  <c r="DA42" i="8"/>
  <c r="FL42" i="8"/>
  <c r="DC42" i="8"/>
  <c r="FO42" i="8"/>
  <c r="CX42" i="8"/>
  <c r="AU42" i="8"/>
  <c r="BK42" i="8"/>
  <c r="CZ42" i="8"/>
  <c r="DG42" i="8"/>
  <c r="AZ42" i="8"/>
  <c r="DI42" i="8"/>
  <c r="BA42" i="8"/>
  <c r="DK42" i="8"/>
  <c r="BB42" i="8"/>
  <c r="DM42" i="8"/>
  <c r="BC42" i="8"/>
  <c r="DN42" i="8"/>
  <c r="BD42" i="8"/>
  <c r="BG42" i="8"/>
  <c r="EV42" i="8"/>
  <c r="BH42" i="8"/>
  <c r="FI42" i="8"/>
  <c r="EZ42" i="8"/>
  <c r="CV42" i="8"/>
  <c r="BI42" i="8"/>
  <c r="AV42" i="8"/>
  <c r="AW42" i="8"/>
  <c r="BJ42" i="8"/>
  <c r="DO42" i="8"/>
  <c r="AX42" i="8"/>
  <c r="AY42" i="8"/>
  <c r="BE42" i="8"/>
  <c r="BF42" i="8"/>
  <c r="BL42" i="8"/>
  <c r="CW42" i="8"/>
  <c r="BM42" i="8"/>
  <c r="DB42" i="8"/>
  <c r="BN42" i="8"/>
  <c r="DD42" i="8"/>
  <c r="BO42" i="8"/>
  <c r="DF42" i="8"/>
  <c r="HO41" i="8"/>
  <c r="HN41" i="8"/>
  <c r="X41" i="8" s="1"/>
  <c r="GP41" i="8"/>
  <c r="GX41" i="8"/>
  <c r="HF41" i="8"/>
  <c r="GQ41" i="8"/>
  <c r="GY41" i="8"/>
  <c r="HG41" i="8"/>
  <c r="GT41" i="8"/>
  <c r="HB41" i="8"/>
  <c r="HJ41" i="8"/>
  <c r="GR41" i="8"/>
  <c r="HD41" i="8"/>
  <c r="GU41" i="8"/>
  <c r="HH41" i="8"/>
  <c r="GV41" i="8"/>
  <c r="HI41" i="8"/>
  <c r="GW41" i="8"/>
  <c r="GZ41" i="8"/>
  <c r="HA41" i="8"/>
  <c r="GS41" i="8"/>
  <c r="HC41" i="8"/>
  <c r="HE41" i="8"/>
  <c r="HM42" i="8"/>
  <c r="FY42" i="8"/>
  <c r="FX42" i="8"/>
  <c r="GL42" i="8"/>
  <c r="FV42" i="8"/>
  <c r="GK42" i="8"/>
  <c r="FU42" i="8"/>
  <c r="GF42" i="8"/>
  <c r="GD42" i="8"/>
  <c r="GA42" i="8"/>
  <c r="DX42" i="8"/>
  <c r="FW42" i="8"/>
  <c r="EL42" i="8"/>
  <c r="DV42" i="8"/>
  <c r="FQ42" i="8"/>
  <c r="FT42" i="8"/>
  <c r="FR42" i="8"/>
  <c r="GC42" i="8"/>
  <c r="DU42" i="8"/>
  <c r="FZ42" i="8"/>
  <c r="EK42" i="8"/>
  <c r="DS42" i="8"/>
  <c r="FS42" i="8"/>
  <c r="EJ42" i="8"/>
  <c r="DR42" i="8"/>
  <c r="EH42" i="8"/>
  <c r="GB42" i="8"/>
  <c r="EE42" i="8"/>
  <c r="EC42" i="8"/>
  <c r="EB42" i="8"/>
  <c r="ET42" i="8"/>
  <c r="BQ42" i="8"/>
  <c r="DZ42" i="8"/>
  <c r="DY42" i="8"/>
  <c r="DT42" i="8"/>
  <c r="GJ42" i="8"/>
  <c r="GH42" i="8"/>
  <c r="EI42" i="8"/>
  <c r="GG42" i="8"/>
  <c r="EG42" i="8"/>
  <c r="DW42" i="8"/>
  <c r="CT42" i="8"/>
  <c r="DQ42" i="8"/>
  <c r="GO42" i="8"/>
  <c r="GI42" i="8"/>
  <c r="GE42" i="8"/>
  <c r="EA42" i="8"/>
  <c r="EF42" i="8"/>
  <c r="ED42" i="8"/>
  <c r="AT42" i="8"/>
  <c r="BY42" i="8"/>
  <c r="BZ42" i="8"/>
  <c r="CB42" i="8"/>
  <c r="BV42" i="8"/>
  <c r="CL42" i="8"/>
  <c r="BX42" i="8"/>
  <c r="CA42" i="8"/>
  <c r="CC42" i="8"/>
  <c r="CD42" i="8"/>
  <c r="CE42" i="8"/>
  <c r="CF42" i="8"/>
  <c r="BT42" i="8"/>
  <c r="CG42" i="8"/>
  <c r="CI42" i="8"/>
  <c r="CH42" i="8"/>
  <c r="CK42" i="8"/>
  <c r="BR42" i="8"/>
  <c r="CJ42" i="8"/>
  <c r="BS42" i="8"/>
  <c r="BU42" i="8"/>
  <c r="BW42" i="8"/>
  <c r="AN43" i="8"/>
  <c r="EP42" i="8"/>
  <c r="CP42" i="8"/>
  <c r="CR42" i="8"/>
  <c r="CO42" i="8" a="1"/>
  <c r="CO42" i="8" s="1"/>
  <c r="ER42" i="8"/>
  <c r="AQ42" i="8"/>
  <c r="CQ42" i="8"/>
  <c r="AO42" i="8" a="1"/>
  <c r="AO42" i="8" s="1"/>
  <c r="AR42" i="8"/>
  <c r="EQ42" i="8"/>
  <c r="EO42" i="8" a="1"/>
  <c r="EO42" i="8" s="1"/>
  <c r="AP42" i="8"/>
  <c r="AC42" i="8"/>
  <c r="AB42" i="8"/>
  <c r="AA42" i="8"/>
  <c r="Y42" i="8"/>
  <c r="V43" i="8"/>
  <c r="AH43" i="8" s="1"/>
  <c r="W42" i="8"/>
  <c r="AI42" i="8"/>
  <c r="AG42" i="8"/>
  <c r="Z42" i="8" a="1"/>
  <c r="Z42" i="8" s="1"/>
  <c r="AK42" i="8"/>
  <c r="AF42" i="8"/>
  <c r="AJ41" i="8" a="1"/>
  <c r="AJ41" i="8" s="1"/>
  <c r="EZ43" i="8" l="1"/>
  <c r="FE43" i="8"/>
  <c r="FH43" i="8"/>
  <c r="FI43" i="8"/>
  <c r="EV43" i="8"/>
  <c r="FL43" i="8"/>
  <c r="EU43" i="8"/>
  <c r="EW43" i="8"/>
  <c r="DC43" i="8"/>
  <c r="FD43" i="8"/>
  <c r="FF43" i="8"/>
  <c r="FJ43" i="8"/>
  <c r="FG43" i="8"/>
  <c r="DA43" i="8"/>
  <c r="FO43" i="8"/>
  <c r="DF43" i="8"/>
  <c r="DH43" i="8"/>
  <c r="FN43" i="8"/>
  <c r="CX43" i="8"/>
  <c r="CZ43" i="8"/>
  <c r="DD43" i="8"/>
  <c r="FK43" i="8"/>
  <c r="DE43" i="8"/>
  <c r="BF43" i="8"/>
  <c r="EX43" i="8"/>
  <c r="DG43" i="8"/>
  <c r="EY43" i="8"/>
  <c r="FA43" i="8"/>
  <c r="FB43" i="8"/>
  <c r="FC43" i="8"/>
  <c r="DL43" i="8"/>
  <c r="AU43" i="8"/>
  <c r="BK43" i="8"/>
  <c r="FM43" i="8"/>
  <c r="DM43" i="8"/>
  <c r="AV43" i="8"/>
  <c r="BL43" i="8"/>
  <c r="BM43" i="8"/>
  <c r="DN43" i="8"/>
  <c r="AW43" i="8"/>
  <c r="DO43" i="8"/>
  <c r="AX43" i="8"/>
  <c r="BN43" i="8"/>
  <c r="AY43" i="8"/>
  <c r="BO43" i="8"/>
  <c r="CV43" i="8"/>
  <c r="BB43" i="8"/>
  <c r="CW43" i="8"/>
  <c r="BC43" i="8"/>
  <c r="CY43" i="8"/>
  <c r="BD43" i="8"/>
  <c r="DI43" i="8"/>
  <c r="BH43" i="8"/>
  <c r="DJ43" i="8"/>
  <c r="BI43" i="8"/>
  <c r="DK43" i="8"/>
  <c r="BJ43" i="8"/>
  <c r="BA43" i="8"/>
  <c r="BE43" i="8"/>
  <c r="CU43" i="8"/>
  <c r="DB43" i="8"/>
  <c r="BG43" i="8"/>
  <c r="AZ43" i="8"/>
  <c r="HO42" i="8"/>
  <c r="HN42" i="8"/>
  <c r="X42" i="8" s="1"/>
  <c r="GS42" i="8"/>
  <c r="HA42" i="8"/>
  <c r="HI42" i="8"/>
  <c r="GT42" i="8"/>
  <c r="HB42" i="8"/>
  <c r="HJ42" i="8"/>
  <c r="GW42" i="8"/>
  <c r="HE42" i="8"/>
  <c r="GV42" i="8"/>
  <c r="HH42" i="8"/>
  <c r="GY42" i="8"/>
  <c r="GZ42" i="8"/>
  <c r="HC42" i="8"/>
  <c r="GP42" i="8"/>
  <c r="GQ42" i="8"/>
  <c r="HD42" i="8"/>
  <c r="GR42" i="8"/>
  <c r="HF42" i="8"/>
  <c r="GX42" i="8"/>
  <c r="HG42" i="8"/>
  <c r="GU42" i="8"/>
  <c r="HM43" i="8"/>
  <c r="GJ43" i="8"/>
  <c r="FT43" i="8"/>
  <c r="GI43" i="8"/>
  <c r="FS43" i="8"/>
  <c r="GG43" i="8"/>
  <c r="GF43" i="8"/>
  <c r="GA43" i="8"/>
  <c r="FY43" i="8"/>
  <c r="GD43" i="8"/>
  <c r="EI43" i="8"/>
  <c r="DS43" i="8"/>
  <c r="GB43" i="8"/>
  <c r="EG43" i="8"/>
  <c r="FZ43" i="8"/>
  <c r="FW43" i="8"/>
  <c r="FV43" i="8"/>
  <c r="FR43" i="8"/>
  <c r="GO43" i="8"/>
  <c r="EL43" i="8"/>
  <c r="DT43" i="8"/>
  <c r="EJ43" i="8"/>
  <c r="EH43" i="8"/>
  <c r="GK43" i="8"/>
  <c r="EE43" i="8"/>
  <c r="GH43" i="8"/>
  <c r="GC43" i="8"/>
  <c r="DQ43" i="8"/>
  <c r="FU43" i="8"/>
  <c r="EK43" i="8"/>
  <c r="ED43" i="8"/>
  <c r="ET43" i="8"/>
  <c r="BQ43" i="8"/>
  <c r="EC43" i="8"/>
  <c r="EA43" i="8"/>
  <c r="DZ43" i="8"/>
  <c r="GL43" i="8"/>
  <c r="DX43" i="8"/>
  <c r="FX43" i="8"/>
  <c r="DV43" i="8"/>
  <c r="CT43" i="8"/>
  <c r="DU43" i="8"/>
  <c r="AT43" i="8"/>
  <c r="FQ43" i="8"/>
  <c r="EF43" i="8"/>
  <c r="GE43" i="8"/>
  <c r="EB43" i="8"/>
  <c r="DY43" i="8"/>
  <c r="DR43" i="8"/>
  <c r="DW43" i="8"/>
  <c r="BT43" i="8"/>
  <c r="CJ43" i="8"/>
  <c r="BU43" i="8"/>
  <c r="CK43" i="8"/>
  <c r="BW43" i="8"/>
  <c r="CG43" i="8"/>
  <c r="BZ43" i="8"/>
  <c r="CB43" i="8"/>
  <c r="CC43" i="8"/>
  <c r="CA43" i="8"/>
  <c r="CD43" i="8"/>
  <c r="CI43" i="8"/>
  <c r="BR43" i="8"/>
  <c r="CE43" i="8"/>
  <c r="CF43" i="8"/>
  <c r="BV43" i="8"/>
  <c r="CH43" i="8"/>
  <c r="BS43" i="8"/>
  <c r="CL43" i="8"/>
  <c r="BX43" i="8"/>
  <c r="BY43" i="8"/>
  <c r="AN44" i="8"/>
  <c r="ER43" i="8"/>
  <c r="CP43" i="8"/>
  <c r="CQ43" i="8"/>
  <c r="CO43" i="8" a="1"/>
  <c r="CO43" i="8" s="1"/>
  <c r="EP43" i="8"/>
  <c r="AQ43" i="8"/>
  <c r="EQ43" i="8"/>
  <c r="AR43" i="8"/>
  <c r="EO43" i="8" a="1"/>
  <c r="EO43" i="8" s="1"/>
  <c r="CR43" i="8"/>
  <c r="AP43" i="8"/>
  <c r="AO43" i="8" a="1"/>
  <c r="AO43" i="8" s="1"/>
  <c r="AJ42" i="8" a="1"/>
  <c r="AJ42" i="8" s="1"/>
  <c r="AF43" i="8"/>
  <c r="Z43" i="8" a="1"/>
  <c r="Z43" i="8" s="1"/>
  <c r="Y43" i="8"/>
  <c r="V44" i="8"/>
  <c r="AH44" i="8" s="1"/>
  <c r="W43" i="8"/>
  <c r="AI43" i="8"/>
  <c r="AG43" i="8"/>
  <c r="AC43" i="8"/>
  <c r="AB43" i="8"/>
  <c r="AK43" i="8"/>
  <c r="AA43" i="8"/>
  <c r="EU44" i="8" l="1"/>
  <c r="FK44" i="8"/>
  <c r="EZ44" i="8"/>
  <c r="FC44" i="8"/>
  <c r="FD44" i="8"/>
  <c r="FG44" i="8"/>
  <c r="EW44" i="8"/>
  <c r="EX44" i="8"/>
  <c r="CX44" i="8"/>
  <c r="DN44" i="8"/>
  <c r="FH44" i="8"/>
  <c r="FI44" i="8"/>
  <c r="FL44" i="8"/>
  <c r="CW44" i="8"/>
  <c r="DO44" i="8"/>
  <c r="DB44" i="8"/>
  <c r="EY44" i="8"/>
  <c r="DD44" i="8"/>
  <c r="FB44" i="8"/>
  <c r="FE44" i="8"/>
  <c r="CY44" i="8"/>
  <c r="FJ44" i="8"/>
  <c r="DA44" i="8"/>
  <c r="FN44" i="8"/>
  <c r="DE44" i="8"/>
  <c r="DI44" i="8"/>
  <c r="BA44" i="8"/>
  <c r="DJ44" i="8"/>
  <c r="BF44" i="8"/>
  <c r="BG44" i="8"/>
  <c r="FM44" i="8"/>
  <c r="EV44" i="8"/>
  <c r="BH44" i="8"/>
  <c r="FA44" i="8"/>
  <c r="BI44" i="8"/>
  <c r="BJ44" i="8"/>
  <c r="FF44" i="8"/>
  <c r="CU44" i="8"/>
  <c r="FO44" i="8"/>
  <c r="DC44" i="8"/>
  <c r="AW44" i="8"/>
  <c r="BM44" i="8"/>
  <c r="DF44" i="8"/>
  <c r="AX44" i="8"/>
  <c r="BN44" i="8"/>
  <c r="DG44" i="8"/>
  <c r="AY44" i="8"/>
  <c r="BO44" i="8"/>
  <c r="AZ44" i="8"/>
  <c r="BB44" i="8"/>
  <c r="DL44" i="8"/>
  <c r="CV44" i="8"/>
  <c r="AU44" i="8"/>
  <c r="CZ44" i="8"/>
  <c r="AV44" i="8"/>
  <c r="DH44" i="8"/>
  <c r="DK44" i="8"/>
  <c r="BC44" i="8"/>
  <c r="DM44" i="8"/>
  <c r="BD44" i="8"/>
  <c r="BE44" i="8"/>
  <c r="BK44" i="8"/>
  <c r="BL44" i="8"/>
  <c r="GV43" i="8"/>
  <c r="HD43" i="8"/>
  <c r="GW43" i="8"/>
  <c r="HE43" i="8"/>
  <c r="GR43" i="8"/>
  <c r="GZ43" i="8"/>
  <c r="HH43" i="8"/>
  <c r="HA43" i="8"/>
  <c r="GQ43" i="8"/>
  <c r="HC43" i="8"/>
  <c r="GS43" i="8"/>
  <c r="HF43" i="8"/>
  <c r="HG43" i="8"/>
  <c r="GT43" i="8"/>
  <c r="GU43" i="8"/>
  <c r="HI43" i="8"/>
  <c r="GX43" i="8"/>
  <c r="HJ43" i="8"/>
  <c r="HB43" i="8"/>
  <c r="GP43" i="8"/>
  <c r="GY43" i="8"/>
  <c r="HO43" i="8"/>
  <c r="HN43" i="8"/>
  <c r="X43" i="8" s="1"/>
  <c r="HM44" i="8"/>
  <c r="GE44" i="8"/>
  <c r="GD44" i="8"/>
  <c r="GB44" i="8"/>
  <c r="GA44" i="8"/>
  <c r="GO44" i="8"/>
  <c r="GL44" i="8"/>
  <c r="FV44" i="8"/>
  <c r="GJ44" i="8"/>
  <c r="FT44" i="8"/>
  <c r="GI44" i="8"/>
  <c r="ED44" i="8"/>
  <c r="GG44" i="8"/>
  <c r="EB44" i="8"/>
  <c r="GF44" i="8"/>
  <c r="FQ44" i="8"/>
  <c r="FZ44" i="8"/>
  <c r="FY44" i="8"/>
  <c r="FW44" i="8"/>
  <c r="FX44" i="8"/>
  <c r="EI44" i="8"/>
  <c r="FS44" i="8"/>
  <c r="EG44" i="8"/>
  <c r="FR44" i="8"/>
  <c r="EF44" i="8"/>
  <c r="EC44" i="8"/>
  <c r="AT44" i="8"/>
  <c r="DQ44" i="8"/>
  <c r="EK44" i="8"/>
  <c r="EJ44" i="8"/>
  <c r="GH44" i="8"/>
  <c r="EE44" i="8"/>
  <c r="GC44" i="8"/>
  <c r="EA44" i="8"/>
  <c r="DY44" i="8"/>
  <c r="DW44" i="8"/>
  <c r="DV44" i="8"/>
  <c r="DT44" i="8"/>
  <c r="DS44" i="8"/>
  <c r="EL44" i="8"/>
  <c r="CT44" i="8"/>
  <c r="DZ44" i="8"/>
  <c r="GK44" i="8"/>
  <c r="DR44" i="8"/>
  <c r="EH44" i="8"/>
  <c r="DX44" i="8"/>
  <c r="DU44" i="8"/>
  <c r="FU44" i="8"/>
  <c r="BQ44" i="8"/>
  <c r="ET44" i="8"/>
  <c r="CE44" i="8"/>
  <c r="CF44" i="8"/>
  <c r="BR44" i="8"/>
  <c r="CH44" i="8"/>
  <c r="CB44" i="8"/>
  <c r="BY44" i="8"/>
  <c r="BU44" i="8"/>
  <c r="BZ44" i="8"/>
  <c r="CA44" i="8"/>
  <c r="CC44" i="8"/>
  <c r="BV44" i="8"/>
  <c r="CD44" i="8"/>
  <c r="CG44" i="8"/>
  <c r="BS44" i="8"/>
  <c r="CI44" i="8"/>
  <c r="BT44" i="8"/>
  <c r="CJ44" i="8"/>
  <c r="CK44" i="8"/>
  <c r="CL44" i="8"/>
  <c r="BW44" i="8"/>
  <c r="BX44" i="8"/>
  <c r="ER44" i="8"/>
  <c r="CR44" i="8"/>
  <c r="CP44" i="8"/>
  <c r="AP44" i="8"/>
  <c r="AR44" i="8"/>
  <c r="EO44" i="8" a="1"/>
  <c r="EO44" i="8" s="1"/>
  <c r="AQ44" i="8"/>
  <c r="EP44" i="8"/>
  <c r="CQ44" i="8"/>
  <c r="AO44" i="8" a="1"/>
  <c r="AO44" i="8" s="1"/>
  <c r="EQ44" i="8"/>
  <c r="CO44" i="8" a="1"/>
  <c r="CO44" i="8" s="1"/>
  <c r="AJ43" i="8" a="1"/>
  <c r="AJ43" i="8" s="1"/>
  <c r="AF44" i="8"/>
  <c r="AJ44" i="8" s="1" a="1"/>
  <c r="AJ44" i="8" s="1"/>
  <c r="AK44" i="8"/>
  <c r="W44" i="8"/>
  <c r="AI44" i="8"/>
  <c r="AG44" i="8"/>
  <c r="AB44" i="8"/>
  <c r="AA44" i="8"/>
  <c r="Z44" i="8" a="1"/>
  <c r="Z44" i="8" s="1"/>
  <c r="Y44" i="8"/>
  <c r="AC44" i="8"/>
  <c r="HN44" i="8" l="1"/>
  <c r="X44" i="8" s="1"/>
  <c r="HO44" i="8"/>
  <c r="GQ44" i="8"/>
  <c r="GY44" i="8"/>
  <c r="HG44" i="8"/>
  <c r="GR44" i="8"/>
  <c r="GZ44" i="8"/>
  <c r="HH44" i="8"/>
  <c r="GU44" i="8"/>
  <c r="HC44" i="8"/>
  <c r="GS44" i="8"/>
  <c r="HE44" i="8"/>
  <c r="GV44" i="8"/>
  <c r="HI44" i="8"/>
  <c r="GW44" i="8"/>
  <c r="HJ44" i="8"/>
  <c r="GX44" i="8"/>
  <c r="HA44" i="8"/>
  <c r="HB44" i="8"/>
  <c r="GT44" i="8"/>
  <c r="GP44" i="8"/>
  <c r="HD44" i="8"/>
  <c r="HF44" i="8"/>
  <c r="B29" i="3"/>
  <c r="B31" i="3" s="1"/>
  <c r="P57" i="7"/>
  <c r="P56" i="7"/>
  <c r="O56" i="7"/>
  <c r="P55" i="7"/>
  <c r="O55" i="7"/>
  <c r="N55" i="7"/>
  <c r="P54" i="7"/>
  <c r="O54" i="7"/>
  <c r="N54" i="7"/>
  <c r="M54" i="7"/>
  <c r="P53" i="7"/>
  <c r="O53" i="7"/>
  <c r="N53" i="7"/>
  <c r="M53" i="7"/>
  <c r="L53" i="7"/>
  <c r="S35" i="7"/>
  <c r="S33" i="7"/>
  <c r="S34" i="7" s="1"/>
  <c r="S31" i="7"/>
  <c r="S32" i="7" s="1"/>
  <c r="S29" i="7"/>
  <c r="S30" i="7" s="1"/>
  <c r="S27" i="7"/>
  <c r="S28" i="7" s="1"/>
  <c r="S26" i="7"/>
  <c r="T9" i="7"/>
  <c r="AT10" i="7" s="1"/>
  <c r="Q9" i="7"/>
  <c r="O32" i="7" s="1"/>
  <c r="M9" i="7"/>
  <c r="T8" i="7"/>
  <c r="AX9" i="7" s="1"/>
  <c r="Q8" i="7"/>
  <c r="O31" i="7" s="1"/>
  <c r="T7" i="7"/>
  <c r="AH8" i="7" s="1"/>
  <c r="Q7" i="7"/>
  <c r="T6" i="7"/>
  <c r="AL7" i="7" s="1"/>
  <c r="Q6" i="7"/>
  <c r="L16" i="7" s="1"/>
  <c r="M16" i="7" s="1"/>
  <c r="AG5" i="7"/>
  <c r="AG6" i="7" s="1"/>
  <c r="AG7" i="7" s="1"/>
  <c r="AG8" i="7" s="1"/>
  <c r="AG9" i="7" s="1"/>
  <c r="AG10" i="7" s="1"/>
  <c r="AG11" i="7" s="1"/>
  <c r="AG12" i="7" s="1"/>
  <c r="AG13" i="7" s="1"/>
  <c r="AG14" i="7" s="1"/>
  <c r="AG15" i="7" s="1"/>
  <c r="AG16" i="7" s="1"/>
  <c r="AG17" i="7" s="1"/>
  <c r="AG18" i="7" s="1"/>
  <c r="AG19" i="7" s="1"/>
  <c r="AG20" i="7" s="1"/>
  <c r="AG21" i="7" s="1"/>
  <c r="AG22" i="7" s="1"/>
  <c r="AG23" i="7" s="1"/>
  <c r="AG24" i="7" s="1"/>
  <c r="AG25" i="7" s="1"/>
  <c r="AG26" i="7" s="1"/>
  <c r="AG27" i="7" s="1"/>
  <c r="AG28" i="7" s="1"/>
  <c r="AG29" i="7" s="1"/>
  <c r="AG30" i="7" s="1"/>
  <c r="AG31" i="7" s="1"/>
  <c r="AG32" i="7" s="1"/>
  <c r="AG33" i="7" s="1"/>
  <c r="AG34" i="7" s="1"/>
  <c r="AG35" i="7" s="1"/>
  <c r="AG36" i="7" s="1"/>
  <c r="AG37" i="7" s="1"/>
  <c r="AG38" i="7" s="1"/>
  <c r="AG39" i="7" s="1"/>
  <c r="AG40" i="7" s="1"/>
  <c r="AG41" i="7" s="1"/>
  <c r="AG42" i="7" s="1"/>
  <c r="AG43" i="7" s="1"/>
  <c r="AG44" i="7" s="1"/>
  <c r="X5" i="7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X20" i="7" s="1"/>
  <c r="X21" i="7" s="1"/>
  <c r="X22" i="7" s="1"/>
  <c r="X23" i="7" s="1"/>
  <c r="X24" i="7" s="1"/>
  <c r="X25" i="7" s="1"/>
  <c r="X26" i="7" s="1"/>
  <c r="X27" i="7" s="1"/>
  <c r="X28" i="7" s="1"/>
  <c r="X29" i="7" s="1"/>
  <c r="X30" i="7" s="1"/>
  <c r="X31" i="7" s="1"/>
  <c r="X32" i="7" s="1"/>
  <c r="X33" i="7" s="1"/>
  <c r="X34" i="7" s="1"/>
  <c r="X35" i="7" s="1"/>
  <c r="X36" i="7" s="1"/>
  <c r="X37" i="7" s="1"/>
  <c r="X38" i="7" s="1"/>
  <c r="X39" i="7" s="1"/>
  <c r="X40" i="7" s="1"/>
  <c r="X41" i="7" s="1"/>
  <c r="X42" i="7" s="1"/>
  <c r="X43" i="7" s="1"/>
  <c r="X44" i="7" s="1"/>
  <c r="T5" i="7"/>
  <c r="AH6" i="7" s="1"/>
  <c r="Q5" i="7"/>
  <c r="L15" i="7" s="1"/>
  <c r="M15" i="7" s="1"/>
  <c r="T4" i="7"/>
  <c r="Q4" i="7"/>
  <c r="O27" i="7" s="1"/>
  <c r="P57" i="6"/>
  <c r="P56" i="6"/>
  <c r="O56" i="6"/>
  <c r="P55" i="6"/>
  <c r="O55" i="6"/>
  <c r="N55" i="6"/>
  <c r="P54" i="6"/>
  <c r="O54" i="6"/>
  <c r="N54" i="6"/>
  <c r="M54" i="6"/>
  <c r="P53" i="6"/>
  <c r="O53" i="6"/>
  <c r="N53" i="6"/>
  <c r="M53" i="6"/>
  <c r="L53" i="6"/>
  <c r="S35" i="6"/>
  <c r="S33" i="6"/>
  <c r="S34" i="6" s="1"/>
  <c r="S31" i="6"/>
  <c r="S32" i="6" s="1"/>
  <c r="S29" i="6"/>
  <c r="S30" i="6" s="1"/>
  <c r="S27" i="6"/>
  <c r="S28" i="6" s="1"/>
  <c r="S26" i="6"/>
  <c r="T9" i="6"/>
  <c r="AL10" i="6" s="1"/>
  <c r="Q9" i="6"/>
  <c r="M9" i="6"/>
  <c r="T8" i="6"/>
  <c r="Q8" i="6"/>
  <c r="T7" i="6"/>
  <c r="Q7" i="6"/>
  <c r="T6" i="6"/>
  <c r="Q6" i="6"/>
  <c r="AG5" i="6"/>
  <c r="AG6" i="6" s="1"/>
  <c r="AG7" i="6" s="1"/>
  <c r="AG8" i="6" s="1"/>
  <c r="AG9" i="6" s="1"/>
  <c r="AG10" i="6" s="1"/>
  <c r="AG11" i="6" s="1"/>
  <c r="AG12" i="6" s="1"/>
  <c r="AG13" i="6" s="1"/>
  <c r="AG14" i="6" s="1"/>
  <c r="AG15" i="6" s="1"/>
  <c r="AG16" i="6" s="1"/>
  <c r="AG17" i="6" s="1"/>
  <c r="AG18" i="6" s="1"/>
  <c r="AG19" i="6" s="1"/>
  <c r="AG20" i="6" s="1"/>
  <c r="AG21" i="6" s="1"/>
  <c r="AG22" i="6" s="1"/>
  <c r="AG23" i="6" s="1"/>
  <c r="AG24" i="6" s="1"/>
  <c r="AG25" i="6" s="1"/>
  <c r="AG26" i="6" s="1"/>
  <c r="AG27" i="6" s="1"/>
  <c r="AG28" i="6" s="1"/>
  <c r="AG29" i="6" s="1"/>
  <c r="AG30" i="6" s="1"/>
  <c r="AG31" i="6" s="1"/>
  <c r="AG32" i="6" s="1"/>
  <c r="AG33" i="6" s="1"/>
  <c r="AG34" i="6" s="1"/>
  <c r="AG35" i="6" s="1"/>
  <c r="AG36" i="6" s="1"/>
  <c r="AG37" i="6" s="1"/>
  <c r="AG38" i="6" s="1"/>
  <c r="AG39" i="6" s="1"/>
  <c r="AG40" i="6" s="1"/>
  <c r="AG41" i="6" s="1"/>
  <c r="AG42" i="6" s="1"/>
  <c r="AG43" i="6" s="1"/>
  <c r="AG44" i="6" s="1"/>
  <c r="X5" i="6"/>
  <c r="X6" i="6" s="1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0" i="6" s="1"/>
  <c r="X21" i="6" s="1"/>
  <c r="X22" i="6" s="1"/>
  <c r="X23" i="6" s="1"/>
  <c r="X24" i="6" s="1"/>
  <c r="X25" i="6" s="1"/>
  <c r="X26" i="6" s="1"/>
  <c r="X27" i="6" s="1"/>
  <c r="X28" i="6" s="1"/>
  <c r="X29" i="6" s="1"/>
  <c r="X30" i="6" s="1"/>
  <c r="X31" i="6" s="1"/>
  <c r="X32" i="6" s="1"/>
  <c r="X33" i="6" s="1"/>
  <c r="X34" i="6" s="1"/>
  <c r="X35" i="6" s="1"/>
  <c r="X36" i="6" s="1"/>
  <c r="X37" i="6" s="1"/>
  <c r="X38" i="6" s="1"/>
  <c r="X39" i="6" s="1"/>
  <c r="X40" i="6" s="1"/>
  <c r="X41" i="6" s="1"/>
  <c r="X42" i="6" s="1"/>
  <c r="X43" i="6" s="1"/>
  <c r="X44" i="6" s="1"/>
  <c r="T5" i="6"/>
  <c r="Q5" i="6"/>
  <c r="O28" i="6" s="1"/>
  <c r="T4" i="6"/>
  <c r="Q4" i="6"/>
  <c r="A10" i="5"/>
  <c r="A9" i="5"/>
  <c r="M2" i="4"/>
  <c r="CO24" i="8" a="1"/>
  <c r="CO23" i="8" a="1"/>
  <c r="CO22" i="8" a="1"/>
  <c r="CO21" i="8" a="1"/>
  <c r="AU37" i="7" a="1"/>
  <c r="Y10" i="7" a="1"/>
  <c r="Y22" i="7" a="1"/>
  <c r="AU34" i="7" a="1"/>
  <c r="Y19" i="7" a="1"/>
  <c r="AU28" i="7" a="1"/>
  <c r="Y23" i="6" a="1"/>
  <c r="Y11" i="6" a="1"/>
  <c r="AM41" i="6" a="1"/>
  <c r="Y27" i="6" a="1"/>
  <c r="Y7" i="6" a="1"/>
  <c r="T33" i="6" a="1"/>
  <c r="Y20" i="6" a="1"/>
  <c r="AM29" i="6" a="1"/>
  <c r="Y18" i="7" a="1"/>
  <c r="AI18" i="7" a="1"/>
  <c r="Y39" i="6" a="1"/>
  <c r="Y35" i="7" a="1"/>
  <c r="T24" i="7" a="1"/>
  <c r="Y11" i="7" a="1"/>
  <c r="AU35" i="7" a="1"/>
  <c r="AY22" i="7" a="1"/>
  <c r="T32" i="7" a="1"/>
  <c r="Y14" i="6" a="1"/>
  <c r="Y42" i="6" a="1"/>
  <c r="AU33" i="7" a="1"/>
  <c r="CO20" i="8" a="1"/>
  <c r="CO19" i="8" a="1"/>
  <c r="CO18" i="8" a="1"/>
  <c r="CO17" i="8" a="1"/>
  <c r="AU39" i="7" a="1"/>
  <c r="AU41" i="7" a="1"/>
  <c r="Y16" i="7" a="1"/>
  <c r="Y24" i="7" a="1"/>
  <c r="Y23" i="7" a="1"/>
  <c r="T34" i="7" a="1"/>
  <c r="Y26" i="6" a="1"/>
  <c r="Y32" i="6" a="1"/>
  <c r="AM28" i="6" a="1"/>
  <c r="T26" i="6" a="1"/>
  <c r="AI17" i="7" a="1"/>
  <c r="T27" i="6" a="1"/>
  <c r="AY21" i="7" a="1"/>
  <c r="Y33" i="7" a="1"/>
  <c r="AI19" i="7" a="1"/>
  <c r="Y13" i="7" a="1"/>
  <c r="AU40" i="7" a="1"/>
  <c r="T26" i="7" a="1"/>
  <c r="Y31" i="6" a="1"/>
  <c r="Y38" i="6" a="1"/>
  <c r="Y21" i="6" a="1"/>
  <c r="AM34" i="6" a="1"/>
  <c r="T24" i="6" a="1"/>
  <c r="AM31" i="6" a="1"/>
  <c r="T29" i="6" a="1"/>
  <c r="Y14" i="7" a="1"/>
  <c r="Y12" i="6" a="1"/>
  <c r="Y5" i="7" a="1"/>
  <c r="AU44" i="7" a="1"/>
  <c r="AI20" i="7" a="1"/>
  <c r="AU31" i="7" a="1"/>
  <c r="Y4" i="7" a="1"/>
  <c r="AM40" i="6" a="1"/>
  <c r="Y10" i="6" a="1"/>
  <c r="Y5" i="6" a="1"/>
  <c r="T30" i="6" a="1"/>
  <c r="AM35" i="6" a="1"/>
  <c r="T31" i="6" a="1"/>
  <c r="AM13" i="7" a="1"/>
  <c r="Y29" i="7" a="1"/>
  <c r="Y18" i="6" a="1"/>
  <c r="AM26" i="6" a="1"/>
  <c r="Y30" i="7" a="1"/>
  <c r="CO16" i="8" a="1"/>
  <c r="CO14" i="8" a="1"/>
  <c r="CO15" i="8" a="1"/>
  <c r="CO13" i="8" a="1"/>
  <c r="AU29" i="7" a="1"/>
  <c r="AI12" i="7" a="1"/>
  <c r="T33" i="7" a="1"/>
  <c r="Y41" i="7" a="1"/>
  <c r="Y34" i="7" a="1"/>
  <c r="Y12" i="7" a="1"/>
  <c r="T25" i="6" a="1"/>
  <c r="AM33" i="6" a="1"/>
  <c r="Y15" i="6" a="1"/>
  <c r="AM32" i="6" a="1"/>
  <c r="Y13" i="6" a="1"/>
  <c r="Y24" i="6" a="1"/>
  <c r="Y39" i="7" a="1"/>
  <c r="Y26" i="7" a="1"/>
  <c r="AU26" i="7" a="1"/>
  <c r="AM30" i="6" a="1"/>
  <c r="Y38" i="7" a="1"/>
  <c r="Y15" i="7" a="1"/>
  <c r="Y17" i="7" a="1"/>
  <c r="Y36" i="7" a="1"/>
  <c r="Y42" i="7" a="1"/>
  <c r="T29" i="7" a="1"/>
  <c r="Y9" i="6" a="1"/>
  <c r="T35" i="6" a="1"/>
  <c r="Y29" i="6" a="1"/>
  <c r="Y44" i="6" a="1"/>
  <c r="AM27" i="6" a="1"/>
  <c r="AM38" i="6" a="1"/>
  <c r="Y6" i="6" a="1"/>
  <c r="AM16" i="7" a="1"/>
  <c r="AM36" i="6" a="1"/>
  <c r="AM14" i="7" a="1"/>
  <c r="T25" i="7" a="1"/>
  <c r="Y40" i="7" a="1"/>
  <c r="Y20" i="7" a="1"/>
  <c r="Y21" i="7" a="1"/>
  <c r="AU25" i="7" a="1"/>
  <c r="AM44" i="6" a="1"/>
  <c r="Y4" i="6" a="1"/>
  <c r="T28" i="6" a="1"/>
  <c r="Y19" i="6" a="1"/>
  <c r="AU38" i="7" a="1"/>
  <c r="T30" i="7" a="1"/>
  <c r="CO12" i="8" a="1"/>
  <c r="CO11" i="8" a="1"/>
  <c r="CO10" i="8" a="1"/>
  <c r="CO9" i="8" a="1"/>
  <c r="AU42" i="7" a="1"/>
  <c r="Y37" i="7" a="1"/>
  <c r="Y31" i="7" a="1"/>
  <c r="T27" i="7" a="1"/>
  <c r="AU36" i="7" a="1"/>
  <c r="Y22" i="6" a="1"/>
  <c r="T35" i="7" a="1"/>
  <c r="AU27" i="7" a="1"/>
  <c r="Y25" i="7" a="1"/>
  <c r="Y8" i="7" a="1"/>
  <c r="Y44" i="7" a="1"/>
  <c r="Y30" i="6" a="1"/>
  <c r="AM39" i="6" a="1"/>
  <c r="Y17" i="6" a="1"/>
  <c r="Y41" i="6" a="1"/>
  <c r="Y7" i="7" a="1"/>
  <c r="AI10" i="7" a="1"/>
  <c r="CO8" i="8" a="1"/>
  <c r="CO7" i="8" a="1"/>
  <c r="CO6" i="8" a="1"/>
  <c r="CO5" i="8" a="1"/>
  <c r="AI9" i="7" a="1"/>
  <c r="Y27" i="7" a="1"/>
  <c r="AU43" i="7" a="1"/>
  <c r="AI11" i="7" a="1"/>
  <c r="AY23" i="7" a="1"/>
  <c r="Y35" i="6" a="1"/>
  <c r="AM42" i="6" a="1"/>
  <c r="Y8" i="6" a="1"/>
  <c r="T32" i="6" a="1"/>
  <c r="Y16" i="6" a="1"/>
  <c r="T34" i="6" a="1"/>
  <c r="AU32" i="7" a="1"/>
  <c r="AM43" i="6" a="1"/>
  <c r="Y40" i="6" a="1"/>
  <c r="Y37" i="6" a="1"/>
  <c r="Y33" i="6" a="1"/>
  <c r="AM37" i="6" a="1"/>
  <c r="Y25" i="6" a="1"/>
  <c r="Y36" i="6" a="1"/>
  <c r="T31" i="7" a="1"/>
  <c r="Y9" i="7" a="1"/>
  <c r="Y32" i="7" a="1"/>
  <c r="Y28" i="7" a="1"/>
  <c r="AU30" i="7" a="1"/>
  <c r="AM15" i="7" a="1"/>
  <c r="Y43" i="6" a="1"/>
  <c r="Y28" i="6" a="1"/>
  <c r="Y34" i="6" a="1"/>
  <c r="Y43" i="7" a="1"/>
  <c r="Y6" i="7" a="1"/>
  <c r="T28" i="7" a="1"/>
  <c r="AY24" i="7" a="1"/>
  <c r="AM25" i="6" a="1"/>
  <c r="CO5" i="8" l="1"/>
  <c r="CP5" i="8" s="1"/>
  <c r="CO6" i="8"/>
  <c r="CO7" i="8"/>
  <c r="CO8" i="8"/>
  <c r="CO9" i="8"/>
  <c r="CO10" i="8"/>
  <c r="CO11" i="8"/>
  <c r="CO12" i="8"/>
  <c r="CO13" i="8"/>
  <c r="CO15" i="8"/>
  <c r="CO14" i="8"/>
  <c r="CO16" i="8"/>
  <c r="CO17" i="8"/>
  <c r="CO18" i="8"/>
  <c r="CO19" i="8"/>
  <c r="CO20" i="8"/>
  <c r="CO21" i="8"/>
  <c r="CO22" i="8"/>
  <c r="CO23" i="8"/>
  <c r="CO24" i="8"/>
  <c r="AP5" i="6"/>
  <c r="AL6" i="6"/>
  <c r="AP7" i="6"/>
  <c r="AL5" i="7"/>
  <c r="AL8" i="6"/>
  <c r="BB9" i="6"/>
  <c r="AP8" i="6"/>
  <c r="AX8" i="6"/>
  <c r="AH8" i="6"/>
  <c r="B30" i="3"/>
  <c r="BB7" i="7"/>
  <c r="AH9" i="7"/>
  <c r="AX6" i="7"/>
  <c r="AL9" i="7"/>
  <c r="BB6" i="7"/>
  <c r="AL6" i="7"/>
  <c r="AP6" i="7"/>
  <c r="AP7" i="7"/>
  <c r="AP10" i="7"/>
  <c r="AX8" i="7"/>
  <c r="AL10" i="7"/>
  <c r="BB8" i="7"/>
  <c r="AL8" i="7"/>
  <c r="AP8" i="7"/>
  <c r="AP5" i="7"/>
  <c r="Y5" i="7"/>
  <c r="Z5" i="7" s="1"/>
  <c r="Y7" i="7"/>
  <c r="AU29" i="7"/>
  <c r="AI11" i="7"/>
  <c r="Y16" i="7"/>
  <c r="Y21" i="7"/>
  <c r="Y9" i="7"/>
  <c r="AI12" i="7"/>
  <c r="AM13" i="7"/>
  <c r="Y25" i="7"/>
  <c r="AU36" i="7"/>
  <c r="AU38" i="7"/>
  <c r="AU40" i="7"/>
  <c r="AU42" i="7"/>
  <c r="AU44" i="7"/>
  <c r="T30" i="7"/>
  <c r="Y27" i="7"/>
  <c r="Y8" i="7"/>
  <c r="Y20" i="7"/>
  <c r="Y4" i="7"/>
  <c r="AI9" i="7"/>
  <c r="Y22" i="7"/>
  <c r="T24" i="7"/>
  <c r="AU30" i="7"/>
  <c r="AU35" i="7"/>
  <c r="AU39" i="7"/>
  <c r="AU43" i="7"/>
  <c r="T26" i="7"/>
  <c r="AU37" i="7"/>
  <c r="AU41" i="7"/>
  <c r="Y11" i="7"/>
  <c r="Y12" i="7"/>
  <c r="Y19" i="7"/>
  <c r="Y6" i="7"/>
  <c r="AY24" i="7"/>
  <c r="T31" i="7"/>
  <c r="Y23" i="7"/>
  <c r="AU32" i="7"/>
  <c r="Y33" i="7"/>
  <c r="T34" i="7"/>
  <c r="T25" i="7"/>
  <c r="Y30" i="7"/>
  <c r="AM15" i="7"/>
  <c r="AI17" i="7"/>
  <c r="Y24" i="7"/>
  <c r="AU27" i="7"/>
  <c r="T28" i="7"/>
  <c r="Y13" i="7"/>
  <c r="AU33" i="7"/>
  <c r="Y34" i="7"/>
  <c r="T35" i="7"/>
  <c r="AI10" i="7"/>
  <c r="Y18" i="7"/>
  <c r="Y28" i="7"/>
  <c r="AI19" i="7"/>
  <c r="AI20" i="7"/>
  <c r="AY21" i="7"/>
  <c r="AY22" i="7"/>
  <c r="AU34" i="7"/>
  <c r="Y35" i="7"/>
  <c r="Y36" i="7"/>
  <c r="Y37" i="7"/>
  <c r="Y38" i="7"/>
  <c r="Y39" i="7"/>
  <c r="Y40" i="7"/>
  <c r="Y41" i="7"/>
  <c r="Y42" i="7"/>
  <c r="Y43" i="7"/>
  <c r="Y44" i="7"/>
  <c r="Y15" i="7"/>
  <c r="AY23" i="7"/>
  <c r="AU25" i="7"/>
  <c r="Y26" i="7"/>
  <c r="Y31" i="7"/>
  <c r="AM14" i="7"/>
  <c r="AU28" i="7"/>
  <c r="T29" i="7"/>
  <c r="AU26" i="7"/>
  <c r="AU31" i="7"/>
  <c r="T32" i="7"/>
  <c r="Y17" i="7"/>
  <c r="Y29" i="7"/>
  <c r="AM16" i="7"/>
  <c r="AI18" i="7"/>
  <c r="T27" i="7"/>
  <c r="Y10" i="7"/>
  <c r="Y14" i="7"/>
  <c r="Y32" i="7"/>
  <c r="T33" i="7"/>
  <c r="BB5" i="7"/>
  <c r="AT5" i="7"/>
  <c r="AT7" i="7"/>
  <c r="AT9" i="7"/>
  <c r="AP9" i="7"/>
  <c r="BB9" i="7"/>
  <c r="AH5" i="7"/>
  <c r="AH7" i="7"/>
  <c r="O29" i="7"/>
  <c r="AX5" i="7"/>
  <c r="AX7" i="7"/>
  <c r="L14" i="7"/>
  <c r="M14" i="7" s="1"/>
  <c r="L19" i="7"/>
  <c r="M19" i="7" s="1"/>
  <c r="L18" i="7"/>
  <c r="M18" i="7" s="1"/>
  <c r="AT6" i="7"/>
  <c r="AT8" i="7"/>
  <c r="O28" i="7"/>
  <c r="O30" i="7"/>
  <c r="L17" i="7"/>
  <c r="M17" i="7" s="1"/>
  <c r="BB10" i="7"/>
  <c r="AX10" i="7"/>
  <c r="AH10" i="7"/>
  <c r="BB8" i="6"/>
  <c r="AT5" i="6"/>
  <c r="AX5" i="6"/>
  <c r="AH6" i="6"/>
  <c r="BB6" i="6"/>
  <c r="AP6" i="6"/>
  <c r="AX6" i="6"/>
  <c r="Y22" i="6"/>
  <c r="AM30" i="6"/>
  <c r="Y6" i="6"/>
  <c r="Y8" i="6"/>
  <c r="Y19" i="6"/>
  <c r="AM25" i="6"/>
  <c r="T24" i="6"/>
  <c r="Y18" i="6"/>
  <c r="T35" i="6"/>
  <c r="Y12" i="6"/>
  <c r="Y13" i="6"/>
  <c r="Y21" i="6"/>
  <c r="Y11" i="6"/>
  <c r="T27" i="6"/>
  <c r="Y28" i="6"/>
  <c r="Y27" i="6"/>
  <c r="Y4" i="6"/>
  <c r="Y5" i="6"/>
  <c r="Z5" i="6" s="1"/>
  <c r="Y7" i="6"/>
  <c r="Y9" i="6"/>
  <c r="Y34" i="6"/>
  <c r="Y20" i="6"/>
  <c r="Y23" i="6"/>
  <c r="AM28" i="6"/>
  <c r="Y33" i="6"/>
  <c r="T34" i="6"/>
  <c r="Y16" i="6"/>
  <c r="T25" i="6"/>
  <c r="Y30" i="6"/>
  <c r="AM35" i="6"/>
  <c r="AM36" i="6"/>
  <c r="AM37" i="6"/>
  <c r="AM38" i="6"/>
  <c r="AM39" i="6"/>
  <c r="AM40" i="6"/>
  <c r="AM41" i="6"/>
  <c r="AM42" i="6"/>
  <c r="AM43" i="6"/>
  <c r="AM44" i="6"/>
  <c r="Y24" i="6"/>
  <c r="AM26" i="6"/>
  <c r="T28" i="6"/>
  <c r="AM31" i="6"/>
  <c r="Y25" i="6"/>
  <c r="T26" i="6"/>
  <c r="T31" i="6"/>
  <c r="AM29" i="6"/>
  <c r="Y35" i="6"/>
  <c r="Y36" i="6"/>
  <c r="Y37" i="6"/>
  <c r="Y38" i="6"/>
  <c r="Y39" i="6"/>
  <c r="Y40" i="6"/>
  <c r="Y41" i="6"/>
  <c r="Y42" i="6"/>
  <c r="Y43" i="6"/>
  <c r="Y44" i="6"/>
  <c r="Y15" i="6"/>
  <c r="Y26" i="6"/>
  <c r="Y31" i="6"/>
  <c r="T29" i="6"/>
  <c r="AM32" i="6"/>
  <c r="AM27" i="6"/>
  <c r="T32" i="6"/>
  <c r="Y17" i="6"/>
  <c r="Y29" i="6"/>
  <c r="AM33" i="6"/>
  <c r="Y10" i="6"/>
  <c r="Y14" i="6"/>
  <c r="Y32" i="6"/>
  <c r="T33" i="6"/>
  <c r="T30" i="6"/>
  <c r="AM34" i="6"/>
  <c r="AT7" i="6"/>
  <c r="O27" i="6"/>
  <c r="L14" i="6"/>
  <c r="M14" i="6" s="1"/>
  <c r="AH5" i="6"/>
  <c r="AH7" i="6"/>
  <c r="AT9" i="6"/>
  <c r="AP9" i="6"/>
  <c r="AX9" i="6"/>
  <c r="AH9" i="6"/>
  <c r="AX7" i="6"/>
  <c r="AL9" i="6"/>
  <c r="AL7" i="6"/>
  <c r="AL5" i="6"/>
  <c r="O30" i="6"/>
  <c r="L17" i="6"/>
  <c r="M17" i="6" s="1"/>
  <c r="AT6" i="6"/>
  <c r="AT8" i="6"/>
  <c r="O32" i="6"/>
  <c r="L19" i="6"/>
  <c r="M19" i="6" s="1"/>
  <c r="L15" i="6"/>
  <c r="M15" i="6" s="1"/>
  <c r="BB5" i="6"/>
  <c r="AP10" i="6"/>
  <c r="BB10" i="6"/>
  <c r="AX10" i="6"/>
  <c r="AH10" i="6"/>
  <c r="BB7" i="6"/>
  <c r="L16" i="6"/>
  <c r="M16" i="6" s="1"/>
  <c r="O29" i="6"/>
  <c r="L18" i="6"/>
  <c r="M18" i="6" s="1"/>
  <c r="O31" i="6"/>
  <c r="AT10" i="6"/>
  <c r="EO5" i="8" a="1"/>
  <c r="AU12" i="7" a="1"/>
  <c r="AY35" i="7" a="1"/>
  <c r="AI37" i="7" a="1"/>
  <c r="AM42" i="7" a="1"/>
  <c r="BC37" i="7" a="1"/>
  <c r="AQ42" i="7" a="1"/>
  <c r="BC43" i="7" a="1"/>
  <c r="AM36" i="7" a="1"/>
  <c r="AU24" i="7" a="1"/>
  <c r="AI15" i="7" a="1"/>
  <c r="BC41" i="7" a="1"/>
  <c r="AY15" i="7" a="1"/>
  <c r="AU13" i="6" a="1"/>
  <c r="AU40" i="6" a="1"/>
  <c r="AM24" i="6" a="1"/>
  <c r="AY19" i="6" a="1"/>
  <c r="AQ38" i="6" a="1"/>
  <c r="AU39" i="6" a="1"/>
  <c r="AI34" i="6" a="1"/>
  <c r="AU41" i="6" a="1"/>
  <c r="AQ43" i="6" a="1"/>
  <c r="AU27" i="6" a="1"/>
  <c r="AQ25" i="6" a="1"/>
  <c r="AY24" i="6" a="1"/>
  <c r="BC18" i="6" a="1"/>
  <c r="AE32" i="4" a="1"/>
  <c r="AM16" i="6" a="1"/>
  <c r="AY20" i="7" a="1"/>
  <c r="AI35" i="7" a="1"/>
  <c r="BC8" i="6" a="1"/>
  <c r="AI43" i="6" a="1"/>
  <c r="AI10" i="6" a="1"/>
  <c r="AU22" i="6" a="1"/>
  <c r="AI6" i="6" a="1"/>
  <c r="BC27" i="6" a="1"/>
  <c r="AU21" i="6" a="1"/>
  <c r="AE26" i="4" a="1"/>
  <c r="AQ15" i="7" a="1"/>
  <c r="AQ24" i="7" a="1"/>
  <c r="AI26" i="7" a="1"/>
  <c r="AQ10" i="7" a="1"/>
  <c r="AY9" i="7" a="1"/>
  <c r="AQ30" i="7" a="1"/>
  <c r="AQ27" i="7" a="1"/>
  <c r="AY19" i="7" a="1"/>
  <c r="AM22" i="7" a="1"/>
  <c r="AI22" i="7" a="1"/>
  <c r="AM33" i="7" a="1"/>
  <c r="AI29" i="7" a="1"/>
  <c r="AY35" i="6" a="1"/>
  <c r="AE27" i="4" a="1"/>
  <c r="AY25" i="7" a="1"/>
  <c r="AI20" i="6" a="1"/>
  <c r="AQ9" i="7" a="1"/>
  <c r="AY18" i="7" a="1"/>
  <c r="AM43" i="7" a="1"/>
  <c r="BC30" i="7" a="1"/>
  <c r="BC18" i="7" a="1"/>
  <c r="AU21" i="7" a="1"/>
  <c r="AM23" i="7" a="1"/>
  <c r="AU19" i="7" a="1"/>
  <c r="AQ12" i="7" a="1"/>
  <c r="AY14" i="7" a="1"/>
  <c r="AQ31" i="7" a="1"/>
  <c r="BC31" i="7" a="1"/>
  <c r="AM12" i="7" a="1"/>
  <c r="AI19" i="6" a="1"/>
  <c r="AU38" i="6" a="1"/>
  <c r="AY5" i="6" a="1"/>
  <c r="AI41" i="7" a="1"/>
  <c r="BC15" i="7" a="1"/>
  <c r="AM17" i="7" a="1"/>
  <c r="BC33" i="7" a="1"/>
  <c r="BC23" i="7" a="1"/>
  <c r="AY34" i="7" a="1"/>
  <c r="AY36" i="7" a="1"/>
  <c r="AI30" i="6" a="1"/>
  <c r="BC26" i="7" a="1"/>
  <c r="AY38" i="6" a="1"/>
  <c r="BC12" i="7" a="1"/>
  <c r="AI14" i="7" a="1"/>
  <c r="AM18" i="7" a="1"/>
  <c r="BC8" i="7" a="1"/>
  <c r="AQ18" i="7" a="1"/>
  <c r="AY29" i="7" a="1"/>
  <c r="BC14" i="7" a="1"/>
  <c r="AU10" i="7" a="1"/>
  <c r="AQ34" i="7" a="1"/>
  <c r="AQ28" i="7" a="1"/>
  <c r="AQ29" i="7" a="1"/>
  <c r="BC9" i="7" a="1"/>
  <c r="AI38" i="7" a="1"/>
  <c r="AY6" i="6" a="1"/>
  <c r="AU31" i="6" a="1"/>
  <c r="AY30" i="6" a="1"/>
  <c r="AU7" i="6" a="1"/>
  <c r="AY39" i="6" a="1"/>
  <c r="BC12" i="6" a="1"/>
  <c r="AQ33" i="6" a="1"/>
  <c r="AU43" i="6" a="1"/>
  <c r="AQ34" i="6" a="1"/>
  <c r="AI31" i="6" a="1"/>
  <c r="BC31" i="6" a="1"/>
  <c r="AY33" i="6" a="1"/>
  <c r="AI39" i="6" a="1"/>
  <c r="BC39" i="7" a="1"/>
  <c r="AI36" i="7" a="1"/>
  <c r="BC42" i="7" a="1"/>
  <c r="BC34" i="6" a="1"/>
  <c r="AU20" i="6" a="1"/>
  <c r="AU18" i="6" a="1"/>
  <c r="BC29" i="6" a="1"/>
  <c r="BC39" i="6" a="1"/>
  <c r="AI7" i="6" a="1"/>
  <c r="AY6" i="7" a="1"/>
  <c r="AQ39" i="6" a="1"/>
  <c r="AI11" i="6" a="1"/>
  <c r="AE28" i="4" a="1"/>
  <c r="BC32" i="7" a="1"/>
  <c r="BC11" i="6" a="1"/>
  <c r="AY32" i="7" a="1"/>
  <c r="AQ17" i="7" a="1"/>
  <c r="AY42" i="7" a="1"/>
  <c r="AI30" i="7" a="1"/>
  <c r="AU11" i="7" a="1"/>
  <c r="BC11" i="7" a="1"/>
  <c r="AQ33" i="7" a="1"/>
  <c r="AY28" i="7" a="1"/>
  <c r="AQ39" i="7" a="1"/>
  <c r="AY11" i="7" a="1"/>
  <c r="AI33" i="7" a="1"/>
  <c r="BC40" i="7" a="1"/>
  <c r="AI26" i="6" a="1"/>
  <c r="AU34" i="6" a="1"/>
  <c r="AQ11" i="6" a="1"/>
  <c r="AI23" i="6" a="1"/>
  <c r="AQ42" i="6" a="1"/>
  <c r="AI15" i="6" a="1"/>
  <c r="AI41" i="6" a="1"/>
  <c r="BC41" i="6" a="1"/>
  <c r="AQ21" i="6" a="1"/>
  <c r="AI5" i="6" a="1"/>
  <c r="AQ35" i="6" a="1"/>
  <c r="AM6" i="6" a="1"/>
  <c r="AY25" i="6" a="1"/>
  <c r="AY39" i="7" a="1"/>
  <c r="AQ22" i="7" a="1"/>
  <c r="BC16" i="7" a="1"/>
  <c r="AI43" i="7" a="1"/>
  <c r="AU42" i="6" a="1"/>
  <c r="AU26" i="6" a="1"/>
  <c r="AQ36" i="6" a="1"/>
  <c r="AQ28" i="6" a="1"/>
  <c r="AQ6" i="7" a="1"/>
  <c r="AM40" i="7" a="1"/>
  <c r="AQ14" i="7" a="1"/>
  <c r="BC13" i="6" a="1"/>
  <c r="AI35" i="6" a="1"/>
  <c r="BC9" i="6" a="1"/>
  <c r="AM7" i="6" a="1"/>
  <c r="BC16" i="6" a="1"/>
  <c r="AI22" i="6" a="1"/>
  <c r="AU25" i="6" a="1"/>
  <c r="AY23" i="6" a="1"/>
  <c r="AI16" i="6" a="1"/>
  <c r="AU14" i="7" a="1"/>
  <c r="AI40" i="7" a="1"/>
  <c r="BC13" i="7" a="1"/>
  <c r="AI16" i="7" a="1"/>
  <c r="AU18" i="7" a="1"/>
  <c r="AU9" i="7" a="1"/>
  <c r="AU12" i="6" a="1"/>
  <c r="AQ9" i="6" a="1"/>
  <c r="AQ22" i="6" a="1"/>
  <c r="BC29" i="7" a="1"/>
  <c r="AQ23" i="7" a="1"/>
  <c r="BC35" i="7" a="1"/>
  <c r="AU6" i="7" a="1"/>
  <c r="AM21" i="7" a="1"/>
  <c r="BC38" i="7" a="1"/>
  <c r="BC36" i="7" a="1"/>
  <c r="BC25" i="7" a="1"/>
  <c r="AI39" i="7" a="1"/>
  <c r="AI44" i="6" a="1"/>
  <c r="AY9" i="6" a="1"/>
  <c r="AQ5" i="6" a="1"/>
  <c r="AQ8" i="6" a="1"/>
  <c r="AQ6" i="6" a="1"/>
  <c r="AQ7" i="6" a="1"/>
  <c r="AQ8" i="7" a="1"/>
  <c r="AM35" i="7" a="1"/>
  <c r="AQ43" i="7" a="1"/>
  <c r="AY33" i="7" a="1"/>
  <c r="AY13" i="7" a="1"/>
  <c r="AQ41" i="7" a="1"/>
  <c r="AM34" i="7" a="1"/>
  <c r="AI24" i="7" a="1"/>
  <c r="AI21" i="7" a="1"/>
  <c r="AM11" i="7" a="1"/>
  <c r="AI25" i="7" a="1"/>
  <c r="AQ5" i="7" a="1"/>
  <c r="AQ38" i="7" a="1"/>
  <c r="AY14" i="6" a="1"/>
  <c r="AM13" i="6" a="1"/>
  <c r="AU14" i="6" a="1"/>
  <c r="BC33" i="6" a="1"/>
  <c r="AY13" i="6" a="1"/>
  <c r="AQ24" i="6" a="1"/>
  <c r="BC14" i="6" a="1"/>
  <c r="AI8" i="6" a="1"/>
  <c r="BC40" i="6" a="1"/>
  <c r="AQ12" i="6" a="1"/>
  <c r="AY26" i="6" a="1"/>
  <c r="AI17" i="6" a="1"/>
  <c r="AE30" i="4" a="1"/>
  <c r="AM12" i="6" a="1"/>
  <c r="AM10" i="6" a="1"/>
  <c r="AM11" i="6" a="1"/>
  <c r="AM9" i="6" a="1"/>
  <c r="AI34" i="7" a="1"/>
  <c r="AI31" i="7" a="1"/>
  <c r="AQ20" i="7" a="1"/>
  <c r="AM38" i="7" a="1"/>
  <c r="AQ37" i="7" a="1"/>
  <c r="BC44" i="7" a="1"/>
  <c r="AU13" i="7" a="1"/>
  <c r="BC22" i="7" a="1"/>
  <c r="AI42" i="7" a="1"/>
  <c r="AM24" i="7" a="1"/>
  <c r="AI23" i="7" a="1"/>
  <c r="AM19" i="7" a="1"/>
  <c r="AM31" i="7" a="1"/>
  <c r="BC17" i="6" a="1"/>
  <c r="BC37" i="6" a="1"/>
  <c r="AM21" i="6" a="1"/>
  <c r="AI33" i="6" a="1"/>
  <c r="AY37" i="6" a="1"/>
  <c r="AY12" i="6" a="1"/>
  <c r="BC44" i="6" a="1"/>
  <c r="AI27" i="6" a="1"/>
  <c r="AU28" i="6" a="1"/>
  <c r="AY11" i="6" a="1"/>
  <c r="AI24" i="6" a="1"/>
  <c r="AQ27" i="6" a="1"/>
  <c r="AE34" i="4" a="1"/>
  <c r="AQ13" i="6" a="1"/>
  <c r="AQ15" i="6" a="1"/>
  <c r="AQ14" i="6" a="1"/>
  <c r="AQ16" i="6" a="1"/>
  <c r="AM20" i="7" a="1"/>
  <c r="AI42" i="6" a="1"/>
  <c r="AM6" i="7" a="1"/>
  <c r="AM5" i="7" a="1"/>
  <c r="AM7" i="7" a="1"/>
  <c r="AM8" i="7" a="1"/>
  <c r="AQ32" i="7" a="1"/>
  <c r="BC17" i="7" a="1"/>
  <c r="AY43" i="7" a="1"/>
  <c r="AY38" i="7" a="1"/>
  <c r="AY31" i="7" a="1"/>
  <c r="BC5" i="7" a="1"/>
  <c r="AI8" i="7" a="1"/>
  <c r="AM25" i="7" a="1"/>
  <c r="AI13" i="7" a="1"/>
  <c r="AM32" i="7" a="1"/>
  <c r="AM44" i="7" a="1"/>
  <c r="BC34" i="7" a="1"/>
  <c r="AI32" i="7" a="1"/>
  <c r="AY17" i="6" a="1"/>
  <c r="BC38" i="6" a="1"/>
  <c r="AI40" i="6" a="1"/>
  <c r="AQ10" i="6" a="1"/>
  <c r="AY31" i="6" a="1"/>
  <c r="AM5" i="6" a="1"/>
  <c r="AQ32" i="6" a="1"/>
  <c r="AU44" i="6" a="1"/>
  <c r="BC15" i="6" a="1"/>
  <c r="AQ31" i="6" a="1"/>
  <c r="AM15" i="6" a="1"/>
  <c r="AI28" i="6" a="1"/>
  <c r="AE24" i="4" a="1"/>
  <c r="AQ20" i="6" a="1"/>
  <c r="AM20" i="6" a="1"/>
  <c r="AM19" i="6" a="1"/>
  <c r="AM17" i="6" a="1"/>
  <c r="AM18" i="6" a="1"/>
  <c r="AY27" i="7" a="1"/>
  <c r="AU8" i="7" a="1"/>
  <c r="AI7" i="7" a="1"/>
  <c r="AY12" i="7" a="1"/>
  <c r="BC24" i="7" a="1"/>
  <c r="AI44" i="7" a="1"/>
  <c r="AI28" i="7" a="1"/>
  <c r="BC7" i="7" a="1"/>
  <c r="AY30" i="7" a="1"/>
  <c r="AM10" i="7" a="1"/>
  <c r="AY10" i="7" a="1"/>
  <c r="AQ40" i="7" a="1"/>
  <c r="AY5" i="7" a="1"/>
  <c r="AY40" i="6" a="1"/>
  <c r="BC26" i="6" a="1"/>
  <c r="AY27" i="6" a="1"/>
  <c r="AI9" i="6" a="1"/>
  <c r="AU10" i="6" a="1"/>
  <c r="AU37" i="6" a="1"/>
  <c r="AU9" i="6" a="1"/>
  <c r="AQ30" i="6" a="1"/>
  <c r="AM14" i="6" a="1"/>
  <c r="AU36" i="6" a="1"/>
  <c r="AU8" i="6" a="1"/>
  <c r="BC42" i="6" a="1"/>
  <c r="AE31" i="4" a="1"/>
  <c r="AU11" i="6" a="1"/>
  <c r="BC10" i="7" a="1"/>
  <c r="AU19" i="6" a="1"/>
  <c r="BC24" i="6" a="1"/>
  <c r="BC21" i="6" a="1"/>
  <c r="BC22" i="6" a="1"/>
  <c r="BC23" i="6" a="1"/>
  <c r="BC21" i="7" a="1"/>
  <c r="AQ35" i="7" a="1"/>
  <c r="AQ26" i="7" a="1"/>
  <c r="AY16" i="7" a="1"/>
  <c r="AM27" i="7" a="1"/>
  <c r="AY44" i="7" a="1"/>
  <c r="BC28" i="7" a="1"/>
  <c r="AU7" i="7" a="1"/>
  <c r="AY7" i="7" a="1"/>
  <c r="AU16" i="7" a="1"/>
  <c r="AQ16" i="7" a="1"/>
  <c r="AQ19" i="7" a="1"/>
  <c r="AQ11" i="7" a="1"/>
  <c r="AQ40" i="6" a="1"/>
  <c r="AM23" i="6" a="1"/>
  <c r="AI18" i="6" a="1"/>
  <c r="AI14" i="6" a="1"/>
  <c r="BC20" i="6" a="1"/>
  <c r="BC25" i="6" a="1"/>
  <c r="AM22" i="6" a="1"/>
  <c r="BC32" i="6" a="1"/>
  <c r="AU6" i="6" a="1"/>
  <c r="AY32" i="6" a="1"/>
  <c r="AI37" i="6" a="1"/>
  <c r="AY43" i="6" a="1"/>
  <c r="AE33" i="4" a="1"/>
  <c r="AU33" i="6" a="1"/>
  <c r="BC28" i="6" a="1"/>
  <c r="AU32" i="6" a="1"/>
  <c r="AY36" i="6" a="1"/>
  <c r="AU17" i="6" a="1"/>
  <c r="AU16" i="6" a="1"/>
  <c r="AY21" i="6" a="1"/>
  <c r="BC35" i="6" a="1"/>
  <c r="AI13" i="6" a="1"/>
  <c r="AU30" i="6" a="1"/>
  <c r="AY20" i="6" a="1"/>
  <c r="BC6" i="6" a="1"/>
  <c r="AQ18" i="6" a="1"/>
  <c r="AY10" i="6" a="1"/>
  <c r="AU15" i="6" a="1"/>
  <c r="AY44" i="6" a="1"/>
  <c r="AM41" i="7" a="1"/>
  <c r="BC30" i="6" a="1"/>
  <c r="AM26" i="7" a="1"/>
  <c r="AM29" i="7" a="1"/>
  <c r="AM30" i="7" a="1"/>
  <c r="AY26" i="7" a="1"/>
  <c r="AI6" i="7" a="1"/>
  <c r="BC19" i="7" a="1"/>
  <c r="AQ21" i="7" a="1"/>
  <c r="AM28" i="7" a="1"/>
  <c r="AM9" i="7" a="1"/>
  <c r="AU15" i="7" a="1"/>
  <c r="AY41" i="7" a="1"/>
  <c r="AQ13" i="7" a="1"/>
  <c r="BC27" i="7" a="1"/>
  <c r="BC10" i="6" a="1"/>
  <c r="AQ26" i="6" a="1"/>
  <c r="AY29" i="6" a="1"/>
  <c r="AI25" i="6" a="1"/>
  <c r="AU35" i="6" a="1"/>
  <c r="AQ41" i="6" a="1"/>
  <c r="BC5" i="6" a="1"/>
  <c r="AI38" i="6" a="1"/>
  <c r="AY8" i="6" a="1"/>
  <c r="BC43" i="6" a="1"/>
  <c r="AY7" i="6" a="1"/>
  <c r="AJ24" i="4" a="1"/>
  <c r="AY42" i="6" a="1"/>
  <c r="AY22" i="6" a="1"/>
  <c r="AQ23" i="6" a="1"/>
  <c r="AY40" i="7" a="1"/>
  <c r="AI5" i="7" a="1"/>
  <c r="AU20" i="7" a="1"/>
  <c r="AQ44" i="7" a="1"/>
  <c r="AQ36" i="7" a="1"/>
  <c r="AI36" i="6" a="1"/>
  <c r="AU24" i="6" a="1"/>
  <c r="BC7" i="6" a="1"/>
  <c r="AU23" i="6" a="1"/>
  <c r="AQ44" i="6" a="1"/>
  <c r="AQ37" i="6" a="1"/>
  <c r="AQ19" i="6" a="1"/>
  <c r="AU17" i="7" a="1"/>
  <c r="AY8" i="7" a="1"/>
  <c r="AQ7" i="7" a="1"/>
  <c r="AU5" i="7" a="1"/>
  <c r="AU23" i="7" a="1"/>
  <c r="BC20" i="7" a="1"/>
  <c r="AY37" i="7" a="1"/>
  <c r="BC6" i="7" a="1"/>
  <c r="AU22" i="7" a="1"/>
  <c r="AY17" i="7" a="1"/>
  <c r="AM39" i="7" a="1"/>
  <c r="AQ25" i="7" a="1"/>
  <c r="AM37" i="7" a="1"/>
  <c r="AY15" i="6" a="1"/>
  <c r="AI29" i="6" a="1"/>
  <c r="AQ17" i="6" a="1"/>
  <c r="AY28" i="6" a="1"/>
  <c r="AI32" i="6" a="1"/>
  <c r="AU5" i="6" a="1"/>
  <c r="AQ29" i="6" a="1"/>
  <c r="AM8" i="6" a="1"/>
  <c r="AY16" i="6" a="1"/>
  <c r="BC36" i="6" a="1"/>
  <c r="AY41" i="6" a="1"/>
  <c r="AU29" i="6" a="1"/>
  <c r="BC19" i="6" a="1"/>
  <c r="AE25" i="4" a="1"/>
  <c r="AY18" i="6" a="1"/>
  <c r="AI12" i="6" a="1"/>
  <c r="AY34" i="6" a="1"/>
  <c r="AE29" i="4" a="1"/>
  <c r="AI27" i="7" a="1"/>
  <c r="AI21" i="6" a="1"/>
  <c r="CP6" i="8" l="1"/>
  <c r="BC23" i="6"/>
  <c r="BC22" i="6"/>
  <c r="BC21" i="6"/>
  <c r="BC24" i="6"/>
  <c r="AM18" i="6"/>
  <c r="AM17" i="6"/>
  <c r="AM19" i="6"/>
  <c r="AM20" i="6"/>
  <c r="AM8" i="7"/>
  <c r="AM7" i="7"/>
  <c r="AM5" i="7"/>
  <c r="AN5" i="7" s="1"/>
  <c r="AO5" i="7" s="1"/>
  <c r="AM6" i="7"/>
  <c r="AQ16" i="6"/>
  <c r="AQ14" i="6"/>
  <c r="AQ15" i="6"/>
  <c r="AQ13" i="6"/>
  <c r="AM9" i="6"/>
  <c r="AM11" i="6"/>
  <c r="AM10" i="6"/>
  <c r="AM12" i="6"/>
  <c r="AQ7" i="6"/>
  <c r="AQ6" i="6"/>
  <c r="AQ8" i="6"/>
  <c r="AQ5" i="6"/>
  <c r="AR5" i="6" s="1"/>
  <c r="AS5" i="6" s="1"/>
  <c r="EO5" i="8"/>
  <c r="EP5" i="8" s="1"/>
  <c r="EQ5" i="8" s="1"/>
  <c r="ER5" i="8" s="1"/>
  <c r="CQ5" i="8"/>
  <c r="CR5" i="8" s="1"/>
  <c r="AI17" i="6"/>
  <c r="AI18" i="6"/>
  <c r="AI20" i="6"/>
  <c r="AI19" i="6"/>
  <c r="AY20" i="6"/>
  <c r="AY19" i="6"/>
  <c r="AY17" i="6"/>
  <c r="AY18" i="6"/>
  <c r="AQ20" i="6"/>
  <c r="AQ18" i="6"/>
  <c r="AQ19" i="6"/>
  <c r="AQ17" i="6"/>
  <c r="BC16" i="7"/>
  <c r="BC14" i="7"/>
  <c r="BC15" i="7"/>
  <c r="BC13" i="7"/>
  <c r="AQ14" i="7"/>
  <c r="AQ15" i="7"/>
  <c r="AQ16" i="7"/>
  <c r="AQ13" i="7"/>
  <c r="AQ11" i="7"/>
  <c r="AQ12" i="7"/>
  <c r="AQ10" i="7"/>
  <c r="AQ9" i="7"/>
  <c r="AM9" i="7"/>
  <c r="AM12" i="7"/>
  <c r="AM11" i="7"/>
  <c r="AM10" i="7"/>
  <c r="BC9" i="7"/>
  <c r="BC11" i="7"/>
  <c r="BC12" i="7"/>
  <c r="BC10" i="7"/>
  <c r="AM24" i="7"/>
  <c r="AM23" i="7"/>
  <c r="AM22" i="7"/>
  <c r="AM21" i="7"/>
  <c r="AY10" i="7"/>
  <c r="AY12" i="7"/>
  <c r="AY11" i="7"/>
  <c r="AY9" i="7"/>
  <c r="AI23" i="7"/>
  <c r="AI22" i="7"/>
  <c r="AI21" i="7"/>
  <c r="AI24" i="7"/>
  <c r="AQ6" i="7"/>
  <c r="AQ8" i="7"/>
  <c r="AQ5" i="7"/>
  <c r="AR5" i="7" s="1"/>
  <c r="AS5" i="7" s="1"/>
  <c r="AQ7" i="7"/>
  <c r="AQ20" i="7"/>
  <c r="AQ18" i="7"/>
  <c r="AQ17" i="7"/>
  <c r="AQ19" i="7"/>
  <c r="AM20" i="7"/>
  <c r="AM19" i="7"/>
  <c r="AM17" i="7"/>
  <c r="AM18" i="7"/>
  <c r="BC20" i="7"/>
  <c r="BC19" i="7"/>
  <c r="BC17" i="7"/>
  <c r="BC18" i="7"/>
  <c r="AM30" i="7"/>
  <c r="AM33" i="7"/>
  <c r="AM27" i="7"/>
  <c r="AM32" i="7"/>
  <c r="AM29" i="7"/>
  <c r="AM31" i="7"/>
  <c r="AM26" i="7"/>
  <c r="AM44" i="7"/>
  <c r="AM43" i="7"/>
  <c r="AM42" i="7"/>
  <c r="AM41" i="7"/>
  <c r="AM40" i="7"/>
  <c r="AM39" i="7"/>
  <c r="AM38" i="7"/>
  <c r="AM37" i="7"/>
  <c r="AM36" i="7"/>
  <c r="AM35" i="7"/>
  <c r="AM28" i="7"/>
  <c r="AM34" i="7"/>
  <c r="AM25" i="7"/>
  <c r="AY18" i="7"/>
  <c r="AY20" i="7"/>
  <c r="AY19" i="7"/>
  <c r="AY17" i="7"/>
  <c r="AQ32" i="7"/>
  <c r="AQ29" i="7"/>
  <c r="AQ31" i="7"/>
  <c r="AQ26" i="7"/>
  <c r="AQ44" i="7"/>
  <c r="AQ43" i="7"/>
  <c r="AQ42" i="7"/>
  <c r="AQ41" i="7"/>
  <c r="AQ40" i="7"/>
  <c r="AQ39" i="7"/>
  <c r="AQ38" i="7"/>
  <c r="AQ37" i="7"/>
  <c r="AQ36" i="7"/>
  <c r="AQ35" i="7"/>
  <c r="AQ25" i="7"/>
  <c r="AQ34" i="7"/>
  <c r="AQ30" i="7"/>
  <c r="AQ27" i="7"/>
  <c r="AQ33" i="7"/>
  <c r="AQ28" i="7"/>
  <c r="AY7" i="7"/>
  <c r="AY5" i="7"/>
  <c r="AZ5" i="7" s="1"/>
  <c r="AY8" i="7"/>
  <c r="AY6" i="7"/>
  <c r="AI16" i="7"/>
  <c r="AI15" i="7"/>
  <c r="AI14" i="7"/>
  <c r="AI13" i="7"/>
  <c r="AY16" i="7"/>
  <c r="AY14" i="7"/>
  <c r="AY15" i="7"/>
  <c r="AY13" i="7"/>
  <c r="AU24" i="7"/>
  <c r="AU23" i="7"/>
  <c r="AU22" i="7"/>
  <c r="AU21" i="7"/>
  <c r="BC30" i="7"/>
  <c r="BC33" i="7"/>
  <c r="BC27" i="7"/>
  <c r="BC32" i="7"/>
  <c r="BC29" i="7"/>
  <c r="BC31" i="7"/>
  <c r="BC26" i="7"/>
  <c r="BC44" i="7"/>
  <c r="BC43" i="7"/>
  <c r="BC42" i="7"/>
  <c r="BC41" i="7"/>
  <c r="BC40" i="7"/>
  <c r="BC39" i="7"/>
  <c r="BC38" i="7"/>
  <c r="BC37" i="7"/>
  <c r="BC36" i="7"/>
  <c r="BC35" i="7"/>
  <c r="BC28" i="7"/>
  <c r="BC25" i="7"/>
  <c r="BC34" i="7"/>
  <c r="AU18" i="7"/>
  <c r="AU20" i="7"/>
  <c r="AU19" i="7"/>
  <c r="AU17" i="7"/>
  <c r="AU8" i="7"/>
  <c r="AU6" i="7"/>
  <c r="AU7" i="7"/>
  <c r="AU5" i="7"/>
  <c r="AV5" i="7" s="1"/>
  <c r="AI7" i="7"/>
  <c r="AI5" i="7"/>
  <c r="AJ5" i="7" s="1"/>
  <c r="AI8" i="7"/>
  <c r="AI6" i="7"/>
  <c r="BC24" i="7"/>
  <c r="BC23" i="7"/>
  <c r="BC22" i="7"/>
  <c r="BC21" i="7"/>
  <c r="AQ24" i="7"/>
  <c r="AQ22" i="7"/>
  <c r="AQ23" i="7"/>
  <c r="AQ21" i="7"/>
  <c r="AU12" i="7"/>
  <c r="AU11" i="7"/>
  <c r="AU10" i="7"/>
  <c r="AU9" i="7"/>
  <c r="AU13" i="7"/>
  <c r="AU14" i="7"/>
  <c r="AU16" i="7"/>
  <c r="AU15" i="7"/>
  <c r="AI44" i="7"/>
  <c r="AI43" i="7"/>
  <c r="AI42" i="7"/>
  <c r="AI41" i="7"/>
  <c r="AI40" i="7"/>
  <c r="AI39" i="7"/>
  <c r="AI38" i="7"/>
  <c r="AI37" i="7"/>
  <c r="AI36" i="7"/>
  <c r="AI35" i="7"/>
  <c r="AI28" i="7"/>
  <c r="AI25" i="7"/>
  <c r="AI34" i="7"/>
  <c r="AI30" i="7"/>
  <c r="AI33" i="7"/>
  <c r="AI27" i="7"/>
  <c r="AI29" i="7"/>
  <c r="AI26" i="7"/>
  <c r="AI32" i="7"/>
  <c r="AI31" i="7"/>
  <c r="AY44" i="7"/>
  <c r="AY43" i="7"/>
  <c r="AY42" i="7"/>
  <c r="AY41" i="7"/>
  <c r="AY40" i="7"/>
  <c r="AY39" i="7"/>
  <c r="AY38" i="7"/>
  <c r="AY37" i="7"/>
  <c r="AY36" i="7"/>
  <c r="AY35" i="7"/>
  <c r="AY28" i="7"/>
  <c r="AY25" i="7"/>
  <c r="AY34" i="7"/>
  <c r="AY30" i="7"/>
  <c r="AY33" i="7"/>
  <c r="AY27" i="7"/>
  <c r="AY29" i="7"/>
  <c r="AY32" i="7"/>
  <c r="AY31" i="7"/>
  <c r="AY26" i="7"/>
  <c r="BC8" i="7"/>
  <c r="BC6" i="7"/>
  <c r="BC5" i="7"/>
  <c r="BD5" i="7" s="1"/>
  <c r="BC7" i="7"/>
  <c r="Z6" i="7"/>
  <c r="AA6" i="7" s="1"/>
  <c r="AA5" i="7"/>
  <c r="BC20" i="6"/>
  <c r="BC19" i="6"/>
  <c r="BC17" i="6"/>
  <c r="BC18" i="6"/>
  <c r="AY8" i="6"/>
  <c r="AY6" i="6"/>
  <c r="AY7" i="6"/>
  <c r="AY5" i="6"/>
  <c r="AZ5" i="6" s="1"/>
  <c r="BA5" i="6" s="1"/>
  <c r="AI12" i="6"/>
  <c r="AI11" i="6"/>
  <c r="AI10" i="6"/>
  <c r="AI9" i="6"/>
  <c r="AU6" i="6"/>
  <c r="AU8" i="6"/>
  <c r="AU7" i="6"/>
  <c r="AU5" i="6"/>
  <c r="AV5" i="6" s="1"/>
  <c r="AY12" i="6"/>
  <c r="AY11" i="6"/>
  <c r="AY9" i="6"/>
  <c r="AY10" i="6"/>
  <c r="AQ12" i="6"/>
  <c r="AQ11" i="6"/>
  <c r="AQ10" i="6"/>
  <c r="AQ9" i="6"/>
  <c r="BC12" i="6"/>
  <c r="BC11" i="6"/>
  <c r="BC10" i="6"/>
  <c r="BC9" i="6"/>
  <c r="Z6" i="6"/>
  <c r="AA6" i="6" s="1"/>
  <c r="AI6" i="6"/>
  <c r="AI8" i="6"/>
  <c r="AI7" i="6"/>
  <c r="AI5" i="6"/>
  <c r="AJ5" i="6" s="1"/>
  <c r="BC13" i="6"/>
  <c r="BC14" i="6"/>
  <c r="BC15" i="6"/>
  <c r="BC16" i="6"/>
  <c r="AU15" i="6"/>
  <c r="AU13" i="6"/>
  <c r="AU16" i="6"/>
  <c r="AU14" i="6"/>
  <c r="AU29" i="6"/>
  <c r="AU31" i="6"/>
  <c r="AU26" i="6"/>
  <c r="AU28" i="6"/>
  <c r="AU25" i="6"/>
  <c r="AU34" i="6"/>
  <c r="AU30" i="6"/>
  <c r="AU27" i="6"/>
  <c r="AU32" i="6"/>
  <c r="AU40" i="6"/>
  <c r="AU35" i="6"/>
  <c r="AU43" i="6"/>
  <c r="AU38" i="6"/>
  <c r="AU41" i="6"/>
  <c r="AU42" i="6"/>
  <c r="AU44" i="6"/>
  <c r="AU36" i="6"/>
  <c r="AU33" i="6"/>
  <c r="AU39" i="6"/>
  <c r="AU37" i="6"/>
  <c r="AU22" i="6"/>
  <c r="AU21" i="6"/>
  <c r="AU24" i="6"/>
  <c r="AU23" i="6"/>
  <c r="AU9" i="6"/>
  <c r="AU12" i="6"/>
  <c r="AU11" i="6"/>
  <c r="AU10" i="6"/>
  <c r="AI15" i="6"/>
  <c r="AI13" i="6"/>
  <c r="AI16" i="6"/>
  <c r="AI14" i="6"/>
  <c r="AI31" i="6"/>
  <c r="AI26" i="6"/>
  <c r="AI44" i="6"/>
  <c r="AI43" i="6"/>
  <c r="AI42" i="6"/>
  <c r="AI41" i="6"/>
  <c r="AI40" i="6"/>
  <c r="AI39" i="6"/>
  <c r="AI38" i="6"/>
  <c r="AI37" i="6"/>
  <c r="AI36" i="6"/>
  <c r="AI35" i="6"/>
  <c r="AI25" i="6"/>
  <c r="AI34" i="6"/>
  <c r="AI30" i="6"/>
  <c r="AI33" i="6"/>
  <c r="AI27" i="6"/>
  <c r="AI32" i="6"/>
  <c r="AI29" i="6"/>
  <c r="AI28" i="6"/>
  <c r="AY31" i="6"/>
  <c r="AY26" i="6"/>
  <c r="AY44" i="6"/>
  <c r="AY43" i="6"/>
  <c r="AY42" i="6"/>
  <c r="AY41" i="6"/>
  <c r="AY40" i="6"/>
  <c r="AY39" i="6"/>
  <c r="AY38" i="6"/>
  <c r="AY37" i="6"/>
  <c r="AY36" i="6"/>
  <c r="AY35" i="6"/>
  <c r="AY25" i="6"/>
  <c r="AY34" i="6"/>
  <c r="AY30" i="6"/>
  <c r="AY33" i="6"/>
  <c r="AY27" i="6"/>
  <c r="AY32" i="6"/>
  <c r="AY29" i="6"/>
  <c r="AY28" i="6"/>
  <c r="BC7" i="6"/>
  <c r="BC5" i="6"/>
  <c r="BD5" i="6" s="1"/>
  <c r="BC8" i="6"/>
  <c r="BC6" i="6"/>
  <c r="AM24" i="6"/>
  <c r="AM23" i="6"/>
  <c r="AM22" i="6"/>
  <c r="AM21" i="6"/>
  <c r="AM13" i="6"/>
  <c r="AM14" i="6"/>
  <c r="AM15" i="6"/>
  <c r="AM16" i="6"/>
  <c r="AY15" i="6"/>
  <c r="AY13" i="6"/>
  <c r="AY16" i="6"/>
  <c r="AY14" i="6"/>
  <c r="AI23" i="6"/>
  <c r="AI22" i="6"/>
  <c r="AI21" i="6"/>
  <c r="AI24" i="6"/>
  <c r="AY23" i="6"/>
  <c r="AY22" i="6"/>
  <c r="AY21" i="6"/>
  <c r="AY24" i="6"/>
  <c r="AQ27" i="6"/>
  <c r="AQ29" i="6"/>
  <c r="AQ31" i="6"/>
  <c r="AQ26" i="6"/>
  <c r="AQ28" i="6"/>
  <c r="AQ34" i="6"/>
  <c r="AQ30" i="6"/>
  <c r="AQ35" i="6"/>
  <c r="AQ40" i="6"/>
  <c r="AQ38" i="6"/>
  <c r="AQ32" i="6"/>
  <c r="AQ41" i="6"/>
  <c r="AQ44" i="6"/>
  <c r="AQ36" i="6"/>
  <c r="AQ33" i="6"/>
  <c r="AQ25" i="6"/>
  <c r="AQ39" i="6"/>
  <c r="AQ42" i="6"/>
  <c r="AQ37" i="6"/>
  <c r="AQ43" i="6"/>
  <c r="AQ22" i="6"/>
  <c r="AQ21" i="6"/>
  <c r="AQ24" i="6"/>
  <c r="AQ23" i="6"/>
  <c r="BC34" i="6"/>
  <c r="BC33" i="6"/>
  <c r="BC27" i="6"/>
  <c r="BC32" i="6"/>
  <c r="BC29" i="6"/>
  <c r="BC31" i="6"/>
  <c r="BC26" i="6"/>
  <c r="BC44" i="6"/>
  <c r="BC43" i="6"/>
  <c r="BC42" i="6"/>
  <c r="BC41" i="6"/>
  <c r="BC40" i="6"/>
  <c r="BC39" i="6"/>
  <c r="BC38" i="6"/>
  <c r="BC37" i="6"/>
  <c r="BC36" i="6"/>
  <c r="BC35" i="6"/>
  <c r="BC28" i="6"/>
  <c r="BC25" i="6"/>
  <c r="BC30" i="6"/>
  <c r="AU17" i="6"/>
  <c r="AU18" i="6"/>
  <c r="AU20" i="6"/>
  <c r="AU19" i="6"/>
  <c r="AM8" i="6"/>
  <c r="AM6" i="6"/>
  <c r="AM7" i="6"/>
  <c r="AM5" i="6"/>
  <c r="AN5" i="6" s="1"/>
  <c r="AA5" i="6"/>
  <c r="AE32" i="4"/>
  <c r="AE33" i="4"/>
  <c r="AE31" i="4"/>
  <c r="AE30" i="4"/>
  <c r="AE29" i="4"/>
  <c r="AE28" i="4"/>
  <c r="AE27" i="4"/>
  <c r="AE26" i="4"/>
  <c r="AE25" i="4"/>
  <c r="AE34" i="4"/>
  <c r="AE24" i="4"/>
  <c r="AJ24" i="4"/>
  <c r="AL24" i="4" s="1"/>
  <c r="EO6" i="8" a="1"/>
  <c r="AJ25" i="4" a="1"/>
  <c r="AJ27" i="4" a="1"/>
  <c r="AJ26" i="4" a="1"/>
  <c r="EO6" i="8" l="1"/>
  <c r="EP6" i="8" s="1"/>
  <c r="EQ6" i="8" s="1"/>
  <c r="ER6" i="8" s="1"/>
  <c r="CQ6" i="8"/>
  <c r="CR6" i="8" s="1"/>
  <c r="CP7" i="8"/>
  <c r="CQ7" i="8" s="1"/>
  <c r="CR7" i="8" s="1"/>
  <c r="AR6" i="6"/>
  <c r="AS6" i="6" s="1"/>
  <c r="AN6" i="7"/>
  <c r="AN7" i="7" s="1"/>
  <c r="AN8" i="7" s="1"/>
  <c r="AZ6" i="6"/>
  <c r="AZ7" i="6" s="1"/>
  <c r="AZ8" i="6" s="1"/>
  <c r="BA8" i="6" s="1"/>
  <c r="AZ6" i="7"/>
  <c r="BA6" i="7" s="1"/>
  <c r="Z7" i="7"/>
  <c r="Z8" i="7" s="1"/>
  <c r="AR6" i="7"/>
  <c r="AK5" i="7"/>
  <c r="BA5" i="7"/>
  <c r="AJ6" i="7"/>
  <c r="AJ7" i="7" s="1"/>
  <c r="AJ8" i="7" s="1"/>
  <c r="BE5" i="7"/>
  <c r="AW5" i="7"/>
  <c r="BD6" i="7"/>
  <c r="BE6" i="7" s="1"/>
  <c r="AV6" i="7"/>
  <c r="AV7" i="7" s="1"/>
  <c r="AV6" i="6"/>
  <c r="AW6" i="6" s="1"/>
  <c r="AW5" i="6"/>
  <c r="Z7" i="6"/>
  <c r="AA7" i="6" s="1"/>
  <c r="AN6" i="6"/>
  <c r="AO6" i="6" s="1"/>
  <c r="AJ6" i="6"/>
  <c r="AJ7" i="6" s="1"/>
  <c r="AO5" i="6"/>
  <c r="BE5" i="6"/>
  <c r="BD6" i="6"/>
  <c r="AK5" i="6"/>
  <c r="AJ27" i="4"/>
  <c r="AL27" i="4" s="1"/>
  <c r="AJ25" i="4"/>
  <c r="AL25" i="4" s="1"/>
  <c r="AJ26" i="4"/>
  <c r="AL26" i="4" s="1"/>
  <c r="EO7" i="8" a="1"/>
  <c r="EO7" i="8" l="1"/>
  <c r="EP7" i="8" s="1"/>
  <c r="EQ7" i="8" s="1"/>
  <c r="ER7" i="8" s="1"/>
  <c r="CP8" i="8"/>
  <c r="AR7" i="6"/>
  <c r="AR8" i="6" s="1"/>
  <c r="AR9" i="6" s="1"/>
  <c r="AR10" i="6" s="1"/>
  <c r="AO6" i="7"/>
  <c r="AO7" i="7"/>
  <c r="Z8" i="6"/>
  <c r="Z9" i="6" s="1"/>
  <c r="AA9" i="6" s="1"/>
  <c r="AA7" i="7"/>
  <c r="AZ7" i="7"/>
  <c r="BA7" i="7" s="1"/>
  <c r="BA7" i="6"/>
  <c r="BA6" i="6"/>
  <c r="AA8" i="7"/>
  <c r="AK6" i="7"/>
  <c r="BD7" i="7"/>
  <c r="BD8" i="7" s="1"/>
  <c r="BD9" i="7" s="1"/>
  <c r="BE9" i="7" s="1"/>
  <c r="AS6" i="7"/>
  <c r="AR7" i="7"/>
  <c r="AV8" i="7"/>
  <c r="Z9" i="7"/>
  <c r="AK7" i="7"/>
  <c r="AW6" i="7"/>
  <c r="AJ9" i="7"/>
  <c r="AK9" i="7" s="1"/>
  <c r="AN9" i="7"/>
  <c r="AO8" i="7"/>
  <c r="AK8" i="7"/>
  <c r="AW7" i="7"/>
  <c r="AV7" i="6"/>
  <c r="AN7" i="6"/>
  <c r="AN8" i="6" s="1"/>
  <c r="BE6" i="6"/>
  <c r="AK7" i="6"/>
  <c r="BD7" i="6"/>
  <c r="AK6" i="6"/>
  <c r="AZ9" i="6"/>
  <c r="AJ8" i="6"/>
  <c r="A5" i="5"/>
  <c r="AK5" i="5"/>
  <c r="AC6" i="5"/>
  <c r="AD6" i="5"/>
  <c r="D7" i="5"/>
  <c r="AC7" i="5" s="1"/>
  <c r="O7" i="5"/>
  <c r="AJ10" i="5"/>
  <c r="AK10" i="5"/>
  <c r="AJ11" i="5"/>
  <c r="AK11" i="5"/>
  <c r="AJ12" i="5"/>
  <c r="AK12" i="5"/>
  <c r="AJ13" i="5"/>
  <c r="AK13" i="5"/>
  <c r="AJ14" i="5"/>
  <c r="AK14" i="5"/>
  <c r="AJ15" i="5"/>
  <c r="AK15" i="5"/>
  <c r="AJ16" i="5"/>
  <c r="AK16" i="5"/>
  <c r="AJ17" i="5"/>
  <c r="AK17" i="5"/>
  <c r="AJ18" i="5"/>
  <c r="AK18" i="5"/>
  <c r="AJ19" i="5"/>
  <c r="AK19" i="5"/>
  <c r="AJ20" i="5"/>
  <c r="AK20" i="5"/>
  <c r="AH28" i="5"/>
  <c r="C22" i="5" s="1"/>
  <c r="R8" i="4"/>
  <c r="R9" i="4"/>
  <c r="R10" i="4"/>
  <c r="R11" i="4"/>
  <c r="R12" i="4"/>
  <c r="R13" i="4"/>
  <c r="R14" i="4"/>
  <c r="R15" i="4"/>
  <c r="R16" i="4"/>
  <c r="R17" i="4"/>
  <c r="AK24" i="4"/>
  <c r="S26" i="1"/>
  <c r="S35" i="1"/>
  <c r="S33" i="1"/>
  <c r="S34" i="1" s="1"/>
  <c r="S31" i="1"/>
  <c r="S32" i="1" s="1"/>
  <c r="S29" i="1"/>
  <c r="S30" i="1" s="1"/>
  <c r="S27" i="1"/>
  <c r="S28" i="1" s="1"/>
  <c r="D14" i="3"/>
  <c r="W4" i="3"/>
  <c r="S4" i="3"/>
  <c r="R4" i="3"/>
  <c r="Q5" i="3"/>
  <c r="F5" i="3"/>
  <c r="D16" i="3"/>
  <c r="L53" i="1"/>
  <c r="M53" i="1"/>
  <c r="N53" i="1"/>
  <c r="O53" i="1"/>
  <c r="P53" i="1"/>
  <c r="M54" i="1"/>
  <c r="N54" i="1"/>
  <c r="O54" i="1"/>
  <c r="P54" i="1"/>
  <c r="N55" i="1"/>
  <c r="O55" i="1"/>
  <c r="P55" i="1"/>
  <c r="O56" i="1"/>
  <c r="P56" i="1"/>
  <c r="P57" i="1"/>
  <c r="AG5" i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T4" i="1"/>
  <c r="T5" i="1"/>
  <c r="T6" i="1"/>
  <c r="T7" i="1"/>
  <c r="T8" i="1"/>
  <c r="T9" i="1"/>
  <c r="Q4" i="1"/>
  <c r="O27" i="1" s="1"/>
  <c r="Q5" i="1"/>
  <c r="O28" i="1" s="1"/>
  <c r="Q6" i="1"/>
  <c r="O29" i="1" s="1"/>
  <c r="Q7" i="1"/>
  <c r="O30" i="1" s="1"/>
  <c r="Q8" i="1"/>
  <c r="O31" i="1" s="1"/>
  <c r="Q9" i="1"/>
  <c r="O32" i="1" s="1"/>
  <c r="M9" i="1"/>
  <c r="EO8" i="8" a="1"/>
  <c r="T35" i="1" a="1"/>
  <c r="T34" i="1" a="1"/>
  <c r="AB10" i="4" a="1"/>
  <c r="T25" i="1" a="1"/>
  <c r="T31" i="1" a="1"/>
  <c r="T30" i="1" a="1"/>
  <c r="T29" i="1" a="1"/>
  <c r="AO24" i="8" a="1"/>
  <c r="AO23" i="8" a="1"/>
  <c r="AO22" i="8" a="1"/>
  <c r="AO21" i="8" a="1"/>
  <c r="AO20" i="8" a="1"/>
  <c r="AO18" i="8" a="1"/>
  <c r="AO19" i="8" a="1"/>
  <c r="AO17" i="8" a="1"/>
  <c r="AO16" i="8" a="1"/>
  <c r="AO15" i="8" a="1"/>
  <c r="AO14" i="8" a="1"/>
  <c r="AO13" i="8" a="1"/>
  <c r="AO12" i="8" a="1"/>
  <c r="AO11" i="8" a="1"/>
  <c r="AO10" i="8" a="1"/>
  <c r="AO9" i="8" a="1"/>
  <c r="AO8" i="8" a="1"/>
  <c r="AO7" i="8" a="1"/>
  <c r="AO6" i="8" a="1"/>
  <c r="AO5" i="8" a="1"/>
  <c r="T26" i="1" a="1"/>
  <c r="AB15" i="4" a="1"/>
  <c r="AB14" i="4" a="1"/>
  <c r="AB8" i="4" a="1"/>
  <c r="H5" i="3" a="1"/>
  <c r="AB13" i="4" a="1"/>
  <c r="T24" i="1" a="1"/>
  <c r="AB12" i="4" a="1"/>
  <c r="T27" i="1" a="1"/>
  <c r="T33" i="1" a="1"/>
  <c r="AB17" i="4" a="1"/>
  <c r="T32" i="1" a="1"/>
  <c r="AB16" i="4" a="1"/>
  <c r="Y4" i="1" a="1"/>
  <c r="T28" i="1" a="1"/>
  <c r="AB11" i="4" a="1"/>
  <c r="AB9" i="4" a="1"/>
  <c r="S5" i="3" a="1"/>
  <c r="AS9" i="6" l="1"/>
  <c r="AS7" i="6"/>
  <c r="EO8" i="8"/>
  <c r="EP8" i="8" s="1"/>
  <c r="EQ8" i="8" s="1"/>
  <c r="ER8" i="8" s="1"/>
  <c r="CP9" i="8"/>
  <c r="CQ8" i="8"/>
  <c r="CR8" i="8" s="1"/>
  <c r="AS8" i="6"/>
  <c r="AA8" i="6"/>
  <c r="D8" i="5"/>
  <c r="D9" i="5" s="1"/>
  <c r="D10" i="5" s="1"/>
  <c r="AO5" i="8"/>
  <c r="AP5" i="8" s="1"/>
  <c r="AQ5" i="8" s="1"/>
  <c r="AR5" i="8" s="1"/>
  <c r="AO6" i="8"/>
  <c r="AO7" i="8"/>
  <c r="AO8" i="8"/>
  <c r="AO9" i="8"/>
  <c r="AO10" i="8"/>
  <c r="AO11" i="8"/>
  <c r="AO12" i="8"/>
  <c r="AO13" i="8"/>
  <c r="AO14" i="8"/>
  <c r="AO15" i="8"/>
  <c r="AO16" i="8"/>
  <c r="AO17" i="8"/>
  <c r="AO19" i="8"/>
  <c r="AO18" i="8"/>
  <c r="AO20" i="8"/>
  <c r="AO21" i="8"/>
  <c r="AO22" i="8"/>
  <c r="AO23" i="8"/>
  <c r="AO24" i="8"/>
  <c r="S5" i="3"/>
  <c r="H5" i="3"/>
  <c r="AZ8" i="7"/>
  <c r="BA8" i="7" s="1"/>
  <c r="BE7" i="7"/>
  <c r="BE8" i="7"/>
  <c r="AR8" i="7"/>
  <c r="AR9" i="7" s="1"/>
  <c r="AS7" i="7"/>
  <c r="Z10" i="7"/>
  <c r="AJ10" i="7"/>
  <c r="AK10" i="7" s="1"/>
  <c r="AA9" i="7"/>
  <c r="AN10" i="7"/>
  <c r="AO9" i="7"/>
  <c r="BD10" i="7"/>
  <c r="AV9" i="7"/>
  <c r="AW9" i="7" s="1"/>
  <c r="AW8" i="7"/>
  <c r="AO8" i="6"/>
  <c r="AW7" i="6"/>
  <c r="AV8" i="6"/>
  <c r="AW8" i="6" s="1"/>
  <c r="AO7" i="6"/>
  <c r="Z10" i="6"/>
  <c r="AA10" i="6" s="1"/>
  <c r="AZ10" i="6"/>
  <c r="BA10" i="6" s="1"/>
  <c r="AK8" i="6"/>
  <c r="BA9" i="6"/>
  <c r="AR11" i="6"/>
  <c r="AS11" i="6" s="1"/>
  <c r="AS10" i="6"/>
  <c r="BD8" i="6"/>
  <c r="AJ9" i="6"/>
  <c r="BE7" i="6"/>
  <c r="AN9" i="6"/>
  <c r="I7" i="5"/>
  <c r="H7" i="5"/>
  <c r="U6" i="5"/>
  <c r="T6" i="5"/>
  <c r="H6" i="5"/>
  <c r="K6" i="5"/>
  <c r="Q6" i="3"/>
  <c r="K7" i="5"/>
  <c r="W6" i="5"/>
  <c r="Q6" i="5"/>
  <c r="P6" i="5" s="1"/>
  <c r="T34" i="1"/>
  <c r="T35" i="1"/>
  <c r="T28" i="1"/>
  <c r="T29" i="1"/>
  <c r="T32" i="1"/>
  <c r="T33" i="1"/>
  <c r="T24" i="1"/>
  <c r="T25" i="1"/>
  <c r="T30" i="1"/>
  <c r="T31" i="1"/>
  <c r="T26" i="1"/>
  <c r="T27" i="1"/>
  <c r="E6" i="5"/>
  <c r="I6" i="5"/>
  <c r="J6" i="5"/>
  <c r="J7" i="5"/>
  <c r="O8" i="5"/>
  <c r="AD7" i="5"/>
  <c r="T7" i="5" s="1"/>
  <c r="Y6" i="5"/>
  <c r="Y4" i="1"/>
  <c r="BB10" i="1"/>
  <c r="AT9" i="1"/>
  <c r="AH5" i="1"/>
  <c r="BB7" i="1"/>
  <c r="AL8" i="1"/>
  <c r="AL6" i="1"/>
  <c r="AB13" i="4"/>
  <c r="AA13" i="4" s="1"/>
  <c r="AB8" i="4"/>
  <c r="AA8" i="4" s="1"/>
  <c r="AB17" i="4"/>
  <c r="AA17" i="4" s="1"/>
  <c r="AB12" i="4"/>
  <c r="AA12" i="4" s="1"/>
  <c r="AB9" i="4"/>
  <c r="AA9" i="4" s="1"/>
  <c r="AB15" i="4"/>
  <c r="AA15" i="4" s="1"/>
  <c r="AB14" i="4"/>
  <c r="AA14" i="4" s="1"/>
  <c r="AB11" i="4"/>
  <c r="AA11" i="4" s="1"/>
  <c r="AB10" i="4"/>
  <c r="AA10" i="4" s="1"/>
  <c r="AB16" i="4"/>
  <c r="AA16" i="4" s="1"/>
  <c r="G5" i="3"/>
  <c r="F6" i="3"/>
  <c r="D15" i="3"/>
  <c r="R5" i="3" s="1"/>
  <c r="AP7" i="1"/>
  <c r="AT8" i="1"/>
  <c r="AH7" i="1"/>
  <c r="AX7" i="1"/>
  <c r="AX9" i="1"/>
  <c r="AH10" i="1"/>
  <c r="AL7" i="1"/>
  <c r="AL9" i="1"/>
  <c r="BB5" i="1"/>
  <c r="AP6" i="1"/>
  <c r="BB6" i="1"/>
  <c r="AX6" i="1"/>
  <c r="AH6" i="1"/>
  <c r="AT6" i="1"/>
  <c r="AP5" i="1"/>
  <c r="AX5" i="1"/>
  <c r="AT5" i="1"/>
  <c r="AL5" i="1"/>
  <c r="AP10" i="1"/>
  <c r="AX10" i="1"/>
  <c r="AT10" i="1"/>
  <c r="AL10" i="1"/>
  <c r="AT7" i="1"/>
  <c r="AP9" i="1"/>
  <c r="BB9" i="1"/>
  <c r="BB8" i="1"/>
  <c r="AP8" i="1"/>
  <c r="AH8" i="1"/>
  <c r="AX8" i="1"/>
  <c r="AH9" i="1"/>
  <c r="L19" i="1"/>
  <c r="M19" i="1" s="1"/>
  <c r="L16" i="1"/>
  <c r="M16" i="1" s="1"/>
  <c r="L15" i="1"/>
  <c r="M15" i="1" s="1"/>
  <c r="L18" i="1"/>
  <c r="M18" i="1" s="1"/>
  <c r="L17" i="1"/>
  <c r="M17" i="1" s="1"/>
  <c r="L14" i="1"/>
  <c r="M14" i="1" s="1"/>
  <c r="X5" i="1"/>
  <c r="EO9" i="8" a="1"/>
  <c r="AY7" i="1" a="1"/>
  <c r="AQ20" i="1" a="1"/>
  <c r="AQ7" i="1" a="1"/>
  <c r="BC17" i="1" a="1"/>
  <c r="AI38" i="1" a="1"/>
  <c r="AQ35" i="1" a="1"/>
  <c r="AU20" i="1" a="1"/>
  <c r="AU15" i="1" a="1"/>
  <c r="AY23" i="1" a="1"/>
  <c r="AY14" i="1" a="1"/>
  <c r="AU40" i="1" a="1"/>
  <c r="BC16" i="1" a="1"/>
  <c r="BC5" i="1" a="1"/>
  <c r="AM36" i="1" a="1"/>
  <c r="AY5" i="1" a="1"/>
  <c r="AI21" i="1" a="1"/>
  <c r="AY37" i="1" a="1"/>
  <c r="BC9" i="1" a="1"/>
  <c r="BC12" i="1" a="1"/>
  <c r="AQ9" i="1" a="1"/>
  <c r="BC42" i="1" a="1"/>
  <c r="AU18" i="1" a="1"/>
  <c r="AQ15" i="1" a="1"/>
  <c r="AM17" i="1" a="1"/>
  <c r="AQ11" i="1" a="1"/>
  <c r="AY39" i="1" a="1"/>
  <c r="AU38" i="1" a="1"/>
  <c r="BC30" i="1" a="1"/>
  <c r="BC13" i="1" a="1"/>
  <c r="AM10" i="1" a="1"/>
  <c r="AM6" i="1" a="1"/>
  <c r="AJ32" i="4" a="1"/>
  <c r="AQ5" i="1" a="1"/>
  <c r="AU41" i="1" a="1"/>
  <c r="AQ23" i="1" a="1"/>
  <c r="BC19" i="1" a="1"/>
  <c r="AI9" i="1" a="1"/>
  <c r="AU23" i="1" a="1"/>
  <c r="AM5" i="1" a="1"/>
  <c r="BC36" i="1" a="1"/>
  <c r="AQ30" i="1" a="1"/>
  <c r="BC10" i="1" a="1"/>
  <c r="AQ41" i="1" a="1"/>
  <c r="AY26" i="1" a="1"/>
  <c r="AU10" i="1" a="1"/>
  <c r="AU5" i="1" a="1"/>
  <c r="BC8" i="1" a="1"/>
  <c r="AJ28" i="4" a="1"/>
  <c r="BC15" i="1" a="1"/>
  <c r="AQ39" i="1" a="1"/>
  <c r="AI31" i="1" a="1"/>
  <c r="AU9" i="1" a="1"/>
  <c r="AY32" i="1" a="1"/>
  <c r="AM25" i="1" a="1"/>
  <c r="AI39" i="1" a="1"/>
  <c r="BC6" i="1" a="1"/>
  <c r="AY30" i="1" a="1"/>
  <c r="AQ17" i="1" a="1"/>
  <c r="BC37" i="1" a="1"/>
  <c r="AU19" i="1" a="1"/>
  <c r="BC43" i="1" a="1"/>
  <c r="BC32" i="1" a="1"/>
  <c r="AQ28" i="1" a="1"/>
  <c r="AY17" i="1" a="1"/>
  <c r="AJ33" i="4" a="1"/>
  <c r="AM43" i="1" a="1"/>
  <c r="AI27" i="1" a="1"/>
  <c r="AM16" i="1" a="1"/>
  <c r="AY34" i="1" a="1"/>
  <c r="AY33" i="1" a="1"/>
  <c r="AU30" i="1" a="1"/>
  <c r="AU36" i="1" a="1"/>
  <c r="AQ26" i="1" a="1"/>
  <c r="AY11" i="1" a="1"/>
  <c r="BC11" i="1" a="1"/>
  <c r="AQ8" i="1" a="1"/>
  <c r="AI15" i="1" a="1"/>
  <c r="AI33" i="1" a="1"/>
  <c r="AM20" i="1" a="1"/>
  <c r="AY27" i="1" a="1"/>
  <c r="AJ34" i="4" a="1"/>
  <c r="AM28" i="1" a="1"/>
  <c r="AY8" i="1" a="1"/>
  <c r="AM35" i="1" a="1"/>
  <c r="AY9" i="1" a="1"/>
  <c r="AY18" i="1" a="1"/>
  <c r="BC41" i="1" a="1"/>
  <c r="AY24" i="1" a="1"/>
  <c r="AI42" i="1" a="1"/>
  <c r="BC33" i="1" a="1"/>
  <c r="AM37" i="1" a="1"/>
  <c r="AU42" i="1" a="1"/>
  <c r="AY6" i="1" a="1"/>
  <c r="AM24" i="1" a="1"/>
  <c r="AJ30" i="4" a="1"/>
  <c r="BC39" i="1" a="1"/>
  <c r="AI28" i="1" a="1"/>
  <c r="BC21" i="1" a="1"/>
  <c r="AM30" i="1" a="1"/>
  <c r="AM33" i="1" a="1"/>
  <c r="AM42" i="1" a="1"/>
  <c r="AI8" i="1" a="1"/>
  <c r="AI25" i="1" a="1"/>
  <c r="AU34" i="1" a="1"/>
  <c r="AY28" i="1" a="1"/>
  <c r="AQ29" i="1" a="1"/>
  <c r="AY12" i="1" a="1"/>
  <c r="AQ6" i="1" a="1"/>
  <c r="BC25" i="1" a="1"/>
  <c r="AQ22" i="1" a="1"/>
  <c r="AQ18" i="1" a="1"/>
  <c r="AI23" i="1" a="1"/>
  <c r="BC18" i="1" a="1"/>
  <c r="AM38" i="1" a="1"/>
  <c r="AU37" i="1" a="1"/>
  <c r="AY13" i="1" a="1"/>
  <c r="AM27" i="1" a="1"/>
  <c r="AM23" i="1" a="1"/>
  <c r="BC20" i="1" a="1"/>
  <c r="AY44" i="1" a="1"/>
  <c r="AQ37" i="1" a="1"/>
  <c r="AQ31" i="1" a="1"/>
  <c r="AI6" i="1" a="1"/>
  <c r="AU28" i="1" a="1"/>
  <c r="AI26" i="1" a="1"/>
  <c r="BC7" i="1" a="1"/>
  <c r="AM13" i="1" a="1"/>
  <c r="AJ29" i="4" a="1"/>
  <c r="AY15" i="1" a="1"/>
  <c r="BC28" i="1" a="1"/>
  <c r="AY40" i="1" a="1"/>
  <c r="AQ14" i="1" a="1"/>
  <c r="AM9" i="1" a="1"/>
  <c r="AY25" i="1" a="1"/>
  <c r="AI17" i="1" a="1"/>
  <c r="AQ42" i="1" a="1"/>
  <c r="BC38" i="1" a="1"/>
  <c r="BC24" i="1" a="1"/>
  <c r="AI29" i="1" a="1"/>
  <c r="AM12" i="1" a="1"/>
  <c r="AM39" i="1" a="1"/>
  <c r="AI20" i="1" a="1"/>
  <c r="AY38" i="1" a="1"/>
  <c r="AU27" i="1" a="1"/>
  <c r="AI30" i="1" a="1"/>
  <c r="AI19" i="1" a="1"/>
  <c r="AM19" i="1" a="1"/>
  <c r="AI34" i="1" a="1"/>
  <c r="AU13" i="1" a="1"/>
  <c r="AU12" i="1" a="1"/>
  <c r="AY10" i="1" a="1"/>
  <c r="AQ16" i="1" a="1"/>
  <c r="AQ19" i="1" a="1"/>
  <c r="AM29" i="1" a="1"/>
  <c r="AI5" i="1" a="1"/>
  <c r="AY20" i="1" a="1"/>
  <c r="AU17" i="1" a="1"/>
  <c r="AI40" i="1" a="1"/>
  <c r="BC14" i="1" a="1"/>
  <c r="AI36" i="1" a="1"/>
  <c r="AI14" i="1" a="1"/>
  <c r="BC22" i="1" a="1"/>
  <c r="BC44" i="1" a="1"/>
  <c r="AQ12" i="1" a="1"/>
  <c r="AY21" i="1" a="1"/>
  <c r="AI12" i="1" a="1"/>
  <c r="AQ25" i="1" a="1"/>
  <c r="AQ27" i="1" a="1"/>
  <c r="AQ40" i="1" a="1"/>
  <c r="AI43" i="1" a="1"/>
  <c r="AM7" i="1" a="1"/>
  <c r="AM41" i="1" a="1"/>
  <c r="BC34" i="1" a="1"/>
  <c r="AM18" i="1" a="1"/>
  <c r="AY16" i="1" a="1"/>
  <c r="AU14" i="1" a="1"/>
  <c r="AU26" i="1" a="1"/>
  <c r="AM26" i="1" a="1"/>
  <c r="AQ44" i="1" a="1"/>
  <c r="BC35" i="1" a="1"/>
  <c r="AM11" i="1" a="1"/>
  <c r="AU16" i="1" a="1"/>
  <c r="AY36" i="1" a="1"/>
  <c r="BC29" i="1" a="1"/>
  <c r="AU8" i="1" a="1"/>
  <c r="AU6" i="1" a="1"/>
  <c r="AI24" i="1" a="1"/>
  <c r="AU32" i="1" a="1"/>
  <c r="AY29" i="1" a="1"/>
  <c r="AM32" i="1" a="1"/>
  <c r="AY42" i="1" a="1"/>
  <c r="AI7" i="1" a="1"/>
  <c r="AU44" i="1" a="1"/>
  <c r="AI37" i="1" a="1"/>
  <c r="AQ43" i="1" a="1"/>
  <c r="AU29" i="1" a="1"/>
  <c r="AQ36" i="1" a="1"/>
  <c r="AI16" i="1" a="1"/>
  <c r="AQ21" i="1" a="1"/>
  <c r="S6" i="3" a="1"/>
  <c r="AU7" i="1" a="1"/>
  <c r="AU39" i="1" a="1"/>
  <c r="AM8" i="1" a="1"/>
  <c r="BC27" i="1" a="1"/>
  <c r="BC23" i="1" a="1"/>
  <c r="AI10" i="1" a="1"/>
  <c r="AQ32" i="1" a="1"/>
  <c r="AJ31" i="4" a="1"/>
  <c r="AM44" i="1" a="1"/>
  <c r="AY19" i="1" a="1"/>
  <c r="AY22" i="1" a="1"/>
  <c r="AU21" i="1" a="1"/>
  <c r="AQ38" i="1" a="1"/>
  <c r="V6" i="5" a="1"/>
  <c r="AQ34" i="1" a="1"/>
  <c r="AI18" i="1" a="1"/>
  <c r="AM14" i="1" a="1"/>
  <c r="BC40" i="1" a="1"/>
  <c r="AQ13" i="1" a="1"/>
  <c r="BC26" i="1" a="1"/>
  <c r="BC31" i="1" a="1"/>
  <c r="AY35" i="1" a="1"/>
  <c r="AU43" i="1" a="1"/>
  <c r="AU11" i="1" a="1"/>
  <c r="AI13" i="1" a="1"/>
  <c r="AQ10" i="1" a="1"/>
  <c r="AY31" i="1" a="1"/>
  <c r="AU31" i="1" a="1"/>
  <c r="AM22" i="1" a="1"/>
  <c r="AU25" i="1" a="1"/>
  <c r="AI11" i="1" a="1"/>
  <c r="AI35" i="1" a="1"/>
  <c r="Y5" i="1" a="1"/>
  <c r="AU24" i="1" a="1"/>
  <c r="AM15" i="1" a="1"/>
  <c r="AI32" i="1" a="1"/>
  <c r="AY41" i="1" a="1"/>
  <c r="AQ24" i="1" a="1"/>
  <c r="AU33" i="1" a="1"/>
  <c r="AU35" i="1" a="1"/>
  <c r="AM21" i="1" a="1"/>
  <c r="AM34" i="1" a="1"/>
  <c r="AI22" i="1" a="1"/>
  <c r="AY43" i="1" a="1"/>
  <c r="AU22" i="1" a="1"/>
  <c r="AM40" i="1" a="1"/>
  <c r="AM31" i="1" a="1"/>
  <c r="AI44" i="1" a="1"/>
  <c r="AI41" i="1" a="1"/>
  <c r="AQ33" i="1" a="1"/>
  <c r="AC9" i="5" l="1"/>
  <c r="H9" i="5" s="1"/>
  <c r="EO9" i="8"/>
  <c r="EP9" i="8" s="1"/>
  <c r="EQ9" i="8" s="1"/>
  <c r="ER9" i="8" s="1"/>
  <c r="CP10" i="8"/>
  <c r="CQ9" i="8"/>
  <c r="CR9" i="8" s="1"/>
  <c r="AC8" i="5"/>
  <c r="J8" i="5" s="1"/>
  <c r="AP6" i="8"/>
  <c r="AQ6" i="8" s="1"/>
  <c r="AR6" i="8" s="1"/>
  <c r="S6" i="3"/>
  <c r="AZ9" i="7"/>
  <c r="AZ10" i="7" s="1"/>
  <c r="AZ11" i="7" s="1"/>
  <c r="AS8" i="7"/>
  <c r="Z11" i="6"/>
  <c r="AA11" i="6" s="1"/>
  <c r="AS9" i="7"/>
  <c r="AR10" i="7"/>
  <c r="AV10" i="7"/>
  <c r="AJ11" i="7"/>
  <c r="AK11" i="7" s="1"/>
  <c r="AN11" i="7"/>
  <c r="AO11" i="7" s="1"/>
  <c r="Z11" i="7"/>
  <c r="BD11" i="7"/>
  <c r="BE11" i="7" s="1"/>
  <c r="AO10" i="7"/>
  <c r="BE10" i="7"/>
  <c r="AA10" i="7"/>
  <c r="AV9" i="6"/>
  <c r="AW9" i="6" s="1"/>
  <c r="AR12" i="6"/>
  <c r="AS12" i="6" s="1"/>
  <c r="AJ10" i="6"/>
  <c r="AK9" i="6"/>
  <c r="AZ11" i="6"/>
  <c r="BA11" i="6" s="1"/>
  <c r="BD9" i="6"/>
  <c r="BE8" i="6"/>
  <c r="AN10" i="6"/>
  <c r="AO9" i="6"/>
  <c r="Y5" i="1"/>
  <c r="Q7" i="3"/>
  <c r="R6" i="5"/>
  <c r="S6" i="5" s="1"/>
  <c r="V6" i="5"/>
  <c r="X6" i="5" s="1"/>
  <c r="AJ34" i="4"/>
  <c r="AJ30" i="4"/>
  <c r="AJ29" i="4"/>
  <c r="AJ33" i="4"/>
  <c r="AJ31" i="4"/>
  <c r="AL31" i="4" s="1"/>
  <c r="AJ32" i="4"/>
  <c r="AL32" i="4" s="1"/>
  <c r="AJ28" i="4"/>
  <c r="F6" i="5"/>
  <c r="G6" i="5" s="1"/>
  <c r="AY5" i="1"/>
  <c r="AZ5" i="1" s="1"/>
  <c r="AY6" i="1"/>
  <c r="AY7" i="1"/>
  <c r="AY8" i="1"/>
  <c r="AQ6" i="1"/>
  <c r="AQ7" i="1"/>
  <c r="AQ8" i="1"/>
  <c r="AQ5" i="1"/>
  <c r="AR5" i="1" s="1"/>
  <c r="AM23" i="1"/>
  <c r="AM21" i="1"/>
  <c r="AM22" i="1"/>
  <c r="AM24" i="1"/>
  <c r="BC15" i="1"/>
  <c r="BC16" i="1"/>
  <c r="BC14" i="1"/>
  <c r="BC13" i="1"/>
  <c r="AQ17" i="1"/>
  <c r="AQ18" i="1"/>
  <c r="AQ19" i="1"/>
  <c r="AQ20" i="1"/>
  <c r="BC17" i="1"/>
  <c r="BC18" i="1"/>
  <c r="BC19" i="1"/>
  <c r="BC20" i="1"/>
  <c r="AI8" i="1"/>
  <c r="AI5" i="1"/>
  <c r="AJ5" i="1" s="1"/>
  <c r="AI6" i="1"/>
  <c r="AI7" i="1"/>
  <c r="AU11" i="1"/>
  <c r="AU12" i="1"/>
  <c r="AU9" i="1"/>
  <c r="AU10" i="1"/>
  <c r="AI9" i="1"/>
  <c r="AI10" i="1"/>
  <c r="AI11" i="1"/>
  <c r="AI12" i="1"/>
  <c r="AQ9" i="1"/>
  <c r="AQ10" i="1"/>
  <c r="AQ11" i="1"/>
  <c r="AQ12" i="1"/>
  <c r="BC5" i="1"/>
  <c r="BD5" i="1" s="1"/>
  <c r="BC6" i="1"/>
  <c r="BC7" i="1"/>
  <c r="BC8" i="1"/>
  <c r="AY21" i="1"/>
  <c r="AY22" i="1"/>
  <c r="AY23" i="1"/>
  <c r="AY24" i="1"/>
  <c r="AY15" i="1"/>
  <c r="AY16" i="1"/>
  <c r="AY14" i="1"/>
  <c r="AY13" i="1"/>
  <c r="AM26" i="1"/>
  <c r="AM36" i="1"/>
  <c r="AM27" i="1"/>
  <c r="AM37" i="1"/>
  <c r="AM32" i="1"/>
  <c r="AM33" i="1"/>
  <c r="AM43" i="1"/>
  <c r="AM25" i="1"/>
  <c r="AM28" i="1"/>
  <c r="AM38" i="1"/>
  <c r="AM29" i="1"/>
  <c r="AM39" i="1"/>
  <c r="AM30" i="1"/>
  <c r="AM40" i="1"/>
  <c r="AM31" i="1"/>
  <c r="AM41" i="1"/>
  <c r="AM42" i="1"/>
  <c r="AM34" i="1"/>
  <c r="AM44" i="1"/>
  <c r="AM35" i="1"/>
  <c r="AU22" i="1"/>
  <c r="AU21" i="1"/>
  <c r="AU23" i="1"/>
  <c r="AU24" i="1"/>
  <c r="AU5" i="1"/>
  <c r="AV5" i="1" s="1"/>
  <c r="AU6" i="1"/>
  <c r="AU7" i="1"/>
  <c r="AU8" i="1"/>
  <c r="AY12" i="1"/>
  <c r="AY9" i="1"/>
  <c r="AY10" i="1"/>
  <c r="AY11" i="1"/>
  <c r="BC12" i="1"/>
  <c r="BC9" i="1"/>
  <c r="BC10" i="1"/>
  <c r="BC11" i="1"/>
  <c r="AI21" i="1"/>
  <c r="AI22" i="1"/>
  <c r="AI23" i="1"/>
  <c r="AI24" i="1"/>
  <c r="AI18" i="1"/>
  <c r="AI19" i="1"/>
  <c r="AI20" i="1"/>
  <c r="AI17" i="1"/>
  <c r="AI28" i="1"/>
  <c r="AI38" i="1"/>
  <c r="AI29" i="1"/>
  <c r="AI39" i="1"/>
  <c r="AI30" i="1"/>
  <c r="AI40" i="1"/>
  <c r="AI31" i="1"/>
  <c r="AI41" i="1"/>
  <c r="AI32" i="1"/>
  <c r="AI42" i="1"/>
  <c r="AI33" i="1"/>
  <c r="AI43" i="1"/>
  <c r="AI34" i="1"/>
  <c r="AI44" i="1"/>
  <c r="AI25" i="1"/>
  <c r="AI35" i="1"/>
  <c r="AI26" i="1"/>
  <c r="AI36" i="1"/>
  <c r="AI27" i="1"/>
  <c r="AI37" i="1"/>
  <c r="AM17" i="1"/>
  <c r="AM18" i="1"/>
  <c r="AM19" i="1"/>
  <c r="AM20" i="1"/>
  <c r="AQ16" i="1"/>
  <c r="AQ13" i="1"/>
  <c r="AQ15" i="1"/>
  <c r="AQ14" i="1"/>
  <c r="BC25" i="1"/>
  <c r="BC35" i="1"/>
  <c r="BC26" i="1"/>
  <c r="BC36" i="1"/>
  <c r="BC27" i="1"/>
  <c r="BC37" i="1"/>
  <c r="BC28" i="1"/>
  <c r="BC38" i="1"/>
  <c r="BC32" i="1"/>
  <c r="BC29" i="1"/>
  <c r="BC39" i="1"/>
  <c r="BC30" i="1"/>
  <c r="BC40" i="1"/>
  <c r="BC31" i="1"/>
  <c r="BC41" i="1"/>
  <c r="BC42" i="1"/>
  <c r="BC33" i="1"/>
  <c r="BC34" i="1"/>
  <c r="BC43" i="1"/>
  <c r="BC44" i="1"/>
  <c r="AQ26" i="1"/>
  <c r="AQ36" i="1"/>
  <c r="AQ27" i="1"/>
  <c r="AQ37" i="1"/>
  <c r="AQ42" i="1"/>
  <c r="AQ33" i="1"/>
  <c r="AQ43" i="1"/>
  <c r="AQ25" i="1"/>
  <c r="AQ28" i="1"/>
  <c r="AQ38" i="1"/>
  <c r="AQ29" i="1"/>
  <c r="AQ39" i="1"/>
  <c r="AQ30" i="1"/>
  <c r="AQ40" i="1"/>
  <c r="AQ31" i="1"/>
  <c r="AQ41" i="1"/>
  <c r="AQ32" i="1"/>
  <c r="AQ34" i="1"/>
  <c r="AQ44" i="1"/>
  <c r="AQ35" i="1"/>
  <c r="AM6" i="1"/>
  <c r="AM7" i="1"/>
  <c r="AM5" i="1"/>
  <c r="AN5" i="1" s="1"/>
  <c r="AM8" i="1"/>
  <c r="AY17" i="1"/>
  <c r="AY18" i="1"/>
  <c r="AY19" i="1"/>
  <c r="AY20" i="1"/>
  <c r="AM16" i="1"/>
  <c r="AM13" i="1"/>
  <c r="AM14" i="1"/>
  <c r="AM15" i="1"/>
  <c r="AM9" i="1"/>
  <c r="AM10" i="1"/>
  <c r="AM11" i="1"/>
  <c r="AM12" i="1"/>
  <c r="BC21" i="1"/>
  <c r="BC22" i="1"/>
  <c r="BC23" i="1"/>
  <c r="BC24" i="1"/>
  <c r="AQ23" i="1"/>
  <c r="AQ21" i="1"/>
  <c r="AQ22" i="1"/>
  <c r="AQ24" i="1"/>
  <c r="AU15" i="1"/>
  <c r="AU16" i="1"/>
  <c r="AU14" i="1"/>
  <c r="AU13" i="1"/>
  <c r="AI13" i="1"/>
  <c r="AI15" i="1"/>
  <c r="AI16" i="1"/>
  <c r="AI14" i="1"/>
  <c r="AU17" i="1"/>
  <c r="AU18" i="1"/>
  <c r="AU19" i="1"/>
  <c r="AU20" i="1"/>
  <c r="AU25" i="1"/>
  <c r="AU35" i="1"/>
  <c r="AU26" i="1"/>
  <c r="AU36" i="1"/>
  <c r="AU27" i="1"/>
  <c r="AU37" i="1"/>
  <c r="AU28" i="1"/>
  <c r="AU38" i="1"/>
  <c r="AU41" i="1"/>
  <c r="AU42" i="1"/>
  <c r="AU32" i="1"/>
  <c r="AU29" i="1"/>
  <c r="AU39" i="1"/>
  <c r="AU30" i="1"/>
  <c r="AU40" i="1"/>
  <c r="AU31" i="1"/>
  <c r="AU33" i="1"/>
  <c r="AU34" i="1"/>
  <c r="AU43" i="1"/>
  <c r="AU44" i="1"/>
  <c r="AY25" i="1"/>
  <c r="AY35" i="1"/>
  <c r="AY26" i="1"/>
  <c r="AY36" i="1"/>
  <c r="AY27" i="1"/>
  <c r="AY37" i="1"/>
  <c r="AY28" i="1"/>
  <c r="AY38" i="1"/>
  <c r="AY32" i="1"/>
  <c r="AY29" i="1"/>
  <c r="AY39" i="1"/>
  <c r="AY30" i="1"/>
  <c r="AY40" i="1"/>
  <c r="AY31" i="1"/>
  <c r="AY41" i="1"/>
  <c r="AY33" i="1"/>
  <c r="AY34" i="1"/>
  <c r="AY42" i="1"/>
  <c r="AY43" i="1"/>
  <c r="AY44" i="1"/>
  <c r="W7" i="5"/>
  <c r="Y7" i="5"/>
  <c r="U7" i="5"/>
  <c r="AD8" i="5"/>
  <c r="T8" i="5" s="1"/>
  <c r="O9" i="5"/>
  <c r="AC10" i="5"/>
  <c r="H10" i="5" s="1"/>
  <c r="D11" i="5"/>
  <c r="AK25" i="4"/>
  <c r="AK26" i="4"/>
  <c r="AK27" i="4"/>
  <c r="AX17" i="4"/>
  <c r="AX16" i="4"/>
  <c r="AW16" i="4"/>
  <c r="AW15" i="4"/>
  <c r="AW17" i="4"/>
  <c r="AR17" i="4"/>
  <c r="AR13" i="4"/>
  <c r="AR10" i="4"/>
  <c r="AR12" i="4"/>
  <c r="AR11" i="4"/>
  <c r="AR16" i="4"/>
  <c r="AR14" i="4"/>
  <c r="AR15" i="4"/>
  <c r="AV16" i="4"/>
  <c r="AV17" i="4"/>
  <c r="AV15" i="4"/>
  <c r="AV14" i="4"/>
  <c r="AY17" i="4"/>
  <c r="AU16" i="4"/>
  <c r="AU14" i="4"/>
  <c r="AU15" i="4"/>
  <c r="AU13" i="4"/>
  <c r="AU17" i="4"/>
  <c r="AS15" i="4"/>
  <c r="AS12" i="4"/>
  <c r="AS17" i="4"/>
  <c r="AS14" i="4"/>
  <c r="AS16" i="4"/>
  <c r="AS11" i="4"/>
  <c r="AS13" i="4"/>
  <c r="AQ12" i="4"/>
  <c r="AQ10" i="4"/>
  <c r="AQ11" i="4"/>
  <c r="AQ14" i="4"/>
  <c r="AQ16" i="4"/>
  <c r="AQ17" i="4"/>
  <c r="AQ9" i="4"/>
  <c r="AQ13" i="4"/>
  <c r="AQ15" i="4"/>
  <c r="AT14" i="4"/>
  <c r="AT15" i="4"/>
  <c r="AT12" i="4"/>
  <c r="AT13" i="4"/>
  <c r="AT17" i="4"/>
  <c r="AT16" i="4"/>
  <c r="AP10" i="4"/>
  <c r="AP11" i="4"/>
  <c r="AP9" i="4"/>
  <c r="AP12" i="4"/>
  <c r="W14" i="4"/>
  <c r="AP8" i="4"/>
  <c r="W15" i="4"/>
  <c r="AP15" i="4"/>
  <c r="W16" i="4"/>
  <c r="AP17" i="4"/>
  <c r="AP14" i="4"/>
  <c r="W10" i="4"/>
  <c r="W11" i="4"/>
  <c r="AP16" i="4"/>
  <c r="W9" i="4"/>
  <c r="W12" i="4"/>
  <c r="W17" i="4"/>
  <c r="W13" i="4"/>
  <c r="W8" i="4"/>
  <c r="AP13" i="4"/>
  <c r="G6" i="3"/>
  <c r="R6" i="3"/>
  <c r="F7" i="3"/>
  <c r="X6" i="1"/>
  <c r="EO10" i="8" a="1"/>
  <c r="V7" i="5" a="1"/>
  <c r="H6" i="3" a="1"/>
  <c r="S7" i="3" a="1"/>
  <c r="Y6" i="1" a="1"/>
  <c r="J9" i="5" l="1"/>
  <c r="I9" i="5"/>
  <c r="K9" i="5"/>
  <c r="EO10" i="8"/>
  <c r="EP10" i="8" s="1"/>
  <c r="EQ10" i="8" s="1"/>
  <c r="ER10" i="8" s="1"/>
  <c r="K8" i="5"/>
  <c r="CQ10" i="8"/>
  <c r="CR10" i="8" s="1"/>
  <c r="CP11" i="8"/>
  <c r="H8" i="5"/>
  <c r="I8" i="5"/>
  <c r="AP7" i="8"/>
  <c r="S7" i="3"/>
  <c r="H6" i="3"/>
  <c r="BA10" i="7"/>
  <c r="BA9" i="7"/>
  <c r="Z12" i="6"/>
  <c r="AA12" i="6" s="1"/>
  <c r="AS10" i="7"/>
  <c r="AR11" i="7"/>
  <c r="AJ12" i="7"/>
  <c r="BD12" i="7"/>
  <c r="AV11" i="7"/>
  <c r="AW11" i="7" s="1"/>
  <c r="Z12" i="7"/>
  <c r="AA12" i="7" s="1"/>
  <c r="AW10" i="7"/>
  <c r="AA11" i="7"/>
  <c r="AZ12" i="7"/>
  <c r="AN12" i="7"/>
  <c r="AO12" i="7" s="1"/>
  <c r="BA11" i="7"/>
  <c r="AV10" i="6"/>
  <c r="AW10" i="6" s="1"/>
  <c r="BD10" i="6"/>
  <c r="BE9" i="6"/>
  <c r="AR13" i="6"/>
  <c r="AS13" i="6" s="1"/>
  <c r="AK10" i="6"/>
  <c r="AJ11" i="6"/>
  <c r="AK11" i="6" s="1"/>
  <c r="AZ12" i="6"/>
  <c r="BA12" i="6" s="1"/>
  <c r="AN11" i="6"/>
  <c r="AO10" i="6"/>
  <c r="Y6" i="1"/>
  <c r="AK32" i="4"/>
  <c r="AK31" i="4"/>
  <c r="AK29" i="4"/>
  <c r="AL29" i="4"/>
  <c r="AK30" i="4"/>
  <c r="AL30" i="4"/>
  <c r="AK28" i="4"/>
  <c r="AL28" i="4"/>
  <c r="AK34" i="4"/>
  <c r="AL34" i="4"/>
  <c r="AK33" i="4"/>
  <c r="AL33" i="4"/>
  <c r="Q7" i="5"/>
  <c r="P7" i="5" s="1"/>
  <c r="Q8" i="3"/>
  <c r="V7" i="5"/>
  <c r="X7" i="5" s="1"/>
  <c r="E7" i="5"/>
  <c r="F7" i="5" s="1"/>
  <c r="G7" i="5" s="1"/>
  <c r="AC11" i="5"/>
  <c r="H11" i="5" s="1"/>
  <c r="D12" i="5"/>
  <c r="Y8" i="5"/>
  <c r="U8" i="5"/>
  <c r="W8" i="5"/>
  <c r="I10" i="5"/>
  <c r="J10" i="5"/>
  <c r="K10" i="5"/>
  <c r="O10" i="5"/>
  <c r="AD9" i="5"/>
  <c r="T9" i="5" s="1"/>
  <c r="AP25" i="4" a="1"/>
  <c r="T5" i="3"/>
  <c r="U5" i="3" s="1"/>
  <c r="I5" i="3"/>
  <c r="J5" i="3" s="1"/>
  <c r="R7" i="3"/>
  <c r="G7" i="3"/>
  <c r="F8" i="3"/>
  <c r="BD6" i="1"/>
  <c r="BE6" i="1" s="1"/>
  <c r="AR6" i="1"/>
  <c r="AR7" i="1" s="1"/>
  <c r="AN6" i="1"/>
  <c r="BE5" i="1"/>
  <c r="AZ6" i="1"/>
  <c r="BA6" i="1" s="1"/>
  <c r="AS5" i="1"/>
  <c r="BA5" i="1"/>
  <c r="AJ6" i="1"/>
  <c r="AK6" i="1" s="1"/>
  <c r="AV6" i="1"/>
  <c r="AW6" i="1" s="1"/>
  <c r="AK5" i="1"/>
  <c r="AW5" i="1"/>
  <c r="AO5" i="1"/>
  <c r="X7" i="1"/>
  <c r="EO11" i="8" a="1"/>
  <c r="Z7" i="5"/>
  <c r="AB28" i="6" a="1"/>
  <c r="Z7" i="8" a="1"/>
  <c r="S8" i="3" a="1"/>
  <c r="V6" i="3" a="1"/>
  <c r="AB8" i="6" a="1"/>
  <c r="Z18" i="8" a="1"/>
  <c r="AJ20" i="8" a="1"/>
  <c r="AB22" i="7" a="1"/>
  <c r="Z17" i="8" a="1"/>
  <c r="AB6" i="7" a="1"/>
  <c r="Z6" i="5"/>
  <c r="L7" i="5"/>
  <c r="AJ8" i="8" a="1"/>
  <c r="AB30" i="7" a="1"/>
  <c r="AB37" i="6" a="1"/>
  <c r="AB43" i="6" a="1"/>
  <c r="AB20" i="7" a="1"/>
  <c r="AB11" i="7" a="1"/>
  <c r="AB9" i="6" a="1"/>
  <c r="AB16" i="7" a="1"/>
  <c r="AJ24" i="8" a="1"/>
  <c r="Z11" i="8" a="1"/>
  <c r="AB28" i="7" a="1"/>
  <c r="AB18" i="7" a="1"/>
  <c r="AB14" i="6" a="1"/>
  <c r="AJ14" i="8" a="1"/>
  <c r="AB34" i="7" a="1"/>
  <c r="AB16" i="6" a="1"/>
  <c r="AJ9" i="8" a="1"/>
  <c r="AB44" i="6" a="1"/>
  <c r="AB17" i="6" a="1"/>
  <c r="AB7" i="1" a="1"/>
  <c r="AJ23" i="8" a="1"/>
  <c r="Z12" i="8" a="1"/>
  <c r="Z24" i="8" a="1"/>
  <c r="K7" i="3" a="1"/>
  <c r="AB17" i="7" a="1"/>
  <c r="AB27" i="7" a="1"/>
  <c r="AB25" i="6" a="1"/>
  <c r="AB21" i="6" a="1"/>
  <c r="AB41" i="6" a="1"/>
  <c r="Z16" i="8" a="1"/>
  <c r="AJ6" i="8" a="1"/>
  <c r="AJ5" i="8" a="1"/>
  <c r="V7" i="3" a="1"/>
  <c r="AB5" i="7" a="1"/>
  <c r="AB14" i="7" a="1"/>
  <c r="AB27" i="6" a="1"/>
  <c r="AB20" i="6" a="1"/>
  <c r="AB29" i="6" a="1"/>
  <c r="Z9" i="8" a="1"/>
  <c r="Z10" i="8" a="1"/>
  <c r="V5" i="3" a="1"/>
  <c r="AB4" i="7" a="1"/>
  <c r="AB15" i="7" a="1"/>
  <c r="AB33" i="6" a="1"/>
  <c r="AB30" i="6" a="1"/>
  <c r="Z15" i="8" a="1"/>
  <c r="AB40" i="6" a="1"/>
  <c r="AB25" i="7" a="1"/>
  <c r="AB6" i="1" a="1"/>
  <c r="AB40" i="7" a="1"/>
  <c r="AJ17" i="8" a="1"/>
  <c r="AB38" i="6" a="1"/>
  <c r="AJ7" i="8" a="1"/>
  <c r="AJ13" i="8" a="1"/>
  <c r="Z13" i="8" a="1"/>
  <c r="AJ19" i="8" a="1"/>
  <c r="AB36" i="7" a="1"/>
  <c r="AB39" i="7" a="1"/>
  <c r="AB35" i="7" a="1"/>
  <c r="AB15" i="6" a="1"/>
  <c r="AB24" i="6" a="1"/>
  <c r="Y7" i="1" a="1"/>
  <c r="Z21" i="8" a="1"/>
  <c r="Z14" i="8" a="1"/>
  <c r="AB26" i="7" a="1"/>
  <c r="AB42" i="7" a="1"/>
  <c r="AB10" i="6" a="1"/>
  <c r="AB26" i="6" a="1"/>
  <c r="AB5" i="1" a="1"/>
  <c r="Z5" i="8" a="1"/>
  <c r="Z23" i="8" a="1"/>
  <c r="AB9" i="7" a="1"/>
  <c r="AB24" i="7" a="1"/>
  <c r="AB7" i="6" a="1"/>
  <c r="Z6" i="8" a="1"/>
  <c r="AB29" i="7" a="1"/>
  <c r="AB12" i="6" a="1"/>
  <c r="L10" i="5"/>
  <c r="V8" i="5" a="1"/>
  <c r="K6" i="3" a="1"/>
  <c r="Z8" i="5"/>
  <c r="AJ22" i="8" a="1"/>
  <c r="AJ15" i="8" a="1"/>
  <c r="H8" i="3" a="1"/>
  <c r="AB7" i="7" a="1"/>
  <c r="AB21" i="7" a="1"/>
  <c r="AB41" i="7" a="1"/>
  <c r="AB35" i="6" a="1"/>
  <c r="AB22" i="6" a="1"/>
  <c r="AB4" i="1" a="1"/>
  <c r="L6" i="5"/>
  <c r="Z22" i="8" a="1"/>
  <c r="Z8" i="8" a="1"/>
  <c r="K8" i="3" a="1"/>
  <c r="AB8" i="7" a="1"/>
  <c r="AB43" i="7" a="1"/>
  <c r="AB13" i="7" a="1"/>
  <c r="AB6" i="6" a="1"/>
  <c r="AB39" i="6" a="1"/>
  <c r="AJ11" i="8" a="1"/>
  <c r="AB12" i="7" a="1"/>
  <c r="AB31" i="7" a="1"/>
  <c r="AB36" i="6" a="1"/>
  <c r="AB34" i="6" a="1"/>
  <c r="AB33" i="7" a="1"/>
  <c r="AB4" i="6" a="1"/>
  <c r="AJ21" i="8" a="1"/>
  <c r="AB32" i="6" a="1"/>
  <c r="AB42" i="6" a="1"/>
  <c r="K5" i="3" a="1"/>
  <c r="AB32" i="7" a="1"/>
  <c r="AB10" i="7" a="1"/>
  <c r="AB13" i="6" a="1"/>
  <c r="L9" i="5"/>
  <c r="AJ16" i="8" a="1"/>
  <c r="AJ18" i="8" a="1"/>
  <c r="H7" i="3" a="1"/>
  <c r="AB44" i="7" a="1"/>
  <c r="AB37" i="7" a="1"/>
  <c r="AB23" i="7" a="1"/>
  <c r="AB5" i="6" a="1"/>
  <c r="AB11" i="6" a="1"/>
  <c r="Z20" i="8" a="1"/>
  <c r="AJ12" i="8" a="1"/>
  <c r="AB38" i="7" a="1"/>
  <c r="AB19" i="7" a="1"/>
  <c r="AB31" i="6" a="1"/>
  <c r="AB23" i="6" a="1"/>
  <c r="AB18" i="6" a="1"/>
  <c r="Z19" i="8" a="1"/>
  <c r="AB19" i="6" a="1"/>
  <c r="L8" i="5"/>
  <c r="AJ10" i="8" a="1"/>
  <c r="V8" i="3" a="1"/>
  <c r="EO11" i="8" l="1"/>
  <c r="EP11" i="8" s="1"/>
  <c r="EQ11" i="8" s="1"/>
  <c r="ER11" i="8" s="1"/>
  <c r="CP12" i="8"/>
  <c r="CQ11" i="8"/>
  <c r="CR11" i="8" s="1"/>
  <c r="AQ7" i="8"/>
  <c r="AR7" i="8" s="1"/>
  <c r="AP8" i="8"/>
  <c r="Z13" i="6"/>
  <c r="AA13" i="6" s="1"/>
  <c r="Z21" i="8"/>
  <c r="Z22" i="8"/>
  <c r="AJ21" i="8"/>
  <c r="Z23" i="8"/>
  <c r="AJ22" i="8"/>
  <c r="AJ23" i="8"/>
  <c r="Z24" i="8"/>
  <c r="AJ24" i="8"/>
  <c r="AJ8" i="8"/>
  <c r="Z8" i="8"/>
  <c r="AJ7" i="8"/>
  <c r="Z7" i="8"/>
  <c r="AJ6" i="8"/>
  <c r="Z5" i="8"/>
  <c r="AJ5" i="8"/>
  <c r="Z6" i="8"/>
  <c r="AJ12" i="8"/>
  <c r="Z12" i="8"/>
  <c r="AJ11" i="8"/>
  <c r="Z11" i="8"/>
  <c r="AJ10" i="8"/>
  <c r="Z10" i="8"/>
  <c r="AJ9" i="8"/>
  <c r="Z9" i="8"/>
  <c r="AJ16" i="8"/>
  <c r="AJ15" i="8"/>
  <c r="Z16" i="8"/>
  <c r="AJ14" i="8"/>
  <c r="Z15" i="8"/>
  <c r="AJ13" i="8"/>
  <c r="Z14" i="8"/>
  <c r="Z13" i="8"/>
  <c r="K6" i="3"/>
  <c r="S8" i="3"/>
  <c r="Z17" i="8"/>
  <c r="Z18" i="8"/>
  <c r="AJ17" i="8"/>
  <c r="AJ18" i="8"/>
  <c r="Z19" i="8"/>
  <c r="Z20" i="8"/>
  <c r="AJ19" i="8"/>
  <c r="AJ20" i="8"/>
  <c r="H8" i="3"/>
  <c r="H7" i="3"/>
  <c r="K7" i="3"/>
  <c r="AB44" i="7"/>
  <c r="AB43" i="7"/>
  <c r="AB42" i="7"/>
  <c r="AB41" i="7"/>
  <c r="AB44" i="6"/>
  <c r="AB43" i="6"/>
  <c r="AB42" i="6"/>
  <c r="AB41" i="6"/>
  <c r="AB40" i="7"/>
  <c r="AB39" i="7"/>
  <c r="AB38" i="7"/>
  <c r="AB37" i="7"/>
  <c r="AB40" i="6"/>
  <c r="AB39" i="6"/>
  <c r="AB38" i="6"/>
  <c r="AB37" i="6"/>
  <c r="AB20" i="7"/>
  <c r="AB19" i="7"/>
  <c r="AB17" i="7"/>
  <c r="AB18" i="7"/>
  <c r="AB20" i="6"/>
  <c r="AB17" i="6"/>
  <c r="AB18" i="6"/>
  <c r="AB19" i="6"/>
  <c r="AB26" i="7"/>
  <c r="AB25" i="7"/>
  <c r="AB27" i="7"/>
  <c r="AB28" i="7"/>
  <c r="AB26" i="6"/>
  <c r="AB25" i="6"/>
  <c r="AB27" i="6"/>
  <c r="AB28" i="6"/>
  <c r="AB24" i="7"/>
  <c r="AB22" i="7"/>
  <c r="AB21" i="7"/>
  <c r="AB23" i="7"/>
  <c r="AB24" i="6"/>
  <c r="AB23" i="6"/>
  <c r="AB21" i="6"/>
  <c r="AB22" i="6"/>
  <c r="AB31" i="7"/>
  <c r="AB30" i="7"/>
  <c r="AB32" i="7"/>
  <c r="AB29" i="7"/>
  <c r="AB31" i="6"/>
  <c r="AB32" i="6"/>
  <c r="AB30" i="6"/>
  <c r="AB29" i="6"/>
  <c r="AB36" i="7"/>
  <c r="AB35" i="7"/>
  <c r="AB34" i="7"/>
  <c r="AB33" i="7"/>
  <c r="AB36" i="6"/>
  <c r="AB35" i="6"/>
  <c r="AB34" i="6"/>
  <c r="AB33" i="6"/>
  <c r="AB4" i="1"/>
  <c r="AB4" i="6"/>
  <c r="AB4" i="7"/>
  <c r="AB5" i="1"/>
  <c r="AB6" i="6"/>
  <c r="AB8" i="6"/>
  <c r="AB5" i="6"/>
  <c r="AB7" i="6"/>
  <c r="AB5" i="7"/>
  <c r="AB7" i="7"/>
  <c r="AB6" i="7"/>
  <c r="AB8" i="7"/>
  <c r="AB10" i="6"/>
  <c r="AB11" i="6"/>
  <c r="AB12" i="6"/>
  <c r="AB9" i="6"/>
  <c r="AB9" i="7"/>
  <c r="AB10" i="7"/>
  <c r="AB11" i="7"/>
  <c r="AB12" i="7"/>
  <c r="AB13" i="6"/>
  <c r="AB14" i="6"/>
  <c r="AB15" i="6"/>
  <c r="AB16" i="6"/>
  <c r="AB14" i="7"/>
  <c r="AB16" i="7"/>
  <c r="AB13" i="7"/>
  <c r="AB15" i="7"/>
  <c r="AB6" i="1"/>
  <c r="AR12" i="7"/>
  <c r="AS11" i="7"/>
  <c r="AV12" i="7"/>
  <c r="BD13" i="7"/>
  <c r="BE12" i="7"/>
  <c r="AZ13" i="7"/>
  <c r="AN13" i="7"/>
  <c r="BA12" i="7"/>
  <c r="AJ13" i="7"/>
  <c r="AK13" i="7" s="1"/>
  <c r="AK12" i="7"/>
  <c r="Z13" i="7"/>
  <c r="AV11" i="6"/>
  <c r="AW11" i="6" s="1"/>
  <c r="AR14" i="6"/>
  <c r="AZ13" i="6"/>
  <c r="AN12" i="6"/>
  <c r="BD11" i="6"/>
  <c r="BE10" i="6"/>
  <c r="AO11" i="6"/>
  <c r="AJ12" i="6"/>
  <c r="AB7" i="1"/>
  <c r="Y7" i="1"/>
  <c r="R7" i="5"/>
  <c r="S7" i="5" s="1"/>
  <c r="M6" i="5"/>
  <c r="V6" i="3"/>
  <c r="K5" i="3"/>
  <c r="M5" i="3" s="1"/>
  <c r="V5" i="3"/>
  <c r="W5" i="3" s="1"/>
  <c r="V7" i="3"/>
  <c r="M7" i="5"/>
  <c r="AA6" i="5"/>
  <c r="M8" i="5"/>
  <c r="M9" i="5"/>
  <c r="AA7" i="5"/>
  <c r="K8" i="3"/>
  <c r="V8" i="3"/>
  <c r="Q9" i="3"/>
  <c r="E8" i="5"/>
  <c r="F8" i="5" s="1"/>
  <c r="G8" i="5" s="1"/>
  <c r="V8" i="5"/>
  <c r="X8" i="5" s="1"/>
  <c r="AA8" i="5" s="1"/>
  <c r="M10" i="5"/>
  <c r="AC12" i="5"/>
  <c r="H12" i="5" s="1"/>
  <c r="D13" i="5"/>
  <c r="Y9" i="5"/>
  <c r="W9" i="5"/>
  <c r="U9" i="5"/>
  <c r="O11" i="5"/>
  <c r="AD10" i="5"/>
  <c r="T10" i="5" s="1"/>
  <c r="I11" i="5"/>
  <c r="J11" i="5"/>
  <c r="K11" i="5"/>
  <c r="AY25" i="4"/>
  <c r="AY28" i="4"/>
  <c r="AW29" i="4"/>
  <c r="AT30" i="4"/>
  <c r="AP31" i="4"/>
  <c r="AY33" i="4"/>
  <c r="AR34" i="4"/>
  <c r="AY30" i="4"/>
  <c r="AW31" i="4"/>
  <c r="AR32" i="4"/>
  <c r="AY34" i="4"/>
  <c r="AT32" i="4"/>
  <c r="AP26" i="4"/>
  <c r="AP25" i="4"/>
  <c r="AP28" i="4"/>
  <c r="AV32" i="4"/>
  <c r="AP33" i="4"/>
  <c r="AQ25" i="4"/>
  <c r="AQ28" i="4"/>
  <c r="AS26" i="4"/>
  <c r="AS28" i="4"/>
  <c r="AT33" i="4"/>
  <c r="AV25" i="4"/>
  <c r="AT29" i="4"/>
  <c r="AV33" i="4"/>
  <c r="AW25" i="4"/>
  <c r="AX27" i="4"/>
  <c r="AW28" i="4"/>
  <c r="AU29" i="4"/>
  <c r="AR30" i="4"/>
  <c r="AP34" i="4"/>
  <c r="AX29" i="4"/>
  <c r="AU30" i="4"/>
  <c r="AQ31" i="4"/>
  <c r="AS34" i="4"/>
  <c r="AX31" i="4"/>
  <c r="AS32" i="4"/>
  <c r="AS25" i="4"/>
  <c r="AW26" i="4"/>
  <c r="AY29" i="4"/>
  <c r="AV30" i="4"/>
  <c r="AR31" i="4"/>
  <c r="AT34" i="4"/>
  <c r="AQ27" i="4"/>
  <c r="AW32" i="4"/>
  <c r="AP29" i="4"/>
  <c r="AT26" i="4"/>
  <c r="AY32" i="4"/>
  <c r="AS33" i="4"/>
  <c r="AT25" i="4"/>
  <c r="AU27" i="4"/>
  <c r="AT28" i="4"/>
  <c r="AR29" i="4"/>
  <c r="AV26" i="4"/>
  <c r="AU28" i="4"/>
  <c r="AS29" i="4"/>
  <c r="AP30" i="4"/>
  <c r="AW27" i="4"/>
  <c r="AX26" i="4"/>
  <c r="AW33" i="4"/>
  <c r="AW30" i="4"/>
  <c r="AS31" i="4"/>
  <c r="AU34" i="4"/>
  <c r="AU31" i="4"/>
  <c r="AP32" i="4"/>
  <c r="AY31" i="4"/>
  <c r="AP27" i="4"/>
  <c r="AQ26" i="4"/>
  <c r="AV28" i="4"/>
  <c r="AX30" i="4"/>
  <c r="AT31" i="4"/>
  <c r="AV34" i="4"/>
  <c r="AW34" i="4"/>
  <c r="AS27" i="4"/>
  <c r="AV31" i="4"/>
  <c r="AQ32" i="4"/>
  <c r="AX34" i="4"/>
  <c r="AR27" i="4"/>
  <c r="AQ33" i="4"/>
  <c r="AR28" i="4"/>
  <c r="AQ29" i="4"/>
  <c r="AU32" i="4"/>
  <c r="AR26" i="4"/>
  <c r="AR25" i="4"/>
  <c r="AX32" i="4"/>
  <c r="AR33" i="4"/>
  <c r="AT27" i="4"/>
  <c r="AU26" i="4"/>
  <c r="AV27" i="4"/>
  <c r="AU33" i="4"/>
  <c r="AQ30" i="4"/>
  <c r="AU25" i="4"/>
  <c r="AX25" i="4"/>
  <c r="AY26" i="4"/>
  <c r="AY27" i="4"/>
  <c r="AX28" i="4"/>
  <c r="AV29" i="4"/>
  <c r="AS30" i="4"/>
  <c r="AX33" i="4"/>
  <c r="AQ34" i="4"/>
  <c r="T6" i="3"/>
  <c r="U6" i="3" s="1"/>
  <c r="I6" i="3"/>
  <c r="G8" i="3"/>
  <c r="R8" i="3"/>
  <c r="F9" i="3"/>
  <c r="AZ7" i="1"/>
  <c r="BA7" i="1" s="1"/>
  <c r="BD7" i="1"/>
  <c r="BD8" i="1" s="1"/>
  <c r="BD9" i="1" s="1"/>
  <c r="BE9" i="1" s="1"/>
  <c r="AR8" i="1"/>
  <c r="AN7" i="1"/>
  <c r="AS7" i="1"/>
  <c r="AS6" i="1"/>
  <c r="AV7" i="1"/>
  <c r="AW7" i="1" s="1"/>
  <c r="AO6" i="1"/>
  <c r="AJ7" i="1"/>
  <c r="AK7" i="1" s="1"/>
  <c r="X8" i="1"/>
  <c r="L11" i="5"/>
  <c r="EO12" i="8" a="1"/>
  <c r="V9" i="5" a="1"/>
  <c r="Z9" i="5"/>
  <c r="H9" i="3" a="1"/>
  <c r="Y8" i="1" a="1"/>
  <c r="S9" i="3" a="1"/>
  <c r="K9" i="3" a="1"/>
  <c r="AB8" i="1" a="1"/>
  <c r="V9" i="3" a="1"/>
  <c r="EO12" i="8" l="1"/>
  <c r="EP12" i="8" s="1"/>
  <c r="EQ12" i="8" s="1"/>
  <c r="ER12" i="8" s="1"/>
  <c r="CQ12" i="8"/>
  <c r="CR12" i="8" s="1"/>
  <c r="CP13" i="8"/>
  <c r="Z14" i="6"/>
  <c r="AA14" i="6" s="1"/>
  <c r="Y65" i="7"/>
  <c r="AQ8" i="8"/>
  <c r="AR8" i="8" s="1"/>
  <c r="AP9" i="8"/>
  <c r="W6" i="3"/>
  <c r="S9" i="3"/>
  <c r="O15" i="6"/>
  <c r="S15" i="7"/>
  <c r="O15" i="7"/>
  <c r="Y76" i="7"/>
  <c r="S15" i="6"/>
  <c r="H9" i="3"/>
  <c r="L5" i="3"/>
  <c r="N5" i="3" s="1"/>
  <c r="Q8" i="5"/>
  <c r="P8" i="5" s="1"/>
  <c r="Y65" i="6"/>
  <c r="Z65" i="7"/>
  <c r="Z76" i="7"/>
  <c r="Z65" i="6"/>
  <c r="Z76" i="6"/>
  <c r="Y76" i="6"/>
  <c r="AI76" i="7"/>
  <c r="Y75" i="6"/>
  <c r="N14" i="6"/>
  <c r="Y64" i="6"/>
  <c r="S14" i="6"/>
  <c r="P14" i="6"/>
  <c r="O14" i="6"/>
  <c r="AH86" i="6"/>
  <c r="AH75" i="6"/>
  <c r="N15" i="6"/>
  <c r="P15" i="6"/>
  <c r="P15" i="7"/>
  <c r="L6" i="3"/>
  <c r="AI87" i="7"/>
  <c r="Y64" i="7"/>
  <c r="P14" i="7"/>
  <c r="Y75" i="7"/>
  <c r="O14" i="7"/>
  <c r="N14" i="7"/>
  <c r="S14" i="7"/>
  <c r="AH75" i="7"/>
  <c r="AH86" i="7"/>
  <c r="N15" i="7"/>
  <c r="AR13" i="7"/>
  <c r="AR14" i="7" s="1"/>
  <c r="AR15" i="7" s="1"/>
  <c r="AS12" i="7"/>
  <c r="Z14" i="7"/>
  <c r="BD14" i="7"/>
  <c r="AH76" i="7"/>
  <c r="AH87" i="7"/>
  <c r="BE13" i="7"/>
  <c r="AJ14" i="7"/>
  <c r="AK14" i="7" s="1"/>
  <c r="AV13" i="7"/>
  <c r="AW13" i="7" s="1"/>
  <c r="AN14" i="7"/>
  <c r="AO14" i="7" s="1"/>
  <c r="AA13" i="7"/>
  <c r="AO13" i="7"/>
  <c r="AW12" i="7"/>
  <c r="AZ14" i="7"/>
  <c r="BA14" i="7" s="1"/>
  <c r="BA13" i="7"/>
  <c r="AV12" i="6"/>
  <c r="AW12" i="6" s="1"/>
  <c r="AZ14" i="6"/>
  <c r="BA13" i="6"/>
  <c r="AR15" i="6"/>
  <c r="AJ13" i="6"/>
  <c r="AK13" i="6" s="1"/>
  <c r="AS14" i="6"/>
  <c r="AK12" i="6"/>
  <c r="AH76" i="6" s="1"/>
  <c r="BD12" i="6"/>
  <c r="BE12" i="6" s="1"/>
  <c r="BE11" i="6"/>
  <c r="AN13" i="6"/>
  <c r="AO12" i="6"/>
  <c r="AI87" i="6" s="1"/>
  <c r="AB8" i="1"/>
  <c r="Y8" i="1"/>
  <c r="E9" i="5"/>
  <c r="F9" i="5" s="1"/>
  <c r="G9" i="5" s="1"/>
  <c r="K9" i="3"/>
  <c r="V9" i="3"/>
  <c r="Q10" i="3"/>
  <c r="V9" i="5"/>
  <c r="X9" i="5" s="1"/>
  <c r="AA9" i="5" s="1"/>
  <c r="M11" i="5"/>
  <c r="D14" i="5"/>
  <c r="AC13" i="5"/>
  <c r="H13" i="5" s="1"/>
  <c r="U10" i="5"/>
  <c r="W10" i="5"/>
  <c r="Y10" i="5"/>
  <c r="AD11" i="5"/>
  <c r="T11" i="5" s="1"/>
  <c r="O12" i="5"/>
  <c r="I12" i="5"/>
  <c r="K12" i="5"/>
  <c r="J12" i="5"/>
  <c r="T8" i="4" a="1"/>
  <c r="T7" i="3"/>
  <c r="U7" i="3" s="1"/>
  <c r="W7" i="3" s="1"/>
  <c r="J6" i="3"/>
  <c r="M6" i="3" s="1"/>
  <c r="I7" i="3"/>
  <c r="J7" i="3" s="1"/>
  <c r="M7" i="3" s="1"/>
  <c r="G9" i="3"/>
  <c r="R9" i="3"/>
  <c r="F10" i="3"/>
  <c r="AZ8" i="1"/>
  <c r="AZ9" i="1" s="1"/>
  <c r="BE7" i="1"/>
  <c r="BE8" i="1"/>
  <c r="AR9" i="1"/>
  <c r="AS9" i="1" s="1"/>
  <c r="AN8" i="1"/>
  <c r="AO7" i="1"/>
  <c r="AV8" i="1"/>
  <c r="AV9" i="1" s="1"/>
  <c r="AS8" i="1"/>
  <c r="BD10" i="1"/>
  <c r="AJ8" i="1"/>
  <c r="X9" i="1"/>
  <c r="L12" i="5"/>
  <c r="EO13" i="8" a="1"/>
  <c r="V10" i="5" a="1"/>
  <c r="Z10" i="5"/>
  <c r="V10" i="3" a="1"/>
  <c r="AB9" i="1" a="1"/>
  <c r="Y9" i="1" a="1"/>
  <c r="H10" i="3" a="1"/>
  <c r="K10" i="3" a="1"/>
  <c r="Z15" i="6" l="1"/>
  <c r="AA15" i="6" s="1"/>
  <c r="EO13" i="8"/>
  <c r="EP13" i="8" s="1"/>
  <c r="EQ13" i="8" s="1"/>
  <c r="ER13" i="8" s="1"/>
  <c r="CQ13" i="8"/>
  <c r="CR13" i="8" s="1"/>
  <c r="CP14" i="8"/>
  <c r="AQ9" i="8"/>
  <c r="AR9" i="8" s="1"/>
  <c r="AP10" i="8"/>
  <c r="Y54" i="7"/>
  <c r="Z54" i="7"/>
  <c r="AI76" i="6"/>
  <c r="AI65" i="6" s="1"/>
  <c r="Q15" i="6"/>
  <c r="Q15" i="7"/>
  <c r="T15" i="6"/>
  <c r="U15" i="6" s="1"/>
  <c r="V15" i="6" s="1"/>
  <c r="P28" i="6" s="1"/>
  <c r="Y54" i="6"/>
  <c r="R8" i="5"/>
  <c r="S8" i="5" s="1"/>
  <c r="Z54" i="6"/>
  <c r="T15" i="7"/>
  <c r="U15" i="7" s="1"/>
  <c r="V15" i="7" s="1"/>
  <c r="P28" i="7" s="1"/>
  <c r="H10" i="3"/>
  <c r="N6" i="3"/>
  <c r="AI65" i="7"/>
  <c r="AH64" i="6"/>
  <c r="AH64" i="7"/>
  <c r="T14" i="6"/>
  <c r="U14" i="6" s="1"/>
  <c r="V14" i="6" s="1"/>
  <c r="P27" i="6" s="1"/>
  <c r="Y53" i="6"/>
  <c r="Q14" i="7"/>
  <c r="Q14" i="6"/>
  <c r="T14" i="7"/>
  <c r="U14" i="7" s="1"/>
  <c r="V14" i="7" s="1"/>
  <c r="P27" i="7" s="1"/>
  <c r="Y53" i="7"/>
  <c r="AS14" i="7"/>
  <c r="AS13" i="7"/>
  <c r="Z15" i="7"/>
  <c r="AJ15" i="7"/>
  <c r="AA14" i="7"/>
  <c r="AZ15" i="7"/>
  <c r="BA15" i="7" s="1"/>
  <c r="AV14" i="7"/>
  <c r="AW14" i="7" s="1"/>
  <c r="AH65" i="7"/>
  <c r="AR16" i="7"/>
  <c r="AS16" i="7" s="1"/>
  <c r="AS15" i="7"/>
  <c r="BD15" i="7"/>
  <c r="BE15" i="7" s="1"/>
  <c r="AN15" i="7"/>
  <c r="AO15" i="7" s="1"/>
  <c r="BE14" i="7"/>
  <c r="AV13" i="6"/>
  <c r="AV14" i="6" s="1"/>
  <c r="AH87" i="6"/>
  <c r="AH65" i="6" s="1"/>
  <c r="AR16" i="6"/>
  <c r="AN14" i="6"/>
  <c r="AS15" i="6"/>
  <c r="AJ14" i="6"/>
  <c r="AZ15" i="6"/>
  <c r="BA14" i="6"/>
  <c r="AO13" i="6"/>
  <c r="BD13" i="6"/>
  <c r="AB9" i="1"/>
  <c r="Y9" i="1"/>
  <c r="E10" i="5"/>
  <c r="F10" i="5" s="1"/>
  <c r="G10" i="5" s="1"/>
  <c r="K10" i="3"/>
  <c r="V10" i="3"/>
  <c r="Q11" i="3"/>
  <c r="M12" i="5"/>
  <c r="V10" i="5"/>
  <c r="X10" i="5" s="1"/>
  <c r="AA10" i="5" s="1"/>
  <c r="AC14" i="5"/>
  <c r="H14" i="5" s="1"/>
  <c r="D15" i="5"/>
  <c r="K13" i="5"/>
  <c r="J13" i="5"/>
  <c r="I13" i="5"/>
  <c r="O13" i="5"/>
  <c r="AD12" i="5"/>
  <c r="T12" i="5" s="1"/>
  <c r="W11" i="5"/>
  <c r="U11" i="5"/>
  <c r="Y11" i="5"/>
  <c r="T14" i="4"/>
  <c r="T15" i="4"/>
  <c r="T10" i="4"/>
  <c r="T11" i="4"/>
  <c r="T9" i="4"/>
  <c r="T12" i="4"/>
  <c r="T17" i="4"/>
  <c r="T16" i="4"/>
  <c r="T8" i="4"/>
  <c r="T13" i="4"/>
  <c r="T8" i="3"/>
  <c r="U8" i="3" s="1"/>
  <c r="W8" i="3" s="1"/>
  <c r="L7" i="3"/>
  <c r="N7" i="3" s="1"/>
  <c r="I8" i="3"/>
  <c r="L8" i="3" s="1"/>
  <c r="R10" i="3"/>
  <c r="G10" i="3"/>
  <c r="F11" i="3"/>
  <c r="BA8" i="1"/>
  <c r="AR10" i="1"/>
  <c r="AS10" i="1" s="1"/>
  <c r="AO8" i="1"/>
  <c r="AN9" i="1"/>
  <c r="AO9" i="1" s="1"/>
  <c r="AW8" i="1"/>
  <c r="AZ10" i="1"/>
  <c r="BA10" i="1" s="1"/>
  <c r="BA9" i="1"/>
  <c r="AJ9" i="1"/>
  <c r="AK8" i="1"/>
  <c r="BD11" i="1"/>
  <c r="AV10" i="1"/>
  <c r="BE10" i="1"/>
  <c r="AW9" i="1"/>
  <c r="X10" i="1"/>
  <c r="V11" i="5" a="1"/>
  <c r="Z11" i="5"/>
  <c r="L13" i="5"/>
  <c r="EO14" i="8" a="1"/>
  <c r="S10" i="3" a="1"/>
  <c r="V11" i="3" a="1"/>
  <c r="Y10" i="1" a="1"/>
  <c r="AB10" i="1" a="1"/>
  <c r="K11" i="3" a="1"/>
  <c r="Z16" i="6" l="1"/>
  <c r="AA66" i="6" s="1"/>
  <c r="EO14" i="8"/>
  <c r="EP14" i="8" s="1"/>
  <c r="EQ14" i="8" s="1"/>
  <c r="ER14" i="8" s="1"/>
  <c r="CP15" i="8"/>
  <c r="CQ14" i="8"/>
  <c r="CR14" i="8" s="1"/>
  <c r="S10" i="3"/>
  <c r="AH54" i="6"/>
  <c r="K54" i="6" s="1"/>
  <c r="AQ10" i="8"/>
  <c r="AR10" i="8" s="1"/>
  <c r="AP11" i="8"/>
  <c r="AI54" i="6"/>
  <c r="L54" i="6" s="1"/>
  <c r="Q9" i="5"/>
  <c r="P9" i="5" s="1"/>
  <c r="AH54" i="7"/>
  <c r="K54" i="7" s="1"/>
  <c r="AI54" i="7"/>
  <c r="L54" i="7" s="1"/>
  <c r="AH53" i="6"/>
  <c r="K53" i="6" s="1"/>
  <c r="AW13" i="6"/>
  <c r="AH53" i="7"/>
  <c r="K53" i="7" s="1"/>
  <c r="AV15" i="7"/>
  <c r="AZ16" i="7"/>
  <c r="AJ16" i="7"/>
  <c r="AN16" i="7"/>
  <c r="AK15" i="7"/>
  <c r="Z16" i="7"/>
  <c r="AA16" i="7" s="1"/>
  <c r="BD16" i="7"/>
  <c r="AR17" i="7"/>
  <c r="AS17" i="7" s="1"/>
  <c r="AJ88" i="7"/>
  <c r="AA15" i="7"/>
  <c r="AJ77" i="7"/>
  <c r="AW14" i="6"/>
  <c r="AV15" i="6"/>
  <c r="AW15" i="6" s="1"/>
  <c r="AJ15" i="6"/>
  <c r="AN15" i="6"/>
  <c r="AK14" i="6"/>
  <c r="AO14" i="6"/>
  <c r="BD14" i="6"/>
  <c r="AR17" i="6"/>
  <c r="BE13" i="6"/>
  <c r="AZ16" i="6"/>
  <c r="BA16" i="6" s="1"/>
  <c r="AS16" i="6"/>
  <c r="AJ77" i="6" s="1"/>
  <c r="BA15" i="6"/>
  <c r="AB10" i="1"/>
  <c r="Y10" i="1"/>
  <c r="E11" i="5"/>
  <c r="F11" i="5" s="1"/>
  <c r="K11" i="3"/>
  <c r="V11" i="3"/>
  <c r="Q12" i="3"/>
  <c r="V11" i="5"/>
  <c r="X11" i="5" s="1"/>
  <c r="AA11" i="5" s="1"/>
  <c r="M13" i="5"/>
  <c r="G11" i="5"/>
  <c r="E12" i="5"/>
  <c r="F12" i="5" s="1"/>
  <c r="W12" i="5"/>
  <c r="U12" i="5"/>
  <c r="Y12" i="5"/>
  <c r="J14" i="5"/>
  <c r="K14" i="5"/>
  <c r="I14" i="5"/>
  <c r="AC15" i="5"/>
  <c r="H15" i="5" s="1"/>
  <c r="D16" i="5"/>
  <c r="O14" i="5"/>
  <c r="AD13" i="5"/>
  <c r="T13" i="5" s="1"/>
  <c r="AF30" i="4"/>
  <c r="AG30" i="4" s="1"/>
  <c r="X13" i="4"/>
  <c r="AF25" i="4"/>
  <c r="AG25" i="4" s="1"/>
  <c r="X8" i="4"/>
  <c r="AF34" i="4"/>
  <c r="AG34" i="4" s="1"/>
  <c r="X17" i="4"/>
  <c r="X12" i="4"/>
  <c r="AF29" i="4"/>
  <c r="AG29" i="4" s="1"/>
  <c r="X11" i="4"/>
  <c r="AF28" i="4"/>
  <c r="AG28" i="4" s="1"/>
  <c r="AF32" i="4"/>
  <c r="AG32" i="4" s="1"/>
  <c r="X15" i="4"/>
  <c r="X16" i="4"/>
  <c r="AF33" i="4"/>
  <c r="AG33" i="4" s="1"/>
  <c r="X9" i="4"/>
  <c r="AF26" i="4"/>
  <c r="AG26" i="4" s="1"/>
  <c r="X10" i="4"/>
  <c r="AF27" i="4"/>
  <c r="AG27" i="4" s="1"/>
  <c r="X14" i="4"/>
  <c r="AF31" i="4"/>
  <c r="AG31" i="4" s="1"/>
  <c r="I9" i="3"/>
  <c r="L9" i="3" s="1"/>
  <c r="T9" i="3"/>
  <c r="J8" i="3"/>
  <c r="M8" i="3" s="1"/>
  <c r="N8" i="3" s="1"/>
  <c r="R11" i="3"/>
  <c r="G11" i="3"/>
  <c r="F12" i="3"/>
  <c r="AH86" i="1"/>
  <c r="AH75" i="1"/>
  <c r="AN10" i="1"/>
  <c r="AN11" i="1" s="1"/>
  <c r="AN12" i="1" s="1"/>
  <c r="AR11" i="1"/>
  <c r="AZ11" i="1"/>
  <c r="BA11" i="1" s="1"/>
  <c r="BD12" i="1"/>
  <c r="BE12" i="1" s="1"/>
  <c r="AJ10" i="1"/>
  <c r="AK9" i="1"/>
  <c r="AV11" i="1"/>
  <c r="BE11" i="1"/>
  <c r="AW10" i="1"/>
  <c r="X11" i="1"/>
  <c r="Z12" i="5"/>
  <c r="V12" i="5" a="1"/>
  <c r="L14" i="5"/>
  <c r="EO15" i="8" a="1"/>
  <c r="K12" i="3" a="1"/>
  <c r="H11" i="3" a="1"/>
  <c r="AB11" i="1" a="1"/>
  <c r="S11" i="3" a="1"/>
  <c r="Y11" i="1" a="1"/>
  <c r="S12" i="3" a="1"/>
  <c r="H12" i="3" a="1"/>
  <c r="V12" i="3" a="1"/>
  <c r="AA77" i="6" l="1"/>
  <c r="AA16" i="6"/>
  <c r="Y77" i="6" s="1"/>
  <c r="N16" i="6"/>
  <c r="Z17" i="6"/>
  <c r="AA17" i="6" s="1"/>
  <c r="EO15" i="8"/>
  <c r="EP15" i="8" s="1"/>
  <c r="EQ15" i="8" s="1"/>
  <c r="ER15" i="8" s="1"/>
  <c r="CP16" i="8"/>
  <c r="CQ15" i="8"/>
  <c r="CR15" i="8" s="1"/>
  <c r="S11" i="3"/>
  <c r="H11" i="3"/>
  <c r="AQ11" i="8"/>
  <c r="AR11" i="8" s="1"/>
  <c r="AP12" i="8"/>
  <c r="R9" i="5"/>
  <c r="S9" i="5" s="1"/>
  <c r="S12" i="3"/>
  <c r="H12" i="3"/>
  <c r="AJ66" i="7"/>
  <c r="Z77" i="7"/>
  <c r="Z17" i="7"/>
  <c r="N16" i="7"/>
  <c r="S16" i="7"/>
  <c r="Y77" i="7"/>
  <c r="AA66" i="7"/>
  <c r="AA77" i="7"/>
  <c r="P16" i="7"/>
  <c r="O16" i="7"/>
  <c r="AN17" i="7"/>
  <c r="AO17" i="7" s="1"/>
  <c r="AO16" i="7"/>
  <c r="AI77" i="7" s="1"/>
  <c r="AJ17" i="7"/>
  <c r="AK16" i="7"/>
  <c r="AH77" i="7" s="1"/>
  <c r="AZ17" i="7"/>
  <c r="BA17" i="7" s="1"/>
  <c r="BA16" i="7"/>
  <c r="Z66" i="7"/>
  <c r="Y66" i="7"/>
  <c r="BD17" i="7"/>
  <c r="BE17" i="7" s="1"/>
  <c r="AV16" i="7"/>
  <c r="AR18" i="7"/>
  <c r="BE16" i="7"/>
  <c r="AW15" i="7"/>
  <c r="AV16" i="6"/>
  <c r="AW16" i="6" s="1"/>
  <c r="AZ17" i="6"/>
  <c r="BA17" i="6" s="1"/>
  <c r="AN16" i="6"/>
  <c r="AO16" i="6" s="1"/>
  <c r="AO15" i="6"/>
  <c r="AJ88" i="6"/>
  <c r="AJ66" i="6" s="1"/>
  <c r="AR18" i="6"/>
  <c r="AS17" i="6"/>
  <c r="BD15" i="6"/>
  <c r="AJ16" i="6"/>
  <c r="AK15" i="6"/>
  <c r="BE14" i="6"/>
  <c r="AB11" i="1"/>
  <c r="Y11" i="1"/>
  <c r="V12" i="3"/>
  <c r="K12" i="3"/>
  <c r="Q13" i="3"/>
  <c r="V12" i="5"/>
  <c r="X12" i="5" s="1"/>
  <c r="AA12" i="5" s="1"/>
  <c r="M14" i="5"/>
  <c r="G12" i="5"/>
  <c r="E13" i="5"/>
  <c r="F13" i="5" s="1"/>
  <c r="AC16" i="5"/>
  <c r="D17" i="5"/>
  <c r="O15" i="5"/>
  <c r="AD14" i="5"/>
  <c r="T14" i="5" s="1"/>
  <c r="U13" i="5"/>
  <c r="W13" i="5"/>
  <c r="Y13" i="5"/>
  <c r="J15" i="5"/>
  <c r="I15" i="5"/>
  <c r="K15" i="5"/>
  <c r="X4" i="4"/>
  <c r="J9" i="3"/>
  <c r="M9" i="3" s="1"/>
  <c r="N9" i="3" s="1"/>
  <c r="T10" i="3"/>
  <c r="U9" i="3"/>
  <c r="W9" i="3" s="1"/>
  <c r="I10" i="3"/>
  <c r="J10" i="3" s="1"/>
  <c r="M10" i="3" s="1"/>
  <c r="R12" i="3"/>
  <c r="G12" i="3"/>
  <c r="F13" i="3"/>
  <c r="AH64" i="1"/>
  <c r="AO10" i="1"/>
  <c r="AR12" i="1"/>
  <c r="AS12" i="1" s="1"/>
  <c r="AS11" i="1"/>
  <c r="AO11" i="1"/>
  <c r="AK10" i="1"/>
  <c r="AV12" i="1"/>
  <c r="AW11" i="1"/>
  <c r="AN13" i="1"/>
  <c r="AZ12" i="1"/>
  <c r="AO12" i="1"/>
  <c r="AJ11" i="1"/>
  <c r="BD13" i="1"/>
  <c r="X12" i="1"/>
  <c r="Z13" i="5"/>
  <c r="V13" i="5" a="1"/>
  <c r="L15" i="5"/>
  <c r="EO16" i="8" a="1"/>
  <c r="Y12" i="1" a="1"/>
  <c r="S13" i="3" a="1"/>
  <c r="H13" i="3" a="1"/>
  <c r="AB12" i="1" a="1"/>
  <c r="V13" i="3" a="1"/>
  <c r="K13" i="3" a="1"/>
  <c r="Z77" i="6" l="1"/>
  <c r="S16" i="6"/>
  <c r="Z66" i="6"/>
  <c r="Z18" i="6"/>
  <c r="Z19" i="6" s="1"/>
  <c r="AA19" i="6" s="1"/>
  <c r="P16" i="6"/>
  <c r="Y66" i="6"/>
  <c r="O16" i="6"/>
  <c r="EO16" i="8"/>
  <c r="EP16" i="8" s="1"/>
  <c r="EQ16" i="8" s="1"/>
  <c r="ER16" i="8" s="1"/>
  <c r="CP17" i="8"/>
  <c r="CQ16" i="8"/>
  <c r="CR16" i="8" s="1"/>
  <c r="AQ12" i="8"/>
  <c r="AR12" i="8" s="1"/>
  <c r="AP13" i="8"/>
  <c r="Q10" i="5"/>
  <c r="S13" i="3"/>
  <c r="T16" i="7"/>
  <c r="U16" i="7" s="1"/>
  <c r="V16" i="7" s="1"/>
  <c r="P29" i="7" s="1"/>
  <c r="H13" i="3"/>
  <c r="AI88" i="7"/>
  <c r="AI66" i="7" s="1"/>
  <c r="Y55" i="7"/>
  <c r="AN18" i="7"/>
  <c r="AA55" i="7"/>
  <c r="AZ18" i="7"/>
  <c r="BA18" i="7" s="1"/>
  <c r="AV17" i="7"/>
  <c r="AW17" i="7" s="1"/>
  <c r="Q16" i="7"/>
  <c r="AR19" i="7"/>
  <c r="AW16" i="7"/>
  <c r="AJ18" i="7"/>
  <c r="Z18" i="7"/>
  <c r="Z55" i="7"/>
  <c r="AS18" i="7"/>
  <c r="AH88" i="7"/>
  <c r="AH66" i="7" s="1"/>
  <c r="BD18" i="7"/>
  <c r="BE18" i="7" s="1"/>
  <c r="AK17" i="7"/>
  <c r="AA17" i="7"/>
  <c r="AV17" i="6"/>
  <c r="AW17" i="6" s="1"/>
  <c r="AI77" i="6"/>
  <c r="AR19" i="6"/>
  <c r="AS19" i="6" s="1"/>
  <c r="AJ17" i="6"/>
  <c r="AK16" i="6"/>
  <c r="AH77" i="6" s="1"/>
  <c r="BD16" i="6"/>
  <c r="BE16" i="6" s="1"/>
  <c r="AS18" i="6"/>
  <c r="AN17" i="6"/>
  <c r="AO17" i="6" s="1"/>
  <c r="AI88" i="6"/>
  <c r="BE15" i="6"/>
  <c r="AZ18" i="6"/>
  <c r="AB12" i="1"/>
  <c r="Y12" i="1"/>
  <c r="H16" i="5"/>
  <c r="K13" i="3"/>
  <c r="V13" i="3"/>
  <c r="Q14" i="3"/>
  <c r="V13" i="5"/>
  <c r="X13" i="5" s="1"/>
  <c r="AA13" i="5" s="1"/>
  <c r="M15" i="5"/>
  <c r="Q11" i="5"/>
  <c r="G13" i="5"/>
  <c r="E14" i="5"/>
  <c r="F14" i="5" s="1"/>
  <c r="AC17" i="5"/>
  <c r="D18" i="5"/>
  <c r="Y14" i="5"/>
  <c r="W14" i="5"/>
  <c r="U14" i="5"/>
  <c r="O16" i="5"/>
  <c r="AD15" i="5"/>
  <c r="T15" i="5" s="1"/>
  <c r="I16" i="5"/>
  <c r="K16" i="5"/>
  <c r="J16" i="5"/>
  <c r="L10" i="3"/>
  <c r="N10" i="3" s="1"/>
  <c r="T11" i="3"/>
  <c r="U10" i="3"/>
  <c r="W10" i="3" s="1"/>
  <c r="I11" i="3"/>
  <c r="J11" i="3" s="1"/>
  <c r="M11" i="3" s="1"/>
  <c r="R13" i="3"/>
  <c r="G13" i="3"/>
  <c r="F14" i="3"/>
  <c r="AR13" i="1"/>
  <c r="BA12" i="1"/>
  <c r="AO13" i="1"/>
  <c r="BD14" i="1"/>
  <c r="AV13" i="1"/>
  <c r="AN14" i="1"/>
  <c r="BE13" i="1"/>
  <c r="AJ12" i="1"/>
  <c r="AK11" i="1"/>
  <c r="AW12" i="1"/>
  <c r="AZ13" i="1"/>
  <c r="X13" i="1"/>
  <c r="L16" i="5"/>
  <c r="V14" i="5" a="1"/>
  <c r="Z14" i="5"/>
  <c r="EO17" i="8" a="1"/>
  <c r="V14" i="3" a="1"/>
  <c r="S14" i="3" a="1"/>
  <c r="H14" i="3" a="1"/>
  <c r="AB13" i="1" a="1"/>
  <c r="Y13" i="1" a="1"/>
  <c r="K14" i="3" a="1"/>
  <c r="AA18" i="6" l="1"/>
  <c r="Y55" i="6"/>
  <c r="T16" i="6"/>
  <c r="U16" i="6" s="1"/>
  <c r="V16" i="6" s="1"/>
  <c r="P29" i="6" s="1"/>
  <c r="Z55" i="6"/>
  <c r="AA55" i="6"/>
  <c r="Q16" i="6"/>
  <c r="EO17" i="8"/>
  <c r="EP17" i="8" s="1"/>
  <c r="EQ17" i="8" s="1"/>
  <c r="ER17" i="8" s="1"/>
  <c r="CQ17" i="8"/>
  <c r="CR17" i="8" s="1"/>
  <c r="CP18" i="8"/>
  <c r="AQ13" i="8"/>
  <c r="AR13" i="8" s="1"/>
  <c r="AP14" i="8"/>
  <c r="P10" i="5"/>
  <c r="R10" i="5"/>
  <c r="S10" i="5" s="1"/>
  <c r="S14" i="3"/>
  <c r="AJ55" i="7"/>
  <c r="M55" i="7" s="1"/>
  <c r="AI55" i="7"/>
  <c r="L55" i="7" s="1"/>
  <c r="AH55" i="7"/>
  <c r="K55" i="7" s="1"/>
  <c r="H14" i="3"/>
  <c r="AJ19" i="7"/>
  <c r="AK18" i="7"/>
  <c r="AR20" i="7"/>
  <c r="AS20" i="7" s="1"/>
  <c r="AS19" i="7"/>
  <c r="BD19" i="7"/>
  <c r="BE19" i="7" s="1"/>
  <c r="AV18" i="7"/>
  <c r="AW18" i="7" s="1"/>
  <c r="AZ19" i="7"/>
  <c r="Z19" i="7"/>
  <c r="AA19" i="7" s="1"/>
  <c r="AN19" i="7"/>
  <c r="AA18" i="7"/>
  <c r="AO18" i="7"/>
  <c r="AH88" i="6"/>
  <c r="AH66" i="6" s="1"/>
  <c r="AI66" i="6"/>
  <c r="AV18" i="6"/>
  <c r="AW18" i="6" s="1"/>
  <c r="AZ19" i="6"/>
  <c r="AJ18" i="6"/>
  <c r="BA18" i="6"/>
  <c r="AN18" i="6"/>
  <c r="AR20" i="6"/>
  <c r="AS20" i="6" s="1"/>
  <c r="AJ78" i="6" s="1"/>
  <c r="AK17" i="6"/>
  <c r="Z20" i="6"/>
  <c r="AA20" i="6" s="1"/>
  <c r="BD17" i="6"/>
  <c r="BE17" i="6" s="1"/>
  <c r="AB13" i="1"/>
  <c r="Y13" i="1"/>
  <c r="M16" i="5"/>
  <c r="H17" i="5"/>
  <c r="K14" i="3"/>
  <c r="V14" i="3"/>
  <c r="Q15" i="3"/>
  <c r="V14" i="5"/>
  <c r="X14" i="5" s="1"/>
  <c r="AA14" i="5" s="1"/>
  <c r="G14" i="5"/>
  <c r="E15" i="5"/>
  <c r="F15" i="5" s="1"/>
  <c r="P11" i="5"/>
  <c r="R11" i="5"/>
  <c r="AD16" i="5"/>
  <c r="T16" i="5" s="1"/>
  <c r="O17" i="5"/>
  <c r="W15" i="5"/>
  <c r="U15" i="5"/>
  <c r="Y15" i="5"/>
  <c r="D19" i="5"/>
  <c r="AC18" i="5"/>
  <c r="J17" i="5"/>
  <c r="K17" i="5"/>
  <c r="I17" i="5"/>
  <c r="T12" i="3"/>
  <c r="U11" i="3"/>
  <c r="W11" i="3" s="1"/>
  <c r="I12" i="3"/>
  <c r="L12" i="3" s="1"/>
  <c r="L11" i="3"/>
  <c r="N11" i="3" s="1"/>
  <c r="R14" i="3"/>
  <c r="G14" i="3"/>
  <c r="F15" i="3"/>
  <c r="AK12" i="1"/>
  <c r="AH87" i="1" s="1"/>
  <c r="AR14" i="1"/>
  <c r="AS13" i="1"/>
  <c r="AI87" i="1"/>
  <c r="AI76" i="1"/>
  <c r="AN15" i="1"/>
  <c r="AO14" i="1"/>
  <c r="AV14" i="1"/>
  <c r="AW14" i="1" s="1"/>
  <c r="AW13" i="1"/>
  <c r="BD15" i="1"/>
  <c r="BE15" i="1" s="1"/>
  <c r="AJ13" i="1"/>
  <c r="AZ14" i="1"/>
  <c r="BA13" i="1"/>
  <c r="BE14" i="1"/>
  <c r="X14" i="1"/>
  <c r="V15" i="5" a="1"/>
  <c r="L17" i="5"/>
  <c r="Z15" i="5"/>
  <c r="EO18" i="8" a="1"/>
  <c r="S15" i="3" a="1"/>
  <c r="Y14" i="1" a="1"/>
  <c r="AB14" i="1" a="1"/>
  <c r="V15" i="3" a="1"/>
  <c r="K15" i="3" a="1"/>
  <c r="AH55" i="6" l="1"/>
  <c r="K55" i="6" s="1"/>
  <c r="AI55" i="6"/>
  <c r="L55" i="6" s="1"/>
  <c r="AJ55" i="6"/>
  <c r="M55" i="6" s="1"/>
  <c r="EO18" i="8"/>
  <c r="EP18" i="8" s="1"/>
  <c r="EQ18" i="8" s="1"/>
  <c r="ER18" i="8" s="1"/>
  <c r="CP19" i="8"/>
  <c r="CQ18" i="8"/>
  <c r="CR18" i="8" s="1"/>
  <c r="AQ14" i="8"/>
  <c r="AR14" i="8" s="1"/>
  <c r="AP15" i="8"/>
  <c r="S15" i="3"/>
  <c r="AJ78" i="7"/>
  <c r="BD20" i="7"/>
  <c r="AR21" i="7"/>
  <c r="AJ89" i="7"/>
  <c r="AN20" i="7"/>
  <c r="AO20" i="7" s="1"/>
  <c r="AJ20" i="7"/>
  <c r="AZ20" i="7"/>
  <c r="BA19" i="7"/>
  <c r="AK19" i="7"/>
  <c r="AO19" i="7"/>
  <c r="Z20" i="7"/>
  <c r="AB67" i="7" s="1"/>
  <c r="AV19" i="7"/>
  <c r="AW19" i="7" s="1"/>
  <c r="AB67" i="6"/>
  <c r="AV19" i="6"/>
  <c r="AV20" i="6" s="1"/>
  <c r="O17" i="6"/>
  <c r="P17" i="6"/>
  <c r="Y67" i="6"/>
  <c r="Z67" i="6"/>
  <c r="AA78" i="6"/>
  <c r="AA67" i="6"/>
  <c r="AN19" i="6"/>
  <c r="AR21" i="6"/>
  <c r="AS21" i="6" s="1"/>
  <c r="AJ89" i="6"/>
  <c r="AJ67" i="6" s="1"/>
  <c r="AO18" i="6"/>
  <c r="AJ19" i="6"/>
  <c r="AZ20" i="6"/>
  <c r="AK18" i="6"/>
  <c r="BA19" i="6"/>
  <c r="BD18" i="6"/>
  <c r="Z21" i="6"/>
  <c r="S17" i="6"/>
  <c r="Y78" i="6"/>
  <c r="N17" i="6"/>
  <c r="Z78" i="6"/>
  <c r="AB78" i="6"/>
  <c r="AB14" i="1"/>
  <c r="Y14" i="1"/>
  <c r="M17" i="5"/>
  <c r="G15" i="5"/>
  <c r="E16" i="5"/>
  <c r="F16" i="5" s="1"/>
  <c r="H18" i="5"/>
  <c r="K15" i="3"/>
  <c r="V15" i="3"/>
  <c r="Q16" i="3"/>
  <c r="V15" i="5"/>
  <c r="X15" i="5" s="1"/>
  <c r="AA15" i="5" s="1"/>
  <c r="S11" i="5"/>
  <c r="Q12" i="5"/>
  <c r="AD17" i="5"/>
  <c r="T17" i="5" s="1"/>
  <c r="O18" i="5"/>
  <c r="I18" i="5"/>
  <c r="J18" i="5"/>
  <c r="K18" i="5"/>
  <c r="D20" i="5"/>
  <c r="AC19" i="5"/>
  <c r="U16" i="5"/>
  <c r="W16" i="5"/>
  <c r="Y16" i="5"/>
  <c r="I13" i="3"/>
  <c r="L13" i="3" s="1"/>
  <c r="T13" i="3"/>
  <c r="U12" i="3"/>
  <c r="W12" i="3" s="1"/>
  <c r="J12" i="3"/>
  <c r="M12" i="3" s="1"/>
  <c r="N12" i="3" s="1"/>
  <c r="R15" i="3"/>
  <c r="G15" i="3"/>
  <c r="F16" i="3"/>
  <c r="AH76" i="1"/>
  <c r="AH65" i="1" s="1"/>
  <c r="AI65" i="1"/>
  <c r="AS14" i="1"/>
  <c r="AR15" i="1"/>
  <c r="AS15" i="1" s="1"/>
  <c r="AN16" i="1"/>
  <c r="AJ14" i="1"/>
  <c r="AK14" i="1" s="1"/>
  <c r="AK13" i="1"/>
  <c r="AZ15" i="1"/>
  <c r="BA15" i="1" s="1"/>
  <c r="AO15" i="1"/>
  <c r="BA14" i="1"/>
  <c r="BD16" i="1"/>
  <c r="BE16" i="1" s="1"/>
  <c r="AV15" i="1"/>
  <c r="X15" i="1"/>
  <c r="L18" i="5"/>
  <c r="Z16" i="5"/>
  <c r="V16" i="5" a="1"/>
  <c r="EO19" i="8" a="1"/>
  <c r="K16" i="3" a="1"/>
  <c r="H16" i="3" a="1"/>
  <c r="Y15" i="1" a="1"/>
  <c r="AB15" i="1" a="1"/>
  <c r="H15" i="3" a="1"/>
  <c r="V16" i="3" a="1"/>
  <c r="S16" i="3" a="1"/>
  <c r="EO19" i="8" l="1"/>
  <c r="EP19" i="8" s="1"/>
  <c r="EQ19" i="8" s="1"/>
  <c r="ER19" i="8" s="1"/>
  <c r="CQ19" i="8"/>
  <c r="CR19" i="8" s="1"/>
  <c r="CP20" i="8"/>
  <c r="H15" i="3"/>
  <c r="AQ15" i="8"/>
  <c r="AR15" i="8" s="1"/>
  <c r="AP16" i="8"/>
  <c r="S16" i="3"/>
  <c r="H16" i="3"/>
  <c r="AW19" i="6"/>
  <c r="AJ67" i="7"/>
  <c r="Q17" i="6"/>
  <c r="AI78" i="7"/>
  <c r="AB78" i="7"/>
  <c r="AJ21" i="7"/>
  <c r="AN21" i="7"/>
  <c r="AO21" i="7" s="1"/>
  <c r="AI89" i="7"/>
  <c r="AR22" i="7"/>
  <c r="Z21" i="7"/>
  <c r="N17" i="7"/>
  <c r="AA20" i="7"/>
  <c r="AA78" i="7" s="1"/>
  <c r="AS21" i="7"/>
  <c r="AK20" i="7"/>
  <c r="AH78" i="7" s="1"/>
  <c r="BD21" i="7"/>
  <c r="BE21" i="7" s="1"/>
  <c r="BE20" i="7"/>
  <c r="AV20" i="7"/>
  <c r="AZ21" i="7"/>
  <c r="BA21" i="7" s="1"/>
  <c r="BA20" i="7"/>
  <c r="AW20" i="6"/>
  <c r="AV21" i="6"/>
  <c r="AB56" i="6"/>
  <c r="Z22" i="6"/>
  <c r="AA21" i="6"/>
  <c r="AN20" i="6"/>
  <c r="AO20" i="6" s="1"/>
  <c r="AA56" i="6"/>
  <c r="AO19" i="6"/>
  <c r="BD19" i="6"/>
  <c r="BE18" i="6"/>
  <c r="Z56" i="6"/>
  <c r="Y56" i="6"/>
  <c r="AR22" i="6"/>
  <c r="AJ20" i="6"/>
  <c r="AK20" i="6" s="1"/>
  <c r="T17" i="6"/>
  <c r="U17" i="6" s="1"/>
  <c r="AZ21" i="6"/>
  <c r="BA20" i="6"/>
  <c r="AK19" i="6"/>
  <c r="AB15" i="1"/>
  <c r="Y15" i="1"/>
  <c r="V16" i="5"/>
  <c r="X16" i="5" s="1"/>
  <c r="AA16" i="5"/>
  <c r="M18" i="5"/>
  <c r="H19" i="5"/>
  <c r="G16" i="5"/>
  <c r="E17" i="5"/>
  <c r="F17" i="5" s="1"/>
  <c r="K16" i="3"/>
  <c r="V16" i="3"/>
  <c r="Q17" i="3"/>
  <c r="P12" i="5"/>
  <c r="R12" i="5"/>
  <c r="I19" i="5"/>
  <c r="J19" i="5"/>
  <c r="K19" i="5"/>
  <c r="O19" i="5"/>
  <c r="AD18" i="5"/>
  <c r="T18" i="5" s="1"/>
  <c r="AC20" i="5"/>
  <c r="D21" i="5"/>
  <c r="U17" i="5"/>
  <c r="Y17" i="5"/>
  <c r="W17" i="5"/>
  <c r="J13" i="3"/>
  <c r="M13" i="3" s="1"/>
  <c r="N13" i="3" s="1"/>
  <c r="I14" i="3"/>
  <c r="J14" i="3" s="1"/>
  <c r="M14" i="3" s="1"/>
  <c r="T14" i="3"/>
  <c r="U13" i="3"/>
  <c r="W13" i="3" s="1"/>
  <c r="R16" i="3"/>
  <c r="G16" i="3"/>
  <c r="F17" i="3"/>
  <c r="AR16" i="1"/>
  <c r="AS16" i="1" s="1"/>
  <c r="AV16" i="1"/>
  <c r="AW15" i="1"/>
  <c r="BD17" i="1"/>
  <c r="AZ16" i="1"/>
  <c r="AJ15" i="1"/>
  <c r="AK15" i="1" s="1"/>
  <c r="AN17" i="1"/>
  <c r="AO16" i="1"/>
  <c r="X16" i="1"/>
  <c r="L19" i="5"/>
  <c r="Z17" i="5"/>
  <c r="V17" i="5" a="1"/>
  <c r="EO20" i="8" a="1"/>
  <c r="S17" i="3" a="1"/>
  <c r="Y16" i="1" a="1"/>
  <c r="AB16" i="1" a="1"/>
  <c r="V17" i="3" a="1"/>
  <c r="K17" i="3" a="1"/>
  <c r="EO20" i="8" l="1"/>
  <c r="EP20" i="8" s="1"/>
  <c r="EQ20" i="8" s="1"/>
  <c r="ER20" i="8" s="1"/>
  <c r="CQ20" i="8"/>
  <c r="CR20" i="8" s="1"/>
  <c r="CP21" i="8"/>
  <c r="AQ16" i="8"/>
  <c r="AR16" i="8" s="1"/>
  <c r="AP17" i="8"/>
  <c r="AI67" i="7"/>
  <c r="S17" i="3"/>
  <c r="AK89" i="6"/>
  <c r="Y78" i="7"/>
  <c r="AH89" i="7"/>
  <c r="AH67" i="7" s="1"/>
  <c r="Z22" i="7"/>
  <c r="AZ22" i="7"/>
  <c r="AV21" i="7"/>
  <c r="AW20" i="7"/>
  <c r="AK78" i="7" s="1"/>
  <c r="AR23" i="7"/>
  <c r="AS23" i="7" s="1"/>
  <c r="AN22" i="7"/>
  <c r="AS22" i="7"/>
  <c r="AJ22" i="7"/>
  <c r="BD22" i="7"/>
  <c r="BE22" i="7" s="1"/>
  <c r="AK21" i="7"/>
  <c r="P17" i="7"/>
  <c r="O17" i="7"/>
  <c r="Y67" i="7"/>
  <c r="Z67" i="7"/>
  <c r="AA67" i="7"/>
  <c r="Z78" i="7"/>
  <c r="AA21" i="7"/>
  <c r="S17" i="7"/>
  <c r="AI78" i="6"/>
  <c r="AW21" i="6"/>
  <c r="AV22" i="6"/>
  <c r="AH78" i="6"/>
  <c r="AK78" i="6"/>
  <c r="AZ22" i="6"/>
  <c r="V17" i="6"/>
  <c r="P30" i="6" s="1"/>
  <c r="AN21" i="6"/>
  <c r="AO21" i="6" s="1"/>
  <c r="AI89" i="6"/>
  <c r="AJ21" i="6"/>
  <c r="AH89" i="6"/>
  <c r="BA21" i="6"/>
  <c r="AR23" i="6"/>
  <c r="AS22" i="6"/>
  <c r="AA22" i="6"/>
  <c r="Z23" i="6"/>
  <c r="BD20" i="6"/>
  <c r="BE20" i="6" s="1"/>
  <c r="BE19" i="6"/>
  <c r="AJ56" i="6"/>
  <c r="M56" i="6" s="1"/>
  <c r="AB16" i="1"/>
  <c r="AI88" i="1" s="1"/>
  <c r="Y16" i="1"/>
  <c r="V17" i="5"/>
  <c r="X17" i="5" s="1"/>
  <c r="AA17" i="5" s="1"/>
  <c r="M19" i="5"/>
  <c r="G17" i="5"/>
  <c r="E18" i="5"/>
  <c r="F18" i="5" s="1"/>
  <c r="H20" i="5"/>
  <c r="K17" i="3"/>
  <c r="V17" i="3"/>
  <c r="Q18" i="3"/>
  <c r="S12" i="5"/>
  <c r="Q13" i="5"/>
  <c r="AC21" i="5"/>
  <c r="D22" i="5"/>
  <c r="W18" i="5"/>
  <c r="Y18" i="5"/>
  <c r="U18" i="5"/>
  <c r="I20" i="5"/>
  <c r="K20" i="5"/>
  <c r="J20" i="5"/>
  <c r="O20" i="5"/>
  <c r="AD19" i="5"/>
  <c r="T19" i="5" s="1"/>
  <c r="L14" i="3"/>
  <c r="N14" i="3" s="1"/>
  <c r="T15" i="3"/>
  <c r="U14" i="3"/>
  <c r="W14" i="3" s="1"/>
  <c r="I15" i="3"/>
  <c r="L15" i="3" s="1"/>
  <c r="G17" i="3"/>
  <c r="R17" i="3"/>
  <c r="F18" i="3"/>
  <c r="AR17" i="1"/>
  <c r="AS17" i="1" s="1"/>
  <c r="AZ17" i="1"/>
  <c r="AN18" i="1"/>
  <c r="AO17" i="1"/>
  <c r="BA16" i="1"/>
  <c r="AV17" i="1"/>
  <c r="AW17" i="1" s="1"/>
  <c r="AJ16" i="1"/>
  <c r="BD18" i="1"/>
  <c r="BE17" i="1"/>
  <c r="AW16" i="1"/>
  <c r="X17" i="1"/>
  <c r="V18" i="5" a="1"/>
  <c r="L20" i="5"/>
  <c r="Z18" i="5"/>
  <c r="EO21" i="8" a="1"/>
  <c r="AB17" i="1" a="1"/>
  <c r="Y17" i="1" a="1"/>
  <c r="H17" i="3" a="1"/>
  <c r="H18" i="3" a="1"/>
  <c r="K18" i="3" a="1"/>
  <c r="S18" i="3" a="1"/>
  <c r="V18" i="3" a="1"/>
  <c r="EO21" i="8" l="1"/>
  <c r="EP21" i="8" s="1"/>
  <c r="EQ21" i="8" s="1"/>
  <c r="ER21" i="8" s="1"/>
  <c r="CQ21" i="8"/>
  <c r="CR21" i="8" s="1"/>
  <c r="CP22" i="8"/>
  <c r="H17" i="3"/>
  <c r="AQ17" i="8"/>
  <c r="AR17" i="8" s="1"/>
  <c r="AP18" i="8"/>
  <c r="S18" i="3"/>
  <c r="H18" i="3"/>
  <c r="AK67" i="6"/>
  <c r="AK56" i="6" s="1"/>
  <c r="N56" i="6" s="1"/>
  <c r="AH67" i="6"/>
  <c r="AH56" i="6" s="1"/>
  <c r="K56" i="6" s="1"/>
  <c r="AI67" i="6"/>
  <c r="AI56" i="6" s="1"/>
  <c r="L56" i="6" s="1"/>
  <c r="T17" i="7"/>
  <c r="U17" i="7" s="1"/>
  <c r="AH56" i="7" s="1"/>
  <c r="K56" i="7" s="1"/>
  <c r="AK89" i="7"/>
  <c r="AK67" i="7" s="1"/>
  <c r="AA56" i="7"/>
  <c r="Z56" i="7"/>
  <c r="Y56" i="7"/>
  <c r="Q17" i="7"/>
  <c r="AR24" i="7"/>
  <c r="AV22" i="7"/>
  <c r="AW21" i="7"/>
  <c r="AZ23" i="7"/>
  <c r="BA22" i="7"/>
  <c r="Z23" i="7"/>
  <c r="BD23" i="7"/>
  <c r="BE23" i="7" s="1"/>
  <c r="AJ23" i="7"/>
  <c r="AA22" i="7"/>
  <c r="AB56" i="7"/>
  <c r="AK22" i="7"/>
  <c r="AN23" i="7"/>
  <c r="AO23" i="7" s="1"/>
  <c r="AO22" i="7"/>
  <c r="AW22" i="6"/>
  <c r="AV23" i="6"/>
  <c r="AW23" i="6" s="1"/>
  <c r="BD21" i="6"/>
  <c r="AN22" i="6"/>
  <c r="AO22" i="6" s="1"/>
  <c r="AR24" i="6"/>
  <c r="AS24" i="6" s="1"/>
  <c r="Z24" i="6"/>
  <c r="AJ22" i="6"/>
  <c r="AK22" i="6" s="1"/>
  <c r="AZ23" i="6"/>
  <c r="BA23" i="6" s="1"/>
  <c r="AA23" i="6"/>
  <c r="BA22" i="6"/>
  <c r="AK21" i="6"/>
  <c r="AS23" i="6"/>
  <c r="AB17" i="1"/>
  <c r="Y17" i="1"/>
  <c r="V18" i="5"/>
  <c r="X18" i="5" s="1"/>
  <c r="AA18" i="5" s="1"/>
  <c r="M20" i="5"/>
  <c r="H21" i="5"/>
  <c r="G18" i="5"/>
  <c r="E19" i="5"/>
  <c r="F19" i="5" s="1"/>
  <c r="K18" i="3"/>
  <c r="V18" i="3"/>
  <c r="Q19" i="3"/>
  <c r="P13" i="5"/>
  <c r="R13" i="5"/>
  <c r="O21" i="5"/>
  <c r="AD20" i="5"/>
  <c r="T20" i="5" s="1"/>
  <c r="D23" i="5"/>
  <c r="AC22" i="5"/>
  <c r="W19" i="5"/>
  <c r="Y19" i="5"/>
  <c r="U19" i="5"/>
  <c r="K21" i="5"/>
  <c r="J21" i="5"/>
  <c r="I21" i="5"/>
  <c r="T16" i="3"/>
  <c r="U15" i="3"/>
  <c r="W15" i="3" s="1"/>
  <c r="I16" i="3"/>
  <c r="J16" i="3" s="1"/>
  <c r="M16" i="3" s="1"/>
  <c r="J15" i="3"/>
  <c r="M15" i="3" s="1"/>
  <c r="N15" i="3" s="1"/>
  <c r="R18" i="3"/>
  <c r="G18" i="3"/>
  <c r="F19" i="3"/>
  <c r="AJ88" i="1"/>
  <c r="AI77" i="1"/>
  <c r="AI66" i="1" s="1"/>
  <c r="AR18" i="1"/>
  <c r="AR19" i="1" s="1"/>
  <c r="AJ77" i="1"/>
  <c r="BD19" i="1"/>
  <c r="AN19" i="1"/>
  <c r="AO18" i="1"/>
  <c r="BE18" i="1"/>
  <c r="AJ17" i="1"/>
  <c r="AK16" i="1"/>
  <c r="AH88" i="1" s="1"/>
  <c r="AV18" i="1"/>
  <c r="AW18" i="1" s="1"/>
  <c r="AZ18" i="1"/>
  <c r="BA17" i="1"/>
  <c r="X18" i="1"/>
  <c r="L21" i="5"/>
  <c r="V19" i="5" a="1"/>
  <c r="Z19" i="5"/>
  <c r="EO22" i="8" a="1"/>
  <c r="V19" i="3" a="1"/>
  <c r="H19" i="3" a="1"/>
  <c r="S19" i="3" a="1"/>
  <c r="AB18" i="1" a="1"/>
  <c r="Y18" i="1" a="1"/>
  <c r="K19" i="3" a="1"/>
  <c r="V17" i="7" l="1"/>
  <c r="P30" i="7" s="1"/>
  <c r="EO22" i="8"/>
  <c r="EP22" i="8" s="1"/>
  <c r="EQ22" i="8" s="1"/>
  <c r="ER22" i="8" s="1"/>
  <c r="CP23" i="8"/>
  <c r="CQ22" i="8"/>
  <c r="CR22" i="8" s="1"/>
  <c r="AK56" i="7"/>
  <c r="N56" i="7" s="1"/>
  <c r="AI56" i="7"/>
  <c r="L56" i="7" s="1"/>
  <c r="AJ56" i="7"/>
  <c r="M56" i="7" s="1"/>
  <c r="AQ18" i="8"/>
  <c r="AR18" i="8" s="1"/>
  <c r="AP19" i="8"/>
  <c r="S19" i="3"/>
  <c r="H19" i="3"/>
  <c r="Z24" i="7"/>
  <c r="AC79" i="7" s="1"/>
  <c r="AA23" i="7"/>
  <c r="AZ24" i="7"/>
  <c r="BD24" i="7"/>
  <c r="AN24" i="7"/>
  <c r="AO24" i="7" s="1"/>
  <c r="AI79" i="7" s="1"/>
  <c r="AV23" i="7"/>
  <c r="AW22" i="7"/>
  <c r="BA23" i="7"/>
  <c r="AJ24" i="7"/>
  <c r="AR25" i="7"/>
  <c r="AK23" i="7"/>
  <c r="AS24" i="7"/>
  <c r="AJ79" i="7" s="1"/>
  <c r="AV24" i="6"/>
  <c r="AJ79" i="6"/>
  <c r="AR25" i="6"/>
  <c r="AJ90" i="6"/>
  <c r="AJ23" i="6"/>
  <c r="Z25" i="6"/>
  <c r="AA25" i="6" s="1"/>
  <c r="N18" i="6"/>
  <c r="BD22" i="6"/>
  <c r="BE22" i="6" s="1"/>
  <c r="BE21" i="6"/>
  <c r="AA24" i="6"/>
  <c r="AB68" i="6" s="1"/>
  <c r="AN23" i="6"/>
  <c r="AC68" i="6"/>
  <c r="AZ24" i="6"/>
  <c r="AC79" i="6"/>
  <c r="AB18" i="1"/>
  <c r="Y18" i="1"/>
  <c r="V19" i="5"/>
  <c r="X19" i="5" s="1"/>
  <c r="AA19" i="5" s="1"/>
  <c r="M21" i="5"/>
  <c r="G19" i="5"/>
  <c r="E20" i="5"/>
  <c r="F20" i="5" s="1"/>
  <c r="H22" i="5"/>
  <c r="K19" i="3"/>
  <c r="V19" i="3"/>
  <c r="Q20" i="3"/>
  <c r="S13" i="5"/>
  <c r="Q14" i="5"/>
  <c r="U20" i="5"/>
  <c r="W20" i="5"/>
  <c r="Y20" i="5"/>
  <c r="K22" i="5"/>
  <c r="I22" i="5"/>
  <c r="J22" i="5"/>
  <c r="D24" i="5"/>
  <c r="AC23" i="5"/>
  <c r="AD21" i="5"/>
  <c r="T21" i="5" s="1"/>
  <c r="O22" i="5"/>
  <c r="L16" i="3"/>
  <c r="N16" i="3" s="1"/>
  <c r="T17" i="3"/>
  <c r="U16" i="3"/>
  <c r="W16" i="3" s="1"/>
  <c r="I17" i="3"/>
  <c r="L17" i="3" s="1"/>
  <c r="AJ66" i="1"/>
  <c r="G19" i="3"/>
  <c r="R19" i="3"/>
  <c r="F20" i="3"/>
  <c r="AS18" i="1"/>
  <c r="AS19" i="1"/>
  <c r="AR20" i="1"/>
  <c r="AZ19" i="1"/>
  <c r="BA18" i="1"/>
  <c r="AJ18" i="1"/>
  <c r="AK17" i="1"/>
  <c r="AV19" i="1"/>
  <c r="AW19" i="1" s="1"/>
  <c r="AH77" i="1"/>
  <c r="AH66" i="1" s="1"/>
  <c r="AN20" i="1"/>
  <c r="AO19" i="1"/>
  <c r="BD20" i="1"/>
  <c r="BE19" i="1"/>
  <c r="X19" i="1"/>
  <c r="L22" i="5"/>
  <c r="V20" i="5" a="1"/>
  <c r="Z20" i="5"/>
  <c r="EO23" i="8" a="1"/>
  <c r="AB19" i="1" a="1"/>
  <c r="Y19" i="1" a="1"/>
  <c r="S20" i="3" a="1"/>
  <c r="H20" i="3" a="1"/>
  <c r="K20" i="3" a="1"/>
  <c r="V20" i="3" a="1"/>
  <c r="EO23" i="8" l="1"/>
  <c r="EP23" i="8" s="1"/>
  <c r="EQ23" i="8" s="1"/>
  <c r="ER23" i="8" s="1"/>
  <c r="CQ23" i="8"/>
  <c r="CR23" i="8" s="1"/>
  <c r="CP24" i="8"/>
  <c r="AQ19" i="8"/>
  <c r="AR19" i="8" s="1"/>
  <c r="AP20" i="8"/>
  <c r="AC68" i="7"/>
  <c r="S20" i="3"/>
  <c r="H20" i="3"/>
  <c r="AJ68" i="6"/>
  <c r="AV24" i="7"/>
  <c r="AN25" i="7"/>
  <c r="AI90" i="7"/>
  <c r="AI68" i="7" s="1"/>
  <c r="BD25" i="7"/>
  <c r="BE24" i="7"/>
  <c r="AW23" i="7"/>
  <c r="AZ25" i="7"/>
  <c r="BA25" i="7" s="1"/>
  <c r="BA24" i="7"/>
  <c r="AL79" i="7" s="1"/>
  <c r="AJ90" i="7"/>
  <c r="AJ68" i="7" s="1"/>
  <c r="AJ25" i="7"/>
  <c r="Z25" i="7"/>
  <c r="N18" i="7"/>
  <c r="AR26" i="7"/>
  <c r="AS26" i="7" s="1"/>
  <c r="AS25" i="7"/>
  <c r="AK24" i="7"/>
  <c r="AH79" i="7" s="1"/>
  <c r="AA24" i="7"/>
  <c r="S18" i="7" s="1"/>
  <c r="AA79" i="6"/>
  <c r="AW24" i="6"/>
  <c r="AV25" i="6"/>
  <c r="AW25" i="6" s="1"/>
  <c r="Z79" i="6"/>
  <c r="Y79" i="6"/>
  <c r="S18" i="6"/>
  <c r="AZ25" i="6"/>
  <c r="AJ24" i="6"/>
  <c r="AK23" i="6"/>
  <c r="AR26" i="6"/>
  <c r="BA24" i="6"/>
  <c r="AL79" i="6" s="1"/>
  <c r="Z26" i="6"/>
  <c r="AA26" i="6" s="1"/>
  <c r="AS25" i="6"/>
  <c r="AN24" i="6"/>
  <c r="AO23" i="6"/>
  <c r="O18" i="6"/>
  <c r="P18" i="6"/>
  <c r="Y68" i="6"/>
  <c r="Z68" i="6"/>
  <c r="AA68" i="6"/>
  <c r="AB79" i="6"/>
  <c r="BD23" i="6"/>
  <c r="AB19" i="1"/>
  <c r="Y19" i="1"/>
  <c r="V20" i="5"/>
  <c r="X20" i="5" s="1"/>
  <c r="M22" i="5"/>
  <c r="AA20" i="5"/>
  <c r="H23" i="5"/>
  <c r="G20" i="5"/>
  <c r="E21" i="5"/>
  <c r="F21" i="5" s="1"/>
  <c r="K20" i="3"/>
  <c r="V20" i="3"/>
  <c r="Q21" i="3"/>
  <c r="R14" i="5"/>
  <c r="P14" i="5"/>
  <c r="AD22" i="5"/>
  <c r="T22" i="5" s="1"/>
  <c r="O23" i="5"/>
  <c r="W21" i="5"/>
  <c r="Y21" i="5"/>
  <c r="U21" i="5"/>
  <c r="K23" i="5"/>
  <c r="I23" i="5"/>
  <c r="J23" i="5"/>
  <c r="AC24" i="5"/>
  <c r="D25" i="5"/>
  <c r="J17" i="3"/>
  <c r="M17" i="3" s="1"/>
  <c r="N17" i="3" s="1"/>
  <c r="I18" i="3"/>
  <c r="L18" i="3" s="1"/>
  <c r="T18" i="3"/>
  <c r="U18" i="3" s="1"/>
  <c r="W18" i="3" s="1"/>
  <c r="U17" i="3"/>
  <c r="W17" i="3" s="1"/>
  <c r="G20" i="3"/>
  <c r="R20" i="3"/>
  <c r="F21" i="3"/>
  <c r="AS20" i="1"/>
  <c r="AR21" i="1"/>
  <c r="AO20" i="1"/>
  <c r="AN21" i="1"/>
  <c r="AV20" i="1"/>
  <c r="AJ19" i="1"/>
  <c r="AK18" i="1"/>
  <c r="BD21" i="1"/>
  <c r="AZ20" i="1"/>
  <c r="BE20" i="1"/>
  <c r="BA19" i="1"/>
  <c r="X20" i="1"/>
  <c r="Z21" i="5"/>
  <c r="L23" i="5"/>
  <c r="V21" i="5" a="1"/>
  <c r="EO24" i="8" a="1"/>
  <c r="Y20" i="1" a="1"/>
  <c r="AB20" i="1" a="1"/>
  <c r="V21" i="3" a="1"/>
  <c r="K21" i="3" a="1"/>
  <c r="EO24" i="8" l="1"/>
  <c r="EP24" i="8" s="1"/>
  <c r="EQ24" i="8" s="1"/>
  <c r="ER24" i="8" s="1"/>
  <c r="CQ24" i="8"/>
  <c r="CR24" i="8" s="1"/>
  <c r="AQ20" i="8"/>
  <c r="AR20" i="8" s="1"/>
  <c r="AP21" i="8"/>
  <c r="AH90" i="7"/>
  <c r="AH68" i="7" s="1"/>
  <c r="Y79" i="7"/>
  <c r="AL90" i="7"/>
  <c r="AL68" i="7" s="1"/>
  <c r="AB79" i="7"/>
  <c r="AA79" i="7"/>
  <c r="Z79" i="7"/>
  <c r="AR27" i="7"/>
  <c r="BD26" i="7"/>
  <c r="Z26" i="7"/>
  <c r="BE25" i="7"/>
  <c r="AN26" i="7"/>
  <c r="AO26" i="7" s="1"/>
  <c r="AJ26" i="7"/>
  <c r="AO25" i="7"/>
  <c r="AA25" i="7"/>
  <c r="AK25" i="7"/>
  <c r="P18" i="7"/>
  <c r="T18" i="7" s="1"/>
  <c r="U18" i="7" s="1"/>
  <c r="V18" i="7" s="1"/>
  <c r="P31" i="7" s="1"/>
  <c r="O18" i="7"/>
  <c r="Y68" i="7"/>
  <c r="Z68" i="7"/>
  <c r="AA68" i="7"/>
  <c r="AV25" i="7"/>
  <c r="AZ26" i="7"/>
  <c r="BA26" i="7" s="1"/>
  <c r="AB68" i="7"/>
  <c r="AW24" i="7"/>
  <c r="AK79" i="7" s="1"/>
  <c r="AV26" i="6"/>
  <c r="AW26" i="6" s="1"/>
  <c r="AK90" i="6"/>
  <c r="AK79" i="6"/>
  <c r="T18" i="6"/>
  <c r="U18" i="6" s="1"/>
  <c r="AJ57" i="6" s="1"/>
  <c r="M57" i="6" s="1"/>
  <c r="Q18" i="6"/>
  <c r="Z57" i="6"/>
  <c r="AR27" i="6"/>
  <c r="AS27" i="6" s="1"/>
  <c r="AC57" i="6"/>
  <c r="Y57" i="6"/>
  <c r="AS26" i="6"/>
  <c r="AJ25" i="6"/>
  <c r="AB57" i="6"/>
  <c r="AN25" i="6"/>
  <c r="AO25" i="6" s="1"/>
  <c r="AK24" i="6"/>
  <c r="AH79" i="6" s="1"/>
  <c r="BD24" i="6"/>
  <c r="BE24" i="6" s="1"/>
  <c r="AL90" i="6"/>
  <c r="AL68" i="6" s="1"/>
  <c r="AA57" i="6"/>
  <c r="BE23" i="6"/>
  <c r="Z27" i="6"/>
  <c r="AZ26" i="6"/>
  <c r="BA26" i="6" s="1"/>
  <c r="AO24" i="6"/>
  <c r="AI79" i="6" s="1"/>
  <c r="BA25" i="6"/>
  <c r="AB20" i="1"/>
  <c r="AI89" i="1" s="1"/>
  <c r="Y20" i="1"/>
  <c r="V21" i="5"/>
  <c r="X21" i="5" s="1"/>
  <c r="AA21" i="5" s="1"/>
  <c r="M23" i="5"/>
  <c r="H24" i="5"/>
  <c r="G21" i="5"/>
  <c r="E22" i="5"/>
  <c r="F22" i="5" s="1"/>
  <c r="K21" i="3"/>
  <c r="V21" i="3"/>
  <c r="Q22" i="3"/>
  <c r="S14" i="5"/>
  <c r="Q15" i="5"/>
  <c r="K24" i="5"/>
  <c r="I24" i="5"/>
  <c r="J24" i="5"/>
  <c r="AC25" i="5"/>
  <c r="D26" i="5"/>
  <c r="O24" i="5"/>
  <c r="AD23" i="5"/>
  <c r="T23" i="5" s="1"/>
  <c r="U22" i="5"/>
  <c r="Y22" i="5"/>
  <c r="W22" i="5"/>
  <c r="I19" i="3"/>
  <c r="J19" i="3" s="1"/>
  <c r="M19" i="3" s="1"/>
  <c r="J18" i="3"/>
  <c r="M18" i="3" s="1"/>
  <c r="N18" i="3" s="1"/>
  <c r="T19" i="3"/>
  <c r="R21" i="3"/>
  <c r="G21" i="3"/>
  <c r="F22" i="3"/>
  <c r="AR22" i="1"/>
  <c r="AS21" i="1"/>
  <c r="AJ20" i="1"/>
  <c r="AZ21" i="1"/>
  <c r="BA20" i="1"/>
  <c r="AN22" i="1"/>
  <c r="BD22" i="1"/>
  <c r="BE21" i="1"/>
  <c r="AK19" i="1"/>
  <c r="AV21" i="1"/>
  <c r="AW20" i="1"/>
  <c r="AO21" i="1"/>
  <c r="X21" i="1"/>
  <c r="L24" i="5"/>
  <c r="Z22" i="5"/>
  <c r="V22" i="5" a="1"/>
  <c r="H21" i="3" a="1"/>
  <c r="AB21" i="1" a="1"/>
  <c r="S21" i="3" a="1"/>
  <c r="S22" i="3" a="1"/>
  <c r="H22" i="3" a="1"/>
  <c r="K22" i="3" a="1"/>
  <c r="Y21" i="1" a="1"/>
  <c r="V22" i="3" a="1"/>
  <c r="S21" i="3" l="1"/>
  <c r="H21" i="3"/>
  <c r="AQ21" i="8"/>
  <c r="AR21" i="8" s="1"/>
  <c r="AP22" i="8"/>
  <c r="S22" i="3"/>
  <c r="H22" i="3"/>
  <c r="V18" i="6"/>
  <c r="P31" i="6" s="1"/>
  <c r="Q18" i="7"/>
  <c r="AK90" i="7"/>
  <c r="AK68" i="7" s="1"/>
  <c r="AK57" i="7" s="1"/>
  <c r="N57" i="7" s="1"/>
  <c r="AA57" i="7"/>
  <c r="Z57" i="7"/>
  <c r="Y57" i="7"/>
  <c r="AN27" i="7"/>
  <c r="AA26" i="7"/>
  <c r="BD27" i="7"/>
  <c r="AJ57" i="7"/>
  <c r="M57" i="7" s="1"/>
  <c r="Z27" i="7"/>
  <c r="AA27" i="7" s="1"/>
  <c r="AL57" i="7"/>
  <c r="O57" i="7" s="1"/>
  <c r="AZ27" i="7"/>
  <c r="BA27" i="7" s="1"/>
  <c r="AR28" i="7"/>
  <c r="AS28" i="7" s="1"/>
  <c r="AV26" i="7"/>
  <c r="BE26" i="7"/>
  <c r="AJ27" i="7"/>
  <c r="AK27" i="7" s="1"/>
  <c r="AS27" i="7"/>
  <c r="AB57" i="7"/>
  <c r="AK26" i="7"/>
  <c r="AC57" i="7"/>
  <c r="AW25" i="7"/>
  <c r="AH57" i="7"/>
  <c r="K57" i="7" s="1"/>
  <c r="AI57" i="7"/>
  <c r="L57" i="7" s="1"/>
  <c r="AL57" i="6"/>
  <c r="O57" i="6" s="1"/>
  <c r="AK68" i="6"/>
  <c r="AK57" i="6" s="1"/>
  <c r="N57" i="6" s="1"/>
  <c r="AV27" i="6"/>
  <c r="AV28" i="6" s="1"/>
  <c r="AH90" i="6"/>
  <c r="AH68" i="6" s="1"/>
  <c r="AH57" i="6" s="1"/>
  <c r="K57" i="6" s="1"/>
  <c r="AZ27" i="6"/>
  <c r="Z28" i="6"/>
  <c r="AA28" i="6" s="1"/>
  <c r="AA27" i="6"/>
  <c r="AJ26" i="6"/>
  <c r="AR28" i="6"/>
  <c r="AS28" i="6" s="1"/>
  <c r="AK25" i="6"/>
  <c r="AI90" i="6"/>
  <c r="AI68" i="6" s="1"/>
  <c r="AI57" i="6" s="1"/>
  <c r="L57" i="6" s="1"/>
  <c r="BD25" i="6"/>
  <c r="AN26" i="6"/>
  <c r="AB21" i="1"/>
  <c r="Y21" i="1"/>
  <c r="V22" i="5"/>
  <c r="X22" i="5" s="1"/>
  <c r="AA22" i="5" s="1"/>
  <c r="M24" i="5"/>
  <c r="G22" i="5"/>
  <c r="E23" i="5"/>
  <c r="F23" i="5" s="1"/>
  <c r="H25" i="5"/>
  <c r="K22" i="3"/>
  <c r="V22" i="3"/>
  <c r="Q23" i="3"/>
  <c r="P15" i="5"/>
  <c r="R15" i="5"/>
  <c r="W23" i="5"/>
  <c r="Y23" i="5"/>
  <c r="U23" i="5"/>
  <c r="AC26" i="5"/>
  <c r="D27" i="5"/>
  <c r="J25" i="5"/>
  <c r="I25" i="5"/>
  <c r="K25" i="5"/>
  <c r="AD24" i="5"/>
  <c r="T24" i="5" s="1"/>
  <c r="O25" i="5"/>
  <c r="L19" i="3"/>
  <c r="N19" i="3" s="1"/>
  <c r="T20" i="3"/>
  <c r="U20" i="3" s="1"/>
  <c r="W20" i="3" s="1"/>
  <c r="U19" i="3"/>
  <c r="W19" i="3" s="1"/>
  <c r="I20" i="3"/>
  <c r="J20" i="3" s="1"/>
  <c r="M20" i="3" s="1"/>
  <c r="G22" i="3"/>
  <c r="R22" i="3"/>
  <c r="F23" i="3"/>
  <c r="AJ89" i="1"/>
  <c r="AI78" i="1"/>
  <c r="AI67" i="1" s="1"/>
  <c r="AK78" i="1"/>
  <c r="AK89" i="1"/>
  <c r="AR23" i="1"/>
  <c r="AS22" i="1"/>
  <c r="AJ78" i="1"/>
  <c r="AK20" i="1"/>
  <c r="AH89" i="1" s="1"/>
  <c r="AZ22" i="1"/>
  <c r="BA22" i="1" s="1"/>
  <c r="AV22" i="1"/>
  <c r="AW21" i="1"/>
  <c r="BD23" i="1"/>
  <c r="BE23" i="1" s="1"/>
  <c r="BE22" i="1"/>
  <c r="AN23" i="1"/>
  <c r="AO23" i="1" s="1"/>
  <c r="AO22" i="1"/>
  <c r="BA21" i="1"/>
  <c r="AJ21" i="1"/>
  <c r="X22" i="1"/>
  <c r="L25" i="5"/>
  <c r="V23" i="5" a="1"/>
  <c r="Z23" i="5"/>
  <c r="S23" i="3" a="1"/>
  <c r="H23" i="3" a="1"/>
  <c r="V23" i="3" a="1"/>
  <c r="AB22" i="1" a="1"/>
  <c r="Y22" i="1" a="1"/>
  <c r="K23" i="3" a="1"/>
  <c r="AQ22" i="8" l="1"/>
  <c r="AR22" i="8" s="1"/>
  <c r="AP23" i="8"/>
  <c r="S23" i="3"/>
  <c r="AW27" i="6"/>
  <c r="H23" i="3"/>
  <c r="Z28" i="7"/>
  <c r="BD28" i="7"/>
  <c r="BE28" i="7" s="1"/>
  <c r="AZ28" i="7"/>
  <c r="BA28" i="7" s="1"/>
  <c r="BE27" i="7"/>
  <c r="AN28" i="7"/>
  <c r="AV27" i="7"/>
  <c r="AO27" i="7"/>
  <c r="AR29" i="7"/>
  <c r="AS29" i="7" s="1"/>
  <c r="AJ28" i="7"/>
  <c r="AK28" i="7" s="1"/>
  <c r="AW26" i="7"/>
  <c r="AW28" i="6"/>
  <c r="AV29" i="6"/>
  <c r="AR29" i="6"/>
  <c r="AJ27" i="6"/>
  <c r="AN27" i="6"/>
  <c r="AO27" i="6" s="1"/>
  <c r="AK26" i="6"/>
  <c r="AO26" i="6"/>
  <c r="BD26" i="6"/>
  <c r="BE26" i="6" s="1"/>
  <c r="AZ28" i="6"/>
  <c r="Z29" i="6"/>
  <c r="AA29" i="6" s="1"/>
  <c r="BE25" i="6"/>
  <c r="BA27" i="6"/>
  <c r="AB22" i="1"/>
  <c r="Y22" i="1"/>
  <c r="V23" i="5"/>
  <c r="X23" i="5" s="1"/>
  <c r="AA23" i="5" s="1"/>
  <c r="M25" i="5"/>
  <c r="S15" i="5"/>
  <c r="Q16" i="5"/>
  <c r="L26" i="5"/>
  <c r="H26" i="5"/>
  <c r="G23" i="5"/>
  <c r="E24" i="5"/>
  <c r="F24" i="5" s="1"/>
  <c r="K23" i="3"/>
  <c r="V23" i="3"/>
  <c r="Q24" i="3"/>
  <c r="D28" i="5"/>
  <c r="AC27" i="5"/>
  <c r="E26" i="5"/>
  <c r="G26" i="5"/>
  <c r="I26" i="5"/>
  <c r="F26" i="5"/>
  <c r="J26" i="5"/>
  <c r="K26" i="5"/>
  <c r="M26" i="5"/>
  <c r="AD25" i="5"/>
  <c r="T25" i="5" s="1"/>
  <c r="O26" i="5"/>
  <c r="U24" i="5"/>
  <c r="Y24" i="5"/>
  <c r="W24" i="5"/>
  <c r="L20" i="3"/>
  <c r="N20" i="3" s="1"/>
  <c r="I21" i="3"/>
  <c r="J21" i="3" s="1"/>
  <c r="M21" i="3" s="1"/>
  <c r="T21" i="3"/>
  <c r="AJ67" i="1"/>
  <c r="R23" i="3"/>
  <c r="G23" i="3"/>
  <c r="F24" i="3"/>
  <c r="AH78" i="1"/>
  <c r="AH67" i="1" s="1"/>
  <c r="AS23" i="1"/>
  <c r="AR24" i="1"/>
  <c r="AK67" i="1"/>
  <c r="AN24" i="1"/>
  <c r="AJ22" i="1"/>
  <c r="AV23" i="1"/>
  <c r="BD24" i="1"/>
  <c r="AW22" i="1"/>
  <c r="AK21" i="1"/>
  <c r="AZ23" i="1"/>
  <c r="BA23" i="1" s="1"/>
  <c r="X23" i="1"/>
  <c r="Z24" i="5"/>
  <c r="V24" i="5" a="1"/>
  <c r="V24" i="3" a="1"/>
  <c r="K24" i="3" a="1"/>
  <c r="S24" i="3" a="1"/>
  <c r="H24" i="3" a="1"/>
  <c r="AB23" i="1" a="1"/>
  <c r="Y23" i="1" a="1"/>
  <c r="AQ23" i="8" l="1"/>
  <c r="AR23" i="8" s="1"/>
  <c r="AP24" i="8"/>
  <c r="AQ24" i="8" s="1"/>
  <c r="AR24" i="8" s="1"/>
  <c r="S24" i="3"/>
  <c r="H24" i="3"/>
  <c r="AV28" i="7"/>
  <c r="AZ29" i="7"/>
  <c r="BA29" i="7" s="1"/>
  <c r="BD29" i="7"/>
  <c r="Z29" i="7"/>
  <c r="AA29" i="7" s="1"/>
  <c r="AR30" i="7"/>
  <c r="AW27" i="7"/>
  <c r="AJ29" i="7"/>
  <c r="AA28" i="7"/>
  <c r="AN29" i="7"/>
  <c r="AO28" i="7"/>
  <c r="AV30" i="6"/>
  <c r="AW29" i="6"/>
  <c r="BD27" i="6"/>
  <c r="AZ29" i="6"/>
  <c r="BA28" i="6"/>
  <c r="AJ28" i="6"/>
  <c r="AK28" i="6" s="1"/>
  <c r="AN28" i="6"/>
  <c r="AR30" i="6"/>
  <c r="AS30" i="6" s="1"/>
  <c r="AK27" i="6"/>
  <c r="Z30" i="6"/>
  <c r="AS29" i="6"/>
  <c r="AB23" i="1"/>
  <c r="Y23" i="1"/>
  <c r="V24" i="5"/>
  <c r="X24" i="5" s="1"/>
  <c r="AA24" i="5"/>
  <c r="R16" i="5"/>
  <c r="P16" i="5"/>
  <c r="L27" i="5"/>
  <c r="H27" i="5"/>
  <c r="G24" i="5"/>
  <c r="E25" i="5"/>
  <c r="F25" i="5" s="1"/>
  <c r="G25" i="5" s="1"/>
  <c r="K24" i="3"/>
  <c r="V24" i="3"/>
  <c r="Q25" i="3"/>
  <c r="V25" i="3" s="1" a="1"/>
  <c r="U25" i="5"/>
  <c r="W25" i="5"/>
  <c r="Y25" i="5"/>
  <c r="O27" i="5"/>
  <c r="AD26" i="5"/>
  <c r="T26" i="5" s="1"/>
  <c r="J27" i="5"/>
  <c r="K27" i="5"/>
  <c r="G27" i="5"/>
  <c r="M27" i="5"/>
  <c r="E27" i="5"/>
  <c r="I27" i="5"/>
  <c r="F27" i="5"/>
  <c r="AC28" i="5"/>
  <c r="D29" i="5"/>
  <c r="L21" i="3"/>
  <c r="N21" i="3" s="1"/>
  <c r="T22" i="3"/>
  <c r="U22" i="3" s="1"/>
  <c r="W22" i="3" s="1"/>
  <c r="U21" i="3"/>
  <c r="W21" i="3" s="1"/>
  <c r="I22" i="3"/>
  <c r="L22" i="3" s="1"/>
  <c r="G24" i="3"/>
  <c r="R24" i="3"/>
  <c r="F25" i="3"/>
  <c r="S25" i="3" s="1" a="1"/>
  <c r="S25" i="3" s="1"/>
  <c r="AS24" i="1"/>
  <c r="AR25" i="1"/>
  <c r="AV24" i="1"/>
  <c r="AZ24" i="1"/>
  <c r="BD25" i="1"/>
  <c r="BE24" i="1"/>
  <c r="AW23" i="1"/>
  <c r="AJ23" i="1"/>
  <c r="AK22" i="1"/>
  <c r="AN25" i="1"/>
  <c r="AO24" i="1"/>
  <c r="X24" i="1"/>
  <c r="Z25" i="5"/>
  <c r="V25" i="5" a="1"/>
  <c r="Y24" i="1" a="1"/>
  <c r="AB24" i="1" a="1"/>
  <c r="H25" i="3" l="1" a="1"/>
  <c r="H25" i="3" s="1"/>
  <c r="K25" i="3" a="1"/>
  <c r="K25" i="3" s="1"/>
  <c r="AN30" i="7"/>
  <c r="AJ30" i="7"/>
  <c r="AK29" i="7"/>
  <c r="Z30" i="7"/>
  <c r="AR31" i="7"/>
  <c r="BD30" i="7"/>
  <c r="BE30" i="7" s="1"/>
  <c r="AO29" i="7"/>
  <c r="BE29" i="7"/>
  <c r="AV29" i="7"/>
  <c r="AW29" i="7" s="1"/>
  <c r="AS30" i="7"/>
  <c r="AZ30" i="7"/>
  <c r="BA30" i="7" s="1"/>
  <c r="AW28" i="7"/>
  <c r="AV31" i="6"/>
  <c r="AW30" i="6"/>
  <c r="Z31" i="6"/>
  <c r="AA30" i="6"/>
  <c r="AN29" i="6"/>
  <c r="AO29" i="6" s="1"/>
  <c r="AZ30" i="6"/>
  <c r="AR31" i="6"/>
  <c r="AS31" i="6" s="1"/>
  <c r="AJ29" i="6"/>
  <c r="BA29" i="6"/>
  <c r="BD28" i="6"/>
  <c r="AO28" i="6"/>
  <c r="BE27" i="6"/>
  <c r="AB24" i="1"/>
  <c r="AJ90" i="1" s="1"/>
  <c r="Y24" i="1"/>
  <c r="V25" i="5"/>
  <c r="X25" i="5" s="1"/>
  <c r="AA25" i="5" s="1"/>
  <c r="L28" i="5"/>
  <c r="H28" i="5"/>
  <c r="S16" i="5"/>
  <c r="Q17" i="5"/>
  <c r="V25" i="3"/>
  <c r="Q26" i="3"/>
  <c r="V26" i="3" s="1" a="1"/>
  <c r="V26" i="5" a="1"/>
  <c r="V26" i="5" s="1"/>
  <c r="Z26" i="5"/>
  <c r="P26" i="5"/>
  <c r="Q26" i="5"/>
  <c r="R26" i="5"/>
  <c r="W26" i="5"/>
  <c r="X26" i="5"/>
  <c r="S26" i="5"/>
  <c r="AA26" i="5"/>
  <c r="U26" i="5"/>
  <c r="Y26" i="5"/>
  <c r="AC29" i="5"/>
  <c r="D30" i="5"/>
  <c r="AD27" i="5"/>
  <c r="T27" i="5" s="1"/>
  <c r="O28" i="5"/>
  <c r="E28" i="5"/>
  <c r="F28" i="5"/>
  <c r="G28" i="5"/>
  <c r="K28" i="5"/>
  <c r="M28" i="5"/>
  <c r="I28" i="5"/>
  <c r="J28" i="5"/>
  <c r="I23" i="3"/>
  <c r="J23" i="3" s="1"/>
  <c r="M23" i="3" s="1"/>
  <c r="T23" i="3"/>
  <c r="J22" i="3"/>
  <c r="M22" i="3" s="1"/>
  <c r="N22" i="3" s="1"/>
  <c r="G25" i="3"/>
  <c r="R25" i="3"/>
  <c r="F26" i="3"/>
  <c r="S26" i="3" s="1" a="1"/>
  <c r="S26" i="3" s="1"/>
  <c r="AW24" i="1"/>
  <c r="AS25" i="1"/>
  <c r="AR26" i="1"/>
  <c r="AN26" i="1"/>
  <c r="BD26" i="1"/>
  <c r="AJ24" i="1"/>
  <c r="AK23" i="1"/>
  <c r="AZ25" i="1"/>
  <c r="BA24" i="1"/>
  <c r="AO25" i="1"/>
  <c r="BE25" i="1"/>
  <c r="AV25" i="1"/>
  <c r="AW25" i="1" s="1"/>
  <c r="X25" i="1"/>
  <c r="Y25" i="1" a="1"/>
  <c r="AB25" i="1" a="1"/>
  <c r="K26" i="3" l="1" a="1"/>
  <c r="K26" i="3" s="1"/>
  <c r="H26" i="3" a="1"/>
  <c r="H26" i="3" s="1"/>
  <c r="AR32" i="7"/>
  <c r="Z31" i="7"/>
  <c r="AJ31" i="7"/>
  <c r="AK31" i="7" s="1"/>
  <c r="AS31" i="7"/>
  <c r="AK30" i="7"/>
  <c r="BD31" i="7"/>
  <c r="BE31" i="7" s="1"/>
  <c r="AA30" i="7"/>
  <c r="AN31" i="7"/>
  <c r="AZ31" i="7"/>
  <c r="BA31" i="7" s="1"/>
  <c r="AV30" i="7"/>
  <c r="AO30" i="7"/>
  <c r="AW31" i="6"/>
  <c r="AV32" i="6"/>
  <c r="AR32" i="6"/>
  <c r="AZ31" i="6"/>
  <c r="BA31" i="6" s="1"/>
  <c r="AJ30" i="6"/>
  <c r="BA30" i="6"/>
  <c r="AK29" i="6"/>
  <c r="BD29" i="6"/>
  <c r="BE29" i="6" s="1"/>
  <c r="Z32" i="6"/>
  <c r="AA32" i="6" s="1"/>
  <c r="AN30" i="6"/>
  <c r="AO30" i="6" s="1"/>
  <c r="BE28" i="6"/>
  <c r="AA31" i="6"/>
  <c r="AB25" i="1"/>
  <c r="Y25" i="1"/>
  <c r="R17" i="5"/>
  <c r="P17" i="5"/>
  <c r="L29" i="5"/>
  <c r="H29" i="5"/>
  <c r="V26" i="3"/>
  <c r="Q27" i="3"/>
  <c r="V27" i="3" s="1" a="1"/>
  <c r="V27" i="5" a="1"/>
  <c r="V27" i="5" s="1"/>
  <c r="Z27" i="5"/>
  <c r="Q27" i="5"/>
  <c r="R27" i="5"/>
  <c r="S27" i="5"/>
  <c r="U27" i="5"/>
  <c r="Y27" i="5"/>
  <c r="AA27" i="5"/>
  <c r="P27" i="5"/>
  <c r="X27" i="5"/>
  <c r="W27" i="5"/>
  <c r="E29" i="5"/>
  <c r="F29" i="5"/>
  <c r="G29" i="5"/>
  <c r="I29" i="5"/>
  <c r="J29" i="5"/>
  <c r="K29" i="5"/>
  <c r="M29" i="5"/>
  <c r="D31" i="5"/>
  <c r="AC30" i="5"/>
  <c r="O29" i="5"/>
  <c r="AD28" i="5"/>
  <c r="T28" i="5" s="1"/>
  <c r="L23" i="3"/>
  <c r="N23" i="3" s="1"/>
  <c r="T24" i="3"/>
  <c r="U24" i="3" s="1"/>
  <c r="W24" i="3" s="1"/>
  <c r="U23" i="3"/>
  <c r="W23" i="3" s="1"/>
  <c r="I24" i="3"/>
  <c r="G26" i="3"/>
  <c r="R26" i="3"/>
  <c r="F27" i="3"/>
  <c r="AL79" i="1"/>
  <c r="AK90" i="1"/>
  <c r="AK79" i="1"/>
  <c r="AJ79" i="1"/>
  <c r="AJ68" i="1" s="1"/>
  <c r="AI79" i="1"/>
  <c r="AR27" i="1"/>
  <c r="AS26" i="1"/>
  <c r="AI90" i="1"/>
  <c r="AL90" i="1"/>
  <c r="AZ26" i="1"/>
  <c r="BD27" i="1"/>
  <c r="AN27" i="1"/>
  <c r="AO27" i="1" s="1"/>
  <c r="BA25" i="1"/>
  <c r="AJ25" i="1"/>
  <c r="AK24" i="1"/>
  <c r="AH90" i="1" s="1"/>
  <c r="BE26" i="1"/>
  <c r="AV26" i="1"/>
  <c r="AW26" i="1" s="1"/>
  <c r="AO26" i="1"/>
  <c r="X26" i="1"/>
  <c r="AB26" i="1" a="1"/>
  <c r="Y26" i="1" a="1"/>
  <c r="H27" i="3" l="1" a="1"/>
  <c r="H27" i="3" s="1"/>
  <c r="S27" i="3" a="1"/>
  <c r="S27" i="3" s="1"/>
  <c r="K27" i="3" a="1"/>
  <c r="K27" i="3" s="1"/>
  <c r="AZ32" i="7"/>
  <c r="AN32" i="7"/>
  <c r="AO32" i="7" s="1"/>
  <c r="Z32" i="7"/>
  <c r="AJ32" i="7"/>
  <c r="AK32" i="7" s="1"/>
  <c r="AA31" i="7"/>
  <c r="AR33" i="7"/>
  <c r="AS33" i="7" s="1"/>
  <c r="AO31" i="7"/>
  <c r="BD32" i="7"/>
  <c r="BE32" i="7" s="1"/>
  <c r="AV31" i="7"/>
  <c r="AW31" i="7" s="1"/>
  <c r="AS32" i="7"/>
  <c r="AW30" i="7"/>
  <c r="AW32" i="6"/>
  <c r="AV33" i="6"/>
  <c r="Z33" i="6"/>
  <c r="AJ31" i="6"/>
  <c r="AK31" i="6" s="1"/>
  <c r="AK30" i="6"/>
  <c r="BD30" i="6"/>
  <c r="BE30" i="6" s="1"/>
  <c r="AR33" i="6"/>
  <c r="AZ32" i="6"/>
  <c r="BA32" i="6" s="1"/>
  <c r="AN31" i="6"/>
  <c r="AO31" i="6" s="1"/>
  <c r="AS32" i="6"/>
  <c r="AB26" i="1"/>
  <c r="Y26" i="1"/>
  <c r="L30" i="5"/>
  <c r="H30" i="5"/>
  <c r="S17" i="5"/>
  <c r="Q18" i="5"/>
  <c r="V27" i="3"/>
  <c r="Q28" i="3"/>
  <c r="V28" i="3" s="1" a="1"/>
  <c r="V28" i="5" a="1"/>
  <c r="V28" i="5" s="1"/>
  <c r="Z28" i="5"/>
  <c r="AA28" i="5"/>
  <c r="P28" i="5"/>
  <c r="Q28" i="5"/>
  <c r="U28" i="5"/>
  <c r="R28" i="5"/>
  <c r="S28" i="5"/>
  <c r="W28" i="5"/>
  <c r="X28" i="5"/>
  <c r="Y28" i="5"/>
  <c r="O30" i="5"/>
  <c r="AD29" i="5"/>
  <c r="T29" i="5" s="1"/>
  <c r="I30" i="5"/>
  <c r="J30" i="5"/>
  <c r="K30" i="5"/>
  <c r="M30" i="5"/>
  <c r="E30" i="5"/>
  <c r="F30" i="5"/>
  <c r="G30" i="5"/>
  <c r="D32" i="5"/>
  <c r="AC31" i="5"/>
  <c r="AL68" i="1"/>
  <c r="T25" i="3"/>
  <c r="L24" i="3"/>
  <c r="U25" i="3"/>
  <c r="W25" i="3" s="1"/>
  <c r="I25" i="3"/>
  <c r="J24" i="3"/>
  <c r="M24" i="3" s="1"/>
  <c r="R27" i="3"/>
  <c r="G27" i="3"/>
  <c r="F28" i="3"/>
  <c r="AK68" i="1"/>
  <c r="AS27" i="1"/>
  <c r="AR28" i="1"/>
  <c r="AI68" i="1"/>
  <c r="AJ26" i="1"/>
  <c r="AH79" i="1"/>
  <c r="AH68" i="1" s="1"/>
  <c r="AN28" i="1"/>
  <c r="BD28" i="1"/>
  <c r="BE27" i="1"/>
  <c r="AV27" i="1"/>
  <c r="AK25" i="1"/>
  <c r="AZ27" i="1"/>
  <c r="BA26" i="1"/>
  <c r="X27" i="1"/>
  <c r="Y27" i="1" a="1"/>
  <c r="AB27" i="1" a="1"/>
  <c r="H28" i="3" l="1" a="1"/>
  <c r="H28" i="3" s="1"/>
  <c r="S28" i="3" a="1"/>
  <c r="S28" i="3" s="1"/>
  <c r="K28" i="3" a="1"/>
  <c r="K28" i="3" s="1"/>
  <c r="AR34" i="7"/>
  <c r="AV32" i="7"/>
  <c r="AW32" i="7" s="1"/>
  <c r="Z33" i="7"/>
  <c r="AA33" i="7" s="1"/>
  <c r="AA32" i="7"/>
  <c r="BD33" i="7"/>
  <c r="AJ33" i="7"/>
  <c r="AZ33" i="7"/>
  <c r="BA33" i="7" s="1"/>
  <c r="AN33" i="7"/>
  <c r="AO33" i="7" s="1"/>
  <c r="BA32" i="7"/>
  <c r="AV34" i="6"/>
  <c r="AW33" i="6"/>
  <c r="AZ33" i="6"/>
  <c r="AR34" i="6"/>
  <c r="AS34" i="6" s="1"/>
  <c r="AS33" i="6"/>
  <c r="AJ32" i="6"/>
  <c r="AK32" i="6" s="1"/>
  <c r="Z34" i="6"/>
  <c r="AA34" i="6" s="1"/>
  <c r="BD31" i="6"/>
  <c r="BE31" i="6" s="1"/>
  <c r="AN32" i="6"/>
  <c r="AA33" i="6"/>
  <c r="AB27" i="1"/>
  <c r="Y27" i="1"/>
  <c r="L31" i="5"/>
  <c r="H31" i="5"/>
  <c r="P18" i="5"/>
  <c r="R18" i="5"/>
  <c r="V28" i="3"/>
  <c r="Q29" i="3"/>
  <c r="V29" i="3" s="1" a="1"/>
  <c r="L25" i="3"/>
  <c r="I26" i="3"/>
  <c r="J26" i="3" s="1"/>
  <c r="M26" i="3" s="1"/>
  <c r="T26" i="3"/>
  <c r="U26" i="3" s="1"/>
  <c r="W26" i="3" s="1"/>
  <c r="V29" i="5" a="1"/>
  <c r="V29" i="5" s="1"/>
  <c r="Z29" i="5"/>
  <c r="AC32" i="5"/>
  <c r="D33" i="5"/>
  <c r="I31" i="5"/>
  <c r="J31" i="5"/>
  <c r="K31" i="5"/>
  <c r="E31" i="5"/>
  <c r="F31" i="5"/>
  <c r="G31" i="5"/>
  <c r="M31" i="5"/>
  <c r="O31" i="5"/>
  <c r="AD30" i="5"/>
  <c r="T30" i="5" s="1"/>
  <c r="U29" i="5"/>
  <c r="AA29" i="5"/>
  <c r="W29" i="5"/>
  <c r="R29" i="5"/>
  <c r="Y29" i="5"/>
  <c r="P29" i="5"/>
  <c r="Q29" i="5"/>
  <c r="S29" i="5"/>
  <c r="X29" i="5"/>
  <c r="N24" i="3"/>
  <c r="J25" i="3"/>
  <c r="M25" i="3" s="1"/>
  <c r="N25" i="3" s="1"/>
  <c r="R28" i="3"/>
  <c r="G28" i="3"/>
  <c r="F29" i="3"/>
  <c r="AS28" i="1"/>
  <c r="AR29" i="1"/>
  <c r="AZ28" i="1"/>
  <c r="AV28" i="1"/>
  <c r="AW27" i="1"/>
  <c r="BD29" i="1"/>
  <c r="BE28" i="1"/>
  <c r="AN29" i="1"/>
  <c r="AO28" i="1"/>
  <c r="BA27" i="1"/>
  <c r="AJ27" i="1"/>
  <c r="AK27" i="1" s="1"/>
  <c r="AK26" i="1"/>
  <c r="X28" i="1"/>
  <c r="Y28" i="1" a="1"/>
  <c r="AB28" i="1" a="1"/>
  <c r="H29" i="3" l="1" a="1"/>
  <c r="H29" i="3" s="1"/>
  <c r="S29" i="3" a="1"/>
  <c r="S29" i="3" s="1"/>
  <c r="K29" i="3" a="1"/>
  <c r="K29" i="3" s="1"/>
  <c r="AZ34" i="7"/>
  <c r="BD34" i="7"/>
  <c r="AN34" i="7"/>
  <c r="AO34" i="7" s="1"/>
  <c r="AJ34" i="7"/>
  <c r="AK33" i="7"/>
  <c r="BE33" i="7"/>
  <c r="AR35" i="7"/>
  <c r="Z34" i="7"/>
  <c r="AA34" i="7" s="1"/>
  <c r="AV33" i="7"/>
  <c r="AS34" i="7"/>
  <c r="AW34" i="6"/>
  <c r="AV35" i="6"/>
  <c r="BD32" i="6"/>
  <c r="Z35" i="6"/>
  <c r="AA35" i="6" s="1"/>
  <c r="AN33" i="6"/>
  <c r="AO32" i="6"/>
  <c r="AJ33" i="6"/>
  <c r="AK33" i="6" s="1"/>
  <c r="AZ34" i="6"/>
  <c r="BA34" i="6" s="1"/>
  <c r="AR35" i="6"/>
  <c r="BA33" i="6"/>
  <c r="AB28" i="1"/>
  <c r="Y28" i="1"/>
  <c r="L32" i="5"/>
  <c r="H32" i="5"/>
  <c r="S18" i="5"/>
  <c r="Q19" i="5"/>
  <c r="V29" i="3"/>
  <c r="Q30" i="3"/>
  <c r="V30" i="3" s="1" a="1"/>
  <c r="T27" i="3"/>
  <c r="L26" i="3"/>
  <c r="N26" i="3" s="1"/>
  <c r="I27" i="3"/>
  <c r="J27" i="3" s="1"/>
  <c r="M27" i="3" s="1"/>
  <c r="V30" i="5" a="1"/>
  <c r="V30" i="5" s="1"/>
  <c r="Z30" i="5"/>
  <c r="O32" i="5"/>
  <c r="AD31" i="5"/>
  <c r="T31" i="5" s="1"/>
  <c r="P30" i="5"/>
  <c r="Q30" i="5"/>
  <c r="U30" i="5"/>
  <c r="W30" i="5"/>
  <c r="Y30" i="5"/>
  <c r="R30" i="5"/>
  <c r="S30" i="5"/>
  <c r="AA30" i="5"/>
  <c r="X30" i="5"/>
  <c r="AC33" i="5"/>
  <c r="D34" i="5"/>
  <c r="E32" i="5"/>
  <c r="F32" i="5"/>
  <c r="J32" i="5"/>
  <c r="K32" i="5"/>
  <c r="I32" i="5"/>
  <c r="M32" i="5"/>
  <c r="G32" i="5"/>
  <c r="R29" i="3"/>
  <c r="G29" i="3"/>
  <c r="F30" i="3"/>
  <c r="AR30" i="1"/>
  <c r="AS29" i="1"/>
  <c r="AN30" i="1"/>
  <c r="AV29" i="1"/>
  <c r="AO29" i="1"/>
  <c r="AJ28" i="1"/>
  <c r="BD30" i="1"/>
  <c r="BE29" i="1"/>
  <c r="AW28" i="1"/>
  <c r="AZ29" i="1"/>
  <c r="BA28" i="1"/>
  <c r="X29" i="1"/>
  <c r="Y29" i="1" a="1"/>
  <c r="AB29" i="1" a="1"/>
  <c r="H30" i="3" l="1" a="1"/>
  <c r="H30" i="3" s="1"/>
  <c r="S30" i="3" a="1"/>
  <c r="S30" i="3" s="1"/>
  <c r="K30" i="3" a="1"/>
  <c r="K30" i="3" s="1"/>
  <c r="AV34" i="7"/>
  <c r="Z35" i="7"/>
  <c r="AR36" i="7"/>
  <c r="AN35" i="7"/>
  <c r="BD35" i="7"/>
  <c r="BE35" i="7" s="1"/>
  <c r="BE34" i="7"/>
  <c r="AJ35" i="7"/>
  <c r="AK35" i="7" s="1"/>
  <c r="AK34" i="7"/>
  <c r="AZ35" i="7"/>
  <c r="AW33" i="7"/>
  <c r="AS35" i="7"/>
  <c r="BA34" i="7"/>
  <c r="AV36" i="6"/>
  <c r="AW35" i="6"/>
  <c r="AR36" i="6"/>
  <c r="AS35" i="6"/>
  <c r="AJ34" i="6"/>
  <c r="AN34" i="6"/>
  <c r="AZ35" i="6"/>
  <c r="AO33" i="6"/>
  <c r="BD33" i="6"/>
  <c r="Z36" i="6"/>
  <c r="BE32" i="6"/>
  <c r="AB29" i="1"/>
  <c r="Y29" i="1"/>
  <c r="L33" i="5"/>
  <c r="H33" i="5"/>
  <c r="P19" i="5"/>
  <c r="R19" i="5"/>
  <c r="V30" i="3"/>
  <c r="Q31" i="3"/>
  <c r="V31" i="3" s="1" a="1"/>
  <c r="L27" i="3"/>
  <c r="N27" i="3" s="1"/>
  <c r="I28" i="3"/>
  <c r="T28" i="3"/>
  <c r="U28" i="3" s="1"/>
  <c r="W28" i="3" s="1"/>
  <c r="U27" i="3"/>
  <c r="W27" i="3" s="1"/>
  <c r="Z31" i="5"/>
  <c r="V31" i="5" a="1"/>
  <c r="V31" i="5" s="1"/>
  <c r="E33" i="5"/>
  <c r="F33" i="5"/>
  <c r="G33" i="5"/>
  <c r="I33" i="5"/>
  <c r="K33" i="5"/>
  <c r="J33" i="5"/>
  <c r="M33" i="5"/>
  <c r="AC34" i="5"/>
  <c r="D35" i="5"/>
  <c r="P31" i="5"/>
  <c r="Q31" i="5"/>
  <c r="R31" i="5"/>
  <c r="S31" i="5"/>
  <c r="U31" i="5"/>
  <c r="W31" i="5"/>
  <c r="X31" i="5"/>
  <c r="Y31" i="5"/>
  <c r="AA31" i="5"/>
  <c r="O33" i="5"/>
  <c r="AD32" i="5"/>
  <c r="T32" i="5" s="1"/>
  <c r="R30" i="3"/>
  <c r="G30" i="3"/>
  <c r="F31" i="3"/>
  <c r="AS30" i="1"/>
  <c r="AR31" i="1"/>
  <c r="AR32" i="1" s="1"/>
  <c r="AR33" i="1" s="1"/>
  <c r="AZ30" i="1"/>
  <c r="BA29" i="1"/>
  <c r="BD31" i="1"/>
  <c r="BE30" i="1"/>
  <c r="AJ29" i="1"/>
  <c r="AK28" i="1"/>
  <c r="AV30" i="1"/>
  <c r="AW29" i="1"/>
  <c r="AN31" i="1"/>
  <c r="AO31" i="1" s="1"/>
  <c r="AO30" i="1"/>
  <c r="X30" i="1"/>
  <c r="AB30" i="1" a="1"/>
  <c r="Y30" i="1" a="1"/>
  <c r="H31" i="3" l="1" a="1"/>
  <c r="H31" i="3" s="1"/>
  <c r="S31" i="3" a="1"/>
  <c r="S31" i="3" s="1"/>
  <c r="K31" i="3" a="1"/>
  <c r="K31" i="3" s="1"/>
  <c r="AZ36" i="7"/>
  <c r="BA35" i="7"/>
  <c r="AN36" i="7"/>
  <c r="AJ36" i="7"/>
  <c r="Z36" i="7"/>
  <c r="AA36" i="7" s="1"/>
  <c r="AO35" i="7"/>
  <c r="AA35" i="7"/>
  <c r="BD36" i="7"/>
  <c r="BE36" i="7" s="1"/>
  <c r="AR37" i="7"/>
  <c r="AS37" i="7" s="1"/>
  <c r="AV35" i="7"/>
  <c r="AW35" i="7" s="1"/>
  <c r="AS36" i="7"/>
  <c r="AW34" i="7"/>
  <c r="AW36" i="6"/>
  <c r="AV37" i="6"/>
  <c r="Z37" i="6"/>
  <c r="BD34" i="6"/>
  <c r="BE34" i="6" s="1"/>
  <c r="AA36" i="6"/>
  <c r="BE33" i="6"/>
  <c r="AZ36" i="6"/>
  <c r="BA36" i="6" s="1"/>
  <c r="BA35" i="6"/>
  <c r="AN35" i="6"/>
  <c r="AO34" i="6"/>
  <c r="AR37" i="6"/>
  <c r="AS37" i="6" s="1"/>
  <c r="AJ35" i="6"/>
  <c r="AK34" i="6"/>
  <c r="AS36" i="6"/>
  <c r="AB30" i="1"/>
  <c r="Y30" i="1"/>
  <c r="S19" i="5"/>
  <c r="Q20" i="5"/>
  <c r="L34" i="5"/>
  <c r="H34" i="5"/>
  <c r="V31" i="3"/>
  <c r="Q32" i="3"/>
  <c r="V32" i="3" s="1" a="1"/>
  <c r="T29" i="3"/>
  <c r="L28" i="3"/>
  <c r="I29" i="3"/>
  <c r="J29" i="3"/>
  <c r="M29" i="3" s="1"/>
  <c r="J28" i="3"/>
  <c r="M28" i="3" s="1"/>
  <c r="V32" i="5" a="1"/>
  <c r="V32" i="5" s="1"/>
  <c r="Z32" i="5"/>
  <c r="I34" i="5"/>
  <c r="E34" i="5"/>
  <c r="F34" i="5"/>
  <c r="G34" i="5"/>
  <c r="J34" i="5"/>
  <c r="K34" i="5"/>
  <c r="M34" i="5"/>
  <c r="D36" i="5"/>
  <c r="AC35" i="5"/>
  <c r="Y32" i="5"/>
  <c r="AA32" i="5"/>
  <c r="U32" i="5"/>
  <c r="W32" i="5"/>
  <c r="X32" i="5"/>
  <c r="P32" i="5"/>
  <c r="Q32" i="5"/>
  <c r="R32" i="5"/>
  <c r="S32" i="5"/>
  <c r="O34" i="5"/>
  <c r="AD33" i="5"/>
  <c r="T33" i="5" s="1"/>
  <c r="R31" i="3"/>
  <c r="G31" i="3"/>
  <c r="F32" i="3"/>
  <c r="AS32" i="1"/>
  <c r="AS31" i="1"/>
  <c r="AZ31" i="1"/>
  <c r="AN32" i="1"/>
  <c r="BA30" i="1"/>
  <c r="AV31" i="1"/>
  <c r="AW31" i="1" s="1"/>
  <c r="AW30" i="1"/>
  <c r="AR34" i="1"/>
  <c r="AS33" i="1"/>
  <c r="AJ30" i="1"/>
  <c r="AK30" i="1" s="1"/>
  <c r="AK29" i="1"/>
  <c r="BD32" i="1"/>
  <c r="BE31" i="1"/>
  <c r="X31" i="1"/>
  <c r="Y31" i="1" a="1"/>
  <c r="AB31" i="1" a="1"/>
  <c r="H32" i="3" l="1" a="1"/>
  <c r="H32" i="3" s="1"/>
  <c r="S32" i="3" a="1"/>
  <c r="S32" i="3" s="1"/>
  <c r="K32" i="3" a="1"/>
  <c r="K32" i="3" s="1"/>
  <c r="AN37" i="7"/>
  <c r="Z37" i="7"/>
  <c r="AA37" i="7" s="1"/>
  <c r="AJ37" i="7"/>
  <c r="AK36" i="7"/>
  <c r="AO36" i="7"/>
  <c r="AZ37" i="7"/>
  <c r="AR38" i="7"/>
  <c r="AS38" i="7" s="1"/>
  <c r="BD37" i="7"/>
  <c r="BE37" i="7" s="1"/>
  <c r="AV36" i="7"/>
  <c r="AW36" i="7" s="1"/>
  <c r="BA36" i="7"/>
  <c r="AW37" i="6"/>
  <c r="AV38" i="6"/>
  <c r="AN36" i="6"/>
  <c r="AR38" i="6"/>
  <c r="AS38" i="6" s="1"/>
  <c r="AO35" i="6"/>
  <c r="BD35" i="6"/>
  <c r="Z38" i="6"/>
  <c r="AZ37" i="6"/>
  <c r="AJ36" i="6"/>
  <c r="AK36" i="6" s="1"/>
  <c r="AK35" i="6"/>
  <c r="AA37" i="6"/>
  <c r="AB31" i="1"/>
  <c r="Y31" i="1"/>
  <c r="L35" i="5"/>
  <c r="H35" i="5"/>
  <c r="R20" i="5"/>
  <c r="P20" i="5"/>
  <c r="V32" i="3"/>
  <c r="Q33" i="3"/>
  <c r="V33" i="3" s="1" a="1"/>
  <c r="T30" i="3"/>
  <c r="U30" i="3" s="1"/>
  <c r="W30" i="3" s="1"/>
  <c r="L29" i="3"/>
  <c r="N29" i="3" s="1"/>
  <c r="I30" i="3"/>
  <c r="N28" i="3"/>
  <c r="U29" i="3"/>
  <c r="W29" i="3" s="1"/>
  <c r="Z33" i="5"/>
  <c r="V33" i="5" a="1"/>
  <c r="V33" i="5" s="1"/>
  <c r="AC36" i="5"/>
  <c r="D37" i="5"/>
  <c r="O35" i="5"/>
  <c r="AD34" i="5"/>
  <c r="T34" i="5" s="1"/>
  <c r="I35" i="5"/>
  <c r="J35" i="5"/>
  <c r="K35" i="5"/>
  <c r="F35" i="5"/>
  <c r="M35" i="5"/>
  <c r="G35" i="5"/>
  <c r="E35" i="5"/>
  <c r="U33" i="5"/>
  <c r="AA33" i="5"/>
  <c r="P33" i="5"/>
  <c r="Q33" i="5"/>
  <c r="R33" i="5"/>
  <c r="S33" i="5"/>
  <c r="Y33" i="5"/>
  <c r="W33" i="5"/>
  <c r="X33" i="5"/>
  <c r="R32" i="3"/>
  <c r="G32" i="3"/>
  <c r="F33" i="3"/>
  <c r="S33" i="3" s="1" a="1"/>
  <c r="S33" i="3" s="1"/>
  <c r="AR35" i="1"/>
  <c r="AS35" i="1" s="1"/>
  <c r="BD33" i="1"/>
  <c r="BE33" i="1" s="1"/>
  <c r="BE32" i="1"/>
  <c r="AS34" i="1"/>
  <c r="AN33" i="1"/>
  <c r="AZ32" i="1"/>
  <c r="AJ31" i="1"/>
  <c r="AV32" i="1"/>
  <c r="AO32" i="1"/>
  <c r="BA31" i="1"/>
  <c r="X32" i="1"/>
  <c r="Y32" i="1" a="1"/>
  <c r="AB32" i="1" a="1"/>
  <c r="K33" i="3" l="1" a="1"/>
  <c r="K33" i="3" s="1"/>
  <c r="H33" i="3" a="1"/>
  <c r="H33" i="3" s="1"/>
  <c r="AV37" i="7"/>
  <c r="AZ38" i="7"/>
  <c r="AJ38" i="7"/>
  <c r="BD38" i="7"/>
  <c r="AK37" i="7"/>
  <c r="AN38" i="7"/>
  <c r="AO38" i="7" s="1"/>
  <c r="AR39" i="7"/>
  <c r="BA37" i="7"/>
  <c r="Z38" i="7"/>
  <c r="AO37" i="7"/>
  <c r="AW38" i="6"/>
  <c r="AV39" i="6"/>
  <c r="AZ38" i="6"/>
  <c r="BD36" i="6"/>
  <c r="AJ37" i="6"/>
  <c r="AK37" i="6" s="1"/>
  <c r="BA37" i="6"/>
  <c r="Z39" i="6"/>
  <c r="AA39" i="6" s="1"/>
  <c r="BE35" i="6"/>
  <c r="AA38" i="6"/>
  <c r="AR39" i="6"/>
  <c r="AS39" i="6" s="1"/>
  <c r="AN37" i="6"/>
  <c r="AO36" i="6"/>
  <c r="AB32" i="1"/>
  <c r="Y32" i="1"/>
  <c r="L36" i="5"/>
  <c r="H36" i="5"/>
  <c r="S20" i="5"/>
  <c r="Q21" i="5"/>
  <c r="V33" i="3"/>
  <c r="Q34" i="3"/>
  <c r="V34" i="3" s="1" a="1"/>
  <c r="L30" i="3"/>
  <c r="I31" i="3"/>
  <c r="J30" i="3"/>
  <c r="M30" i="3" s="1"/>
  <c r="T31" i="3"/>
  <c r="V34" i="5" a="1"/>
  <c r="V34" i="5" s="1"/>
  <c r="Z34" i="5"/>
  <c r="O36" i="5"/>
  <c r="AD35" i="5"/>
  <c r="T35" i="5" s="1"/>
  <c r="AC37" i="5"/>
  <c r="D38" i="5"/>
  <c r="P34" i="5"/>
  <c r="Q34" i="5"/>
  <c r="U34" i="5"/>
  <c r="W34" i="5"/>
  <c r="Y34" i="5"/>
  <c r="R34" i="5"/>
  <c r="X34" i="5"/>
  <c r="S34" i="5"/>
  <c r="AA34" i="5"/>
  <c r="E36" i="5"/>
  <c r="F36" i="5"/>
  <c r="J36" i="5"/>
  <c r="K36" i="5"/>
  <c r="G36" i="5"/>
  <c r="M36" i="5"/>
  <c r="I36" i="5"/>
  <c r="G33" i="3"/>
  <c r="R33" i="3"/>
  <c r="F34" i="3"/>
  <c r="S34" i="3" s="1" a="1"/>
  <c r="S34" i="3" s="1"/>
  <c r="AV33" i="1"/>
  <c r="AJ32" i="1"/>
  <c r="AK31" i="1"/>
  <c r="AN34" i="1"/>
  <c r="AW32" i="1"/>
  <c r="AZ33" i="1"/>
  <c r="BA32" i="1"/>
  <c r="AO33" i="1"/>
  <c r="BD34" i="1"/>
  <c r="AR36" i="1"/>
  <c r="AS36" i="1" s="1"/>
  <c r="X33" i="1"/>
  <c r="AB33" i="1" a="1"/>
  <c r="Y33" i="1" a="1"/>
  <c r="H34" i="3" l="1" a="1"/>
  <c r="H34" i="3" s="1"/>
  <c r="K34" i="3" a="1"/>
  <c r="K34" i="3" s="1"/>
  <c r="Z39" i="7"/>
  <c r="AA38" i="7"/>
  <c r="AR40" i="7"/>
  <c r="AS40" i="7" s="1"/>
  <c r="AS39" i="7"/>
  <c r="BD39" i="7"/>
  <c r="BE39" i="7" s="1"/>
  <c r="AZ39" i="7"/>
  <c r="AJ39" i="7"/>
  <c r="AK39" i="7" s="1"/>
  <c r="BA38" i="7"/>
  <c r="AN39" i="7"/>
  <c r="AV38" i="7"/>
  <c r="AW38" i="7" s="1"/>
  <c r="BE38" i="7"/>
  <c r="AK38" i="7"/>
  <c r="AW37" i="7"/>
  <c r="AW39" i="6"/>
  <c r="AV40" i="6"/>
  <c r="AR40" i="6"/>
  <c r="BD37" i="6"/>
  <c r="BE37" i="6" s="1"/>
  <c r="Z40" i="6"/>
  <c r="BE36" i="6"/>
  <c r="AJ38" i="6"/>
  <c r="AN38" i="6"/>
  <c r="AO38" i="6" s="1"/>
  <c r="AZ39" i="6"/>
  <c r="AO37" i="6"/>
  <c r="BA38" i="6"/>
  <c r="AB33" i="1"/>
  <c r="Y33" i="1"/>
  <c r="L37" i="5"/>
  <c r="H37" i="5"/>
  <c r="R21" i="5"/>
  <c r="P21" i="5"/>
  <c r="V34" i="3"/>
  <c r="Q35" i="3"/>
  <c r="V35" i="3" s="1" a="1"/>
  <c r="T32" i="3"/>
  <c r="U32" i="3" s="1"/>
  <c r="W32" i="3" s="1"/>
  <c r="U31" i="3"/>
  <c r="W31" i="3" s="1"/>
  <c r="N30" i="3"/>
  <c r="L31" i="3"/>
  <c r="I32" i="3"/>
  <c r="J31" i="3"/>
  <c r="M31" i="3" s="1"/>
  <c r="Z35" i="5"/>
  <c r="V35" i="5" a="1"/>
  <c r="V35" i="5" s="1"/>
  <c r="E37" i="5"/>
  <c r="F37" i="5"/>
  <c r="I37" i="5"/>
  <c r="G37" i="5"/>
  <c r="J37" i="5"/>
  <c r="K37" i="5"/>
  <c r="M37" i="5"/>
  <c r="P35" i="5"/>
  <c r="Q35" i="5"/>
  <c r="R35" i="5"/>
  <c r="X35" i="5"/>
  <c r="S35" i="5"/>
  <c r="U35" i="5"/>
  <c r="W35" i="5"/>
  <c r="AA35" i="5"/>
  <c r="Y35" i="5"/>
  <c r="D39" i="5"/>
  <c r="AC38" i="5"/>
  <c r="AD36" i="5"/>
  <c r="T36" i="5" s="1"/>
  <c r="O37" i="5"/>
  <c r="R34" i="3"/>
  <c r="G34" i="3"/>
  <c r="F35" i="3"/>
  <c r="S35" i="3" s="1" a="1"/>
  <c r="S35" i="3" s="1"/>
  <c r="AJ33" i="1"/>
  <c r="BD35" i="1"/>
  <c r="AN35" i="1"/>
  <c r="AO34" i="1"/>
  <c r="AK32" i="1"/>
  <c r="AZ34" i="1"/>
  <c r="BA34" i="1" s="1"/>
  <c r="AR37" i="1"/>
  <c r="AS37" i="1" s="1"/>
  <c r="BE34" i="1"/>
  <c r="BA33" i="1"/>
  <c r="AV34" i="1"/>
  <c r="AW33" i="1"/>
  <c r="X34" i="1"/>
  <c r="Y34" i="1" a="1"/>
  <c r="AB34" i="1" a="1"/>
  <c r="K35" i="3" l="1" a="1"/>
  <c r="K35" i="3" s="1"/>
  <c r="H35" i="3" a="1"/>
  <c r="H35" i="3" s="1"/>
  <c r="AN40" i="7"/>
  <c r="AZ40" i="7"/>
  <c r="BA40" i="7" s="1"/>
  <c r="AJ40" i="7"/>
  <c r="AK40" i="7" s="1"/>
  <c r="BA39" i="7"/>
  <c r="AO39" i="7"/>
  <c r="AR41" i="7"/>
  <c r="AS41" i="7" s="1"/>
  <c r="Z40" i="7"/>
  <c r="AA40" i="7" s="1"/>
  <c r="BD40" i="7"/>
  <c r="AV39" i="7"/>
  <c r="AA39" i="7"/>
  <c r="AV41" i="6"/>
  <c r="AW40" i="6"/>
  <c r="AZ40" i="6"/>
  <c r="BA39" i="6"/>
  <c r="Z41" i="6"/>
  <c r="AA41" i="6" s="1"/>
  <c r="AJ39" i="6"/>
  <c r="AK38" i="6"/>
  <c r="AA40" i="6"/>
  <c r="AN39" i="6"/>
  <c r="BD38" i="6"/>
  <c r="AR41" i="6"/>
  <c r="AS40" i="6"/>
  <c r="AB34" i="1"/>
  <c r="Y34" i="1"/>
  <c r="L38" i="5"/>
  <c r="H38" i="5"/>
  <c r="S21" i="5"/>
  <c r="Q22" i="5"/>
  <c r="V35" i="3"/>
  <c r="Q36" i="3"/>
  <c r="V36" i="3" s="1" a="1"/>
  <c r="L32" i="3"/>
  <c r="I33" i="3"/>
  <c r="J33" i="3" s="1"/>
  <c r="M33" i="3" s="1"/>
  <c r="J32" i="3"/>
  <c r="M32" i="3" s="1"/>
  <c r="N31" i="3"/>
  <c r="T33" i="3"/>
  <c r="V36" i="5" a="1"/>
  <c r="V36" i="5" s="1"/>
  <c r="Z36" i="5"/>
  <c r="Y36" i="5"/>
  <c r="AA36" i="5"/>
  <c r="P36" i="5"/>
  <c r="Q36" i="5"/>
  <c r="U36" i="5"/>
  <c r="R36" i="5"/>
  <c r="S36" i="5"/>
  <c r="W36" i="5"/>
  <c r="X36" i="5"/>
  <c r="O38" i="5"/>
  <c r="AD37" i="5"/>
  <c r="T37" i="5" s="1"/>
  <c r="J38" i="5"/>
  <c r="G38" i="5"/>
  <c r="K38" i="5"/>
  <c r="E38" i="5"/>
  <c r="F38" i="5"/>
  <c r="I38" i="5"/>
  <c r="M38" i="5"/>
  <c r="D40" i="5"/>
  <c r="AC39" i="5"/>
  <c r="G35" i="3"/>
  <c r="R35" i="3"/>
  <c r="F36" i="3"/>
  <c r="BD36" i="1"/>
  <c r="BE35" i="1"/>
  <c r="AV35" i="1"/>
  <c r="AW35" i="1" s="1"/>
  <c r="AW34" i="1"/>
  <c r="AR38" i="1"/>
  <c r="AZ35" i="1"/>
  <c r="AN36" i="1"/>
  <c r="AO36" i="1" s="1"/>
  <c r="AO35" i="1"/>
  <c r="AJ34" i="1"/>
  <c r="AK33" i="1"/>
  <c r="X35" i="1"/>
  <c r="Y35" i="1" a="1"/>
  <c r="AB35" i="1" a="1"/>
  <c r="H36" i="3" l="1" a="1"/>
  <c r="H36" i="3" s="1"/>
  <c r="S36" i="3" a="1"/>
  <c r="S36" i="3" s="1"/>
  <c r="K36" i="3" a="1"/>
  <c r="K36" i="3" s="1"/>
  <c r="BD41" i="7"/>
  <c r="AV40" i="7"/>
  <c r="AW40" i="7" s="1"/>
  <c r="AW39" i="7"/>
  <c r="Z41" i="7"/>
  <c r="AA41" i="7" s="1"/>
  <c r="AJ41" i="7"/>
  <c r="AK41" i="7" s="1"/>
  <c r="AN41" i="7"/>
  <c r="AO41" i="7" s="1"/>
  <c r="BE40" i="7"/>
  <c r="AR42" i="7"/>
  <c r="AS42" i="7" s="1"/>
  <c r="AZ41" i="7"/>
  <c r="AO40" i="7"/>
  <c r="AW41" i="6"/>
  <c r="AV42" i="6"/>
  <c r="BD39" i="6"/>
  <c r="AN40" i="6"/>
  <c r="AO39" i="6"/>
  <c r="BE38" i="6"/>
  <c r="AJ40" i="6"/>
  <c r="Z42" i="6"/>
  <c r="AR42" i="6"/>
  <c r="AS42" i="6" s="1"/>
  <c r="AZ41" i="6"/>
  <c r="BA41" i="6" s="1"/>
  <c r="AK39" i="6"/>
  <c r="AS41" i="6"/>
  <c r="BA40" i="6"/>
  <c r="AB35" i="1"/>
  <c r="Y35" i="1"/>
  <c r="P22" i="5"/>
  <c r="R22" i="5"/>
  <c r="L39" i="5"/>
  <c r="H39" i="5"/>
  <c r="V36" i="3"/>
  <c r="Q37" i="3"/>
  <c r="V37" i="3" s="1" a="1"/>
  <c r="T34" i="3"/>
  <c r="U33" i="3"/>
  <c r="W33" i="3" s="1"/>
  <c r="L33" i="3"/>
  <c r="N33" i="3" s="1"/>
  <c r="I34" i="3"/>
  <c r="N32" i="3"/>
  <c r="V37" i="5" a="1"/>
  <c r="V37" i="5" s="1"/>
  <c r="Z37" i="5"/>
  <c r="AD38" i="5"/>
  <c r="T38" i="5" s="1"/>
  <c r="O39" i="5"/>
  <c r="I39" i="5"/>
  <c r="J39" i="5"/>
  <c r="K39" i="5"/>
  <c r="E39" i="5"/>
  <c r="M39" i="5"/>
  <c r="F39" i="5"/>
  <c r="G39" i="5"/>
  <c r="U37" i="5"/>
  <c r="AA37" i="5"/>
  <c r="Q37" i="5"/>
  <c r="R37" i="5"/>
  <c r="S37" i="5"/>
  <c r="X37" i="5"/>
  <c r="W37" i="5"/>
  <c r="Y37" i="5"/>
  <c r="P37" i="5"/>
  <c r="AC40" i="5"/>
  <c r="D41" i="5"/>
  <c r="G36" i="3"/>
  <c r="R36" i="3"/>
  <c r="F37" i="3"/>
  <c r="AJ35" i="1"/>
  <c r="AK34" i="1"/>
  <c r="AR39" i="1"/>
  <c r="AN37" i="1"/>
  <c r="AO37" i="1" s="1"/>
  <c r="AZ36" i="1"/>
  <c r="BA36" i="1" s="1"/>
  <c r="BA35" i="1"/>
  <c r="AS38" i="1"/>
  <c r="AV36" i="1"/>
  <c r="AW36" i="1" s="1"/>
  <c r="BD37" i="1"/>
  <c r="BE37" i="1" s="1"/>
  <c r="BE36" i="1"/>
  <c r="X36" i="1"/>
  <c r="AB36" i="1" a="1"/>
  <c r="Y36" i="1" a="1"/>
  <c r="H37" i="3" l="1" a="1"/>
  <c r="H37" i="3" s="1"/>
  <c r="S37" i="3" a="1"/>
  <c r="S37" i="3" s="1"/>
  <c r="K37" i="3" a="1"/>
  <c r="K37" i="3" s="1"/>
  <c r="AZ42" i="7"/>
  <c r="AN42" i="7"/>
  <c r="BA41" i="7"/>
  <c r="AJ42" i="7"/>
  <c r="AV41" i="7"/>
  <c r="BD42" i="7"/>
  <c r="AR43" i="7"/>
  <c r="AS43" i="7" s="1"/>
  <c r="Z42" i="7"/>
  <c r="BE41" i="7"/>
  <c r="AW42" i="6"/>
  <c r="AV43" i="6"/>
  <c r="AZ42" i="6"/>
  <c r="AR43" i="6"/>
  <c r="AS43" i="6" s="1"/>
  <c r="Z43" i="6"/>
  <c r="AA42" i="6"/>
  <c r="AN41" i="6"/>
  <c r="AO41" i="6" s="1"/>
  <c r="AJ41" i="6"/>
  <c r="AO40" i="6"/>
  <c r="BD40" i="6"/>
  <c r="AK40" i="6"/>
  <c r="BE39" i="6"/>
  <c r="AB36" i="1"/>
  <c r="Y36" i="1"/>
  <c r="S22" i="5"/>
  <c r="Q23" i="5"/>
  <c r="L40" i="5"/>
  <c r="H40" i="5"/>
  <c r="V37" i="3"/>
  <c r="Q38" i="3"/>
  <c r="V38" i="3" s="1" a="1"/>
  <c r="T35" i="3"/>
  <c r="U35" i="3" s="1"/>
  <c r="W35" i="3" s="1"/>
  <c r="L34" i="3"/>
  <c r="I35" i="3"/>
  <c r="J34" i="3"/>
  <c r="M34" i="3" s="1"/>
  <c r="U34" i="3"/>
  <c r="W34" i="3" s="1"/>
  <c r="Z38" i="5"/>
  <c r="V38" i="5" a="1"/>
  <c r="V38" i="5" s="1"/>
  <c r="E40" i="5"/>
  <c r="F40" i="5"/>
  <c r="J40" i="5"/>
  <c r="K40" i="5"/>
  <c r="G40" i="5"/>
  <c r="I40" i="5"/>
  <c r="M40" i="5"/>
  <c r="D42" i="5"/>
  <c r="AC41" i="5"/>
  <c r="O40" i="5"/>
  <c r="AD39" i="5"/>
  <c r="T39" i="5" s="1"/>
  <c r="P38" i="5"/>
  <c r="Q38" i="5"/>
  <c r="U38" i="5"/>
  <c r="W38" i="5"/>
  <c r="Y38" i="5"/>
  <c r="AA38" i="5"/>
  <c r="R38" i="5"/>
  <c r="S38" i="5"/>
  <c r="X38" i="5"/>
  <c r="R37" i="3"/>
  <c r="G37" i="3"/>
  <c r="F38" i="3"/>
  <c r="S38" i="3" s="1" a="1"/>
  <c r="S38" i="3" s="1"/>
  <c r="BD38" i="1"/>
  <c r="AZ37" i="1"/>
  <c r="AV37" i="1"/>
  <c r="AN38" i="1"/>
  <c r="AR40" i="1"/>
  <c r="AS39" i="1"/>
  <c r="AJ36" i="1"/>
  <c r="AK35" i="1"/>
  <c r="X37" i="1"/>
  <c r="Y37" i="1" a="1"/>
  <c r="AB37" i="1" a="1"/>
  <c r="H38" i="3" l="1" a="1"/>
  <c r="H38" i="3" s="1"/>
  <c r="K38" i="3" a="1"/>
  <c r="K38" i="3" s="1"/>
  <c r="AV42" i="7"/>
  <c r="AR44" i="7"/>
  <c r="BD43" i="7"/>
  <c r="BE42" i="7"/>
  <c r="AW41" i="7"/>
  <c r="Z43" i="7"/>
  <c r="AA43" i="7" s="1"/>
  <c r="AN43" i="7"/>
  <c r="AJ43" i="7"/>
  <c r="AK43" i="7" s="1"/>
  <c r="AO42" i="7"/>
  <c r="AA42" i="7"/>
  <c r="AZ43" i="7"/>
  <c r="AK42" i="7"/>
  <c r="BA42" i="7"/>
  <c r="AW43" i="6"/>
  <c r="AV44" i="6"/>
  <c r="BD41" i="6"/>
  <c r="BE40" i="6"/>
  <c r="AJ42" i="6"/>
  <c r="AK41" i="6"/>
  <c r="Z44" i="6"/>
  <c r="AA44" i="6" s="1"/>
  <c r="AA43" i="6"/>
  <c r="AZ43" i="6"/>
  <c r="BA43" i="6" s="1"/>
  <c r="AN42" i="6"/>
  <c r="AR44" i="6"/>
  <c r="AS44" i="6" s="1"/>
  <c r="AJ80" i="6" s="1"/>
  <c r="BA42" i="6"/>
  <c r="AB37" i="1"/>
  <c r="Y37" i="1"/>
  <c r="P23" i="5"/>
  <c r="R23" i="5"/>
  <c r="L41" i="5"/>
  <c r="H41" i="5"/>
  <c r="V38" i="3"/>
  <c r="Q39" i="3"/>
  <c r="V39" i="3" s="1" a="1"/>
  <c r="N34" i="3"/>
  <c r="L35" i="3"/>
  <c r="I36" i="3"/>
  <c r="J36" i="3" s="1"/>
  <c r="M36" i="3" s="1"/>
  <c r="J35" i="3"/>
  <c r="M35" i="3" s="1"/>
  <c r="T36" i="3"/>
  <c r="U36" i="3" s="1"/>
  <c r="W36" i="3" s="1"/>
  <c r="Z39" i="5"/>
  <c r="V39" i="5" a="1"/>
  <c r="V39" i="5" s="1"/>
  <c r="O41" i="5"/>
  <c r="AD40" i="5"/>
  <c r="T40" i="5" s="1"/>
  <c r="AC42" i="5"/>
  <c r="D43" i="5"/>
  <c r="P39" i="5"/>
  <c r="Q39" i="5"/>
  <c r="R39" i="5"/>
  <c r="S39" i="5"/>
  <c r="U39" i="5"/>
  <c r="W39" i="5"/>
  <c r="X39" i="5"/>
  <c r="AA39" i="5"/>
  <c r="Y39" i="5"/>
  <c r="E41" i="5"/>
  <c r="F41" i="5"/>
  <c r="I41" i="5"/>
  <c r="J41" i="5"/>
  <c r="K41" i="5"/>
  <c r="M41" i="5"/>
  <c r="G41" i="5"/>
  <c r="G38" i="3"/>
  <c r="R38" i="3"/>
  <c r="F39" i="3"/>
  <c r="S39" i="3" s="1" a="1"/>
  <c r="S39" i="3" s="1"/>
  <c r="AJ37" i="1"/>
  <c r="AK37" i="1" s="1"/>
  <c r="AK36" i="1"/>
  <c r="AR41" i="1"/>
  <c r="AS40" i="1"/>
  <c r="AN39" i="1"/>
  <c r="AO38" i="1"/>
  <c r="AV38" i="1"/>
  <c r="AW37" i="1"/>
  <c r="AZ38" i="1"/>
  <c r="BA37" i="1"/>
  <c r="BD39" i="1"/>
  <c r="BE39" i="1" s="1"/>
  <c r="BE38" i="1"/>
  <c r="X38" i="1"/>
  <c r="AB38" i="1" a="1"/>
  <c r="Y38" i="1" a="1"/>
  <c r="H39" i="3" l="1" a="1"/>
  <c r="H39" i="3" s="1"/>
  <c r="K39" i="3" a="1"/>
  <c r="K39" i="3" s="1"/>
  <c r="AN44" i="7"/>
  <c r="AO43" i="7"/>
  <c r="AJ44" i="7"/>
  <c r="Z44" i="7"/>
  <c r="AA44" i="7" s="1"/>
  <c r="AS44" i="7"/>
  <c r="AJ80" i="7" s="1"/>
  <c r="BD44" i="7"/>
  <c r="BE44" i="7" s="1"/>
  <c r="AZ44" i="7"/>
  <c r="AV43" i="7"/>
  <c r="AW43" i="7" s="1"/>
  <c r="BE43" i="7"/>
  <c r="BA43" i="7"/>
  <c r="AW42" i="7"/>
  <c r="AW44" i="6"/>
  <c r="AK80" i="6" s="1"/>
  <c r="AN43" i="6"/>
  <c r="AO43" i="6" s="1"/>
  <c r="AJ91" i="6"/>
  <c r="AJ69" i="6" s="1"/>
  <c r="AO42" i="6"/>
  <c r="N19" i="6"/>
  <c r="S19" i="6"/>
  <c r="Y80" i="6"/>
  <c r="Z80" i="6"/>
  <c r="AA80" i="6"/>
  <c r="AB80" i="6"/>
  <c r="AC80" i="6"/>
  <c r="AD80" i="6"/>
  <c r="AD69" i="6"/>
  <c r="AJ43" i="6"/>
  <c r="AK43" i="6" s="1"/>
  <c r="BD42" i="6"/>
  <c r="AZ44" i="6"/>
  <c r="P19" i="6"/>
  <c r="O19" i="6"/>
  <c r="Y69" i="6"/>
  <c r="Z69" i="6"/>
  <c r="AA69" i="6"/>
  <c r="AC69" i="6"/>
  <c r="AB69" i="6"/>
  <c r="AK42" i="6"/>
  <c r="BE41" i="6"/>
  <c r="AB38" i="1"/>
  <c r="Y38" i="1"/>
  <c r="S23" i="5"/>
  <c r="Q24" i="5"/>
  <c r="L42" i="5"/>
  <c r="H42" i="5"/>
  <c r="V39" i="3"/>
  <c r="Q40" i="3"/>
  <c r="V40" i="3" s="1" a="1"/>
  <c r="T37" i="3"/>
  <c r="L36" i="3"/>
  <c r="N36" i="3" s="1"/>
  <c r="I37" i="3"/>
  <c r="N35" i="3"/>
  <c r="Z40" i="5"/>
  <c r="V40" i="5" a="1"/>
  <c r="V40" i="5" s="1"/>
  <c r="D44" i="5"/>
  <c r="AC43" i="5"/>
  <c r="J42" i="5"/>
  <c r="K42" i="5"/>
  <c r="M42" i="5"/>
  <c r="E42" i="5"/>
  <c r="F42" i="5"/>
  <c r="G42" i="5"/>
  <c r="I42" i="5"/>
  <c r="Y40" i="5"/>
  <c r="AA40" i="5"/>
  <c r="U40" i="5"/>
  <c r="W40" i="5"/>
  <c r="R40" i="5"/>
  <c r="S40" i="5"/>
  <c r="P40" i="5"/>
  <c r="Q40" i="5"/>
  <c r="X40" i="5"/>
  <c r="O42" i="5"/>
  <c r="AD41" i="5"/>
  <c r="T41" i="5" s="1"/>
  <c r="R39" i="3"/>
  <c r="G39" i="3"/>
  <c r="F40" i="3"/>
  <c r="AZ39" i="1"/>
  <c r="AV39" i="1"/>
  <c r="AW39" i="1" s="1"/>
  <c r="BA38" i="1"/>
  <c r="AW38" i="1"/>
  <c r="AN40" i="1"/>
  <c r="AO39" i="1"/>
  <c r="AR42" i="1"/>
  <c r="AS41" i="1"/>
  <c r="AJ38" i="1"/>
  <c r="AK38" i="1" s="1"/>
  <c r="BD40" i="1"/>
  <c r="X39" i="1"/>
  <c r="AB39" i="1" a="1"/>
  <c r="Y39" i="1" a="1"/>
  <c r="AK91" i="6" l="1"/>
  <c r="AK69" i="6" s="1"/>
  <c r="H40" i="3" a="1"/>
  <c r="H40" i="3" s="1"/>
  <c r="S40" i="3" a="1"/>
  <c r="S40" i="3" s="1"/>
  <c r="K40" i="3" a="1"/>
  <c r="K40" i="3" s="1"/>
  <c r="O19" i="7"/>
  <c r="P19" i="7"/>
  <c r="Y69" i="7"/>
  <c r="Z69" i="7"/>
  <c r="AA69" i="7"/>
  <c r="AB69" i="7"/>
  <c r="AC69" i="7"/>
  <c r="BA44" i="7"/>
  <c r="AL80" i="7" s="1"/>
  <c r="AV44" i="7"/>
  <c r="AM91" i="7"/>
  <c r="AJ91" i="7"/>
  <c r="AJ69" i="7" s="1"/>
  <c r="AK44" i="7"/>
  <c r="AH80" i="7" s="1"/>
  <c r="N19" i="7"/>
  <c r="S19" i="7"/>
  <c r="Y80" i="7"/>
  <c r="Z80" i="7"/>
  <c r="AA80" i="7"/>
  <c r="AB80" i="7"/>
  <c r="AC80" i="7"/>
  <c r="AD80" i="7"/>
  <c r="AD69" i="7"/>
  <c r="AM80" i="7"/>
  <c r="AO44" i="7"/>
  <c r="AI80" i="7" s="1"/>
  <c r="AB58" i="6"/>
  <c r="Z58" i="6"/>
  <c r="AJ44" i="6"/>
  <c r="AK44" i="6" s="1"/>
  <c r="AH80" i="6" s="1"/>
  <c r="Q19" i="6"/>
  <c r="Y58" i="6"/>
  <c r="AD58" i="6"/>
  <c r="AC58" i="6"/>
  <c r="BA44" i="6"/>
  <c r="AL80" i="6" s="1"/>
  <c r="BD43" i="6"/>
  <c r="BE43" i="6" s="1"/>
  <c r="AA58" i="6"/>
  <c r="T19" i="6"/>
  <c r="U19" i="6" s="1"/>
  <c r="AN44" i="6"/>
  <c r="AO44" i="6" s="1"/>
  <c r="AI80" i="6" s="1"/>
  <c r="BE42" i="6"/>
  <c r="AB39" i="1"/>
  <c r="Y39" i="1"/>
  <c r="R24" i="5"/>
  <c r="P24" i="5"/>
  <c r="L43" i="5"/>
  <c r="H43" i="5"/>
  <c r="V40" i="3"/>
  <c r="Q41" i="3"/>
  <c r="V41" i="3" s="1" a="1"/>
  <c r="L37" i="3"/>
  <c r="I38" i="3"/>
  <c r="T38" i="3"/>
  <c r="U38" i="3" s="1"/>
  <c r="W38" i="3" s="1"/>
  <c r="J37" i="3"/>
  <c r="M37" i="3" s="1"/>
  <c r="U37" i="3"/>
  <c r="W37" i="3" s="1"/>
  <c r="Z41" i="5"/>
  <c r="V41" i="5" a="1"/>
  <c r="V41" i="5" s="1"/>
  <c r="U41" i="5"/>
  <c r="AA41" i="5"/>
  <c r="Y41" i="5"/>
  <c r="P41" i="5"/>
  <c r="Q41" i="5"/>
  <c r="S41" i="5"/>
  <c r="W41" i="5"/>
  <c r="R41" i="5"/>
  <c r="X41" i="5"/>
  <c r="I43" i="5"/>
  <c r="J43" i="5"/>
  <c r="K43" i="5"/>
  <c r="E43" i="5"/>
  <c r="F43" i="5"/>
  <c r="G43" i="5"/>
  <c r="M43" i="5"/>
  <c r="O43" i="5"/>
  <c r="AD42" i="5"/>
  <c r="T42" i="5" s="1"/>
  <c r="AC44" i="5"/>
  <c r="D45" i="5"/>
  <c r="G40" i="3"/>
  <c r="R40" i="3"/>
  <c r="F41" i="3"/>
  <c r="S41" i="3" s="1" a="1"/>
  <c r="S41" i="3" s="1"/>
  <c r="BD41" i="1"/>
  <c r="BE41" i="1" s="1"/>
  <c r="AJ39" i="1"/>
  <c r="AK39" i="1" s="1"/>
  <c r="AN41" i="1"/>
  <c r="AO40" i="1"/>
  <c r="BE40" i="1"/>
  <c r="AR43" i="1"/>
  <c r="AS43" i="1" s="1"/>
  <c r="AS42" i="1"/>
  <c r="AV40" i="1"/>
  <c r="AZ40" i="1"/>
  <c r="BA39" i="1"/>
  <c r="X40" i="1"/>
  <c r="Y40" i="1" a="1"/>
  <c r="AB40" i="1" a="1"/>
  <c r="Q19" i="7" l="1"/>
  <c r="K41" i="3" a="1"/>
  <c r="K41" i="3" s="1"/>
  <c r="H41" i="3" a="1"/>
  <c r="H41" i="3" s="1"/>
  <c r="AH91" i="7"/>
  <c r="AH69" i="7" s="1"/>
  <c r="AD58" i="7"/>
  <c r="AC58" i="7"/>
  <c r="AM69" i="7"/>
  <c r="AW44" i="7"/>
  <c r="AK80" i="7" s="1"/>
  <c r="AI91" i="7"/>
  <c r="AI69" i="7" s="1"/>
  <c r="AL91" i="7"/>
  <c r="AL69" i="7" s="1"/>
  <c r="AB58" i="7"/>
  <c r="AA58" i="7"/>
  <c r="Z58" i="7"/>
  <c r="Y58" i="7"/>
  <c r="T19" i="7"/>
  <c r="U19" i="7" s="1"/>
  <c r="V19" i="7" s="1"/>
  <c r="P32" i="7" s="1"/>
  <c r="BD44" i="6"/>
  <c r="V19" i="6"/>
  <c r="P32" i="6" s="1"/>
  <c r="AK58" i="6"/>
  <c r="N58" i="6" s="1"/>
  <c r="AI91" i="6"/>
  <c r="AI69" i="6" s="1"/>
  <c r="AI58" i="6" s="1"/>
  <c r="L58" i="6" s="1"/>
  <c r="AL91" i="6"/>
  <c r="AL69" i="6" s="1"/>
  <c r="AL58" i="6" s="1"/>
  <c r="O58" i="6" s="1"/>
  <c r="AH91" i="6"/>
  <c r="AH69" i="6" s="1"/>
  <c r="AH58" i="6" s="1"/>
  <c r="K58" i="6" s="1"/>
  <c r="AJ58" i="6"/>
  <c r="M58" i="6" s="1"/>
  <c r="AB40" i="1"/>
  <c r="Y40" i="1"/>
  <c r="L44" i="5"/>
  <c r="H44" i="5"/>
  <c r="S24" i="5"/>
  <c r="Q25" i="5"/>
  <c r="V41" i="3"/>
  <c r="Q42" i="3"/>
  <c r="V42" i="3" s="1" a="1"/>
  <c r="I39" i="3"/>
  <c r="L38" i="3"/>
  <c r="J39" i="3"/>
  <c r="M39" i="3" s="1"/>
  <c r="T39" i="3"/>
  <c r="U39" i="3" s="1"/>
  <c r="W39" i="3" s="1"/>
  <c r="J38" i="3"/>
  <c r="M38" i="3" s="1"/>
  <c r="N37" i="3"/>
  <c r="Z42" i="5"/>
  <c r="V42" i="5" a="1"/>
  <c r="V42" i="5" s="1"/>
  <c r="D46" i="5"/>
  <c r="AC45" i="5"/>
  <c r="E44" i="5"/>
  <c r="F44" i="5"/>
  <c r="J44" i="5"/>
  <c r="K44" i="5"/>
  <c r="G44" i="5"/>
  <c r="I44" i="5"/>
  <c r="M44" i="5"/>
  <c r="P42" i="5"/>
  <c r="Q42" i="5"/>
  <c r="U42" i="5"/>
  <c r="Y42" i="5"/>
  <c r="AA42" i="5"/>
  <c r="S42" i="5"/>
  <c r="R42" i="5"/>
  <c r="W42" i="5"/>
  <c r="X42" i="5"/>
  <c r="O44" i="5"/>
  <c r="AD43" i="5"/>
  <c r="T43" i="5" s="1"/>
  <c r="G41" i="3"/>
  <c r="R41" i="3"/>
  <c r="F42" i="3"/>
  <c r="AZ41" i="1"/>
  <c r="BA41" i="1" s="1"/>
  <c r="BA40" i="1"/>
  <c r="AN42" i="1"/>
  <c r="AV41" i="1"/>
  <c r="AW40" i="1"/>
  <c r="AJ40" i="1"/>
  <c r="AK40" i="1" s="1"/>
  <c r="BD42" i="1"/>
  <c r="AR44" i="1"/>
  <c r="AO41" i="1"/>
  <c r="X41" i="1"/>
  <c r="AB41" i="1" a="1"/>
  <c r="Y41" i="1" a="1"/>
  <c r="H42" i="3" l="1" a="1"/>
  <c r="H42" i="3" s="1"/>
  <c r="S42" i="3" a="1"/>
  <c r="S42" i="3" s="1"/>
  <c r="K42" i="3" a="1"/>
  <c r="K42" i="3" s="1"/>
  <c r="AL58" i="7"/>
  <c r="O58" i="7" s="1"/>
  <c r="AI58" i="7"/>
  <c r="L58" i="7" s="1"/>
  <c r="AM58" i="7"/>
  <c r="P58" i="7" s="1"/>
  <c r="AK91" i="7"/>
  <c r="AK69" i="7" s="1"/>
  <c r="AK58" i="7" s="1"/>
  <c r="N58" i="7" s="1"/>
  <c r="AH58" i="7"/>
  <c r="K58" i="7" s="1"/>
  <c r="AJ58" i="7"/>
  <c r="M58" i="7" s="1"/>
  <c r="BE44" i="6"/>
  <c r="AM80" i="6" s="1"/>
  <c r="AB41" i="1"/>
  <c r="Y41" i="1"/>
  <c r="L45" i="5"/>
  <c r="H45" i="5"/>
  <c r="R25" i="5"/>
  <c r="S25" i="5" s="1"/>
  <c r="P25" i="5"/>
  <c r="V42" i="3"/>
  <c r="Q43" i="3"/>
  <c r="V43" i="3" s="1" a="1"/>
  <c r="N38" i="3"/>
  <c r="T40" i="3"/>
  <c r="L39" i="3"/>
  <c r="N39" i="3" s="1"/>
  <c r="I40" i="3"/>
  <c r="J40" i="3" s="1"/>
  <c r="M40" i="3" s="1"/>
  <c r="V43" i="5" a="1"/>
  <c r="V43" i="5" s="1"/>
  <c r="Z43" i="5"/>
  <c r="AD44" i="5"/>
  <c r="T44" i="5" s="1"/>
  <c r="O45" i="5"/>
  <c r="P43" i="5"/>
  <c r="Q43" i="5"/>
  <c r="AA43" i="5"/>
  <c r="R43" i="5"/>
  <c r="W43" i="5"/>
  <c r="S43" i="5"/>
  <c r="U43" i="5"/>
  <c r="X43" i="5"/>
  <c r="Y43" i="5"/>
  <c r="E45" i="5"/>
  <c r="F45" i="5"/>
  <c r="I45" i="5"/>
  <c r="J45" i="5"/>
  <c r="G45" i="5"/>
  <c r="M45" i="5"/>
  <c r="K45" i="5"/>
  <c r="AC46" i="5"/>
  <c r="D47" i="5"/>
  <c r="G42" i="3"/>
  <c r="R42" i="3"/>
  <c r="F43" i="3"/>
  <c r="K43" i="3" s="1" a="1"/>
  <c r="AS44" i="1"/>
  <c r="BD43" i="1"/>
  <c r="BE42" i="1"/>
  <c r="AN43" i="1"/>
  <c r="AJ41" i="1"/>
  <c r="AV42" i="1"/>
  <c r="AW42" i="1" s="1"/>
  <c r="AW41" i="1"/>
  <c r="AO42" i="1"/>
  <c r="AZ42" i="1"/>
  <c r="BA42" i="1" s="1"/>
  <c r="X42" i="1"/>
  <c r="Y42" i="1" a="1"/>
  <c r="AB42" i="1" a="1"/>
  <c r="AM91" i="6" l="1"/>
  <c r="AM69" i="6" s="1"/>
  <c r="AM58" i="6" s="1"/>
  <c r="P58" i="6" s="1"/>
  <c r="K64" i="6" s="1" a="1"/>
  <c r="K64" i="6" s="1"/>
  <c r="M27" i="6" s="1" a="1"/>
  <c r="Q32" i="6" s="1"/>
  <c r="H43" i="3" a="1"/>
  <c r="H43" i="3" s="1"/>
  <c r="S43" i="3" a="1"/>
  <c r="S43" i="3" s="1"/>
  <c r="K64" i="7" a="1"/>
  <c r="K64" i="7" s="1"/>
  <c r="M27" i="7" s="1" a="1"/>
  <c r="AB42" i="1"/>
  <c r="Y42" i="1"/>
  <c r="L46" i="5"/>
  <c r="H46" i="5"/>
  <c r="K43" i="3"/>
  <c r="V43" i="3"/>
  <c r="Q44" i="3"/>
  <c r="V44" i="3" s="1" a="1"/>
  <c r="T41" i="3"/>
  <c r="U41" i="3" s="1"/>
  <c r="W41" i="3" s="1"/>
  <c r="L40" i="3"/>
  <c r="N40" i="3" s="1"/>
  <c r="I41" i="3"/>
  <c r="J41" i="3" s="1"/>
  <c r="M41" i="3" s="1"/>
  <c r="U40" i="3"/>
  <c r="W40" i="3" s="1"/>
  <c r="Z44" i="5"/>
  <c r="V44" i="5" a="1"/>
  <c r="V44" i="5" s="1"/>
  <c r="E46" i="5"/>
  <c r="J46" i="5"/>
  <c r="F46" i="5"/>
  <c r="G46" i="5"/>
  <c r="I46" i="5"/>
  <c r="M46" i="5"/>
  <c r="K46" i="5"/>
  <c r="O46" i="5"/>
  <c r="AD45" i="5"/>
  <c r="T45" i="5" s="1"/>
  <c r="D48" i="5"/>
  <c r="AC47" i="5"/>
  <c r="Y44" i="5"/>
  <c r="AA44" i="5"/>
  <c r="S44" i="5"/>
  <c r="U44" i="5"/>
  <c r="W44" i="5"/>
  <c r="X44" i="5"/>
  <c r="P44" i="5"/>
  <c r="Q44" i="5"/>
  <c r="R44" i="5"/>
  <c r="R43" i="3"/>
  <c r="G43" i="3"/>
  <c r="F44" i="3"/>
  <c r="S44" i="3" s="1" a="1"/>
  <c r="S44" i="3" s="1"/>
  <c r="AN44" i="1"/>
  <c r="AZ43" i="1"/>
  <c r="AV43" i="1"/>
  <c r="AW43" i="1" s="1"/>
  <c r="AJ42" i="1"/>
  <c r="AK41" i="1"/>
  <c r="AO43" i="1"/>
  <c r="BD44" i="1"/>
  <c r="BE43" i="1"/>
  <c r="X43" i="1"/>
  <c r="Y43" i="1" a="1"/>
  <c r="AB43" i="1" a="1"/>
  <c r="H44" i="3" l="1" a="1"/>
  <c r="H44" i="3" s="1"/>
  <c r="K44" i="3" a="1"/>
  <c r="K44" i="3" s="1"/>
  <c r="Q30" i="7"/>
  <c r="Q32" i="7"/>
  <c r="M27" i="7"/>
  <c r="Q27" i="7" s="1"/>
  <c r="Q29" i="7"/>
  <c r="Q31" i="7"/>
  <c r="Q28" i="7"/>
  <c r="Q30" i="6"/>
  <c r="Q28" i="6"/>
  <c r="M27" i="6"/>
  <c r="Q27" i="6" s="1"/>
  <c r="Q31" i="6"/>
  <c r="Q29" i="6"/>
  <c r="AB43" i="1"/>
  <c r="Y43" i="1"/>
  <c r="L47" i="5"/>
  <c r="H47" i="5"/>
  <c r="V44" i="3"/>
  <c r="L41" i="3"/>
  <c r="N41" i="3" s="1"/>
  <c r="I42" i="3"/>
  <c r="T42" i="3"/>
  <c r="U42" i="3" s="1"/>
  <c r="W42" i="3" s="1"/>
  <c r="V45" i="5" a="1"/>
  <c r="V45" i="5" s="1"/>
  <c r="Z45" i="5"/>
  <c r="AC48" i="5"/>
  <c r="D49" i="5"/>
  <c r="U45" i="5"/>
  <c r="AA45" i="5"/>
  <c r="W45" i="5"/>
  <c r="X45" i="5"/>
  <c r="Y45" i="5"/>
  <c r="P45" i="5"/>
  <c r="Q45" i="5"/>
  <c r="R45" i="5"/>
  <c r="S45" i="5"/>
  <c r="AD46" i="5"/>
  <c r="T46" i="5" s="1"/>
  <c r="O47" i="5"/>
  <c r="I47" i="5"/>
  <c r="J47" i="5"/>
  <c r="K47" i="5"/>
  <c r="F47" i="5"/>
  <c r="M47" i="5"/>
  <c r="E47" i="5"/>
  <c r="G47" i="5"/>
  <c r="R44" i="3"/>
  <c r="G44" i="3"/>
  <c r="BE44" i="1"/>
  <c r="AO44" i="1"/>
  <c r="AJ43" i="1"/>
  <c r="AK43" i="1" s="1"/>
  <c r="AK42" i="1"/>
  <c r="AV44" i="1"/>
  <c r="AZ44" i="1"/>
  <c r="BA43" i="1"/>
  <c r="X44" i="1"/>
  <c r="Y44" i="1" a="1"/>
  <c r="AB44" i="1" a="1"/>
  <c r="Q23" i="6" l="1"/>
  <c r="Q23" i="7"/>
  <c r="AB44" i="1"/>
  <c r="Y44" i="1"/>
  <c r="L48" i="5"/>
  <c r="H48" i="5"/>
  <c r="T43" i="3"/>
  <c r="U43" i="3"/>
  <c r="W43" i="3" s="1"/>
  <c r="L42" i="3"/>
  <c r="I43" i="3"/>
  <c r="J43" i="3" s="1"/>
  <c r="M43" i="3" s="1"/>
  <c r="J42" i="3"/>
  <c r="M42" i="3" s="1"/>
  <c r="V46" i="5" a="1"/>
  <c r="V46" i="5" s="1"/>
  <c r="Z46" i="5"/>
  <c r="O48" i="5"/>
  <c r="AD47" i="5"/>
  <c r="T47" i="5" s="1"/>
  <c r="P46" i="5"/>
  <c r="Q46" i="5"/>
  <c r="U46" i="5"/>
  <c r="Y46" i="5"/>
  <c r="AA46" i="5"/>
  <c r="S46" i="5"/>
  <c r="R46" i="5"/>
  <c r="W46" i="5"/>
  <c r="X46" i="5"/>
  <c r="AC49" i="5"/>
  <c r="D50" i="5"/>
  <c r="E48" i="5"/>
  <c r="F48" i="5"/>
  <c r="J48" i="5"/>
  <c r="K48" i="5"/>
  <c r="G48" i="5"/>
  <c r="I48" i="5"/>
  <c r="M48" i="5"/>
  <c r="BA44" i="1"/>
  <c r="AW44" i="1"/>
  <c r="AJ44" i="1"/>
  <c r="L49" i="5" l="1"/>
  <c r="H49" i="5"/>
  <c r="L43" i="3"/>
  <c r="N43" i="3" s="1"/>
  <c r="I44" i="3"/>
  <c r="L44" i="3" s="1"/>
  <c r="N42" i="3"/>
  <c r="T44" i="3"/>
  <c r="U44" i="3" s="1"/>
  <c r="W44" i="3" s="1"/>
  <c r="D22" i="3" s="1"/>
  <c r="V47" i="5" a="1"/>
  <c r="V47" i="5" s="1"/>
  <c r="Z47" i="5"/>
  <c r="E49" i="5"/>
  <c r="F49" i="5"/>
  <c r="I49" i="5"/>
  <c r="J49" i="5"/>
  <c r="M49" i="5"/>
  <c r="K49" i="5"/>
  <c r="G49" i="5"/>
  <c r="P47" i="5"/>
  <c r="Q47" i="5"/>
  <c r="S47" i="5"/>
  <c r="R47" i="5"/>
  <c r="U47" i="5"/>
  <c r="W47" i="5"/>
  <c r="X47" i="5"/>
  <c r="Y47" i="5"/>
  <c r="AA47" i="5"/>
  <c r="D51" i="5"/>
  <c r="AC50" i="5"/>
  <c r="O49" i="5"/>
  <c r="AD48" i="5"/>
  <c r="T48" i="5" s="1"/>
  <c r="AI91" i="1"/>
  <c r="AJ80" i="1"/>
  <c r="AJ91" i="1"/>
  <c r="AL80" i="1"/>
  <c r="AM80" i="1"/>
  <c r="AK91" i="1"/>
  <c r="AK80" i="1"/>
  <c r="AL91" i="1"/>
  <c r="AI80" i="1"/>
  <c r="AM91" i="1"/>
  <c r="AK44" i="1"/>
  <c r="AH80" i="1" s="1"/>
  <c r="Z5" i="1"/>
  <c r="L50" i="5" l="1"/>
  <c r="H50" i="5"/>
  <c r="J44" i="3"/>
  <c r="M44" i="3" s="1"/>
  <c r="N44" i="3" s="1"/>
  <c r="D21" i="3" s="1"/>
  <c r="V48" i="5" a="1"/>
  <c r="V48" i="5" s="1"/>
  <c r="Z48" i="5"/>
  <c r="Y48" i="5"/>
  <c r="AA48" i="5"/>
  <c r="S48" i="5"/>
  <c r="R48" i="5"/>
  <c r="W48" i="5"/>
  <c r="P48" i="5"/>
  <c r="Q48" i="5"/>
  <c r="U48" i="5"/>
  <c r="X48" i="5"/>
  <c r="O50" i="5"/>
  <c r="AD49" i="5"/>
  <c r="T49" i="5" s="1"/>
  <c r="I50" i="5"/>
  <c r="J50" i="5"/>
  <c r="K50" i="5"/>
  <c r="M50" i="5"/>
  <c r="G50" i="5"/>
  <c r="F50" i="5"/>
  <c r="E50" i="5"/>
  <c r="D52" i="5"/>
  <c r="AC51" i="5"/>
  <c r="AH91" i="1"/>
  <c r="AH69" i="1" s="1"/>
  <c r="AI69" i="1"/>
  <c r="AK69" i="1"/>
  <c r="AM69" i="1"/>
  <c r="AL69" i="1"/>
  <c r="AJ69" i="1"/>
  <c r="AA5" i="1"/>
  <c r="Z6" i="1"/>
  <c r="AA6" i="1" s="1"/>
  <c r="L51" i="5" l="1"/>
  <c r="H51" i="5"/>
  <c r="D23" i="3"/>
  <c r="D20" i="3"/>
  <c r="V49" i="5" a="1"/>
  <c r="V49" i="5" s="1"/>
  <c r="Z49" i="5"/>
  <c r="U49" i="5"/>
  <c r="AA49" i="5"/>
  <c r="Y49" i="5"/>
  <c r="W49" i="5"/>
  <c r="S49" i="5"/>
  <c r="P49" i="5"/>
  <c r="R49" i="5"/>
  <c r="Q49" i="5"/>
  <c r="X49" i="5"/>
  <c r="O51" i="5"/>
  <c r="AD50" i="5"/>
  <c r="T50" i="5" s="1"/>
  <c r="I51" i="5"/>
  <c r="J51" i="5"/>
  <c r="K51" i="5"/>
  <c r="M51" i="5"/>
  <c r="F51" i="5"/>
  <c r="G51" i="5"/>
  <c r="E51" i="5"/>
  <c r="AC52" i="5"/>
  <c r="D53" i="5"/>
  <c r="Z7" i="1"/>
  <c r="L52" i="5" l="1"/>
  <c r="H52" i="5"/>
  <c r="D25" i="3"/>
  <c r="D26" i="3" s="1"/>
  <c r="D24" i="3"/>
  <c r="V50" i="5" a="1"/>
  <c r="V50" i="5" s="1"/>
  <c r="Z50" i="5"/>
  <c r="P50" i="5"/>
  <c r="Q50" i="5"/>
  <c r="U50" i="5"/>
  <c r="W50" i="5"/>
  <c r="X50" i="5"/>
  <c r="R50" i="5"/>
  <c r="S50" i="5"/>
  <c r="Y50" i="5"/>
  <c r="AA50" i="5"/>
  <c r="O52" i="5"/>
  <c r="AD51" i="5"/>
  <c r="T51" i="5" s="1"/>
  <c r="E52" i="5"/>
  <c r="F52" i="5"/>
  <c r="J52" i="5"/>
  <c r="K52" i="5"/>
  <c r="M52" i="5"/>
  <c r="G52" i="5"/>
  <c r="I52" i="5"/>
  <c r="AC53" i="5"/>
  <c r="D54" i="5"/>
  <c r="AA7" i="1"/>
  <c r="Z8" i="1"/>
  <c r="L53" i="5" l="1"/>
  <c r="H53" i="5"/>
  <c r="Z51" i="5"/>
  <c r="V51" i="5" a="1"/>
  <c r="V51" i="5" s="1"/>
  <c r="P51" i="5"/>
  <c r="Q51" i="5"/>
  <c r="X51" i="5"/>
  <c r="S51" i="5"/>
  <c r="R51" i="5"/>
  <c r="Y51" i="5"/>
  <c r="U51" i="5"/>
  <c r="AA51" i="5"/>
  <c r="W51" i="5"/>
  <c r="O53" i="5"/>
  <c r="AD52" i="5"/>
  <c r="T52" i="5" s="1"/>
  <c r="E53" i="5"/>
  <c r="F53" i="5"/>
  <c r="M53" i="5"/>
  <c r="K53" i="5"/>
  <c r="G53" i="5"/>
  <c r="I53" i="5"/>
  <c r="J53" i="5"/>
  <c r="D55" i="5"/>
  <c r="AC55" i="5" s="1"/>
  <c r="AC54" i="5"/>
  <c r="Y75" i="1"/>
  <c r="N14" i="1"/>
  <c r="Y64" i="1"/>
  <c r="AA8" i="1"/>
  <c r="S14" i="1" s="1"/>
  <c r="Z9" i="1"/>
  <c r="L54" i="5" l="1"/>
  <c r="H54" i="5"/>
  <c r="L55" i="5"/>
  <c r="H55" i="5"/>
  <c r="V52" i="5" a="1"/>
  <c r="V52" i="5" s="1"/>
  <c r="Z52" i="5"/>
  <c r="Y52" i="5"/>
  <c r="AA52" i="5"/>
  <c r="W52" i="5"/>
  <c r="P52" i="5"/>
  <c r="S52" i="5"/>
  <c r="Q52" i="5"/>
  <c r="R52" i="5"/>
  <c r="X52" i="5"/>
  <c r="U52" i="5"/>
  <c r="O54" i="5"/>
  <c r="AD53" i="5"/>
  <c r="T53" i="5" s="1"/>
  <c r="M54" i="5"/>
  <c r="E54" i="5"/>
  <c r="F54" i="5"/>
  <c r="G54" i="5"/>
  <c r="I54" i="5"/>
  <c r="J54" i="5"/>
  <c r="K54" i="5"/>
  <c r="I55" i="5"/>
  <c r="J55" i="5"/>
  <c r="K55" i="5"/>
  <c r="F55" i="5"/>
  <c r="E55" i="5"/>
  <c r="G55" i="5"/>
  <c r="M55" i="5"/>
  <c r="AA9" i="1"/>
  <c r="Z10" i="1"/>
  <c r="P14" i="1"/>
  <c r="T14" i="1" s="1"/>
  <c r="O14" i="1"/>
  <c r="Z53" i="5" l="1"/>
  <c r="V53" i="5" a="1"/>
  <c r="V53" i="5" s="1"/>
  <c r="AH6" i="5"/>
  <c r="C16" i="5" s="1"/>
  <c r="AD54" i="5"/>
  <c r="T54" i="5" s="1"/>
  <c r="O55" i="5"/>
  <c r="AD55" i="5" s="1"/>
  <c r="T55" i="5" s="1"/>
  <c r="AH15" i="5"/>
  <c r="AH13" i="5"/>
  <c r="U53" i="5"/>
  <c r="AA53" i="5"/>
  <c r="R53" i="5"/>
  <c r="P53" i="5"/>
  <c r="Q53" i="5"/>
  <c r="S53" i="5"/>
  <c r="W53" i="5"/>
  <c r="X53" i="5"/>
  <c r="Y53" i="5"/>
  <c r="U14" i="1"/>
  <c r="Y53" i="1"/>
  <c r="Q14" i="1"/>
  <c r="AA10" i="1"/>
  <c r="Z11" i="1"/>
  <c r="Z54" i="5" l="1"/>
  <c r="V54" i="5" a="1"/>
  <c r="V54" i="5" s="1"/>
  <c r="V55" i="5" a="1"/>
  <c r="V55" i="5" s="1"/>
  <c r="Z55" i="5"/>
  <c r="AH21" i="5"/>
  <c r="C21" i="5" s="1"/>
  <c r="P55" i="5"/>
  <c r="Q55" i="5"/>
  <c r="S55" i="5"/>
  <c r="W55" i="5"/>
  <c r="X55" i="5"/>
  <c r="U55" i="5"/>
  <c r="Y55" i="5"/>
  <c r="AA55" i="5"/>
  <c r="AH7" i="5" s="1"/>
  <c r="R55" i="5"/>
  <c r="P54" i="5"/>
  <c r="Q54" i="5"/>
  <c r="U54" i="5"/>
  <c r="R54" i="5"/>
  <c r="X54" i="5"/>
  <c r="S54" i="5"/>
  <c r="W54" i="5"/>
  <c r="Y54" i="5"/>
  <c r="AA54" i="5"/>
  <c r="V14" i="1"/>
  <c r="P27" i="1" s="1"/>
  <c r="AH53" i="1"/>
  <c r="K53" i="1" s="1"/>
  <c r="Z12" i="1"/>
  <c r="AA11" i="1"/>
  <c r="AH8" i="5" l="1"/>
  <c r="C17" i="5"/>
  <c r="AH10" i="5"/>
  <c r="AH9" i="5"/>
  <c r="AH14" i="5"/>
  <c r="AH16" i="5"/>
  <c r="Z65" i="1"/>
  <c r="Z76" i="1"/>
  <c r="Z13" i="1"/>
  <c r="AA12" i="1"/>
  <c r="Y76" i="1" s="1"/>
  <c r="N15" i="1"/>
  <c r="C15" i="5" l="1"/>
  <c r="C18" i="5"/>
  <c r="AK6" i="5" s="1"/>
  <c r="AK7" i="5" s="1"/>
  <c r="AH20" i="5"/>
  <c r="AH19" i="5"/>
  <c r="Y65" i="1"/>
  <c r="S15" i="1"/>
  <c r="P15" i="1"/>
  <c r="O15" i="1"/>
  <c r="AA13" i="1"/>
  <c r="Z14" i="1"/>
  <c r="AH22" i="5" l="1"/>
  <c r="C23" i="5" s="1"/>
  <c r="C24" i="5" s="1"/>
  <c r="Y54" i="1"/>
  <c r="Z54" i="1"/>
  <c r="T15" i="1"/>
  <c r="U15" i="1" s="1"/>
  <c r="Q15" i="1"/>
  <c r="AA14" i="1"/>
  <c r="Z15" i="1"/>
  <c r="V15" i="1" l="1"/>
  <c r="P28" i="1" s="1"/>
  <c r="AI54" i="1"/>
  <c r="L54" i="1" s="1"/>
  <c r="AH54" i="1"/>
  <c r="K54" i="1" s="1"/>
  <c r="Z16" i="1"/>
  <c r="AA15" i="1"/>
  <c r="AA66" i="1" l="1"/>
  <c r="Z17" i="1"/>
  <c r="N16" i="1"/>
  <c r="AA77" i="1"/>
  <c r="AA16" i="1"/>
  <c r="Z77" i="1" s="1"/>
  <c r="Y77" i="1" l="1"/>
  <c r="AA17" i="1"/>
  <c r="Z18" i="1"/>
  <c r="Y66" i="1"/>
  <c r="Z66" i="1"/>
  <c r="O16" i="1"/>
  <c r="S16" i="1"/>
  <c r="P16" i="1"/>
  <c r="Z19" i="1" l="1"/>
  <c r="AA19" i="1" s="1"/>
  <c r="AA18" i="1"/>
  <c r="Z55" i="1"/>
  <c r="Y55" i="1"/>
  <c r="AA55" i="1"/>
  <c r="T16" i="1"/>
  <c r="U16" i="1" s="1"/>
  <c r="Q16" i="1"/>
  <c r="V16" i="1" l="1"/>
  <c r="P29" i="1" s="1"/>
  <c r="AI55" i="1"/>
  <c r="L55" i="1" s="1"/>
  <c r="AJ55" i="1"/>
  <c r="M55" i="1" s="1"/>
  <c r="AH55" i="1"/>
  <c r="K55" i="1" s="1"/>
  <c r="Z20" i="1"/>
  <c r="AB67" i="1" s="1"/>
  <c r="AB78" i="1" l="1"/>
  <c r="AA20" i="1"/>
  <c r="Z78" i="1" s="1"/>
  <c r="N17" i="1"/>
  <c r="Z21" i="1"/>
  <c r="Z22" i="1" s="1"/>
  <c r="AA67" i="1" l="1"/>
  <c r="Y78" i="1"/>
  <c r="Z67" i="1"/>
  <c r="O17" i="1"/>
  <c r="Y67" i="1"/>
  <c r="P17" i="1"/>
  <c r="S17" i="1"/>
  <c r="AA21" i="1"/>
  <c r="AA78" i="1"/>
  <c r="AA22" i="1"/>
  <c r="Z23" i="1"/>
  <c r="Z24" i="1" s="1"/>
  <c r="N18" i="1" s="1"/>
  <c r="T17" i="1" l="1"/>
  <c r="U17" i="1" s="1"/>
  <c r="AB56" i="1"/>
  <c r="AA56" i="1"/>
  <c r="Y56" i="1"/>
  <c r="Z56" i="1"/>
  <c r="Q17" i="1"/>
  <c r="AA23" i="1"/>
  <c r="AC68" i="1"/>
  <c r="AC79" i="1"/>
  <c r="Z25" i="1"/>
  <c r="AA24" i="1"/>
  <c r="V17" i="1" l="1"/>
  <c r="P30" i="1" s="1"/>
  <c r="AJ56" i="1"/>
  <c r="M56" i="1" s="1"/>
  <c r="AI56" i="1"/>
  <c r="L56" i="1" s="1"/>
  <c r="AH56" i="1"/>
  <c r="K56" i="1" s="1"/>
  <c r="AK56" i="1"/>
  <c r="N56" i="1" s="1"/>
  <c r="Y79" i="1"/>
  <c r="Z79" i="1"/>
  <c r="AB68" i="1"/>
  <c r="AB79" i="1"/>
  <c r="AA79" i="1"/>
  <c r="Y68" i="1"/>
  <c r="Z68" i="1"/>
  <c r="AA68" i="1"/>
  <c r="S18" i="1"/>
  <c r="O18" i="1"/>
  <c r="P18" i="1"/>
  <c r="Z26" i="1"/>
  <c r="AA25" i="1"/>
  <c r="Y57" i="1" l="1"/>
  <c r="Z57" i="1"/>
  <c r="AA57" i="1"/>
  <c r="AB57" i="1"/>
  <c r="AC57" i="1"/>
  <c r="T18" i="1"/>
  <c r="U18" i="1" s="1"/>
  <c r="AA26" i="1"/>
  <c r="Z27" i="1"/>
  <c r="Q18" i="1"/>
  <c r="V18" i="1" l="1"/>
  <c r="P31" i="1" s="1"/>
  <c r="AL57" i="1"/>
  <c r="O57" i="1" s="1"/>
  <c r="AJ57" i="1"/>
  <c r="M57" i="1" s="1"/>
  <c r="AH57" i="1"/>
  <c r="K57" i="1" s="1"/>
  <c r="AI57" i="1"/>
  <c r="L57" i="1" s="1"/>
  <c r="AK57" i="1"/>
  <c r="N57" i="1" s="1"/>
  <c r="Z28" i="1"/>
  <c r="AA27" i="1"/>
  <c r="Z29" i="1" l="1"/>
  <c r="AA28" i="1"/>
  <c r="Z30" i="1" l="1"/>
  <c r="AA29" i="1"/>
  <c r="Z31" i="1" l="1"/>
  <c r="AA30" i="1"/>
  <c r="Z32" i="1" l="1"/>
  <c r="AA31" i="1"/>
  <c r="Z33" i="1" l="1"/>
  <c r="AA32" i="1"/>
  <c r="Z34" i="1" l="1"/>
  <c r="AA33" i="1"/>
  <c r="Z35" i="1" l="1"/>
  <c r="AA34" i="1"/>
  <c r="Z36" i="1" l="1"/>
  <c r="AA35" i="1"/>
  <c r="Z37" i="1" l="1"/>
  <c r="AA36" i="1"/>
  <c r="Z38" i="1" l="1"/>
  <c r="AA37" i="1"/>
  <c r="Z39" i="1" l="1"/>
  <c r="AA38" i="1"/>
  <c r="Z40" i="1" l="1"/>
  <c r="AA39" i="1"/>
  <c r="Z41" i="1" l="1"/>
  <c r="AA40" i="1"/>
  <c r="Z42" i="1" l="1"/>
  <c r="AA41" i="1"/>
  <c r="Z43" i="1" l="1"/>
  <c r="AA42" i="1"/>
  <c r="AA43" i="1" l="1"/>
  <c r="Z44" i="1"/>
  <c r="AD69" i="1" l="1"/>
  <c r="AD80" i="1"/>
  <c r="N19" i="1"/>
  <c r="AA44" i="1"/>
  <c r="Y80" i="1" s="1"/>
  <c r="AC80" i="1" l="1"/>
  <c r="Z80" i="1"/>
  <c r="AB80" i="1"/>
  <c r="AA80" i="1"/>
  <c r="Y69" i="1"/>
  <c r="Z69" i="1"/>
  <c r="AA69" i="1"/>
  <c r="AB69" i="1"/>
  <c r="AC69" i="1"/>
  <c r="S19" i="1"/>
  <c r="O19" i="1"/>
  <c r="P19" i="1"/>
  <c r="T19" i="1" l="1"/>
  <c r="U19" i="1" s="1"/>
  <c r="AA58" i="1"/>
  <c r="AB58" i="1"/>
  <c r="AC58" i="1"/>
  <c r="AD58" i="1"/>
  <c r="Z58" i="1"/>
  <c r="Y58" i="1"/>
  <c r="Q19" i="1"/>
  <c r="V19" i="1" l="1"/>
  <c r="P32" i="1" s="1"/>
  <c r="AI58" i="1"/>
  <c r="L58" i="1" s="1"/>
  <c r="AL58" i="1"/>
  <c r="O58" i="1" s="1"/>
  <c r="AJ58" i="1"/>
  <c r="M58" i="1" s="1"/>
  <c r="AM58" i="1"/>
  <c r="P58" i="1" s="1"/>
  <c r="AK58" i="1"/>
  <c r="N58" i="1" s="1"/>
  <c r="AH58" i="1"/>
  <c r="K58" i="1" s="1"/>
  <c r="K64" i="1" l="1" a="1"/>
  <c r="K64" i="1" s="1"/>
  <c r="M27" i="1" s="1" a="1"/>
  <c r="Q32" i="1" s="1"/>
  <c r="M27" i="1" l="1"/>
  <c r="Q27" i="1" s="1"/>
  <c r="Q31" i="1"/>
  <c r="Q29" i="1"/>
  <c r="Q28" i="1"/>
  <c r="Q30" i="1"/>
  <c r="Q23" i="1" l="1"/>
  <c r="DH8" i="8" l="1"/>
  <c r="EE8" i="8" s="1"/>
  <c r="DD6" i="8"/>
  <c r="EA6" i="8" s="1"/>
  <c r="FE8" i="8"/>
  <c r="GB8" i="8" s="1"/>
  <c r="DI7" i="8"/>
  <c r="EF7" i="8" s="1"/>
  <c r="DF7" i="8"/>
  <c r="EC7" i="8" s="1"/>
  <c r="DO7" i="8"/>
  <c r="EL7" i="8" s="1"/>
  <c r="FJ6" i="8"/>
  <c r="GG6" i="8" s="1"/>
  <c r="FB8" i="8"/>
  <c r="FY8" i="8" s="1"/>
  <c r="FK8" i="8"/>
  <c r="GH8" i="8" s="1"/>
  <c r="CX7" i="8"/>
  <c r="DU7" i="8" s="1"/>
  <c r="CY8" i="8"/>
  <c r="DV8" i="8" s="1"/>
  <c r="DD9" i="8"/>
  <c r="EA9" i="8" s="1"/>
  <c r="FH5" i="8"/>
  <c r="GE5" i="8" s="1"/>
  <c r="DK7" i="8"/>
  <c r="EH7" i="8" s="1"/>
  <c r="FM8" i="8"/>
  <c r="GJ8" i="8" s="1"/>
  <c r="DJ7" i="8"/>
  <c r="EG7" i="8" s="1"/>
  <c r="EV6" i="8"/>
  <c r="FS6" i="8" s="1"/>
  <c r="FC6" i="8"/>
  <c r="FZ6" i="8" s="1"/>
  <c r="DL5" i="8"/>
  <c r="EI5" i="8" s="1"/>
  <c r="DM5" i="8"/>
  <c r="EJ5" i="8" s="1"/>
  <c r="DD7" i="8"/>
  <c r="EA7" i="8" s="1"/>
  <c r="FB7" i="8"/>
  <c r="FY7" i="8" s="1"/>
  <c r="CX5" i="8"/>
  <c r="DU5" i="8" s="1"/>
  <c r="EU7" i="8"/>
  <c r="FR7" i="8" s="1"/>
  <c r="EV9" i="8"/>
  <c r="FS9" i="8" s="1"/>
  <c r="EX6" i="8"/>
  <c r="FU6" i="8" s="1"/>
  <c r="FO5" i="8"/>
  <c r="GL5" i="8" s="1"/>
  <c r="EW7" i="8"/>
  <c r="FT7" i="8" s="1"/>
  <c r="FJ5" i="8"/>
  <c r="GG5" i="8" s="1"/>
  <c r="FD5" i="8"/>
  <c r="GA5" i="8" s="1"/>
  <c r="FD8" i="8"/>
  <c r="GA8" i="8" s="1"/>
  <c r="FJ9" i="8"/>
  <c r="GG9" i="8" s="1"/>
  <c r="FL11" i="8"/>
  <c r="GI11" i="8" s="1"/>
  <c r="FL12" i="8"/>
  <c r="GI12" i="8" s="1"/>
  <c r="CZ13" i="8"/>
  <c r="DW13" i="8" s="1"/>
  <c r="DF5" i="8"/>
  <c r="EC5" i="8" s="1"/>
  <c r="EU5" i="8"/>
  <c r="FR5" i="8" s="1"/>
  <c r="DE5" i="8"/>
  <c r="EB5" i="8" s="1"/>
  <c r="CU6" i="8"/>
  <c r="DR6" i="8" s="1"/>
  <c r="DO6" i="8"/>
  <c r="EL6" i="8" s="1"/>
  <c r="DB7" i="8"/>
  <c r="DY7" i="8" s="1"/>
  <c r="DB6" i="8"/>
  <c r="DY6" i="8" s="1"/>
  <c r="FG7" i="8"/>
  <c r="GD7" i="8" s="1"/>
  <c r="DD8" i="8"/>
  <c r="EA8" i="8" s="1"/>
  <c r="CW8" i="8"/>
  <c r="DT8" i="8" s="1"/>
  <c r="DA8" i="8"/>
  <c r="DX8" i="8" s="1"/>
  <c r="DJ9" i="8"/>
  <c r="EG9" i="8" s="1"/>
  <c r="DF9" i="8"/>
  <c r="EC9" i="8" s="1"/>
  <c r="DO9" i="8"/>
  <c r="EL9" i="8" s="1"/>
  <c r="EV10" i="8"/>
  <c r="FS10" i="8" s="1"/>
  <c r="DI10" i="8"/>
  <c r="EF10" i="8" s="1"/>
  <c r="FD10" i="8"/>
  <c r="GA10" i="8" s="1"/>
  <c r="FH11" i="8"/>
  <c r="GE11" i="8" s="1"/>
  <c r="DM11" i="8"/>
  <c r="EJ11" i="8" s="1"/>
  <c r="EU11" i="8"/>
  <c r="FR11" i="8" s="1"/>
  <c r="DF12" i="8"/>
  <c r="EC12" i="8" s="1"/>
  <c r="DD12" i="8"/>
  <c r="EA12" i="8" s="1"/>
  <c r="DI12" i="8"/>
  <c r="EF12" i="8" s="1"/>
  <c r="FF12" i="8"/>
  <c r="GC12" i="8" s="1"/>
  <c r="FN13" i="8"/>
  <c r="GK13" i="8" s="1"/>
  <c r="EU13" i="8"/>
  <c r="FR13" i="8" s="1"/>
  <c r="DL13" i="8"/>
  <c r="EI13" i="8" s="1"/>
  <c r="DG14" i="8"/>
  <c r="ED14" i="8" s="1"/>
  <c r="FK14" i="8"/>
  <c r="GH14" i="8" s="1"/>
  <c r="DM14" i="8"/>
  <c r="EJ14" i="8" s="1"/>
  <c r="EX16" i="8"/>
  <c r="FU16" i="8" s="1"/>
  <c r="DK15" i="8"/>
  <c r="EH15" i="8" s="1"/>
  <c r="DM16" i="8"/>
  <c r="EJ16" i="8" s="1"/>
  <c r="DC16" i="8"/>
  <c r="DZ16" i="8" s="1"/>
  <c r="FB17" i="8"/>
  <c r="FY17" i="8" s="1"/>
  <c r="FO17" i="8"/>
  <c r="GL17" i="8" s="1"/>
  <c r="FJ17" i="8"/>
  <c r="GG17" i="8" s="1"/>
  <c r="DA18" i="8"/>
  <c r="DX18" i="8" s="1"/>
  <c r="DN18" i="8"/>
  <c r="EK18" i="8" s="1"/>
  <c r="CZ19" i="8"/>
  <c r="DW19" i="8" s="1"/>
  <c r="EZ19" i="8"/>
  <c r="FW19" i="8" s="1"/>
  <c r="DA20" i="8"/>
  <c r="DX20" i="8" s="1"/>
  <c r="CZ20" i="8"/>
  <c r="DW20" i="8" s="1"/>
  <c r="DE20" i="8"/>
  <c r="EB20" i="8" s="1"/>
  <c r="DG21" i="8"/>
  <c r="ED21" i="8" s="1"/>
  <c r="FK21" i="8"/>
  <c r="GH21" i="8" s="1"/>
  <c r="FN21" i="8"/>
  <c r="GK21" i="8" s="1"/>
  <c r="FF22" i="8"/>
  <c r="GC22" i="8" s="1"/>
  <c r="CU23" i="8"/>
  <c r="DR23" i="8" s="1"/>
  <c r="FF23" i="8"/>
  <c r="GC23" i="8" s="1"/>
  <c r="FO23" i="8"/>
  <c r="GL23" i="8" s="1"/>
  <c r="DM24" i="8"/>
  <c r="EJ24" i="8" s="1"/>
  <c r="DD24" i="8"/>
  <c r="EA24" i="8" s="1"/>
  <c r="DE8" i="8"/>
  <c r="EB8" i="8" s="1"/>
  <c r="DA10" i="8"/>
  <c r="DX10" i="8" s="1"/>
  <c r="EV12" i="8"/>
  <c r="FS12" i="8" s="1"/>
  <c r="DE14" i="8"/>
  <c r="EB14" i="8" s="1"/>
  <c r="FM16" i="8"/>
  <c r="GJ16" i="8" s="1"/>
  <c r="CV5" i="8"/>
  <c r="DS5" i="8" s="1"/>
  <c r="DJ5" i="8"/>
  <c r="EG5" i="8" s="1"/>
  <c r="DD5" i="8"/>
  <c r="EA5" i="8" s="1"/>
  <c r="DG7" i="8"/>
  <c r="ED7" i="8" s="1"/>
  <c r="DN6" i="8"/>
  <c r="EK6" i="8" s="1"/>
  <c r="FM6" i="8"/>
  <c r="GJ6" i="8" s="1"/>
  <c r="CY7" i="8"/>
  <c r="DV7" i="8" s="1"/>
  <c r="FO7" i="8"/>
  <c r="GL7" i="8" s="1"/>
  <c r="EZ8" i="8"/>
  <c r="FW8" i="8" s="1"/>
  <c r="DO8" i="8"/>
  <c r="EL8" i="8" s="1"/>
  <c r="FO8" i="8"/>
  <c r="GL8" i="8" s="1"/>
  <c r="FN9" i="8"/>
  <c r="GK9" i="8" s="1"/>
  <c r="FK9" i="8"/>
  <c r="GH9" i="8" s="1"/>
  <c r="CW10" i="8"/>
  <c r="DT10" i="8" s="1"/>
  <c r="FF10" i="8"/>
  <c r="GC10" i="8" s="1"/>
  <c r="FN10" i="8"/>
  <c r="GK10" i="8" s="1"/>
  <c r="DO11" i="8"/>
  <c r="EL11" i="8" s="1"/>
  <c r="FF11" i="8"/>
  <c r="GC11" i="8" s="1"/>
  <c r="CY12" i="8"/>
  <c r="DV12" i="8" s="1"/>
  <c r="DG12" i="8"/>
  <c r="ED12" i="8" s="1"/>
  <c r="DM13" i="8"/>
  <c r="EJ13" i="8" s="1"/>
  <c r="FL13" i="8"/>
  <c r="GI13" i="8" s="1"/>
  <c r="DI13" i="8"/>
  <c r="EF13" i="8" s="1"/>
  <c r="FL14" i="8"/>
  <c r="GI14" i="8" s="1"/>
  <c r="FB15" i="8"/>
  <c r="FY15" i="8" s="1"/>
  <c r="DA14" i="8"/>
  <c r="DX14" i="8" s="1"/>
  <c r="EZ15" i="8"/>
  <c r="FW15" i="8" s="1"/>
  <c r="DG15" i="8"/>
  <c r="ED15" i="8" s="1"/>
  <c r="DB15" i="8"/>
  <c r="DY15" i="8" s="1"/>
  <c r="EY16" i="8"/>
  <c r="FV16" i="8" s="1"/>
  <c r="FH16" i="8"/>
  <c r="GE16" i="8" s="1"/>
  <c r="DN17" i="8"/>
  <c r="EK17" i="8" s="1"/>
  <c r="CZ17" i="8"/>
  <c r="DW17" i="8" s="1"/>
  <c r="DA17" i="8"/>
  <c r="DX17" i="8" s="1"/>
  <c r="DE17" i="8"/>
  <c r="EB17" i="8" s="1"/>
  <c r="EY18" i="8"/>
  <c r="FV18" i="8" s="1"/>
  <c r="DD18" i="8"/>
  <c r="EA18" i="8" s="1"/>
  <c r="CX18" i="8"/>
  <c r="DU18" i="8" s="1"/>
  <c r="CW19" i="8"/>
  <c r="DT19" i="8" s="1"/>
  <c r="FF19" i="8"/>
  <c r="GC19" i="8" s="1"/>
  <c r="FJ20" i="8"/>
  <c r="GG20" i="8" s="1"/>
  <c r="DB20" i="8"/>
  <c r="DY20" i="8" s="1"/>
  <c r="FA20" i="8"/>
  <c r="FX20" i="8" s="1"/>
  <c r="FB21" i="8"/>
  <c r="FY21" i="8" s="1"/>
  <c r="CZ21" i="8"/>
  <c r="DW21" i="8" s="1"/>
  <c r="FM21" i="8"/>
  <c r="GJ21" i="8" s="1"/>
  <c r="DJ22" i="8"/>
  <c r="EG22" i="8" s="1"/>
  <c r="FL23" i="8"/>
  <c r="GI23" i="8" s="1"/>
  <c r="EX23" i="8"/>
  <c r="FU23" i="8" s="1"/>
  <c r="EW23" i="8"/>
  <c r="FT23" i="8" s="1"/>
  <c r="DK24" i="8"/>
  <c r="EH24" i="8" s="1"/>
  <c r="FN24" i="8"/>
  <c r="GK24" i="8" s="1"/>
  <c r="EX10" i="8"/>
  <c r="FU10" i="8" s="1"/>
  <c r="FO12" i="8"/>
  <c r="GL12" i="8" s="1"/>
  <c r="DI14" i="8"/>
  <c r="EF14" i="8" s="1"/>
  <c r="DH5" i="8"/>
  <c r="EE5" i="8" s="1"/>
  <c r="DA5" i="8"/>
  <c r="DX5" i="8" s="1"/>
  <c r="DK5" i="8"/>
  <c r="EH5" i="8" s="1"/>
  <c r="EZ6" i="8"/>
  <c r="FW6" i="8" s="1"/>
  <c r="CV7" i="8"/>
  <c r="DS7" i="8" s="1"/>
  <c r="DA7" i="8"/>
  <c r="DX7" i="8" s="1"/>
  <c r="CW6" i="8"/>
  <c r="DT6" i="8" s="1"/>
  <c r="EZ7" i="8"/>
  <c r="FW7" i="8" s="1"/>
  <c r="DL8" i="8"/>
  <c r="EI8" i="8" s="1"/>
  <c r="EV8" i="8"/>
  <c r="FS8" i="8" s="1"/>
  <c r="DM8" i="8"/>
  <c r="EJ8" i="8" s="1"/>
  <c r="EY9" i="8"/>
  <c r="FV9" i="8" s="1"/>
  <c r="FO10" i="8"/>
  <c r="GL10" i="8" s="1"/>
  <c r="CX10" i="8"/>
  <c r="DU10" i="8" s="1"/>
  <c r="DC10" i="8"/>
  <c r="DZ10" i="8" s="1"/>
  <c r="FA11" i="8"/>
  <c r="FX11" i="8" s="1"/>
  <c r="FK13" i="8"/>
  <c r="GH13" i="8" s="1"/>
  <c r="FD13" i="8"/>
  <c r="GA13" i="8" s="1"/>
  <c r="EV14" i="8"/>
  <c r="FS14" i="8" s="1"/>
  <c r="DL14" i="8"/>
  <c r="EI14" i="8" s="1"/>
  <c r="CX14" i="8"/>
  <c r="DU14" i="8" s="1"/>
  <c r="FC14" i="8"/>
  <c r="FZ14" i="8" s="1"/>
  <c r="EW16" i="8"/>
  <c r="FT16" i="8" s="1"/>
  <c r="DN15" i="8"/>
  <c r="EK15" i="8" s="1"/>
  <c r="FC16" i="8"/>
  <c r="FZ16" i="8" s="1"/>
  <c r="DL16" i="8"/>
  <c r="EI16" i="8" s="1"/>
  <c r="CY16" i="8"/>
  <c r="DV16" i="8" s="1"/>
  <c r="FI17" i="8"/>
  <c r="GF17" i="8" s="1"/>
  <c r="DM17" i="8"/>
  <c r="EJ17" i="8" s="1"/>
  <c r="FK18" i="8"/>
  <c r="GH18" i="8" s="1"/>
  <c r="EV18" i="8"/>
  <c r="FS18" i="8" s="1"/>
  <c r="DH18" i="8"/>
  <c r="EE18" i="8" s="1"/>
  <c r="FL19" i="8"/>
  <c r="GI19" i="8" s="1"/>
  <c r="FJ19" i="8"/>
  <c r="GG19" i="8" s="1"/>
  <c r="CV19" i="8"/>
  <c r="DS19" i="8" s="1"/>
  <c r="CY20" i="8"/>
  <c r="DV20" i="8" s="1"/>
  <c r="EW20" i="8"/>
  <c r="FT20" i="8" s="1"/>
  <c r="EX20" i="8"/>
  <c r="FU20" i="8" s="1"/>
  <c r="EV21" i="8"/>
  <c r="FS21" i="8" s="1"/>
  <c r="DB22" i="8"/>
  <c r="DY22" i="8" s="1"/>
  <c r="DN22" i="8"/>
  <c r="EK22" i="8" s="1"/>
  <c r="DJ23" i="8"/>
  <c r="EG23" i="8" s="1"/>
  <c r="CW23" i="8"/>
  <c r="DT23" i="8" s="1"/>
  <c r="DI24" i="8"/>
  <c r="EF24" i="8" s="1"/>
  <c r="FK24" i="8"/>
  <c r="GH24" i="8" s="1"/>
  <c r="FF24" i="8"/>
  <c r="GC24" i="8" s="1"/>
  <c r="DA12" i="8"/>
  <c r="DX12" i="8" s="1"/>
  <c r="DC13" i="8"/>
  <c r="DZ13" i="8" s="1"/>
  <c r="FO15" i="8"/>
  <c r="GL15" i="8" s="1"/>
  <c r="DC14" i="8"/>
  <c r="DZ14" i="8" s="1"/>
  <c r="FJ16" i="8"/>
  <c r="GG16" i="8" s="1"/>
  <c r="DH17" i="8"/>
  <c r="EE17" i="8" s="1"/>
  <c r="FO18" i="8"/>
  <c r="GL18" i="8" s="1"/>
  <c r="FI19" i="8"/>
  <c r="GF19" i="8" s="1"/>
  <c r="EV19" i="8"/>
  <c r="FS19" i="8" s="1"/>
  <c r="FO19" i="8"/>
  <c r="GL19" i="8" s="1"/>
  <c r="CW20" i="8"/>
  <c r="DT20" i="8" s="1"/>
  <c r="FN20" i="8"/>
  <c r="GK20" i="8" s="1"/>
  <c r="DM21" i="8"/>
  <c r="EJ21" i="8" s="1"/>
  <c r="FC21" i="8"/>
  <c r="FZ21" i="8" s="1"/>
  <c r="FE21" i="8"/>
  <c r="GB21" i="8" s="1"/>
  <c r="DC22" i="8"/>
  <c r="DZ22" i="8" s="1"/>
  <c r="FH22" i="8"/>
  <c r="GE22" i="8" s="1"/>
  <c r="FK22" i="8"/>
  <c r="GH22" i="8" s="1"/>
  <c r="FI23" i="8"/>
  <c r="GF23" i="8" s="1"/>
  <c r="DI23" i="8"/>
  <c r="EF23" i="8" s="1"/>
  <c r="DO23" i="8"/>
  <c r="EL23" i="8" s="1"/>
  <c r="CY24" i="8"/>
  <c r="DV24" i="8" s="1"/>
  <c r="DN24" i="8"/>
  <c r="EK24" i="8" s="1"/>
  <c r="CX9" i="8"/>
  <c r="DU9" i="8" s="1"/>
  <c r="DL12" i="8"/>
  <c r="EI12" i="8" s="1"/>
  <c r="DN5" i="8"/>
  <c r="EK5" i="8" s="1"/>
  <c r="EV5" i="8"/>
  <c r="FS5" i="8" s="1"/>
  <c r="EY5" i="8"/>
  <c r="FV5" i="8" s="1"/>
  <c r="FI6" i="8"/>
  <c r="GF6" i="8" s="1"/>
  <c r="FG6" i="8"/>
  <c r="GD6" i="8" s="1"/>
  <c r="CX6" i="8"/>
  <c r="DU6" i="8" s="1"/>
  <c r="EW6" i="8"/>
  <c r="FT6" i="8" s="1"/>
  <c r="FD7" i="8"/>
  <c r="GA7" i="8" s="1"/>
  <c r="FC8" i="8"/>
  <c r="FZ8" i="8" s="1"/>
  <c r="FC9" i="8"/>
  <c r="FZ9" i="8" s="1"/>
  <c r="FH8" i="8"/>
  <c r="GE8" i="8" s="1"/>
  <c r="DB9" i="8"/>
  <c r="DY9" i="8" s="1"/>
  <c r="FA9" i="8"/>
  <c r="FX9" i="8" s="1"/>
  <c r="EX9" i="8"/>
  <c r="FU9" i="8" s="1"/>
  <c r="CU9" i="8"/>
  <c r="DR9" i="8" s="1"/>
  <c r="FC10" i="8"/>
  <c r="FZ10" i="8" s="1"/>
  <c r="CZ10" i="8"/>
  <c r="DW10" i="8" s="1"/>
  <c r="DI11" i="8"/>
  <c r="EF11" i="8" s="1"/>
  <c r="DC11" i="8"/>
  <c r="DZ11" i="8" s="1"/>
  <c r="FM11" i="8"/>
  <c r="GJ11" i="8" s="1"/>
  <c r="FA12" i="8"/>
  <c r="FX12" i="8" s="1"/>
  <c r="DG13" i="8"/>
  <c r="ED13" i="8" s="1"/>
  <c r="FI13" i="8"/>
  <c r="GF13" i="8" s="1"/>
  <c r="FA13" i="8"/>
  <c r="FX13" i="8" s="1"/>
  <c r="DO13" i="8"/>
  <c r="EL13" i="8" s="1"/>
  <c r="CW13" i="8"/>
  <c r="DT13" i="8" s="1"/>
  <c r="DK14" i="8"/>
  <c r="EH14" i="8" s="1"/>
  <c r="FA15" i="8"/>
  <c r="FX15" i="8" s="1"/>
  <c r="FM14" i="8"/>
  <c r="GJ14" i="8" s="1"/>
  <c r="EY15" i="8"/>
  <c r="FV15" i="8" s="1"/>
  <c r="DC15" i="8"/>
  <c r="DZ15" i="8" s="1"/>
  <c r="DJ15" i="8"/>
  <c r="EG15" i="8" s="1"/>
  <c r="DK16" i="8"/>
  <c r="EH16" i="8" s="1"/>
  <c r="CX16" i="8"/>
  <c r="DU16" i="8" s="1"/>
  <c r="EW17" i="8"/>
  <c r="FT17" i="8" s="1"/>
  <c r="EX17" i="8"/>
  <c r="FU17" i="8" s="1"/>
  <c r="DL17" i="8"/>
  <c r="EI17" i="8" s="1"/>
  <c r="DI18" i="8"/>
  <c r="EF18" i="8" s="1"/>
  <c r="FF18" i="8"/>
  <c r="GC18" i="8" s="1"/>
  <c r="DJ18" i="8"/>
  <c r="EG18" i="8" s="1"/>
  <c r="DF19" i="8"/>
  <c r="EC19" i="8" s="1"/>
  <c r="DB19" i="8"/>
  <c r="DY19" i="8" s="1"/>
  <c r="CU19" i="8"/>
  <c r="DR19" i="8" s="1"/>
  <c r="FC20" i="8"/>
  <c r="FZ20" i="8" s="1"/>
  <c r="DI20" i="8"/>
  <c r="EF20" i="8" s="1"/>
  <c r="DA21" i="8"/>
  <c r="DX21" i="8" s="1"/>
  <c r="FA21" i="8"/>
  <c r="FX21" i="8" s="1"/>
  <c r="DE21" i="8"/>
  <c r="EB21" i="8" s="1"/>
  <c r="DM22" i="8"/>
  <c r="EJ22" i="8" s="1"/>
  <c r="DA22" i="8"/>
  <c r="DX22" i="8" s="1"/>
  <c r="FO22" i="8"/>
  <c r="GL22" i="8" s="1"/>
  <c r="CY23" i="8"/>
  <c r="DV23" i="8" s="1"/>
  <c r="DC23" i="8"/>
  <c r="DZ23" i="8" s="1"/>
  <c r="FB23" i="8"/>
  <c r="FY23" i="8" s="1"/>
  <c r="FK23" i="8"/>
  <c r="GH23" i="8" s="1"/>
  <c r="EW24" i="8"/>
  <c r="FT24" i="8" s="1"/>
  <c r="DH24" i="8"/>
  <c r="EE24" i="8" s="1"/>
  <c r="CX24" i="8"/>
  <c r="DU24" i="8" s="1"/>
  <c r="CV11" i="8"/>
  <c r="DS11" i="8" s="1"/>
  <c r="FE17" i="8"/>
  <c r="GB17" i="8" s="1"/>
  <c r="DO5" i="8"/>
  <c r="EL5" i="8" s="1"/>
  <c r="FG5" i="8"/>
  <c r="GD5" i="8" s="1"/>
  <c r="CU5" i="8"/>
  <c r="DR5" i="8" s="1"/>
  <c r="DA6" i="8"/>
  <c r="DX6" i="8" s="1"/>
  <c r="FE6" i="8"/>
  <c r="GB6" i="8" s="1"/>
  <c r="DK6" i="8"/>
  <c r="EH6" i="8" s="1"/>
  <c r="CV6" i="8"/>
  <c r="DS6" i="8" s="1"/>
  <c r="FC7" i="8"/>
  <c r="FZ7" i="8" s="1"/>
  <c r="CX8" i="8"/>
  <c r="DU8" i="8" s="1"/>
  <c r="DI8" i="8"/>
  <c r="EF8" i="8" s="1"/>
  <c r="FJ8" i="8"/>
  <c r="GG8" i="8" s="1"/>
  <c r="CY9" i="8"/>
  <c r="DV9" i="8" s="1"/>
  <c r="DA9" i="8"/>
  <c r="DX9" i="8" s="1"/>
  <c r="FJ10" i="8"/>
  <c r="GG10" i="8" s="1"/>
  <c r="EZ10" i="8"/>
  <c r="FW10" i="8" s="1"/>
  <c r="DK11" i="8"/>
  <c r="EH11" i="8" s="1"/>
  <c r="EW11" i="8"/>
  <c r="FT11" i="8" s="1"/>
  <c r="EX11" i="8"/>
  <c r="FU11" i="8" s="1"/>
  <c r="EW12" i="8"/>
  <c r="FT12" i="8" s="1"/>
  <c r="EY12" i="8"/>
  <c r="FV12" i="8" s="1"/>
  <c r="FI12" i="8"/>
  <c r="GF12" i="8" s="1"/>
  <c r="DE13" i="8"/>
  <c r="EB13" i="8" s="1"/>
  <c r="CV13" i="8"/>
  <c r="DS13" i="8" s="1"/>
  <c r="FJ14" i="8"/>
  <c r="GG14" i="8" s="1"/>
  <c r="CW14" i="8"/>
  <c r="DT14" i="8" s="1"/>
  <c r="EU15" i="8"/>
  <c r="FR15" i="8" s="1"/>
  <c r="FM15" i="8"/>
  <c r="GJ15" i="8" s="1"/>
  <c r="DA15" i="8"/>
  <c r="DX15" i="8" s="1"/>
  <c r="CU15" i="8"/>
  <c r="DR15" i="8" s="1"/>
  <c r="DA16" i="8"/>
  <c r="DX16" i="8" s="1"/>
  <c r="DJ16" i="8"/>
  <c r="EG16" i="8" s="1"/>
  <c r="CV17" i="8"/>
  <c r="DS17" i="8" s="1"/>
  <c r="DJ17" i="8"/>
  <c r="EG17" i="8" s="1"/>
  <c r="FN17" i="8"/>
  <c r="GK17" i="8" s="1"/>
  <c r="FD18" i="8"/>
  <c r="GA18" i="8" s="1"/>
  <c r="CU18" i="8"/>
  <c r="DR18" i="8" s="1"/>
  <c r="EU18" i="8"/>
  <c r="FR18" i="8" s="1"/>
  <c r="CY19" i="8"/>
  <c r="DV19" i="8" s="1"/>
  <c r="FG19" i="8"/>
  <c r="GD19" i="8" s="1"/>
  <c r="FK20" i="8"/>
  <c r="GH20" i="8" s="1"/>
  <c r="DK20" i="8"/>
  <c r="EH20" i="8" s="1"/>
  <c r="DD20" i="8"/>
  <c r="EA20" i="8" s="1"/>
  <c r="DI21" i="8"/>
  <c r="EF21" i="8" s="1"/>
  <c r="FG21" i="8"/>
  <c r="GD21" i="8" s="1"/>
  <c r="CV21" i="8"/>
  <c r="DS21" i="8" s="1"/>
  <c r="FJ22" i="8"/>
  <c r="GG22" i="8" s="1"/>
  <c r="FC22" i="8"/>
  <c r="FZ22" i="8" s="1"/>
  <c r="DL22" i="8"/>
  <c r="EI22" i="8" s="1"/>
  <c r="CZ23" i="8"/>
  <c r="DW23" i="8" s="1"/>
  <c r="FG23" i="8"/>
  <c r="GD23" i="8" s="1"/>
  <c r="FN23" i="8"/>
  <c r="GK23" i="8" s="1"/>
  <c r="EU24" i="8"/>
  <c r="FR24" i="8" s="1"/>
  <c r="EV24" i="8"/>
  <c r="FS24" i="8" s="1"/>
  <c r="FB24" i="8"/>
  <c r="FY24" i="8" s="1"/>
  <c r="CV8" i="8"/>
  <c r="DS8" i="8" s="1"/>
  <c r="EV11" i="8"/>
  <c r="FS11" i="8" s="1"/>
  <c r="CY13" i="8"/>
  <c r="DV13" i="8" s="1"/>
  <c r="EX15" i="8"/>
  <c r="FU15" i="8" s="1"/>
  <c r="FF5" i="8"/>
  <c r="GC5" i="8" s="1"/>
  <c r="EX5" i="8"/>
  <c r="FU5" i="8" s="1"/>
  <c r="FC5" i="8"/>
  <c r="FZ5" i="8" s="1"/>
  <c r="DE6" i="8"/>
  <c r="EB6" i="8" s="1"/>
  <c r="CY6" i="8"/>
  <c r="DV6" i="8" s="1"/>
  <c r="DM7" i="8"/>
  <c r="EJ7" i="8" s="1"/>
  <c r="CZ7" i="8"/>
  <c r="DW7" i="8" s="1"/>
  <c r="FM7" i="8"/>
  <c r="GJ7" i="8" s="1"/>
  <c r="DJ8" i="8"/>
  <c r="EG8" i="8" s="1"/>
  <c r="CU8" i="8"/>
  <c r="DR8" i="8" s="1"/>
  <c r="FL9" i="8"/>
  <c r="GI9" i="8" s="1"/>
  <c r="FE9" i="8"/>
  <c r="GB9" i="8" s="1"/>
  <c r="FO9" i="8"/>
  <c r="GL9" i="8" s="1"/>
  <c r="FB10" i="8"/>
  <c r="FY10" i="8" s="1"/>
  <c r="DL10" i="8"/>
  <c r="EI10" i="8" s="1"/>
  <c r="DF11" i="8"/>
  <c r="EC11" i="8" s="1"/>
  <c r="CW11" i="8"/>
  <c r="DT11" i="8" s="1"/>
  <c r="CV12" i="8"/>
  <c r="DS12" i="8" s="1"/>
  <c r="DE12" i="8"/>
  <c r="EB12" i="8" s="1"/>
  <c r="FH12" i="8"/>
  <c r="GE12" i="8" s="1"/>
  <c r="FH13" i="8"/>
  <c r="GE13" i="8" s="1"/>
  <c r="EW13" i="8"/>
  <c r="FT13" i="8" s="1"/>
  <c r="EY13" i="8"/>
  <c r="FV13" i="8" s="1"/>
  <c r="FG14" i="8"/>
  <c r="GD14" i="8" s="1"/>
  <c r="DN14" i="8"/>
  <c r="EK14" i="8" s="1"/>
  <c r="CZ14" i="8"/>
  <c r="DW14" i="8" s="1"/>
  <c r="FD14" i="8"/>
  <c r="GA14" i="8" s="1"/>
  <c r="CY15" i="8"/>
  <c r="DV15" i="8" s="1"/>
  <c r="FG16" i="8"/>
  <c r="GD16" i="8" s="1"/>
  <c r="CV15" i="8"/>
  <c r="DS15" i="8" s="1"/>
  <c r="DG16" i="8"/>
  <c r="ED16" i="8" s="1"/>
  <c r="CZ16" i="8"/>
  <c r="DW16" i="8" s="1"/>
  <c r="DC18" i="8"/>
  <c r="DZ18" i="8" s="1"/>
  <c r="EW18" i="8"/>
  <c r="FT18" i="8" s="1"/>
  <c r="DB18" i="8"/>
  <c r="DY18" i="8" s="1"/>
  <c r="FD19" i="8"/>
  <c r="GA19" i="8" s="1"/>
  <c r="EY19" i="8"/>
  <c r="FV19" i="8" s="1"/>
  <c r="FH19" i="8"/>
  <c r="GE19" i="8" s="1"/>
  <c r="CU20" i="8"/>
  <c r="DR20" i="8" s="1"/>
  <c r="EU20" i="8"/>
  <c r="FR20" i="8" s="1"/>
  <c r="EY20" i="8"/>
  <c r="FV20" i="8" s="1"/>
  <c r="FD21" i="8"/>
  <c r="GA21" i="8" s="1"/>
  <c r="DK21" i="8"/>
  <c r="EH21" i="8" s="1"/>
  <c r="EV22" i="8"/>
  <c r="FS22" i="8" s="1"/>
  <c r="FB22" i="8"/>
  <c r="FY22" i="8" s="1"/>
  <c r="CY22" i="8"/>
  <c r="DV22" i="8" s="1"/>
  <c r="EU23" i="8"/>
  <c r="FR23" i="8" s="1"/>
  <c r="DJ24" i="8"/>
  <c r="EG24" i="8" s="1"/>
  <c r="EW8" i="8"/>
  <c r="FT8" i="8" s="1"/>
  <c r="DE10" i="8"/>
  <c r="EB10" i="8" s="1"/>
  <c r="CZ11" i="8"/>
  <c r="DW11" i="8" s="1"/>
  <c r="CY14" i="8"/>
  <c r="DV14" i="8" s="1"/>
  <c r="DO16" i="8"/>
  <c r="EL16" i="8" s="1"/>
  <c r="FA5" i="8"/>
  <c r="FX5" i="8" s="1"/>
  <c r="CZ5" i="8"/>
  <c r="DW5" i="8" s="1"/>
  <c r="FN5" i="8"/>
  <c r="GK5" i="8" s="1"/>
  <c r="CU7" i="8"/>
  <c r="DR7" i="8" s="1"/>
  <c r="DL7" i="8"/>
  <c r="EI7" i="8" s="1"/>
  <c r="DM6" i="8"/>
  <c r="EJ6" i="8" s="1"/>
  <c r="FE7" i="8"/>
  <c r="GB7" i="8" s="1"/>
  <c r="FN7" i="8"/>
  <c r="GK7" i="8" s="1"/>
  <c r="EU8" i="8"/>
  <c r="FR8" i="8" s="1"/>
  <c r="EY8" i="8"/>
  <c r="FV8" i="8" s="1"/>
  <c r="DG8" i="8"/>
  <c r="ED8" i="8" s="1"/>
  <c r="DL9" i="8"/>
  <c r="EI9" i="8" s="1"/>
  <c r="DN9" i="8"/>
  <c r="EK9" i="8" s="1"/>
  <c r="DM9" i="8"/>
  <c r="EJ9" i="8" s="1"/>
  <c r="DD10" i="8"/>
  <c r="EA10" i="8" s="1"/>
  <c r="DN10" i="8"/>
  <c r="EK10" i="8" s="1"/>
  <c r="FD11" i="8"/>
  <c r="GA11" i="8" s="1"/>
  <c r="FB11" i="8"/>
  <c r="FY11" i="8" s="1"/>
  <c r="FB12" i="8"/>
  <c r="FY12" i="8" s="1"/>
  <c r="FN12" i="8"/>
  <c r="GK12" i="8" s="1"/>
  <c r="DO12" i="8"/>
  <c r="EL12" i="8" s="1"/>
  <c r="FJ13" i="8"/>
  <c r="GG13" i="8" s="1"/>
  <c r="EZ13" i="8"/>
  <c r="FW13" i="8" s="1"/>
  <c r="EW14" i="8"/>
  <c r="FT14" i="8" s="1"/>
  <c r="FF15" i="8"/>
  <c r="GC15" i="8" s="1"/>
  <c r="DJ14" i="8"/>
  <c r="EG14" i="8" s="1"/>
  <c r="FK15" i="8"/>
  <c r="GH15" i="8" s="1"/>
  <c r="DD14" i="8"/>
  <c r="EA14" i="8" s="1"/>
  <c r="DL15" i="8"/>
  <c r="EI15" i="8" s="1"/>
  <c r="FD16" i="8"/>
  <c r="GA16" i="8" s="1"/>
  <c r="EV16" i="8"/>
  <c r="FS16" i="8" s="1"/>
  <c r="DF16" i="8"/>
  <c r="EC16" i="8" s="1"/>
  <c r="CY17" i="8"/>
  <c r="DV17" i="8" s="1"/>
  <c r="EU17" i="8"/>
  <c r="FR17" i="8" s="1"/>
  <c r="FL18" i="8"/>
  <c r="GI18" i="8" s="1"/>
  <c r="EX18" i="8"/>
  <c r="FU18" i="8" s="1"/>
  <c r="EZ18" i="8"/>
  <c r="FW18" i="8" s="1"/>
  <c r="FM19" i="8"/>
  <c r="GJ19" i="8" s="1"/>
  <c r="EW19" i="8"/>
  <c r="FT19" i="8" s="1"/>
  <c r="DO19" i="8"/>
  <c r="EL19" i="8" s="1"/>
  <c r="DF20" i="8"/>
  <c r="EC20" i="8" s="1"/>
  <c r="DL20" i="8"/>
  <c r="EI20" i="8" s="1"/>
  <c r="DO21" i="8"/>
  <c r="EL21" i="8" s="1"/>
  <c r="EU21" i="8"/>
  <c r="FR21" i="8" s="1"/>
  <c r="DI22" i="8"/>
  <c r="EF22" i="8" s="1"/>
  <c r="DK22" i="8"/>
  <c r="EH22" i="8" s="1"/>
  <c r="EU22" i="8"/>
  <c r="FR22" i="8" s="1"/>
  <c r="DK23" i="8"/>
  <c r="EH23" i="8" s="1"/>
  <c r="FD23" i="8"/>
  <c r="GA23" i="8" s="1"/>
  <c r="DB24" i="8"/>
  <c r="DY24" i="8" s="1"/>
  <c r="FA24" i="8"/>
  <c r="FX24" i="8" s="1"/>
  <c r="FC24" i="8"/>
  <c r="FZ24" i="8" s="1"/>
  <c r="CW9" i="8"/>
  <c r="DT9" i="8" s="1"/>
  <c r="DJ13" i="8"/>
  <c r="EG13" i="8" s="1"/>
  <c r="DG5" i="8"/>
  <c r="ED5" i="8" s="1"/>
  <c r="FL5" i="8"/>
  <c r="GI5" i="8" s="1"/>
  <c r="DG6" i="8"/>
  <c r="ED6" i="8" s="1"/>
  <c r="DH7" i="8"/>
  <c r="EE7" i="8" s="1"/>
  <c r="DN7" i="8"/>
  <c r="EK7" i="8" s="1"/>
  <c r="DC7" i="8"/>
  <c r="DZ7" i="8" s="1"/>
  <c r="FL7" i="8"/>
  <c r="GI7" i="8" s="1"/>
  <c r="FJ7" i="8"/>
  <c r="GG7" i="8" s="1"/>
  <c r="FH9" i="8"/>
  <c r="GE9" i="8" s="1"/>
  <c r="FL8" i="8"/>
  <c r="GI8" i="8" s="1"/>
  <c r="FF9" i="8"/>
  <c r="GC9" i="8" s="1"/>
  <c r="CZ9" i="8"/>
  <c r="DW9" i="8" s="1"/>
  <c r="DC9" i="8"/>
  <c r="DZ9" i="8" s="1"/>
  <c r="EU10" i="8"/>
  <c r="FR10" i="8" s="1"/>
  <c r="EY10" i="8"/>
  <c r="FV10" i="8" s="1"/>
  <c r="FN11" i="8"/>
  <c r="GK11" i="8" s="1"/>
  <c r="FI11" i="8"/>
  <c r="GF11" i="8" s="1"/>
  <c r="DH12" i="8"/>
  <c r="EE12" i="8" s="1"/>
  <c r="EX12" i="8"/>
  <c r="FU12" i="8" s="1"/>
  <c r="FK12" i="8"/>
  <c r="GH12" i="8" s="1"/>
  <c r="DA13" i="8"/>
  <c r="DX13" i="8" s="1"/>
  <c r="DD13" i="8"/>
  <c r="EA13" i="8" s="1"/>
  <c r="FC13" i="8"/>
  <c r="FZ13" i="8" s="1"/>
  <c r="DH14" i="8"/>
  <c r="EE14" i="8" s="1"/>
  <c r="EY14" i="8"/>
  <c r="FV14" i="8" s="1"/>
  <c r="FH15" i="8"/>
  <c r="GE15" i="8" s="1"/>
  <c r="EV15" i="8"/>
  <c r="FS15" i="8" s="1"/>
  <c r="CW15" i="8"/>
  <c r="DT15" i="8" s="1"/>
  <c r="EZ16" i="8"/>
  <c r="FW16" i="8" s="1"/>
  <c r="FN16" i="8"/>
  <c r="GK16" i="8" s="1"/>
  <c r="CU16" i="8"/>
  <c r="DR16" i="8" s="1"/>
  <c r="EY17" i="8"/>
  <c r="FV17" i="8" s="1"/>
  <c r="DO17" i="8"/>
  <c r="EL17" i="8" s="1"/>
  <c r="EZ17" i="8"/>
  <c r="FW17" i="8" s="1"/>
  <c r="CZ18" i="8"/>
  <c r="DW18" i="8" s="1"/>
  <c r="FK19" i="8"/>
  <c r="GH19" i="8" s="1"/>
  <c r="DG19" i="8"/>
  <c r="ED19" i="8" s="1"/>
  <c r="DE19" i="8"/>
  <c r="EB19" i="8" s="1"/>
  <c r="EV20" i="8"/>
  <c r="FS20" i="8" s="1"/>
  <c r="DC20" i="8"/>
  <c r="DZ20" i="8" s="1"/>
  <c r="DN21" i="8"/>
  <c r="EK21" i="8" s="1"/>
  <c r="FL21" i="8"/>
  <c r="GI21" i="8" s="1"/>
  <c r="EX22" i="8"/>
  <c r="FU22" i="8" s="1"/>
  <c r="CZ22" i="8"/>
  <c r="DW22" i="8" s="1"/>
  <c r="EW22" i="8"/>
  <c r="FT22" i="8" s="1"/>
  <c r="DD23" i="8"/>
  <c r="EA23" i="8" s="1"/>
  <c r="DN23" i="8"/>
  <c r="EK23" i="8" s="1"/>
  <c r="FM23" i="8"/>
  <c r="GJ23" i="8" s="1"/>
  <c r="FJ23" i="8"/>
  <c r="GG23" i="8" s="1"/>
  <c r="DA24" i="8"/>
  <c r="DX24" i="8" s="1"/>
  <c r="DE24" i="8"/>
  <c r="EB24" i="8" s="1"/>
  <c r="FH24" i="8"/>
  <c r="GE24" i="8" s="1"/>
  <c r="FI10" i="8"/>
  <c r="GF10" i="8" s="1"/>
  <c r="DH13" i="8"/>
  <c r="EE13" i="8" s="1"/>
  <c r="FK5" i="8"/>
  <c r="GH5" i="8" s="1"/>
  <c r="FI5" i="8"/>
  <c r="GF5" i="8" s="1"/>
  <c r="DC6" i="8"/>
  <c r="DZ6" i="8" s="1"/>
  <c r="FA6" i="8"/>
  <c r="FX6" i="8" s="1"/>
  <c r="FD6" i="8"/>
  <c r="GA6" i="8" s="1"/>
  <c r="FN6" i="8"/>
  <c r="GK6" i="8" s="1"/>
  <c r="FA7" i="8"/>
  <c r="FX7" i="8" s="1"/>
  <c r="FH7" i="8"/>
  <c r="GE7" i="8" s="1"/>
  <c r="FM9" i="8"/>
  <c r="GJ9" i="8" s="1"/>
  <c r="FN8" i="8"/>
  <c r="GK8" i="8" s="1"/>
  <c r="FD9" i="8"/>
  <c r="GA9" i="8" s="1"/>
  <c r="DG9" i="8"/>
  <c r="ED9" i="8" s="1"/>
  <c r="CV9" i="8"/>
  <c r="DS9" i="8" s="1"/>
  <c r="DM10" i="8"/>
  <c r="EJ10" i="8" s="1"/>
  <c r="FE10" i="8"/>
  <c r="GB10" i="8" s="1"/>
  <c r="DA11" i="8"/>
  <c r="DX11" i="8" s="1"/>
  <c r="DE11" i="8"/>
  <c r="EB11" i="8" s="1"/>
  <c r="DL11" i="8"/>
  <c r="EI11" i="8" s="1"/>
  <c r="CY11" i="8"/>
  <c r="DV11" i="8" s="1"/>
  <c r="FJ12" i="8"/>
  <c r="GG12" i="8" s="1"/>
  <c r="DN12" i="8"/>
  <c r="EK12" i="8" s="1"/>
  <c r="DM12" i="8"/>
  <c r="EJ12" i="8" s="1"/>
  <c r="FB13" i="8"/>
  <c r="FY13" i="8" s="1"/>
  <c r="FF13" i="8"/>
  <c r="GC13" i="8" s="1"/>
  <c r="DF13" i="8"/>
  <c r="EC13" i="8" s="1"/>
  <c r="FO14" i="8"/>
  <c r="GL14" i="8" s="1"/>
  <c r="FB14" i="8"/>
  <c r="FY14" i="8" s="1"/>
  <c r="CU14" i="8"/>
  <c r="DR14" i="8" s="1"/>
  <c r="FO16" i="8"/>
  <c r="GL16" i="8" s="1"/>
  <c r="FG15" i="8"/>
  <c r="GD15" i="8" s="1"/>
  <c r="DD15" i="8"/>
  <c r="EA15" i="8" s="1"/>
  <c r="DF15" i="8"/>
  <c r="EC15" i="8" s="1"/>
  <c r="CW16" i="8"/>
  <c r="DT16" i="8" s="1"/>
  <c r="CX17" i="8"/>
  <c r="DU17" i="8" s="1"/>
  <c r="DD17" i="8"/>
  <c r="EA17" i="8" s="1"/>
  <c r="DK17" i="8"/>
  <c r="EH17" i="8" s="1"/>
  <c r="FC17" i="8"/>
  <c r="FZ17" i="8" s="1"/>
  <c r="CW18" i="8"/>
  <c r="DT18" i="8" s="1"/>
  <c r="FE18" i="8"/>
  <c r="GB18" i="8" s="1"/>
  <c r="DI19" i="8"/>
  <c r="EF19" i="8" s="1"/>
  <c r="FN19" i="8"/>
  <c r="GK19" i="8" s="1"/>
  <c r="FG20" i="8"/>
  <c r="GD20" i="8" s="1"/>
  <c r="FH20" i="8"/>
  <c r="GE20" i="8" s="1"/>
  <c r="DH20" i="8"/>
  <c r="EE20" i="8" s="1"/>
  <c r="CX21" i="8"/>
  <c r="DU21" i="8" s="1"/>
  <c r="FJ21" i="8"/>
  <c r="GG21" i="8" s="1"/>
  <c r="EW21" i="8"/>
  <c r="FT21" i="8" s="1"/>
  <c r="CW22" i="8"/>
  <c r="DT22" i="8" s="1"/>
  <c r="DF22" i="8"/>
  <c r="EC22" i="8" s="1"/>
  <c r="FA22" i="8"/>
  <c r="FX22" i="8" s="1"/>
  <c r="CV22" i="8"/>
  <c r="DS22" i="8" s="1"/>
  <c r="FA23" i="8"/>
  <c r="FX23" i="8" s="1"/>
  <c r="EV23" i="8"/>
  <c r="FS23" i="8" s="1"/>
  <c r="FE23" i="8"/>
  <c r="GB23" i="8" s="1"/>
  <c r="CV23" i="8"/>
  <c r="DS23" i="8" s="1"/>
  <c r="EZ24" i="8"/>
  <c r="FW24" i="8" s="1"/>
  <c r="FG24" i="8"/>
  <c r="GD24" i="8" s="1"/>
  <c r="FJ24" i="8"/>
  <c r="GG24" i="8" s="1"/>
  <c r="DO24" i="8"/>
  <c r="EL24" i="8" s="1"/>
  <c r="FG9" i="8"/>
  <c r="GD9" i="8" s="1"/>
  <c r="DJ12" i="8"/>
  <c r="EG12" i="8" s="1"/>
  <c r="FA17" i="8"/>
  <c r="FX17" i="8" s="1"/>
  <c r="FB5" i="8"/>
  <c r="FY5" i="8" s="1"/>
  <c r="EW5" i="8"/>
  <c r="FT5" i="8" s="1"/>
  <c r="DE7" i="8"/>
  <c r="EB7" i="8" s="1"/>
  <c r="CZ6" i="8"/>
  <c r="DW6" i="8" s="1"/>
  <c r="FF6" i="8"/>
  <c r="GC6" i="8" s="1"/>
  <c r="FO6" i="8"/>
  <c r="GL6" i="8" s="1"/>
  <c r="EV7" i="8"/>
  <c r="FS7" i="8" s="1"/>
  <c r="EX7" i="8"/>
  <c r="FU7" i="8" s="1"/>
  <c r="DK8" i="8"/>
  <c r="EH8" i="8" s="1"/>
  <c r="FG8" i="8"/>
  <c r="GD8" i="8" s="1"/>
  <c r="DK9" i="8"/>
  <c r="EH9" i="8" s="1"/>
  <c r="FI9" i="8"/>
  <c r="GF9" i="8" s="1"/>
  <c r="FK10" i="8"/>
  <c r="GH10" i="8" s="1"/>
  <c r="DF10" i="8"/>
  <c r="EC10" i="8" s="1"/>
  <c r="DO10" i="8"/>
  <c r="EL10" i="8" s="1"/>
  <c r="FE11" i="8"/>
  <c r="GB11" i="8" s="1"/>
  <c r="FJ11" i="8"/>
  <c r="GG11" i="8" s="1"/>
  <c r="FG12" i="8"/>
  <c r="GD12" i="8" s="1"/>
  <c r="DK12" i="8"/>
  <c r="EH12" i="8" s="1"/>
  <c r="FE12" i="8"/>
  <c r="GB12" i="8" s="1"/>
  <c r="FG13" i="8"/>
  <c r="GD13" i="8" s="1"/>
  <c r="FH14" i="8"/>
  <c r="GE14" i="8" s="1"/>
  <c r="DB13" i="8"/>
  <c r="DY13" i="8" s="1"/>
  <c r="DF14" i="8"/>
  <c r="EC14" i="8" s="1"/>
  <c r="DB14" i="8"/>
  <c r="DY14" i="8" s="1"/>
  <c r="FL15" i="8"/>
  <c r="GI15" i="8" s="1"/>
  <c r="DO15" i="8"/>
  <c r="EL15" i="8" s="1"/>
  <c r="DI15" i="8"/>
  <c r="EF15" i="8" s="1"/>
  <c r="FA16" i="8"/>
  <c r="FX16" i="8" s="1"/>
  <c r="FG17" i="8"/>
  <c r="GD17" i="8" s="1"/>
  <c r="DI17" i="8"/>
  <c r="EF17" i="8" s="1"/>
  <c r="FI18" i="8"/>
  <c r="GF18" i="8" s="1"/>
  <c r="DK18" i="8"/>
  <c r="EH18" i="8" s="1"/>
  <c r="FH18" i="8"/>
  <c r="GE18" i="8" s="1"/>
  <c r="DH19" i="8"/>
  <c r="EE19" i="8" s="1"/>
  <c r="DN19" i="8"/>
  <c r="EK19" i="8" s="1"/>
  <c r="CX20" i="8"/>
  <c r="DU20" i="8" s="1"/>
  <c r="DG20" i="8"/>
  <c r="ED20" i="8" s="1"/>
  <c r="DL21" i="8"/>
  <c r="EI21" i="8" s="1"/>
  <c r="CW21" i="8"/>
  <c r="DT21" i="8" s="1"/>
  <c r="FE22" i="8"/>
  <c r="GB22" i="8" s="1"/>
  <c r="EZ22" i="8"/>
  <c r="FW22" i="8" s="1"/>
  <c r="FI22" i="8"/>
  <c r="GF22" i="8" s="1"/>
  <c r="FL22" i="8"/>
  <c r="GI22" i="8" s="1"/>
  <c r="CX23" i="8"/>
  <c r="DU23" i="8" s="1"/>
  <c r="CW24" i="8"/>
  <c r="DT24" i="8" s="1"/>
  <c r="EY24" i="8"/>
  <c r="FV24" i="8" s="1"/>
  <c r="CV10" i="8"/>
  <c r="DS10" i="8" s="1"/>
  <c r="CW5" i="8"/>
  <c r="DT5" i="8" s="1"/>
  <c r="DB5" i="8"/>
  <c r="DY5" i="8" s="1"/>
  <c r="FK6" i="8"/>
  <c r="GH6" i="8" s="1"/>
  <c r="DH6" i="8"/>
  <c r="EE6" i="8" s="1"/>
  <c r="EY6" i="8"/>
  <c r="FV6" i="8" s="1"/>
  <c r="DJ6" i="8"/>
  <c r="EG6" i="8" s="1"/>
  <c r="EY7" i="8"/>
  <c r="FV7" i="8" s="1"/>
  <c r="FF7" i="8"/>
  <c r="GC7" i="8" s="1"/>
  <c r="DC8" i="8"/>
  <c r="DZ8" i="8" s="1"/>
  <c r="DN8" i="8"/>
  <c r="EK8" i="8" s="1"/>
  <c r="DF8" i="8"/>
  <c r="EC8" i="8" s="1"/>
  <c r="DB8" i="8"/>
  <c r="DY8" i="8" s="1"/>
  <c r="FB9" i="8"/>
  <c r="FY9" i="8" s="1"/>
  <c r="DH9" i="8"/>
  <c r="EE9" i="8" s="1"/>
  <c r="DJ10" i="8"/>
  <c r="EG10" i="8" s="1"/>
  <c r="CY10" i="8"/>
  <c r="DV10" i="8" s="1"/>
  <c r="DG10" i="8"/>
  <c r="ED10" i="8" s="1"/>
  <c r="EY11" i="8"/>
  <c r="FV11" i="8" s="1"/>
  <c r="DN11" i="8"/>
  <c r="EK11" i="8" s="1"/>
  <c r="DD11" i="8"/>
  <c r="EA11" i="8" s="1"/>
  <c r="FC12" i="8"/>
  <c r="FZ12" i="8" s="1"/>
  <c r="CU12" i="8"/>
  <c r="DR12" i="8" s="1"/>
  <c r="CX12" i="8"/>
  <c r="DU12" i="8" s="1"/>
  <c r="EX13" i="8"/>
  <c r="FU13" i="8" s="1"/>
  <c r="DK13" i="8"/>
  <c r="EH13" i="8" s="1"/>
  <c r="CU13" i="8"/>
  <c r="DR13" i="8" s="1"/>
  <c r="FA14" i="8"/>
  <c r="FX14" i="8" s="1"/>
  <c r="FD15" i="8"/>
  <c r="GA15" i="8" s="1"/>
  <c r="FE14" i="8"/>
  <c r="GB14" i="8" s="1"/>
  <c r="DO14" i="8"/>
  <c r="EL14" i="8" s="1"/>
  <c r="FI16" i="8"/>
  <c r="GF16" i="8" s="1"/>
  <c r="FB16" i="8"/>
  <c r="FY16" i="8" s="1"/>
  <c r="DH16" i="8"/>
  <c r="EE16" i="8" s="1"/>
  <c r="DN16" i="8"/>
  <c r="EK16" i="8" s="1"/>
  <c r="FF17" i="8"/>
  <c r="GC17" i="8" s="1"/>
  <c r="FK17" i="8"/>
  <c r="GH17" i="8" s="1"/>
  <c r="FM18" i="8"/>
  <c r="GJ18" i="8" s="1"/>
  <c r="DO18" i="8"/>
  <c r="EL18" i="8" s="1"/>
  <c r="DF18" i="8"/>
  <c r="EC18" i="8" s="1"/>
  <c r="FC19" i="8"/>
  <c r="FZ19" i="8" s="1"/>
  <c r="FM20" i="8"/>
  <c r="GJ20" i="8" s="1"/>
  <c r="FD20" i="8"/>
  <c r="GA20" i="8" s="1"/>
  <c r="DF21" i="8"/>
  <c r="EC21" i="8" s="1"/>
  <c r="DH21" i="8"/>
  <c r="EE21" i="8" s="1"/>
  <c r="FH21" i="8"/>
  <c r="GE21" i="8" s="1"/>
  <c r="DE23" i="8"/>
  <c r="EB23" i="8" s="1"/>
  <c r="DA23" i="8"/>
  <c r="DX23" i="8" s="1"/>
  <c r="DL24" i="8"/>
  <c r="EI24" i="8" s="1"/>
  <c r="CZ24" i="8"/>
  <c r="DW24" i="8" s="1"/>
  <c r="FG10" i="8"/>
  <c r="GD10" i="8" s="1"/>
  <c r="FL10" i="8"/>
  <c r="GI10" i="8" s="1"/>
  <c r="FA10" i="8"/>
  <c r="FX10" i="8" s="1"/>
  <c r="DB11" i="8"/>
  <c r="DY11" i="8" s="1"/>
  <c r="FK11" i="8"/>
  <c r="GH11" i="8" s="1"/>
  <c r="DJ11" i="8"/>
  <c r="EG11" i="8" s="1"/>
  <c r="DC12" i="8"/>
  <c r="DZ12" i="8" s="1"/>
  <c r="FM12" i="8"/>
  <c r="GJ12" i="8" s="1"/>
  <c r="CZ12" i="8"/>
  <c r="DW12" i="8" s="1"/>
  <c r="EV13" i="8"/>
  <c r="FS13" i="8" s="1"/>
  <c r="EZ14" i="8"/>
  <c r="FW14" i="8" s="1"/>
  <c r="FN14" i="8"/>
  <c r="GK14" i="8" s="1"/>
  <c r="EX14" i="8"/>
  <c r="FU14" i="8" s="1"/>
  <c r="CV14" i="8"/>
  <c r="DS14" i="8" s="1"/>
  <c r="FN15" i="8"/>
  <c r="GK15" i="8" s="1"/>
  <c r="DH15" i="8"/>
  <c r="EE15" i="8" s="1"/>
  <c r="DE15" i="8"/>
  <c r="EB15" i="8" s="1"/>
  <c r="DB16" i="8"/>
  <c r="DY16" i="8" s="1"/>
  <c r="CV16" i="8"/>
  <c r="DS16" i="8" s="1"/>
  <c r="FL17" i="8"/>
  <c r="GI17" i="8" s="1"/>
  <c r="DF17" i="8"/>
  <c r="EC17" i="8" s="1"/>
  <c r="EV17" i="8"/>
  <c r="FS17" i="8" s="1"/>
  <c r="DG18" i="8"/>
  <c r="ED18" i="8" s="1"/>
  <c r="FB18" i="8"/>
  <c r="FY18" i="8" s="1"/>
  <c r="FA18" i="8"/>
  <c r="FX18" i="8" s="1"/>
  <c r="FE19" i="8"/>
  <c r="GB19" i="8" s="1"/>
  <c r="DJ19" i="8"/>
  <c r="EG19" i="8" s="1"/>
  <c r="DL19" i="8"/>
  <c r="EI19" i="8" s="1"/>
  <c r="DJ20" i="8"/>
  <c r="EG20" i="8" s="1"/>
  <c r="FE20" i="8"/>
  <c r="GB20" i="8" s="1"/>
  <c r="FB20" i="8"/>
  <c r="FY20" i="8" s="1"/>
  <c r="FF21" i="8"/>
  <c r="GC21" i="8" s="1"/>
  <c r="EZ21" i="8"/>
  <c r="FW21" i="8" s="1"/>
  <c r="CU21" i="8"/>
  <c r="DR21" i="8" s="1"/>
  <c r="DC21" i="8"/>
  <c r="DZ21" i="8" s="1"/>
  <c r="CU22" i="8"/>
  <c r="DR22" i="8" s="1"/>
  <c r="DD22" i="8"/>
  <c r="EA22" i="8" s="1"/>
  <c r="DE22" i="8"/>
  <c r="EB22" i="8" s="1"/>
  <c r="DH23" i="8"/>
  <c r="EE23" i="8" s="1"/>
  <c r="EY23" i="8"/>
  <c r="FV23" i="8" s="1"/>
  <c r="DC24" i="8"/>
  <c r="DZ24" i="8" s="1"/>
  <c r="FL24" i="8"/>
  <c r="GI24" i="8" s="1"/>
  <c r="CV24" i="8"/>
  <c r="DS24" i="8" s="1"/>
  <c r="FJ15" i="8"/>
  <c r="GG15" i="8" s="1"/>
  <c r="EU16" i="8"/>
  <c r="FR16" i="8" s="1"/>
  <c r="DE16" i="8"/>
  <c r="EB16" i="8" s="1"/>
  <c r="FL16" i="8"/>
  <c r="GI16" i="8" s="1"/>
  <c r="DC17" i="8"/>
  <c r="DZ17" i="8" s="1"/>
  <c r="CW17" i="8"/>
  <c r="DT17" i="8" s="1"/>
  <c r="DL18" i="8"/>
  <c r="EI18" i="8" s="1"/>
  <c r="FG18" i="8"/>
  <c r="GD18" i="8" s="1"/>
  <c r="DM18" i="8"/>
  <c r="EJ18" i="8" s="1"/>
  <c r="DD19" i="8"/>
  <c r="EA19" i="8" s="1"/>
  <c r="EX19" i="8"/>
  <c r="FU19" i="8" s="1"/>
  <c r="DM19" i="8"/>
  <c r="EJ19" i="8" s="1"/>
  <c r="DM20" i="8"/>
  <c r="EJ20" i="8" s="1"/>
  <c r="DN20" i="8"/>
  <c r="EK20" i="8" s="1"/>
  <c r="CV20" i="8"/>
  <c r="DS20" i="8" s="1"/>
  <c r="CY21" i="8"/>
  <c r="DV21" i="8" s="1"/>
  <c r="EX21" i="8"/>
  <c r="FU21" i="8" s="1"/>
  <c r="EY22" i="8"/>
  <c r="FV22" i="8" s="1"/>
  <c r="DG22" i="8"/>
  <c r="ED22" i="8" s="1"/>
  <c r="FN22" i="8"/>
  <c r="GK22" i="8" s="1"/>
  <c r="DM23" i="8"/>
  <c r="EJ23" i="8" s="1"/>
  <c r="DB23" i="8"/>
  <c r="DY23" i="8" s="1"/>
  <c r="DF24" i="8"/>
  <c r="EC24" i="8" s="1"/>
  <c r="FO24" i="8"/>
  <c r="GL24" i="8" s="1"/>
  <c r="FE24" i="8"/>
  <c r="GB24" i="8" s="1"/>
  <c r="FE5" i="8"/>
  <c r="GB5" i="8" s="1"/>
  <c r="CY5" i="8"/>
  <c r="DV5" i="8" s="1"/>
  <c r="DC5" i="8"/>
  <c r="DZ5" i="8" s="1"/>
  <c r="EU6" i="8"/>
  <c r="FR6" i="8" s="1"/>
  <c r="FB6" i="8"/>
  <c r="FY6" i="8" s="1"/>
  <c r="DL6" i="8"/>
  <c r="EI6" i="8" s="1"/>
  <c r="DI6" i="8"/>
  <c r="EF6" i="8" s="1"/>
  <c r="FI7" i="8"/>
  <c r="GF7" i="8" s="1"/>
  <c r="FF8" i="8"/>
  <c r="GC8" i="8" s="1"/>
  <c r="EX8" i="8"/>
  <c r="FU8" i="8" s="1"/>
  <c r="EU9" i="8"/>
  <c r="FR9" i="8" s="1"/>
  <c r="FH10" i="8"/>
  <c r="GE10" i="8" s="1"/>
  <c r="FM10" i="8"/>
  <c r="GJ10" i="8" s="1"/>
  <c r="DB10" i="8"/>
  <c r="DY10" i="8" s="1"/>
  <c r="FO11" i="8"/>
  <c r="GL11" i="8" s="1"/>
  <c r="DG11" i="8"/>
  <c r="ED11" i="8" s="1"/>
  <c r="DH11" i="8"/>
  <c r="EE11" i="8" s="1"/>
  <c r="CW12" i="8"/>
  <c r="DT12" i="8" s="1"/>
  <c r="FE13" i="8"/>
  <c r="GB13" i="8" s="1"/>
  <c r="EU14" i="8"/>
  <c r="FR14" i="8" s="1"/>
  <c r="FE15" i="8"/>
  <c r="GB15" i="8" s="1"/>
  <c r="CX15" i="8"/>
  <c r="DU15" i="8" s="1"/>
  <c r="CZ15" i="8"/>
  <c r="DW15" i="8" s="1"/>
  <c r="FK16" i="8"/>
  <c r="GH16" i="8" s="1"/>
  <c r="DD16" i="8"/>
  <c r="EA16" i="8" s="1"/>
  <c r="FM17" i="8"/>
  <c r="GJ17" i="8" s="1"/>
  <c r="FH17" i="8"/>
  <c r="GE17" i="8" s="1"/>
  <c r="DG17" i="8"/>
  <c r="ED17" i="8" s="1"/>
  <c r="DE18" i="8"/>
  <c r="EB18" i="8" s="1"/>
  <c r="CV18" i="8"/>
  <c r="DS18" i="8" s="1"/>
  <c r="CY18" i="8"/>
  <c r="DV18" i="8" s="1"/>
  <c r="CX19" i="8"/>
  <c r="DU19" i="8" s="1"/>
  <c r="EU19" i="8"/>
  <c r="FR19" i="8" s="1"/>
  <c r="FA19" i="8"/>
  <c r="FX19" i="8" s="1"/>
  <c r="FB19" i="8"/>
  <c r="FY19" i="8" s="1"/>
  <c r="FI20" i="8"/>
  <c r="GF20" i="8" s="1"/>
  <c r="FF20" i="8"/>
  <c r="GC20" i="8" s="1"/>
  <c r="DO20" i="8"/>
  <c r="EL20" i="8" s="1"/>
  <c r="FO21" i="8"/>
  <c r="GL21" i="8" s="1"/>
  <c r="EY21" i="8"/>
  <c r="FV21" i="8" s="1"/>
  <c r="DO22" i="8"/>
  <c r="EL22" i="8" s="1"/>
  <c r="DH22" i="8"/>
  <c r="EE22" i="8" s="1"/>
  <c r="FM22" i="8"/>
  <c r="GJ22" i="8" s="1"/>
  <c r="FC23" i="8"/>
  <c r="FZ23" i="8" s="1"/>
  <c r="DG23" i="8"/>
  <c r="ED23" i="8" s="1"/>
  <c r="DL23" i="8"/>
  <c r="EI23" i="8" s="1"/>
  <c r="FM24" i="8"/>
  <c r="GJ24" i="8" s="1"/>
  <c r="CU24" i="8"/>
  <c r="DR24" i="8" s="1"/>
  <c r="DE9" i="8"/>
  <c r="EB9" i="8" s="1"/>
  <c r="EW10" i="8"/>
  <c r="FT10" i="8" s="1"/>
  <c r="EZ11" i="8"/>
  <c r="FW11" i="8" s="1"/>
  <c r="CX13" i="8"/>
  <c r="DU13" i="8" s="1"/>
  <c r="EW15" i="8"/>
  <c r="FT15" i="8" s="1"/>
  <c r="EZ5" i="8"/>
  <c r="FW5" i="8" s="1"/>
  <c r="DI5" i="8"/>
  <c r="EF5" i="8" s="1"/>
  <c r="FM5" i="8"/>
  <c r="GJ5" i="8" s="1"/>
  <c r="DF6" i="8"/>
  <c r="EC6" i="8" s="1"/>
  <c r="FH6" i="8"/>
  <c r="GE6" i="8" s="1"/>
  <c r="CW7" i="8"/>
  <c r="DT7" i="8" s="1"/>
  <c r="FL6" i="8"/>
  <c r="GI6" i="8" s="1"/>
  <c r="FK7" i="8"/>
  <c r="GH7" i="8" s="1"/>
  <c r="FA8" i="8"/>
  <c r="FX8" i="8" s="1"/>
  <c r="FI8" i="8"/>
  <c r="GF8" i="8" s="1"/>
  <c r="EW9" i="8"/>
  <c r="FT9" i="8" s="1"/>
  <c r="CZ8" i="8"/>
  <c r="DW8" i="8" s="1"/>
  <c r="EZ9" i="8"/>
  <c r="FW9" i="8" s="1"/>
  <c r="DI9" i="8"/>
  <c r="EF9" i="8" s="1"/>
  <c r="DH10" i="8"/>
  <c r="EE10" i="8" s="1"/>
  <c r="DK10" i="8"/>
  <c r="EH10" i="8" s="1"/>
  <c r="CU10" i="8"/>
  <c r="DR10" i="8" s="1"/>
  <c r="CU11" i="8"/>
  <c r="DR11" i="8" s="1"/>
  <c r="FC11" i="8"/>
  <c r="FZ11" i="8" s="1"/>
  <c r="FG11" i="8"/>
  <c r="GD11" i="8" s="1"/>
  <c r="CX11" i="8"/>
  <c r="DU11" i="8" s="1"/>
  <c r="EZ12" i="8"/>
  <c r="FW12" i="8" s="1"/>
  <c r="FD12" i="8"/>
  <c r="GA12" i="8" s="1"/>
  <c r="EU12" i="8"/>
  <c r="FR12" i="8" s="1"/>
  <c r="DB12" i="8"/>
  <c r="DY12" i="8" s="1"/>
  <c r="DN13" i="8"/>
  <c r="EK13" i="8" s="1"/>
  <c r="FO13" i="8"/>
  <c r="GL13" i="8" s="1"/>
  <c r="FM13" i="8"/>
  <c r="GJ13" i="8" s="1"/>
  <c r="FI14" i="8"/>
  <c r="GF14" i="8" s="1"/>
  <c r="FF14" i="8"/>
  <c r="GC14" i="8" s="1"/>
  <c r="FC15" i="8"/>
  <c r="FZ15" i="8" s="1"/>
  <c r="DM15" i="8"/>
  <c r="EJ15" i="8" s="1"/>
  <c r="FF16" i="8"/>
  <c r="GC16" i="8" s="1"/>
  <c r="FI15" i="8"/>
  <c r="GF15" i="8" s="1"/>
  <c r="FE16" i="8"/>
  <c r="GB16" i="8" s="1"/>
  <c r="DI16" i="8"/>
  <c r="EF16" i="8" s="1"/>
  <c r="DB17" i="8"/>
  <c r="DY17" i="8" s="1"/>
  <c r="FD17" i="8"/>
  <c r="GA17" i="8" s="1"/>
  <c r="CU17" i="8"/>
  <c r="DR17" i="8" s="1"/>
  <c r="FJ18" i="8"/>
  <c r="GG18" i="8" s="1"/>
  <c r="FN18" i="8"/>
  <c r="GK18" i="8" s="1"/>
  <c r="FC18" i="8"/>
  <c r="FZ18" i="8" s="1"/>
  <c r="DA19" i="8"/>
  <c r="DX19" i="8" s="1"/>
  <c r="DC19" i="8"/>
  <c r="DZ19" i="8" s="1"/>
  <c r="DK19" i="8"/>
  <c r="EH19" i="8" s="1"/>
  <c r="FL20" i="8"/>
  <c r="GI20" i="8" s="1"/>
  <c r="EZ20" i="8"/>
  <c r="FW20" i="8" s="1"/>
  <c r="FO20" i="8"/>
  <c r="GL20" i="8" s="1"/>
  <c r="DJ21" i="8"/>
  <c r="EG21" i="8" s="1"/>
  <c r="DB21" i="8"/>
  <c r="DY21" i="8" s="1"/>
  <c r="FI21" i="8"/>
  <c r="GF21" i="8" s="1"/>
  <c r="DD21" i="8"/>
  <c r="EA21" i="8" s="1"/>
  <c r="FG22" i="8"/>
  <c r="GD22" i="8" s="1"/>
  <c r="CX22" i="8"/>
  <c r="DU22" i="8" s="1"/>
  <c r="FD22" i="8"/>
  <c r="GA22" i="8" s="1"/>
  <c r="DF23" i="8"/>
  <c r="EC23" i="8" s="1"/>
  <c r="EZ23" i="8"/>
  <c r="FW23" i="8" s="1"/>
  <c r="FH23" i="8"/>
  <c r="GE23" i="8" s="1"/>
  <c r="FI24" i="8"/>
  <c r="GF24" i="8" s="1"/>
  <c r="DG24" i="8"/>
  <c r="ED24" i="8" s="1"/>
  <c r="FD24" i="8"/>
  <c r="GA24" i="8" s="1"/>
  <c r="EX24" i="8"/>
  <c r="FU24" i="8" s="1"/>
  <c r="G17" i="8"/>
  <c r="H16" i="8" s="1"/>
  <c r="AX12" i="8"/>
  <c r="BU12" i="8" s="1"/>
  <c r="AZ6" i="8"/>
  <c r="BW6" i="8" s="1"/>
  <c r="BJ8" i="8"/>
  <c r="CG8" i="8" s="1"/>
  <c r="BI23" i="8"/>
  <c r="CF23" i="8" s="1"/>
  <c r="HD23" i="8" s="1"/>
  <c r="BI8" i="8"/>
  <c r="CF8" i="8" s="1"/>
  <c r="BJ5" i="8"/>
  <c r="CG5" i="8" s="1"/>
  <c r="BC22" i="8"/>
  <c r="BZ22" i="8" s="1"/>
  <c r="GX22" i="8" s="1"/>
  <c r="BB9" i="8"/>
  <c r="BY9" i="8" s="1"/>
  <c r="GW9" i="8" s="1"/>
  <c r="AV6" i="8"/>
  <c r="BS6" i="8" s="1"/>
  <c r="BJ20" i="8"/>
  <c r="CG20" i="8" s="1"/>
  <c r="BD19" i="8"/>
  <c r="CA19" i="8" s="1"/>
  <c r="GS12" i="8" l="1"/>
  <c r="GQ6" i="8"/>
  <c r="GU6" i="8"/>
  <c r="GY19" i="8"/>
  <c r="HD8" i="8"/>
  <c r="HE20" i="8"/>
  <c r="HE8" i="8"/>
  <c r="BE21" i="8"/>
  <c r="CB21" i="8" s="1"/>
  <c r="GZ21" i="8" s="1"/>
  <c r="BH22" i="8"/>
  <c r="CE22" i="8" s="1"/>
  <c r="HC22" i="8" s="1"/>
  <c r="BD20" i="8"/>
  <c r="CA20" i="8" s="1"/>
  <c r="GY20" i="8" s="1"/>
  <c r="BH17" i="8"/>
  <c r="CE17" i="8" s="1"/>
  <c r="HC17" i="8" s="1"/>
  <c r="AW6" i="8"/>
  <c r="BT6" i="8" s="1"/>
  <c r="GR6" i="8" s="1"/>
  <c r="BK8" i="8"/>
  <c r="CH8" i="8" s="1"/>
  <c r="HF8" i="8" s="1"/>
  <c r="HE5" i="8"/>
  <c r="BL19" i="8"/>
  <c r="CI19" i="8" s="1"/>
  <c r="HG19" i="8" s="1"/>
  <c r="BK24" i="8"/>
  <c r="CH24" i="8" s="1"/>
  <c r="HF24" i="8" s="1"/>
  <c r="BK15" i="8"/>
  <c r="CH15" i="8" s="1"/>
  <c r="HF15" i="8" s="1"/>
  <c r="BE10" i="8"/>
  <c r="CB10" i="8" s="1"/>
  <c r="GZ10" i="8" s="1"/>
  <c r="BJ15" i="8"/>
  <c r="CG15" i="8" s="1"/>
  <c r="HE15" i="8" s="1"/>
  <c r="BG6" i="8"/>
  <c r="CD6" i="8" s="1"/>
  <c r="HB6" i="8" s="1"/>
  <c r="AW22" i="8"/>
  <c r="BT22" i="8" s="1"/>
  <c r="GR22" i="8" s="1"/>
  <c r="BE16" i="8"/>
  <c r="CB16" i="8" s="1"/>
  <c r="GZ16" i="8" s="1"/>
  <c r="BB6" i="8"/>
  <c r="BY6" i="8" s="1"/>
  <c r="GW6" i="8" s="1"/>
  <c r="AW15" i="8"/>
  <c r="BT15" i="8" s="1"/>
  <c r="GR15" i="8" s="1"/>
  <c r="BD9" i="8"/>
  <c r="CA9" i="8" s="1"/>
  <c r="GY9" i="8" s="1"/>
  <c r="AV16" i="8"/>
  <c r="BS16" i="8" s="1"/>
  <c r="GQ16" i="8" s="1"/>
  <c r="BH14" i="8"/>
  <c r="CE14" i="8" s="1"/>
  <c r="HC14" i="8" s="1"/>
  <c r="BI12" i="8"/>
  <c r="CF12" i="8" s="1"/>
  <c r="HD12" i="8" s="1"/>
  <c r="BI19" i="8"/>
  <c r="CF19" i="8" s="1"/>
  <c r="HD19" i="8" s="1"/>
  <c r="BJ11" i="8"/>
  <c r="CG11" i="8" s="1"/>
  <c r="HE11" i="8" s="1"/>
  <c r="AX11" i="8"/>
  <c r="BU11" i="8" s="1"/>
  <c r="GS11" i="8" s="1"/>
  <c r="BB5" i="8"/>
  <c r="BY5" i="8" s="1"/>
  <c r="GW5" i="8" s="1"/>
  <c r="AZ8" i="8"/>
  <c r="BW8" i="8" s="1"/>
  <c r="GU8" i="8" s="1"/>
  <c r="AW21" i="8"/>
  <c r="BT21" i="8" s="1"/>
  <c r="GR21" i="8" s="1"/>
  <c r="BO9" i="8"/>
  <c r="CL9" i="8" s="1"/>
  <c r="HJ9" i="8" s="1"/>
  <c r="BA10" i="8"/>
  <c r="BX10" i="8" s="1"/>
  <c r="GV10" i="8" s="1"/>
  <c r="BI18" i="8"/>
  <c r="CF18" i="8" s="1"/>
  <c r="HD18" i="8" s="1"/>
  <c r="BC9" i="8"/>
  <c r="BZ9" i="8" s="1"/>
  <c r="GX9" i="8" s="1"/>
  <c r="AZ14" i="8"/>
  <c r="BW14" i="8" s="1"/>
  <c r="GU14" i="8" s="1"/>
  <c r="BL5" i="8"/>
  <c r="CI5" i="8" s="1"/>
  <c r="HG5" i="8" s="1"/>
  <c r="BA24" i="8"/>
  <c r="BX24" i="8" s="1"/>
  <c r="GV24" i="8" s="1"/>
  <c r="AV19" i="8"/>
  <c r="BS19" i="8" s="1"/>
  <c r="GQ19" i="8" s="1"/>
  <c r="AV24" i="8"/>
  <c r="BS24" i="8" s="1"/>
  <c r="GQ24" i="8" s="1"/>
  <c r="BJ14" i="8"/>
  <c r="CG14" i="8" s="1"/>
  <c r="HE14" i="8" s="1"/>
  <c r="BA16" i="8"/>
  <c r="BX16" i="8" s="1"/>
  <c r="GV16" i="8" s="1"/>
  <c r="BC13" i="8"/>
  <c r="BZ13" i="8" s="1"/>
  <c r="GX13" i="8" s="1"/>
  <c r="BL6" i="8"/>
  <c r="CI6" i="8" s="1"/>
  <c r="HG6" i="8" s="1"/>
  <c r="AZ21" i="8"/>
  <c r="BW21" i="8" s="1"/>
  <c r="GU21" i="8" s="1"/>
  <c r="BJ21" i="8"/>
  <c r="CG21" i="8" s="1"/>
  <c r="HE21" i="8" s="1"/>
  <c r="AY12" i="8"/>
  <c r="BV12" i="8" s="1"/>
  <c r="GT12" i="8" s="1"/>
  <c r="AW7" i="8"/>
  <c r="BT7" i="8" s="1"/>
  <c r="GR7" i="8" s="1"/>
  <c r="BC15" i="8"/>
  <c r="BZ15" i="8" s="1"/>
  <c r="GX15" i="8" s="1"/>
  <c r="BL17" i="8"/>
  <c r="CI17" i="8" s="1"/>
  <c r="HG17" i="8" s="1"/>
  <c r="BJ10" i="8"/>
  <c r="CG10" i="8" s="1"/>
  <c r="HE10" i="8" s="1"/>
  <c r="AW18" i="8"/>
  <c r="BT18" i="8" s="1"/>
  <c r="GR18" i="8" s="1"/>
  <c r="BH9" i="8"/>
  <c r="CE9" i="8" s="1"/>
  <c r="HC9" i="8" s="1"/>
  <c r="BN22" i="8"/>
  <c r="CK22" i="8" s="1"/>
  <c r="HI22" i="8" s="1"/>
  <c r="AY19" i="8"/>
  <c r="BV19" i="8" s="1"/>
  <c r="GT19" i="8" s="1"/>
  <c r="BJ22" i="8"/>
  <c r="CG22" i="8" s="1"/>
  <c r="HE22" i="8" s="1"/>
  <c r="AY10" i="8"/>
  <c r="BV10" i="8" s="1"/>
  <c r="GT10" i="8" s="1"/>
  <c r="BN7" i="8"/>
  <c r="CK7" i="8" s="1"/>
  <c r="HI7" i="8" s="1"/>
  <c r="AU9" i="8"/>
  <c r="BR9" i="8" s="1"/>
  <c r="GP9" i="8" s="1"/>
  <c r="AZ10" i="8"/>
  <c r="BW10" i="8" s="1"/>
  <c r="GU10" i="8" s="1"/>
  <c r="BJ6" i="8"/>
  <c r="CG6" i="8" s="1"/>
  <c r="HE6" i="8" s="1"/>
  <c r="BE18" i="8"/>
  <c r="CB18" i="8" s="1"/>
  <c r="GZ18" i="8" s="1"/>
  <c r="BK19" i="8"/>
  <c r="CH19" i="8" s="1"/>
  <c r="HF19" i="8" s="1"/>
  <c r="BO16" i="8"/>
  <c r="CL16" i="8" s="1"/>
  <c r="HJ16" i="8" s="1"/>
  <c r="AW8" i="8"/>
  <c r="BT8" i="8" s="1"/>
  <c r="GR8" i="8" s="1"/>
  <c r="BA21" i="8"/>
  <c r="BX21" i="8" s="1"/>
  <c r="GV21" i="8" s="1"/>
  <c r="BK22" i="8"/>
  <c r="CH22" i="8" s="1"/>
  <c r="HF22" i="8" s="1"/>
  <c r="BG18" i="8"/>
  <c r="CD18" i="8" s="1"/>
  <c r="HB18" i="8" s="1"/>
  <c r="BD22" i="8"/>
  <c r="CA22" i="8" s="1"/>
  <c r="GY22" i="8" s="1"/>
  <c r="BA18" i="8"/>
  <c r="BX18" i="8" s="1"/>
  <c r="GV18" i="8" s="1"/>
  <c r="BC12" i="8"/>
  <c r="BZ12" i="8" s="1"/>
  <c r="GX12" i="8" s="1"/>
  <c r="BN15" i="8"/>
  <c r="CK15" i="8" s="1"/>
  <c r="HI15" i="8" s="1"/>
  <c r="BO18" i="8"/>
  <c r="CL18" i="8" s="1"/>
  <c r="HJ18" i="8" s="1"/>
  <c r="AX17" i="8"/>
  <c r="BU17" i="8" s="1"/>
  <c r="GS17" i="8" s="1"/>
  <c r="AY8" i="8"/>
  <c r="BV8" i="8" s="1"/>
  <c r="GT8" i="8" s="1"/>
  <c r="AU16" i="8"/>
  <c r="BR16" i="8" s="1"/>
  <c r="GP16" i="8" s="1"/>
  <c r="BK16" i="8"/>
  <c r="CH16" i="8" s="1"/>
  <c r="HF16" i="8" s="1"/>
  <c r="BE11" i="8"/>
  <c r="CB11" i="8" s="1"/>
  <c r="GZ11" i="8" s="1"/>
  <c r="BA13" i="8"/>
  <c r="BX13" i="8" s="1"/>
  <c r="GV13" i="8" s="1"/>
  <c r="AU12" i="8"/>
  <c r="BR12" i="8" s="1"/>
  <c r="GP12" i="8" s="1"/>
  <c r="AY7" i="8"/>
  <c r="BV7" i="8" s="1"/>
  <c r="GT7" i="8" s="1"/>
  <c r="BE6" i="8"/>
  <c r="CB6" i="8" s="1"/>
  <c r="GZ6" i="8" s="1"/>
  <c r="BO15" i="8"/>
  <c r="CL15" i="8" s="1"/>
  <c r="HJ15" i="8" s="1"/>
  <c r="BI10" i="8"/>
  <c r="CF10" i="8" s="1"/>
  <c r="HD10" i="8" s="1"/>
  <c r="BF16" i="8"/>
  <c r="CC16" i="8" s="1"/>
  <c r="HA16" i="8" s="1"/>
  <c r="BG11" i="8"/>
  <c r="CD11" i="8" s="1"/>
  <c r="HB11" i="8" s="1"/>
  <c r="BF10" i="8"/>
  <c r="CC10" i="8" s="1"/>
  <c r="HA10" i="8" s="1"/>
  <c r="BM24" i="8"/>
  <c r="CJ24" i="8" s="1"/>
  <c r="HH24" i="8" s="1"/>
  <c r="BI7" i="8"/>
  <c r="CF7" i="8" s="1"/>
  <c r="HD7" i="8" s="1"/>
  <c r="AV14" i="8"/>
  <c r="BS14" i="8" s="1"/>
  <c r="GQ14" i="8" s="1"/>
  <c r="BK10" i="8"/>
  <c r="CH10" i="8" s="1"/>
  <c r="HF10" i="8" s="1"/>
  <c r="AW12" i="8"/>
  <c r="BT12" i="8" s="1"/>
  <c r="GR12" i="8" s="1"/>
  <c r="BK17" i="8"/>
  <c r="CH17" i="8" s="1"/>
  <c r="HF17" i="8" s="1"/>
  <c r="BO11" i="8"/>
  <c r="CL11" i="8" s="1"/>
  <c r="HJ11" i="8" s="1"/>
  <c r="BN10" i="8"/>
  <c r="CK10" i="8" s="1"/>
  <c r="HI10" i="8" s="1"/>
  <c r="BC18" i="8"/>
  <c r="BZ18" i="8" s="1"/>
  <c r="GX18" i="8" s="1"/>
  <c r="BN17" i="8"/>
  <c r="CK17" i="8" s="1"/>
  <c r="HI17" i="8" s="1"/>
  <c r="BC20" i="8"/>
  <c r="BZ20" i="8" s="1"/>
  <c r="GX20" i="8" s="1"/>
  <c r="BL13" i="8"/>
  <c r="CI13" i="8" s="1"/>
  <c r="HG13" i="8" s="1"/>
  <c r="BN16" i="8"/>
  <c r="CK16" i="8" s="1"/>
  <c r="HI16" i="8" s="1"/>
  <c r="BA19" i="8"/>
  <c r="BX19" i="8" s="1"/>
  <c r="GV19" i="8" s="1"/>
  <c r="BA22" i="8"/>
  <c r="BX22" i="8" s="1"/>
  <c r="GV22" i="8" s="1"/>
  <c r="BD6" i="8"/>
  <c r="CA6" i="8" s="1"/>
  <c r="GY6" i="8" s="1"/>
  <c r="BA9" i="8"/>
  <c r="BX9" i="8" s="1"/>
  <c r="GV9" i="8" s="1"/>
  <c r="BK11" i="8"/>
  <c r="CH11" i="8" s="1"/>
  <c r="HF11" i="8" s="1"/>
  <c r="BE19" i="8"/>
  <c r="CB19" i="8" s="1"/>
  <c r="GZ19" i="8" s="1"/>
  <c r="AW23" i="8"/>
  <c r="BT23" i="8" s="1"/>
  <c r="GR23" i="8" s="1"/>
  <c r="AW19" i="8"/>
  <c r="BT19" i="8" s="1"/>
  <c r="GR19" i="8" s="1"/>
  <c r="AY24" i="8"/>
  <c r="BV24" i="8" s="1"/>
  <c r="GT24" i="8" s="1"/>
  <c r="BH8" i="8"/>
  <c r="CE8" i="8" s="1"/>
  <c r="HC8" i="8" s="1"/>
  <c r="BE14" i="8"/>
  <c r="CB14" i="8" s="1"/>
  <c r="GZ14" i="8" s="1"/>
  <c r="BE22" i="8"/>
  <c r="CB22" i="8" s="1"/>
  <c r="GZ22" i="8" s="1"/>
  <c r="AX9" i="8"/>
  <c r="BU9" i="8" s="1"/>
  <c r="GS9" i="8" s="1"/>
  <c r="BH15" i="8"/>
  <c r="CE15" i="8" s="1"/>
  <c r="HC15" i="8" s="1"/>
  <c r="AW16" i="8"/>
  <c r="BT16" i="8" s="1"/>
  <c r="GR16" i="8" s="1"/>
  <c r="AX6" i="8"/>
  <c r="BU6" i="8" s="1"/>
  <c r="GS6" i="8" s="1"/>
  <c r="AZ13" i="8"/>
  <c r="BW13" i="8" s="1"/>
  <c r="GU13" i="8" s="1"/>
  <c r="AX13" i="8"/>
  <c r="BU13" i="8" s="1"/>
  <c r="GS13" i="8" s="1"/>
  <c r="BO14" i="8"/>
  <c r="CL14" i="8" s="1"/>
  <c r="HJ14" i="8" s="1"/>
  <c r="AU11" i="8"/>
  <c r="BR11" i="8" s="1"/>
  <c r="GP11" i="8" s="1"/>
  <c r="BG20" i="8"/>
  <c r="CD20" i="8" s="1"/>
  <c r="HB20" i="8" s="1"/>
  <c r="BE9" i="8"/>
  <c r="CB9" i="8" s="1"/>
  <c r="GZ9" i="8" s="1"/>
  <c r="BD13" i="8"/>
  <c r="CA13" i="8" s="1"/>
  <c r="GY13" i="8" s="1"/>
  <c r="BO21" i="8"/>
  <c r="CL21" i="8" s="1"/>
  <c r="HJ21" i="8" s="1"/>
  <c r="BK14" i="8"/>
  <c r="CH14" i="8" s="1"/>
  <c r="HF14" i="8" s="1"/>
  <c r="BO10" i="8"/>
  <c r="CL10" i="8" s="1"/>
  <c r="HJ10" i="8" s="1"/>
  <c r="BI15" i="8"/>
  <c r="CF15" i="8" s="1"/>
  <c r="HD15" i="8" s="1"/>
  <c r="BB10" i="8"/>
  <c r="BY10" i="8" s="1"/>
  <c r="GW10" i="8" s="1"/>
  <c r="BC24" i="8"/>
  <c r="BZ24" i="8" s="1"/>
  <c r="GX24" i="8" s="1"/>
  <c r="BF20" i="8"/>
  <c r="CC20" i="8" s="1"/>
  <c r="HA20" i="8" s="1"/>
  <c r="AX8" i="8"/>
  <c r="BU8" i="8" s="1"/>
  <c r="GS8" i="8" s="1"/>
  <c r="AY20" i="8"/>
  <c r="BV20" i="8" s="1"/>
  <c r="GT20" i="8" s="1"/>
  <c r="BM17" i="8"/>
  <c r="CJ17" i="8" s="1"/>
  <c r="HH17" i="8" s="1"/>
  <c r="AY15" i="8"/>
  <c r="BV15" i="8" s="1"/>
  <c r="GT15" i="8" s="1"/>
  <c r="BN21" i="8"/>
  <c r="CK21" i="8" s="1"/>
  <c r="HI21" i="8" s="1"/>
  <c r="BH11" i="8"/>
  <c r="CE11" i="8" s="1"/>
  <c r="HC11" i="8" s="1"/>
  <c r="BF7" i="8"/>
  <c r="CC7" i="8" s="1"/>
  <c r="HA7" i="8" s="1"/>
  <c r="AZ24" i="8"/>
  <c r="BW24" i="8" s="1"/>
  <c r="GU24" i="8" s="1"/>
  <c r="AU19" i="8"/>
  <c r="BR19" i="8" s="1"/>
  <c r="GP19" i="8" s="1"/>
  <c r="AU8" i="8"/>
  <c r="BR8" i="8" s="1"/>
  <c r="GP8" i="8" s="1"/>
  <c r="BO5" i="8"/>
  <c r="CL5" i="8" s="1"/>
  <c r="HJ5" i="8" s="1"/>
  <c r="BC17" i="8"/>
  <c r="BZ17" i="8" s="1"/>
  <c r="GX17" i="8" s="1"/>
  <c r="BD5" i="8"/>
  <c r="CA5" i="8" s="1"/>
  <c r="GY5" i="8" s="1"/>
  <c r="AU10" i="8"/>
  <c r="BR10" i="8" s="1"/>
  <c r="GP10" i="8" s="1"/>
  <c r="BN24" i="8"/>
  <c r="CK24" i="8" s="1"/>
  <c r="HI24" i="8" s="1"/>
  <c r="BB11" i="8"/>
  <c r="BY11" i="8" s="1"/>
  <c r="GW11" i="8" s="1"/>
  <c r="BN13" i="8"/>
  <c r="CK13" i="8" s="1"/>
  <c r="HI13" i="8" s="1"/>
  <c r="AZ15" i="8"/>
  <c r="BW15" i="8" s="1"/>
  <c r="GU15" i="8" s="1"/>
  <c r="BE13" i="8"/>
  <c r="CB13" i="8" s="1"/>
  <c r="GZ13" i="8" s="1"/>
  <c r="BI16" i="8"/>
  <c r="CF16" i="8" s="1"/>
  <c r="HD16" i="8" s="1"/>
  <c r="BJ17" i="8"/>
  <c r="CG17" i="8" s="1"/>
  <c r="HE17" i="8" s="1"/>
  <c r="AV17" i="8"/>
  <c r="BS17" i="8" s="1"/>
  <c r="GQ17" i="8" s="1"/>
  <c r="AW14" i="8"/>
  <c r="BT14" i="8" s="1"/>
  <c r="GR14" i="8" s="1"/>
  <c r="BF21" i="8"/>
  <c r="CC21" i="8" s="1"/>
  <c r="HA21" i="8" s="1"/>
  <c r="BH12" i="8"/>
  <c r="CE12" i="8" s="1"/>
  <c r="HC12" i="8" s="1"/>
  <c r="BD18" i="8"/>
  <c r="CA18" i="8" s="1"/>
  <c r="GY18" i="8" s="1"/>
  <c r="BN20" i="8"/>
  <c r="CK20" i="8" s="1"/>
  <c r="HI20" i="8" s="1"/>
  <c r="BA20" i="8"/>
  <c r="BX20" i="8" s="1"/>
  <c r="GV20" i="8" s="1"/>
  <c r="AV5" i="8"/>
  <c r="BS5" i="8" s="1"/>
  <c r="GQ5" i="8" s="1"/>
  <c r="BO23" i="8"/>
  <c r="CL23" i="8" s="1"/>
  <c r="HJ23" i="8" s="1"/>
  <c r="BL15" i="8"/>
  <c r="CI15" i="8" s="1"/>
  <c r="HG15" i="8" s="1"/>
  <c r="AV8" i="8"/>
  <c r="BS8" i="8" s="1"/>
  <c r="GQ8" i="8" s="1"/>
  <c r="BJ13" i="8"/>
  <c r="CG13" i="8" s="1"/>
  <c r="HE13" i="8" s="1"/>
  <c r="BM22" i="8"/>
  <c r="CJ22" i="8" s="1"/>
  <c r="HH22" i="8" s="1"/>
  <c r="BH6" i="8"/>
  <c r="CE6" i="8" s="1"/>
  <c r="HC6" i="8" s="1"/>
  <c r="BN18" i="8"/>
  <c r="CK18" i="8" s="1"/>
  <c r="HI18" i="8" s="1"/>
  <c r="AU15" i="8"/>
  <c r="BR15" i="8" s="1"/>
  <c r="GP15" i="8" s="1"/>
  <c r="AX18" i="8"/>
  <c r="BU18" i="8" s="1"/>
  <c r="GS18" i="8" s="1"/>
  <c r="BH24" i="8"/>
  <c r="CE24" i="8" s="1"/>
  <c r="HC24" i="8" s="1"/>
  <c r="BD21" i="8"/>
  <c r="CA21" i="8" s="1"/>
  <c r="GY21" i="8" s="1"/>
  <c r="AW24" i="8"/>
  <c r="BT24" i="8" s="1"/>
  <c r="GR24" i="8" s="1"/>
  <c r="BN23" i="8"/>
  <c r="CK23" i="8" s="1"/>
  <c r="HI23" i="8" s="1"/>
  <c r="AX21" i="8"/>
  <c r="BU21" i="8" s="1"/>
  <c r="GS21" i="8" s="1"/>
  <c r="AZ11" i="8"/>
  <c r="BW11" i="8" s="1"/>
  <c r="GU11" i="8" s="1"/>
  <c r="AW17" i="8"/>
  <c r="BT17" i="8" s="1"/>
  <c r="GR17" i="8" s="1"/>
  <c r="BN6" i="8"/>
  <c r="CK6" i="8" s="1"/>
  <c r="HI6" i="8" s="1"/>
  <c r="BA14" i="8"/>
  <c r="BX14" i="8" s="1"/>
  <c r="GV14" i="8" s="1"/>
  <c r="BD16" i="8"/>
  <c r="CA16" i="8" s="1"/>
  <c r="GY16" i="8" s="1"/>
  <c r="AV21" i="8"/>
  <c r="BS21" i="8" s="1"/>
  <c r="GQ21" i="8" s="1"/>
  <c r="BL18" i="8"/>
  <c r="CI18" i="8" s="1"/>
  <c r="HG18" i="8" s="1"/>
  <c r="BK6" i="8"/>
  <c r="CH6" i="8" s="1"/>
  <c r="HF6" i="8" s="1"/>
  <c r="BM12" i="8"/>
  <c r="CJ12" i="8" s="1"/>
  <c r="HH12" i="8" s="1"/>
  <c r="BN5" i="8"/>
  <c r="CK5" i="8" s="1"/>
  <c r="HI5" i="8" s="1"/>
  <c r="BB13" i="8"/>
  <c r="BY13" i="8" s="1"/>
  <c r="GW13" i="8" s="1"/>
  <c r="BC11" i="8"/>
  <c r="BZ11" i="8" s="1"/>
  <c r="GX11" i="8" s="1"/>
  <c r="BF24" i="8"/>
  <c r="CC24" i="8" s="1"/>
  <c r="HA24" i="8" s="1"/>
  <c r="AY23" i="8"/>
  <c r="BV23" i="8" s="1"/>
  <c r="GT23" i="8" s="1"/>
  <c r="BG14" i="8"/>
  <c r="CD14" i="8" s="1"/>
  <c r="HB14" i="8" s="1"/>
  <c r="BH5" i="8"/>
  <c r="CE5" i="8" s="1"/>
  <c r="HC5" i="8" s="1"/>
  <c r="AU22" i="8"/>
  <c r="BR22" i="8" s="1"/>
  <c r="GP22" i="8" s="1"/>
  <c r="AV9" i="8"/>
  <c r="BS9" i="8" s="1"/>
  <c r="GQ9" i="8" s="1"/>
  <c r="AX19" i="8"/>
  <c r="BU19" i="8" s="1"/>
  <c r="GS19" i="8" s="1"/>
  <c r="BG15" i="8"/>
  <c r="CD15" i="8" s="1"/>
  <c r="HB15" i="8" s="1"/>
  <c r="AX20" i="8"/>
  <c r="BU20" i="8" s="1"/>
  <c r="GS20" i="8" s="1"/>
  <c r="AY21" i="8"/>
  <c r="BV21" i="8" s="1"/>
  <c r="GT21" i="8" s="1"/>
  <c r="BM5" i="8"/>
  <c r="CJ5" i="8" s="1"/>
  <c r="HH5" i="8" s="1"/>
  <c r="BL20" i="8"/>
  <c r="CI20" i="8" s="1"/>
  <c r="HG20" i="8" s="1"/>
  <c r="AY16" i="8"/>
  <c r="BV16" i="8" s="1"/>
  <c r="GT16" i="8" s="1"/>
  <c r="BK21" i="8"/>
  <c r="CH21" i="8" s="1"/>
  <c r="HF21" i="8" s="1"/>
  <c r="BG9" i="8"/>
  <c r="CD9" i="8" s="1"/>
  <c r="HB9" i="8" s="1"/>
  <c r="BA5" i="8"/>
  <c r="BX5" i="8" s="1"/>
  <c r="GV5" i="8" s="1"/>
  <c r="BA15" i="8"/>
  <c r="BX15" i="8" s="1"/>
  <c r="GV15" i="8" s="1"/>
  <c r="BM6" i="8"/>
  <c r="CJ6" i="8" s="1"/>
  <c r="HH6" i="8" s="1"/>
  <c r="BC16" i="8"/>
  <c r="BZ16" i="8" s="1"/>
  <c r="GX16" i="8" s="1"/>
  <c r="BE12" i="8"/>
  <c r="CB12" i="8" s="1"/>
  <c r="GZ12" i="8" s="1"/>
  <c r="BF18" i="8"/>
  <c r="CC18" i="8" s="1"/>
  <c r="HA18" i="8" s="1"/>
  <c r="BF5" i="8"/>
  <c r="CC5" i="8" s="1"/>
  <c r="HA5" i="8" s="1"/>
  <c r="AZ12" i="8"/>
  <c r="BW12" i="8" s="1"/>
  <c r="GU12" i="8" s="1"/>
  <c r="AZ22" i="8"/>
  <c r="BW22" i="8" s="1"/>
  <c r="GU22" i="8" s="1"/>
  <c r="AU18" i="8"/>
  <c r="BR18" i="8" s="1"/>
  <c r="GP18" i="8" s="1"/>
  <c r="BJ18" i="8"/>
  <c r="CG18" i="8" s="1"/>
  <c r="HE18" i="8" s="1"/>
  <c r="BD12" i="8"/>
  <c r="CA12" i="8" s="1"/>
  <c r="GY12" i="8" s="1"/>
  <c r="AU21" i="8"/>
  <c r="BR21" i="8" s="1"/>
  <c r="GP21" i="8" s="1"/>
  <c r="BL11" i="8"/>
  <c r="CI11" i="8" s="1"/>
  <c r="HG11" i="8" s="1"/>
  <c r="BL8" i="8"/>
  <c r="CI8" i="8" s="1"/>
  <c r="HG8" i="8" s="1"/>
  <c r="AU14" i="8"/>
  <c r="BR14" i="8" s="1"/>
  <c r="GP14" i="8" s="1"/>
  <c r="BA7" i="8"/>
  <c r="BX7" i="8" s="1"/>
  <c r="GV7" i="8" s="1"/>
  <c r="BB23" i="8"/>
  <c r="BY23" i="8" s="1"/>
  <c r="GW23" i="8" s="1"/>
  <c r="BB18" i="8"/>
  <c r="BY18" i="8" s="1"/>
  <c r="GW18" i="8" s="1"/>
  <c r="BM13" i="8"/>
  <c r="CJ13" i="8" s="1"/>
  <c r="HH13" i="8" s="1"/>
  <c r="AV22" i="8"/>
  <c r="BS22" i="8" s="1"/>
  <c r="GQ22" i="8" s="1"/>
  <c r="BD7" i="8"/>
  <c r="CA7" i="8" s="1"/>
  <c r="GY7" i="8" s="1"/>
  <c r="AY18" i="8"/>
  <c r="BV18" i="8" s="1"/>
  <c r="GT18" i="8" s="1"/>
  <c r="BH13" i="8"/>
  <c r="CE13" i="8" s="1"/>
  <c r="HC13" i="8" s="1"/>
  <c r="AU24" i="8"/>
  <c r="BR24" i="8" s="1"/>
  <c r="GP24" i="8" s="1"/>
  <c r="BE20" i="8"/>
  <c r="CB20" i="8" s="1"/>
  <c r="GZ20" i="8" s="1"/>
  <c r="BL23" i="8"/>
  <c r="CI23" i="8" s="1"/>
  <c r="HG23" i="8" s="1"/>
  <c r="BE17" i="8"/>
  <c r="CB17" i="8" s="1"/>
  <c r="GZ17" i="8" s="1"/>
  <c r="BL12" i="8"/>
  <c r="CI12" i="8" s="1"/>
  <c r="HG12" i="8" s="1"/>
  <c r="BE23" i="8"/>
  <c r="CB23" i="8" s="1"/>
  <c r="GZ23" i="8" s="1"/>
  <c r="BJ24" i="8"/>
  <c r="CG24" i="8" s="1"/>
  <c r="HE24" i="8" s="1"/>
  <c r="BJ23" i="8"/>
  <c r="CG23" i="8" s="1"/>
  <c r="HE23" i="8" s="1"/>
  <c r="BM18" i="8"/>
  <c r="CJ18" i="8" s="1"/>
  <c r="HH18" i="8" s="1"/>
  <c r="BF19" i="8"/>
  <c r="CC19" i="8" s="1"/>
  <c r="HA19" i="8" s="1"/>
  <c r="BF6" i="8"/>
  <c r="CC6" i="8" s="1"/>
  <c r="HA6" i="8" s="1"/>
  <c r="BD8" i="8"/>
  <c r="CA8" i="8" s="1"/>
  <c r="GY8" i="8" s="1"/>
  <c r="AV18" i="8"/>
  <c r="BS18" i="8" s="1"/>
  <c r="GQ18" i="8" s="1"/>
  <c r="AU6" i="8"/>
  <c r="BR6" i="8" s="1"/>
  <c r="GP6" i="8" s="1"/>
  <c r="F17" i="8"/>
  <c r="H15" i="8" s="1"/>
  <c r="BH19" i="8"/>
  <c r="CE19" i="8" s="1"/>
  <c r="HC19" i="8" s="1"/>
  <c r="BJ7" i="8"/>
  <c r="CG7" i="8" s="1"/>
  <c r="HE7" i="8" s="1"/>
  <c r="BD24" i="8"/>
  <c r="CA24" i="8" s="1"/>
  <c r="GY24" i="8" s="1"/>
  <c r="BB12" i="8"/>
  <c r="BY12" i="8" s="1"/>
  <c r="GW12" i="8" s="1"/>
  <c r="BH21" i="8"/>
  <c r="CE21" i="8" s="1"/>
  <c r="HC21" i="8" s="1"/>
  <c r="BJ16" i="8"/>
  <c r="CG16" i="8" s="1"/>
  <c r="HE16" i="8" s="1"/>
  <c r="BL7" i="8"/>
  <c r="CI7" i="8" s="1"/>
  <c r="HG7" i="8" s="1"/>
  <c r="BL21" i="8"/>
  <c r="CI21" i="8" s="1"/>
  <c r="HG21" i="8" s="1"/>
  <c r="BI6" i="8"/>
  <c r="CF6" i="8" s="1"/>
  <c r="HD6" i="8" s="1"/>
  <c r="BI17" i="8"/>
  <c r="CF17" i="8" s="1"/>
  <c r="HD17" i="8" s="1"/>
  <c r="BM23" i="8"/>
  <c r="CJ23" i="8" s="1"/>
  <c r="HH23" i="8" s="1"/>
  <c r="AY11" i="8"/>
  <c r="BV11" i="8" s="1"/>
  <c r="GT11" i="8" s="1"/>
  <c r="BM16" i="8"/>
  <c r="CJ16" i="8" s="1"/>
  <c r="HH16" i="8" s="1"/>
  <c r="BC23" i="8"/>
  <c r="BZ23" i="8" s="1"/>
  <c r="GX23" i="8" s="1"/>
  <c r="AW5" i="8"/>
  <c r="BT5" i="8" s="1"/>
  <c r="GR5" i="8" s="1"/>
  <c r="AY22" i="8"/>
  <c r="BV22" i="8" s="1"/>
  <c r="GT22" i="8" s="1"/>
  <c r="BM14" i="8"/>
  <c r="CJ14" i="8" s="1"/>
  <c r="HH14" i="8" s="1"/>
  <c r="AX22" i="8"/>
  <c r="BU22" i="8" s="1"/>
  <c r="GS22" i="8" s="1"/>
  <c r="BJ19" i="8"/>
  <c r="CG19" i="8" s="1"/>
  <c r="HE19" i="8" s="1"/>
  <c r="BJ12" i="8"/>
  <c r="CG12" i="8" s="1"/>
  <c r="HE12" i="8" s="1"/>
  <c r="BF9" i="8"/>
  <c r="CC9" i="8" s="1"/>
  <c r="HA9" i="8" s="1"/>
  <c r="AV10" i="8"/>
  <c r="BS10" i="8" s="1"/>
  <c r="GQ10" i="8" s="1"/>
  <c r="AX10" i="8"/>
  <c r="BU10" i="8" s="1"/>
  <c r="GS10" i="8" s="1"/>
  <c r="BF17" i="8"/>
  <c r="CC17" i="8" s="1"/>
  <c r="HA17" i="8" s="1"/>
  <c r="BI14" i="8"/>
  <c r="CF14" i="8" s="1"/>
  <c r="HD14" i="8" s="1"/>
  <c r="BH18" i="8"/>
  <c r="CE18" i="8" s="1"/>
  <c r="HC18" i="8" s="1"/>
  <c r="AX16" i="8"/>
  <c r="BU16" i="8" s="1"/>
  <c r="GS16" i="8" s="1"/>
  <c r="BN19" i="8"/>
  <c r="CK19" i="8" s="1"/>
  <c r="HI19" i="8" s="1"/>
  <c r="AW9" i="8"/>
  <c r="BT9" i="8" s="1"/>
  <c r="GR9" i="8" s="1"/>
  <c r="BN12" i="8"/>
  <c r="CK12" i="8" s="1"/>
  <c r="HI12" i="8" s="1"/>
  <c r="BA12" i="8"/>
  <c r="BX12" i="8" s="1"/>
  <c r="GV12" i="8" s="1"/>
  <c r="AU23" i="8"/>
  <c r="BR23" i="8" s="1"/>
  <c r="GP23" i="8" s="1"/>
  <c r="BC21" i="8"/>
  <c r="BZ21" i="8" s="1"/>
  <c r="GX21" i="8" s="1"/>
  <c r="BO17" i="8"/>
  <c r="CL17" i="8" s="1"/>
  <c r="HJ17" i="8" s="1"/>
  <c r="BM19" i="8"/>
  <c r="CJ19" i="8" s="1"/>
  <c r="HH19" i="8" s="1"/>
  <c r="BA8" i="8"/>
  <c r="BX8" i="8" s="1"/>
  <c r="GV8" i="8" s="1"/>
  <c r="BO19" i="8"/>
  <c r="CL19" i="8" s="1"/>
  <c r="HJ19" i="8" s="1"/>
  <c r="BC10" i="8"/>
  <c r="BZ10" i="8" s="1"/>
  <c r="GX10" i="8" s="1"/>
  <c r="AW10" i="8"/>
  <c r="BT10" i="8" s="1"/>
  <c r="GR10" i="8" s="1"/>
  <c r="BH23" i="8"/>
  <c r="CE23" i="8" s="1"/>
  <c r="HC23" i="8" s="1"/>
  <c r="AY13" i="8"/>
  <c r="BV13" i="8" s="1"/>
  <c r="GT13" i="8" s="1"/>
  <c r="BG23" i="8"/>
  <c r="CD23" i="8" s="1"/>
  <c r="HB23" i="8" s="1"/>
  <c r="AU20" i="8"/>
  <c r="BR20" i="8" s="1"/>
  <c r="GP20" i="8" s="1"/>
  <c r="BC5" i="8"/>
  <c r="BZ5" i="8" s="1"/>
  <c r="GX5" i="8" s="1"/>
  <c r="BM11" i="8"/>
  <c r="CJ11" i="8" s="1"/>
  <c r="HH11" i="8" s="1"/>
  <c r="BD17" i="8"/>
  <c r="CA17" i="8" s="1"/>
  <c r="GY17" i="8" s="1"/>
  <c r="BB8" i="8"/>
  <c r="BY8" i="8" s="1"/>
  <c r="GW8" i="8" s="1"/>
  <c r="BM8" i="8"/>
  <c r="CJ8" i="8" s="1"/>
  <c r="HH8" i="8" s="1"/>
  <c r="BF8" i="8"/>
  <c r="CC8" i="8" s="1"/>
  <c r="HA8" i="8" s="1"/>
  <c r="BO13" i="8"/>
  <c r="CL13" i="8" s="1"/>
  <c r="HJ13" i="8" s="1"/>
  <c r="BK13" i="8"/>
  <c r="CH13" i="8" s="1"/>
  <c r="HF13" i="8" s="1"/>
  <c r="BG8" i="8"/>
  <c r="CD8" i="8" s="1"/>
  <c r="HB8" i="8" s="1"/>
  <c r="BD10" i="8"/>
  <c r="CA10" i="8" s="1"/>
  <c r="GY10" i="8" s="1"/>
  <c r="BG5" i="8"/>
  <c r="CD5" i="8" s="1"/>
  <c r="HB5" i="8" s="1"/>
  <c r="BG12" i="8"/>
  <c r="CD12" i="8" s="1"/>
  <c r="HB12" i="8" s="1"/>
  <c r="AZ9" i="8"/>
  <c r="BW9" i="8" s="1"/>
  <c r="GU9" i="8" s="1"/>
  <c r="AX23" i="8"/>
  <c r="BU23" i="8" s="1"/>
  <c r="GS23" i="8" s="1"/>
  <c r="BB22" i="8"/>
  <c r="BY22" i="8" s="1"/>
  <c r="GW22" i="8" s="1"/>
  <c r="BM20" i="8"/>
  <c r="CJ20" i="8" s="1"/>
  <c r="HH20" i="8" s="1"/>
  <c r="BC19" i="8"/>
  <c r="BZ19" i="8" s="1"/>
  <c r="GX19" i="8" s="1"/>
  <c r="AU5" i="8"/>
  <c r="BR5" i="8" s="1"/>
  <c r="GP5" i="8" s="1"/>
  <c r="BM9" i="8"/>
  <c r="CJ9" i="8" s="1"/>
  <c r="HH9" i="8" s="1"/>
  <c r="BF23" i="8"/>
  <c r="CC23" i="8" s="1"/>
  <c r="HA23" i="8" s="1"/>
  <c r="BH20" i="8"/>
  <c r="CE20" i="8" s="1"/>
  <c r="HC20" i="8" s="1"/>
  <c r="BC7" i="8"/>
  <c r="BZ7" i="8" s="1"/>
  <c r="GX7" i="8" s="1"/>
  <c r="BC6" i="8"/>
  <c r="BZ6" i="8" s="1"/>
  <c r="GX6" i="8" s="1"/>
  <c r="BG22" i="8"/>
  <c r="CD22" i="8" s="1"/>
  <c r="HB22" i="8" s="1"/>
  <c r="BG13" i="8"/>
  <c r="CD13" i="8" s="1"/>
  <c r="HB13" i="8" s="1"/>
  <c r="BL9" i="8"/>
  <c r="CI9" i="8" s="1"/>
  <c r="HG9" i="8" s="1"/>
  <c r="BG21" i="8"/>
  <c r="CD21" i="8" s="1"/>
  <c r="HB21" i="8" s="1"/>
  <c r="AZ17" i="8"/>
  <c r="BW17" i="8" s="1"/>
  <c r="GU17" i="8" s="1"/>
  <c r="BI24" i="8"/>
  <c r="CF24" i="8" s="1"/>
  <c r="HD24" i="8" s="1"/>
  <c r="BI5" i="8"/>
  <c r="CF5" i="8" s="1"/>
  <c r="HD5" i="8" s="1"/>
  <c r="AX24" i="8"/>
  <c r="BU24" i="8" s="1"/>
  <c r="GS24" i="8" s="1"/>
  <c r="BD14" i="8"/>
  <c r="CA14" i="8" s="1"/>
  <c r="GY14" i="8" s="1"/>
  <c r="BB15" i="8"/>
  <c r="BY15" i="8" s="1"/>
  <c r="GW15" i="8" s="1"/>
  <c r="BI20" i="8"/>
  <c r="CF20" i="8" s="1"/>
  <c r="HD20" i="8" s="1"/>
  <c r="BN11" i="8"/>
  <c r="CK11" i="8" s="1"/>
  <c r="HI11" i="8" s="1"/>
  <c r="AX7" i="8"/>
  <c r="BU7" i="8" s="1"/>
  <c r="GS7" i="8" s="1"/>
  <c r="BL22" i="8"/>
  <c r="CI22" i="8" s="1"/>
  <c r="HG22" i="8" s="1"/>
  <c r="AU13" i="8"/>
  <c r="BR13" i="8" s="1"/>
  <c r="GP13" i="8" s="1"/>
  <c r="BM7" i="8"/>
  <c r="CJ7" i="8" s="1"/>
  <c r="HH7" i="8" s="1"/>
  <c r="BO20" i="8"/>
  <c r="CL20" i="8" s="1"/>
  <c r="HJ20" i="8" s="1"/>
  <c r="BK20" i="8"/>
  <c r="CH20" i="8" s="1"/>
  <c r="HF20" i="8" s="1"/>
  <c r="BO7" i="8"/>
  <c r="CL7" i="8" s="1"/>
  <c r="HJ7" i="8" s="1"/>
  <c r="BJ9" i="8"/>
  <c r="CG9" i="8" s="1"/>
  <c r="HE9" i="8" s="1"/>
  <c r="BN9" i="8"/>
  <c r="CK9" i="8" s="1"/>
  <c r="HI9" i="8" s="1"/>
  <c r="BK5" i="8"/>
  <c r="CH5" i="8" s="1"/>
  <c r="HF5" i="8" s="1"/>
  <c r="BD23" i="8"/>
  <c r="CA23" i="8" s="1"/>
  <c r="GY23" i="8" s="1"/>
  <c r="BB7" i="8"/>
  <c r="BY7" i="8" s="1"/>
  <c r="GW7" i="8" s="1"/>
  <c r="AV7" i="8"/>
  <c r="BS7" i="8" s="1"/>
  <c r="GQ7" i="8" s="1"/>
  <c r="BA11" i="8"/>
  <c r="BX11" i="8" s="1"/>
  <c r="GV11" i="8" s="1"/>
  <c r="AZ7" i="8"/>
  <c r="BW7" i="8" s="1"/>
  <c r="GU7" i="8" s="1"/>
  <c r="BB17" i="8"/>
  <c r="BY17" i="8" s="1"/>
  <c r="GW17" i="8" s="1"/>
  <c r="BG19" i="8"/>
  <c r="CD19" i="8" s="1"/>
  <c r="HB19" i="8" s="1"/>
  <c r="AX14" i="8"/>
  <c r="BU14" i="8" s="1"/>
  <c r="GS14" i="8" s="1"/>
  <c r="AY6" i="8"/>
  <c r="BV6" i="8" s="1"/>
  <c r="GT6" i="8" s="1"/>
  <c r="BA23" i="8"/>
  <c r="BX23" i="8" s="1"/>
  <c r="GV23" i="8" s="1"/>
  <c r="BA17" i="8"/>
  <c r="BX17" i="8" s="1"/>
  <c r="GV17" i="8" s="1"/>
  <c r="BF15" i="8"/>
  <c r="CC15" i="8" s="1"/>
  <c r="HA15" i="8" s="1"/>
  <c r="BI9" i="8"/>
  <c r="CF9" i="8" s="1"/>
  <c r="HD9" i="8" s="1"/>
  <c r="AZ19" i="8"/>
  <c r="BW19" i="8" s="1"/>
  <c r="GU19" i="8" s="1"/>
  <c r="AZ18" i="8"/>
  <c r="BW18" i="8" s="1"/>
  <c r="GU18" i="8" s="1"/>
  <c r="BI11" i="8"/>
  <c r="CF11" i="8" s="1"/>
  <c r="HD11" i="8" s="1"/>
  <c r="BK12" i="8"/>
  <c r="CH12" i="8" s="1"/>
  <c r="HF12" i="8" s="1"/>
  <c r="BF11" i="8"/>
  <c r="CC11" i="8" s="1"/>
  <c r="HA11" i="8" s="1"/>
  <c r="AY5" i="8"/>
  <c r="BV5" i="8" s="1"/>
  <c r="GT5" i="8" s="1"/>
  <c r="BL14" i="8"/>
  <c r="CI14" i="8" s="1"/>
  <c r="HG14" i="8" s="1"/>
  <c r="BK7" i="8"/>
  <c r="CH7" i="8" s="1"/>
  <c r="HF7" i="8" s="1"/>
  <c r="BI21" i="8"/>
  <c r="CF21" i="8" s="1"/>
  <c r="HD21" i="8" s="1"/>
  <c r="BH16" i="8"/>
  <c r="CE16" i="8" s="1"/>
  <c r="HC16" i="8" s="1"/>
  <c r="AV13" i="8"/>
  <c r="BS13" i="8" s="1"/>
  <c r="GQ13" i="8" s="1"/>
  <c r="AW13" i="8"/>
  <c r="BT13" i="8" s="1"/>
  <c r="GR13" i="8" s="1"/>
  <c r="BN8" i="8"/>
  <c r="CK8" i="8" s="1"/>
  <c r="HI8" i="8" s="1"/>
  <c r="BK23" i="8"/>
  <c r="CH23" i="8" s="1"/>
  <c r="HF23" i="8" s="1"/>
  <c r="BO22" i="8"/>
  <c r="CL22" i="8" s="1"/>
  <c r="HJ22" i="8" s="1"/>
  <c r="BO8" i="8"/>
  <c r="CL8" i="8" s="1"/>
  <c r="HJ8" i="8" s="1"/>
  <c r="AZ5" i="8"/>
  <c r="BW5" i="8" s="1"/>
  <c r="GU5" i="8" s="1"/>
  <c r="AY14" i="8"/>
  <c r="BV14" i="8" s="1"/>
  <c r="GT14" i="8" s="1"/>
  <c r="AX5" i="8"/>
  <c r="BU5" i="8" s="1"/>
  <c r="GS5" i="8" s="1"/>
  <c r="AV15" i="8"/>
  <c r="BS15" i="8" s="1"/>
  <c r="GQ15" i="8" s="1"/>
  <c r="BB21" i="8"/>
  <c r="BY21" i="8" s="1"/>
  <c r="GW21" i="8" s="1"/>
  <c r="BL24" i="8"/>
  <c r="CI24" i="8" s="1"/>
  <c r="HG24" i="8" s="1"/>
  <c r="AV20" i="8"/>
  <c r="BS20" i="8" s="1"/>
  <c r="GQ20" i="8" s="1"/>
  <c r="AV12" i="8"/>
  <c r="BS12" i="8" s="1"/>
  <c r="GQ12" i="8" s="1"/>
  <c r="BE7" i="8"/>
  <c r="CB7" i="8" s="1"/>
  <c r="GZ7" i="8" s="1"/>
  <c r="BG10" i="8"/>
  <c r="CD10" i="8" s="1"/>
  <c r="HB10" i="8" s="1"/>
  <c r="BF14" i="8"/>
  <c r="CC14" i="8" s="1"/>
  <c r="HA14" i="8" s="1"/>
  <c r="BF12" i="8"/>
  <c r="CC12" i="8" s="1"/>
  <c r="HA12" i="8" s="1"/>
  <c r="BE24" i="8"/>
  <c r="CB24" i="8" s="1"/>
  <c r="GZ24" i="8" s="1"/>
  <c r="BG24" i="8"/>
  <c r="CD24" i="8" s="1"/>
  <c r="HB24" i="8" s="1"/>
  <c r="AZ23" i="8"/>
  <c r="BW23" i="8" s="1"/>
  <c r="GU23" i="8" s="1"/>
  <c r="BM21" i="8"/>
  <c r="CJ21" i="8" s="1"/>
  <c r="HH21" i="8" s="1"/>
  <c r="BD15" i="8"/>
  <c r="CA15" i="8" s="1"/>
  <c r="GY15" i="8" s="1"/>
  <c r="BL10" i="8"/>
  <c r="CI10" i="8" s="1"/>
  <c r="HG10" i="8" s="1"/>
  <c r="AW20" i="8"/>
  <c r="BT20" i="8" s="1"/>
  <c r="GR20" i="8" s="1"/>
  <c r="BF13" i="8"/>
  <c r="CC13" i="8" s="1"/>
  <c r="HA13" i="8" s="1"/>
  <c r="BB20" i="8"/>
  <c r="BY20" i="8" s="1"/>
  <c r="GW20" i="8" s="1"/>
  <c r="BE8" i="8"/>
  <c r="CB8" i="8" s="1"/>
  <c r="GZ8" i="8" s="1"/>
  <c r="AU17" i="8"/>
  <c r="BR17" i="8" s="1"/>
  <c r="GP17" i="8" s="1"/>
  <c r="BD11" i="8"/>
  <c r="CA11" i="8" s="1"/>
  <c r="GY11" i="8" s="1"/>
  <c r="AW11" i="8"/>
  <c r="BT11" i="8" s="1"/>
  <c r="GR11" i="8" s="1"/>
  <c r="BC8" i="8"/>
  <c r="BZ8" i="8" s="1"/>
  <c r="GX8" i="8" s="1"/>
  <c r="BB24" i="8"/>
  <c r="BY24" i="8" s="1"/>
  <c r="GW24" i="8" s="1"/>
  <c r="BG17" i="8"/>
  <c r="CD17" i="8" s="1"/>
  <c r="HB17" i="8" s="1"/>
  <c r="BB14" i="8"/>
  <c r="BY14" i="8" s="1"/>
  <c r="GW14" i="8" s="1"/>
  <c r="BC14" i="8"/>
  <c r="BZ14" i="8" s="1"/>
  <c r="GX14" i="8" s="1"/>
  <c r="BL16" i="8"/>
  <c r="CI16" i="8" s="1"/>
  <c r="HG16" i="8" s="1"/>
  <c r="BA6" i="8"/>
  <c r="BX6" i="8" s="1"/>
  <c r="GV6" i="8" s="1"/>
  <c r="BF22" i="8"/>
  <c r="CC22" i="8" s="1"/>
  <c r="HA22" i="8" s="1"/>
  <c r="BH10" i="8"/>
  <c r="CE10" i="8" s="1"/>
  <c r="HC10" i="8" s="1"/>
  <c r="BO12" i="8"/>
  <c r="CL12" i="8" s="1"/>
  <c r="HJ12" i="8" s="1"/>
  <c r="AU7" i="8"/>
  <c r="BR7" i="8" s="1"/>
  <c r="GP7" i="8" s="1"/>
  <c r="BB16" i="8"/>
  <c r="BY16" i="8" s="1"/>
  <c r="GW16" i="8" s="1"/>
  <c r="BM10" i="8"/>
  <c r="CJ10" i="8" s="1"/>
  <c r="HH10" i="8" s="1"/>
  <c r="BE5" i="8"/>
  <c r="CB5" i="8" s="1"/>
  <c r="GZ5" i="8" s="1"/>
  <c r="AV11" i="8"/>
  <c r="BS11" i="8" s="1"/>
  <c r="GQ11" i="8" s="1"/>
  <c r="AZ16" i="8"/>
  <c r="BW16" i="8" s="1"/>
  <c r="GU16" i="8" s="1"/>
  <c r="BM15" i="8"/>
  <c r="CJ15" i="8" s="1"/>
  <c r="HH15" i="8" s="1"/>
  <c r="BI13" i="8"/>
  <c r="CF13" i="8" s="1"/>
  <c r="HD13" i="8" s="1"/>
  <c r="BK18" i="8"/>
  <c r="CH18" i="8" s="1"/>
  <c r="HF18" i="8" s="1"/>
  <c r="BK9" i="8"/>
  <c r="CH9" i="8" s="1"/>
  <c r="HF9" i="8" s="1"/>
  <c r="AY9" i="8"/>
  <c r="BV9" i="8" s="1"/>
  <c r="GT9" i="8" s="1"/>
  <c r="AY17" i="8"/>
  <c r="BV17" i="8" s="1"/>
  <c r="GT17" i="8" s="1"/>
  <c r="BI22" i="8"/>
  <c r="CF22" i="8" s="1"/>
  <c r="HD22" i="8" s="1"/>
  <c r="BB19" i="8"/>
  <c r="BY19" i="8" s="1"/>
  <c r="GW19" i="8" s="1"/>
  <c r="F16" i="8"/>
  <c r="BN14" i="8"/>
  <c r="CK14" i="8" s="1"/>
  <c r="HI14" i="8" s="1"/>
  <c r="AV23" i="8"/>
  <c r="BS23" i="8" s="1"/>
  <c r="GQ23" i="8" s="1"/>
  <c r="BO6" i="8"/>
  <c r="CL6" i="8" s="1"/>
  <c r="HJ6" i="8" s="1"/>
  <c r="BE15" i="8"/>
  <c r="CB15" i="8" s="1"/>
  <c r="GZ15" i="8" s="1"/>
  <c r="BH7" i="8"/>
  <c r="CE7" i="8" s="1"/>
  <c r="HC7" i="8" s="1"/>
  <c r="BG7" i="8"/>
  <c r="CD7" i="8" s="1"/>
  <c r="HB7" i="8" s="1"/>
  <c r="AX15" i="8"/>
  <c r="BU15" i="8" s="1"/>
  <c r="GS15" i="8" s="1"/>
  <c r="AZ20" i="8"/>
  <c r="BW20" i="8" s="1"/>
  <c r="GU20" i="8" s="1"/>
  <c r="BG16" i="8"/>
  <c r="CD16" i="8" s="1"/>
  <c r="HB16" i="8" s="1"/>
  <c r="BO24" i="8"/>
  <c r="CL24" i="8" s="1"/>
  <c r="HJ24" i="8" s="1"/>
  <c r="HN6" i="8" l="1"/>
  <c r="AH6" i="8" s="1"/>
  <c r="HN5" i="8"/>
  <c r="HN23" i="8"/>
  <c r="HN22" i="8"/>
  <c r="HN8" i="8"/>
  <c r="HN16" i="8"/>
  <c r="HN19" i="8"/>
  <c r="HN9" i="8"/>
  <c r="HN20" i="8"/>
  <c r="HN17" i="8"/>
  <c r="HN7" i="8"/>
  <c r="HO7" i="8" s="1"/>
  <c r="HN14" i="8"/>
  <c r="HN11" i="8"/>
  <c r="HN15" i="8"/>
  <c r="HN21" i="8"/>
  <c r="G15" i="8"/>
  <c r="N15" i="8"/>
  <c r="N18" i="8" s="1"/>
  <c r="HN18" i="8"/>
  <c r="HN24" i="8"/>
  <c r="HO6" i="8"/>
  <c r="AH5" i="8"/>
  <c r="HO5" i="8"/>
  <c r="X5" i="8"/>
  <c r="HN13" i="8"/>
  <c r="HN10" i="8"/>
  <c r="HN12" i="8"/>
  <c r="X6" i="8" l="1"/>
  <c r="AH14" i="8"/>
  <c r="HO15" i="8"/>
  <c r="X14" i="8"/>
  <c r="HO21" i="8"/>
  <c r="X20" i="8"/>
  <c r="AH20" i="8"/>
  <c r="AI21" i="8" s="1"/>
  <c r="AK21" i="8" s="1"/>
  <c r="Y5" i="8"/>
  <c r="AB5" i="8" s="1"/>
  <c r="Y6" i="8"/>
  <c r="AB6" i="8" s="1"/>
  <c r="AA5" i="8"/>
  <c r="AC5" i="8" s="1"/>
  <c r="AH11" i="8"/>
  <c r="AI12" i="8" s="1"/>
  <c r="AK12" i="8" s="1"/>
  <c r="HO12" i="8"/>
  <c r="X11" i="8"/>
  <c r="X10" i="8"/>
  <c r="HO11" i="8"/>
  <c r="AH10" i="8"/>
  <c r="AI11" i="8" s="1"/>
  <c r="AK11" i="8" s="1"/>
  <c r="X24" i="8"/>
  <c r="AA24" i="8" s="1"/>
  <c r="AH24" i="8"/>
  <c r="AH21" i="8"/>
  <c r="X21" i="8"/>
  <c r="HO22" i="8"/>
  <c r="AH12" i="8"/>
  <c r="AI13" i="8" s="1"/>
  <c r="AK13" i="8" s="1"/>
  <c r="X12" i="8"/>
  <c r="HO13" i="8"/>
  <c r="AH19" i="8"/>
  <c r="AI20" i="8" s="1"/>
  <c r="AK20" i="8" s="1"/>
  <c r="X19" i="8"/>
  <c r="HO20" i="8"/>
  <c r="AI6" i="8"/>
  <c r="AK6" i="8" s="1"/>
  <c r="AI5" i="8"/>
  <c r="AK5" i="8" s="1"/>
  <c r="AA6" i="8"/>
  <c r="AC6" i="8" s="1"/>
  <c r="X7" i="8"/>
  <c r="Y7" i="8" s="1"/>
  <c r="AB7" i="8" s="1"/>
  <c r="AH7" i="8"/>
  <c r="AI8" i="8" s="1"/>
  <c r="AK8" i="8" s="1"/>
  <c r="HO8" i="8"/>
  <c r="AH13" i="8"/>
  <c r="AI14" i="8" s="1"/>
  <c r="AK14" i="8" s="1"/>
  <c r="HO14" i="8"/>
  <c r="X13" i="8"/>
  <c r="X8" i="8"/>
  <c r="AH8" i="8"/>
  <c r="HO9" i="8"/>
  <c r="AH15" i="8"/>
  <c r="AI16" i="8" s="1"/>
  <c r="AK16" i="8" s="1"/>
  <c r="HO16" i="8"/>
  <c r="X15" i="8"/>
  <c r="X17" i="8"/>
  <c r="AH17" i="8"/>
  <c r="AI18" i="8" s="1"/>
  <c r="AK18" i="8" s="1"/>
  <c r="HO18" i="8"/>
  <c r="AH9" i="8"/>
  <c r="X9" i="8"/>
  <c r="HO10" i="8"/>
  <c r="HO17" i="8"/>
  <c r="AH16" i="8"/>
  <c r="X16" i="8"/>
  <c r="AH22" i="8"/>
  <c r="HO23" i="8"/>
  <c r="X22" i="8"/>
  <c r="AH18" i="8"/>
  <c r="HO19" i="8"/>
  <c r="X18" i="8"/>
  <c r="AH23" i="8"/>
  <c r="AI24" i="8" s="1"/>
  <c r="AK24" i="8" s="1"/>
  <c r="HO24" i="8"/>
  <c r="X23" i="8"/>
  <c r="AI10" i="8" l="1"/>
  <c r="AK10" i="8" s="1"/>
  <c r="AI19" i="8"/>
  <c r="AK19" i="8" s="1"/>
  <c r="Y19" i="8"/>
  <c r="AB19" i="8" s="1"/>
  <c r="AA18" i="8"/>
  <c r="AA23" i="8"/>
  <c r="Y24" i="8"/>
  <c r="AB24" i="8" s="1"/>
  <c r="AC24" i="8" s="1"/>
  <c r="AA19" i="8"/>
  <c r="AC19" i="8" s="1"/>
  <c r="Y20" i="8"/>
  <c r="AB20" i="8" s="1"/>
  <c r="AI7" i="8"/>
  <c r="AK7" i="8" s="1"/>
  <c r="Y11" i="8"/>
  <c r="AB11" i="8" s="1"/>
  <c r="AA10" i="8"/>
  <c r="AC10" i="8" s="1"/>
  <c r="AA17" i="8"/>
  <c r="AC17" i="8" s="1"/>
  <c r="Y18" i="8"/>
  <c r="AB18" i="8" s="1"/>
  <c r="AA15" i="8"/>
  <c r="AC15" i="8" s="1"/>
  <c r="Y16" i="8"/>
  <c r="AB16" i="8" s="1"/>
  <c r="Y13" i="8"/>
  <c r="AB13" i="8" s="1"/>
  <c r="AA12" i="8"/>
  <c r="AI23" i="8"/>
  <c r="AK23" i="8" s="1"/>
  <c r="Y21" i="8"/>
  <c r="AB21" i="8" s="1"/>
  <c r="AA20" i="8"/>
  <c r="Y22" i="8"/>
  <c r="AB22" i="8" s="1"/>
  <c r="AA21" i="8"/>
  <c r="AC21" i="8" s="1"/>
  <c r="Y15" i="8"/>
  <c r="AB15" i="8" s="1"/>
  <c r="AA14" i="8"/>
  <c r="Y10" i="8"/>
  <c r="AB10" i="8" s="1"/>
  <c r="AA9" i="8"/>
  <c r="AC9" i="8" s="1"/>
  <c r="Y8" i="8"/>
  <c r="AB8" i="8" s="1"/>
  <c r="AA7" i="8"/>
  <c r="AC7" i="8" s="1"/>
  <c r="Y23" i="8"/>
  <c r="AB23" i="8" s="1"/>
  <c r="AA22" i="8"/>
  <c r="AC22" i="8" s="1"/>
  <c r="AI9" i="8"/>
  <c r="AK9" i="8" s="1"/>
  <c r="Y14" i="8"/>
  <c r="AB14" i="8" s="1"/>
  <c r="AA13" i="8"/>
  <c r="AI22" i="8"/>
  <c r="AK22" i="8" s="1"/>
  <c r="Y12" i="8"/>
  <c r="AB12" i="8" s="1"/>
  <c r="AA11" i="8"/>
  <c r="AA8" i="8"/>
  <c r="Y9" i="8"/>
  <c r="AB9" i="8" s="1"/>
  <c r="AA16" i="8"/>
  <c r="Y17" i="8"/>
  <c r="AB17" i="8" s="1"/>
  <c r="AI17" i="8"/>
  <c r="AK17" i="8" s="1"/>
  <c r="AI15" i="8"/>
  <c r="AK15" i="8" s="1"/>
  <c r="AC14" i="8" l="1"/>
  <c r="D22" i="8"/>
  <c r="AC13" i="8"/>
  <c r="AC8" i="8"/>
  <c r="AC20" i="8"/>
  <c r="AC16" i="8"/>
  <c r="AC11" i="8"/>
  <c r="AC18" i="8"/>
  <c r="AC23" i="8"/>
  <c r="AC12" i="8"/>
  <c r="D21" i="8" l="1"/>
  <c r="D23" i="8" l="1"/>
  <c r="D20" i="8"/>
  <c r="D24" i="8" l="1"/>
  <c r="D25" i="8"/>
  <c r="D26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<sst xmlns="http://schemas.openxmlformats.org/spreadsheetml/2006/main" count="1295" uniqueCount="384">
  <si>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</si>
  <si>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</si>
  <si>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</si>
  <si>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</si>
  <si>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</si>
  <si>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</si>
  <si>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Time, T</t>
  </si>
  <si>
    <t>Coupon</t>
  </si>
  <si>
    <t>P(Survive), Q(T)</t>
  </si>
  <si>
    <t>LossGivenDefault, LGD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</si>
  <si>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</si>
  <si>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</si>
  <si>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</si>
  <si>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</si>
  <si>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</si>
  <si>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</si>
  <si>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</si>
  <si>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</si>
  <si>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</si>
  <si>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</si>
  <si>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</si>
  <si>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</si>
  <si>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</si>
  <si>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Discount Factors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</si>
  <si>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</si>
  <si>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</si>
  <si>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</si>
  <si>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</si>
  <si>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</si>
  <si>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</si>
  <si>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</si>
  <si>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</si>
  <si>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</si>
  <si>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</si>
  <si>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</si>
  <si>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</si>
  <si>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</si>
  <si>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</si>
  <si>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</si>
  <si>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</si>
  <si>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</si>
  <si>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</si>
  <si>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Solver Iteration Results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</si>
  <si>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</si>
  <si>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</si>
  <si>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</si>
  <si>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</si>
  <si>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</si>
  <si>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Time (Years)</t>
  </si>
  <si>
    <t>Risky Annuity</t>
  </si>
  <si>
    <t>CDS PVs</t>
  </si>
  <si>
    <t>Inverse Jacobian, dH/dP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</si>
  <si>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</si>
  <si>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</si>
  <si>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</si>
  <si>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</si>
  <si>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</si>
  <si>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</si>
  <si>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</si>
  <si>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</si>
  <si>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</si>
  <si>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</si>
  <si>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</si>
  <si>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</si>
  <si>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</si>
  <si>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</si>
  <si>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</si>
  <si>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</si>
  <si>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</si>
  <si>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+/-</t>
  </si>
  <si>
    <t>dProtection/dH</t>
  </si>
  <si>
    <t>dRiskyAnnuity/dH</t>
  </si>
  <si>
    <r>
      <t>dPROT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</si>
  <si>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</si>
  <si>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</si>
  <si>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</si>
  <si>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</si>
  <si>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</si>
  <si>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</si>
  <si>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2Y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</si>
  <si>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3Y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</si>
  <si>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4Y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</si>
  <si>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5Y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</si>
  <si>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10Y</t>
    </r>
  </si>
  <si>
    <t>dPROT/dH</t>
  </si>
  <si>
    <t>dRA/dH</t>
  </si>
  <si>
    <r>
      <rPr>
        <b/>
        <sz val="11"/>
        <color rgb="FF0000FF"/>
        <rFont val="Calibri"/>
        <family val="2"/>
        <scheme val="minor"/>
      </rPr>
      <t>Numerical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</si>
  <si>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r>
      <rPr>
        <b/>
        <sz val="11"/>
        <color rgb="FF0000FF"/>
        <rFont val="Calibri"/>
        <family val="2"/>
        <scheme val="minor"/>
      </rPr>
      <t>Analytical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</si>
  <si>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t>Bump 1Y</t>
  </si>
  <si>
    <t>Bump 2Y</t>
  </si>
  <si>
    <t>Bump 4Y</t>
  </si>
  <si>
    <t>Bump 5Y</t>
  </si>
  <si>
    <t>Bump 3 Y</t>
  </si>
  <si>
    <t>Hazard Rates &amp; Probabilities</t>
  </si>
  <si>
    <t>Shifted-Hazard</t>
  </si>
  <si>
    <t>Bump 10Y</t>
  </si>
  <si>
    <t>Rate</t>
  </si>
  <si>
    <t>Shifted Protection PV</t>
  </si>
  <si>
    <t>Shifted Risky Annuity</t>
  </si>
  <si>
    <r>
      <t>ParRate</t>
    </r>
    <r>
      <rPr>
        <vertAlign val="subscript"/>
        <sz val="11"/>
        <color theme="1"/>
        <rFont val="Calibri"/>
        <family val="2"/>
        <scheme val="minor"/>
      </rPr>
      <t>1Y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</si>
  <si>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2Y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</si>
  <si>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3Y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</si>
  <si>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4Y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</si>
  <si>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5Y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</si>
  <si>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10Y</t>
    </r>
  </si>
  <si>
    <t>Par Rate</t>
  </si>
  <si>
    <t>Shifted Par Rate %</t>
  </si>
  <si>
    <t>Shift Size</t>
  </si>
  <si>
    <t>NUMERICAL</t>
  </si>
  <si>
    <t>&lt;--- Can be computed numerically or analytically</t>
  </si>
  <si>
    <t>Par Spread (%)</t>
  </si>
  <si>
    <t>Premium Leg</t>
  </si>
  <si>
    <t>CreditSpread (bps)</t>
  </si>
  <si>
    <t>Buy/Sell Protection</t>
  </si>
  <si>
    <t>BUY</t>
  </si>
  <si>
    <t>RecoveryRate</t>
  </si>
  <si>
    <t>Parameters</t>
  </si>
  <si>
    <t>CreditSpread (in %)</t>
  </si>
  <si>
    <t>YearFraction</t>
  </si>
  <si>
    <t>PremiumSign</t>
  </si>
  <si>
    <t>ProtectionSign</t>
  </si>
  <si>
    <t>-</t>
  </si>
  <si>
    <t>Results</t>
  </si>
  <si>
    <t>PV( CDS )</t>
  </si>
  <si>
    <t>PV( Premium Leg )</t>
  </si>
  <si>
    <t>PV( Protection Leg)</t>
  </si>
  <si>
    <t>PV01</t>
  </si>
  <si>
    <t>HazardRate</t>
  </si>
  <si>
    <t>Premium PV</t>
  </si>
  <si>
    <t>Accrued PV</t>
  </si>
  <si>
    <t>Protection Leg</t>
  </si>
  <si>
    <t>LGD</t>
  </si>
  <si>
    <t>Credit Default Swap (CDS)</t>
  </si>
  <si>
    <t>Tenor (years)</t>
  </si>
  <si>
    <t>DiscFact, P(0,T)</t>
  </si>
  <si>
    <t>Instructions</t>
  </si>
  <si>
    <t>Assumptions</t>
  </si>
  <si>
    <t>Inputs:</t>
  </si>
  <si>
    <t>Outputs:</t>
  </si>
  <si>
    <t>Credit Model</t>
  </si>
  <si>
    <t>Hazard Rates are Deterministic &amp; Piecewise Contant</t>
  </si>
  <si>
    <t xml:space="preserve">CDS Par Spread Quotes </t>
  </si>
  <si>
    <t>Hazard Rates (Instantaneous Probability of Default)</t>
  </si>
  <si>
    <t>1.CDS Curve Specification</t>
  </si>
  <si>
    <t xml:space="preserve">2. CDS Market Data </t>
  </si>
  <si>
    <t>3. Tolerance</t>
  </si>
  <si>
    <t>4. Initial Guess: H = S / ( 1 - R)</t>
  </si>
  <si>
    <t>5. Show Iterations</t>
  </si>
  <si>
    <t>1. Specify the CDS Recovery Rate ( 40% for Senior Bonds, 20% for Subordinated Bonds)</t>
  </si>
  <si>
    <t>2. Input the CDS Market Data i.e. Market Par Spreads</t>
  </si>
  <si>
    <t>In this workbook we demonstrate how to calibrate a credit curve to CDS instruments.</t>
  </si>
  <si>
    <t>We can calibrate to Corporate Bonds or CDS, here we calibrate to CDS.</t>
  </si>
  <si>
    <t>3. Enter the solver tolerance</t>
  </si>
  <si>
    <t>4. Enter an initial guess for the hazard rate, we use H = S / (1-R), which is a reasonable</t>
  </si>
  <si>
    <t>5. To show each solver iteration, set show iterations to True</t>
  </si>
  <si>
    <t>Chart Data</t>
  </si>
  <si>
    <t>Time</t>
  </si>
  <si>
    <t>Multi-Dimensional Newton-Raphson Solver Algorithm</t>
  </si>
  <si>
    <t>Hazard Rates</t>
  </si>
  <si>
    <t>Shifted-Hazard Rates</t>
  </si>
  <si>
    <t>(This is standard industry practice)</t>
  </si>
  <si>
    <r>
      <t xml:space="preserve">Calibration formulas used can be found here: </t>
    </r>
    <r>
      <rPr>
        <u/>
        <sz val="11"/>
        <color rgb="FF0000FF"/>
        <rFont val="Calibri"/>
        <family val="2"/>
        <scheme val="minor"/>
      </rPr>
      <t>https://ssrn.com/abstract=3479833</t>
    </r>
  </si>
  <si>
    <t>allows us to price a wide variety of financial instruments.</t>
  </si>
  <si>
    <t>We use the forward rate and discount factor interpolation tables to generate forwards and discount factors for any date, which</t>
  </si>
  <si>
    <t>Piecewise Cubic Hermite Intepolation, which we have extended to support exact integration for discount factor calculations.</t>
  </si>
  <si>
    <t>We store the outputs i.e. the USD SOFR Forward Rates and Discount Factors in an interpolation table. Here we use</t>
  </si>
  <si>
    <t>More specifically, in this case we have L(n+1) = L(n) + dL/dP . ( Model P - Market P )</t>
  </si>
  <si>
    <r>
      <t>In general terms for the Newton-Raphson formula is quoted as X(n+1) = X(n)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.F( X(x) ), where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= dL/dP.</t>
    </r>
  </si>
  <si>
    <t>Here, the State Variable x is the USD SOFR forward rate, L and F(x) = (Model Par Rate - Market Par Rate).</t>
  </si>
  <si>
    <t>The Newton-Raphson algorithm iteratively searches for the x in our Target Function, F(x) that gives a zero value.</t>
  </si>
  <si>
    <t>first-order Risk Jacobian (J), where J = dParRate/dForwardRate (dP/dL), which is useful for risk calculations.</t>
  </si>
  <si>
    <t>We use the Newton-Raphson solver algorithm, which is a gradient descent algorithm. It captures as a by-product the</t>
  </si>
  <si>
    <t>Given as input USD SOFR Par Rates from the Market we solve for the corresponding Forward Rates and Discount Factors.</t>
  </si>
  <si>
    <t>How the Calibration Process Works</t>
  </si>
  <si>
    <t>5.   Press the 'Run Solver' Button</t>
  </si>
  <si>
    <t>4.   To View Intermediate Results, Set ShowIterations to TRUE</t>
  </si>
  <si>
    <t>Finally we integrate f(u) by assuming all forward rates fit a well-defined polynomial</t>
  </si>
  <si>
    <t>3.   Enter an Initial Guess for the Forward Rates</t>
  </si>
  <si>
    <t>2.   Enter the Tolerance</t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</si>
  <si>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</si>
  <si>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1.   Enter the Market Par Rates</t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</si>
  <si>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</si>
  <si>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t>** Cubic Hermite Integration</t>
  </si>
  <si>
    <t>* Cubic Hermite Interpolation</t>
  </si>
  <si>
    <t>where</t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</si>
  <si>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</si>
  <si>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t>USDSOFR</t>
  </si>
  <si>
    <t>For a given forward rate we imply discount factors by integrating over u from t to T,</t>
  </si>
  <si>
    <t>9Y</t>
  </si>
  <si>
    <t>8Y</t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</si>
  <si>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</si>
  <si>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t>7Y</t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</si>
  <si>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</si>
  <si>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t>6Y</t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</si>
  <si>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</si>
  <si>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</si>
  <si>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</si>
  <si>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t>Integral</t>
  </si>
  <si>
    <t>x</t>
  </si>
  <si>
    <t>Check</t>
  </si>
  <si>
    <t>y</t>
  </si>
  <si>
    <t>Newton-Raphson formula,</t>
  </si>
  <si>
    <t>4. Show Iterations</t>
  </si>
  <si>
    <t>Curve</t>
  </si>
  <si>
    <t>We globally solve for USD discount factors &amp; forward rates using the multi-dimensional</t>
  </si>
  <si>
    <t>Iteration Results</t>
  </si>
  <si>
    <t>OVERVIEW</t>
  </si>
  <si>
    <t>Discount Factor Interpolation Table</t>
  </si>
  <si>
    <t>Forward Rates Interpolation Table</t>
  </si>
  <si>
    <t>which are set In-Arrears.</t>
  </si>
  <si>
    <t>hower OIS Swap effective forward rates comprise of averaged or compounded daily fixing rates,</t>
  </si>
  <si>
    <r>
      <t>dL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</si>
  <si>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</si>
  <si>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t>3. We assume OIS Swaps are determined by a single fixing in-advance for simplicity. In practise</t>
  </si>
  <si>
    <r>
      <t>dL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</si>
  <si>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</si>
  <si>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t>2. There are no holidays and that all year fractions are based on a regular 30/360 daycount basis</t>
  </si>
  <si>
    <r>
      <t>dL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</si>
  <si>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</si>
  <si>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t>1. We assume all swaps have annualized coupons</t>
  </si>
  <si>
    <r>
      <t>dLP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</si>
  <si>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</si>
  <si>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For simplicity and brevity we assume,</t>
  </si>
  <si>
    <r>
      <t>dL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</si>
  <si>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</si>
  <si>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t>ASSUMPTIONS</t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</si>
  <si>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</si>
  <si>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</si>
  <si>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</si>
  <si>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</si>
  <si>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t>7. For comparison live market data par rates, discount factors and forwards are shown in cells L4:P18</t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</si>
  <si>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</si>
  <si>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</si>
  <si>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t>6. USDOIS discount factor results are displayed in blue in cells AB8:AB12</t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</si>
  <si>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</si>
  <si>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</si>
  <si>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t>5. USDOIS and USD3ML forward rate results are displayed in blue in cells U8:U18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</si>
  <si>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</si>
  <si>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</si>
  <si>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t>4. To see the intermediate results for each iteration, select TRUE in cell AA20</t>
  </si>
  <si>
    <t>dL/dP</t>
  </si>
  <si>
    <r>
      <t>dL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</si>
  <si>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dP/dL</t>
  </si>
  <si>
    <t>Integrand</t>
  </si>
  <si>
    <t>ParRate, P</t>
  </si>
  <si>
    <t>3. All calculations are performed on this Excel sheet, the macro only copies interation results</t>
  </si>
  <si>
    <t>3. Initial Guess</t>
  </si>
  <si>
    <t>Iteration: 4</t>
  </si>
  <si>
    <t>3. Press the update macro button to globally solve for forward rates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</si>
  <si>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</si>
  <si>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2. Enter the solver precission in cell W4</t>
  </si>
  <si>
    <t>p = PV(Float Leg)/Annuity(Fixed Leg)</t>
  </si>
  <si>
    <t>Integrate USDSOFR Forward Polynomial</t>
  </si>
  <si>
    <t>Calibration Instruments</t>
  </si>
  <si>
    <t>1. Enter your initial guess for the USDOIS and USD3ML forward rates in the yellow cells W8:W18</t>
  </si>
  <si>
    <t>Inverse Jacobian, dL/dP</t>
  </si>
  <si>
    <t>Jacobian, dParRate/dLibor (dP/dL)</t>
  </si>
  <si>
    <t>USDSOFR Discount Factors</t>
  </si>
  <si>
    <t>2. Tolerance</t>
  </si>
  <si>
    <t>Multi-Dimensional Newton-Raphson Algorithm</t>
  </si>
  <si>
    <t>1. USD SOFR Market Data</t>
  </si>
  <si>
    <t>INSTRUCTIONS</t>
  </si>
  <si>
    <t>Numerical DV01</t>
  </si>
  <si>
    <t>PV With Bump</t>
  </si>
  <si>
    <t>PV No Bump</t>
  </si>
  <si>
    <t>Apply Risk Bump</t>
  </si>
  <si>
    <r>
      <rPr>
        <sz val="11"/>
        <color theme="1"/>
        <rFont val="Calibri"/>
        <family val="2"/>
        <scheme val="minor"/>
      </rPr>
      <t xml:space="preserve">4. </t>
    </r>
    <r>
      <rPr>
        <u/>
        <sz val="11"/>
        <color theme="1"/>
        <rFont val="Calibri"/>
        <family val="2"/>
        <scheme val="minor"/>
      </rPr>
      <t>Numerical Risk</t>
    </r>
  </si>
  <si>
    <t>Analytical DV01</t>
  </si>
  <si>
    <t>DV01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</si>
  <si>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</si>
  <si>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</si>
  <si>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</si>
  <si>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3. </t>
    </r>
    <r>
      <rPr>
        <u/>
        <sz val="11"/>
        <color theme="1"/>
        <rFont val="Calibri"/>
        <family val="2"/>
        <scheme val="minor"/>
      </rPr>
      <t>Analytical Risk</t>
    </r>
  </si>
  <si>
    <t>Float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</si>
  <si>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</si>
  <si>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Fixed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</si>
  <si>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</si>
  <si>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t>Swap PV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</si>
  <si>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</si>
  <si>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Swap Pricing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</si>
  <si>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</si>
  <si>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2. </t>
    </r>
    <r>
      <rPr>
        <u/>
        <sz val="11"/>
        <color theme="1"/>
        <rFont val="Calibri"/>
        <family val="2"/>
        <scheme val="minor"/>
      </rPr>
      <t>Annuity Factors</t>
    </r>
  </si>
  <si>
    <t>Tenor, T</t>
  </si>
  <si>
    <t>Libor Spread, s</t>
  </si>
  <si>
    <t>Par Rate, p</t>
  </si>
  <si>
    <t>Float Frequency</t>
  </si>
  <si>
    <t>Market Par Rates</t>
  </si>
  <si>
    <t>Fixed Frequency</t>
  </si>
  <si>
    <t>Spread PV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</si>
  <si>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</si>
  <si>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Notional, N</t>
  </si>
  <si>
    <t>Trade</t>
  </si>
  <si>
    <t>Market</t>
  </si>
  <si>
    <r>
      <rPr>
        <sz val="11"/>
        <color theme="1"/>
        <rFont val="Calibri"/>
        <family val="2"/>
        <scheme val="minor"/>
      </rPr>
      <t xml:space="preserve">1. </t>
    </r>
    <r>
      <rPr>
        <u/>
        <sz val="11"/>
        <color theme="1"/>
        <rFont val="Calibri"/>
        <family val="2"/>
        <scheme val="minor"/>
      </rPr>
      <t>Swap Pricing</t>
    </r>
  </si>
  <si>
    <t>Show Float</t>
  </si>
  <si>
    <t>Show Fixed</t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</si>
  <si>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</si>
  <si>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</si>
  <si>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</si>
  <si>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</si>
  <si>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</si>
  <si>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</si>
  <si>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N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</si>
  <si>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</si>
  <si>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t>Pay Date</t>
  </si>
  <si>
    <t>Accrual End</t>
  </si>
  <si>
    <t>Accrual Start</t>
  </si>
  <si>
    <t>Fixing Date</t>
  </si>
  <si>
    <t>Row</t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</si>
  <si>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</si>
  <si>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</si>
  <si>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</si>
  <si>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</si>
  <si>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</si>
  <si>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PAYER</t>
  </si>
  <si>
    <t>Payer/Receiver</t>
  </si>
  <si>
    <t>Calibration Par Rate Test</t>
  </si>
  <si>
    <t>Analytical DV01 Calculations</t>
  </si>
  <si>
    <t>Display Settings</t>
  </si>
  <si>
    <t>Float Leg</t>
  </si>
  <si>
    <t>Fixed Leg</t>
  </si>
  <si>
    <t>Swap Trade Details</t>
  </si>
  <si>
    <t>Refresh</t>
  </si>
  <si>
    <t>Curve Jacobian</t>
  </si>
  <si>
    <t>Forward Rates &amp;</t>
  </si>
  <si>
    <t>Shifted DF</t>
  </si>
  <si>
    <t>AsOfDate</t>
  </si>
  <si>
    <t>ANNUAL</t>
  </si>
  <si>
    <t>Bloomberg</t>
  </si>
  <si>
    <t xml:space="preserve"> + Jacobians</t>
  </si>
  <si>
    <r>
      <t xml:space="preserve">6. </t>
    </r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For the solver we can choose to use a Numerical or Analytical Risk Jacobian</t>
    </r>
  </si>
  <si>
    <r>
      <t>7. Press the</t>
    </r>
    <r>
      <rPr>
        <b/>
        <sz val="11"/>
        <color theme="1"/>
        <rFont val="Calibri"/>
        <family val="2"/>
        <scheme val="minor"/>
      </rPr>
      <t xml:space="preserve"> Run Solver Macro button </t>
    </r>
    <r>
      <rPr>
        <sz val="11"/>
        <color theme="1"/>
        <rFont val="Calibri"/>
        <family val="2"/>
        <scheme val="minor"/>
      </rPr>
      <t>to run the solver, which is a simple loop in VBA.</t>
    </r>
  </si>
  <si>
    <t>6. Jacobian, dP/dH</t>
  </si>
  <si>
    <t>7. Calibrate Credit Curve</t>
  </si>
  <si>
    <t>5. Calibrate Yield Curve</t>
  </si>
  <si>
    <t>AAPL</t>
  </si>
  <si>
    <t>MSFT</t>
  </si>
  <si>
    <t>NVDA</t>
  </si>
  <si>
    <t>Iteration: 1</t>
  </si>
  <si>
    <t>CreditReference</t>
  </si>
  <si>
    <t>Hazard Rate Market Data</t>
  </si>
  <si>
    <t>Cum P(Def)</t>
  </si>
  <si>
    <t>Norm Inv CDF</t>
  </si>
  <si>
    <t>Default Barrier</t>
  </si>
  <si>
    <t>PDF(M)</t>
  </si>
  <si>
    <t xml:space="preserve">M </t>
  </si>
  <si>
    <t>P(Survive)</t>
  </si>
  <si>
    <t>P(Def)</t>
  </si>
  <si>
    <t>Portfolio</t>
  </si>
  <si>
    <t xml:space="preserve">Basket </t>
  </si>
  <si>
    <t>Implied Correlation</t>
  </si>
  <si>
    <t>Price Results</t>
  </si>
  <si>
    <t>1F Guassian Copula Approach</t>
  </si>
  <si>
    <t>Sum</t>
  </si>
  <si>
    <t>Weakest</t>
  </si>
  <si>
    <t>P(Default &lt; t | M = m)</t>
  </si>
  <si>
    <t>P(Survive until t | M = m)</t>
  </si>
  <si>
    <t>FTD</t>
  </si>
  <si>
    <t>** Numerical Integration **</t>
  </si>
  <si>
    <t>Hazard Curve Market Data</t>
  </si>
  <si>
    <t>Spread</t>
  </si>
  <si>
    <t>Basket</t>
  </si>
  <si>
    <t>Implied Correlation from iTraxx</t>
  </si>
  <si>
    <t>Scale Factor</t>
  </si>
  <si>
    <t>Mkt Stepsize</t>
  </si>
  <si>
    <t>Corr = +1.0</t>
  </si>
  <si>
    <t>Corr = 0.0</t>
  </si>
  <si>
    <t>Effective Beta</t>
  </si>
  <si>
    <t>Avg Product of Beta Weights</t>
  </si>
  <si>
    <t>Max Scale</t>
  </si>
  <si>
    <t>Eff Scale</t>
  </si>
  <si>
    <t>Effective Corr</t>
  </si>
  <si>
    <t>Used Beta</t>
  </si>
  <si>
    <t>Used Corr</t>
  </si>
  <si>
    <t>Valid Market Beta</t>
  </si>
  <si>
    <t>Beta Scaling / Normalization</t>
  </si>
  <si>
    <t>Beta Scaling</t>
  </si>
  <si>
    <t>Check +/-</t>
  </si>
  <si>
    <t>If effective beta gives invalid correlations use beta = 1</t>
  </si>
  <si>
    <t>Mkt Betas</t>
  </si>
  <si>
    <r>
      <rPr>
        <b/>
        <sz val="11"/>
        <color theme="0" tint="-0.249977111117893"/>
        <rFont val="Calibri"/>
        <family val="2"/>
        <scheme val="minor"/>
      </rPr>
      <t>Note:</t>
    </r>
    <r>
      <rPr>
        <sz val="11"/>
        <color theme="0" tint="-0.249977111117893"/>
        <rFont val="Calibri"/>
        <family val="2"/>
        <scheme val="minor"/>
      </rPr>
      <t xml:space="preserve"> Model implied correlation will not match iTraxx implied correlation if max scaling factor breached</t>
    </r>
  </si>
  <si>
    <t>Beta pulls to 1 with high correlation</t>
  </si>
  <si>
    <t>Corr Bounds [0,1)</t>
  </si>
  <si>
    <t>Market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</si>
</sst>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%"/>
    <numFmt numFmtId="165" formatCode="#,##0.000000"/>
    <numFmt numFmtId="166" formatCode="#,##0.0000"/>
    <numFmt numFmtId="167" formatCode="0.00000%"/>
    <numFmt numFmtId="168" formatCode="0.0000000%"/>
    <numFmt numFmtId="169" formatCode="0.0E+00"/>
    <numFmt numFmtId="170" formatCode="#,##0.00000"/>
    <numFmt numFmtId="171" formatCode="d\-mmm\-yy"/>
    <numFmt numFmtId="172" formatCode="#,##0.000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FF"/>
      <name val="Calibri"/>
      <family val="2"/>
    </font>
    <font>
      <vertAlign val="superscript"/>
      <sz val="11"/>
      <color rgb="FF0000FF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66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420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7" fontId="5" fillId="0" borderId="0" xfId="0" applyNumberFormat="1" applyFont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7" fontId="5" fillId="0" borderId="22" xfId="0" applyNumberFormat="1" applyFon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7" fontId="5" fillId="0" borderId="27" xfId="0" applyNumberFormat="1" applyFont="1" applyBorder="1" applyAlignment="1">
      <alignment horizontal="center" vertical="center"/>
    </xf>
    <xf numFmtId="167" fontId="0" fillId="0" borderId="27" xfId="0" applyNumberFormat="1" applyBorder="1" applyAlignment="1">
      <alignment horizontal="center" vertical="center"/>
    </xf>
    <xf numFmtId="167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6" fontId="10" fillId="3" borderId="9" xfId="0" applyNumberFormat="1" applyFont="1" applyFill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10" fillId="3" borderId="12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2" fillId="3" borderId="14" xfId="0" applyNumberFormat="1" applyFont="1" applyFill="1" applyBorder="1" applyAlignment="1">
      <alignment horizontal="center" vertical="center"/>
    </xf>
    <xf numFmtId="166" fontId="2" fillId="3" borderId="4" xfId="0" applyNumberFormat="1" applyFont="1" applyFill="1" applyBorder="1" applyAlignment="1">
      <alignment horizontal="center" vertical="center"/>
    </xf>
    <xf numFmtId="166" fontId="10" fillId="3" borderId="15" xfId="0" applyNumberFormat="1" applyFont="1" applyFill="1" applyBorder="1" applyAlignment="1">
      <alignment horizontal="center" vertical="center"/>
    </xf>
    <xf numFmtId="166" fontId="4" fillId="0" borderId="12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33" xfId="0" applyNumberFormat="1" applyBorder="1" applyAlignment="1">
      <alignment horizontal="center" vertical="center"/>
    </xf>
    <xf numFmtId="168" fontId="0" fillId="0" borderId="34" xfId="0" applyNumberFormat="1" applyBorder="1" applyAlignment="1">
      <alignment horizontal="center" vertical="center"/>
    </xf>
    <xf numFmtId="168" fontId="0" fillId="0" borderId="35" xfId="0" applyNumberFormat="1" applyBorder="1" applyAlignment="1">
      <alignment horizontal="center" vertical="center"/>
    </xf>
    <xf numFmtId="168" fontId="0" fillId="0" borderId="36" xfId="0" applyNumberFormat="1" applyBorder="1" applyAlignment="1">
      <alignment horizontal="center" vertical="center"/>
    </xf>
    <xf numFmtId="168" fontId="0" fillId="0" borderId="37" xfId="0" applyNumberFormat="1" applyBorder="1" applyAlignment="1">
      <alignment horizontal="center" vertical="center"/>
    </xf>
    <xf numFmtId="168" fontId="0" fillId="0" borderId="38" xfId="0" applyNumberFormat="1" applyBorder="1" applyAlignment="1">
      <alignment horizontal="center" vertical="center"/>
    </xf>
    <xf numFmtId="168" fontId="0" fillId="0" borderId="39" xfId="0" applyNumberFormat="1" applyBorder="1" applyAlignment="1">
      <alignment horizontal="center" vertical="center"/>
    </xf>
    <xf numFmtId="168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 quotePrefix="1" applyAlignment="1">
      <alignment horizontal="center" vertical="center"/>
    </xf>
    <xf numFmtId="166" fontId="10" fillId="3" borderId="14" xfId="0" applyNumberFormat="1" applyFont="1" applyFill="1" applyBorder="1" applyAlignment="1">
      <alignment horizontal="center" vertical="center"/>
    </xf>
    <xf numFmtId="166" fontId="10" fillId="3" borderId="4" xfId="0" applyNumberFormat="1" applyFont="1" applyFill="1" applyBorder="1" applyAlignment="1">
      <alignment horizontal="center" vertical="center"/>
    </xf>
    <xf numFmtId="166" fontId="0" fillId="0" borderId="0" xfId="0" applyNumberFormat="1"/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164" fontId="5" fillId="0" borderId="9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10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64" fontId="10" fillId="3" borderId="9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0" fillId="3" borderId="1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3" fontId="2" fillId="3" borderId="15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4" fontId="0" fillId="4" borderId="2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4" fontId="0" fillId="0" borderId="9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5" xfId="0" applyBorder="1"/>
    <xf numFmtId="4" fontId="0" fillId="4" borderId="2" xfId="0" applyNumberFormat="1" applyFill="1" applyBorder="1" applyAlignment="1">
      <alignment horizontal="center" vertical="center"/>
    </xf>
    <xf numFmtId="10" fontId="0" fillId="4" borderId="3" xfId="0" applyNumberForma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3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7" xfId="0" applyBorder="1"/>
    <xf numFmtId="0" fontId="0" fillId="0" borderId="43" xfId="0" applyBorder="1"/>
    <xf numFmtId="0" fontId="0" fillId="0" borderId="6" xfId="0" applyBorder="1"/>
    <xf numFmtId="11" fontId="0" fillId="0" borderId="0" xfId="0" applyNumberFormat="1"/>
    <xf numFmtId="0" fontId="0" fillId="0" borderId="44" xfId="0" applyBorder="1"/>
    <xf numFmtId="0" fontId="0" fillId="0" borderId="45" xfId="0" applyBorder="1"/>
    <xf numFmtId="0" fontId="0" fillId="0" borderId="46" xfId="0" applyBorder="1"/>
    <xf numFmtId="169" fontId="13" fillId="0" borderId="0" xfId="0" applyNumberFormat="1" applyFont="1" applyAlignment="1">
      <alignment horizontal="center" vertical="center"/>
    </xf>
    <xf numFmtId="0" fontId="0" fillId="2" borderId="41" xfId="0" applyFill="1" applyBorder="1"/>
    <xf numFmtId="0" fontId="0" fillId="2" borderId="42" xfId="0" applyFill="1" applyBorder="1"/>
    <xf numFmtId="169" fontId="13" fillId="2" borderId="42" xfId="0" applyNumberFormat="1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43" xfId="0" applyFill="1" applyBorder="1"/>
    <xf numFmtId="0" fontId="0" fillId="2" borderId="0" xfId="0" applyFill="1"/>
    <xf numFmtId="169" fontId="13" fillId="2" borderId="0" xfId="0" applyNumberFormat="1" applyFont="1" applyFill="1" applyAlignment="1">
      <alignment horizontal="center" vertical="center"/>
    </xf>
    <xf numFmtId="0" fontId="0" fillId="2" borderId="6" xfId="0" applyFill="1" applyBorder="1"/>
    <xf numFmtId="0" fontId="0" fillId="0" borderId="0" xfId="0" applyAlignment="1">
      <alignment horizontal="left"/>
    </xf>
    <xf numFmtId="0" fontId="0" fillId="2" borderId="44" xfId="0" applyFill="1" applyBorder="1"/>
    <xf numFmtId="0" fontId="0" fillId="2" borderId="45" xfId="0" applyFill="1" applyBorder="1"/>
    <xf numFmtId="0" fontId="0" fillId="2" borderId="46" xfId="0" applyFill="1" applyBorder="1"/>
    <xf numFmtId="4" fontId="0" fillId="0" borderId="0" xfId="0" quotePrefix="1" applyNumberFormat="1"/>
    <xf numFmtId="165" fontId="5" fillId="0" borderId="15" xfId="0" applyNumberFormat="1" applyFon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167" fontId="0" fillId="0" borderId="4" xfId="0" applyNumberFormat="1" applyBorder="1"/>
    <xf numFmtId="167" fontId="5" fillId="0" borderId="4" xfId="0" applyNumberFormat="1" applyFont="1" applyBorder="1" applyAlignment="1">
      <alignment horizontal="center" vertical="center"/>
    </xf>
    <xf numFmtId="165" fontId="5" fillId="0" borderId="13" xfId="0" applyNumberFormat="1" applyFont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167" fontId="0" fillId="0" borderId="0" xfId="0" applyNumberFormat="1"/>
    <xf numFmtId="0" fontId="6" fillId="0" borderId="0" xfId="0" applyFont="1" applyAlignment="1">
      <alignment horizontal="left"/>
    </xf>
    <xf numFmtId="167" fontId="0" fillId="2" borderId="41" xfId="0" applyNumberFormat="1" applyFill="1" applyBorder="1" applyAlignment="1">
      <alignment horizontal="center" vertical="center"/>
    </xf>
    <xf numFmtId="167" fontId="0" fillId="2" borderId="42" xfId="0" applyNumberFormat="1" applyFill="1" applyBorder="1" applyAlignment="1">
      <alignment horizontal="center" vertical="center"/>
    </xf>
    <xf numFmtId="167" fontId="0" fillId="2" borderId="7" xfId="0" applyNumberFormat="1" applyFill="1" applyBorder="1" applyAlignment="1">
      <alignment horizontal="center" vertical="center"/>
    </xf>
    <xf numFmtId="167" fontId="0" fillId="2" borderId="43" xfId="0" applyNumberFormat="1" applyFill="1" applyBorder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167" fontId="0" fillId="2" borderId="6" xfId="0" applyNumberFormat="1" applyFill="1" applyBorder="1" applyAlignment="1">
      <alignment horizontal="center" vertical="center"/>
    </xf>
    <xf numFmtId="165" fontId="5" fillId="0" borderId="11" xfId="0" applyNumberFormat="1" applyFont="1" applyBorder="1" applyAlignment="1">
      <alignment horizontal="center" vertical="center"/>
    </xf>
    <xf numFmtId="167" fontId="0" fillId="0" borderId="45" xfId="0" applyNumberFormat="1" applyBorder="1" applyAlignment="1">
      <alignment horizontal="center" vertical="center"/>
    </xf>
    <xf numFmtId="169" fontId="0" fillId="0" borderId="11" xfId="0" quotePrefix="1" applyNumberFormat="1" applyBorder="1" applyAlignment="1">
      <alignment horizontal="center" vertical="center"/>
    </xf>
    <xf numFmtId="167" fontId="0" fillId="0" borderId="45" xfId="0" quotePrefix="1" applyNumberForma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167" fontId="0" fillId="2" borderId="44" xfId="0" applyNumberFormat="1" applyFill="1" applyBorder="1" applyAlignment="1">
      <alignment horizontal="center" vertical="center"/>
    </xf>
    <xf numFmtId="167" fontId="0" fillId="2" borderId="45" xfId="0" applyNumberFormat="1" applyFill="1" applyBorder="1" applyAlignment="1">
      <alignment horizontal="center" vertical="center"/>
    </xf>
    <xf numFmtId="167" fontId="0" fillId="2" borderId="46" xfId="0" applyNumberFormat="1" applyFill="1" applyBorder="1" applyAlignment="1">
      <alignment horizontal="center" vertical="center"/>
    </xf>
    <xf numFmtId="4" fontId="10" fillId="3" borderId="15" xfId="0" applyNumberFormat="1" applyFont="1" applyFill="1" applyBorder="1" applyAlignment="1">
      <alignment horizontal="center" vertical="center"/>
    </xf>
    <xf numFmtId="4" fontId="10" fillId="3" borderId="4" xfId="0" applyNumberFormat="1" applyFont="1" applyFill="1" applyBorder="1" applyAlignment="1">
      <alignment horizontal="center" vertical="center"/>
    </xf>
    <xf numFmtId="4" fontId="4" fillId="0" borderId="4" xfId="0" applyNumberFormat="1" applyFon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4" fontId="2" fillId="3" borderId="4" xfId="0" applyNumberFormat="1" applyFont="1" applyFill="1" applyBorder="1" applyAlignment="1">
      <alignment horizontal="center" vertical="center"/>
    </xf>
    <xf numFmtId="4" fontId="2" fillId="3" borderId="14" xfId="0" applyNumberFormat="1" applyFont="1" applyFill="1" applyBorder="1" applyAlignment="1">
      <alignment horizontal="center" vertical="center"/>
    </xf>
    <xf numFmtId="167" fontId="0" fillId="0" borderId="41" xfId="0" applyNumberFormat="1" applyBorder="1" applyAlignment="1">
      <alignment horizontal="center" vertical="center"/>
    </xf>
    <xf numFmtId="165" fontId="5" fillId="0" borderId="42" xfId="0" applyNumberFormat="1" applyFont="1" applyBorder="1" applyAlignment="1">
      <alignment horizontal="center" vertical="center"/>
    </xf>
    <xf numFmtId="11" fontId="0" fillId="0" borderId="47" xfId="0" applyNumberFormat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67" fontId="0" fillId="4" borderId="16" xfId="0" applyNumberFormat="1" applyFill="1" applyBorder="1" applyAlignment="1">
      <alignment horizontal="center" vertical="center"/>
    </xf>
    <xf numFmtId="167" fontId="5" fillId="0" borderId="16" xfId="0" applyNumberFormat="1" applyFont="1" applyBorder="1" applyAlignment="1">
      <alignment horizontal="center" vertical="center"/>
    </xf>
    <xf numFmtId="4" fontId="0" fillId="0" borderId="16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7" fontId="0" fillId="0" borderId="0" xfId="0" quotePrefix="1" applyNumberFormat="1" applyAlignment="1">
      <alignment horizontal="center" vertical="center"/>
    </xf>
    <xf numFmtId="167" fontId="4" fillId="4" borderId="15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17" fillId="0" borderId="0" xfId="0" applyFont="1"/>
    <xf numFmtId="4" fontId="10" fillId="3" borderId="0" xfId="0" applyNumberFormat="1" applyFont="1" applyFill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  <xf numFmtId="4" fontId="2" fillId="3" borderId="12" xfId="0" applyNumberFormat="1" applyFont="1" applyFill="1" applyBorder="1" applyAlignment="1">
      <alignment horizontal="center" vertical="center"/>
    </xf>
    <xf numFmtId="167" fontId="0" fillId="0" borderId="43" xfId="0" applyNumberFormat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1" fontId="0" fillId="0" borderId="4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7" fontId="4" fillId="4" borderId="13" xfId="0" applyNumberFormat="1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10" fillId="3" borderId="12" xfId="0" applyNumberFormat="1" applyFont="1" applyFill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4" fontId="10" fillId="3" borderId="9" xfId="0" applyNumberFormat="1" applyFont="1" applyFill="1" applyBorder="1" applyAlignment="1">
      <alignment horizontal="center" vertical="center"/>
    </xf>
    <xf numFmtId="167" fontId="0" fillId="0" borderId="44" xfId="0" applyNumberFormat="1" applyBorder="1" applyAlignment="1">
      <alignment horizontal="center" vertical="center"/>
    </xf>
    <xf numFmtId="165" fontId="5" fillId="0" borderId="45" xfId="0" applyNumberFormat="1" applyFont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11" fontId="0" fillId="0" borderId="44" xfId="0" applyNumberFormat="1" applyBorder="1" applyAlignment="1">
      <alignment horizontal="center" vertical="center"/>
    </xf>
    <xf numFmtId="167" fontId="0" fillId="4" borderId="45" xfId="0" applyNumberFormat="1" applyFill="1" applyBorder="1" applyAlignment="1">
      <alignment horizontal="center" vertical="center"/>
    </xf>
    <xf numFmtId="167" fontId="5" fillId="0" borderId="45" xfId="0" applyNumberFormat="1" applyFont="1" applyBorder="1" applyAlignment="1">
      <alignment horizontal="center" vertical="center"/>
    </xf>
    <xf numFmtId="4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7" fontId="4" fillId="4" borderId="11" xfId="0" applyNumberFormat="1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quotePrefix="1"/>
    <xf numFmtId="0" fontId="18" fillId="0" borderId="0" xfId="0" applyFont="1"/>
    <xf numFmtId="0" fontId="17" fillId="0" borderId="0" xfId="0" applyFont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3" fontId="19" fillId="3" borderId="15" xfId="0" applyNumberFormat="1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/>
    </xf>
    <xf numFmtId="4" fontId="19" fillId="3" borderId="4" xfId="0" applyNumberFormat="1" applyFont="1" applyFill="1" applyBorder="1" applyAlignment="1">
      <alignment horizontal="center" vertical="center"/>
    </xf>
    <xf numFmtId="164" fontId="19" fillId="3" borderId="4" xfId="0" applyNumberFormat="1" applyFont="1" applyFill="1" applyBorder="1" applyAlignment="1">
      <alignment horizontal="center" vertical="center"/>
    </xf>
    <xf numFmtId="3" fontId="19" fillId="3" borderId="4" xfId="0" applyNumberFormat="1" applyFont="1" applyFill="1" applyBorder="1" applyAlignment="1">
      <alignment horizontal="center" vertical="center"/>
    </xf>
    <xf numFmtId="15" fontId="19" fillId="3" borderId="4" xfId="0" applyNumberFormat="1" applyFont="1" applyFill="1" applyBorder="1" applyAlignment="1">
      <alignment horizontal="center" vertical="center"/>
    </xf>
    <xf numFmtId="15" fontId="19" fillId="3" borderId="14" xfId="0" applyNumberFormat="1" applyFont="1" applyFill="1" applyBorder="1" applyAlignment="1">
      <alignment horizontal="center" vertical="center"/>
    </xf>
    <xf numFmtId="0" fontId="20" fillId="0" borderId="13" xfId="0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7" fillId="3" borderId="13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3" fontId="19" fillId="3" borderId="13" xfId="0" applyNumberFormat="1" applyFont="1" applyFill="1" applyBorder="1" applyAlignment="1">
      <alignment horizontal="center" vertical="center"/>
    </xf>
    <xf numFmtId="165" fontId="19" fillId="3" borderId="0" xfId="0" applyNumberFormat="1" applyFont="1" applyFill="1" applyAlignment="1">
      <alignment horizontal="center" vertical="center"/>
    </xf>
    <xf numFmtId="4" fontId="19" fillId="3" borderId="0" xfId="0" applyNumberFormat="1" applyFont="1" applyFill="1" applyAlignment="1">
      <alignment horizontal="center" vertical="center"/>
    </xf>
    <xf numFmtId="164" fontId="19" fillId="3" borderId="0" xfId="0" applyNumberFormat="1" applyFont="1" applyFill="1" applyAlignment="1">
      <alignment horizontal="center" vertical="center"/>
    </xf>
    <xf numFmtId="3" fontId="19" fillId="3" borderId="0" xfId="0" applyNumberFormat="1" applyFont="1" applyFill="1" applyAlignment="1">
      <alignment horizontal="center" vertical="center"/>
    </xf>
    <xf numFmtId="15" fontId="19" fillId="3" borderId="0" xfId="0" applyNumberFormat="1" applyFont="1" applyFill="1" applyAlignment="1">
      <alignment horizontal="center" vertical="center"/>
    </xf>
    <xf numFmtId="15" fontId="19" fillId="3" borderId="12" xfId="0" applyNumberFormat="1" applyFont="1" applyFill="1" applyBorder="1" applyAlignment="1">
      <alignment horizontal="center" vertical="center"/>
    </xf>
    <xf numFmtId="0" fontId="0" fillId="3" borderId="14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21" fillId="3" borderId="13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22" fillId="3" borderId="12" xfId="0" applyFont="1" applyFill="1" applyBorder="1" applyAlignment="1">
      <alignment horizontal="left" vertical="center"/>
    </xf>
    <xf numFmtId="3" fontId="19" fillId="3" borderId="3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3" fontId="19" fillId="3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3" fontId="19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7" fontId="21" fillId="3" borderId="15" xfId="0" applyNumberFormat="1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4" fontId="19" fillId="3" borderId="13" xfId="0" applyNumberFormat="1" applyFont="1" applyFill="1" applyBorder="1" applyAlignment="1">
      <alignment horizontal="center" vertical="center"/>
    </xf>
    <xf numFmtId="167" fontId="21" fillId="3" borderId="13" xfId="0" applyNumberFormat="1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167" fontId="23" fillId="3" borderId="3" xfId="0" applyNumberFormat="1" applyFont="1" applyFill="1" applyBorder="1" applyAlignment="1">
      <alignment horizontal="center" vertical="center"/>
    </xf>
    <xf numFmtId="166" fontId="19" fillId="3" borderId="13" xfId="0" applyNumberFormat="1" applyFont="1" applyFill="1" applyBorder="1" applyAlignment="1">
      <alignment horizontal="center" vertical="center"/>
    </xf>
    <xf numFmtId="4" fontId="0" fillId="6" borderId="3" xfId="0" applyNumberFormat="1" applyFill="1" applyBorder="1" applyAlignment="1">
      <alignment horizontal="center" vertical="center"/>
    </xf>
    <xf numFmtId="167" fontId="21" fillId="3" borderId="11" xfId="0" applyNumberFormat="1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4" fontId="0" fillId="6" borderId="2" xfId="0" applyNumberFormat="1" applyFill="1" applyBorder="1" applyAlignment="1">
      <alignment horizontal="center" vertical="center"/>
    </xf>
    <xf numFmtId="164" fontId="19" fillId="3" borderId="13" xfId="0" applyNumberFormat="1" applyFont="1" applyFill="1" applyBorder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3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3" fontId="19" fillId="3" borderId="11" xfId="0" applyNumberFormat="1" applyFont="1" applyFill="1" applyBorder="1" applyAlignment="1">
      <alignment horizontal="center" vertical="center"/>
    </xf>
    <xf numFmtId="165" fontId="19" fillId="3" borderId="10" xfId="0" applyNumberFormat="1" applyFont="1" applyFill="1" applyBorder="1" applyAlignment="1">
      <alignment horizontal="center" vertical="center"/>
    </xf>
    <xf numFmtId="4" fontId="19" fillId="3" borderId="10" xfId="0" applyNumberFormat="1" applyFont="1" applyFill="1" applyBorder="1" applyAlignment="1">
      <alignment horizontal="center" vertical="center"/>
    </xf>
    <xf numFmtId="164" fontId="19" fillId="3" borderId="10" xfId="0" applyNumberFormat="1" applyFont="1" applyFill="1" applyBorder="1" applyAlignment="1">
      <alignment horizontal="center" vertical="center"/>
    </xf>
    <xf numFmtId="3" fontId="19" fillId="3" borderId="10" xfId="0" applyNumberFormat="1" applyFont="1" applyFill="1" applyBorder="1" applyAlignment="1">
      <alignment horizontal="center" vertical="center"/>
    </xf>
    <xf numFmtId="15" fontId="19" fillId="3" borderId="10" xfId="0" applyNumberFormat="1" applyFont="1" applyFill="1" applyBorder="1" applyAlignment="1">
      <alignment horizontal="center" vertical="center"/>
    </xf>
    <xf numFmtId="15" fontId="19" fillId="3" borderId="9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2" fillId="3" borderId="9" xfId="0" applyFont="1" applyFill="1" applyBorder="1" applyAlignment="1">
      <alignment horizontal="left" vertical="center"/>
    </xf>
    <xf numFmtId="0" fontId="17" fillId="7" borderId="49" xfId="0" applyFont="1" applyFill="1" applyBorder="1" applyAlignment="1">
      <alignment horizontal="center" vertical="center"/>
    </xf>
    <xf numFmtId="0" fontId="17" fillId="7" borderId="50" xfId="0" applyFont="1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164" fontId="0" fillId="7" borderId="51" xfId="0" applyNumberFormat="1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71" fontId="0" fillId="4" borderId="5" xfId="0" applyNumberForma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4" fontId="1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/>
    <xf numFmtId="3" fontId="4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10" fontId="0" fillId="3" borderId="10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10" fontId="0" fillId="3" borderId="4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4" fontId="0" fillId="8" borderId="10" xfId="0" applyNumberFormat="1" applyFill="1" applyBorder="1" applyAlignment="1">
      <alignment horizontal="center" vertical="center"/>
    </xf>
    <xf numFmtId="4" fontId="0" fillId="8" borderId="11" xfId="0" applyNumberFormat="1" applyFill="1" applyBorder="1" applyAlignment="1">
      <alignment horizontal="center" vertical="center"/>
    </xf>
    <xf numFmtId="4" fontId="0" fillId="8" borderId="0" xfId="0" applyNumberFormat="1" applyFill="1" applyAlignment="1">
      <alignment horizontal="center" vertical="center"/>
    </xf>
    <xf numFmtId="4" fontId="0" fillId="8" borderId="13" xfId="0" applyNumberFormat="1" applyFill="1" applyBorder="1" applyAlignment="1">
      <alignment horizontal="center" vertical="center"/>
    </xf>
    <xf numFmtId="4" fontId="0" fillId="8" borderId="4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 vertical="center"/>
    </xf>
    <xf numFmtId="4" fontId="0" fillId="9" borderId="9" xfId="0" applyNumberFormat="1" applyFill="1" applyBorder="1" applyAlignment="1">
      <alignment horizontal="center" vertical="center"/>
    </xf>
    <xf numFmtId="4" fontId="0" fillId="9" borderId="12" xfId="0" applyNumberFormat="1" applyFill="1" applyBorder="1" applyAlignment="1">
      <alignment horizontal="center" vertical="center"/>
    </xf>
    <xf numFmtId="4" fontId="0" fillId="9" borderId="14" xfId="0" applyNumberFormat="1" applyFill="1" applyBorder="1" applyAlignment="1">
      <alignment horizontal="center" vertical="center"/>
    </xf>
    <xf numFmtId="10" fontId="0" fillId="8" borderId="10" xfId="0" applyNumberFormat="1" applyFill="1" applyBorder="1" applyAlignment="1">
      <alignment horizontal="center" vertical="center"/>
    </xf>
    <xf numFmtId="10" fontId="0" fillId="8" borderId="11" xfId="0" applyNumberFormat="1" applyFill="1" applyBorder="1" applyAlignment="1">
      <alignment horizontal="center" vertical="center"/>
    </xf>
    <xf numFmtId="10" fontId="0" fillId="8" borderId="0" xfId="0" applyNumberFormat="1" applyFill="1" applyAlignment="1">
      <alignment horizontal="center" vertical="center"/>
    </xf>
    <xf numFmtId="10" fontId="0" fillId="8" borderId="13" xfId="0" applyNumberFormat="1" applyFill="1" applyBorder="1" applyAlignment="1">
      <alignment horizontal="center" vertical="center"/>
    </xf>
    <xf numFmtId="10" fontId="0" fillId="8" borderId="4" xfId="0" applyNumberFormat="1" applyFill="1" applyBorder="1" applyAlignment="1">
      <alignment horizontal="center" vertical="center"/>
    </xf>
    <xf numFmtId="10" fontId="0" fillId="8" borderId="15" xfId="0" applyNumberFormat="1" applyFill="1" applyBorder="1" applyAlignment="1">
      <alignment horizontal="center" vertical="center"/>
    </xf>
    <xf numFmtId="4" fontId="0" fillId="3" borderId="9" xfId="0" applyNumberFormat="1" applyFill="1" applyBorder="1" applyAlignment="1">
      <alignment horizontal="center" vertical="center"/>
    </xf>
    <xf numFmtId="3" fontId="0" fillId="3" borderId="10" xfId="0" applyNumberFormat="1" applyFill="1" applyBorder="1" applyAlignment="1">
      <alignment horizontal="center" vertical="center"/>
    </xf>
    <xf numFmtId="166" fontId="0" fillId="3" borderId="10" xfId="0" applyNumberFormat="1" applyFill="1" applyBorder="1" applyAlignment="1">
      <alignment horizontal="center" vertical="center"/>
    </xf>
    <xf numFmtId="3" fontId="0" fillId="3" borderId="11" xfId="0" applyNumberFormat="1" applyFill="1" applyBorder="1" applyAlignment="1">
      <alignment horizontal="center" vertical="center"/>
    </xf>
    <xf numFmtId="4" fontId="0" fillId="3" borderId="12" xfId="0" applyNumberFormat="1" applyFill="1" applyBorder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4" fontId="0" fillId="3" borderId="14" xfId="0" applyNumberFormat="1" applyFill="1" applyBorder="1" applyAlignment="1">
      <alignment horizontal="center" vertical="center"/>
    </xf>
    <xf numFmtId="3" fontId="0" fillId="3" borderId="4" xfId="0" applyNumberFormat="1" applyFill="1" applyBorder="1" applyAlignment="1">
      <alignment horizontal="center" vertical="center"/>
    </xf>
    <xf numFmtId="166" fontId="0" fillId="3" borderId="4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3" borderId="2" xfId="0" applyNumberFormat="1" applyFon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66" fontId="5" fillId="3" borderId="3" xfId="0" applyNumberFormat="1" applyFon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4" fontId="2" fillId="5" borderId="5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4" fillId="0" borderId="0" xfId="0" applyFont="1"/>
    <xf numFmtId="0" fontId="10" fillId="0" borderId="0" xfId="0" applyFont="1"/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  <xf numFmtId="4" fontId="2" fillId="5" borderId="46" xfId="0" applyNumberFormat="1" applyFont="1" applyFill="1" applyBorder="1" applyAlignment="1">
      <alignment horizontal="center" vertical="center"/>
    </xf>
    <xf numFmtId="4" fontId="2" fillId="5" borderId="6" xfId="0" applyNumberFormat="1" applyFont="1" applyFill="1" applyBorder="1" applyAlignment="1">
      <alignment horizontal="center" vertical="center"/>
    </xf>
    <xf numFmtId="4" fontId="2" fillId="5" borderId="7" xfId="0" applyNumberFormat="1" applyFont="1" applyFill="1" applyBorder="1" applyAlignment="1">
      <alignment horizontal="center" vertical="center"/>
    </xf>
    <xf numFmtId="4" fontId="0" fillId="0" borderId="52" xfId="0" applyNumberFormat="1" applyBorder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4" fontId="0" fillId="3" borderId="52" xfId="0" applyNumberFormat="1" applyFill="1" applyBorder="1" applyAlignment="1">
      <alignment horizontal="center" vertical="center"/>
    </xf>
    <xf numFmtId="4" fontId="2" fillId="6" borderId="5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4" fontId="0" fillId="3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172" fontId="11" fillId="0" borderId="0" xfId="0" applyNumberFormat="1" applyFont="1" applyAlignment="1">
      <alignment horizontal="center" vertical="center"/>
    </xf>
    <xf numFmtId="0" fontId="0" fillId="0" borderId="0" xfId="0" applyFont="1"/>
    <xf numFmtId="0" fontId="4" fillId="0" borderId="0" xfId="0" applyFont="1" applyAlignment="1">
      <alignment horizontal="right"/>
    </xf>
    <xf numFmtId="4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11" fillId="0" borderId="0" xfId="0" applyFont="1" applyAlignment="1">
      <alignment horizontal="left"/>
    </xf>
    <xf numFmtId="2" fontId="11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SOFR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'IR Yield Curve'!$AD$24:$AD$34</c:f>
              <c:numCache>
                <c:formatCode>#,##0.00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'IR Yield Curve'!$AE$24:$AE$34</c:f>
              <c:numCache>
                <c:formatCode>0.00000%</c:formatCode>
                <c:ptCount val="11"/>
                <c:pt idx="0">
                  <c:v>4.7412179981582654E-2</c:v>
                </c:pt>
                <c:pt idx="1">
                  <c:v>4.4297700000000037E-2</c:v>
                </c:pt>
                <c:pt idx="2">
                  <c:v>4.118322001841742E-2</c:v>
                </c:pt>
                <c:pt idx="3">
                  <c:v>3.9102414838936221E-2</c:v>
                </c:pt>
                <c:pt idx="4">
                  <c:v>3.7885484953529648E-2</c:v>
                </c:pt>
                <c:pt idx="5">
                  <c:v>3.7348384624779976E-2</c:v>
                </c:pt>
                <c:pt idx="6">
                  <c:v>3.7295627680444789E-2</c:v>
                </c:pt>
                <c:pt idx="7">
                  <c:v>3.7128176164857161E-2</c:v>
                </c:pt>
                <c:pt idx="8">
                  <c:v>3.7445915736878665E-2</c:v>
                </c:pt>
                <c:pt idx="9">
                  <c:v>3.7912696548201001E-2</c:v>
                </c:pt>
                <c:pt idx="10">
                  <c:v>3.8228035792041849E-2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2F1-455A-A416-785C5D5A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843968"/>
        <c:axId val="129845504"/>
      </c:lineChart>
      <c:catAx>
        <c:axId val="12984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in Y</a:t>
                </a:r>
                <a:r>
                  <a:rPr lang="en-GB"/>
                  <a:t>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5504"/>
        <c:crosses val="autoZero"/>
        <c:auto val="1"/>
        <c:lblAlgn val="ctr"/>
        <c:lblOffset val="100"/>
        <c:noMultiLvlLbl val="0"/>
      </c:catAx>
      <c:valAx>
        <c:axId val="129845504"/>
        <c:scaling>
          <c:orientation val="minMax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Rate, %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AAPL'!$T$23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AAPL'!$S$24:$S$35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AAPL'!$T$24:$T$35</c:f>
              <c:numCache>
                <c:formatCode>0.0000%</c:formatCode>
                <c:ptCount val="12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7-4DBB-A6A3-4D1A7CF2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MSFT'!$T$23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MSFT'!$S$24:$S$35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MSFT'!$T$24:$T$35</c:f>
              <c:numCache>
                <c:formatCode>0.0000%</c:formatCode>
                <c:ptCount val="12"/>
                <c:pt idx="0">
                  <c:v>5.8333333333333336E-3</c:v>
                </c:pt>
                <c:pt idx="1">
                  <c:v>5.8333333333333336E-3</c:v>
                </c:pt>
                <c:pt idx="2">
                  <c:v>5.8333333333333336E-3</c:v>
                </c:pt>
                <c:pt idx="3">
                  <c:v>5.8333333333333336E-3</c:v>
                </c:pt>
                <c:pt idx="4">
                  <c:v>5.8333333333333336E-3</c:v>
                </c:pt>
                <c:pt idx="5">
                  <c:v>5.8333333333333336E-3</c:v>
                </c:pt>
                <c:pt idx="6">
                  <c:v>5.8333333333333336E-3</c:v>
                </c:pt>
                <c:pt idx="7">
                  <c:v>5.8333333333333336E-3</c:v>
                </c:pt>
                <c:pt idx="8">
                  <c:v>5.8333333333333336E-3</c:v>
                </c:pt>
                <c:pt idx="9">
                  <c:v>5.8333333333333336E-3</c:v>
                </c:pt>
                <c:pt idx="10">
                  <c:v>5.8333333333333336E-3</c:v>
                </c:pt>
                <c:pt idx="11">
                  <c:v>5.8333333333333336E-3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0-4A86-AE70-EDEDC803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NVDA'!$T$23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NVDA'!$S$24:$S$35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NVDA'!$T$24:$T$35</c:f>
              <c:numCache>
                <c:formatCode>0.0000%</c:formatCode>
                <c:ptCount val="12"/>
                <c:pt idx="0">
                  <c:v>7.4999999999999997E-3</c:v>
                </c:pt>
                <c:pt idx="1">
                  <c:v>7.4999999999999997E-3</c:v>
                </c:pt>
                <c:pt idx="2">
                  <c:v>7.4999999999999997E-3</c:v>
                </c:pt>
                <c:pt idx="3">
                  <c:v>7.4999999999999997E-3</c:v>
                </c:pt>
                <c:pt idx="4">
                  <c:v>7.4999999999999997E-3</c:v>
                </c:pt>
                <c:pt idx="5">
                  <c:v>7.4999999999999997E-3</c:v>
                </c:pt>
                <c:pt idx="6">
                  <c:v>7.4999999999999997E-3</c:v>
                </c:pt>
                <c:pt idx="7">
                  <c:v>7.4999999999999997E-3</c:v>
                </c:pt>
                <c:pt idx="8">
                  <c:v>7.4999999999999997E-3</c:v>
                </c:pt>
                <c:pt idx="9">
                  <c:v>7.4999999999999997E-3</c:v>
                </c:pt>
                <c:pt idx="10">
                  <c:v>7.4999999999999997E-3</c:v>
                </c:pt>
                <c:pt idx="11">
                  <c:v>7.4999999999999997E-3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5-41CF-BC4D-0E325D957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85725</xdr:colOff>
      <xdr:row>2</xdr:row>
      <xdr:rowOff>28575</xdr:rowOff>
    </xdr:from>
    <xdr:to>
      <xdr:col>36</xdr:col>
      <xdr:colOff>657226</xdr:colOff>
      <xdr:row>16</xdr:row>
      <xdr:rowOff>219075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F4BB8D-2DED-4527-AB62-3F59E49C2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7620</xdr:rowOff>
        </xdr:from>
        <xdr:to>
          <xdr:col>27</xdr:col>
          <xdr:colOff>297180</xdr:colOff>
          <xdr:row>29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352425</xdr:colOff>
      <xdr:row>1</xdr:row>
      <xdr:rowOff>66675</xdr:rowOff>
    </xdr:from>
    <xdr:to>
      <xdr:col>49</xdr:col>
      <xdr:colOff>496044</xdr:colOff>
      <xdr:row>5</xdr:row>
      <xdr:rowOff>156987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CDC997-CC29-4E32-BA03-ADB6AE770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98025" y="257175"/>
          <a:ext cx="1362819" cy="938037"/>
        </a:xfrm>
        <a:prstGeom prst="rect">
          <a:avLst/>
        </a:prstGeom>
      </xdr:spPr>
    </xdr:pic>
    <xdr:clientData/>
  </xdr:twoCellAnchor>
  <xdr:twoCellAnchor>
    <xdr:from>
      <xdr:col>53</xdr:col>
      <xdr:colOff>57150</xdr:colOff>
      <xdr:row>2</xdr:row>
      <xdr:rowOff>9525</xdr:rowOff>
    </xdr:from>
    <xdr:to>
      <xdr:col>70</xdr:col>
      <xdr:colOff>600076</xdr:colOff>
      <xdr:row>33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8798C3-AEBD-4F8A-900B-FD4C844C1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83675" y="390525"/>
          <a:ext cx="10906126" cy="6867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Swap">
      <xdr:nvPicPr>
        <xdr:cNvPr id="2" name="Picture 1">
          <a:extLst>
            <a:ext uri="{FF2B5EF4-FFF2-40B4-BE49-F238E27FC236}">
              <a16:creationId xmlns:a16="http://schemas.microsoft.com/office/drawing/2014/main" id="{72A489EF-9209-43FC-B352-1ACFF166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9200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9660F-40C2-2E7A-CD7D-6BD850C3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D97F8-989C-45A4-AF7D-84F10918E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2EFC67-97E9-4183-8E70-8098ECA77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3" name="Picture 2">
          <a:extLst>
            <a:ext uri="{FF2B5EF4-FFF2-40B4-BE49-F238E27FC236}">
              <a16:creationId xmlns:a16="http://schemas.microsoft.com/office/drawing/2014/main" id="{8F3B569E-10AD-46CB-ADCB-DF6BD1608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2" name="Picture 1">
          <a:extLst>
            <a:ext uri="{FF2B5EF4-FFF2-40B4-BE49-F238E27FC236}">
              <a16:creationId xmlns:a16="http://schemas.microsoft.com/office/drawing/2014/main" id="{143632D6-B191-400F-95E6-F1941DDE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13460" y="133349"/>
          <a:ext cx="277988" cy="30489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0575-0136-4FF7-90C7-E42BA661CFDF}">
  <sheetPr codeName="Sheet7">
    <tabColor theme="8" tint="0.39997558519241921"/>
  </sheetPr>
  <dimension ref="A1:BT59"/>
  <sheetViews>
    <sheetView showGridLines="0" topLeftCell="K1" zoomScaleNormal="100" workbookViewId="0">
      <selection activeCell="K1" sqref="K1"/>
    </sheetView>
  </sheetViews>
  <sheetFormatPr defaultRowHeight="14.4" outlineLevelCol="1" x14ac:dyDescent="0.3"/>
  <cols>
    <col min="1" max="10" width="9.109375" hidden="1" customWidth="1" outlineLevel="1"/>
    <col min="11" max="11" width="9.109375" customWidth="1" collapsed="1"/>
    <col min="13" max="13" width="10.6640625" bestFit="1" customWidth="1"/>
    <col min="14" max="14" width="9.88671875" bestFit="1" customWidth="1"/>
    <col min="16" max="16" width="11.109375" bestFit="1" customWidth="1"/>
    <col min="17" max="17" width="9.88671875" bestFit="1" customWidth="1"/>
    <col min="21" max="21" width="9.109375" customWidth="1"/>
    <col min="22" max="22" width="10.109375" bestFit="1" customWidth="1"/>
    <col min="23" max="23" width="9.88671875" bestFit="1" customWidth="1"/>
    <col min="24" max="25" width="9.5546875" customWidth="1"/>
    <col min="28" max="28" width="15" bestFit="1" customWidth="1"/>
    <col min="29" max="29" width="10.109375" customWidth="1"/>
    <col min="30" max="30" width="9.109375" customWidth="1" outlineLevel="1"/>
    <col min="31" max="31" width="9.33203125" customWidth="1" outlineLevel="1"/>
    <col min="32" max="33" width="10.109375" customWidth="1" outlineLevel="1"/>
    <col min="34" max="34" width="9.109375" customWidth="1" outlineLevel="1"/>
    <col min="35" max="35" width="9.33203125" customWidth="1" outlineLevel="1"/>
    <col min="36" max="36" width="10.6640625" customWidth="1" outlineLevel="1"/>
    <col min="37" max="38" width="10.88671875" customWidth="1" outlineLevel="1"/>
    <col min="39" max="39" width="15.5546875" bestFit="1" customWidth="1"/>
    <col min="40" max="40" width="9.109375" customWidth="1"/>
    <col min="41" max="45" width="9.109375" hidden="1" customWidth="1" outlineLevel="1"/>
    <col min="46" max="46" width="11.109375" hidden="1" customWidth="1" outlineLevel="1"/>
    <col min="47" max="51" width="9.109375" hidden="1" customWidth="1" outlineLevel="1"/>
    <col min="52" max="52" width="14.33203125" bestFit="1" customWidth="1" collapsed="1"/>
    <col min="54" max="71" width="9.109375" hidden="1" customWidth="1" outlineLevel="1"/>
    <col min="72" max="72" width="9" customWidth="1" collapsed="1"/>
  </cols>
  <sheetData>
    <row r="1" spans="2:72" x14ac:dyDescent="0.3">
      <c r="K1" s="258"/>
      <c r="AM1" s="124" t="s">
        <v>324</v>
      </c>
      <c r="AZ1" s="124" t="s">
        <v>323</v>
      </c>
      <c r="BT1" s="124" t="s">
        <v>328</v>
      </c>
    </row>
    <row r="2" spans="2:72" x14ac:dyDescent="0.3">
      <c r="K2" s="258"/>
      <c r="L2" t="s">
        <v>326</v>
      </c>
      <c r="M2" s="334">
        <f ca="1">TODAY()</f>
        <v>46066</v>
      </c>
      <c r="AM2" s="124" t="s">
        <v>23</v>
      </c>
    </row>
    <row r="3" spans="2:72" x14ac:dyDescent="0.3">
      <c r="B3" s="1" t="s">
        <v>261</v>
      </c>
      <c r="Q3" s="1" t="s">
        <v>259</v>
      </c>
      <c r="S3" s="1"/>
      <c r="T3" s="1"/>
      <c r="V3" s="56" t="s">
        <v>258</v>
      </c>
      <c r="X3" s="2" t="s">
        <v>43</v>
      </c>
      <c r="Z3" s="1" t="s">
        <v>257</v>
      </c>
      <c r="AP3" s="1" t="s">
        <v>256</v>
      </c>
    </row>
    <row r="4" spans="2:72" ht="16.8" x14ac:dyDescent="0.35">
      <c r="B4" t="s">
        <v>254</v>
      </c>
      <c r="L4" s="55" t="s">
        <v>260</v>
      </c>
      <c r="Q4" t="s">
        <v>44</v>
      </c>
      <c r="T4" s="1"/>
      <c r="V4" s="57">
        <v>1E-8</v>
      </c>
      <c r="X4" s="58">
        <f>SQRT(SUMPRODUCT(X8:X17,X8:X17))</f>
        <v>2.7777025060633522E-10</v>
      </c>
      <c r="Z4" t="s">
        <v>252</v>
      </c>
      <c r="AP4" t="s">
        <v>251</v>
      </c>
    </row>
    <row r="5" spans="2:72" ht="15.6" x14ac:dyDescent="0.35">
      <c r="B5" t="s">
        <v>250</v>
      </c>
      <c r="L5" t="s">
        <v>253</v>
      </c>
      <c r="AP5" s="257" t="s">
        <v>249</v>
      </c>
    </row>
    <row r="6" spans="2:72" x14ac:dyDescent="0.3">
      <c r="B6" t="s">
        <v>248</v>
      </c>
      <c r="Q6" s="43" t="s">
        <v>247</v>
      </c>
      <c r="S6" s="1"/>
      <c r="V6" s="56" t="s">
        <v>246</v>
      </c>
      <c r="X6" s="2"/>
    </row>
    <row r="7" spans="2:72" ht="16.2" x14ac:dyDescent="0.3">
      <c r="B7" t="s">
        <v>245</v>
      </c>
      <c r="K7" s="197"/>
      <c r="L7" s="2" t="s">
        <v>10</v>
      </c>
      <c r="M7" s="2" t="s">
        <v>244</v>
      </c>
      <c r="N7" s="197"/>
      <c r="Q7" s="2" t="s">
        <v>203</v>
      </c>
      <c r="R7" s="54" t="s">
        <v>30</v>
      </c>
      <c r="S7" s="54" t="s">
        <v>21</v>
      </c>
      <c r="T7" s="54" t="s">
        <v>45</v>
      </c>
      <c r="U7" s="54" t="s">
        <v>46</v>
      </c>
      <c r="V7" s="2" t="s">
        <v>31</v>
      </c>
      <c r="W7" s="54" t="s">
        <v>47</v>
      </c>
      <c r="X7" s="59" t="s">
        <v>29</v>
      </c>
      <c r="Z7" s="2" t="s">
        <v>21</v>
      </c>
      <c r="AA7" s="2" t="s">
        <v>22</v>
      </c>
      <c r="AB7" s="256" t="s">
        <v>243</v>
      </c>
      <c r="AC7" s="2"/>
      <c r="AO7" s="39" t="s">
        <v>242</v>
      </c>
      <c r="AP7" s="2" t="s">
        <v>237</v>
      </c>
      <c r="AQ7" s="2" t="s">
        <v>234</v>
      </c>
      <c r="AR7" s="2" t="s">
        <v>231</v>
      </c>
      <c r="AS7" s="2" t="s">
        <v>228</v>
      </c>
      <c r="AT7" s="2" t="s">
        <v>226</v>
      </c>
      <c r="AU7" s="2" t="s">
        <v>223</v>
      </c>
      <c r="AV7" s="2" t="s">
        <v>241</v>
      </c>
      <c r="AW7" s="2" t="s">
        <v>217</v>
      </c>
      <c r="AX7" s="2" t="s">
        <v>214</v>
      </c>
      <c r="AY7" s="2" t="s">
        <v>211</v>
      </c>
      <c r="AZ7" s="2"/>
    </row>
    <row r="8" spans="2:72" ht="16.2" x14ac:dyDescent="0.3">
      <c r="B8" t="s">
        <v>239</v>
      </c>
      <c r="K8" s="230">
        <v>1</v>
      </c>
      <c r="L8" s="255" t="s">
        <v>11</v>
      </c>
      <c r="M8" s="254">
        <v>4.4297700000000037E-2</v>
      </c>
      <c r="N8" s="197"/>
      <c r="Q8" s="253" t="s">
        <v>186</v>
      </c>
      <c r="R8" s="252" t="str">
        <f t="shared" ref="R8:R17" si="0">L8</f>
        <v>1Y</v>
      </c>
      <c r="S8" s="251">
        <v>1</v>
      </c>
      <c r="T8" s="250">
        <f t="array" ref="T8:T17">U8:U17-MMULT(AP25:AY34,W8:W17)</f>
        <v>4.4297700000000037E-2</v>
      </c>
      <c r="U8" s="206">
        <v>4.4297700000000037E-2</v>
      </c>
      <c r="V8" s="249">
        <v>0.04</v>
      </c>
      <c r="W8" s="206">
        <f>(SUMPRODUCT($U$8:$U8,$AA$8:$AA8)/SUM($AA$8:$AA8))-$M8</f>
        <v>0</v>
      </c>
      <c r="X8" s="248">
        <f t="shared" ref="X8:X17" si="1">T8-U8</f>
        <v>0</v>
      </c>
      <c r="Z8" s="247">
        <v>1</v>
      </c>
      <c r="AA8" s="246">
        <f t="shared" ref="AA8:AA17" si="2">EXP(-AB8)</f>
        <v>0.95518051063522103</v>
      </c>
      <c r="AB8" s="245" cm="1">
        <f t="array" ref="AB8">integrate($S$8:$S$17,Xn,0,Z8)</f>
        <v>4.5854939990791349E-2</v>
      </c>
      <c r="AC8" s="17"/>
      <c r="AO8" s="2" t="s">
        <v>238</v>
      </c>
      <c r="AP8" s="244">
        <f>$AA$8/SUM($AA$8:$AA8)</f>
        <v>1</v>
      </c>
      <c r="AQ8" s="243">
        <v>0</v>
      </c>
      <c r="AR8" s="243">
        <v>0</v>
      </c>
      <c r="AS8" s="243">
        <v>0</v>
      </c>
      <c r="AT8" s="243">
        <v>0</v>
      </c>
      <c r="AU8" s="243">
        <v>0</v>
      </c>
      <c r="AV8" s="243">
        <v>0</v>
      </c>
      <c r="AW8" s="243">
        <v>0</v>
      </c>
      <c r="AX8" s="243">
        <v>0</v>
      </c>
      <c r="AY8" s="80">
        <v>0</v>
      </c>
      <c r="AZ8" s="17"/>
    </row>
    <row r="9" spans="2:72" ht="16.2" x14ac:dyDescent="0.3">
      <c r="B9" t="s">
        <v>236</v>
      </c>
      <c r="K9" s="230">
        <v>2</v>
      </c>
      <c r="L9" s="240" t="s">
        <v>12</v>
      </c>
      <c r="M9" s="239">
        <v>4.2773700000000033E-2</v>
      </c>
      <c r="N9" s="197"/>
      <c r="Q9" s="238" t="s">
        <v>186</v>
      </c>
      <c r="R9" s="2" t="str">
        <f t="shared" si="0"/>
        <v>2Y</v>
      </c>
      <c r="S9" s="17">
        <v>2</v>
      </c>
      <c r="T9" s="60">
        <v>4.1183220015866169E-2</v>
      </c>
      <c r="U9" s="45">
        <v>4.118322001841742E-2</v>
      </c>
      <c r="V9" s="61">
        <v>0.04</v>
      </c>
      <c r="W9" s="45">
        <f>(SUMPRODUCT($U$8:$U9,$AA$8:$AA9)/SUM($AA$8:$AA9))-$M9</f>
        <v>1.2483972189336612E-12</v>
      </c>
      <c r="X9" s="237">
        <f t="shared" si="1"/>
        <v>-2.5512508772251863E-12</v>
      </c>
      <c r="Z9" s="12">
        <v>2</v>
      </c>
      <c r="AA9" s="236">
        <f t="shared" si="2"/>
        <v>0.91525521397921195</v>
      </c>
      <c r="AB9" s="235" cm="1">
        <f t="array" ref="AB9">integrate($S$8:$S$17,Xn,0,Z9)</f>
        <v>8.8552330216579184E-2</v>
      </c>
      <c r="AC9" s="17"/>
      <c r="AO9" s="2" t="s">
        <v>235</v>
      </c>
      <c r="AP9" s="242">
        <f>$AA$8/SUM($AA$8:$AA9)</f>
        <v>0.51067272618101833</v>
      </c>
      <c r="AQ9" s="231">
        <f>$AA$9/SUM($AA$8:$AA9)</f>
        <v>0.48932727381898161</v>
      </c>
      <c r="AR9" s="17">
        <v>0</v>
      </c>
      <c r="AS9" s="17">
        <v>0</v>
      </c>
      <c r="AT9" s="17">
        <v>0</v>
      </c>
      <c r="AU9" s="17">
        <v>0</v>
      </c>
      <c r="AV9" s="17">
        <v>0</v>
      </c>
      <c r="AW9" s="17">
        <v>0</v>
      </c>
      <c r="AX9" s="17">
        <v>0</v>
      </c>
      <c r="AY9" s="81">
        <v>0</v>
      </c>
      <c r="AZ9" s="17"/>
    </row>
    <row r="10" spans="2:72" ht="16.2" x14ac:dyDescent="0.3">
      <c r="B10" t="s">
        <v>233</v>
      </c>
      <c r="K10" s="230">
        <v>3</v>
      </c>
      <c r="L10" s="240" t="s">
        <v>13</v>
      </c>
      <c r="M10" s="239">
        <v>4.1599700000000024E-2</v>
      </c>
      <c r="N10" s="197"/>
      <c r="O10" s="197"/>
      <c r="Q10" s="238" t="s">
        <v>186</v>
      </c>
      <c r="R10" s="2" t="str">
        <f t="shared" si="0"/>
        <v>3Y</v>
      </c>
      <c r="S10" s="17">
        <v>3</v>
      </c>
      <c r="T10" s="60">
        <v>3.910241481456523E-2</v>
      </c>
      <c r="U10" s="45">
        <v>3.9102414838936221E-2</v>
      </c>
      <c r="V10" s="61">
        <v>0.04</v>
      </c>
      <c r="W10" s="45">
        <f>(SUMPRODUCT($U$8:$U10,$AA$8:$AA10)/SUM($AA$8:$AA10))-$M10</f>
        <v>8.6425172574067233E-12</v>
      </c>
      <c r="X10" s="237">
        <f t="shared" si="1"/>
        <v>-2.4370991336120085E-11</v>
      </c>
      <c r="Z10" s="12">
        <v>3</v>
      </c>
      <c r="AA10" s="236">
        <f t="shared" si="2"/>
        <v>0.87931148332785924</v>
      </c>
      <c r="AB10" s="235" cm="1">
        <f t="array" ref="AB10">integrate($S$8:$S$17,Xn,0,Z10)</f>
        <v>0.12861608305791533</v>
      </c>
      <c r="AC10" s="17"/>
      <c r="AO10" s="2" t="s">
        <v>232</v>
      </c>
      <c r="AP10" s="242">
        <f>$AA$8/SUM($AA$8:$AA10)</f>
        <v>0.34737029930471597</v>
      </c>
      <c r="AQ10" s="231">
        <f>$AA$9/SUM($AA$8:$AA10)</f>
        <v>0.33285067490408382</v>
      </c>
      <c r="AR10" s="231">
        <f>$AA$10/SUM($AA$8:$AA10)</f>
        <v>0.31977902579120032</v>
      </c>
      <c r="AS10" s="17">
        <v>0</v>
      </c>
      <c r="AT10" s="17">
        <v>0</v>
      </c>
      <c r="AU10" s="17">
        <v>0</v>
      </c>
      <c r="AV10" s="17">
        <v>0</v>
      </c>
      <c r="AW10" s="17">
        <v>0</v>
      </c>
      <c r="AX10" s="17">
        <v>0</v>
      </c>
      <c r="AY10" s="81">
        <v>0</v>
      </c>
      <c r="AZ10" s="17"/>
    </row>
    <row r="11" spans="2:72" ht="16.2" x14ac:dyDescent="0.3">
      <c r="B11" t="s">
        <v>230</v>
      </c>
      <c r="K11" s="230">
        <v>4</v>
      </c>
      <c r="L11" s="240" t="s">
        <v>14</v>
      </c>
      <c r="M11" s="239">
        <v>4.0725700000000017E-2</v>
      </c>
      <c r="N11" s="197"/>
      <c r="O11" s="197"/>
      <c r="Q11" s="238" t="s">
        <v>186</v>
      </c>
      <c r="R11" s="2" t="str">
        <f t="shared" si="0"/>
        <v>4Y</v>
      </c>
      <c r="S11" s="17">
        <v>4</v>
      </c>
      <c r="T11" s="60">
        <v>3.7885484891709405E-2</v>
      </c>
      <c r="U11" s="45">
        <v>3.7885484953529648E-2</v>
      </c>
      <c r="V11" s="61">
        <v>0.04</v>
      </c>
      <c r="W11" s="45">
        <f>(SUMPRODUCT($U$8:$U11,$AA$8:$AA11)/SUM($AA$8:$AA11))-$M11</f>
        <v>2.1155882601320286E-11</v>
      </c>
      <c r="X11" s="237">
        <f t="shared" si="1"/>
        <v>-6.182024336887082E-11</v>
      </c>
      <c r="Z11" s="12">
        <v>4</v>
      </c>
      <c r="AA11" s="236">
        <f t="shared" si="2"/>
        <v>0.84616093081343713</v>
      </c>
      <c r="AB11" s="235" cm="1">
        <f t="array" ref="AB11">integrate($S$8:$S$17,Xn,0,Z11)</f>
        <v>0.16704571191870113</v>
      </c>
      <c r="AC11" s="17"/>
      <c r="AO11" s="2" t="s">
        <v>229</v>
      </c>
      <c r="AP11" s="242">
        <f>$AA$8/SUM($AA$8:$AA11)</f>
        <v>0.26562984196969402</v>
      </c>
      <c r="AQ11" s="231">
        <f>$AA$9/SUM($AA$8:$AA11)</f>
        <v>0.25452686182798662</v>
      </c>
      <c r="AR11" s="231">
        <f>$AA$10/SUM($AA$8:$AA11)</f>
        <v>0.24453113077358038</v>
      </c>
      <c r="AS11" s="231">
        <f>$AA$11/SUM($AA$8:$AA11)</f>
        <v>0.23531216542873901</v>
      </c>
      <c r="AT11" s="17">
        <v>0</v>
      </c>
      <c r="AU11" s="17">
        <v>0</v>
      </c>
      <c r="AV11" s="17">
        <v>0</v>
      </c>
      <c r="AW11" s="17">
        <v>0</v>
      </c>
      <c r="AX11" s="17">
        <v>0</v>
      </c>
      <c r="AY11" s="81">
        <v>0</v>
      </c>
      <c r="AZ11" s="17"/>
    </row>
    <row r="12" spans="2:72" ht="16.2" x14ac:dyDescent="0.3">
      <c r="K12" s="230">
        <v>5</v>
      </c>
      <c r="L12" s="240" t="s">
        <v>15</v>
      </c>
      <c r="M12" s="239">
        <v>4.0101699999999997E-2</v>
      </c>
      <c r="N12" s="197"/>
      <c r="O12" s="197"/>
      <c r="Q12" s="238" t="s">
        <v>186</v>
      </c>
      <c r="R12" s="2" t="str">
        <f t="shared" si="0"/>
        <v>5Y</v>
      </c>
      <c r="S12" s="17">
        <v>5</v>
      </c>
      <c r="T12" s="60">
        <v>3.7348384560765391E-2</v>
      </c>
      <c r="U12" s="45">
        <v>3.7348384624779976E-2</v>
      </c>
      <c r="V12" s="61">
        <v>0.04</v>
      </c>
      <c r="W12" s="45">
        <f>(SUMPRODUCT($U$8:$U12,$AA$8:$AA12)/SUM($AA$8:$AA12))-$M12</f>
        <v>2.9074548324459215E-11</v>
      </c>
      <c r="X12" s="237">
        <f t="shared" si="1"/>
        <v>-6.4014585299254634E-11</v>
      </c>
      <c r="Z12" s="12">
        <v>5</v>
      </c>
      <c r="AA12" s="236">
        <f t="shared" si="2"/>
        <v>0.81496171728417521</v>
      </c>
      <c r="AB12" s="235" cm="1">
        <f t="array" ref="AB12">integrate($S$8:$S$17,Xn,0,Z12)</f>
        <v>0.20461413950197796</v>
      </c>
      <c r="AC12" s="17"/>
      <c r="AO12" s="2" t="s">
        <v>227</v>
      </c>
      <c r="AP12" s="242">
        <f>$AA$8/SUM($AA$8:$AA12)</f>
        <v>0.21655150612237414</v>
      </c>
      <c r="AQ12" s="231">
        <f>$AA$9/SUM($AA$8:$AA12)</f>
        <v>0.20749993625994931</v>
      </c>
      <c r="AR12" s="231">
        <f>$AA$10/SUM($AA$8:$AA12)</f>
        <v>0.19935103778312524</v>
      </c>
      <c r="AS12" s="231">
        <f>$AA$11/SUM($AA$8:$AA12)</f>
        <v>0.19183538812752993</v>
      </c>
      <c r="AT12" s="231">
        <f>$AA$12/SUM($AA$8:$AA12)</f>
        <v>0.18476213170702135</v>
      </c>
      <c r="AU12" s="17">
        <v>0</v>
      </c>
      <c r="AV12" s="17">
        <v>0</v>
      </c>
      <c r="AW12" s="17">
        <v>0</v>
      </c>
      <c r="AX12" s="17">
        <v>0</v>
      </c>
      <c r="AY12" s="81">
        <v>0</v>
      </c>
      <c r="AZ12" s="17"/>
    </row>
    <row r="13" spans="2:72" ht="16.2" x14ac:dyDescent="0.3">
      <c r="B13" s="1" t="s">
        <v>225</v>
      </c>
      <c r="K13" s="230">
        <v>6</v>
      </c>
      <c r="L13" s="240" t="s">
        <v>193</v>
      </c>
      <c r="M13" s="239">
        <v>3.9677700000000003E-2</v>
      </c>
      <c r="N13" s="197"/>
      <c r="O13" s="197"/>
      <c r="Q13" s="238" t="s">
        <v>186</v>
      </c>
      <c r="R13" s="2" t="str">
        <f t="shared" si="0"/>
        <v>6Y</v>
      </c>
      <c r="S13" s="17">
        <v>6</v>
      </c>
      <c r="T13" s="60">
        <v>3.7295627668963979E-2</v>
      </c>
      <c r="U13" s="45">
        <v>3.7295627680444789E-2</v>
      </c>
      <c r="V13" s="61">
        <v>0.04</v>
      </c>
      <c r="W13" s="45">
        <f>(SUMPRODUCT($U$8:$U13,$AA$8:$AA13)/SUM($AA$8:$AA13))-$M13</f>
        <v>2.6416119291994278E-11</v>
      </c>
      <c r="X13" s="237">
        <f t="shared" si="1"/>
        <v>-1.148080935875484E-11</v>
      </c>
      <c r="Z13" s="12">
        <v>6</v>
      </c>
      <c r="AA13" s="236">
        <f t="shared" si="2"/>
        <v>0.78511840072776184</v>
      </c>
      <c r="AB13" s="235" cm="1">
        <f t="array" ref="AB13">integrate($S$8:$S$17,Xn,0,Z13)</f>
        <v>0.24192074362070859</v>
      </c>
      <c r="AC13" s="17"/>
      <c r="AO13" s="2" t="s">
        <v>224</v>
      </c>
      <c r="AP13" s="234">
        <f>$AA$8/SUM($AA$8:$AA13)</f>
        <v>0.18383038287107717</v>
      </c>
      <c r="AQ13" s="233">
        <f>$AA$9/SUM($AA$8:$AA13)</f>
        <v>0.17614651318488087</v>
      </c>
      <c r="AR13" s="233">
        <f>$AA$10/SUM($AA$8:$AA13)</f>
        <v>0.16922892044310808</v>
      </c>
      <c r="AS13" s="233">
        <f>$AA$11/SUM($AA$8:$AA13)</f>
        <v>0.16284889206809314</v>
      </c>
      <c r="AT13" s="233">
        <f>$AA$12/SUM($AA$8:$AA13)</f>
        <v>0.15684441092081078</v>
      </c>
      <c r="AU13" s="231">
        <f>$AA$13/SUM($AA$8:$AA13)</f>
        <v>0.15110088051202994</v>
      </c>
      <c r="AV13" s="17">
        <v>0</v>
      </c>
      <c r="AW13" s="17">
        <v>0</v>
      </c>
      <c r="AX13" s="17">
        <v>0</v>
      </c>
      <c r="AY13" s="81">
        <v>0</v>
      </c>
      <c r="AZ13" s="17"/>
    </row>
    <row r="14" spans="2:72" ht="16.2" x14ac:dyDescent="0.3">
      <c r="B14" t="s">
        <v>222</v>
      </c>
      <c r="K14" s="230">
        <v>7</v>
      </c>
      <c r="L14" s="240" t="s">
        <v>191</v>
      </c>
      <c r="M14" s="239">
        <v>3.9353699999999998E-2</v>
      </c>
      <c r="N14" s="197"/>
      <c r="O14" s="197"/>
      <c r="Q14" s="238" t="s">
        <v>186</v>
      </c>
      <c r="R14" s="2" t="str">
        <f t="shared" si="0"/>
        <v>7Y</v>
      </c>
      <c r="S14" s="17">
        <v>7</v>
      </c>
      <c r="T14" s="60">
        <v>3.7128176244266765E-2</v>
      </c>
      <c r="U14" s="45">
        <v>3.7128176164857161E-2</v>
      </c>
      <c r="V14" s="61">
        <v>0.04</v>
      </c>
      <c r="W14" s="45">
        <f>(SUMPRODUCT($U$8:$U14,$AA$8:$AA14)/SUM($AA$8:$AA14))-$M14</f>
        <v>1.2967515949924291E-11</v>
      </c>
      <c r="X14" s="237">
        <f t="shared" si="1"/>
        <v>7.9409603892521829E-11</v>
      </c>
      <c r="Z14" s="12">
        <v>7</v>
      </c>
      <c r="AA14" s="236">
        <f t="shared" si="2"/>
        <v>0.75645123573983353</v>
      </c>
      <c r="AB14" s="235" cm="1">
        <f t="array" ref="AB14">integrate($S$8:$S$17,Xn,0,Z14)</f>
        <v>0.27911720818851138</v>
      </c>
      <c r="AC14" s="17"/>
      <c r="AO14" s="2" t="s">
        <v>221</v>
      </c>
      <c r="AP14" s="234">
        <f>$AA$8/SUM($AA$8:$AA14)</f>
        <v>0.16046874761810401</v>
      </c>
      <c r="AQ14" s="233">
        <f>$AA$9/SUM($AA$8:$AA14)</f>
        <v>0.15376136374527941</v>
      </c>
      <c r="AR14" s="233">
        <f>$AA$10/SUM($AA$8:$AA14)</f>
        <v>0.14772287638281295</v>
      </c>
      <c r="AS14" s="233">
        <f>$AA$11/SUM($AA$8:$AA14)</f>
        <v>0.14215363833240527</v>
      </c>
      <c r="AT14" s="233">
        <f>$AA$12/SUM($AA$8:$AA14)</f>
        <v>0.13691222200746267</v>
      </c>
      <c r="AU14" s="231">
        <f>$AA$13/SUM($AA$8:$AA14)</f>
        <v>0.13189859413371813</v>
      </c>
      <c r="AV14" s="231">
        <f>$AA$14/SUM($AA$8:$AA14)</f>
        <v>0.1270825577802176</v>
      </c>
      <c r="AW14" s="17">
        <v>0</v>
      </c>
      <c r="AX14" s="17">
        <v>0</v>
      </c>
      <c r="AY14" s="81">
        <v>0</v>
      </c>
      <c r="AZ14" s="17"/>
    </row>
    <row r="15" spans="2:72" ht="16.2" x14ac:dyDescent="0.3">
      <c r="B15" t="s">
        <v>219</v>
      </c>
      <c r="K15" s="230">
        <v>8</v>
      </c>
      <c r="L15" s="240" t="s">
        <v>189</v>
      </c>
      <c r="M15" s="239">
        <v>3.9145600000000003E-2</v>
      </c>
      <c r="N15" s="197"/>
      <c r="O15" s="197"/>
      <c r="Q15" s="238" t="s">
        <v>186</v>
      </c>
      <c r="R15" s="2" t="str">
        <f t="shared" si="0"/>
        <v>8Y</v>
      </c>
      <c r="S15" s="17">
        <v>8</v>
      </c>
      <c r="T15" s="60">
        <v>3.7445915889434342E-2</v>
      </c>
      <c r="U15" s="45">
        <v>3.7445915736878665E-2</v>
      </c>
      <c r="V15" s="61">
        <v>0.04</v>
      </c>
      <c r="W15" s="45">
        <f>(SUMPRODUCT($U$8:$U15,$AA$8:$AA15)/SUM($AA$8:$AA15))-$M15</f>
        <v>-5.087659460389915E-12</v>
      </c>
      <c r="X15" s="237">
        <f t="shared" si="1"/>
        <v>1.5255567642480372E-10</v>
      </c>
      <c r="Z15" s="12">
        <v>8</v>
      </c>
      <c r="AA15" s="236">
        <f t="shared" si="2"/>
        <v>0.72878404327648572</v>
      </c>
      <c r="AB15" s="235" cm="1">
        <f t="array" ref="AB15">integrate($S$8:$S$17,Xn,0,Z15)</f>
        <v>0.31637782779242474</v>
      </c>
      <c r="AC15" s="17"/>
      <c r="AO15" s="2" t="s">
        <v>218</v>
      </c>
      <c r="AP15" s="234">
        <f>$AA$8/SUM($AA$8:$AA15)</f>
        <v>0.14296490837634257</v>
      </c>
      <c r="AQ15" s="233">
        <f>$AA$9/SUM($AA$8:$AA15)</f>
        <v>0.13698916210140161</v>
      </c>
      <c r="AR15" s="233">
        <f>$AA$10/SUM($AA$8:$AA15)</f>
        <v>0.13160934948791222</v>
      </c>
      <c r="AS15" s="233">
        <f>$AA$11/SUM($AA$8:$AA15)</f>
        <v>0.12664760073981679</v>
      </c>
      <c r="AT15" s="233">
        <f>$AA$12/SUM($AA$8:$AA15)</f>
        <v>0.12197791511080557</v>
      </c>
      <c r="AU15" s="231">
        <f>$AA$13/SUM($AA$8:$AA15)</f>
        <v>0.11751117089897439</v>
      </c>
      <c r="AV15" s="231">
        <f>$AA$14/SUM($AA$8:$AA15)</f>
        <v>0.11322046503733246</v>
      </c>
      <c r="AW15" s="231">
        <f>$AA$15/SUM($AA$8:$AA15)</f>
        <v>0.10907942824741443</v>
      </c>
      <c r="AX15" s="17">
        <v>0</v>
      </c>
      <c r="AY15" s="81">
        <v>0</v>
      </c>
      <c r="AZ15" s="17"/>
    </row>
    <row r="16" spans="2:72" ht="16.2" x14ac:dyDescent="0.3">
      <c r="B16" t="s">
        <v>216</v>
      </c>
      <c r="K16" s="230">
        <v>9</v>
      </c>
      <c r="L16" s="240" t="s">
        <v>188</v>
      </c>
      <c r="M16" s="239">
        <v>3.9028399999999998E-2</v>
      </c>
      <c r="N16" s="197"/>
      <c r="O16" s="197"/>
      <c r="Q16" s="238" t="s">
        <v>186</v>
      </c>
      <c r="R16" s="2" t="str">
        <f t="shared" si="0"/>
        <v>9Y</v>
      </c>
      <c r="S16" s="17">
        <v>9</v>
      </c>
      <c r="T16" s="60">
        <v>3.7912696701642247E-2</v>
      </c>
      <c r="U16" s="45">
        <v>3.7912696548201001E-2</v>
      </c>
      <c r="V16" s="61">
        <v>0.04</v>
      </c>
      <c r="W16" s="45">
        <f>(SUMPRODUCT($U$8:$U16,$AA$8:$AA16)/SUM($AA$8:$AA16))-$M16</f>
        <v>-1.9190177225070215E-11</v>
      </c>
      <c r="X16" s="237">
        <f t="shared" si="1"/>
        <v>1.5344124582039598E-10</v>
      </c>
      <c r="Z16" s="12">
        <v>9</v>
      </c>
      <c r="AA16" s="236">
        <f t="shared" si="2"/>
        <v>0.70183479742911425</v>
      </c>
      <c r="AB16" s="235" cm="1">
        <f t="array" ref="AB16">integrate($S$8:$S$17,Xn,0,Z16)</f>
        <v>0.35405723394863875</v>
      </c>
      <c r="AC16" s="17"/>
      <c r="AO16" s="2" t="s">
        <v>215</v>
      </c>
      <c r="AP16" s="234">
        <f>$AA$8/SUM($AA$8:$AA16)</f>
        <v>0.12937463954988521</v>
      </c>
      <c r="AQ16" s="233">
        <f>$AA$9/SUM($AA$8:$AA16)</f>
        <v>0.12396694874560117</v>
      </c>
      <c r="AR16" s="233">
        <f>$AA$10/SUM($AA$8:$AA16)</f>
        <v>0.11909854204621782</v>
      </c>
      <c r="AS16" s="233">
        <f>$AA$11/SUM($AA$8:$AA16)</f>
        <v>0.11460845798914183</v>
      </c>
      <c r="AT16" s="233">
        <f>$AA$12/SUM($AA$8:$AA16)</f>
        <v>0.11038267348072064</v>
      </c>
      <c r="AU16" s="231">
        <f>$AA$13/SUM($AA$8:$AA16)</f>
        <v>0.10634053874339079</v>
      </c>
      <c r="AV16" s="231">
        <f>$AA$14/SUM($AA$8:$AA16)</f>
        <v>0.10245770812034566</v>
      </c>
      <c r="AW16" s="231">
        <f>$AA$15/SUM($AA$8:$AA16)</f>
        <v>9.871031900127486E-2</v>
      </c>
      <c r="AX16" s="231">
        <f>$AA$16/SUM($AA$8:$AA16)</f>
        <v>9.5060172323422024E-2</v>
      </c>
      <c r="AY16" s="81">
        <v>0</v>
      </c>
      <c r="AZ16" s="17"/>
    </row>
    <row r="17" spans="2:52" ht="16.2" x14ac:dyDescent="0.3">
      <c r="B17" t="s">
        <v>213</v>
      </c>
      <c r="K17" s="230">
        <v>10</v>
      </c>
      <c r="L17" s="229" t="s">
        <v>16</v>
      </c>
      <c r="M17" s="228">
        <v>3.8961299999999997E-2</v>
      </c>
      <c r="N17" s="227"/>
      <c r="O17" s="197"/>
      <c r="Q17" s="226" t="s">
        <v>186</v>
      </c>
      <c r="R17" s="40" t="str">
        <f t="shared" si="0"/>
        <v>10Y</v>
      </c>
      <c r="S17" s="225">
        <v>10</v>
      </c>
      <c r="T17" s="224">
        <v>3.8228035916062428E-2</v>
      </c>
      <c r="U17" s="222">
        <v>3.8228035792041849E-2</v>
      </c>
      <c r="V17" s="223">
        <v>0.04</v>
      </c>
      <c r="W17" s="222">
        <f>(SUMPRODUCT($U$8:$U17,$AA$8:$AA17)/SUM($AA$8:$AA17))-$M17</f>
        <v>-2.7978827588093225E-11</v>
      </c>
      <c r="X17" s="221">
        <f t="shared" si="1"/>
        <v>1.2402057852911597E-10</v>
      </c>
      <c r="Z17" s="13">
        <v>10</v>
      </c>
      <c r="AA17" s="220">
        <f t="shared" si="2"/>
        <v>0.67561363635641902</v>
      </c>
      <c r="AB17" s="219" cm="1">
        <f t="array" ref="AB17">integrate($S$8:$S$17,Xn,0,Z17)</f>
        <v>0.3921339101840719</v>
      </c>
      <c r="AC17" s="17"/>
      <c r="AO17" s="2" t="s">
        <v>212</v>
      </c>
      <c r="AP17" s="218">
        <f>$AA$8/SUM($AA$8:$AA17)</f>
        <v>0.11852827789021486</v>
      </c>
      <c r="AQ17" s="217">
        <f>$AA$9/SUM($AA$8:$AA17)</f>
        <v>0.11357395082407151</v>
      </c>
      <c r="AR17" s="217">
        <f>$AA$10/SUM($AA$8:$AA17)</f>
        <v>0.10911369598467856</v>
      </c>
      <c r="AS17" s="217">
        <f>$AA$11/SUM($AA$8:$AA17)</f>
        <v>0.10500004641070379</v>
      </c>
      <c r="AT17" s="217">
        <f>$AA$12/SUM($AA$8:$AA17)</f>
        <v>0.10112853834497364</v>
      </c>
      <c r="AU17" s="214">
        <f>$AA$13/SUM($AA$8:$AA17)</f>
        <v>9.7425283432860915E-2</v>
      </c>
      <c r="AV17" s="214">
        <f>$AA$14/SUM($AA$8:$AA17)</f>
        <v>9.3867977080625845E-2</v>
      </c>
      <c r="AW17" s="214">
        <f>$AA$15/SUM($AA$8:$AA17)</f>
        <v>9.043475724393038E-2</v>
      </c>
      <c r="AX17" s="214">
        <f>$AA$16/SUM($AA$8:$AA17)</f>
        <v>8.7090627348938382E-2</v>
      </c>
      <c r="AY17" s="213">
        <f>$AA$17/SUM($AA$8:$AA17)</f>
        <v>8.3836845439002189E-2</v>
      </c>
      <c r="AZ17" s="17"/>
    </row>
    <row r="18" spans="2:52" x14ac:dyDescent="0.3">
      <c r="B18" t="s">
        <v>210</v>
      </c>
      <c r="T18" s="2"/>
      <c r="U18" s="2"/>
      <c r="V18" s="2"/>
      <c r="W18" s="2"/>
      <c r="X18" s="2"/>
      <c r="Y18" s="45"/>
      <c r="AC18" s="2"/>
      <c r="AD18" s="2"/>
      <c r="AE18" s="2"/>
      <c r="AF18" s="2"/>
      <c r="AG18" s="2"/>
      <c r="AH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2:52" x14ac:dyDescent="0.3">
      <c r="B19" t="s">
        <v>209</v>
      </c>
      <c r="T19" s="2"/>
      <c r="U19" s="2"/>
      <c r="V19" s="2"/>
      <c r="W19" s="2"/>
      <c r="X19" s="2"/>
      <c r="Y19" s="45"/>
      <c r="AC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2:52" x14ac:dyDescent="0.3">
      <c r="AD20" s="44" t="s">
        <v>208</v>
      </c>
      <c r="AE20" s="2"/>
      <c r="AF20" s="2"/>
      <c r="AG20" s="2"/>
      <c r="AI20" s="44" t="s">
        <v>207</v>
      </c>
      <c r="AO20" s="1" t="s">
        <v>255</v>
      </c>
    </row>
    <row r="21" spans="2:52" x14ac:dyDescent="0.3">
      <c r="B21" s="44" t="s">
        <v>206</v>
      </c>
      <c r="N21" s="44" t="s">
        <v>205</v>
      </c>
      <c r="O21" s="2"/>
      <c r="P21" s="2"/>
      <c r="Q21" s="2"/>
      <c r="R21" s="2"/>
      <c r="S21" s="45"/>
      <c r="T21" s="2"/>
      <c r="U21" s="2"/>
    </row>
    <row r="22" spans="2:52" ht="15.6" x14ac:dyDescent="0.3">
      <c r="B22" s="185" t="s">
        <v>204</v>
      </c>
      <c r="L22" s="2" t="s">
        <v>203</v>
      </c>
      <c r="M22" s="54" t="s">
        <v>30</v>
      </c>
      <c r="N22" s="2" t="s">
        <v>31</v>
      </c>
      <c r="O22" s="2" t="s">
        <v>32</v>
      </c>
      <c r="P22" s="2" t="s">
        <v>33</v>
      </c>
      <c r="Q22" s="2" t="s">
        <v>34</v>
      </c>
      <c r="R22" s="2" t="s">
        <v>35</v>
      </c>
      <c r="S22" s="2" t="s">
        <v>36</v>
      </c>
      <c r="T22" s="2" t="s">
        <v>37</v>
      </c>
      <c r="U22" s="2" t="s">
        <v>38</v>
      </c>
      <c r="V22" s="2" t="s">
        <v>39</v>
      </c>
      <c r="W22" s="2" t="s">
        <v>40</v>
      </c>
      <c r="X22" s="2" t="s">
        <v>41</v>
      </c>
      <c r="Z22" s="55" t="s">
        <v>202</v>
      </c>
      <c r="AD22" t="s">
        <v>186</v>
      </c>
      <c r="AI22" t="s">
        <v>186</v>
      </c>
    </row>
    <row r="23" spans="2:52" ht="15.6" x14ac:dyDescent="0.3">
      <c r="B23" s="185" t="s">
        <v>201</v>
      </c>
      <c r="L23" s="2" t="s">
        <v>186</v>
      </c>
      <c r="M23" s="2" t="s">
        <v>11</v>
      </c>
      <c r="N23" s="212">
        <v>0.04</v>
      </c>
      <c r="O23" s="211">
        <v>4.4297700000000037E-2</v>
      </c>
      <c r="P23" s="211">
        <v>4.4297700000000037E-2</v>
      </c>
      <c r="Q23" s="211">
        <v>4.4297700000000037E-2</v>
      </c>
      <c r="R23" s="211">
        <v>4.4297700000000037E-2</v>
      </c>
      <c r="S23" s="211"/>
      <c r="T23" s="211"/>
      <c r="U23" s="211"/>
      <c r="V23" s="211"/>
      <c r="W23" s="211"/>
      <c r="X23" s="210"/>
      <c r="Z23" s="46" t="b">
        <v>0</v>
      </c>
      <c r="AD23" s="2" t="s">
        <v>198</v>
      </c>
      <c r="AE23" s="2" t="s">
        <v>200</v>
      </c>
      <c r="AF23" s="2" t="s">
        <v>45</v>
      </c>
      <c r="AG23" s="2" t="s">
        <v>199</v>
      </c>
      <c r="AI23" s="2" t="s">
        <v>198</v>
      </c>
      <c r="AJ23" s="2" t="s">
        <v>197</v>
      </c>
      <c r="AK23" s="2" t="s">
        <v>22</v>
      </c>
      <c r="AL23" s="335" t="s">
        <v>325</v>
      </c>
    </row>
    <row r="24" spans="2:52" ht="16.8" x14ac:dyDescent="0.35">
      <c r="B24" s="198" t="s">
        <v>196</v>
      </c>
      <c r="L24" s="2" t="s">
        <v>186</v>
      </c>
      <c r="M24" s="2" t="s">
        <v>12</v>
      </c>
      <c r="N24" s="204">
        <v>0.04</v>
      </c>
      <c r="O24" s="203">
        <v>4.1187504380130815E-2</v>
      </c>
      <c r="P24" s="203">
        <v>4.1183216279110639E-2</v>
      </c>
      <c r="Q24" s="203">
        <v>4.118322001841742E-2</v>
      </c>
      <c r="R24" s="203">
        <v>4.1183220015866169E-2</v>
      </c>
      <c r="S24" s="203"/>
      <c r="T24" s="203"/>
      <c r="U24" s="203"/>
      <c r="V24" s="203"/>
      <c r="W24" s="203"/>
      <c r="X24" s="202"/>
      <c r="Z24" s="185"/>
      <c r="AD24" s="155">
        <v>0</v>
      </c>
      <c r="AE24" s="209" cm="1">
        <f t="array" ref="AE24">cubicInterpolation($S$8:$S$17,Xn,AD24)</f>
        <v>4.7412179981582654E-2</v>
      </c>
      <c r="AF24" s="208" t="s">
        <v>121</v>
      </c>
      <c r="AG24" s="207" t="s">
        <v>121</v>
      </c>
      <c r="AI24" s="155">
        <v>0</v>
      </c>
      <c r="AJ24" s="206" cm="1">
        <f t="array" ref="AJ24">integrate(CurveResults.Times,CurveResults.USDSOFR,0,AI24)</f>
        <v>0</v>
      </c>
      <c r="AK24" s="205">
        <f t="shared" ref="AK24:AK34" si="3">EXP(-AJ24)</f>
        <v>1</v>
      </c>
      <c r="AL24" s="336">
        <f t="shared" ref="AL24:AL34" si="4">EXP(-1.0001*AJ24)</f>
        <v>1</v>
      </c>
      <c r="AO24" s="39" t="s">
        <v>240</v>
      </c>
      <c r="AP24" s="2" t="s">
        <v>238</v>
      </c>
      <c r="AQ24" s="2" t="s">
        <v>235</v>
      </c>
      <c r="AR24" s="2" t="s">
        <v>232</v>
      </c>
      <c r="AS24" s="2" t="s">
        <v>229</v>
      </c>
      <c r="AT24" s="2" t="s">
        <v>227</v>
      </c>
      <c r="AU24" s="2" t="s">
        <v>224</v>
      </c>
      <c r="AV24" s="2" t="s">
        <v>221</v>
      </c>
      <c r="AW24" s="2" t="s">
        <v>218</v>
      </c>
      <c r="AX24" s="2" t="s">
        <v>215</v>
      </c>
      <c r="AY24" s="2" t="s">
        <v>212</v>
      </c>
    </row>
    <row r="25" spans="2:52" ht="16.2" x14ac:dyDescent="0.3">
      <c r="L25" s="2" t="s">
        <v>186</v>
      </c>
      <c r="M25" s="2" t="s">
        <v>13</v>
      </c>
      <c r="N25" s="204">
        <v>0.04</v>
      </c>
      <c r="O25" s="203">
        <v>3.9106009133647736E-2</v>
      </c>
      <c r="P25" s="203">
        <v>3.9102400986179522E-2</v>
      </c>
      <c r="Q25" s="203">
        <v>3.9102414838936221E-2</v>
      </c>
      <c r="R25" s="203">
        <v>3.910241481456523E-2</v>
      </c>
      <c r="S25" s="203"/>
      <c r="T25" s="203"/>
      <c r="U25" s="203"/>
      <c r="V25" s="203"/>
      <c r="W25" s="203"/>
      <c r="X25" s="202"/>
      <c r="Z25" s="55" t="s">
        <v>334</v>
      </c>
      <c r="AD25" s="156">
        <v>1</v>
      </c>
      <c r="AE25" s="60" cm="1">
        <f t="array" ref="AE25">cubicInterpolation($S$8:$S$17,Xn,AD25)</f>
        <v>4.4297700000000037E-2</v>
      </c>
      <c r="AF25" s="197">
        <f t="shared" ref="AF25:AF34" si="5">T8</f>
        <v>4.4297700000000037E-2</v>
      </c>
      <c r="AG25" s="196">
        <f t="shared" ref="AG25:AG34" si="6">AF25-AE25</f>
        <v>0</v>
      </c>
      <c r="AI25" s="156">
        <v>1</v>
      </c>
      <c r="AJ25" s="45" cm="1">
        <f t="array" ref="AJ25">integrate(CurveResults.Times,CurveResults.USDSOFR,0,AI25)</f>
        <v>4.5854939990791349E-2</v>
      </c>
      <c r="AK25" s="195">
        <f t="shared" si="3"/>
        <v>0.95518051063522103</v>
      </c>
      <c r="AL25" s="336">
        <f t="shared" si="4"/>
        <v>0.95517613067076368</v>
      </c>
      <c r="AO25" s="2" t="s">
        <v>237</v>
      </c>
      <c r="AP25" s="244">
        <f t="array" ref="AP25:AY34">MINVERSE(AP8:AY17)</f>
        <v>1</v>
      </c>
      <c r="AQ25" s="243">
        <v>0</v>
      </c>
      <c r="AR25" s="243">
        <v>0</v>
      </c>
      <c r="AS25" s="243">
        <v>0</v>
      </c>
      <c r="AT25" s="243">
        <v>0</v>
      </c>
      <c r="AU25" s="243">
        <v>0</v>
      </c>
      <c r="AV25" s="243">
        <v>0</v>
      </c>
      <c r="AW25" s="243">
        <v>0</v>
      </c>
      <c r="AX25" s="243">
        <v>0</v>
      </c>
      <c r="AY25" s="80">
        <v>0</v>
      </c>
    </row>
    <row r="26" spans="2:52" ht="16.2" x14ac:dyDescent="0.3">
      <c r="B26" s="185" t="s">
        <v>184</v>
      </c>
      <c r="L26" s="2" t="s">
        <v>186</v>
      </c>
      <c r="M26" s="2" t="s">
        <v>14</v>
      </c>
      <c r="N26" s="204">
        <v>0.04</v>
      </c>
      <c r="O26" s="203">
        <v>3.7883806237927552E-2</v>
      </c>
      <c r="P26" s="203">
        <v>3.7885470812764048E-2</v>
      </c>
      <c r="Q26" s="203">
        <v>3.7885484953529648E-2</v>
      </c>
      <c r="R26" s="203">
        <v>3.7885484891709405E-2</v>
      </c>
      <c r="S26" s="203"/>
      <c r="T26" s="203"/>
      <c r="U26" s="203"/>
      <c r="V26" s="203"/>
      <c r="W26" s="203"/>
      <c r="X26" s="202"/>
      <c r="Z26" s="185"/>
      <c r="AD26" s="156">
        <v>2</v>
      </c>
      <c r="AE26" s="60" cm="1">
        <f t="array" ref="AE26">cubicInterpolation($S$8:$S$17,Xn,AD26)</f>
        <v>4.118322001841742E-2</v>
      </c>
      <c r="AF26" s="197">
        <f t="shared" si="5"/>
        <v>4.1183220015866169E-2</v>
      </c>
      <c r="AG26" s="196">
        <f t="shared" si="6"/>
        <v>-2.5512508772251863E-12</v>
      </c>
      <c r="AI26" s="156">
        <v>2</v>
      </c>
      <c r="AJ26" s="45" cm="1">
        <f t="array" ref="AJ26">integrate(CurveResults.Times,CurveResults.USDSOFR,0,AI26)</f>
        <v>8.8552330216579184E-2</v>
      </c>
      <c r="AK26" s="195">
        <f t="shared" si="3"/>
        <v>0.91525521397921195</v>
      </c>
      <c r="AL26" s="336">
        <f t="shared" si="4"/>
        <v>0.91524710921690267</v>
      </c>
      <c r="AO26" s="2" t="s">
        <v>234</v>
      </c>
      <c r="AP26" s="242">
        <v>-1.0436220368332323</v>
      </c>
      <c r="AQ26" s="231">
        <v>2.0436220368332325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v>0</v>
      </c>
      <c r="AY26" s="81">
        <v>0</v>
      </c>
    </row>
    <row r="27" spans="2:52" ht="16.2" x14ac:dyDescent="0.35">
      <c r="B27" s="185" t="s">
        <v>195</v>
      </c>
      <c r="L27" s="2" t="s">
        <v>186</v>
      </c>
      <c r="M27" s="2" t="s">
        <v>15</v>
      </c>
      <c r="N27" s="204">
        <v>0.04</v>
      </c>
      <c r="O27" s="203">
        <v>3.7340434127790256E-2</v>
      </c>
      <c r="P27" s="203">
        <v>3.7348387515260095E-2</v>
      </c>
      <c r="Q27" s="203">
        <v>3.7348384624779976E-2</v>
      </c>
      <c r="R27" s="203">
        <v>3.7348384560765391E-2</v>
      </c>
      <c r="S27" s="203"/>
      <c r="T27" s="203"/>
      <c r="U27" s="203"/>
      <c r="V27" s="203"/>
      <c r="W27" s="203"/>
      <c r="X27" s="202"/>
      <c r="Z27" s="185"/>
      <c r="AD27" s="156">
        <v>3</v>
      </c>
      <c r="AE27" s="60" cm="1">
        <f t="array" ref="AE27">cubicInterpolation($S$8:$S$17,Xn,AD27)</f>
        <v>3.9102414838936221E-2</v>
      </c>
      <c r="AF27" s="197">
        <f t="shared" si="5"/>
        <v>3.910241481456523E-2</v>
      </c>
      <c r="AG27" s="196">
        <f t="shared" si="6"/>
        <v>-2.4370991336120085E-11</v>
      </c>
      <c r="AI27" s="156">
        <v>3</v>
      </c>
      <c r="AJ27" s="45" cm="1">
        <f t="array" ref="AJ27">integrate(CurveResults.Times,CurveResults.USDSOFR,0,AI27)</f>
        <v>0.12861608305791533</v>
      </c>
      <c r="AK27" s="195">
        <f t="shared" si="3"/>
        <v>0.87931148332785924</v>
      </c>
      <c r="AL27" s="336">
        <f t="shared" si="4"/>
        <v>0.87930017404070993</v>
      </c>
      <c r="AO27" s="2" t="s">
        <v>231</v>
      </c>
      <c r="AP27" s="241">
        <v>0</v>
      </c>
      <c r="AQ27" s="231">
        <v>-2.127159442448705</v>
      </c>
      <c r="AR27" s="231">
        <v>3.127159442448705</v>
      </c>
      <c r="AS27" s="17">
        <v>0</v>
      </c>
      <c r="AT27" s="17">
        <v>0</v>
      </c>
      <c r="AU27" s="17">
        <v>0</v>
      </c>
      <c r="AV27" s="17">
        <v>0</v>
      </c>
      <c r="AW27" s="17">
        <v>0</v>
      </c>
      <c r="AX27" s="17">
        <v>0</v>
      </c>
      <c r="AY27" s="81">
        <v>0</v>
      </c>
    </row>
    <row r="28" spans="2:52" ht="16.2" x14ac:dyDescent="0.35">
      <c r="B28" s="185" t="s">
        <v>194</v>
      </c>
      <c r="L28" s="2" t="s">
        <v>186</v>
      </c>
      <c r="M28" s="2" t="s">
        <v>193</v>
      </c>
      <c r="N28" s="204">
        <v>0.04</v>
      </c>
      <c r="O28" s="203">
        <v>3.7283580471218179E-2</v>
      </c>
      <c r="P28" s="203">
        <v>3.7295653817743905E-2</v>
      </c>
      <c r="Q28" s="203">
        <v>3.7295627680444789E-2</v>
      </c>
      <c r="R28" s="203">
        <v>3.7295627668963979E-2</v>
      </c>
      <c r="S28" s="203"/>
      <c r="T28" s="203"/>
      <c r="U28" s="203"/>
      <c r="V28" s="203"/>
      <c r="W28" s="203"/>
      <c r="X28" s="202"/>
      <c r="Z28" s="185"/>
      <c r="AD28" s="156">
        <v>4</v>
      </c>
      <c r="AE28" s="60" cm="1">
        <f t="array" ref="AE28">cubicInterpolation($S$8:$S$17,Xn,AD28)</f>
        <v>3.7885484953529648E-2</v>
      </c>
      <c r="AF28" s="197">
        <f t="shared" si="5"/>
        <v>3.7885484891709405E-2</v>
      </c>
      <c r="AG28" s="196">
        <f t="shared" si="6"/>
        <v>-6.182024336887082E-11</v>
      </c>
      <c r="AI28" s="156">
        <v>4</v>
      </c>
      <c r="AJ28" s="45" cm="1">
        <f t="array" ref="AJ28">integrate(CurveResults.Times,CurveResults.USDSOFR,0,AI28)</f>
        <v>0.16704571191870113</v>
      </c>
      <c r="AK28" s="195">
        <f t="shared" si="3"/>
        <v>0.84616093081343713</v>
      </c>
      <c r="AL28" s="336">
        <f t="shared" si="4"/>
        <v>0.84614679617598543</v>
      </c>
      <c r="AO28" s="2" t="s">
        <v>228</v>
      </c>
      <c r="AP28" s="241">
        <v>2.3590429814844659E-16</v>
      </c>
      <c r="AQ28" s="232">
        <v>-4.7180859629689317E-16</v>
      </c>
      <c r="AR28" s="231">
        <v>-3.2496740369457693</v>
      </c>
      <c r="AS28" s="231">
        <v>4.2496740369457697</v>
      </c>
      <c r="AT28" s="17">
        <v>0</v>
      </c>
      <c r="AU28" s="17">
        <v>0</v>
      </c>
      <c r="AV28" s="17">
        <v>0</v>
      </c>
      <c r="AW28" s="17">
        <v>0</v>
      </c>
      <c r="AX28" s="17">
        <v>0</v>
      </c>
      <c r="AY28" s="81">
        <v>0</v>
      </c>
    </row>
    <row r="29" spans="2:52" ht="16.2" x14ac:dyDescent="0.35">
      <c r="B29" s="185" t="s">
        <v>192</v>
      </c>
      <c r="L29" s="2" t="s">
        <v>186</v>
      </c>
      <c r="M29" s="2" t="s">
        <v>191</v>
      </c>
      <c r="N29" s="204">
        <v>0.04</v>
      </c>
      <c r="O29" s="203">
        <v>3.7112346578773846E-2</v>
      </c>
      <c r="P29" s="203">
        <v>3.7128228436997791E-2</v>
      </c>
      <c r="Q29" s="203">
        <v>3.7128176164857161E-2</v>
      </c>
      <c r="R29" s="203">
        <v>3.7128176244266765E-2</v>
      </c>
      <c r="S29" s="203"/>
      <c r="T29" s="203"/>
      <c r="U29" s="203"/>
      <c r="V29" s="203"/>
      <c r="W29" s="203"/>
      <c r="X29" s="202"/>
      <c r="Z29" s="185"/>
      <c r="AD29" s="156">
        <v>5</v>
      </c>
      <c r="AE29" s="60" cm="1">
        <f t="array" ref="AE29">cubicInterpolation($S$8:$S$17,Xn,AD29)</f>
        <v>3.7348384624779976E-2</v>
      </c>
      <c r="AF29" s="197">
        <f t="shared" si="5"/>
        <v>3.7348384560765391E-2</v>
      </c>
      <c r="AG29" s="196">
        <f t="shared" si="6"/>
        <v>-6.4014585299254634E-11</v>
      </c>
      <c r="AI29" s="156">
        <v>5</v>
      </c>
      <c r="AJ29" s="45" cm="1">
        <f t="array" ref="AJ29">integrate(CurveResults.Times,CurveResults.USDSOFR,0,AI29)</f>
        <v>0.20461413950197796</v>
      </c>
      <c r="AK29" s="195">
        <f t="shared" si="3"/>
        <v>0.81496171728417521</v>
      </c>
      <c r="AL29" s="336">
        <f t="shared" si="4"/>
        <v>0.81494504218572283</v>
      </c>
      <c r="AO29" s="2" t="s">
        <v>226</v>
      </c>
      <c r="AP29" s="241">
        <v>-9.4712140517947186E-17</v>
      </c>
      <c r="AQ29" s="232">
        <v>1.8942428103589437E-16</v>
      </c>
      <c r="AR29" s="232">
        <v>6.0089316699682015E-16</v>
      </c>
      <c r="AS29" s="231">
        <v>-4.412364485952712</v>
      </c>
      <c r="AT29" s="231">
        <v>5.4123644859527129</v>
      </c>
      <c r="AU29" s="17">
        <v>0</v>
      </c>
      <c r="AV29" s="17">
        <v>0</v>
      </c>
      <c r="AW29" s="17">
        <v>0</v>
      </c>
      <c r="AX29" s="17">
        <v>0</v>
      </c>
      <c r="AY29" s="81">
        <v>0</v>
      </c>
    </row>
    <row r="30" spans="2:52" ht="16.2" x14ac:dyDescent="0.3">
      <c r="B30" s="185" t="s">
        <v>190</v>
      </c>
      <c r="L30" s="2" t="s">
        <v>186</v>
      </c>
      <c r="M30" s="2" t="s">
        <v>189</v>
      </c>
      <c r="N30" s="204">
        <v>0.04</v>
      </c>
      <c r="O30" s="203">
        <v>3.7430671355937875E-2</v>
      </c>
      <c r="P30" s="203">
        <v>3.7445977622889891E-2</v>
      </c>
      <c r="Q30" s="203">
        <v>3.7445915736878665E-2</v>
      </c>
      <c r="R30" s="203">
        <v>3.7445915889434342E-2</v>
      </c>
      <c r="S30" s="203"/>
      <c r="T30" s="203"/>
      <c r="U30" s="203"/>
      <c r="V30" s="203"/>
      <c r="W30" s="203"/>
      <c r="X30" s="202"/>
      <c r="Z30" s="185"/>
      <c r="AD30" s="156">
        <v>6</v>
      </c>
      <c r="AE30" s="60" cm="1">
        <f t="array" ref="AE30">cubicInterpolation($S$8:$S$17,Xn,AD30)</f>
        <v>3.7295627680444789E-2</v>
      </c>
      <c r="AF30" s="197">
        <f t="shared" si="5"/>
        <v>3.7295627668963979E-2</v>
      </c>
      <c r="AG30" s="196">
        <f t="shared" si="6"/>
        <v>-1.148080935875484E-11</v>
      </c>
      <c r="AI30" s="156">
        <v>6</v>
      </c>
      <c r="AJ30" s="45" cm="1">
        <f t="array" ref="AJ30">integrate(CurveResults.Times,CurveResults.USDSOFR,0,AI30)</f>
        <v>0.24192074362070859</v>
      </c>
      <c r="AK30" s="195">
        <f t="shared" si="3"/>
        <v>0.78511840072776184</v>
      </c>
      <c r="AL30" s="336">
        <f t="shared" si="4"/>
        <v>0.78509940731477434</v>
      </c>
      <c r="AO30" s="2" t="s">
        <v>223</v>
      </c>
      <c r="AP30" s="156">
        <v>-1.5593346392917469E-16</v>
      </c>
      <c r="AQ30" s="17">
        <v>3.1186692785834937E-16</v>
      </c>
      <c r="AR30" s="17">
        <v>-6.2373385571669875E-16</v>
      </c>
      <c r="AS30" s="17">
        <v>0</v>
      </c>
      <c r="AT30" s="233">
        <v>-5.6180951203681744</v>
      </c>
      <c r="AU30" s="231">
        <v>6.6180951203681753</v>
      </c>
      <c r="AV30" s="17">
        <v>0</v>
      </c>
      <c r="AW30" s="17">
        <v>0</v>
      </c>
      <c r="AX30" s="17">
        <v>0</v>
      </c>
      <c r="AY30" s="81">
        <v>0</v>
      </c>
    </row>
    <row r="31" spans="2:52" ht="16.2" x14ac:dyDescent="0.3">
      <c r="L31" s="2" t="s">
        <v>186</v>
      </c>
      <c r="M31" s="2" t="s">
        <v>188</v>
      </c>
      <c r="N31" s="204">
        <v>0.04</v>
      </c>
      <c r="O31" s="203">
        <v>3.7901168636187657E-2</v>
      </c>
      <c r="P31" s="203">
        <v>3.7912747862490125E-2</v>
      </c>
      <c r="Q31" s="203">
        <v>3.7912696548201001E-2</v>
      </c>
      <c r="R31" s="203">
        <v>3.7912696701642247E-2</v>
      </c>
      <c r="S31" s="203"/>
      <c r="T31" s="203"/>
      <c r="U31" s="203"/>
      <c r="V31" s="203"/>
      <c r="W31" s="203"/>
      <c r="X31" s="202"/>
      <c r="Z31" s="185"/>
      <c r="AD31" s="156">
        <v>7</v>
      </c>
      <c r="AE31" s="60" cm="1">
        <f t="array" ref="AE31">cubicInterpolation($S$8:$S$17,Xn,AD31)</f>
        <v>3.7128176164857161E-2</v>
      </c>
      <c r="AF31" s="197">
        <f t="shared" si="5"/>
        <v>3.7128176244266765E-2</v>
      </c>
      <c r="AG31" s="196">
        <f t="shared" si="6"/>
        <v>7.9409603892521829E-11</v>
      </c>
      <c r="AI31" s="156">
        <v>7</v>
      </c>
      <c r="AJ31" s="45" cm="1">
        <f t="array" ref="AJ31">integrate(CurveResults.Times,CurveResults.USDSOFR,0,AI31)</f>
        <v>0.27911720818851138</v>
      </c>
      <c r="AK31" s="195">
        <f t="shared" si="3"/>
        <v>0.75645123573983353</v>
      </c>
      <c r="AL31" s="336">
        <f t="shared" si="4"/>
        <v>0.7564301221787878</v>
      </c>
      <c r="AO31" s="2" t="s">
        <v>220</v>
      </c>
      <c r="AP31" s="156">
        <v>-2.4247921704163713E-32</v>
      </c>
      <c r="AQ31" s="17">
        <v>4.8495843408327426E-32</v>
      </c>
      <c r="AR31" s="17">
        <v>-1.939833736333097E-31</v>
      </c>
      <c r="AS31" s="17">
        <v>8.7362344921104527E-16</v>
      </c>
      <c r="AT31" s="17">
        <v>-1.7472468984220905E-15</v>
      </c>
      <c r="AU31" s="231">
        <v>-6.868900480657981</v>
      </c>
      <c r="AV31" s="231">
        <v>7.8689004806579819</v>
      </c>
      <c r="AW31" s="17">
        <v>0</v>
      </c>
      <c r="AX31" s="17">
        <v>0</v>
      </c>
      <c r="AY31" s="81">
        <v>0</v>
      </c>
    </row>
    <row r="32" spans="2:52" ht="16.2" x14ac:dyDescent="0.3">
      <c r="B32" s="185" t="s">
        <v>187</v>
      </c>
      <c r="L32" s="2" t="s">
        <v>186</v>
      </c>
      <c r="M32" s="2" t="s">
        <v>16</v>
      </c>
      <c r="N32" s="201">
        <v>0.04</v>
      </c>
      <c r="O32" s="200">
        <v>3.821975478645518E-2</v>
      </c>
      <c r="P32" s="200">
        <v>3.8228073591663837E-2</v>
      </c>
      <c r="Q32" s="200">
        <v>3.8228035792041849E-2</v>
      </c>
      <c r="R32" s="200">
        <v>3.8228035916062428E-2</v>
      </c>
      <c r="S32" s="200"/>
      <c r="T32" s="200"/>
      <c r="U32" s="200"/>
      <c r="V32" s="200"/>
      <c r="W32" s="200"/>
      <c r="X32" s="199"/>
      <c r="Z32" s="185"/>
      <c r="AD32" s="156">
        <v>8</v>
      </c>
      <c r="AE32" s="60" cm="1">
        <f t="array" ref="AE32">cubicInterpolation($S$8:$S$17,Xn,AD32)</f>
        <v>3.7445915736878665E-2</v>
      </c>
      <c r="AF32" s="197">
        <f t="shared" si="5"/>
        <v>3.7445915889434342E-2</v>
      </c>
      <c r="AG32" s="196">
        <f t="shared" si="6"/>
        <v>1.5255567642480372E-10</v>
      </c>
      <c r="AI32" s="156">
        <v>8</v>
      </c>
      <c r="AJ32" s="45" cm="1">
        <f t="array" ref="AJ32">integrate(CurveResults.Times,CurveResults.USDSOFR,0,AI32)</f>
        <v>0.31637782779242474</v>
      </c>
      <c r="AK32" s="195">
        <f t="shared" si="3"/>
        <v>0.72878404327648572</v>
      </c>
      <c r="AL32" s="336">
        <f t="shared" si="4"/>
        <v>0.72876098652996557</v>
      </c>
      <c r="AO32" s="2" t="s">
        <v>217</v>
      </c>
      <c r="AP32" s="156">
        <v>-3.081487911019575E-33</v>
      </c>
      <c r="AQ32" s="17">
        <v>-5.0890577740604942E-16</v>
      </c>
      <c r="AR32" s="17">
        <v>1.0178115548120988E-15</v>
      </c>
      <c r="AS32" s="17">
        <v>-9.0678925234958318E-16</v>
      </c>
      <c r="AT32" s="17">
        <v>7.9576694988706773E-16</v>
      </c>
      <c r="AU32" s="232">
        <v>0</v>
      </c>
      <c r="AV32" s="231">
        <v>-8.167631477970307</v>
      </c>
      <c r="AW32" s="231">
        <v>9.167631477970307</v>
      </c>
      <c r="AX32" s="17">
        <v>0</v>
      </c>
      <c r="AY32" s="81">
        <v>0</v>
      </c>
    </row>
    <row r="33" spans="2:51" ht="16.2" x14ac:dyDescent="0.3">
      <c r="B33" s="198" t="s">
        <v>185</v>
      </c>
      <c r="AD33" s="156">
        <v>9</v>
      </c>
      <c r="AE33" s="60" cm="1">
        <f t="array" ref="AE33">cubicInterpolation($S$8:$S$17,Xn,AD33)</f>
        <v>3.7912696548201001E-2</v>
      </c>
      <c r="AF33" s="197">
        <f t="shared" si="5"/>
        <v>3.7912696701642247E-2</v>
      </c>
      <c r="AG33" s="196">
        <f t="shared" si="6"/>
        <v>1.5344124582039598E-10</v>
      </c>
      <c r="AI33" s="156">
        <v>9</v>
      </c>
      <c r="AJ33" s="45" cm="1">
        <f t="array" ref="AJ33">integrate(CurveResults.Times,CurveResults.USDSOFR,0,AI33)</f>
        <v>0.35405723394863875</v>
      </c>
      <c r="AK33" s="195">
        <f t="shared" si="3"/>
        <v>0.70183479742911425</v>
      </c>
      <c r="AL33" s="336">
        <f t="shared" si="4"/>
        <v>0.70180994890030035</v>
      </c>
      <c r="AO33" s="2" t="s">
        <v>214</v>
      </c>
      <c r="AP33" s="156">
        <v>-2.9197901641916303E-16</v>
      </c>
      <c r="AQ33" s="17">
        <v>5.2844688160706823E-16</v>
      </c>
      <c r="AR33" s="17">
        <v>-1.0568937632141365E-15</v>
      </c>
      <c r="AS33" s="17">
        <v>5.8395803283832606E-16</v>
      </c>
      <c r="AT33" s="17">
        <v>1.0568937632141369E-15</v>
      </c>
      <c r="AU33" s="232">
        <v>0</v>
      </c>
      <c r="AV33" s="232">
        <v>-1.1679160656766525E-15</v>
      </c>
      <c r="AW33" s="231">
        <v>-9.5196527163627742</v>
      </c>
      <c r="AX33" s="231">
        <v>10.519652716362776</v>
      </c>
      <c r="AY33" s="81">
        <v>0</v>
      </c>
    </row>
    <row r="34" spans="2:51" ht="16.2" x14ac:dyDescent="0.3">
      <c r="AD34" s="157">
        <v>10</v>
      </c>
      <c r="AE34" s="194" cm="1">
        <f t="array" ref="AE34">cubicInterpolation($S$8:$S$17,Xn,AD34)</f>
        <v>3.8228035792041849E-2</v>
      </c>
      <c r="AF34" s="193">
        <f t="shared" si="5"/>
        <v>3.8228035916062428E-2</v>
      </c>
      <c r="AG34" s="192">
        <f t="shared" si="6"/>
        <v>1.2402057852911597E-10</v>
      </c>
      <c r="AI34" s="157">
        <v>10</v>
      </c>
      <c r="AJ34" s="191" cm="1">
        <f t="array" ref="AJ34">integrate(CurveResults.Times,CurveResults.USDSOFR,0,AI34)</f>
        <v>0.3921339101840719</v>
      </c>
      <c r="AK34" s="190">
        <f t="shared" si="3"/>
        <v>0.67561363635641902</v>
      </c>
      <c r="AL34" s="336">
        <f t="shared" si="4"/>
        <v>0.67558714377415452</v>
      </c>
      <c r="AO34" s="2" t="s">
        <v>211</v>
      </c>
      <c r="AP34" s="157">
        <v>4.6884425713612781E-16</v>
      </c>
      <c r="AQ34" s="216">
        <v>-3.310665551678378E-16</v>
      </c>
      <c r="AR34" s="216">
        <v>6.6213311033567541E-16</v>
      </c>
      <c r="AS34" s="216">
        <v>5.5511151231257809E-17</v>
      </c>
      <c r="AT34" s="216">
        <v>-1.3242662206713514E-15</v>
      </c>
      <c r="AU34" s="215">
        <v>0</v>
      </c>
      <c r="AV34" s="215">
        <v>-1.1102230246251562E-16</v>
      </c>
      <c r="AW34" s="215">
        <v>0</v>
      </c>
      <c r="AX34" s="214">
        <v>-10.927929715909666</v>
      </c>
      <c r="AY34" s="213">
        <v>11.927929715909666</v>
      </c>
    </row>
    <row r="35" spans="2:51" x14ac:dyDescent="0.3">
      <c r="B35" s="185" t="s">
        <v>184</v>
      </c>
      <c r="L35" s="1" t="s">
        <v>135</v>
      </c>
      <c r="AD35" s="189" t="s">
        <v>183</v>
      </c>
      <c r="AI35" s="189" t="s">
        <v>182</v>
      </c>
    </row>
    <row r="36" spans="2:51" x14ac:dyDescent="0.3">
      <c r="B36" s="185" t="s">
        <v>181</v>
      </c>
      <c r="L36" s="188" t="s">
        <v>180</v>
      </c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6"/>
      <c r="AE36" s="16"/>
    </row>
    <row r="37" spans="2:51" x14ac:dyDescent="0.3">
      <c r="B37" s="185" t="s">
        <v>179</v>
      </c>
      <c r="L37" s="184" t="s">
        <v>178</v>
      </c>
      <c r="M37" s="182"/>
      <c r="N37" s="183"/>
      <c r="O37" s="182"/>
      <c r="P37" s="182"/>
      <c r="Q37" s="182"/>
      <c r="R37" s="182"/>
      <c r="S37" s="182"/>
      <c r="T37" s="182"/>
      <c r="U37" s="182"/>
      <c r="V37" s="182"/>
      <c r="W37" s="182"/>
      <c r="X37" s="181"/>
      <c r="AE37" s="45"/>
    </row>
    <row r="38" spans="2:51" x14ac:dyDescent="0.3">
      <c r="L38" s="184" t="s">
        <v>177</v>
      </c>
      <c r="M38" s="182"/>
      <c r="N38" s="183"/>
      <c r="O38" s="182"/>
      <c r="P38" s="182"/>
      <c r="Q38" s="182"/>
      <c r="R38" s="182"/>
      <c r="S38" s="182"/>
      <c r="T38" s="182"/>
      <c r="U38" s="182"/>
      <c r="V38" s="182"/>
      <c r="W38" s="182"/>
      <c r="X38" s="181"/>
      <c r="AE38" s="45"/>
      <c r="AF38" s="45"/>
    </row>
    <row r="39" spans="2:51" x14ac:dyDescent="0.3">
      <c r="B39" t="s">
        <v>176</v>
      </c>
      <c r="L39" s="184" t="s">
        <v>175</v>
      </c>
      <c r="M39" s="182"/>
      <c r="N39" s="183"/>
      <c r="O39" s="182"/>
      <c r="P39" s="182"/>
      <c r="Q39" s="182"/>
      <c r="R39" s="182"/>
      <c r="S39" s="182"/>
      <c r="T39" s="182"/>
      <c r="U39" s="182"/>
      <c r="V39" s="182"/>
      <c r="W39" s="182"/>
      <c r="X39" s="181"/>
      <c r="AE39" s="45"/>
      <c r="AF39" s="45"/>
    </row>
    <row r="40" spans="2:51" x14ac:dyDescent="0.3">
      <c r="L40" s="180" t="s">
        <v>174</v>
      </c>
      <c r="M40" s="178"/>
      <c r="N40" s="179"/>
      <c r="O40" s="178"/>
      <c r="P40" s="178"/>
      <c r="Q40" s="178"/>
      <c r="R40" s="178"/>
      <c r="S40" s="178"/>
      <c r="T40" s="178"/>
      <c r="U40" s="178"/>
      <c r="V40" s="178"/>
      <c r="W40" s="178"/>
      <c r="X40" s="177"/>
      <c r="AE40" s="45"/>
      <c r="AF40" s="18"/>
    </row>
    <row r="42" spans="2:51" x14ac:dyDescent="0.3">
      <c r="N42" s="176"/>
    </row>
    <row r="43" spans="2:51" x14ac:dyDescent="0.3">
      <c r="L43" s="1" t="s">
        <v>173</v>
      </c>
      <c r="AG43" s="1"/>
      <c r="AP43" s="1"/>
    </row>
    <row r="44" spans="2:51" x14ac:dyDescent="0.3">
      <c r="L44" s="175" t="s">
        <v>172</v>
      </c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3"/>
      <c r="AG44" s="17"/>
    </row>
    <row r="45" spans="2:51" x14ac:dyDescent="0.3">
      <c r="L45" s="171" t="s">
        <v>171</v>
      </c>
      <c r="X45" s="170"/>
    </row>
    <row r="46" spans="2:51" x14ac:dyDescent="0.3">
      <c r="L46" s="171" t="s">
        <v>170</v>
      </c>
      <c r="X46" s="170"/>
      <c r="AN46" s="45"/>
      <c r="AO46" s="172"/>
    </row>
    <row r="47" spans="2:51" x14ac:dyDescent="0.3">
      <c r="L47" s="171"/>
      <c r="X47" s="170"/>
      <c r="AM47" s="2"/>
    </row>
    <row r="48" spans="2:51" x14ac:dyDescent="0.3">
      <c r="L48" s="171" t="s">
        <v>169</v>
      </c>
      <c r="X48" s="170"/>
      <c r="AM48" s="2"/>
    </row>
    <row r="49" spans="12:39" x14ac:dyDescent="0.3">
      <c r="L49" s="171" t="s">
        <v>168</v>
      </c>
      <c r="X49" s="170"/>
      <c r="AM49" s="2"/>
    </row>
    <row r="50" spans="12:39" ht="16.2" x14ac:dyDescent="0.3">
      <c r="L50" s="171" t="s">
        <v>167</v>
      </c>
      <c r="X50" s="170"/>
      <c r="AM50" s="2"/>
    </row>
    <row r="51" spans="12:39" x14ac:dyDescent="0.3">
      <c r="L51" s="171" t="s">
        <v>166</v>
      </c>
      <c r="X51" s="170"/>
      <c r="AM51" s="2"/>
    </row>
    <row r="52" spans="12:39" x14ac:dyDescent="0.3">
      <c r="L52" s="171"/>
      <c r="X52" s="170"/>
      <c r="AM52" s="2"/>
    </row>
    <row r="53" spans="12:39" x14ac:dyDescent="0.3">
      <c r="L53" s="171" t="s">
        <v>165</v>
      </c>
      <c r="X53" s="170"/>
      <c r="AM53" s="2"/>
    </row>
    <row r="54" spans="12:39" x14ac:dyDescent="0.3">
      <c r="L54" s="171" t="s">
        <v>164</v>
      </c>
      <c r="X54" s="170"/>
      <c r="AM54" s="2"/>
    </row>
    <row r="55" spans="12:39" x14ac:dyDescent="0.3">
      <c r="L55" s="171" t="s">
        <v>163</v>
      </c>
      <c r="X55" s="170"/>
      <c r="AM55" s="2"/>
    </row>
    <row r="56" spans="12:39" x14ac:dyDescent="0.3">
      <c r="L56" s="171" t="s">
        <v>162</v>
      </c>
      <c r="X56" s="170"/>
      <c r="AM56" s="2"/>
    </row>
    <row r="57" spans="12:39" x14ac:dyDescent="0.3">
      <c r="L57" s="171"/>
      <c r="X57" s="170"/>
    </row>
    <row r="58" spans="12:39" x14ac:dyDescent="0.3">
      <c r="L58" s="171" t="s">
        <v>161</v>
      </c>
      <c r="X58" s="170"/>
    </row>
    <row r="59" spans="12:39" x14ac:dyDescent="0.3">
      <c r="L59" s="169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7"/>
    </row>
  </sheetData>
  <dataValidations count="1">
    <dataValidation type="list" allowBlank="1" showInputMessage="1" showErrorMessage="1" sqref="Z23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&amp;R_x000D_&amp;1#&amp;"Aptos"&amp;10&amp;K008000 [ CLASSIFICAÇÃO: PÚBLICA ]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ieldCurveSolver">
                <anchor moveWithCells="1" sizeWithCells="1">
                  <from>
                    <xdr:col>25</xdr:col>
                    <xdr:colOff>0</xdr:colOff>
                    <xdr:row>25</xdr:row>
                    <xdr:rowOff>7620</xdr:rowOff>
                  </from>
                  <to>
                    <xdr:col>27</xdr:col>
                    <xdr:colOff>297180</xdr:colOff>
                    <xdr:row>29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E3C4-8EB6-450B-BD09-F6C3239F1056}">
  <sheetPr codeName="Sheet6">
    <tabColor theme="8" tint="0.39997558519241921"/>
  </sheetPr>
  <dimension ref="A1:AL55"/>
  <sheetViews>
    <sheetView showGridLines="0" zoomScaleNormal="100" workbookViewId="0"/>
  </sheetViews>
  <sheetFormatPr defaultColWidth="9.109375" defaultRowHeight="14.4" outlineLevelCol="1" x14ac:dyDescent="0.3"/>
  <cols>
    <col min="1" max="1" width="4.6640625" style="2" customWidth="1"/>
    <col min="2" max="2" width="17" style="2" bestFit="1" customWidth="1"/>
    <col min="3" max="3" width="19.44140625" style="2" bestFit="1" customWidth="1"/>
    <col min="4" max="4" width="4.88671875" style="2" customWidth="1" outlineLevel="1"/>
    <col min="5" max="13" width="11.6640625" style="2" customWidth="1" outlineLevel="1"/>
    <col min="14" max="14" width="8.88671875"/>
    <col min="15" max="15" width="4.88671875" style="2" customWidth="1" outlineLevel="1"/>
    <col min="16" max="21" width="11.6640625" style="2" customWidth="1" outlineLevel="1"/>
    <col min="22" max="22" width="11.6640625" style="18" customWidth="1" outlineLevel="1"/>
    <col min="23" max="27" width="11.6640625" style="2" customWidth="1" outlineLevel="1"/>
    <col min="28" max="28" width="8.88671875"/>
    <col min="29" max="29" width="11.109375" style="259" hidden="1" customWidth="1" outlineLevel="1"/>
    <col min="30" max="30" width="10.6640625" style="259" hidden="1" customWidth="1" outlineLevel="1"/>
    <col min="31" max="31" width="9.109375" hidden="1" customWidth="1" collapsed="1"/>
    <col min="32" max="32" width="9.109375" customWidth="1"/>
    <col min="33" max="33" width="20.6640625" style="2" customWidth="1"/>
    <col min="34" max="34" width="15.6640625" style="2" customWidth="1"/>
    <col min="35" max="35" width="9.109375" style="2"/>
    <col min="36" max="37" width="10.6640625" style="2" customWidth="1"/>
    <col min="38" max="16384" width="9.109375" style="2"/>
  </cols>
  <sheetData>
    <row r="1" spans="1:38" x14ac:dyDescent="0.3">
      <c r="N1" s="124" t="s">
        <v>320</v>
      </c>
      <c r="O1" s="124"/>
      <c r="AB1" s="124" t="s">
        <v>319</v>
      </c>
      <c r="AE1" s="333" t="s">
        <v>318</v>
      </c>
      <c r="AF1" s="333"/>
    </row>
    <row r="2" spans="1:38" x14ac:dyDescent="0.3">
      <c r="B2" s="332" t="s">
        <v>322</v>
      </c>
    </row>
    <row r="4" spans="1:38" x14ac:dyDescent="0.3">
      <c r="B4" s="331" t="s">
        <v>321</v>
      </c>
      <c r="E4" s="44" t="s">
        <v>320</v>
      </c>
      <c r="K4" s="28"/>
      <c r="L4" s="28"/>
      <c r="M4" s="28"/>
      <c r="P4" s="44" t="s">
        <v>319</v>
      </c>
      <c r="AA4" s="28"/>
      <c r="AC4" s="330" t="s">
        <v>318</v>
      </c>
      <c r="AG4" s="44" t="s">
        <v>317</v>
      </c>
      <c r="AJ4" s="44" t="s">
        <v>316</v>
      </c>
    </row>
    <row r="5" spans="1:38" ht="16.2" x14ac:dyDescent="0.3">
      <c r="A5" s="329">
        <f>IF(C5="PAYER",-1,1)</f>
        <v>-1</v>
      </c>
      <c r="B5" s="328" t="s">
        <v>315</v>
      </c>
      <c r="C5" s="327" t="s">
        <v>314</v>
      </c>
      <c r="D5" s="270" t="s">
        <v>308</v>
      </c>
      <c r="E5" s="326" t="s">
        <v>306</v>
      </c>
      <c r="F5" s="324" t="s">
        <v>305</v>
      </c>
      <c r="G5" s="324" t="s">
        <v>304</v>
      </c>
      <c r="H5" s="324" t="s">
        <v>313</v>
      </c>
      <c r="I5" s="324" t="s">
        <v>302</v>
      </c>
      <c r="J5" s="324" t="s">
        <v>312</v>
      </c>
      <c r="K5" s="324" t="s">
        <v>311</v>
      </c>
      <c r="L5" s="324" t="s">
        <v>310</v>
      </c>
      <c r="M5" s="323" t="s">
        <v>309</v>
      </c>
      <c r="O5" s="269" t="s">
        <v>308</v>
      </c>
      <c r="P5" s="326" t="s">
        <v>307</v>
      </c>
      <c r="Q5" s="324" t="s">
        <v>306</v>
      </c>
      <c r="R5" s="324" t="s">
        <v>305</v>
      </c>
      <c r="S5" s="324" t="s">
        <v>304</v>
      </c>
      <c r="T5" s="324" t="s">
        <v>303</v>
      </c>
      <c r="U5" s="324" t="s">
        <v>302</v>
      </c>
      <c r="V5" s="325" t="s">
        <v>301</v>
      </c>
      <c r="W5" s="324" t="s">
        <v>300</v>
      </c>
      <c r="X5" s="324" t="s">
        <v>299</v>
      </c>
      <c r="Y5" s="324" t="s">
        <v>298</v>
      </c>
      <c r="Z5" s="324" t="s">
        <v>297</v>
      </c>
      <c r="AA5" s="323" t="s">
        <v>296</v>
      </c>
      <c r="AC5" s="322" t="s">
        <v>295</v>
      </c>
      <c r="AD5" s="321" t="s">
        <v>294</v>
      </c>
      <c r="AG5" s="320" t="s">
        <v>293</v>
      </c>
      <c r="AH5" s="319"/>
      <c r="AJ5" s="308" t="s">
        <v>292</v>
      </c>
      <c r="AK5" s="45">
        <f>VLOOKUP(T,'IR Yield Curve'!$K$7:$M$17,3,0)</f>
        <v>4.0101699999999997E-2</v>
      </c>
    </row>
    <row r="6" spans="1:38" x14ac:dyDescent="0.3">
      <c r="B6" s="281" t="s">
        <v>17</v>
      </c>
      <c r="C6" s="318" t="s">
        <v>19</v>
      </c>
      <c r="D6" s="270">
        <v>1</v>
      </c>
      <c r="E6" s="317">
        <f ca="1">IF(AC6,AsOfDate,"")</f>
        <v>46066</v>
      </c>
      <c r="F6" s="316">
        <f t="shared" ref="F6:F37" ca="1" si="0">IF(AC6,E6+K6*365,"")</f>
        <v>46431</v>
      </c>
      <c r="G6" s="316">
        <f t="shared" ref="G6:G37" ca="1" si="1">IF(AC6,F6,"")</f>
        <v>46431</v>
      </c>
      <c r="H6" s="313">
        <f t="shared" ref="H6:H37" si="2">IF(AC6,$D6*tau_i,"")</f>
        <v>1</v>
      </c>
      <c r="I6" s="315">
        <f t="shared" ref="I6:I37" si="3">IF(AC6,N,"")</f>
        <v>1000000</v>
      </c>
      <c r="J6" s="314">
        <f t="shared" ref="J6:J37" si="4">IF(AC6,r_fixed,"")</f>
        <v>0.01</v>
      </c>
      <c r="K6" s="313">
        <f t="shared" ref="K6:K37" si="5">IF(AC6,tau_i,"")</f>
        <v>1</v>
      </c>
      <c r="L6" s="312">
        <f t="shared" ref="L6:L37" si="6">IF(AC6,cubicInterpolation(CurveResults.Times,IF(ApplyBump,CurveResults.DF.Bumped,CurveResults.DFs),H6),"")</f>
        <v>0.95518051063522103</v>
      </c>
      <c r="M6" s="311">
        <f t="shared" ref="M6:M37" si="7">IF(AC6,I6*J6*K6*L6,"")</f>
        <v>9551.8051063522107</v>
      </c>
      <c r="O6" s="269">
        <v>1</v>
      </c>
      <c r="P6" s="317">
        <f t="shared" ref="P6:P37" ca="1" si="8">IF(AD6,Q6,"")</f>
        <v>46066</v>
      </c>
      <c r="Q6" s="316">
        <f ca="1">IF(AD6,AsOfDate,"")</f>
        <v>46066</v>
      </c>
      <c r="R6" s="316">
        <f t="shared" ref="R6:R37" ca="1" si="9">IF(AD6,Q6+Y6*365,"")</f>
        <v>46431</v>
      </c>
      <c r="S6" s="316">
        <f t="shared" ref="S6:S37" ca="1" si="10">IF(AD6,R6,"")</f>
        <v>46431</v>
      </c>
      <c r="T6" s="313">
        <f t="shared" ref="T6:T37" si="11">IF(AD6,$O6*tau_j,"")</f>
        <v>1</v>
      </c>
      <c r="U6" s="315">
        <f t="shared" ref="U6:U37" si="12">IF(AD6,N,"")</f>
        <v>1000000</v>
      </c>
      <c r="V6" s="314" cm="1">
        <f t="array" ref="V6">IF(AD6,cubicInterpolation(CurveResults.Times,CurveResults.USDSOFR,T6)-IF(ApplyBump,0.0001,0),"")</f>
        <v>4.4297700000000037E-2</v>
      </c>
      <c r="W6" s="313">
        <f t="shared" ref="W6:W37" si="13">IF(AD6,s,"")</f>
        <v>0</v>
      </c>
      <c r="X6" s="314">
        <f t="shared" ref="X6:X37" si="14">IF(AD6,V6+(W6*0.0001),"")</f>
        <v>4.4297700000000037E-2</v>
      </c>
      <c r="Y6" s="313">
        <f t="shared" ref="Y6:Y37" si="15">IF(AD6,tau_j,"")</f>
        <v>1</v>
      </c>
      <c r="Z6" s="312">
        <f t="shared" ref="Z6:Z37" si="16">IF(AD6,cubicInterpolation(CurveResults.Times,IF(ApplyBump,CurveResults.DF.Bumped,CurveResults.DFs),T6),"")</f>
        <v>0.95518051063522103</v>
      </c>
      <c r="AA6" s="311">
        <f t="shared" ref="AA6:AA37" si="17">IF(AD6,U6*X6*Y6*Z6,"")</f>
        <v>42312.299705965859</v>
      </c>
      <c r="AC6" s="310" t="b">
        <f t="shared" ref="AC6:AC37" si="18">IF(D6&lt;=T,TRUE,FALSE)</f>
        <v>1</v>
      </c>
      <c r="AD6" s="309" t="b">
        <f t="shared" ref="AD6:AD37" si="19">IF(O6&lt;=T,TRUE,FALSE)</f>
        <v>1</v>
      </c>
      <c r="AG6" s="281" t="s">
        <v>275</v>
      </c>
      <c r="AH6" s="273">
        <f>Phi*SUM(PVlets_Fixed)</f>
        <v>-44108.698560399047</v>
      </c>
      <c r="AJ6" s="308" t="s">
        <v>291</v>
      </c>
      <c r="AK6" s="45">
        <f>C18</f>
        <v>4.0101700029074532E-2</v>
      </c>
    </row>
    <row r="7" spans="1:38" x14ac:dyDescent="0.3">
      <c r="B7" s="281" t="s">
        <v>290</v>
      </c>
      <c r="C7" s="307">
        <v>1000000</v>
      </c>
      <c r="D7" s="270">
        <f t="shared" ref="D7:D38" si="20">D6+1</f>
        <v>2</v>
      </c>
      <c r="E7" s="279">
        <f t="shared" ref="E7:E38" ca="1" si="21">IF(AC7,F6,"")</f>
        <v>46431</v>
      </c>
      <c r="F7" s="278">
        <f t="shared" ca="1" si="0"/>
        <v>46796</v>
      </c>
      <c r="G7" s="278">
        <f t="shared" ca="1" si="1"/>
        <v>46796</v>
      </c>
      <c r="H7" s="275">
        <f t="shared" si="2"/>
        <v>2</v>
      </c>
      <c r="I7" s="277">
        <f t="shared" si="3"/>
        <v>1000000</v>
      </c>
      <c r="J7" s="276">
        <f t="shared" si="4"/>
        <v>0.01</v>
      </c>
      <c r="K7" s="275">
        <f t="shared" si="5"/>
        <v>1</v>
      </c>
      <c r="L7" s="274">
        <f t="shared" si="6"/>
        <v>0.91525521397921195</v>
      </c>
      <c r="M7" s="273">
        <f t="shared" si="7"/>
        <v>9152.5521397921202</v>
      </c>
      <c r="O7" s="269">
        <f t="shared" ref="O7:O38" si="22">O6+1</f>
        <v>2</v>
      </c>
      <c r="P7" s="279">
        <f t="shared" ca="1" si="8"/>
        <v>46431</v>
      </c>
      <c r="Q7" s="278">
        <f t="shared" ref="Q7:Q38" ca="1" si="23">IF(AD7,R6,"")</f>
        <v>46431</v>
      </c>
      <c r="R7" s="278">
        <f t="shared" ca="1" si="9"/>
        <v>46796</v>
      </c>
      <c r="S7" s="278">
        <f t="shared" ca="1" si="10"/>
        <v>46796</v>
      </c>
      <c r="T7" s="275">
        <f t="shared" si="11"/>
        <v>2</v>
      </c>
      <c r="U7" s="277">
        <f t="shared" si="12"/>
        <v>1000000</v>
      </c>
      <c r="V7" s="276" cm="1">
        <f t="array" ref="V7">IF(AD7,cubicInterpolation(CurveResults.Times,CurveResults.USDSOFR,T7)-IF(ApplyBump,0.0001,0),"")</f>
        <v>4.118322001841742E-2</v>
      </c>
      <c r="W7" s="275">
        <f t="shared" si="13"/>
        <v>0</v>
      </c>
      <c r="X7" s="276">
        <f t="shared" si="14"/>
        <v>4.118322001841742E-2</v>
      </c>
      <c r="Y7" s="275">
        <f t="shared" si="15"/>
        <v>1</v>
      </c>
      <c r="Z7" s="274">
        <f t="shared" si="16"/>
        <v>0.91525521397921195</v>
      </c>
      <c r="AA7" s="273">
        <f t="shared" si="17"/>
        <v>37693.156850309599</v>
      </c>
      <c r="AC7" s="272" t="b">
        <f t="shared" si="18"/>
        <v>1</v>
      </c>
      <c r="AD7" s="271" t="b">
        <f t="shared" si="19"/>
        <v>1</v>
      </c>
      <c r="AG7" s="281" t="s">
        <v>273</v>
      </c>
      <c r="AH7" s="273">
        <f>-Phi*SUM(PVlets_Float)</f>
        <v>176883.37983419944</v>
      </c>
      <c r="AJ7" s="306" t="s">
        <v>69</v>
      </c>
      <c r="AK7" s="45">
        <f>AK6-AK5</f>
        <v>2.9074534446671407E-11</v>
      </c>
      <c r="AL7" s="305"/>
    </row>
    <row r="8" spans="1:38" ht="16.2" x14ac:dyDescent="0.3">
      <c r="B8" s="281" t="s">
        <v>289</v>
      </c>
      <c r="C8" s="304">
        <v>0.01</v>
      </c>
      <c r="D8" s="270">
        <f t="shared" si="20"/>
        <v>3</v>
      </c>
      <c r="E8" s="279">
        <f t="shared" ca="1" si="21"/>
        <v>46796</v>
      </c>
      <c r="F8" s="278">
        <f t="shared" ca="1" si="0"/>
        <v>47161</v>
      </c>
      <c r="G8" s="278">
        <f t="shared" ca="1" si="1"/>
        <v>47161</v>
      </c>
      <c r="H8" s="275">
        <f t="shared" si="2"/>
        <v>3</v>
      </c>
      <c r="I8" s="277">
        <f t="shared" si="3"/>
        <v>1000000</v>
      </c>
      <c r="J8" s="276">
        <f t="shared" si="4"/>
        <v>0.01</v>
      </c>
      <c r="K8" s="275">
        <f t="shared" si="5"/>
        <v>1</v>
      </c>
      <c r="L8" s="274">
        <f t="shared" si="6"/>
        <v>0.87931148332785924</v>
      </c>
      <c r="M8" s="273">
        <f t="shared" si="7"/>
        <v>8793.1148332785924</v>
      </c>
      <c r="O8" s="269">
        <f t="shared" si="22"/>
        <v>3</v>
      </c>
      <c r="P8" s="279">
        <f t="shared" ca="1" si="8"/>
        <v>46796</v>
      </c>
      <c r="Q8" s="278">
        <f t="shared" ca="1" si="23"/>
        <v>46796</v>
      </c>
      <c r="R8" s="278">
        <f t="shared" ca="1" si="9"/>
        <v>47161</v>
      </c>
      <c r="S8" s="278">
        <f t="shared" ca="1" si="10"/>
        <v>47161</v>
      </c>
      <c r="T8" s="275">
        <f t="shared" si="11"/>
        <v>3</v>
      </c>
      <c r="U8" s="277">
        <f t="shared" si="12"/>
        <v>1000000</v>
      </c>
      <c r="V8" s="276" cm="1">
        <f t="array" ref="V8">IF(AD8,cubicInterpolation(CurveResults.Times,CurveResults.USDSOFR,T8)-IF(ApplyBump,0.0001,0),"")</f>
        <v>3.9102414838936221E-2</v>
      </c>
      <c r="W8" s="275">
        <f t="shared" si="13"/>
        <v>0</v>
      </c>
      <c r="X8" s="276">
        <f t="shared" si="14"/>
        <v>3.9102414838936221E-2</v>
      </c>
      <c r="Y8" s="275">
        <f t="shared" si="15"/>
        <v>1</v>
      </c>
      <c r="Z8" s="274">
        <f t="shared" si="16"/>
        <v>0.87931148332785924</v>
      </c>
      <c r="AA8" s="273">
        <f t="shared" si="17"/>
        <v>34383.202393726307</v>
      </c>
      <c r="AC8" s="272" t="b">
        <f t="shared" si="18"/>
        <v>1</v>
      </c>
      <c r="AD8" s="271" t="b">
        <f t="shared" si="19"/>
        <v>1</v>
      </c>
      <c r="AG8" s="281" t="s">
        <v>288</v>
      </c>
      <c r="AH8" s="273">
        <f>-Phi*SUMPRODUCT(U6:U55,W6:W55,Y6:Y55,Z6:Z55)/10000</f>
        <v>0</v>
      </c>
    </row>
    <row r="9" spans="1:38" x14ac:dyDescent="0.3">
      <c r="A9" s="337">
        <f>IF(C9="ANNUAL",1,IF(C9="SEMI-ANNUAL",0.5,IF(C9="QUARTERLY",0.25,1/12)))</f>
        <v>1</v>
      </c>
      <c r="B9" s="281" t="s">
        <v>287</v>
      </c>
      <c r="C9" s="318" t="s">
        <v>327</v>
      </c>
      <c r="D9" s="270">
        <f t="shared" si="20"/>
        <v>4</v>
      </c>
      <c r="E9" s="279">
        <f t="shared" ca="1" si="21"/>
        <v>47161</v>
      </c>
      <c r="F9" s="278">
        <f t="shared" ca="1" si="0"/>
        <v>47526</v>
      </c>
      <c r="G9" s="278">
        <f t="shared" ca="1" si="1"/>
        <v>47526</v>
      </c>
      <c r="H9" s="275">
        <f t="shared" si="2"/>
        <v>4</v>
      </c>
      <c r="I9" s="277">
        <f t="shared" si="3"/>
        <v>1000000</v>
      </c>
      <c r="J9" s="276">
        <f t="shared" si="4"/>
        <v>0.01</v>
      </c>
      <c r="K9" s="275">
        <f t="shared" si="5"/>
        <v>1</v>
      </c>
      <c r="L9" s="274">
        <f t="shared" si="6"/>
        <v>0.84616093081343713</v>
      </c>
      <c r="M9" s="273">
        <f t="shared" si="7"/>
        <v>8461.6093081343715</v>
      </c>
      <c r="O9" s="269">
        <f t="shared" si="22"/>
        <v>4</v>
      </c>
      <c r="P9" s="279">
        <f t="shared" ca="1" si="8"/>
        <v>47161</v>
      </c>
      <c r="Q9" s="278">
        <f t="shared" ca="1" si="23"/>
        <v>47161</v>
      </c>
      <c r="R9" s="278">
        <f t="shared" ca="1" si="9"/>
        <v>47526</v>
      </c>
      <c r="S9" s="278">
        <f t="shared" ca="1" si="10"/>
        <v>47526</v>
      </c>
      <c r="T9" s="275">
        <f t="shared" si="11"/>
        <v>4</v>
      </c>
      <c r="U9" s="277">
        <f t="shared" si="12"/>
        <v>1000000</v>
      </c>
      <c r="V9" s="276" cm="1">
        <f t="array" ref="V9">IF(AD9,cubicInterpolation(CurveResults.Times,CurveResults.USDSOFR,T9)-IF(ApplyBump,0.0001,0),"")</f>
        <v>3.7885484953529648E-2</v>
      </c>
      <c r="W9" s="275">
        <f t="shared" si="13"/>
        <v>0</v>
      </c>
      <c r="X9" s="276">
        <f t="shared" si="14"/>
        <v>3.7885484953529648E-2</v>
      </c>
      <c r="Y9" s="275">
        <f t="shared" si="15"/>
        <v>1</v>
      </c>
      <c r="Z9" s="274">
        <f t="shared" si="16"/>
        <v>0.84616093081343713</v>
      </c>
      <c r="AA9" s="273">
        <f t="shared" si="17"/>
        <v>32057.217212597112</v>
      </c>
      <c r="AC9" s="272" t="b">
        <f t="shared" si="18"/>
        <v>1</v>
      </c>
      <c r="AD9" s="271" t="b">
        <f t="shared" si="19"/>
        <v>1</v>
      </c>
      <c r="AG9" s="281" t="s">
        <v>28</v>
      </c>
      <c r="AH9" s="273">
        <f>PV_FixedLeg+PV_FloatLeg</f>
        <v>132774.68127380038</v>
      </c>
      <c r="AJ9" s="44" t="s">
        <v>286</v>
      </c>
    </row>
    <row r="10" spans="1:38" x14ac:dyDescent="0.3">
      <c r="A10" s="337">
        <f>IF(C10="ANNUAL",1,IF(C10="SEMI-ANNUAL",0.5,IF(C10="QUARTERLY",0.25,1/12)))</f>
        <v>1</v>
      </c>
      <c r="B10" s="281" t="s">
        <v>285</v>
      </c>
      <c r="C10" s="318" t="s">
        <v>327</v>
      </c>
      <c r="D10" s="270">
        <f t="shared" si="20"/>
        <v>5</v>
      </c>
      <c r="E10" s="279">
        <f t="shared" ca="1" si="21"/>
        <v>47526</v>
      </c>
      <c r="F10" s="278">
        <f t="shared" ca="1" si="0"/>
        <v>47891</v>
      </c>
      <c r="G10" s="278">
        <f t="shared" ca="1" si="1"/>
        <v>47891</v>
      </c>
      <c r="H10" s="275">
        <f t="shared" si="2"/>
        <v>5</v>
      </c>
      <c r="I10" s="277">
        <f t="shared" si="3"/>
        <v>1000000</v>
      </c>
      <c r="J10" s="276">
        <f t="shared" si="4"/>
        <v>0.01</v>
      </c>
      <c r="K10" s="275">
        <f t="shared" si="5"/>
        <v>1</v>
      </c>
      <c r="L10" s="274">
        <f t="shared" si="6"/>
        <v>0.81496171728417521</v>
      </c>
      <c r="M10" s="273">
        <f t="shared" si="7"/>
        <v>8149.6171728417521</v>
      </c>
      <c r="O10" s="269">
        <f t="shared" si="22"/>
        <v>5</v>
      </c>
      <c r="P10" s="279">
        <f t="shared" ca="1" si="8"/>
        <v>47526</v>
      </c>
      <c r="Q10" s="278">
        <f t="shared" ca="1" si="23"/>
        <v>47526</v>
      </c>
      <c r="R10" s="278">
        <f t="shared" ca="1" si="9"/>
        <v>47891</v>
      </c>
      <c r="S10" s="278">
        <f t="shared" ca="1" si="10"/>
        <v>47891</v>
      </c>
      <c r="T10" s="275">
        <f t="shared" si="11"/>
        <v>5</v>
      </c>
      <c r="U10" s="277">
        <f t="shared" si="12"/>
        <v>1000000</v>
      </c>
      <c r="V10" s="276" cm="1">
        <f t="array" ref="V10">IF(AD10,cubicInterpolation(CurveResults.Times,CurveResults.USDSOFR,T10)-IF(ApplyBump,0.0001,0),"")</f>
        <v>3.7348384624779976E-2</v>
      </c>
      <c r="W10" s="275">
        <f t="shared" si="13"/>
        <v>0</v>
      </c>
      <c r="X10" s="276">
        <f t="shared" si="14"/>
        <v>3.7348384624779976E-2</v>
      </c>
      <c r="Y10" s="275">
        <f t="shared" si="15"/>
        <v>1</v>
      </c>
      <c r="Z10" s="274">
        <f t="shared" si="16"/>
        <v>0.81496171728417521</v>
      </c>
      <c r="AA10" s="273">
        <f t="shared" si="17"/>
        <v>30437.503671600574</v>
      </c>
      <c r="AC10" s="272" t="b">
        <f t="shared" si="18"/>
        <v>1</v>
      </c>
      <c r="AD10" s="271" t="b">
        <f t="shared" si="19"/>
        <v>1</v>
      </c>
      <c r="AG10" s="281" t="s">
        <v>284</v>
      </c>
      <c r="AH10" s="303">
        <f>ABS(PV_FloatLeg)/Annuity_Fixed</f>
        <v>4.0101700029074532E-2</v>
      </c>
      <c r="AJ10" s="2" t="str">
        <f>'IR Yield Curve'!L7</f>
        <v>Tenor</v>
      </c>
      <c r="AK10" s="2" t="str">
        <f>'IR Yield Curve'!M7</f>
        <v>ParRate, P</v>
      </c>
    </row>
    <row r="11" spans="1:38" x14ac:dyDescent="0.3">
      <c r="B11" s="281" t="s">
        <v>283</v>
      </c>
      <c r="C11" s="302">
        <v>0</v>
      </c>
      <c r="D11" s="270">
        <f t="shared" si="20"/>
        <v>6</v>
      </c>
      <c r="E11" s="279" t="str">
        <f t="shared" si="21"/>
        <v/>
      </c>
      <c r="F11" s="278" t="str">
        <f t="shared" si="0"/>
        <v/>
      </c>
      <c r="G11" s="278" t="str">
        <f t="shared" si="1"/>
        <v/>
      </c>
      <c r="H11" s="275" t="str">
        <f t="shared" si="2"/>
        <v/>
      </c>
      <c r="I11" s="277" t="str">
        <f t="shared" si="3"/>
        <v/>
      </c>
      <c r="J11" s="276" t="str">
        <f t="shared" si="4"/>
        <v/>
      </c>
      <c r="K11" s="275" t="str">
        <f t="shared" si="5"/>
        <v/>
      </c>
      <c r="L11" s="274" t="str">
        <f t="shared" si="6"/>
        <v/>
      </c>
      <c r="M11" s="273" t="str">
        <f t="shared" si="7"/>
        <v/>
      </c>
      <c r="O11" s="269">
        <f t="shared" si="22"/>
        <v>6</v>
      </c>
      <c r="P11" s="279" t="str">
        <f t="shared" si="8"/>
        <v/>
      </c>
      <c r="Q11" s="278" t="str">
        <f t="shared" si="23"/>
        <v/>
      </c>
      <c r="R11" s="278" t="str">
        <f t="shared" si="9"/>
        <v/>
      </c>
      <c r="S11" s="278" t="str">
        <f t="shared" si="10"/>
        <v/>
      </c>
      <c r="T11" s="275" t="str">
        <f t="shared" si="11"/>
        <v/>
      </c>
      <c r="U11" s="277" t="str">
        <f t="shared" si="12"/>
        <v/>
      </c>
      <c r="V11" s="276" t="str" cm="1">
        <f t="array" ref="V11">IF(AD11,cubicInterpolation(CurveResults.Times,CurveResults.USDSOFR,T11)-IF(ApplyBump,0.0001,0),"")</f>
        <v/>
      </c>
      <c r="W11" s="275" t="str">
        <f t="shared" si="13"/>
        <v/>
      </c>
      <c r="X11" s="276" t="str">
        <f t="shared" si="14"/>
        <v/>
      </c>
      <c r="Y11" s="275" t="str">
        <f t="shared" si="15"/>
        <v/>
      </c>
      <c r="Z11" s="274" t="str">
        <f t="shared" si="16"/>
        <v/>
      </c>
      <c r="AA11" s="273" t="str">
        <f t="shared" si="17"/>
        <v/>
      </c>
      <c r="AC11" s="272" t="b">
        <f t="shared" si="18"/>
        <v>0</v>
      </c>
      <c r="AD11" s="271" t="b">
        <f t="shared" si="19"/>
        <v>0</v>
      </c>
      <c r="AG11" s="287"/>
      <c r="AH11" s="283"/>
      <c r="AJ11" s="301" t="str">
        <f>'IR Yield Curve'!L8</f>
        <v>1Y</v>
      </c>
      <c r="AK11" s="300">
        <f>'IR Yield Curve'!M8</f>
        <v>4.4297700000000037E-2</v>
      </c>
    </row>
    <row r="12" spans="1:38" x14ac:dyDescent="0.3">
      <c r="B12" s="280" t="s">
        <v>282</v>
      </c>
      <c r="C12" s="299">
        <v>5</v>
      </c>
      <c r="D12" s="270">
        <f t="shared" si="20"/>
        <v>7</v>
      </c>
      <c r="E12" s="279" t="str">
        <f t="shared" si="21"/>
        <v/>
      </c>
      <c r="F12" s="278" t="str">
        <f t="shared" si="0"/>
        <v/>
      </c>
      <c r="G12" s="278" t="str">
        <f t="shared" si="1"/>
        <v/>
      </c>
      <c r="H12" s="275" t="str">
        <f t="shared" si="2"/>
        <v/>
      </c>
      <c r="I12" s="277" t="str">
        <f t="shared" si="3"/>
        <v/>
      </c>
      <c r="J12" s="276" t="str">
        <f t="shared" si="4"/>
        <v/>
      </c>
      <c r="K12" s="275" t="str">
        <f t="shared" si="5"/>
        <v/>
      </c>
      <c r="L12" s="274" t="str">
        <f t="shared" si="6"/>
        <v/>
      </c>
      <c r="M12" s="273" t="str">
        <f t="shared" si="7"/>
        <v/>
      </c>
      <c r="O12" s="269">
        <f t="shared" si="22"/>
        <v>7</v>
      </c>
      <c r="P12" s="279" t="str">
        <f t="shared" si="8"/>
        <v/>
      </c>
      <c r="Q12" s="278" t="str">
        <f t="shared" si="23"/>
        <v/>
      </c>
      <c r="R12" s="278" t="str">
        <f t="shared" si="9"/>
        <v/>
      </c>
      <c r="S12" s="278" t="str">
        <f t="shared" si="10"/>
        <v/>
      </c>
      <c r="T12" s="275" t="str">
        <f t="shared" si="11"/>
        <v/>
      </c>
      <c r="U12" s="277" t="str">
        <f t="shared" si="12"/>
        <v/>
      </c>
      <c r="V12" s="276" t="str" cm="1">
        <f t="array" ref="V12">IF(AD12,cubicInterpolation(CurveResults.Times,CurveResults.USDSOFR,T12)-IF(ApplyBump,0.0001,0),"")</f>
        <v/>
      </c>
      <c r="W12" s="275" t="str">
        <f t="shared" si="13"/>
        <v/>
      </c>
      <c r="X12" s="276" t="str">
        <f t="shared" si="14"/>
        <v/>
      </c>
      <c r="Y12" s="275" t="str">
        <f t="shared" si="15"/>
        <v/>
      </c>
      <c r="Z12" s="274" t="str">
        <f t="shared" si="16"/>
        <v/>
      </c>
      <c r="AA12" s="273" t="str">
        <f t="shared" si="17"/>
        <v/>
      </c>
      <c r="AC12" s="272" t="b">
        <f t="shared" si="18"/>
        <v>0</v>
      </c>
      <c r="AD12" s="271" t="b">
        <f t="shared" si="19"/>
        <v>0</v>
      </c>
      <c r="AG12" s="284" t="s">
        <v>281</v>
      </c>
      <c r="AH12" s="283"/>
      <c r="AJ12" s="296" t="str">
        <f>'IR Yield Curve'!L9</f>
        <v>2Y</v>
      </c>
      <c r="AK12" s="295">
        <f>'IR Yield Curve'!M9</f>
        <v>4.2773700000000033E-2</v>
      </c>
    </row>
    <row r="13" spans="1:38" ht="16.2" x14ac:dyDescent="0.3">
      <c r="D13" s="270">
        <f t="shared" si="20"/>
        <v>8</v>
      </c>
      <c r="E13" s="279" t="str">
        <f t="shared" si="21"/>
        <v/>
      </c>
      <c r="F13" s="278" t="str">
        <f t="shared" si="0"/>
        <v/>
      </c>
      <c r="G13" s="278" t="str">
        <f t="shared" si="1"/>
        <v/>
      </c>
      <c r="H13" s="275" t="str">
        <f t="shared" si="2"/>
        <v/>
      </c>
      <c r="I13" s="277" t="str">
        <f t="shared" si="3"/>
        <v/>
      </c>
      <c r="J13" s="276" t="str">
        <f t="shared" si="4"/>
        <v/>
      </c>
      <c r="K13" s="275" t="str">
        <f t="shared" si="5"/>
        <v/>
      </c>
      <c r="L13" s="274" t="str">
        <f t="shared" si="6"/>
        <v/>
      </c>
      <c r="M13" s="273" t="str">
        <f t="shared" si="7"/>
        <v/>
      </c>
      <c r="O13" s="269">
        <f t="shared" si="22"/>
        <v>8</v>
      </c>
      <c r="P13" s="279" t="str">
        <f t="shared" si="8"/>
        <v/>
      </c>
      <c r="Q13" s="278" t="str">
        <f t="shared" si="23"/>
        <v/>
      </c>
      <c r="R13" s="278" t="str">
        <f t="shared" si="9"/>
        <v/>
      </c>
      <c r="S13" s="278" t="str">
        <f t="shared" si="10"/>
        <v/>
      </c>
      <c r="T13" s="275" t="str">
        <f t="shared" si="11"/>
        <v/>
      </c>
      <c r="U13" s="277" t="str">
        <f t="shared" si="12"/>
        <v/>
      </c>
      <c r="V13" s="276" t="str" cm="1">
        <f t="array" ref="V13">IF(AD13,cubicInterpolation(CurveResults.Times,CurveResults.USDSOFR,T13)-IF(ApplyBump,0.0001,0),"")</f>
        <v/>
      </c>
      <c r="W13" s="275" t="str">
        <f t="shared" si="13"/>
        <v/>
      </c>
      <c r="X13" s="276" t="str">
        <f t="shared" si="14"/>
        <v/>
      </c>
      <c r="Y13" s="275" t="str">
        <f t="shared" si="15"/>
        <v/>
      </c>
      <c r="Z13" s="274" t="str">
        <f t="shared" si="16"/>
        <v/>
      </c>
      <c r="AA13" s="273" t="str">
        <f t="shared" si="17"/>
        <v/>
      </c>
      <c r="AC13" s="272" t="b">
        <f t="shared" si="18"/>
        <v>0</v>
      </c>
      <c r="AD13" s="271" t="b">
        <f t="shared" si="19"/>
        <v>0</v>
      </c>
      <c r="AG13" s="281" t="s">
        <v>280</v>
      </c>
      <c r="AH13" s="298">
        <f>SUMPRODUCT(K6:K55,L6:L55)</f>
        <v>4.4108698560399047</v>
      </c>
      <c r="AJ13" s="296" t="str">
        <f>'IR Yield Curve'!L10</f>
        <v>3Y</v>
      </c>
      <c r="AK13" s="295">
        <f>'IR Yield Curve'!M10</f>
        <v>4.1599700000000024E-2</v>
      </c>
    </row>
    <row r="14" spans="1:38" ht="16.2" x14ac:dyDescent="0.3">
      <c r="B14" s="44" t="s">
        <v>279</v>
      </c>
      <c r="D14" s="270">
        <f t="shared" si="20"/>
        <v>9</v>
      </c>
      <c r="E14" s="279" t="str">
        <f t="shared" si="21"/>
        <v/>
      </c>
      <c r="F14" s="278" t="str">
        <f t="shared" si="0"/>
        <v/>
      </c>
      <c r="G14" s="278" t="str">
        <f t="shared" si="1"/>
        <v/>
      </c>
      <c r="H14" s="275" t="str">
        <f t="shared" si="2"/>
        <v/>
      </c>
      <c r="I14" s="277" t="str">
        <f t="shared" si="3"/>
        <v/>
      </c>
      <c r="J14" s="276" t="str">
        <f t="shared" si="4"/>
        <v/>
      </c>
      <c r="K14" s="275" t="str">
        <f t="shared" si="5"/>
        <v/>
      </c>
      <c r="L14" s="274" t="str">
        <f t="shared" si="6"/>
        <v/>
      </c>
      <c r="M14" s="273" t="str">
        <f t="shared" si="7"/>
        <v/>
      </c>
      <c r="O14" s="269">
        <f t="shared" si="22"/>
        <v>9</v>
      </c>
      <c r="P14" s="279" t="str">
        <f t="shared" si="8"/>
        <v/>
      </c>
      <c r="Q14" s="278" t="str">
        <f t="shared" si="23"/>
        <v/>
      </c>
      <c r="R14" s="278" t="str">
        <f t="shared" si="9"/>
        <v/>
      </c>
      <c r="S14" s="278" t="str">
        <f t="shared" si="10"/>
        <v/>
      </c>
      <c r="T14" s="275" t="str">
        <f t="shared" si="11"/>
        <v/>
      </c>
      <c r="U14" s="277" t="str">
        <f t="shared" si="12"/>
        <v/>
      </c>
      <c r="V14" s="276" t="str" cm="1">
        <f t="array" ref="V14">IF(AD14,cubicInterpolation(CurveResults.Times,CurveResults.USDSOFR,T14)-IF(ApplyBump,0.0001,0),"")</f>
        <v/>
      </c>
      <c r="W14" s="275" t="str">
        <f t="shared" si="13"/>
        <v/>
      </c>
      <c r="X14" s="276" t="str">
        <f t="shared" si="14"/>
        <v/>
      </c>
      <c r="Y14" s="275" t="str">
        <f t="shared" si="15"/>
        <v/>
      </c>
      <c r="Z14" s="274" t="str">
        <f t="shared" si="16"/>
        <v/>
      </c>
      <c r="AA14" s="273" t="str">
        <f t="shared" si="17"/>
        <v/>
      </c>
      <c r="AC14" s="272" t="b">
        <f t="shared" si="18"/>
        <v>0</v>
      </c>
      <c r="AD14" s="271" t="b">
        <f t="shared" si="19"/>
        <v>0</v>
      </c>
      <c r="AG14" s="281" t="s">
        <v>278</v>
      </c>
      <c r="AH14" s="298">
        <f>SUMPRODUCT(Y6:Y55,Z6:Z55)</f>
        <v>4.4108698560399047</v>
      </c>
      <c r="AJ14" s="296" t="str">
        <f>'IR Yield Curve'!L11</f>
        <v>4Y</v>
      </c>
      <c r="AK14" s="295">
        <f>'IR Yield Curve'!M11</f>
        <v>4.0725700000000017E-2</v>
      </c>
    </row>
    <row r="15" spans="1:38" ht="16.2" x14ac:dyDescent="0.3">
      <c r="B15" s="291" t="s">
        <v>277</v>
      </c>
      <c r="C15" s="290">
        <f>PV_Swap</f>
        <v>132774.68127380038</v>
      </c>
      <c r="D15" s="270">
        <f t="shared" si="20"/>
        <v>10</v>
      </c>
      <c r="E15" s="279" t="str">
        <f t="shared" si="21"/>
        <v/>
      </c>
      <c r="F15" s="278" t="str">
        <f t="shared" si="0"/>
        <v/>
      </c>
      <c r="G15" s="278" t="str">
        <f t="shared" si="1"/>
        <v/>
      </c>
      <c r="H15" s="275" t="str">
        <f t="shared" si="2"/>
        <v/>
      </c>
      <c r="I15" s="277" t="str">
        <f t="shared" si="3"/>
        <v/>
      </c>
      <c r="J15" s="276" t="str">
        <f t="shared" si="4"/>
        <v/>
      </c>
      <c r="K15" s="275" t="str">
        <f t="shared" si="5"/>
        <v/>
      </c>
      <c r="L15" s="274" t="str">
        <f t="shared" si="6"/>
        <v/>
      </c>
      <c r="M15" s="273" t="str">
        <f t="shared" si="7"/>
        <v/>
      </c>
      <c r="O15" s="269">
        <f t="shared" si="22"/>
        <v>10</v>
      </c>
      <c r="P15" s="279" t="str">
        <f t="shared" si="8"/>
        <v/>
      </c>
      <c r="Q15" s="278" t="str">
        <f t="shared" si="23"/>
        <v/>
      </c>
      <c r="R15" s="278" t="str">
        <f t="shared" si="9"/>
        <v/>
      </c>
      <c r="S15" s="278" t="str">
        <f t="shared" si="10"/>
        <v/>
      </c>
      <c r="T15" s="275" t="str">
        <f t="shared" si="11"/>
        <v/>
      </c>
      <c r="U15" s="277" t="str">
        <f t="shared" si="12"/>
        <v/>
      </c>
      <c r="V15" s="276" t="str" cm="1">
        <f t="array" ref="V15">IF(AD15,cubicInterpolation(CurveResults.Times,CurveResults.USDSOFR,T15)-IF(ApplyBump,0.0001,0),"")</f>
        <v/>
      </c>
      <c r="W15" s="275" t="str">
        <f t="shared" si="13"/>
        <v/>
      </c>
      <c r="X15" s="276" t="str">
        <f t="shared" si="14"/>
        <v/>
      </c>
      <c r="Y15" s="275" t="str">
        <f t="shared" si="15"/>
        <v/>
      </c>
      <c r="Z15" s="274" t="str">
        <f t="shared" si="16"/>
        <v/>
      </c>
      <c r="AA15" s="273" t="str">
        <f t="shared" si="17"/>
        <v/>
      </c>
      <c r="AC15" s="272" t="b">
        <f t="shared" si="18"/>
        <v>0</v>
      </c>
      <c r="AD15" s="271" t="b">
        <f t="shared" si="19"/>
        <v>0</v>
      </c>
      <c r="AG15" s="281" t="s">
        <v>276</v>
      </c>
      <c r="AH15" s="273">
        <f>SUMPRODUCT(K6:K55,L6:L55,I6:I55)</f>
        <v>4410869.856039905</v>
      </c>
      <c r="AJ15" s="296" t="str">
        <f>'IR Yield Curve'!L12</f>
        <v>5Y</v>
      </c>
      <c r="AK15" s="295">
        <f>'IR Yield Curve'!M12</f>
        <v>4.0101699999999997E-2</v>
      </c>
    </row>
    <row r="16" spans="1:38" ht="16.2" x14ac:dyDescent="0.3">
      <c r="B16" s="289" t="s">
        <v>275</v>
      </c>
      <c r="C16" s="288">
        <f>PV_FixedLeg</f>
        <v>-44108.698560399047</v>
      </c>
      <c r="D16" s="270">
        <f t="shared" si="20"/>
        <v>11</v>
      </c>
      <c r="E16" s="279" t="str">
        <f t="shared" si="21"/>
        <v/>
      </c>
      <c r="F16" s="278" t="str">
        <f t="shared" si="0"/>
        <v/>
      </c>
      <c r="G16" s="278" t="str">
        <f t="shared" si="1"/>
        <v/>
      </c>
      <c r="H16" s="275" t="str">
        <f t="shared" si="2"/>
        <v/>
      </c>
      <c r="I16" s="277" t="str">
        <f t="shared" si="3"/>
        <v/>
      </c>
      <c r="J16" s="276" t="str">
        <f t="shared" si="4"/>
        <v/>
      </c>
      <c r="K16" s="275" t="str">
        <f t="shared" si="5"/>
        <v/>
      </c>
      <c r="L16" s="274" t="str">
        <f t="shared" si="6"/>
        <v/>
      </c>
      <c r="M16" s="273" t="str">
        <f t="shared" si="7"/>
        <v/>
      </c>
      <c r="O16" s="269">
        <f t="shared" si="22"/>
        <v>11</v>
      </c>
      <c r="P16" s="279" t="str">
        <f t="shared" si="8"/>
        <v/>
      </c>
      <c r="Q16" s="278" t="str">
        <f t="shared" si="23"/>
        <v/>
      </c>
      <c r="R16" s="278" t="str">
        <f t="shared" si="9"/>
        <v/>
      </c>
      <c r="S16" s="278" t="str">
        <f t="shared" si="10"/>
        <v/>
      </c>
      <c r="T16" s="275" t="str">
        <f t="shared" si="11"/>
        <v/>
      </c>
      <c r="U16" s="277" t="str">
        <f t="shared" si="12"/>
        <v/>
      </c>
      <c r="V16" s="276" t="str" cm="1">
        <f t="array" ref="V16">IF(AD16,cubicInterpolation(CurveResults.Times,CurveResults.USDSOFR,T16)-IF(ApplyBump,0.0001,0),"")</f>
        <v/>
      </c>
      <c r="W16" s="275" t="str">
        <f t="shared" si="13"/>
        <v/>
      </c>
      <c r="X16" s="276" t="str">
        <f t="shared" si="14"/>
        <v/>
      </c>
      <c r="Y16" s="275" t="str">
        <f t="shared" si="15"/>
        <v/>
      </c>
      <c r="Z16" s="274" t="str">
        <f t="shared" si="16"/>
        <v/>
      </c>
      <c r="AA16" s="273" t="str">
        <f t="shared" si="17"/>
        <v/>
      </c>
      <c r="AC16" s="272" t="b">
        <f t="shared" si="18"/>
        <v>0</v>
      </c>
      <c r="AD16" s="271" t="b">
        <f t="shared" si="19"/>
        <v>0</v>
      </c>
      <c r="AG16" s="281" t="s">
        <v>274</v>
      </c>
      <c r="AH16" s="273">
        <f>SUMPRODUCT(Y6:Y55,Z6:Z55,U6:U55)</f>
        <v>4410869.856039905</v>
      </c>
      <c r="AJ16" s="296" t="str">
        <f>'IR Yield Curve'!L13</f>
        <v>6Y</v>
      </c>
      <c r="AK16" s="295">
        <f>'IR Yield Curve'!M13</f>
        <v>3.9677700000000003E-2</v>
      </c>
    </row>
    <row r="17" spans="2:37" x14ac:dyDescent="0.3">
      <c r="B17" s="289" t="s">
        <v>273</v>
      </c>
      <c r="C17" s="288">
        <f>PV_FloatLeg</f>
        <v>176883.37983419944</v>
      </c>
      <c r="D17" s="270">
        <f t="shared" si="20"/>
        <v>12</v>
      </c>
      <c r="E17" s="279" t="str">
        <f t="shared" si="21"/>
        <v/>
      </c>
      <c r="F17" s="278" t="str">
        <f t="shared" si="0"/>
        <v/>
      </c>
      <c r="G17" s="278" t="str">
        <f t="shared" si="1"/>
        <v/>
      </c>
      <c r="H17" s="275" t="str">
        <f t="shared" si="2"/>
        <v/>
      </c>
      <c r="I17" s="277" t="str">
        <f t="shared" si="3"/>
        <v/>
      </c>
      <c r="J17" s="276" t="str">
        <f t="shared" si="4"/>
        <v/>
      </c>
      <c r="K17" s="275" t="str">
        <f t="shared" si="5"/>
        <v/>
      </c>
      <c r="L17" s="274" t="str">
        <f t="shared" si="6"/>
        <v/>
      </c>
      <c r="M17" s="273" t="str">
        <f t="shared" si="7"/>
        <v/>
      </c>
      <c r="O17" s="269">
        <f t="shared" si="22"/>
        <v>12</v>
      </c>
      <c r="P17" s="279" t="str">
        <f t="shared" si="8"/>
        <v/>
      </c>
      <c r="Q17" s="278" t="str">
        <f t="shared" si="23"/>
        <v/>
      </c>
      <c r="R17" s="278" t="str">
        <f t="shared" si="9"/>
        <v/>
      </c>
      <c r="S17" s="278" t="str">
        <f t="shared" si="10"/>
        <v/>
      </c>
      <c r="T17" s="275" t="str">
        <f t="shared" si="11"/>
        <v/>
      </c>
      <c r="U17" s="277" t="str">
        <f t="shared" si="12"/>
        <v/>
      </c>
      <c r="V17" s="276" t="str" cm="1">
        <f t="array" ref="V17">IF(AD17,cubicInterpolation(CurveResults.Times,CurveResults.USDSOFR,T17)-IF(ApplyBump,0.0001,0),"")</f>
        <v/>
      </c>
      <c r="W17" s="275" t="str">
        <f t="shared" si="13"/>
        <v/>
      </c>
      <c r="X17" s="276" t="str">
        <f t="shared" si="14"/>
        <v/>
      </c>
      <c r="Y17" s="275" t="str">
        <f t="shared" si="15"/>
        <v/>
      </c>
      <c r="Z17" s="274" t="str">
        <f t="shared" si="16"/>
        <v/>
      </c>
      <c r="AA17" s="273" t="str">
        <f t="shared" si="17"/>
        <v/>
      </c>
      <c r="AC17" s="272" t="b">
        <f t="shared" si="18"/>
        <v>0</v>
      </c>
      <c r="AD17" s="271" t="b">
        <f t="shared" si="19"/>
        <v>0</v>
      </c>
      <c r="AG17" s="287"/>
      <c r="AH17" s="283"/>
      <c r="AJ17" s="296" t="str">
        <f>'IR Yield Curve'!L14</f>
        <v>7Y</v>
      </c>
      <c r="AK17" s="295">
        <f>'IR Yield Curve'!M14</f>
        <v>3.9353699999999998E-2</v>
      </c>
    </row>
    <row r="18" spans="2:37" x14ac:dyDescent="0.3">
      <c r="B18" s="286" t="s">
        <v>105</v>
      </c>
      <c r="C18" s="297">
        <f>p</f>
        <v>4.0101700029074532E-2</v>
      </c>
      <c r="D18" s="270">
        <f t="shared" si="20"/>
        <v>13</v>
      </c>
      <c r="E18" s="279" t="str">
        <f t="shared" si="21"/>
        <v/>
      </c>
      <c r="F18" s="278" t="str">
        <f t="shared" si="0"/>
        <v/>
      </c>
      <c r="G18" s="278" t="str">
        <f t="shared" si="1"/>
        <v/>
      </c>
      <c r="H18" s="275" t="str">
        <f t="shared" si="2"/>
        <v/>
      </c>
      <c r="I18" s="277" t="str">
        <f t="shared" si="3"/>
        <v/>
      </c>
      <c r="J18" s="276" t="str">
        <f t="shared" si="4"/>
        <v/>
      </c>
      <c r="K18" s="275" t="str">
        <f t="shared" si="5"/>
        <v/>
      </c>
      <c r="L18" s="274" t="str">
        <f t="shared" si="6"/>
        <v/>
      </c>
      <c r="M18" s="273" t="str">
        <f t="shared" si="7"/>
        <v/>
      </c>
      <c r="O18" s="269">
        <f t="shared" si="22"/>
        <v>13</v>
      </c>
      <c r="P18" s="279" t="str">
        <f t="shared" si="8"/>
        <v/>
      </c>
      <c r="Q18" s="278" t="str">
        <f t="shared" si="23"/>
        <v/>
      </c>
      <c r="R18" s="278" t="str">
        <f t="shared" si="9"/>
        <v/>
      </c>
      <c r="S18" s="278" t="str">
        <f t="shared" si="10"/>
        <v/>
      </c>
      <c r="T18" s="275" t="str">
        <f t="shared" si="11"/>
        <v/>
      </c>
      <c r="U18" s="277" t="str">
        <f t="shared" si="12"/>
        <v/>
      </c>
      <c r="V18" s="276" t="str" cm="1">
        <f t="array" ref="V18">IF(AD18,cubicInterpolation(CurveResults.Times,CurveResults.USDSOFR,T18)-IF(ApplyBump,0.0001,0),"")</f>
        <v/>
      </c>
      <c r="W18" s="275" t="str">
        <f t="shared" si="13"/>
        <v/>
      </c>
      <c r="X18" s="276" t="str">
        <f t="shared" si="14"/>
        <v/>
      </c>
      <c r="Y18" s="275" t="str">
        <f t="shared" si="15"/>
        <v/>
      </c>
      <c r="Z18" s="274" t="str">
        <f t="shared" si="16"/>
        <v/>
      </c>
      <c r="AA18" s="273" t="str">
        <f t="shared" si="17"/>
        <v/>
      </c>
      <c r="AC18" s="272" t="b">
        <f t="shared" si="18"/>
        <v>0</v>
      </c>
      <c r="AD18" s="271" t="b">
        <f t="shared" si="19"/>
        <v>0</v>
      </c>
      <c r="AG18" s="284" t="s">
        <v>272</v>
      </c>
      <c r="AH18" s="283"/>
      <c r="AJ18" s="296" t="str">
        <f>'IR Yield Curve'!L15</f>
        <v>8Y</v>
      </c>
      <c r="AK18" s="295">
        <f>'IR Yield Curve'!M15</f>
        <v>3.9145600000000003E-2</v>
      </c>
    </row>
    <row r="19" spans="2:37" ht="16.2" x14ac:dyDescent="0.3">
      <c r="D19" s="270">
        <f t="shared" si="20"/>
        <v>14</v>
      </c>
      <c r="E19" s="279" t="str">
        <f t="shared" si="21"/>
        <v/>
      </c>
      <c r="F19" s="278" t="str">
        <f t="shared" si="0"/>
        <v/>
      </c>
      <c r="G19" s="278" t="str">
        <f t="shared" si="1"/>
        <v/>
      </c>
      <c r="H19" s="275" t="str">
        <f t="shared" si="2"/>
        <v/>
      </c>
      <c r="I19" s="277" t="str">
        <f t="shared" si="3"/>
        <v/>
      </c>
      <c r="J19" s="276" t="str">
        <f t="shared" si="4"/>
        <v/>
      </c>
      <c r="K19" s="275" t="str">
        <f t="shared" si="5"/>
        <v/>
      </c>
      <c r="L19" s="274" t="str">
        <f t="shared" si="6"/>
        <v/>
      </c>
      <c r="M19" s="273" t="str">
        <f t="shared" si="7"/>
        <v/>
      </c>
      <c r="O19" s="269">
        <f t="shared" si="22"/>
        <v>14</v>
      </c>
      <c r="P19" s="279" t="str">
        <f t="shared" si="8"/>
        <v/>
      </c>
      <c r="Q19" s="278" t="str">
        <f t="shared" si="23"/>
        <v/>
      </c>
      <c r="R19" s="278" t="str">
        <f t="shared" si="9"/>
        <v/>
      </c>
      <c r="S19" s="278" t="str">
        <f t="shared" si="10"/>
        <v/>
      </c>
      <c r="T19" s="275" t="str">
        <f t="shared" si="11"/>
        <v/>
      </c>
      <c r="U19" s="277" t="str">
        <f t="shared" si="12"/>
        <v/>
      </c>
      <c r="V19" s="276" t="str" cm="1">
        <f t="array" ref="V19">IF(AD19,cubicInterpolation(CurveResults.Times,CurveResults.USDSOFR,T19)-IF(ApplyBump,0.0001,0),"")</f>
        <v/>
      </c>
      <c r="W19" s="275" t="str">
        <f t="shared" si="13"/>
        <v/>
      </c>
      <c r="X19" s="276" t="str">
        <f t="shared" si="14"/>
        <v/>
      </c>
      <c r="Y19" s="275" t="str">
        <f t="shared" si="15"/>
        <v/>
      </c>
      <c r="Z19" s="274" t="str">
        <f t="shared" si="16"/>
        <v/>
      </c>
      <c r="AA19" s="273" t="str">
        <f t="shared" si="17"/>
        <v/>
      </c>
      <c r="AC19" s="272" t="b">
        <f t="shared" si="18"/>
        <v>0</v>
      </c>
      <c r="AD19" s="271" t="b">
        <f t="shared" si="19"/>
        <v>0</v>
      </c>
      <c r="AG19" s="281" t="s">
        <v>271</v>
      </c>
      <c r="AH19" s="294">
        <f>SUMPRODUCT(H6:H55,I6:I55,J6:J55,K6:K55,L6:L55)/SUMPRODUCT(I6:I55,J6:J55,K6:K55,L6:L55)*(1+p)</f>
        <v>3.0378840121999682</v>
      </c>
      <c r="AJ19" s="296" t="str">
        <f>'IR Yield Curve'!L16</f>
        <v>9Y</v>
      </c>
      <c r="AK19" s="295">
        <f>'IR Yield Curve'!M16</f>
        <v>3.9028399999999998E-2</v>
      </c>
    </row>
    <row r="20" spans="2:37" ht="16.2" x14ac:dyDescent="0.3">
      <c r="B20" s="44" t="s">
        <v>270</v>
      </c>
      <c r="D20" s="270">
        <f t="shared" si="20"/>
        <v>15</v>
      </c>
      <c r="E20" s="279" t="str">
        <f t="shared" si="21"/>
        <v/>
      </c>
      <c r="F20" s="278" t="str">
        <f t="shared" si="0"/>
        <v/>
      </c>
      <c r="G20" s="278" t="str">
        <f t="shared" si="1"/>
        <v/>
      </c>
      <c r="H20" s="275" t="str">
        <f t="shared" si="2"/>
        <v/>
      </c>
      <c r="I20" s="277" t="str">
        <f t="shared" si="3"/>
        <v/>
      </c>
      <c r="J20" s="276" t="str">
        <f t="shared" si="4"/>
        <v/>
      </c>
      <c r="K20" s="275" t="str">
        <f t="shared" si="5"/>
        <v/>
      </c>
      <c r="L20" s="274" t="str">
        <f t="shared" si="6"/>
        <v/>
      </c>
      <c r="M20" s="273" t="str">
        <f t="shared" si="7"/>
        <v/>
      </c>
      <c r="O20" s="269">
        <f t="shared" si="22"/>
        <v>15</v>
      </c>
      <c r="P20" s="279" t="str">
        <f t="shared" si="8"/>
        <v/>
      </c>
      <c r="Q20" s="278" t="str">
        <f t="shared" si="23"/>
        <v/>
      </c>
      <c r="R20" s="278" t="str">
        <f t="shared" si="9"/>
        <v/>
      </c>
      <c r="S20" s="278" t="str">
        <f t="shared" si="10"/>
        <v/>
      </c>
      <c r="T20" s="275" t="str">
        <f t="shared" si="11"/>
        <v/>
      </c>
      <c r="U20" s="277" t="str">
        <f t="shared" si="12"/>
        <v/>
      </c>
      <c r="V20" s="276" t="str" cm="1">
        <f t="array" ref="V20">IF(AD20,cubicInterpolation(CurveResults.Times,CurveResults.USDSOFR,T20)-IF(ApplyBump,0.0001,0),"")</f>
        <v/>
      </c>
      <c r="W20" s="275" t="str">
        <f t="shared" si="13"/>
        <v/>
      </c>
      <c r="X20" s="276" t="str">
        <f t="shared" si="14"/>
        <v/>
      </c>
      <c r="Y20" s="275" t="str">
        <f t="shared" si="15"/>
        <v/>
      </c>
      <c r="Z20" s="274" t="str">
        <f t="shared" si="16"/>
        <v/>
      </c>
      <c r="AA20" s="273" t="str">
        <f t="shared" si="17"/>
        <v/>
      </c>
      <c r="AC20" s="272" t="b">
        <f t="shared" si="18"/>
        <v>0</v>
      </c>
      <c r="AD20" s="271" t="b">
        <f t="shared" si="19"/>
        <v>0</v>
      </c>
      <c r="AG20" s="281" t="s">
        <v>269</v>
      </c>
      <c r="AH20" s="294">
        <f>SUMPRODUCT(T6:T55,U6:U55,Y6:Y55,X6:X55,Z6:Z55)/SUMPRODUCT(U6:U55,X6:X55,Y6:Y55,Z6:Z55)*(1+p)</f>
        <v>2.9475136172877736</v>
      </c>
      <c r="AJ20" s="293" t="str">
        <f>'IR Yield Curve'!L17</f>
        <v>10Y</v>
      </c>
      <c r="AK20" s="292">
        <f>'IR Yield Curve'!M17</f>
        <v>3.8961299999999997E-2</v>
      </c>
    </row>
    <row r="21" spans="2:37" x14ac:dyDescent="0.3">
      <c r="B21" s="291" t="s">
        <v>126</v>
      </c>
      <c r="C21" s="290">
        <f>PV01_</f>
        <v>-441.08698560399051</v>
      </c>
      <c r="D21" s="270">
        <f t="shared" si="20"/>
        <v>16</v>
      </c>
      <c r="E21" s="279" t="str">
        <f t="shared" si="21"/>
        <v/>
      </c>
      <c r="F21" s="278" t="str">
        <f t="shared" si="0"/>
        <v/>
      </c>
      <c r="G21" s="278" t="str">
        <f t="shared" si="1"/>
        <v/>
      </c>
      <c r="H21" s="275" t="str">
        <f t="shared" si="2"/>
        <v/>
      </c>
      <c r="I21" s="277" t="str">
        <f t="shared" si="3"/>
        <v/>
      </c>
      <c r="J21" s="276" t="str">
        <f t="shared" si="4"/>
        <v/>
      </c>
      <c r="K21" s="275" t="str">
        <f t="shared" si="5"/>
        <v/>
      </c>
      <c r="L21" s="274" t="str">
        <f t="shared" si="6"/>
        <v/>
      </c>
      <c r="M21" s="273" t="str">
        <f t="shared" si="7"/>
        <v/>
      </c>
      <c r="O21" s="269">
        <f t="shared" si="22"/>
        <v>16</v>
      </c>
      <c r="P21" s="279" t="str">
        <f t="shared" si="8"/>
        <v/>
      </c>
      <c r="Q21" s="278" t="str">
        <f t="shared" si="23"/>
        <v/>
      </c>
      <c r="R21" s="278" t="str">
        <f t="shared" si="9"/>
        <v/>
      </c>
      <c r="S21" s="278" t="str">
        <f t="shared" si="10"/>
        <v/>
      </c>
      <c r="T21" s="275" t="str">
        <f t="shared" si="11"/>
        <v/>
      </c>
      <c r="U21" s="277" t="str">
        <f t="shared" si="12"/>
        <v/>
      </c>
      <c r="V21" s="276" t="str" cm="1">
        <f t="array" ref="V21">IF(AD21,cubicInterpolation(CurveResults.Times,CurveResults.USDSOFR,T21)-IF(ApplyBump,0.0001,0),"")</f>
        <v/>
      </c>
      <c r="W21" s="275" t="str">
        <f t="shared" si="13"/>
        <v/>
      </c>
      <c r="X21" s="276" t="str">
        <f t="shared" si="14"/>
        <v/>
      </c>
      <c r="Y21" s="275" t="str">
        <f t="shared" si="15"/>
        <v/>
      </c>
      <c r="Z21" s="274" t="str">
        <f t="shared" si="16"/>
        <v/>
      </c>
      <c r="AA21" s="273" t="str">
        <f t="shared" si="17"/>
        <v/>
      </c>
      <c r="AC21" s="272" t="b">
        <f t="shared" si="18"/>
        <v>0</v>
      </c>
      <c r="AD21" s="271" t="b">
        <f t="shared" si="19"/>
        <v>0</v>
      </c>
      <c r="AG21" s="281" t="s">
        <v>126</v>
      </c>
      <c r="AH21" s="273">
        <f>Phi*Annuity_Fixed/10000</f>
        <v>-441.08698560399051</v>
      </c>
    </row>
    <row r="22" spans="2:37" x14ac:dyDescent="0.3">
      <c r="B22" s="289" t="s">
        <v>262</v>
      </c>
      <c r="C22" s="288">
        <f>NumericalDV01</f>
        <v>-442.6637963145331</v>
      </c>
      <c r="D22" s="270">
        <f t="shared" si="20"/>
        <v>17</v>
      </c>
      <c r="E22" s="279" t="str">
        <f t="shared" si="21"/>
        <v/>
      </c>
      <c r="F22" s="278" t="str">
        <f t="shared" si="0"/>
        <v/>
      </c>
      <c r="G22" s="278" t="str">
        <f t="shared" si="1"/>
        <v/>
      </c>
      <c r="H22" s="275" t="str">
        <f t="shared" si="2"/>
        <v/>
      </c>
      <c r="I22" s="277" t="str">
        <f t="shared" si="3"/>
        <v/>
      </c>
      <c r="J22" s="276" t="str">
        <f t="shared" si="4"/>
        <v/>
      </c>
      <c r="K22" s="275" t="str">
        <f t="shared" si="5"/>
        <v/>
      </c>
      <c r="L22" s="274" t="str">
        <f t="shared" si="6"/>
        <v/>
      </c>
      <c r="M22" s="273" t="str">
        <f t="shared" si="7"/>
        <v/>
      </c>
      <c r="O22" s="269">
        <f t="shared" si="22"/>
        <v>17</v>
      </c>
      <c r="P22" s="279" t="str">
        <f t="shared" si="8"/>
        <v/>
      </c>
      <c r="Q22" s="278" t="str">
        <f t="shared" si="23"/>
        <v/>
      </c>
      <c r="R22" s="278" t="str">
        <f t="shared" si="9"/>
        <v/>
      </c>
      <c r="S22" s="278" t="str">
        <f t="shared" si="10"/>
        <v/>
      </c>
      <c r="T22" s="275" t="str">
        <f t="shared" si="11"/>
        <v/>
      </c>
      <c r="U22" s="277" t="str">
        <f t="shared" si="12"/>
        <v/>
      </c>
      <c r="V22" s="276" t="str" cm="1">
        <f t="array" ref="V22">IF(AD22,cubicInterpolation(CurveResults.Times,CurveResults.USDSOFR,T22)-IF(ApplyBump,0.0001,0),"")</f>
        <v/>
      </c>
      <c r="W22" s="275" t="str">
        <f t="shared" si="13"/>
        <v/>
      </c>
      <c r="X22" s="276" t="str">
        <f t="shared" si="14"/>
        <v/>
      </c>
      <c r="Y22" s="275" t="str">
        <f t="shared" si="15"/>
        <v/>
      </c>
      <c r="Z22" s="274" t="str">
        <f t="shared" si="16"/>
        <v/>
      </c>
      <c r="AA22" s="273" t="str">
        <f t="shared" si="17"/>
        <v/>
      </c>
      <c r="AC22" s="272" t="b">
        <f t="shared" si="18"/>
        <v>0</v>
      </c>
      <c r="AD22" s="271" t="b">
        <f t="shared" si="19"/>
        <v>0</v>
      </c>
      <c r="AG22" s="281" t="s">
        <v>268</v>
      </c>
      <c r="AH22" s="273">
        <f>((Phi*Annuity_Fixed)+((PV_Swap-PV_FloatSpread)*DurationFixed)+(PV_FloatSpread*DurationFloat))/10000</f>
        <v>-400.75157745732804</v>
      </c>
    </row>
    <row r="23" spans="2:37" x14ac:dyDescent="0.3">
      <c r="B23" s="289" t="s">
        <v>267</v>
      </c>
      <c r="C23" s="288">
        <f>AnalyticalDV01</f>
        <v>-400.75157745732804</v>
      </c>
      <c r="D23" s="270">
        <f t="shared" si="20"/>
        <v>18</v>
      </c>
      <c r="E23" s="279" t="str">
        <f t="shared" si="21"/>
        <v/>
      </c>
      <c r="F23" s="278" t="str">
        <f t="shared" si="0"/>
        <v/>
      </c>
      <c r="G23" s="278" t="str">
        <f t="shared" si="1"/>
        <v/>
      </c>
      <c r="H23" s="275" t="str">
        <f t="shared" si="2"/>
        <v/>
      </c>
      <c r="I23" s="277" t="str">
        <f t="shared" si="3"/>
        <v/>
      </c>
      <c r="J23" s="276" t="str">
        <f t="shared" si="4"/>
        <v/>
      </c>
      <c r="K23" s="275" t="str">
        <f t="shared" si="5"/>
        <v/>
      </c>
      <c r="L23" s="274" t="str">
        <f t="shared" si="6"/>
        <v/>
      </c>
      <c r="M23" s="273" t="str">
        <f t="shared" si="7"/>
        <v/>
      </c>
      <c r="O23" s="269">
        <f t="shared" si="22"/>
        <v>18</v>
      </c>
      <c r="P23" s="279" t="str">
        <f t="shared" si="8"/>
        <v/>
      </c>
      <c r="Q23" s="278" t="str">
        <f t="shared" si="23"/>
        <v/>
      </c>
      <c r="R23" s="278" t="str">
        <f t="shared" si="9"/>
        <v/>
      </c>
      <c r="S23" s="278" t="str">
        <f t="shared" si="10"/>
        <v/>
      </c>
      <c r="T23" s="275" t="str">
        <f t="shared" si="11"/>
        <v/>
      </c>
      <c r="U23" s="277" t="str">
        <f t="shared" si="12"/>
        <v/>
      </c>
      <c r="V23" s="276" t="str" cm="1">
        <f t="array" ref="V23">IF(AD23,cubicInterpolation(CurveResults.Times,CurveResults.USDSOFR,T23)-IF(ApplyBump,0.0001,0),"")</f>
        <v/>
      </c>
      <c r="W23" s="275" t="str">
        <f t="shared" si="13"/>
        <v/>
      </c>
      <c r="X23" s="276" t="str">
        <f t="shared" si="14"/>
        <v/>
      </c>
      <c r="Y23" s="275" t="str">
        <f t="shared" si="15"/>
        <v/>
      </c>
      <c r="Z23" s="274" t="str">
        <f t="shared" si="16"/>
        <v/>
      </c>
      <c r="AA23" s="273" t="str">
        <f t="shared" si="17"/>
        <v/>
      </c>
      <c r="AC23" s="272" t="b">
        <f t="shared" si="18"/>
        <v>0</v>
      </c>
      <c r="AD23" s="271" t="b">
        <f t="shared" si="19"/>
        <v>0</v>
      </c>
      <c r="AG23" s="287"/>
      <c r="AH23" s="283"/>
    </row>
    <row r="24" spans="2:37" x14ac:dyDescent="0.3">
      <c r="B24" s="286" t="s">
        <v>69</v>
      </c>
      <c r="C24" s="285">
        <f>C23-C22</f>
        <v>41.912218857205062</v>
      </c>
      <c r="D24" s="270">
        <f t="shared" si="20"/>
        <v>19</v>
      </c>
      <c r="E24" s="279" t="str">
        <f t="shared" si="21"/>
        <v/>
      </c>
      <c r="F24" s="278" t="str">
        <f t="shared" si="0"/>
        <v/>
      </c>
      <c r="G24" s="278" t="str">
        <f t="shared" si="1"/>
        <v/>
      </c>
      <c r="H24" s="275" t="str">
        <f t="shared" si="2"/>
        <v/>
      </c>
      <c r="I24" s="277" t="str">
        <f t="shared" si="3"/>
        <v/>
      </c>
      <c r="J24" s="276" t="str">
        <f t="shared" si="4"/>
        <v/>
      </c>
      <c r="K24" s="275" t="str">
        <f t="shared" si="5"/>
        <v/>
      </c>
      <c r="L24" s="274" t="str">
        <f t="shared" si="6"/>
        <v/>
      </c>
      <c r="M24" s="273" t="str">
        <f t="shared" si="7"/>
        <v/>
      </c>
      <c r="O24" s="269">
        <f t="shared" si="22"/>
        <v>19</v>
      </c>
      <c r="P24" s="279" t="str">
        <f t="shared" si="8"/>
        <v/>
      </c>
      <c r="Q24" s="278" t="str">
        <f t="shared" si="23"/>
        <v/>
      </c>
      <c r="R24" s="278" t="str">
        <f t="shared" si="9"/>
        <v/>
      </c>
      <c r="S24" s="278" t="str">
        <f t="shared" si="10"/>
        <v/>
      </c>
      <c r="T24" s="275" t="str">
        <f t="shared" si="11"/>
        <v/>
      </c>
      <c r="U24" s="277" t="str">
        <f t="shared" si="12"/>
        <v/>
      </c>
      <c r="V24" s="276" t="str" cm="1">
        <f t="array" ref="V24">IF(AD24,cubicInterpolation(CurveResults.Times,CurveResults.USDSOFR,T24)-IF(ApplyBump,0.0001,0),"")</f>
        <v/>
      </c>
      <c r="W24" s="275" t="str">
        <f t="shared" si="13"/>
        <v/>
      </c>
      <c r="X24" s="276" t="str">
        <f t="shared" si="14"/>
        <v/>
      </c>
      <c r="Y24" s="275" t="str">
        <f t="shared" si="15"/>
        <v/>
      </c>
      <c r="Z24" s="274" t="str">
        <f t="shared" si="16"/>
        <v/>
      </c>
      <c r="AA24" s="273" t="str">
        <f t="shared" si="17"/>
        <v/>
      </c>
      <c r="AC24" s="272" t="b">
        <f t="shared" si="18"/>
        <v>0</v>
      </c>
      <c r="AD24" s="271" t="b">
        <f t="shared" si="19"/>
        <v>0</v>
      </c>
      <c r="AG24" s="284" t="s">
        <v>266</v>
      </c>
      <c r="AH24" s="283"/>
    </row>
    <row r="25" spans="2:37" x14ac:dyDescent="0.3">
      <c r="D25" s="270">
        <f t="shared" si="20"/>
        <v>20</v>
      </c>
      <c r="E25" s="279" t="str">
        <f t="shared" si="21"/>
        <v/>
      </c>
      <c r="F25" s="278" t="str">
        <f t="shared" si="0"/>
        <v/>
      </c>
      <c r="G25" s="278" t="str">
        <f t="shared" si="1"/>
        <v/>
      </c>
      <c r="H25" s="275" t="str">
        <f t="shared" si="2"/>
        <v/>
      </c>
      <c r="I25" s="277" t="str">
        <f t="shared" si="3"/>
        <v/>
      </c>
      <c r="J25" s="276" t="str">
        <f t="shared" si="4"/>
        <v/>
      </c>
      <c r="K25" s="275" t="str">
        <f t="shared" si="5"/>
        <v/>
      </c>
      <c r="L25" s="274" t="str">
        <f t="shared" si="6"/>
        <v/>
      </c>
      <c r="M25" s="273" t="str">
        <f t="shared" si="7"/>
        <v/>
      </c>
      <c r="O25" s="269">
        <f t="shared" si="22"/>
        <v>20</v>
      </c>
      <c r="P25" s="279" t="str">
        <f t="shared" si="8"/>
        <v/>
      </c>
      <c r="Q25" s="278" t="str">
        <f t="shared" si="23"/>
        <v/>
      </c>
      <c r="R25" s="278" t="str">
        <f t="shared" si="9"/>
        <v/>
      </c>
      <c r="S25" s="278" t="str">
        <f t="shared" si="10"/>
        <v/>
      </c>
      <c r="T25" s="275" t="str">
        <f t="shared" si="11"/>
        <v/>
      </c>
      <c r="U25" s="277" t="str">
        <f t="shared" si="12"/>
        <v/>
      </c>
      <c r="V25" s="276" t="str" cm="1">
        <f t="array" ref="V25">IF(AD25,cubicInterpolation(CurveResults.Times,CurveResults.USDSOFR,T25)-IF(ApplyBump,0.0001,0),"")</f>
        <v/>
      </c>
      <c r="W25" s="275" t="str">
        <f t="shared" si="13"/>
        <v/>
      </c>
      <c r="X25" s="276" t="str">
        <f t="shared" si="14"/>
        <v/>
      </c>
      <c r="Y25" s="275" t="str">
        <f t="shared" si="15"/>
        <v/>
      </c>
      <c r="Z25" s="274" t="str">
        <f t="shared" si="16"/>
        <v/>
      </c>
      <c r="AA25" s="273" t="str">
        <f t="shared" si="17"/>
        <v/>
      </c>
      <c r="AC25" s="272" t="b">
        <f t="shared" si="18"/>
        <v>0</v>
      </c>
      <c r="AD25" s="271" t="b">
        <f t="shared" si="19"/>
        <v>0</v>
      </c>
      <c r="AG25" s="281" t="s">
        <v>265</v>
      </c>
      <c r="AH25" s="282" t="b">
        <v>0</v>
      </c>
    </row>
    <row r="26" spans="2:37" x14ac:dyDescent="0.3">
      <c r="D26" s="270">
        <f t="shared" si="20"/>
        <v>21</v>
      </c>
      <c r="E26" s="279" t="str">
        <f t="shared" si="21"/>
        <v/>
      </c>
      <c r="F26" s="278" t="str">
        <f t="shared" si="0"/>
        <v/>
      </c>
      <c r="G26" s="278" t="str">
        <f t="shared" si="1"/>
        <v/>
      </c>
      <c r="H26" s="275" t="str">
        <f t="shared" si="2"/>
        <v/>
      </c>
      <c r="I26" s="277" t="str">
        <f t="shared" si="3"/>
        <v/>
      </c>
      <c r="J26" s="276" t="str">
        <f t="shared" si="4"/>
        <v/>
      </c>
      <c r="K26" s="275" t="str">
        <f t="shared" si="5"/>
        <v/>
      </c>
      <c r="L26" s="274" t="str">
        <f t="shared" si="6"/>
        <v/>
      </c>
      <c r="M26" s="273" t="str">
        <f t="shared" si="7"/>
        <v/>
      </c>
      <c r="O26" s="269">
        <f t="shared" si="22"/>
        <v>21</v>
      </c>
      <c r="P26" s="279" t="str">
        <f t="shared" si="8"/>
        <v/>
      </c>
      <c r="Q26" s="278" t="str">
        <f t="shared" si="23"/>
        <v/>
      </c>
      <c r="R26" s="278" t="str">
        <f t="shared" si="9"/>
        <v/>
      </c>
      <c r="S26" s="278" t="str">
        <f t="shared" si="10"/>
        <v/>
      </c>
      <c r="T26" s="275" t="str">
        <f t="shared" si="11"/>
        <v/>
      </c>
      <c r="U26" s="277" t="str">
        <f t="shared" si="12"/>
        <v/>
      </c>
      <c r="V26" s="276" t="str" cm="1">
        <f t="array" ref="V26">IF(AD26,cubicInterpolation(CurveResults.Times,CurveResults.USDSOFR,T26)-IF(ApplyBump,0.0001,0),"")</f>
        <v/>
      </c>
      <c r="W26" s="275" t="str">
        <f t="shared" si="13"/>
        <v/>
      </c>
      <c r="X26" s="276" t="str">
        <f t="shared" si="14"/>
        <v/>
      </c>
      <c r="Y26" s="275" t="str">
        <f t="shared" si="15"/>
        <v/>
      </c>
      <c r="Z26" s="274" t="str">
        <f t="shared" si="16"/>
        <v/>
      </c>
      <c r="AA26" s="273" t="str">
        <f t="shared" si="17"/>
        <v/>
      </c>
      <c r="AC26" s="272" t="b">
        <f t="shared" si="18"/>
        <v>0</v>
      </c>
      <c r="AD26" s="271" t="b">
        <f t="shared" si="19"/>
        <v>0</v>
      </c>
      <c r="AG26" s="281" t="s">
        <v>264</v>
      </c>
      <c r="AH26" s="273">
        <v>132774.68127380038</v>
      </c>
    </row>
    <row r="27" spans="2:37" x14ac:dyDescent="0.3">
      <c r="D27" s="270">
        <f t="shared" si="20"/>
        <v>22</v>
      </c>
      <c r="E27" s="279" t="str">
        <f t="shared" si="21"/>
        <v/>
      </c>
      <c r="F27" s="278" t="str">
        <f t="shared" si="0"/>
        <v/>
      </c>
      <c r="G27" s="278" t="str">
        <f t="shared" si="1"/>
        <v/>
      </c>
      <c r="H27" s="275" t="str">
        <f t="shared" si="2"/>
        <v/>
      </c>
      <c r="I27" s="277" t="str">
        <f t="shared" si="3"/>
        <v/>
      </c>
      <c r="J27" s="276" t="str">
        <f t="shared" si="4"/>
        <v/>
      </c>
      <c r="K27" s="275" t="str">
        <f t="shared" si="5"/>
        <v/>
      </c>
      <c r="L27" s="274" t="str">
        <f t="shared" si="6"/>
        <v/>
      </c>
      <c r="M27" s="273" t="str">
        <f t="shared" si="7"/>
        <v/>
      </c>
      <c r="O27" s="269">
        <f t="shared" si="22"/>
        <v>22</v>
      </c>
      <c r="P27" s="279" t="str">
        <f t="shared" si="8"/>
        <v/>
      </c>
      <c r="Q27" s="278" t="str">
        <f t="shared" si="23"/>
        <v/>
      </c>
      <c r="R27" s="278" t="str">
        <f t="shared" si="9"/>
        <v/>
      </c>
      <c r="S27" s="278" t="str">
        <f t="shared" si="10"/>
        <v/>
      </c>
      <c r="T27" s="275" t="str">
        <f t="shared" si="11"/>
        <v/>
      </c>
      <c r="U27" s="277" t="str">
        <f t="shared" si="12"/>
        <v/>
      </c>
      <c r="V27" s="276" t="str" cm="1">
        <f t="array" ref="V27">IF(AD27,cubicInterpolation(CurveResults.Times,CurveResults.USDSOFR,T27)-IF(ApplyBump,0.0001,0),"")</f>
        <v/>
      </c>
      <c r="W27" s="275" t="str">
        <f t="shared" si="13"/>
        <v/>
      </c>
      <c r="X27" s="276" t="str">
        <f t="shared" si="14"/>
        <v/>
      </c>
      <c r="Y27" s="275" t="str">
        <f t="shared" si="15"/>
        <v/>
      </c>
      <c r="Z27" s="274" t="str">
        <f t="shared" si="16"/>
        <v/>
      </c>
      <c r="AA27" s="273" t="str">
        <f t="shared" si="17"/>
        <v/>
      </c>
      <c r="AC27" s="272" t="b">
        <f t="shared" si="18"/>
        <v>0</v>
      </c>
      <c r="AD27" s="271" t="b">
        <f t="shared" si="19"/>
        <v>0</v>
      </c>
      <c r="AG27" s="281" t="s">
        <v>263</v>
      </c>
      <c r="AH27" s="273">
        <v>132332.01747748585</v>
      </c>
    </row>
    <row r="28" spans="2:37" x14ac:dyDescent="0.3">
      <c r="D28" s="270">
        <f t="shared" si="20"/>
        <v>23</v>
      </c>
      <c r="E28" s="279" t="str">
        <f t="shared" si="21"/>
        <v/>
      </c>
      <c r="F28" s="278" t="str">
        <f t="shared" si="0"/>
        <v/>
      </c>
      <c r="G28" s="278" t="str">
        <f t="shared" si="1"/>
        <v/>
      </c>
      <c r="H28" s="275" t="str">
        <f t="shared" si="2"/>
        <v/>
      </c>
      <c r="I28" s="277" t="str">
        <f t="shared" si="3"/>
        <v/>
      </c>
      <c r="J28" s="276" t="str">
        <f t="shared" si="4"/>
        <v/>
      </c>
      <c r="K28" s="275" t="str">
        <f t="shared" si="5"/>
        <v/>
      </c>
      <c r="L28" s="274" t="str">
        <f t="shared" si="6"/>
        <v/>
      </c>
      <c r="M28" s="273" t="str">
        <f t="shared" si="7"/>
        <v/>
      </c>
      <c r="O28" s="269">
        <f t="shared" si="22"/>
        <v>23</v>
      </c>
      <c r="P28" s="279" t="str">
        <f t="shared" si="8"/>
        <v/>
      </c>
      <c r="Q28" s="278" t="str">
        <f t="shared" si="23"/>
        <v/>
      </c>
      <c r="R28" s="278" t="str">
        <f t="shared" si="9"/>
        <v/>
      </c>
      <c r="S28" s="278" t="str">
        <f t="shared" si="10"/>
        <v/>
      </c>
      <c r="T28" s="275" t="str">
        <f t="shared" si="11"/>
        <v/>
      </c>
      <c r="U28" s="277" t="str">
        <f t="shared" si="12"/>
        <v/>
      </c>
      <c r="V28" s="276" t="str" cm="1">
        <f t="array" ref="V28">IF(AD28,cubicInterpolation(CurveResults.Times,CurveResults.USDSOFR,T28)-IF(ApplyBump,0.0001,0),"")</f>
        <v/>
      </c>
      <c r="W28" s="275" t="str">
        <f t="shared" si="13"/>
        <v/>
      </c>
      <c r="X28" s="276" t="str">
        <f t="shared" si="14"/>
        <v/>
      </c>
      <c r="Y28" s="275" t="str">
        <f t="shared" si="15"/>
        <v/>
      </c>
      <c r="Z28" s="274" t="str">
        <f t="shared" si="16"/>
        <v/>
      </c>
      <c r="AA28" s="273" t="str">
        <f t="shared" si="17"/>
        <v/>
      </c>
      <c r="AC28" s="272" t="b">
        <f t="shared" si="18"/>
        <v>0</v>
      </c>
      <c r="AD28" s="271" t="b">
        <f t="shared" si="19"/>
        <v>0</v>
      </c>
      <c r="AG28" s="280" t="s">
        <v>262</v>
      </c>
      <c r="AH28" s="262">
        <f>AH27-AH26</f>
        <v>-442.6637963145331</v>
      </c>
    </row>
    <row r="29" spans="2:37" x14ac:dyDescent="0.3">
      <c r="D29" s="270">
        <f t="shared" si="20"/>
        <v>24</v>
      </c>
      <c r="E29" s="279" t="str">
        <f t="shared" si="21"/>
        <v/>
      </c>
      <c r="F29" s="278" t="str">
        <f t="shared" si="0"/>
        <v/>
      </c>
      <c r="G29" s="278" t="str">
        <f t="shared" si="1"/>
        <v/>
      </c>
      <c r="H29" s="275" t="str">
        <f t="shared" si="2"/>
        <v/>
      </c>
      <c r="I29" s="277" t="str">
        <f t="shared" si="3"/>
        <v/>
      </c>
      <c r="J29" s="276" t="str">
        <f t="shared" si="4"/>
        <v/>
      </c>
      <c r="K29" s="275" t="str">
        <f t="shared" si="5"/>
        <v/>
      </c>
      <c r="L29" s="274" t="str">
        <f t="shared" si="6"/>
        <v/>
      </c>
      <c r="M29" s="273" t="str">
        <f t="shared" si="7"/>
        <v/>
      </c>
      <c r="O29" s="269">
        <f t="shared" si="22"/>
        <v>24</v>
      </c>
      <c r="P29" s="279" t="str">
        <f t="shared" si="8"/>
        <v/>
      </c>
      <c r="Q29" s="278" t="str">
        <f t="shared" si="23"/>
        <v/>
      </c>
      <c r="R29" s="278" t="str">
        <f t="shared" si="9"/>
        <v/>
      </c>
      <c r="S29" s="278" t="str">
        <f t="shared" si="10"/>
        <v/>
      </c>
      <c r="T29" s="275" t="str">
        <f t="shared" si="11"/>
        <v/>
      </c>
      <c r="U29" s="277" t="str">
        <f t="shared" si="12"/>
        <v/>
      </c>
      <c r="V29" s="276" t="str" cm="1">
        <f t="array" ref="V29">IF(AD29,cubicInterpolation(CurveResults.Times,CurveResults.USDSOFR,T29)-IF(ApplyBump,0.0001,0),"")</f>
        <v/>
      </c>
      <c r="W29" s="275" t="str">
        <f t="shared" si="13"/>
        <v/>
      </c>
      <c r="X29" s="276" t="str">
        <f t="shared" si="14"/>
        <v/>
      </c>
      <c r="Y29" s="275" t="str">
        <f t="shared" si="15"/>
        <v/>
      </c>
      <c r="Z29" s="274" t="str">
        <f t="shared" si="16"/>
        <v/>
      </c>
      <c r="AA29" s="273" t="str">
        <f t="shared" si="17"/>
        <v/>
      </c>
      <c r="AC29" s="272" t="b">
        <f t="shared" si="18"/>
        <v>0</v>
      </c>
      <c r="AD29" s="271" t="b">
        <f t="shared" si="19"/>
        <v>0</v>
      </c>
    </row>
    <row r="30" spans="2:37" x14ac:dyDescent="0.3">
      <c r="D30" s="270">
        <f t="shared" si="20"/>
        <v>25</v>
      </c>
      <c r="E30" s="279" t="str">
        <f t="shared" si="21"/>
        <v/>
      </c>
      <c r="F30" s="278" t="str">
        <f t="shared" si="0"/>
        <v/>
      </c>
      <c r="G30" s="278" t="str">
        <f t="shared" si="1"/>
        <v/>
      </c>
      <c r="H30" s="275" t="str">
        <f t="shared" si="2"/>
        <v/>
      </c>
      <c r="I30" s="277" t="str">
        <f t="shared" si="3"/>
        <v/>
      </c>
      <c r="J30" s="276" t="str">
        <f t="shared" si="4"/>
        <v/>
      </c>
      <c r="K30" s="275" t="str">
        <f t="shared" si="5"/>
        <v/>
      </c>
      <c r="L30" s="274" t="str">
        <f t="shared" si="6"/>
        <v/>
      </c>
      <c r="M30" s="273" t="str">
        <f t="shared" si="7"/>
        <v/>
      </c>
      <c r="O30" s="269">
        <f t="shared" si="22"/>
        <v>25</v>
      </c>
      <c r="P30" s="279" t="str">
        <f t="shared" si="8"/>
        <v/>
      </c>
      <c r="Q30" s="278" t="str">
        <f t="shared" si="23"/>
        <v/>
      </c>
      <c r="R30" s="278" t="str">
        <f t="shared" si="9"/>
        <v/>
      </c>
      <c r="S30" s="278" t="str">
        <f t="shared" si="10"/>
        <v/>
      </c>
      <c r="T30" s="275" t="str">
        <f t="shared" si="11"/>
        <v/>
      </c>
      <c r="U30" s="277" t="str">
        <f t="shared" si="12"/>
        <v/>
      </c>
      <c r="V30" s="276" t="str" cm="1">
        <f t="array" ref="V30">IF(AD30,cubicInterpolation(CurveResults.Times,CurveResults.USDSOFR,T30)-IF(ApplyBump,0.0001,0),"")</f>
        <v/>
      </c>
      <c r="W30" s="275" t="str">
        <f t="shared" si="13"/>
        <v/>
      </c>
      <c r="X30" s="276" t="str">
        <f t="shared" si="14"/>
        <v/>
      </c>
      <c r="Y30" s="275" t="str">
        <f t="shared" si="15"/>
        <v/>
      </c>
      <c r="Z30" s="274" t="str">
        <f t="shared" si="16"/>
        <v/>
      </c>
      <c r="AA30" s="273" t="str">
        <f t="shared" si="17"/>
        <v/>
      </c>
      <c r="AC30" s="272" t="b">
        <f t="shared" si="18"/>
        <v>0</v>
      </c>
      <c r="AD30" s="271" t="b">
        <f t="shared" si="19"/>
        <v>0</v>
      </c>
    </row>
    <row r="31" spans="2:37" x14ac:dyDescent="0.3">
      <c r="D31" s="270">
        <f t="shared" si="20"/>
        <v>26</v>
      </c>
      <c r="E31" s="279" t="str">
        <f t="shared" si="21"/>
        <v/>
      </c>
      <c r="F31" s="278" t="str">
        <f t="shared" si="0"/>
        <v/>
      </c>
      <c r="G31" s="278" t="str">
        <f t="shared" si="1"/>
        <v/>
      </c>
      <c r="H31" s="275" t="str">
        <f t="shared" si="2"/>
        <v/>
      </c>
      <c r="I31" s="277" t="str">
        <f t="shared" si="3"/>
        <v/>
      </c>
      <c r="J31" s="276" t="str">
        <f t="shared" si="4"/>
        <v/>
      </c>
      <c r="K31" s="275" t="str">
        <f t="shared" si="5"/>
        <v/>
      </c>
      <c r="L31" s="274" t="str">
        <f t="shared" si="6"/>
        <v/>
      </c>
      <c r="M31" s="273" t="str">
        <f t="shared" si="7"/>
        <v/>
      </c>
      <c r="O31" s="269">
        <f t="shared" si="22"/>
        <v>26</v>
      </c>
      <c r="P31" s="279" t="str">
        <f t="shared" si="8"/>
        <v/>
      </c>
      <c r="Q31" s="278" t="str">
        <f t="shared" si="23"/>
        <v/>
      </c>
      <c r="R31" s="278" t="str">
        <f t="shared" si="9"/>
        <v/>
      </c>
      <c r="S31" s="278" t="str">
        <f t="shared" si="10"/>
        <v/>
      </c>
      <c r="T31" s="275" t="str">
        <f t="shared" si="11"/>
        <v/>
      </c>
      <c r="U31" s="277" t="str">
        <f t="shared" si="12"/>
        <v/>
      </c>
      <c r="V31" s="276" t="str" cm="1">
        <f t="array" ref="V31">IF(AD31,cubicInterpolation(CurveResults.Times,CurveResults.USDSOFR,T31)-IF(ApplyBump,0.0001,0),"")</f>
        <v/>
      </c>
      <c r="W31" s="275" t="str">
        <f t="shared" si="13"/>
        <v/>
      </c>
      <c r="X31" s="276" t="str">
        <f t="shared" si="14"/>
        <v/>
      </c>
      <c r="Y31" s="275" t="str">
        <f t="shared" si="15"/>
        <v/>
      </c>
      <c r="Z31" s="274" t="str">
        <f t="shared" si="16"/>
        <v/>
      </c>
      <c r="AA31" s="273" t="str">
        <f t="shared" si="17"/>
        <v/>
      </c>
      <c r="AC31" s="272" t="b">
        <f t="shared" si="18"/>
        <v>0</v>
      </c>
      <c r="AD31" s="271" t="b">
        <f t="shared" si="19"/>
        <v>0</v>
      </c>
    </row>
    <row r="32" spans="2:37" x14ac:dyDescent="0.3">
      <c r="D32" s="270">
        <f t="shared" si="20"/>
        <v>27</v>
      </c>
      <c r="E32" s="279" t="str">
        <f t="shared" si="21"/>
        <v/>
      </c>
      <c r="F32" s="278" t="str">
        <f t="shared" si="0"/>
        <v/>
      </c>
      <c r="G32" s="278" t="str">
        <f t="shared" si="1"/>
        <v/>
      </c>
      <c r="H32" s="275" t="str">
        <f t="shared" si="2"/>
        <v/>
      </c>
      <c r="I32" s="277" t="str">
        <f t="shared" si="3"/>
        <v/>
      </c>
      <c r="J32" s="276" t="str">
        <f t="shared" si="4"/>
        <v/>
      </c>
      <c r="K32" s="275" t="str">
        <f t="shared" si="5"/>
        <v/>
      </c>
      <c r="L32" s="274" t="str">
        <f t="shared" si="6"/>
        <v/>
      </c>
      <c r="M32" s="273" t="str">
        <f t="shared" si="7"/>
        <v/>
      </c>
      <c r="O32" s="269">
        <f t="shared" si="22"/>
        <v>27</v>
      </c>
      <c r="P32" s="279" t="str">
        <f t="shared" si="8"/>
        <v/>
      </c>
      <c r="Q32" s="278" t="str">
        <f t="shared" si="23"/>
        <v/>
      </c>
      <c r="R32" s="278" t="str">
        <f t="shared" si="9"/>
        <v/>
      </c>
      <c r="S32" s="278" t="str">
        <f t="shared" si="10"/>
        <v/>
      </c>
      <c r="T32" s="275" t="str">
        <f t="shared" si="11"/>
        <v/>
      </c>
      <c r="U32" s="277" t="str">
        <f t="shared" si="12"/>
        <v/>
      </c>
      <c r="V32" s="276" t="str" cm="1">
        <f t="array" ref="V32">IF(AD32,cubicInterpolation(CurveResults.Times,CurveResults.USDSOFR,T32)-IF(ApplyBump,0.0001,0),"")</f>
        <v/>
      </c>
      <c r="W32" s="275" t="str">
        <f t="shared" si="13"/>
        <v/>
      </c>
      <c r="X32" s="276" t="str">
        <f t="shared" si="14"/>
        <v/>
      </c>
      <c r="Y32" s="275" t="str">
        <f t="shared" si="15"/>
        <v/>
      </c>
      <c r="Z32" s="274" t="str">
        <f t="shared" si="16"/>
        <v/>
      </c>
      <c r="AA32" s="273" t="str">
        <f t="shared" si="17"/>
        <v/>
      </c>
      <c r="AC32" s="272" t="b">
        <f t="shared" si="18"/>
        <v>0</v>
      </c>
      <c r="AD32" s="271" t="b">
        <f t="shared" si="19"/>
        <v>0</v>
      </c>
    </row>
    <row r="33" spans="4:30" x14ac:dyDescent="0.3">
      <c r="D33" s="270">
        <f t="shared" si="20"/>
        <v>28</v>
      </c>
      <c r="E33" s="279" t="str">
        <f t="shared" si="21"/>
        <v/>
      </c>
      <c r="F33" s="278" t="str">
        <f t="shared" si="0"/>
        <v/>
      </c>
      <c r="G33" s="278" t="str">
        <f t="shared" si="1"/>
        <v/>
      </c>
      <c r="H33" s="275" t="str">
        <f t="shared" si="2"/>
        <v/>
      </c>
      <c r="I33" s="277" t="str">
        <f t="shared" si="3"/>
        <v/>
      </c>
      <c r="J33" s="276" t="str">
        <f t="shared" si="4"/>
        <v/>
      </c>
      <c r="K33" s="275" t="str">
        <f t="shared" si="5"/>
        <v/>
      </c>
      <c r="L33" s="274" t="str">
        <f t="shared" si="6"/>
        <v/>
      </c>
      <c r="M33" s="273" t="str">
        <f t="shared" si="7"/>
        <v/>
      </c>
      <c r="O33" s="269">
        <f t="shared" si="22"/>
        <v>28</v>
      </c>
      <c r="P33" s="279" t="str">
        <f t="shared" si="8"/>
        <v/>
      </c>
      <c r="Q33" s="278" t="str">
        <f t="shared" si="23"/>
        <v/>
      </c>
      <c r="R33" s="278" t="str">
        <f t="shared" si="9"/>
        <v/>
      </c>
      <c r="S33" s="278" t="str">
        <f t="shared" si="10"/>
        <v/>
      </c>
      <c r="T33" s="275" t="str">
        <f t="shared" si="11"/>
        <v/>
      </c>
      <c r="U33" s="277" t="str">
        <f t="shared" si="12"/>
        <v/>
      </c>
      <c r="V33" s="276" t="str" cm="1">
        <f t="array" ref="V33">IF(AD33,cubicInterpolation(CurveResults.Times,CurveResults.USDSOFR,T33)-IF(ApplyBump,0.0001,0),"")</f>
        <v/>
      </c>
      <c r="W33" s="275" t="str">
        <f t="shared" si="13"/>
        <v/>
      </c>
      <c r="X33" s="276" t="str">
        <f t="shared" si="14"/>
        <v/>
      </c>
      <c r="Y33" s="275" t="str">
        <f t="shared" si="15"/>
        <v/>
      </c>
      <c r="Z33" s="274" t="str">
        <f t="shared" si="16"/>
        <v/>
      </c>
      <c r="AA33" s="273" t="str">
        <f t="shared" si="17"/>
        <v/>
      </c>
      <c r="AC33" s="272" t="b">
        <f t="shared" si="18"/>
        <v>0</v>
      </c>
      <c r="AD33" s="271" t="b">
        <f t="shared" si="19"/>
        <v>0</v>
      </c>
    </row>
    <row r="34" spans="4:30" x14ac:dyDescent="0.3">
      <c r="D34" s="270">
        <f t="shared" si="20"/>
        <v>29</v>
      </c>
      <c r="E34" s="279" t="str">
        <f t="shared" si="21"/>
        <v/>
      </c>
      <c r="F34" s="278" t="str">
        <f t="shared" si="0"/>
        <v/>
      </c>
      <c r="G34" s="278" t="str">
        <f t="shared" si="1"/>
        <v/>
      </c>
      <c r="H34" s="275" t="str">
        <f t="shared" si="2"/>
        <v/>
      </c>
      <c r="I34" s="277" t="str">
        <f t="shared" si="3"/>
        <v/>
      </c>
      <c r="J34" s="276" t="str">
        <f t="shared" si="4"/>
        <v/>
      </c>
      <c r="K34" s="275" t="str">
        <f t="shared" si="5"/>
        <v/>
      </c>
      <c r="L34" s="274" t="str">
        <f t="shared" si="6"/>
        <v/>
      </c>
      <c r="M34" s="273" t="str">
        <f t="shared" si="7"/>
        <v/>
      </c>
      <c r="O34" s="269">
        <f t="shared" si="22"/>
        <v>29</v>
      </c>
      <c r="P34" s="279" t="str">
        <f t="shared" si="8"/>
        <v/>
      </c>
      <c r="Q34" s="278" t="str">
        <f t="shared" si="23"/>
        <v/>
      </c>
      <c r="R34" s="278" t="str">
        <f t="shared" si="9"/>
        <v/>
      </c>
      <c r="S34" s="278" t="str">
        <f t="shared" si="10"/>
        <v/>
      </c>
      <c r="T34" s="275" t="str">
        <f t="shared" si="11"/>
        <v/>
      </c>
      <c r="U34" s="277" t="str">
        <f t="shared" si="12"/>
        <v/>
      </c>
      <c r="V34" s="276" t="str" cm="1">
        <f t="array" ref="V34">IF(AD34,cubicInterpolation(CurveResults.Times,CurveResults.USDSOFR,T34)-IF(ApplyBump,0.0001,0),"")</f>
        <v/>
      </c>
      <c r="W34" s="275" t="str">
        <f t="shared" si="13"/>
        <v/>
      </c>
      <c r="X34" s="276" t="str">
        <f t="shared" si="14"/>
        <v/>
      </c>
      <c r="Y34" s="275" t="str">
        <f t="shared" si="15"/>
        <v/>
      </c>
      <c r="Z34" s="274" t="str">
        <f t="shared" si="16"/>
        <v/>
      </c>
      <c r="AA34" s="273" t="str">
        <f t="shared" si="17"/>
        <v/>
      </c>
      <c r="AC34" s="272" t="b">
        <f t="shared" si="18"/>
        <v>0</v>
      </c>
      <c r="AD34" s="271" t="b">
        <f t="shared" si="19"/>
        <v>0</v>
      </c>
    </row>
    <row r="35" spans="4:30" x14ac:dyDescent="0.3">
      <c r="D35" s="270">
        <f t="shared" si="20"/>
        <v>30</v>
      </c>
      <c r="E35" s="279" t="str">
        <f t="shared" si="21"/>
        <v/>
      </c>
      <c r="F35" s="278" t="str">
        <f t="shared" si="0"/>
        <v/>
      </c>
      <c r="G35" s="278" t="str">
        <f t="shared" si="1"/>
        <v/>
      </c>
      <c r="H35" s="275" t="str">
        <f t="shared" si="2"/>
        <v/>
      </c>
      <c r="I35" s="277" t="str">
        <f t="shared" si="3"/>
        <v/>
      </c>
      <c r="J35" s="276" t="str">
        <f t="shared" si="4"/>
        <v/>
      </c>
      <c r="K35" s="275" t="str">
        <f t="shared" si="5"/>
        <v/>
      </c>
      <c r="L35" s="274" t="str">
        <f t="shared" si="6"/>
        <v/>
      </c>
      <c r="M35" s="273" t="str">
        <f t="shared" si="7"/>
        <v/>
      </c>
      <c r="O35" s="269">
        <f t="shared" si="22"/>
        <v>30</v>
      </c>
      <c r="P35" s="279" t="str">
        <f t="shared" si="8"/>
        <v/>
      </c>
      <c r="Q35" s="278" t="str">
        <f t="shared" si="23"/>
        <v/>
      </c>
      <c r="R35" s="278" t="str">
        <f t="shared" si="9"/>
        <v/>
      </c>
      <c r="S35" s="278" t="str">
        <f t="shared" si="10"/>
        <v/>
      </c>
      <c r="T35" s="275" t="str">
        <f t="shared" si="11"/>
        <v/>
      </c>
      <c r="U35" s="277" t="str">
        <f t="shared" si="12"/>
        <v/>
      </c>
      <c r="V35" s="276" t="str" cm="1">
        <f t="array" ref="V35">IF(AD35,cubicInterpolation(CurveResults.Times,CurveResults.USDSOFR,T35)-IF(ApplyBump,0.0001,0),"")</f>
        <v/>
      </c>
      <c r="W35" s="275" t="str">
        <f t="shared" si="13"/>
        <v/>
      </c>
      <c r="X35" s="276" t="str">
        <f t="shared" si="14"/>
        <v/>
      </c>
      <c r="Y35" s="275" t="str">
        <f t="shared" si="15"/>
        <v/>
      </c>
      <c r="Z35" s="274" t="str">
        <f t="shared" si="16"/>
        <v/>
      </c>
      <c r="AA35" s="273" t="str">
        <f t="shared" si="17"/>
        <v/>
      </c>
      <c r="AC35" s="272" t="b">
        <f t="shared" si="18"/>
        <v>0</v>
      </c>
      <c r="AD35" s="271" t="b">
        <f t="shared" si="19"/>
        <v>0</v>
      </c>
    </row>
    <row r="36" spans="4:30" x14ac:dyDescent="0.3">
      <c r="D36" s="270">
        <f t="shared" si="20"/>
        <v>31</v>
      </c>
      <c r="E36" s="279" t="str">
        <f t="shared" si="21"/>
        <v/>
      </c>
      <c r="F36" s="278" t="str">
        <f t="shared" si="0"/>
        <v/>
      </c>
      <c r="G36" s="278" t="str">
        <f t="shared" si="1"/>
        <v/>
      </c>
      <c r="H36" s="275" t="str">
        <f t="shared" si="2"/>
        <v/>
      </c>
      <c r="I36" s="277" t="str">
        <f t="shared" si="3"/>
        <v/>
      </c>
      <c r="J36" s="276" t="str">
        <f t="shared" si="4"/>
        <v/>
      </c>
      <c r="K36" s="275" t="str">
        <f t="shared" si="5"/>
        <v/>
      </c>
      <c r="L36" s="274" t="str">
        <f t="shared" si="6"/>
        <v/>
      </c>
      <c r="M36" s="273" t="str">
        <f t="shared" si="7"/>
        <v/>
      </c>
      <c r="O36" s="269">
        <f t="shared" si="22"/>
        <v>31</v>
      </c>
      <c r="P36" s="279" t="str">
        <f t="shared" si="8"/>
        <v/>
      </c>
      <c r="Q36" s="278" t="str">
        <f t="shared" si="23"/>
        <v/>
      </c>
      <c r="R36" s="278" t="str">
        <f t="shared" si="9"/>
        <v/>
      </c>
      <c r="S36" s="278" t="str">
        <f t="shared" si="10"/>
        <v/>
      </c>
      <c r="T36" s="275" t="str">
        <f t="shared" si="11"/>
        <v/>
      </c>
      <c r="U36" s="277" t="str">
        <f t="shared" si="12"/>
        <v/>
      </c>
      <c r="V36" s="276" t="str" cm="1">
        <f t="array" ref="V36">IF(AD36,cubicInterpolation(CurveResults.Times,CurveResults.USDSOFR,T36)-IF(ApplyBump,0.0001,0),"")</f>
        <v/>
      </c>
      <c r="W36" s="275" t="str">
        <f t="shared" si="13"/>
        <v/>
      </c>
      <c r="X36" s="276" t="str">
        <f t="shared" si="14"/>
        <v/>
      </c>
      <c r="Y36" s="275" t="str">
        <f t="shared" si="15"/>
        <v/>
      </c>
      <c r="Z36" s="274" t="str">
        <f t="shared" si="16"/>
        <v/>
      </c>
      <c r="AA36" s="273" t="str">
        <f t="shared" si="17"/>
        <v/>
      </c>
      <c r="AC36" s="272" t="b">
        <f t="shared" si="18"/>
        <v>0</v>
      </c>
      <c r="AD36" s="271" t="b">
        <f t="shared" si="19"/>
        <v>0</v>
      </c>
    </row>
    <row r="37" spans="4:30" x14ac:dyDescent="0.3">
      <c r="D37" s="270">
        <f t="shared" si="20"/>
        <v>32</v>
      </c>
      <c r="E37" s="279" t="str">
        <f t="shared" si="21"/>
        <v/>
      </c>
      <c r="F37" s="278" t="str">
        <f t="shared" si="0"/>
        <v/>
      </c>
      <c r="G37" s="278" t="str">
        <f t="shared" si="1"/>
        <v/>
      </c>
      <c r="H37" s="275" t="str">
        <f t="shared" si="2"/>
        <v/>
      </c>
      <c r="I37" s="277" t="str">
        <f t="shared" si="3"/>
        <v/>
      </c>
      <c r="J37" s="276" t="str">
        <f t="shared" si="4"/>
        <v/>
      </c>
      <c r="K37" s="275" t="str">
        <f t="shared" si="5"/>
        <v/>
      </c>
      <c r="L37" s="274" t="str">
        <f t="shared" si="6"/>
        <v/>
      </c>
      <c r="M37" s="273" t="str">
        <f t="shared" si="7"/>
        <v/>
      </c>
      <c r="O37" s="269">
        <f t="shared" si="22"/>
        <v>32</v>
      </c>
      <c r="P37" s="279" t="str">
        <f t="shared" si="8"/>
        <v/>
      </c>
      <c r="Q37" s="278" t="str">
        <f t="shared" si="23"/>
        <v/>
      </c>
      <c r="R37" s="278" t="str">
        <f t="shared" si="9"/>
        <v/>
      </c>
      <c r="S37" s="278" t="str">
        <f t="shared" si="10"/>
        <v/>
      </c>
      <c r="T37" s="275" t="str">
        <f t="shared" si="11"/>
        <v/>
      </c>
      <c r="U37" s="277" t="str">
        <f t="shared" si="12"/>
        <v/>
      </c>
      <c r="V37" s="276" t="str" cm="1">
        <f t="array" ref="V37">IF(AD37,cubicInterpolation(CurveResults.Times,CurveResults.USDSOFR,T37)-IF(ApplyBump,0.0001,0),"")</f>
        <v/>
      </c>
      <c r="W37" s="275" t="str">
        <f t="shared" si="13"/>
        <v/>
      </c>
      <c r="X37" s="276" t="str">
        <f t="shared" si="14"/>
        <v/>
      </c>
      <c r="Y37" s="275" t="str">
        <f t="shared" si="15"/>
        <v/>
      </c>
      <c r="Z37" s="274" t="str">
        <f t="shared" si="16"/>
        <v/>
      </c>
      <c r="AA37" s="273" t="str">
        <f t="shared" si="17"/>
        <v/>
      </c>
      <c r="AC37" s="272" t="b">
        <f t="shared" si="18"/>
        <v>0</v>
      </c>
      <c r="AD37" s="271" t="b">
        <f t="shared" si="19"/>
        <v>0</v>
      </c>
    </row>
    <row r="38" spans="4:30" x14ac:dyDescent="0.3">
      <c r="D38" s="270">
        <f t="shared" si="20"/>
        <v>33</v>
      </c>
      <c r="E38" s="279" t="str">
        <f t="shared" si="21"/>
        <v/>
      </c>
      <c r="F38" s="278" t="str">
        <f t="shared" ref="F38:F55" si="24">IF(AC38,E38+K38*365,"")</f>
        <v/>
      </c>
      <c r="G38" s="278" t="str">
        <f t="shared" ref="G38:G55" si="25">IF(AC38,F38,"")</f>
        <v/>
      </c>
      <c r="H38" s="275" t="str">
        <f t="shared" ref="H38:H55" si="26">IF(AC38,$D38*tau_i,"")</f>
        <v/>
      </c>
      <c r="I38" s="277" t="str">
        <f t="shared" ref="I38:I55" si="27">IF(AC38,N,"")</f>
        <v/>
      </c>
      <c r="J38" s="276" t="str">
        <f t="shared" ref="J38:J55" si="28">IF(AC38,r_fixed,"")</f>
        <v/>
      </c>
      <c r="K38" s="275" t="str">
        <f t="shared" ref="K38:K55" si="29">IF(AC38,tau_i,"")</f>
        <v/>
      </c>
      <c r="L38" s="274" t="str">
        <f t="shared" ref="L38:L55" si="30">IF(AC38,cubicInterpolation(CurveResults.Times,IF(ApplyBump,CurveResults.DF.Bumped,CurveResults.DFs),H38),"")</f>
        <v/>
      </c>
      <c r="M38" s="273" t="str">
        <f t="shared" ref="M38:M55" si="31">IF(AC38,I38*J38*K38*L38,"")</f>
        <v/>
      </c>
      <c r="O38" s="269">
        <f t="shared" si="22"/>
        <v>33</v>
      </c>
      <c r="P38" s="279" t="str">
        <f t="shared" ref="P38:P55" si="32">IF(AD38,Q38,"")</f>
        <v/>
      </c>
      <c r="Q38" s="278" t="str">
        <f t="shared" si="23"/>
        <v/>
      </c>
      <c r="R38" s="278" t="str">
        <f t="shared" ref="R38:R55" si="33">IF(AD38,Q38+Y38*365,"")</f>
        <v/>
      </c>
      <c r="S38" s="278" t="str">
        <f t="shared" ref="S38:S55" si="34">IF(AD38,R38,"")</f>
        <v/>
      </c>
      <c r="T38" s="275" t="str">
        <f t="shared" ref="T38:T55" si="35">IF(AD38,$O38*tau_j,"")</f>
        <v/>
      </c>
      <c r="U38" s="277" t="str">
        <f t="shared" ref="U38:U55" si="36">IF(AD38,N,"")</f>
        <v/>
      </c>
      <c r="V38" s="276" t="str" cm="1">
        <f t="array" ref="V38">IF(AD38,cubicInterpolation(CurveResults.Times,CurveResults.USDSOFR,T38)-IF(ApplyBump,0.0001,0),"")</f>
        <v/>
      </c>
      <c r="W38" s="275" t="str">
        <f t="shared" ref="W38:W55" si="37">IF(AD38,s,"")</f>
        <v/>
      </c>
      <c r="X38" s="276" t="str">
        <f t="shared" ref="X38:X55" si="38">IF(AD38,V38+(W38*0.0001),"")</f>
        <v/>
      </c>
      <c r="Y38" s="275" t="str">
        <f t="shared" ref="Y38:Y55" si="39">IF(AD38,tau_j,"")</f>
        <v/>
      </c>
      <c r="Z38" s="274" t="str">
        <f t="shared" ref="Z38:Z55" si="40">IF(AD38,cubicInterpolation(CurveResults.Times,IF(ApplyBump,CurveResults.DF.Bumped,CurveResults.DFs),T38),"")</f>
        <v/>
      </c>
      <c r="AA38" s="273" t="str">
        <f t="shared" ref="AA38:AA55" si="41">IF(AD38,U38*X38*Y38*Z38,"")</f>
        <v/>
      </c>
      <c r="AC38" s="272" t="b">
        <f t="shared" ref="AC38:AC55" si="42">IF(D38&lt;=T,TRUE,FALSE)</f>
        <v>0</v>
      </c>
      <c r="AD38" s="271" t="b">
        <f t="shared" ref="AD38:AD55" si="43">IF(O38&lt;=T,TRUE,FALSE)</f>
        <v>0</v>
      </c>
    </row>
    <row r="39" spans="4:30" x14ac:dyDescent="0.3">
      <c r="D39" s="270">
        <f t="shared" ref="D39:D55" si="44">D38+1</f>
        <v>34</v>
      </c>
      <c r="E39" s="279" t="str">
        <f t="shared" ref="E39:E55" si="45">IF(AC39,F38,"")</f>
        <v/>
      </c>
      <c r="F39" s="278" t="str">
        <f t="shared" si="24"/>
        <v/>
      </c>
      <c r="G39" s="278" t="str">
        <f t="shared" si="25"/>
        <v/>
      </c>
      <c r="H39" s="275" t="str">
        <f t="shared" si="26"/>
        <v/>
      </c>
      <c r="I39" s="277" t="str">
        <f t="shared" si="27"/>
        <v/>
      </c>
      <c r="J39" s="276" t="str">
        <f t="shared" si="28"/>
        <v/>
      </c>
      <c r="K39" s="275" t="str">
        <f t="shared" si="29"/>
        <v/>
      </c>
      <c r="L39" s="274" t="str">
        <f t="shared" si="30"/>
        <v/>
      </c>
      <c r="M39" s="273" t="str">
        <f t="shared" si="31"/>
        <v/>
      </c>
      <c r="O39" s="269">
        <f t="shared" ref="O39:O55" si="46">O38+1</f>
        <v>34</v>
      </c>
      <c r="P39" s="279" t="str">
        <f t="shared" si="32"/>
        <v/>
      </c>
      <c r="Q39" s="278" t="str">
        <f t="shared" ref="Q39:Q55" si="47">IF(AD39,R38,"")</f>
        <v/>
      </c>
      <c r="R39" s="278" t="str">
        <f t="shared" si="33"/>
        <v/>
      </c>
      <c r="S39" s="278" t="str">
        <f t="shared" si="34"/>
        <v/>
      </c>
      <c r="T39" s="275" t="str">
        <f t="shared" si="35"/>
        <v/>
      </c>
      <c r="U39" s="277" t="str">
        <f t="shared" si="36"/>
        <v/>
      </c>
      <c r="V39" s="276" t="str" cm="1">
        <f t="array" ref="V39">IF(AD39,cubicInterpolation(CurveResults.Times,CurveResults.USDSOFR,T39)-IF(ApplyBump,0.0001,0),"")</f>
        <v/>
      </c>
      <c r="W39" s="275" t="str">
        <f t="shared" si="37"/>
        <v/>
      </c>
      <c r="X39" s="276" t="str">
        <f t="shared" si="38"/>
        <v/>
      </c>
      <c r="Y39" s="275" t="str">
        <f t="shared" si="39"/>
        <v/>
      </c>
      <c r="Z39" s="274" t="str">
        <f t="shared" si="40"/>
        <v/>
      </c>
      <c r="AA39" s="273" t="str">
        <f t="shared" si="41"/>
        <v/>
      </c>
      <c r="AC39" s="272" t="b">
        <f t="shared" si="42"/>
        <v>0</v>
      </c>
      <c r="AD39" s="271" t="b">
        <f t="shared" si="43"/>
        <v>0</v>
      </c>
    </row>
    <row r="40" spans="4:30" x14ac:dyDescent="0.3">
      <c r="D40" s="270">
        <f t="shared" si="44"/>
        <v>35</v>
      </c>
      <c r="E40" s="279" t="str">
        <f t="shared" si="45"/>
        <v/>
      </c>
      <c r="F40" s="278" t="str">
        <f t="shared" si="24"/>
        <v/>
      </c>
      <c r="G40" s="278" t="str">
        <f t="shared" si="25"/>
        <v/>
      </c>
      <c r="H40" s="275" t="str">
        <f t="shared" si="26"/>
        <v/>
      </c>
      <c r="I40" s="277" t="str">
        <f t="shared" si="27"/>
        <v/>
      </c>
      <c r="J40" s="276" t="str">
        <f t="shared" si="28"/>
        <v/>
      </c>
      <c r="K40" s="275" t="str">
        <f t="shared" si="29"/>
        <v/>
      </c>
      <c r="L40" s="274" t="str">
        <f t="shared" si="30"/>
        <v/>
      </c>
      <c r="M40" s="273" t="str">
        <f t="shared" si="31"/>
        <v/>
      </c>
      <c r="O40" s="269">
        <f t="shared" si="46"/>
        <v>35</v>
      </c>
      <c r="P40" s="279" t="str">
        <f t="shared" si="32"/>
        <v/>
      </c>
      <c r="Q40" s="278" t="str">
        <f t="shared" si="47"/>
        <v/>
      </c>
      <c r="R40" s="278" t="str">
        <f t="shared" si="33"/>
        <v/>
      </c>
      <c r="S40" s="278" t="str">
        <f t="shared" si="34"/>
        <v/>
      </c>
      <c r="T40" s="275" t="str">
        <f t="shared" si="35"/>
        <v/>
      </c>
      <c r="U40" s="277" t="str">
        <f t="shared" si="36"/>
        <v/>
      </c>
      <c r="V40" s="276" t="str" cm="1">
        <f t="array" ref="V40">IF(AD40,cubicInterpolation(CurveResults.Times,CurveResults.USDSOFR,T40)-IF(ApplyBump,0.0001,0),"")</f>
        <v/>
      </c>
      <c r="W40" s="275" t="str">
        <f t="shared" si="37"/>
        <v/>
      </c>
      <c r="X40" s="276" t="str">
        <f t="shared" si="38"/>
        <v/>
      </c>
      <c r="Y40" s="275" t="str">
        <f t="shared" si="39"/>
        <v/>
      </c>
      <c r="Z40" s="274" t="str">
        <f t="shared" si="40"/>
        <v/>
      </c>
      <c r="AA40" s="273" t="str">
        <f t="shared" si="41"/>
        <v/>
      </c>
      <c r="AC40" s="272" t="b">
        <f t="shared" si="42"/>
        <v>0</v>
      </c>
      <c r="AD40" s="271" t="b">
        <f t="shared" si="43"/>
        <v>0</v>
      </c>
    </row>
    <row r="41" spans="4:30" x14ac:dyDescent="0.3">
      <c r="D41" s="270">
        <f t="shared" si="44"/>
        <v>36</v>
      </c>
      <c r="E41" s="279" t="str">
        <f t="shared" si="45"/>
        <v/>
      </c>
      <c r="F41" s="278" t="str">
        <f t="shared" si="24"/>
        <v/>
      </c>
      <c r="G41" s="278" t="str">
        <f t="shared" si="25"/>
        <v/>
      </c>
      <c r="H41" s="275" t="str">
        <f t="shared" si="26"/>
        <v/>
      </c>
      <c r="I41" s="277" t="str">
        <f t="shared" si="27"/>
        <v/>
      </c>
      <c r="J41" s="276" t="str">
        <f t="shared" si="28"/>
        <v/>
      </c>
      <c r="K41" s="275" t="str">
        <f t="shared" si="29"/>
        <v/>
      </c>
      <c r="L41" s="274" t="str">
        <f t="shared" si="30"/>
        <v/>
      </c>
      <c r="M41" s="273" t="str">
        <f t="shared" si="31"/>
        <v/>
      </c>
      <c r="O41" s="269">
        <f t="shared" si="46"/>
        <v>36</v>
      </c>
      <c r="P41" s="279" t="str">
        <f t="shared" si="32"/>
        <v/>
      </c>
      <c r="Q41" s="278" t="str">
        <f t="shared" si="47"/>
        <v/>
      </c>
      <c r="R41" s="278" t="str">
        <f t="shared" si="33"/>
        <v/>
      </c>
      <c r="S41" s="278" t="str">
        <f t="shared" si="34"/>
        <v/>
      </c>
      <c r="T41" s="275" t="str">
        <f t="shared" si="35"/>
        <v/>
      </c>
      <c r="U41" s="277" t="str">
        <f t="shared" si="36"/>
        <v/>
      </c>
      <c r="V41" s="276" t="str" cm="1">
        <f t="array" ref="V41">IF(AD41,cubicInterpolation(CurveResults.Times,CurveResults.USDSOFR,T41)-IF(ApplyBump,0.0001,0),"")</f>
        <v/>
      </c>
      <c r="W41" s="275" t="str">
        <f t="shared" si="37"/>
        <v/>
      </c>
      <c r="X41" s="276" t="str">
        <f t="shared" si="38"/>
        <v/>
      </c>
      <c r="Y41" s="275" t="str">
        <f t="shared" si="39"/>
        <v/>
      </c>
      <c r="Z41" s="274" t="str">
        <f t="shared" si="40"/>
        <v/>
      </c>
      <c r="AA41" s="273" t="str">
        <f t="shared" si="41"/>
        <v/>
      </c>
      <c r="AC41" s="272" t="b">
        <f t="shared" si="42"/>
        <v>0</v>
      </c>
      <c r="AD41" s="271" t="b">
        <f t="shared" si="43"/>
        <v>0</v>
      </c>
    </row>
    <row r="42" spans="4:30" x14ac:dyDescent="0.3">
      <c r="D42" s="270">
        <f t="shared" si="44"/>
        <v>37</v>
      </c>
      <c r="E42" s="279" t="str">
        <f t="shared" si="45"/>
        <v/>
      </c>
      <c r="F42" s="278" t="str">
        <f t="shared" si="24"/>
        <v/>
      </c>
      <c r="G42" s="278" t="str">
        <f t="shared" si="25"/>
        <v/>
      </c>
      <c r="H42" s="275" t="str">
        <f t="shared" si="26"/>
        <v/>
      </c>
      <c r="I42" s="277" t="str">
        <f t="shared" si="27"/>
        <v/>
      </c>
      <c r="J42" s="276" t="str">
        <f t="shared" si="28"/>
        <v/>
      </c>
      <c r="K42" s="275" t="str">
        <f t="shared" si="29"/>
        <v/>
      </c>
      <c r="L42" s="274" t="str">
        <f t="shared" si="30"/>
        <v/>
      </c>
      <c r="M42" s="273" t="str">
        <f t="shared" si="31"/>
        <v/>
      </c>
      <c r="O42" s="269">
        <f t="shared" si="46"/>
        <v>37</v>
      </c>
      <c r="P42" s="279" t="str">
        <f t="shared" si="32"/>
        <v/>
      </c>
      <c r="Q42" s="278" t="str">
        <f t="shared" si="47"/>
        <v/>
      </c>
      <c r="R42" s="278" t="str">
        <f t="shared" si="33"/>
        <v/>
      </c>
      <c r="S42" s="278" t="str">
        <f t="shared" si="34"/>
        <v/>
      </c>
      <c r="T42" s="275" t="str">
        <f t="shared" si="35"/>
        <v/>
      </c>
      <c r="U42" s="277" t="str">
        <f t="shared" si="36"/>
        <v/>
      </c>
      <c r="V42" s="276" t="str" cm="1">
        <f t="array" ref="V42">IF(AD42,cubicInterpolation(CurveResults.Times,CurveResults.USDSOFR,T42)-IF(ApplyBump,0.0001,0),"")</f>
        <v/>
      </c>
      <c r="W42" s="275" t="str">
        <f t="shared" si="37"/>
        <v/>
      </c>
      <c r="X42" s="276" t="str">
        <f t="shared" si="38"/>
        <v/>
      </c>
      <c r="Y42" s="275" t="str">
        <f t="shared" si="39"/>
        <v/>
      </c>
      <c r="Z42" s="274" t="str">
        <f t="shared" si="40"/>
        <v/>
      </c>
      <c r="AA42" s="273" t="str">
        <f t="shared" si="41"/>
        <v/>
      </c>
      <c r="AC42" s="272" t="b">
        <f t="shared" si="42"/>
        <v>0</v>
      </c>
      <c r="AD42" s="271" t="b">
        <f t="shared" si="43"/>
        <v>0</v>
      </c>
    </row>
    <row r="43" spans="4:30" x14ac:dyDescent="0.3">
      <c r="D43" s="270">
        <f t="shared" si="44"/>
        <v>38</v>
      </c>
      <c r="E43" s="279" t="str">
        <f t="shared" si="45"/>
        <v/>
      </c>
      <c r="F43" s="278" t="str">
        <f t="shared" si="24"/>
        <v/>
      </c>
      <c r="G43" s="278" t="str">
        <f t="shared" si="25"/>
        <v/>
      </c>
      <c r="H43" s="275" t="str">
        <f t="shared" si="26"/>
        <v/>
      </c>
      <c r="I43" s="277" t="str">
        <f t="shared" si="27"/>
        <v/>
      </c>
      <c r="J43" s="276" t="str">
        <f t="shared" si="28"/>
        <v/>
      </c>
      <c r="K43" s="275" t="str">
        <f t="shared" si="29"/>
        <v/>
      </c>
      <c r="L43" s="274" t="str">
        <f t="shared" si="30"/>
        <v/>
      </c>
      <c r="M43" s="273" t="str">
        <f t="shared" si="31"/>
        <v/>
      </c>
      <c r="O43" s="269">
        <f t="shared" si="46"/>
        <v>38</v>
      </c>
      <c r="P43" s="279" t="str">
        <f t="shared" si="32"/>
        <v/>
      </c>
      <c r="Q43" s="278" t="str">
        <f t="shared" si="47"/>
        <v/>
      </c>
      <c r="R43" s="278" t="str">
        <f t="shared" si="33"/>
        <v/>
      </c>
      <c r="S43" s="278" t="str">
        <f t="shared" si="34"/>
        <v/>
      </c>
      <c r="T43" s="275" t="str">
        <f t="shared" si="35"/>
        <v/>
      </c>
      <c r="U43" s="277" t="str">
        <f t="shared" si="36"/>
        <v/>
      </c>
      <c r="V43" s="276" t="str" cm="1">
        <f t="array" ref="V43">IF(AD43,cubicInterpolation(CurveResults.Times,CurveResults.USDSOFR,T43)-IF(ApplyBump,0.0001,0),"")</f>
        <v/>
      </c>
      <c r="W43" s="275" t="str">
        <f t="shared" si="37"/>
        <v/>
      </c>
      <c r="X43" s="276" t="str">
        <f t="shared" si="38"/>
        <v/>
      </c>
      <c r="Y43" s="275" t="str">
        <f t="shared" si="39"/>
        <v/>
      </c>
      <c r="Z43" s="274" t="str">
        <f t="shared" si="40"/>
        <v/>
      </c>
      <c r="AA43" s="273" t="str">
        <f t="shared" si="41"/>
        <v/>
      </c>
      <c r="AC43" s="272" t="b">
        <f t="shared" si="42"/>
        <v>0</v>
      </c>
      <c r="AD43" s="271" t="b">
        <f t="shared" si="43"/>
        <v>0</v>
      </c>
    </row>
    <row r="44" spans="4:30" x14ac:dyDescent="0.3">
      <c r="D44" s="270">
        <f t="shared" si="44"/>
        <v>39</v>
      </c>
      <c r="E44" s="279" t="str">
        <f t="shared" si="45"/>
        <v/>
      </c>
      <c r="F44" s="278" t="str">
        <f t="shared" si="24"/>
        <v/>
      </c>
      <c r="G44" s="278" t="str">
        <f t="shared" si="25"/>
        <v/>
      </c>
      <c r="H44" s="275" t="str">
        <f t="shared" si="26"/>
        <v/>
      </c>
      <c r="I44" s="277" t="str">
        <f t="shared" si="27"/>
        <v/>
      </c>
      <c r="J44" s="276" t="str">
        <f t="shared" si="28"/>
        <v/>
      </c>
      <c r="K44" s="275" t="str">
        <f t="shared" si="29"/>
        <v/>
      </c>
      <c r="L44" s="274" t="str">
        <f t="shared" si="30"/>
        <v/>
      </c>
      <c r="M44" s="273" t="str">
        <f t="shared" si="31"/>
        <v/>
      </c>
      <c r="O44" s="269">
        <f t="shared" si="46"/>
        <v>39</v>
      </c>
      <c r="P44" s="279" t="str">
        <f t="shared" si="32"/>
        <v/>
      </c>
      <c r="Q44" s="278" t="str">
        <f t="shared" si="47"/>
        <v/>
      </c>
      <c r="R44" s="278" t="str">
        <f t="shared" si="33"/>
        <v/>
      </c>
      <c r="S44" s="278" t="str">
        <f t="shared" si="34"/>
        <v/>
      </c>
      <c r="T44" s="275" t="str">
        <f t="shared" si="35"/>
        <v/>
      </c>
      <c r="U44" s="277" t="str">
        <f t="shared" si="36"/>
        <v/>
      </c>
      <c r="V44" s="276" t="str" cm="1">
        <f t="array" ref="V44">IF(AD44,cubicInterpolation(CurveResults.Times,CurveResults.USDSOFR,T44)-IF(ApplyBump,0.0001,0),"")</f>
        <v/>
      </c>
      <c r="W44" s="275" t="str">
        <f t="shared" si="37"/>
        <v/>
      </c>
      <c r="X44" s="276" t="str">
        <f t="shared" si="38"/>
        <v/>
      </c>
      <c r="Y44" s="275" t="str">
        <f t="shared" si="39"/>
        <v/>
      </c>
      <c r="Z44" s="274" t="str">
        <f t="shared" si="40"/>
        <v/>
      </c>
      <c r="AA44" s="273" t="str">
        <f t="shared" si="41"/>
        <v/>
      </c>
      <c r="AC44" s="272" t="b">
        <f t="shared" si="42"/>
        <v>0</v>
      </c>
      <c r="AD44" s="271" t="b">
        <f t="shared" si="43"/>
        <v>0</v>
      </c>
    </row>
    <row r="45" spans="4:30" x14ac:dyDescent="0.3">
      <c r="D45" s="270">
        <f t="shared" si="44"/>
        <v>40</v>
      </c>
      <c r="E45" s="279" t="str">
        <f t="shared" si="45"/>
        <v/>
      </c>
      <c r="F45" s="278" t="str">
        <f t="shared" si="24"/>
        <v/>
      </c>
      <c r="G45" s="278" t="str">
        <f t="shared" si="25"/>
        <v/>
      </c>
      <c r="H45" s="275" t="str">
        <f t="shared" si="26"/>
        <v/>
      </c>
      <c r="I45" s="277" t="str">
        <f t="shared" si="27"/>
        <v/>
      </c>
      <c r="J45" s="276" t="str">
        <f t="shared" si="28"/>
        <v/>
      </c>
      <c r="K45" s="275" t="str">
        <f t="shared" si="29"/>
        <v/>
      </c>
      <c r="L45" s="274" t="str">
        <f t="shared" si="30"/>
        <v/>
      </c>
      <c r="M45" s="273" t="str">
        <f t="shared" si="31"/>
        <v/>
      </c>
      <c r="O45" s="269">
        <f t="shared" si="46"/>
        <v>40</v>
      </c>
      <c r="P45" s="279" t="str">
        <f t="shared" si="32"/>
        <v/>
      </c>
      <c r="Q45" s="278" t="str">
        <f t="shared" si="47"/>
        <v/>
      </c>
      <c r="R45" s="278" t="str">
        <f t="shared" si="33"/>
        <v/>
      </c>
      <c r="S45" s="278" t="str">
        <f t="shared" si="34"/>
        <v/>
      </c>
      <c r="T45" s="275" t="str">
        <f t="shared" si="35"/>
        <v/>
      </c>
      <c r="U45" s="277" t="str">
        <f t="shared" si="36"/>
        <v/>
      </c>
      <c r="V45" s="276" t="str" cm="1">
        <f t="array" ref="V45">IF(AD45,cubicInterpolation(CurveResults.Times,CurveResults.USDSOFR,T45)-IF(ApplyBump,0.0001,0),"")</f>
        <v/>
      </c>
      <c r="W45" s="275" t="str">
        <f t="shared" si="37"/>
        <v/>
      </c>
      <c r="X45" s="276" t="str">
        <f t="shared" si="38"/>
        <v/>
      </c>
      <c r="Y45" s="275" t="str">
        <f t="shared" si="39"/>
        <v/>
      </c>
      <c r="Z45" s="274" t="str">
        <f t="shared" si="40"/>
        <v/>
      </c>
      <c r="AA45" s="273" t="str">
        <f t="shared" si="41"/>
        <v/>
      </c>
      <c r="AC45" s="272" t="b">
        <f t="shared" si="42"/>
        <v>0</v>
      </c>
      <c r="AD45" s="271" t="b">
        <f t="shared" si="43"/>
        <v>0</v>
      </c>
    </row>
    <row r="46" spans="4:30" x14ac:dyDescent="0.3">
      <c r="D46" s="270">
        <f t="shared" si="44"/>
        <v>41</v>
      </c>
      <c r="E46" s="279" t="str">
        <f t="shared" si="45"/>
        <v/>
      </c>
      <c r="F46" s="278" t="str">
        <f t="shared" si="24"/>
        <v/>
      </c>
      <c r="G46" s="278" t="str">
        <f t="shared" si="25"/>
        <v/>
      </c>
      <c r="H46" s="275" t="str">
        <f t="shared" si="26"/>
        <v/>
      </c>
      <c r="I46" s="277" t="str">
        <f t="shared" si="27"/>
        <v/>
      </c>
      <c r="J46" s="276" t="str">
        <f t="shared" si="28"/>
        <v/>
      </c>
      <c r="K46" s="275" t="str">
        <f t="shared" si="29"/>
        <v/>
      </c>
      <c r="L46" s="274" t="str">
        <f t="shared" si="30"/>
        <v/>
      </c>
      <c r="M46" s="273" t="str">
        <f t="shared" si="31"/>
        <v/>
      </c>
      <c r="O46" s="269">
        <f t="shared" si="46"/>
        <v>41</v>
      </c>
      <c r="P46" s="279" t="str">
        <f t="shared" si="32"/>
        <v/>
      </c>
      <c r="Q46" s="278" t="str">
        <f t="shared" si="47"/>
        <v/>
      </c>
      <c r="R46" s="278" t="str">
        <f t="shared" si="33"/>
        <v/>
      </c>
      <c r="S46" s="278" t="str">
        <f t="shared" si="34"/>
        <v/>
      </c>
      <c r="T46" s="275" t="str">
        <f t="shared" si="35"/>
        <v/>
      </c>
      <c r="U46" s="277" t="str">
        <f t="shared" si="36"/>
        <v/>
      </c>
      <c r="V46" s="276" t="str" cm="1">
        <f t="array" ref="V46">IF(AD46,cubicInterpolation(CurveResults.Times,CurveResults.USDSOFR,T46)-IF(ApplyBump,0.0001,0),"")</f>
        <v/>
      </c>
      <c r="W46" s="275" t="str">
        <f t="shared" si="37"/>
        <v/>
      </c>
      <c r="X46" s="276" t="str">
        <f t="shared" si="38"/>
        <v/>
      </c>
      <c r="Y46" s="275" t="str">
        <f t="shared" si="39"/>
        <v/>
      </c>
      <c r="Z46" s="274" t="str">
        <f t="shared" si="40"/>
        <v/>
      </c>
      <c r="AA46" s="273" t="str">
        <f t="shared" si="41"/>
        <v/>
      </c>
      <c r="AC46" s="272" t="b">
        <f t="shared" si="42"/>
        <v>0</v>
      </c>
      <c r="AD46" s="271" t="b">
        <f t="shared" si="43"/>
        <v>0</v>
      </c>
    </row>
    <row r="47" spans="4:30" x14ac:dyDescent="0.3">
      <c r="D47" s="270">
        <f t="shared" si="44"/>
        <v>42</v>
      </c>
      <c r="E47" s="279" t="str">
        <f t="shared" si="45"/>
        <v/>
      </c>
      <c r="F47" s="278" t="str">
        <f t="shared" si="24"/>
        <v/>
      </c>
      <c r="G47" s="278" t="str">
        <f t="shared" si="25"/>
        <v/>
      </c>
      <c r="H47" s="275" t="str">
        <f t="shared" si="26"/>
        <v/>
      </c>
      <c r="I47" s="277" t="str">
        <f t="shared" si="27"/>
        <v/>
      </c>
      <c r="J47" s="276" t="str">
        <f t="shared" si="28"/>
        <v/>
      </c>
      <c r="K47" s="275" t="str">
        <f t="shared" si="29"/>
        <v/>
      </c>
      <c r="L47" s="274" t="str">
        <f t="shared" si="30"/>
        <v/>
      </c>
      <c r="M47" s="273" t="str">
        <f t="shared" si="31"/>
        <v/>
      </c>
      <c r="O47" s="269">
        <f t="shared" si="46"/>
        <v>42</v>
      </c>
      <c r="P47" s="279" t="str">
        <f t="shared" si="32"/>
        <v/>
      </c>
      <c r="Q47" s="278" t="str">
        <f t="shared" si="47"/>
        <v/>
      </c>
      <c r="R47" s="278" t="str">
        <f t="shared" si="33"/>
        <v/>
      </c>
      <c r="S47" s="278" t="str">
        <f t="shared" si="34"/>
        <v/>
      </c>
      <c r="T47" s="275" t="str">
        <f t="shared" si="35"/>
        <v/>
      </c>
      <c r="U47" s="277" t="str">
        <f t="shared" si="36"/>
        <v/>
      </c>
      <c r="V47" s="276" t="str" cm="1">
        <f t="array" ref="V47">IF(AD47,cubicInterpolation(CurveResults.Times,CurveResults.USDSOFR,T47)-IF(ApplyBump,0.0001,0),"")</f>
        <v/>
      </c>
      <c r="W47" s="275" t="str">
        <f t="shared" si="37"/>
        <v/>
      </c>
      <c r="X47" s="276" t="str">
        <f t="shared" si="38"/>
        <v/>
      </c>
      <c r="Y47" s="275" t="str">
        <f t="shared" si="39"/>
        <v/>
      </c>
      <c r="Z47" s="274" t="str">
        <f t="shared" si="40"/>
        <v/>
      </c>
      <c r="AA47" s="273" t="str">
        <f t="shared" si="41"/>
        <v/>
      </c>
      <c r="AC47" s="272" t="b">
        <f t="shared" si="42"/>
        <v>0</v>
      </c>
      <c r="AD47" s="271" t="b">
        <f t="shared" si="43"/>
        <v>0</v>
      </c>
    </row>
    <row r="48" spans="4:30" x14ac:dyDescent="0.3">
      <c r="D48" s="270">
        <f t="shared" si="44"/>
        <v>43</v>
      </c>
      <c r="E48" s="279" t="str">
        <f t="shared" si="45"/>
        <v/>
      </c>
      <c r="F48" s="278" t="str">
        <f t="shared" si="24"/>
        <v/>
      </c>
      <c r="G48" s="278" t="str">
        <f t="shared" si="25"/>
        <v/>
      </c>
      <c r="H48" s="275" t="str">
        <f t="shared" si="26"/>
        <v/>
      </c>
      <c r="I48" s="277" t="str">
        <f t="shared" si="27"/>
        <v/>
      </c>
      <c r="J48" s="276" t="str">
        <f t="shared" si="28"/>
        <v/>
      </c>
      <c r="K48" s="275" t="str">
        <f t="shared" si="29"/>
        <v/>
      </c>
      <c r="L48" s="274" t="str">
        <f t="shared" si="30"/>
        <v/>
      </c>
      <c r="M48" s="273" t="str">
        <f t="shared" si="31"/>
        <v/>
      </c>
      <c r="O48" s="269">
        <f t="shared" si="46"/>
        <v>43</v>
      </c>
      <c r="P48" s="279" t="str">
        <f t="shared" si="32"/>
        <v/>
      </c>
      <c r="Q48" s="278" t="str">
        <f t="shared" si="47"/>
        <v/>
      </c>
      <c r="R48" s="278" t="str">
        <f t="shared" si="33"/>
        <v/>
      </c>
      <c r="S48" s="278" t="str">
        <f t="shared" si="34"/>
        <v/>
      </c>
      <c r="T48" s="275" t="str">
        <f t="shared" si="35"/>
        <v/>
      </c>
      <c r="U48" s="277" t="str">
        <f t="shared" si="36"/>
        <v/>
      </c>
      <c r="V48" s="276" t="str" cm="1">
        <f t="array" ref="V48">IF(AD48,cubicInterpolation(CurveResults.Times,CurveResults.USDSOFR,T48)-IF(ApplyBump,0.0001,0),"")</f>
        <v/>
      </c>
      <c r="W48" s="275" t="str">
        <f t="shared" si="37"/>
        <v/>
      </c>
      <c r="X48" s="276" t="str">
        <f t="shared" si="38"/>
        <v/>
      </c>
      <c r="Y48" s="275" t="str">
        <f t="shared" si="39"/>
        <v/>
      </c>
      <c r="Z48" s="274" t="str">
        <f t="shared" si="40"/>
        <v/>
      </c>
      <c r="AA48" s="273" t="str">
        <f t="shared" si="41"/>
        <v/>
      </c>
      <c r="AC48" s="272" t="b">
        <f t="shared" si="42"/>
        <v>0</v>
      </c>
      <c r="AD48" s="271" t="b">
        <f t="shared" si="43"/>
        <v>0</v>
      </c>
    </row>
    <row r="49" spans="4:30" x14ac:dyDescent="0.3">
      <c r="D49" s="270">
        <f t="shared" si="44"/>
        <v>44</v>
      </c>
      <c r="E49" s="279" t="str">
        <f t="shared" si="45"/>
        <v/>
      </c>
      <c r="F49" s="278" t="str">
        <f t="shared" si="24"/>
        <v/>
      </c>
      <c r="G49" s="278" t="str">
        <f t="shared" si="25"/>
        <v/>
      </c>
      <c r="H49" s="275" t="str">
        <f t="shared" si="26"/>
        <v/>
      </c>
      <c r="I49" s="277" t="str">
        <f t="shared" si="27"/>
        <v/>
      </c>
      <c r="J49" s="276" t="str">
        <f t="shared" si="28"/>
        <v/>
      </c>
      <c r="K49" s="275" t="str">
        <f t="shared" si="29"/>
        <v/>
      </c>
      <c r="L49" s="274" t="str">
        <f t="shared" si="30"/>
        <v/>
      </c>
      <c r="M49" s="273" t="str">
        <f t="shared" si="31"/>
        <v/>
      </c>
      <c r="O49" s="269">
        <f t="shared" si="46"/>
        <v>44</v>
      </c>
      <c r="P49" s="279" t="str">
        <f t="shared" si="32"/>
        <v/>
      </c>
      <c r="Q49" s="278" t="str">
        <f t="shared" si="47"/>
        <v/>
      </c>
      <c r="R49" s="278" t="str">
        <f t="shared" si="33"/>
        <v/>
      </c>
      <c r="S49" s="278" t="str">
        <f t="shared" si="34"/>
        <v/>
      </c>
      <c r="T49" s="275" t="str">
        <f t="shared" si="35"/>
        <v/>
      </c>
      <c r="U49" s="277" t="str">
        <f t="shared" si="36"/>
        <v/>
      </c>
      <c r="V49" s="276" t="str" cm="1">
        <f t="array" ref="V49">IF(AD49,cubicInterpolation(CurveResults.Times,CurveResults.USDSOFR,T49)-IF(ApplyBump,0.0001,0),"")</f>
        <v/>
      </c>
      <c r="W49" s="275" t="str">
        <f t="shared" si="37"/>
        <v/>
      </c>
      <c r="X49" s="276" t="str">
        <f t="shared" si="38"/>
        <v/>
      </c>
      <c r="Y49" s="275" t="str">
        <f t="shared" si="39"/>
        <v/>
      </c>
      <c r="Z49" s="274" t="str">
        <f t="shared" si="40"/>
        <v/>
      </c>
      <c r="AA49" s="273" t="str">
        <f t="shared" si="41"/>
        <v/>
      </c>
      <c r="AC49" s="272" t="b">
        <f t="shared" si="42"/>
        <v>0</v>
      </c>
      <c r="AD49" s="271" t="b">
        <f t="shared" si="43"/>
        <v>0</v>
      </c>
    </row>
    <row r="50" spans="4:30" x14ac:dyDescent="0.3">
      <c r="D50" s="270">
        <f t="shared" si="44"/>
        <v>45</v>
      </c>
      <c r="E50" s="279" t="str">
        <f t="shared" si="45"/>
        <v/>
      </c>
      <c r="F50" s="278" t="str">
        <f t="shared" si="24"/>
        <v/>
      </c>
      <c r="G50" s="278" t="str">
        <f t="shared" si="25"/>
        <v/>
      </c>
      <c r="H50" s="275" t="str">
        <f t="shared" si="26"/>
        <v/>
      </c>
      <c r="I50" s="277" t="str">
        <f t="shared" si="27"/>
        <v/>
      </c>
      <c r="J50" s="276" t="str">
        <f t="shared" si="28"/>
        <v/>
      </c>
      <c r="K50" s="275" t="str">
        <f t="shared" si="29"/>
        <v/>
      </c>
      <c r="L50" s="274" t="str">
        <f t="shared" si="30"/>
        <v/>
      </c>
      <c r="M50" s="273" t="str">
        <f t="shared" si="31"/>
        <v/>
      </c>
      <c r="O50" s="269">
        <f t="shared" si="46"/>
        <v>45</v>
      </c>
      <c r="P50" s="279" t="str">
        <f t="shared" si="32"/>
        <v/>
      </c>
      <c r="Q50" s="278" t="str">
        <f t="shared" si="47"/>
        <v/>
      </c>
      <c r="R50" s="278" t="str">
        <f t="shared" si="33"/>
        <v/>
      </c>
      <c r="S50" s="278" t="str">
        <f t="shared" si="34"/>
        <v/>
      </c>
      <c r="T50" s="275" t="str">
        <f t="shared" si="35"/>
        <v/>
      </c>
      <c r="U50" s="277" t="str">
        <f t="shared" si="36"/>
        <v/>
      </c>
      <c r="V50" s="276" t="str" cm="1">
        <f t="array" ref="V50">IF(AD50,cubicInterpolation(CurveResults.Times,CurveResults.USDSOFR,T50)-IF(ApplyBump,0.0001,0),"")</f>
        <v/>
      </c>
      <c r="W50" s="275" t="str">
        <f t="shared" si="37"/>
        <v/>
      </c>
      <c r="X50" s="276" t="str">
        <f t="shared" si="38"/>
        <v/>
      </c>
      <c r="Y50" s="275" t="str">
        <f t="shared" si="39"/>
        <v/>
      </c>
      <c r="Z50" s="274" t="str">
        <f t="shared" si="40"/>
        <v/>
      </c>
      <c r="AA50" s="273" t="str">
        <f t="shared" si="41"/>
        <v/>
      </c>
      <c r="AC50" s="272" t="b">
        <f t="shared" si="42"/>
        <v>0</v>
      </c>
      <c r="AD50" s="271" t="b">
        <f t="shared" si="43"/>
        <v>0</v>
      </c>
    </row>
    <row r="51" spans="4:30" x14ac:dyDescent="0.3">
      <c r="D51" s="270">
        <f t="shared" si="44"/>
        <v>46</v>
      </c>
      <c r="E51" s="279" t="str">
        <f t="shared" si="45"/>
        <v/>
      </c>
      <c r="F51" s="278" t="str">
        <f t="shared" si="24"/>
        <v/>
      </c>
      <c r="G51" s="278" t="str">
        <f t="shared" si="25"/>
        <v/>
      </c>
      <c r="H51" s="275" t="str">
        <f t="shared" si="26"/>
        <v/>
      </c>
      <c r="I51" s="277" t="str">
        <f t="shared" si="27"/>
        <v/>
      </c>
      <c r="J51" s="276" t="str">
        <f t="shared" si="28"/>
        <v/>
      </c>
      <c r="K51" s="275" t="str">
        <f t="shared" si="29"/>
        <v/>
      </c>
      <c r="L51" s="274" t="str">
        <f t="shared" si="30"/>
        <v/>
      </c>
      <c r="M51" s="273" t="str">
        <f t="shared" si="31"/>
        <v/>
      </c>
      <c r="O51" s="269">
        <f t="shared" si="46"/>
        <v>46</v>
      </c>
      <c r="P51" s="279" t="str">
        <f t="shared" si="32"/>
        <v/>
      </c>
      <c r="Q51" s="278" t="str">
        <f t="shared" si="47"/>
        <v/>
      </c>
      <c r="R51" s="278" t="str">
        <f t="shared" si="33"/>
        <v/>
      </c>
      <c r="S51" s="278" t="str">
        <f t="shared" si="34"/>
        <v/>
      </c>
      <c r="T51" s="275" t="str">
        <f t="shared" si="35"/>
        <v/>
      </c>
      <c r="U51" s="277" t="str">
        <f t="shared" si="36"/>
        <v/>
      </c>
      <c r="V51" s="276" t="str" cm="1">
        <f t="array" ref="V51">IF(AD51,cubicInterpolation(CurveResults.Times,CurveResults.USDSOFR,T51)-IF(ApplyBump,0.0001,0),"")</f>
        <v/>
      </c>
      <c r="W51" s="275" t="str">
        <f t="shared" si="37"/>
        <v/>
      </c>
      <c r="X51" s="276" t="str">
        <f t="shared" si="38"/>
        <v/>
      </c>
      <c r="Y51" s="275" t="str">
        <f t="shared" si="39"/>
        <v/>
      </c>
      <c r="Z51" s="274" t="str">
        <f t="shared" si="40"/>
        <v/>
      </c>
      <c r="AA51" s="273" t="str">
        <f t="shared" si="41"/>
        <v/>
      </c>
      <c r="AC51" s="272" t="b">
        <f t="shared" si="42"/>
        <v>0</v>
      </c>
      <c r="AD51" s="271" t="b">
        <f t="shared" si="43"/>
        <v>0</v>
      </c>
    </row>
    <row r="52" spans="4:30" x14ac:dyDescent="0.3">
      <c r="D52" s="270">
        <f t="shared" si="44"/>
        <v>47</v>
      </c>
      <c r="E52" s="279" t="str">
        <f t="shared" si="45"/>
        <v/>
      </c>
      <c r="F52" s="278" t="str">
        <f t="shared" si="24"/>
        <v/>
      </c>
      <c r="G52" s="278" t="str">
        <f t="shared" si="25"/>
        <v/>
      </c>
      <c r="H52" s="275" t="str">
        <f t="shared" si="26"/>
        <v/>
      </c>
      <c r="I52" s="277" t="str">
        <f t="shared" si="27"/>
        <v/>
      </c>
      <c r="J52" s="276" t="str">
        <f t="shared" si="28"/>
        <v/>
      </c>
      <c r="K52" s="275" t="str">
        <f t="shared" si="29"/>
        <v/>
      </c>
      <c r="L52" s="274" t="str">
        <f t="shared" si="30"/>
        <v/>
      </c>
      <c r="M52" s="273" t="str">
        <f t="shared" si="31"/>
        <v/>
      </c>
      <c r="O52" s="269">
        <f t="shared" si="46"/>
        <v>47</v>
      </c>
      <c r="P52" s="279" t="str">
        <f t="shared" si="32"/>
        <v/>
      </c>
      <c r="Q52" s="278" t="str">
        <f t="shared" si="47"/>
        <v/>
      </c>
      <c r="R52" s="278" t="str">
        <f t="shared" si="33"/>
        <v/>
      </c>
      <c r="S52" s="278" t="str">
        <f t="shared" si="34"/>
        <v/>
      </c>
      <c r="T52" s="275" t="str">
        <f t="shared" si="35"/>
        <v/>
      </c>
      <c r="U52" s="277" t="str">
        <f t="shared" si="36"/>
        <v/>
      </c>
      <c r="V52" s="276" t="str" cm="1">
        <f t="array" ref="V52">IF(AD52,cubicInterpolation(CurveResults.Times,CurveResults.USDSOFR,T52)-IF(ApplyBump,0.0001,0),"")</f>
        <v/>
      </c>
      <c r="W52" s="275" t="str">
        <f t="shared" si="37"/>
        <v/>
      </c>
      <c r="X52" s="276" t="str">
        <f t="shared" si="38"/>
        <v/>
      </c>
      <c r="Y52" s="275" t="str">
        <f t="shared" si="39"/>
        <v/>
      </c>
      <c r="Z52" s="274" t="str">
        <f t="shared" si="40"/>
        <v/>
      </c>
      <c r="AA52" s="273" t="str">
        <f t="shared" si="41"/>
        <v/>
      </c>
      <c r="AC52" s="272" t="b">
        <f t="shared" si="42"/>
        <v>0</v>
      </c>
      <c r="AD52" s="271" t="b">
        <f t="shared" si="43"/>
        <v>0</v>
      </c>
    </row>
    <row r="53" spans="4:30" x14ac:dyDescent="0.3">
      <c r="D53" s="270">
        <f t="shared" si="44"/>
        <v>48</v>
      </c>
      <c r="E53" s="279" t="str">
        <f t="shared" si="45"/>
        <v/>
      </c>
      <c r="F53" s="278" t="str">
        <f t="shared" si="24"/>
        <v/>
      </c>
      <c r="G53" s="278" t="str">
        <f t="shared" si="25"/>
        <v/>
      </c>
      <c r="H53" s="275" t="str">
        <f t="shared" si="26"/>
        <v/>
      </c>
      <c r="I53" s="277" t="str">
        <f t="shared" si="27"/>
        <v/>
      </c>
      <c r="J53" s="276" t="str">
        <f t="shared" si="28"/>
        <v/>
      </c>
      <c r="K53" s="275" t="str">
        <f t="shared" si="29"/>
        <v/>
      </c>
      <c r="L53" s="274" t="str">
        <f t="shared" si="30"/>
        <v/>
      </c>
      <c r="M53" s="273" t="str">
        <f t="shared" si="31"/>
        <v/>
      </c>
      <c r="O53" s="269">
        <f t="shared" si="46"/>
        <v>48</v>
      </c>
      <c r="P53" s="279" t="str">
        <f t="shared" si="32"/>
        <v/>
      </c>
      <c r="Q53" s="278" t="str">
        <f t="shared" si="47"/>
        <v/>
      </c>
      <c r="R53" s="278" t="str">
        <f t="shared" si="33"/>
        <v/>
      </c>
      <c r="S53" s="278" t="str">
        <f t="shared" si="34"/>
        <v/>
      </c>
      <c r="T53" s="275" t="str">
        <f t="shared" si="35"/>
        <v/>
      </c>
      <c r="U53" s="277" t="str">
        <f t="shared" si="36"/>
        <v/>
      </c>
      <c r="V53" s="276" t="str" cm="1">
        <f t="array" ref="V53">IF(AD53,cubicInterpolation(CurveResults.Times,CurveResults.USDSOFR,T53)-IF(ApplyBump,0.0001,0),"")</f>
        <v/>
      </c>
      <c r="W53" s="275" t="str">
        <f t="shared" si="37"/>
        <v/>
      </c>
      <c r="X53" s="276" t="str">
        <f t="shared" si="38"/>
        <v/>
      </c>
      <c r="Y53" s="275" t="str">
        <f t="shared" si="39"/>
        <v/>
      </c>
      <c r="Z53" s="274" t="str">
        <f t="shared" si="40"/>
        <v/>
      </c>
      <c r="AA53" s="273" t="str">
        <f t="shared" si="41"/>
        <v/>
      </c>
      <c r="AC53" s="272" t="b">
        <f t="shared" si="42"/>
        <v>0</v>
      </c>
      <c r="AD53" s="271" t="b">
        <f t="shared" si="43"/>
        <v>0</v>
      </c>
    </row>
    <row r="54" spans="4:30" x14ac:dyDescent="0.3">
      <c r="D54" s="270">
        <f t="shared" si="44"/>
        <v>49</v>
      </c>
      <c r="E54" s="279" t="str">
        <f t="shared" si="45"/>
        <v/>
      </c>
      <c r="F54" s="278" t="str">
        <f t="shared" si="24"/>
        <v/>
      </c>
      <c r="G54" s="278" t="str">
        <f t="shared" si="25"/>
        <v/>
      </c>
      <c r="H54" s="275" t="str">
        <f t="shared" si="26"/>
        <v/>
      </c>
      <c r="I54" s="277" t="str">
        <f t="shared" si="27"/>
        <v/>
      </c>
      <c r="J54" s="276" t="str">
        <f t="shared" si="28"/>
        <v/>
      </c>
      <c r="K54" s="275" t="str">
        <f t="shared" si="29"/>
        <v/>
      </c>
      <c r="L54" s="274" t="str">
        <f t="shared" si="30"/>
        <v/>
      </c>
      <c r="M54" s="273" t="str">
        <f t="shared" si="31"/>
        <v/>
      </c>
      <c r="O54" s="269">
        <f t="shared" si="46"/>
        <v>49</v>
      </c>
      <c r="P54" s="279" t="str">
        <f t="shared" si="32"/>
        <v/>
      </c>
      <c r="Q54" s="278" t="str">
        <f t="shared" si="47"/>
        <v/>
      </c>
      <c r="R54" s="278" t="str">
        <f t="shared" si="33"/>
        <v/>
      </c>
      <c r="S54" s="278" t="str">
        <f t="shared" si="34"/>
        <v/>
      </c>
      <c r="T54" s="275" t="str">
        <f t="shared" si="35"/>
        <v/>
      </c>
      <c r="U54" s="277" t="str">
        <f t="shared" si="36"/>
        <v/>
      </c>
      <c r="V54" s="276" t="str" cm="1">
        <f t="array" ref="V54">IF(AD54,cubicInterpolation(CurveResults.Times,CurveResults.USDSOFR,T54)-IF(ApplyBump,0.0001,0),"")</f>
        <v/>
      </c>
      <c r="W54" s="275" t="str">
        <f t="shared" si="37"/>
        <v/>
      </c>
      <c r="X54" s="276" t="str">
        <f t="shared" si="38"/>
        <v/>
      </c>
      <c r="Y54" s="275" t="str">
        <f t="shared" si="39"/>
        <v/>
      </c>
      <c r="Z54" s="274" t="str">
        <f t="shared" si="40"/>
        <v/>
      </c>
      <c r="AA54" s="273" t="str">
        <f t="shared" si="41"/>
        <v/>
      </c>
      <c r="AC54" s="272" t="b">
        <f t="shared" si="42"/>
        <v>0</v>
      </c>
      <c r="AD54" s="271" t="b">
        <f t="shared" si="43"/>
        <v>0</v>
      </c>
    </row>
    <row r="55" spans="4:30" x14ac:dyDescent="0.3">
      <c r="D55" s="270">
        <f t="shared" si="44"/>
        <v>50</v>
      </c>
      <c r="E55" s="268" t="str">
        <f t="shared" si="45"/>
        <v/>
      </c>
      <c r="F55" s="267" t="str">
        <f t="shared" si="24"/>
        <v/>
      </c>
      <c r="G55" s="267" t="str">
        <f t="shared" si="25"/>
        <v/>
      </c>
      <c r="H55" s="264" t="str">
        <f t="shared" si="26"/>
        <v/>
      </c>
      <c r="I55" s="266" t="str">
        <f t="shared" si="27"/>
        <v/>
      </c>
      <c r="J55" s="265" t="str">
        <f t="shared" si="28"/>
        <v/>
      </c>
      <c r="K55" s="264" t="str">
        <f t="shared" si="29"/>
        <v/>
      </c>
      <c r="L55" s="263" t="str">
        <f t="shared" si="30"/>
        <v/>
      </c>
      <c r="M55" s="262" t="str">
        <f t="shared" si="31"/>
        <v/>
      </c>
      <c r="O55" s="269">
        <f t="shared" si="46"/>
        <v>50</v>
      </c>
      <c r="P55" s="268" t="str">
        <f t="shared" si="32"/>
        <v/>
      </c>
      <c r="Q55" s="267" t="str">
        <f t="shared" si="47"/>
        <v/>
      </c>
      <c r="R55" s="267" t="str">
        <f t="shared" si="33"/>
        <v/>
      </c>
      <c r="S55" s="267" t="str">
        <f t="shared" si="34"/>
        <v/>
      </c>
      <c r="T55" s="264" t="str">
        <f t="shared" si="35"/>
        <v/>
      </c>
      <c r="U55" s="266" t="str">
        <f t="shared" si="36"/>
        <v/>
      </c>
      <c r="V55" s="265" t="str" cm="1">
        <f t="array" ref="V55">IF(AD55,cubicInterpolation(CurveResults.Times,CurveResults.USDSOFR,T55)-IF(ApplyBump,0.0001,0),"")</f>
        <v/>
      </c>
      <c r="W55" s="264" t="str">
        <f t="shared" si="37"/>
        <v/>
      </c>
      <c r="X55" s="265" t="str">
        <f t="shared" si="38"/>
        <v/>
      </c>
      <c r="Y55" s="264" t="str">
        <f t="shared" si="39"/>
        <v/>
      </c>
      <c r="Z55" s="263" t="str">
        <f t="shared" si="40"/>
        <v/>
      </c>
      <c r="AA55" s="262" t="str">
        <f t="shared" si="41"/>
        <v/>
      </c>
      <c r="AC55" s="261" t="b">
        <f t="shared" si="42"/>
        <v>0</v>
      </c>
      <c r="AD55" s="260" t="b">
        <f t="shared" si="43"/>
        <v>0</v>
      </c>
    </row>
  </sheetData>
  <dataValidations count="5">
    <dataValidation type="list" allowBlank="1" showInputMessage="1" showErrorMessage="1" sqref="AH25" xr:uid="{00000000-0002-0000-0200-000004000000}">
      <formula1>"TRUE,FALSE"</formula1>
    </dataValidation>
    <dataValidation type="list" allowBlank="1" showInputMessage="1" showErrorMessage="1" sqref="C9:C10" xr:uid="{00000000-0002-0000-0200-000003000000}">
      <formula1>"ANNUAL,SEMI-ANNUAL,QUARTERLY,MONTHLY"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5" xr:uid="{00000000-0002-0000-0200-000001000000}">
      <formula1>"PAYER,RECEIVER"</formula1>
    </dataValidation>
    <dataValidation type="whole" allowBlank="1" showInputMessage="1" sqref="C12" xr:uid="{00000000-0002-0000-0200-000000000000}">
      <formula1>1</formula1>
      <formula2>50</formula2>
    </dataValidation>
  </dataValidations>
  <pageMargins left="0.7" right="0.7" top="0.75" bottom="0.75" header="0.3" footer="0.3"/>
  <pageSetup paperSize="9" orientation="portrait" r:id="rId1"/>
  <headerFooter>
    <oddFooter>&amp;R_x000D_&amp;1#&amp;"Aptos"&amp;10&amp;K008000 [ CLASSIFICAÇÃO: PÚBLICA ]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4" t="s">
        <v>0</v>
      </c>
      <c r="L3" s="395"/>
      <c r="M3" s="47" t="s">
        <v>335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6" t="s">
        <v>17</v>
      </c>
      <c r="L4" s="397"/>
      <c r="M4" s="48" t="s">
        <v>19</v>
      </c>
      <c r="O4" s="73" t="s">
        <v>11</v>
      </c>
      <c r="P4" s="74">
        <v>30</v>
      </c>
      <c r="Q4" s="18">
        <f t="shared" ref="Q4:Q9" si="0">P4/10000</f>
        <v>3.0000000000000001E-3</v>
      </c>
      <c r="S4" s="11">
        <v>1</v>
      </c>
      <c r="T4" s="86">
        <f t="shared" ref="T4:T9" si="1">N27</f>
        <v>5.0000000000000001E-3</v>
      </c>
      <c r="W4" s="18"/>
      <c r="X4" s="17">
        <v>0</v>
      </c>
      <c r="Y4" s="18" cm="1">
        <f t="array" ref="Y4">flatInterpolation(X4,$S$4:$S$9,$T$4:$T$9)</f>
        <v>5.0000000000000001E-3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6" t="s">
        <v>3</v>
      </c>
      <c r="L5" s="397"/>
      <c r="M5" s="49" t="s">
        <v>4</v>
      </c>
      <c r="O5" s="75" t="s">
        <v>12</v>
      </c>
      <c r="P5" s="76">
        <v>30</v>
      </c>
      <c r="Q5" s="18">
        <f t="shared" si="0"/>
        <v>3.0000000000000001E-3</v>
      </c>
      <c r="S5" s="12">
        <v>2</v>
      </c>
      <c r="T5" s="87">
        <f t="shared" si="1"/>
        <v>5.0000000000000001E-3</v>
      </c>
      <c r="W5" s="18"/>
      <c r="X5" s="20">
        <f>YearFraction</f>
        <v>0.25</v>
      </c>
      <c r="Y5" s="21" cm="1">
        <f t="array" ref="Y5">flatInterpolation(X5,$S$4:$S$9,$T$4:$T$9)</f>
        <v>5.0000000000000001E-3</v>
      </c>
      <c r="Z5" s="22">
        <f t="shared" ref="Z5:Z44" si="2">EXP(-Y5*YearFraction)*Z4</f>
        <v>0.99875078092458092</v>
      </c>
      <c r="AA5" s="22">
        <f t="shared" ref="AA5:AA44" si="3">Z4-Z5</f>
        <v>1.2492190754190835E-3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5.0001000000000004E-3</v>
      </c>
      <c r="AI5" s="30" cm="1">
        <f t="array" ref="AI5">flatInterpolation($AG5,$S$4:$S$9,AH$5:AH$10)</f>
        <v>5.0001000000000004E-3</v>
      </c>
      <c r="AJ5" s="22">
        <f t="shared" ref="AJ5:AJ44" si="4">EXP(-AI5*YearFraction)*AJ4</f>
        <v>0.99875075595581164</v>
      </c>
      <c r="AK5" s="121">
        <f t="shared" ref="AK5:AK44" si="5">AJ4-AJ5</f>
        <v>1.2492440441883579E-3</v>
      </c>
      <c r="AL5" s="126">
        <f>HazardRate1Y</f>
        <v>5.0000000000000001E-3</v>
      </c>
      <c r="AM5" s="30" cm="1">
        <f t="array" ref="AM5">flatInterpolation($AG5,$S$4:$S$9,AL$5:AL$10)</f>
        <v>5.0000000000000001E-3</v>
      </c>
      <c r="AN5" s="22">
        <f t="shared" ref="AN5:AN44" si="6">EXP(-AM5*YearFraction)*AN4</f>
        <v>0.99875078092458092</v>
      </c>
      <c r="AO5" s="121">
        <f t="shared" ref="AO5:AO44" si="7">AN4-AN5</f>
        <v>1.2492190754190835E-3</v>
      </c>
      <c r="AP5" s="126">
        <f>HazardRate1Y</f>
        <v>5.0000000000000001E-3</v>
      </c>
      <c r="AQ5" s="30" cm="1">
        <f t="array" ref="AQ5">flatInterpolation($AG5,$S$4:$S$9,AP$5:AP$10)</f>
        <v>5.0000000000000001E-3</v>
      </c>
      <c r="AR5" s="22">
        <f t="shared" ref="AR5:AR44" si="8">EXP(-AQ5*YearFraction)*AR4</f>
        <v>0.99875078092458092</v>
      </c>
      <c r="AS5" s="121">
        <f t="shared" ref="AS5:AS44" si="9">AR4-AR5</f>
        <v>1.2492190754190835E-3</v>
      </c>
      <c r="AT5" s="126">
        <f>HazardRate1Y</f>
        <v>5.0000000000000001E-3</v>
      </c>
      <c r="AU5" s="30" cm="1">
        <f t="array" ref="AU5">flatInterpolation($AG5,$S$4:$S$9,AT$5:AT$10)</f>
        <v>5.0000000000000001E-3</v>
      </c>
      <c r="AV5" s="22">
        <f t="shared" ref="AV5:AV44" si="10">EXP(-AU5*YearFraction)*AV4</f>
        <v>0.99875078092458092</v>
      </c>
      <c r="AW5" s="121">
        <f t="shared" ref="AW5:AW44" si="11">AV4-AV5</f>
        <v>1.2492190754190835E-3</v>
      </c>
      <c r="AX5" s="126">
        <f>HazardRate1Y</f>
        <v>5.0000000000000001E-3</v>
      </c>
      <c r="AY5" s="30" cm="1">
        <f t="array" ref="AY5">flatInterpolation($AG5,$S$4:$S$9,AX$5:AX$10)</f>
        <v>5.0000000000000001E-3</v>
      </c>
      <c r="AZ5" s="22">
        <f t="shared" ref="AZ5:AZ44" si="12">EXP(-AY5*YearFraction)*AZ4</f>
        <v>0.99875078092458092</v>
      </c>
      <c r="BA5" s="121">
        <f t="shared" ref="BA5:BA44" si="13">AZ4-AZ5</f>
        <v>1.2492190754190835E-3</v>
      </c>
      <c r="BB5" s="126">
        <f>HazardRate1Y</f>
        <v>5.0000000000000001E-3</v>
      </c>
      <c r="BC5" s="30" cm="1">
        <f t="array" ref="BC5">flatInterpolation($AG5,$S$4:$S$9,BB$5:BB$10)</f>
        <v>5.0000000000000001E-3</v>
      </c>
      <c r="BD5" s="22">
        <f t="shared" ref="BD5:BD44" si="14">EXP(-BC5*YearFraction)*BD4</f>
        <v>0.99875078092458092</v>
      </c>
      <c r="BE5" s="121">
        <f t="shared" ref="BE5:BE44" si="15">BD4-BD5</f>
        <v>1.2492190754190835E-3</v>
      </c>
    </row>
    <row r="6" spans="3:58" x14ac:dyDescent="0.3">
      <c r="C6" s="1" t="s">
        <v>137</v>
      </c>
      <c r="D6" t="s">
        <v>141</v>
      </c>
      <c r="K6" s="396" t="s">
        <v>1</v>
      </c>
      <c r="L6" s="397"/>
      <c r="M6" s="51">
        <v>0.4</v>
      </c>
      <c r="O6" s="75" t="s">
        <v>13</v>
      </c>
      <c r="P6" s="76">
        <v>30</v>
      </c>
      <c r="Q6" s="18">
        <f t="shared" si="0"/>
        <v>3.0000000000000001E-3</v>
      </c>
      <c r="S6" s="12">
        <v>3</v>
      </c>
      <c r="T6" s="87">
        <f t="shared" si="1"/>
        <v>5.0000000000000001E-3</v>
      </c>
      <c r="W6" s="18"/>
      <c r="X6" s="24">
        <f t="shared" ref="X6:X44" si="16">X5+YearFraction</f>
        <v>0.5</v>
      </c>
      <c r="Y6" s="25" cm="1">
        <f t="array" ref="Y6">flatInterpolation(X6,$S$4:$S$9,$T$4:$T$9)</f>
        <v>5.0000000000000001E-3</v>
      </c>
      <c r="Z6" s="26">
        <f t="shared" si="2"/>
        <v>0.9975031223974602</v>
      </c>
      <c r="AA6" s="26">
        <f t="shared" si="3"/>
        <v>1.2476585271207208E-3</v>
      </c>
      <c r="AB6" s="27" cm="1">
        <f t="array" ref="AB6">cubicInterpolation(CurveResults.Times,CurveResults.DFs,$X6)</f>
        <v>0.97728436827331244</v>
      </c>
      <c r="AG6" s="24">
        <f t="shared" ref="AG6:AG44" si="17">AG5+YearFraction</f>
        <v>0.5</v>
      </c>
      <c r="AH6" s="130">
        <f>HazardRate2Y</f>
        <v>5.0000000000000001E-3</v>
      </c>
      <c r="AI6" s="18" cm="1">
        <f t="array" ref="AI6">flatInterpolation($AG6,$S$4:$S$9,AH$5:AH$10)</f>
        <v>5.0001000000000004E-3</v>
      </c>
      <c r="AJ6" s="26">
        <f t="shared" si="4"/>
        <v>0.99750307252230519</v>
      </c>
      <c r="AK6" s="122">
        <f t="shared" si="5"/>
        <v>1.2476834335064524E-3</v>
      </c>
      <c r="AL6" s="128">
        <f>HazardRate2Y+ShiftSize</f>
        <v>5.0001000000000004E-3</v>
      </c>
      <c r="AM6" s="18" cm="1">
        <f t="array" ref="AM6">flatInterpolation($AG6,$S$4:$S$9,AL$5:AL$10)</f>
        <v>5.0000000000000001E-3</v>
      </c>
      <c r="AN6" s="26">
        <f t="shared" si="6"/>
        <v>0.9975031223974602</v>
      </c>
      <c r="AO6" s="122">
        <f t="shared" si="7"/>
        <v>1.2476585271207208E-3</v>
      </c>
      <c r="AP6" s="127">
        <f>HazardRate2Y</f>
        <v>5.0000000000000001E-3</v>
      </c>
      <c r="AQ6" s="18" cm="1">
        <f t="array" ref="AQ6">flatInterpolation($AG6,$S$4:$S$9,AP$5:AP$10)</f>
        <v>5.0000000000000001E-3</v>
      </c>
      <c r="AR6" s="26">
        <f t="shared" si="8"/>
        <v>0.9975031223974602</v>
      </c>
      <c r="AS6" s="122">
        <f t="shared" si="9"/>
        <v>1.2476585271207208E-3</v>
      </c>
      <c r="AT6" s="127">
        <f>HazardRate2Y</f>
        <v>5.0000000000000001E-3</v>
      </c>
      <c r="AU6" s="18" cm="1">
        <f t="array" ref="AU6">flatInterpolation($AG6,$S$4:$S$9,AT$5:AT$10)</f>
        <v>5.0000000000000001E-3</v>
      </c>
      <c r="AV6" s="26">
        <f t="shared" si="10"/>
        <v>0.9975031223974602</v>
      </c>
      <c r="AW6" s="122">
        <f t="shared" si="11"/>
        <v>1.2476585271207208E-3</v>
      </c>
      <c r="AX6" s="127">
        <f>HazardRate2Y</f>
        <v>5.0000000000000001E-3</v>
      </c>
      <c r="AY6" s="18" cm="1">
        <f t="array" ref="AY6">flatInterpolation($AG6,$S$4:$S$9,AX$5:AX$10)</f>
        <v>5.0000000000000001E-3</v>
      </c>
      <c r="AZ6" s="26">
        <f t="shared" si="12"/>
        <v>0.9975031223974602</v>
      </c>
      <c r="BA6" s="122">
        <f t="shared" si="13"/>
        <v>1.2476585271207208E-3</v>
      </c>
      <c r="BB6" s="127">
        <f>HazardRate2Y</f>
        <v>5.0000000000000001E-3</v>
      </c>
      <c r="BC6" s="18" cm="1">
        <f t="array" ref="BC6">flatInterpolation($AG6,$S$4:$S$9,BB$5:BB$10)</f>
        <v>5.0000000000000001E-3</v>
      </c>
      <c r="BD6" s="26">
        <f t="shared" si="14"/>
        <v>0.9975031223974602</v>
      </c>
      <c r="BE6" s="122">
        <f t="shared" si="15"/>
        <v>1.2476585271207208E-3</v>
      </c>
    </row>
    <row r="7" spans="3:58" x14ac:dyDescent="0.3">
      <c r="C7" s="1" t="s">
        <v>138</v>
      </c>
      <c r="D7" t="s">
        <v>142</v>
      </c>
      <c r="K7" s="396" t="s">
        <v>5</v>
      </c>
      <c r="L7" s="397"/>
      <c r="M7" s="52">
        <v>0.25</v>
      </c>
      <c r="O7" s="75" t="s">
        <v>14</v>
      </c>
      <c r="P7" s="76">
        <v>30</v>
      </c>
      <c r="Q7" s="18">
        <f t="shared" si="0"/>
        <v>3.0000000000000001E-3</v>
      </c>
      <c r="S7" s="12">
        <v>4</v>
      </c>
      <c r="T7" s="87">
        <f t="shared" si="1"/>
        <v>5.0000000000000001E-3</v>
      </c>
      <c r="W7" s="18"/>
      <c r="X7" s="24">
        <f t="shared" si="16"/>
        <v>0.75</v>
      </c>
      <c r="Y7" s="25" cm="1">
        <f t="array" ref="Y7">flatInterpolation(X7,$S$4:$S$9,$T$4:$T$9)</f>
        <v>5.0000000000000001E-3</v>
      </c>
      <c r="Z7" s="26">
        <f t="shared" si="2"/>
        <v>0.99625702246917114</v>
      </c>
      <c r="AA7" s="26">
        <f t="shared" si="3"/>
        <v>1.2460999282890572E-3</v>
      </c>
      <c r="AB7" s="27" cm="1">
        <f t="array" ref="AB7">cubicInterpolation(CurveResults.Times,CurveResults.DFs,$X7)</f>
        <v>0.96604126005158042</v>
      </c>
      <c r="AG7" s="24">
        <f t="shared" si="17"/>
        <v>0.75</v>
      </c>
      <c r="AH7" s="130">
        <f>HazardRate3Y</f>
        <v>5.0000000000000001E-3</v>
      </c>
      <c r="AI7" s="18" cm="1">
        <f t="array" ref="AI7">flatInterpolation($AG7,$S$4:$S$9,AH$5:AH$10)</f>
        <v>5.0001000000000004E-3</v>
      </c>
      <c r="AJ7" s="26">
        <f t="shared" si="4"/>
        <v>0.99625694774989715</v>
      </c>
      <c r="AK7" s="122">
        <f t="shared" si="5"/>
        <v>1.2461247724080415E-3</v>
      </c>
      <c r="AL7" s="127">
        <f>HazardRate3Y</f>
        <v>5.0000000000000001E-3</v>
      </c>
      <c r="AM7" s="18" cm="1">
        <f t="array" ref="AM7">flatInterpolation($AG7,$S$4:$S$9,AL$5:AL$10)</f>
        <v>5.0000000000000001E-3</v>
      </c>
      <c r="AN7" s="26">
        <f t="shared" si="6"/>
        <v>0.99625702246917114</v>
      </c>
      <c r="AO7" s="122">
        <f t="shared" si="7"/>
        <v>1.2460999282890572E-3</v>
      </c>
      <c r="AP7" s="128">
        <f>HazardRate3Y+ShiftSize</f>
        <v>5.0001000000000004E-3</v>
      </c>
      <c r="AQ7" s="18" cm="1">
        <f t="array" ref="AQ7">flatInterpolation($AG7,$S$4:$S$9,AP$5:AP$10)</f>
        <v>5.0000000000000001E-3</v>
      </c>
      <c r="AR7" s="26">
        <f t="shared" si="8"/>
        <v>0.99625702246917114</v>
      </c>
      <c r="AS7" s="122">
        <f t="shared" si="9"/>
        <v>1.2460999282890572E-3</v>
      </c>
      <c r="AT7" s="127">
        <f>HazardRate3Y</f>
        <v>5.0000000000000001E-3</v>
      </c>
      <c r="AU7" s="18" cm="1">
        <f t="array" ref="AU7">flatInterpolation($AG7,$S$4:$S$9,AT$5:AT$10)</f>
        <v>5.0000000000000001E-3</v>
      </c>
      <c r="AV7" s="26">
        <f t="shared" si="10"/>
        <v>0.99625702246917114</v>
      </c>
      <c r="AW7" s="122">
        <f t="shared" si="11"/>
        <v>1.2460999282890572E-3</v>
      </c>
      <c r="AX7" s="127">
        <f>HazardRate3Y</f>
        <v>5.0000000000000001E-3</v>
      </c>
      <c r="AY7" s="18" cm="1">
        <f t="array" ref="AY7">flatInterpolation($AG7,$S$4:$S$9,AX$5:AX$10)</f>
        <v>5.0000000000000001E-3</v>
      </c>
      <c r="AZ7" s="26">
        <f t="shared" si="12"/>
        <v>0.99625702246917114</v>
      </c>
      <c r="BA7" s="122">
        <f t="shared" si="13"/>
        <v>1.2460999282890572E-3</v>
      </c>
      <c r="BB7" s="127">
        <f>HazardRate3Y</f>
        <v>5.0000000000000001E-3</v>
      </c>
      <c r="BC7" s="18" cm="1">
        <f t="array" ref="BC7">flatInterpolation($AG7,$S$4:$S$9,BB$5:BB$10)</f>
        <v>5.0000000000000001E-3</v>
      </c>
      <c r="BD7" s="26">
        <f t="shared" si="14"/>
        <v>0.99625702246917114</v>
      </c>
      <c r="BE7" s="122">
        <f t="shared" si="15"/>
        <v>1.2460999282890572E-3</v>
      </c>
    </row>
    <row r="8" spans="3:58" x14ac:dyDescent="0.3">
      <c r="K8" s="396" t="s">
        <v>18</v>
      </c>
      <c r="L8" s="397"/>
      <c r="M8" s="165">
        <v>1000000</v>
      </c>
      <c r="O8" s="75" t="s">
        <v>15</v>
      </c>
      <c r="P8" s="76">
        <v>30</v>
      </c>
      <c r="Q8" s="18">
        <f t="shared" si="0"/>
        <v>3.0000000000000001E-3</v>
      </c>
      <c r="S8" s="12">
        <v>5</v>
      </c>
      <c r="T8" s="87">
        <f t="shared" si="1"/>
        <v>5.0000000000000001E-3</v>
      </c>
      <c r="W8" s="18"/>
      <c r="X8" s="24">
        <f t="shared" si="16"/>
        <v>1</v>
      </c>
      <c r="Y8" s="25" cm="1">
        <f t="array" ref="Y8">flatInterpolation(X8,$S$4:$S$9,$T$4:$T$9)</f>
        <v>5.0000000000000001E-3</v>
      </c>
      <c r="Z8" s="26">
        <f t="shared" si="2"/>
        <v>0.99501247919268243</v>
      </c>
      <c r="AA8" s="26">
        <f t="shared" si="3"/>
        <v>1.2445432764887077E-3</v>
      </c>
      <c r="AB8" s="27" cm="1">
        <f t="array" ref="AB8">cubicInterpolation(CurveResults.Times,CurveResults.DFs,$X8)</f>
        <v>0.95518051063522103</v>
      </c>
      <c r="AG8" s="24">
        <f t="shared" si="17"/>
        <v>1</v>
      </c>
      <c r="AH8" s="130">
        <f>HazardRate4Y</f>
        <v>5.0000000000000001E-3</v>
      </c>
      <c r="AI8" s="18" cm="1">
        <f t="array" ref="AI8">flatInterpolation($AG8,$S$4:$S$9,AH$5:AH$10)</f>
        <v>5.0001000000000004E-3</v>
      </c>
      <c r="AJ8" s="26">
        <f t="shared" si="4"/>
        <v>0.9950123796914393</v>
      </c>
      <c r="AK8" s="122">
        <f t="shared" si="5"/>
        <v>1.2445680584578511E-3</v>
      </c>
      <c r="AL8" s="127">
        <f>HazardRate4Y</f>
        <v>5.0000000000000001E-3</v>
      </c>
      <c r="AM8" s="18" cm="1">
        <f t="array" ref="AM8">flatInterpolation($AG8,$S$4:$S$9,AL$5:AL$10)</f>
        <v>5.0000000000000001E-3</v>
      </c>
      <c r="AN8" s="26">
        <f t="shared" si="6"/>
        <v>0.99501247919268243</v>
      </c>
      <c r="AO8" s="122">
        <f t="shared" si="7"/>
        <v>1.2445432764887077E-3</v>
      </c>
      <c r="AP8" s="127">
        <f>HazardRate4Y</f>
        <v>5.0000000000000001E-3</v>
      </c>
      <c r="AQ8" s="18" cm="1">
        <f t="array" ref="AQ8">flatInterpolation($AG8,$S$4:$S$9,AP$5:AP$10)</f>
        <v>5.0000000000000001E-3</v>
      </c>
      <c r="AR8" s="26">
        <f t="shared" si="8"/>
        <v>0.99501247919268243</v>
      </c>
      <c r="AS8" s="122">
        <f t="shared" si="9"/>
        <v>1.2445432764887077E-3</v>
      </c>
      <c r="AT8" s="128">
        <f>HazardRate4Y+ShiftSize</f>
        <v>5.0001000000000004E-3</v>
      </c>
      <c r="AU8" s="18" cm="1">
        <f t="array" ref="AU8">flatInterpolation($AG8,$S$4:$S$9,AT$5:AT$10)</f>
        <v>5.0000000000000001E-3</v>
      </c>
      <c r="AV8" s="26">
        <f t="shared" si="10"/>
        <v>0.99501247919268243</v>
      </c>
      <c r="AW8" s="122">
        <f t="shared" si="11"/>
        <v>1.2445432764887077E-3</v>
      </c>
      <c r="AX8" s="127">
        <f>HazardRate4Y</f>
        <v>5.0000000000000001E-3</v>
      </c>
      <c r="AY8" s="18" cm="1">
        <f t="array" ref="AY8">flatInterpolation($AG8,$S$4:$S$9,AX$5:AX$10)</f>
        <v>5.0000000000000001E-3</v>
      </c>
      <c r="AZ8" s="26">
        <f t="shared" si="12"/>
        <v>0.99501247919268243</v>
      </c>
      <c r="BA8" s="122">
        <f t="shared" si="13"/>
        <v>1.2445432764887077E-3</v>
      </c>
      <c r="BB8" s="127">
        <f>HazardRate4Y</f>
        <v>5.0000000000000001E-3</v>
      </c>
      <c r="BC8" s="18" cm="1">
        <f t="array" ref="BC8">flatInterpolation($AG8,$S$4:$S$9,BB$5:BB$10)</f>
        <v>5.0000000000000001E-3</v>
      </c>
      <c r="BD8" s="26">
        <f t="shared" si="14"/>
        <v>0.99501247919268243</v>
      </c>
      <c r="BE8" s="122">
        <f t="shared" si="15"/>
        <v>1.2445432764887077E-3</v>
      </c>
    </row>
    <row r="9" spans="3:58" x14ac:dyDescent="0.3">
      <c r="C9" s="1" t="s">
        <v>136</v>
      </c>
      <c r="K9" s="392" t="s">
        <v>9</v>
      </c>
      <c r="L9" s="393"/>
      <c r="M9" s="53">
        <f>Notional*(1-RecoveryRate)</f>
        <v>600000</v>
      </c>
      <c r="O9" s="77" t="s">
        <v>16</v>
      </c>
      <c r="P9" s="78">
        <v>30</v>
      </c>
      <c r="Q9" s="18">
        <f t="shared" si="0"/>
        <v>3.0000000000000001E-3</v>
      </c>
      <c r="S9" s="13">
        <v>10</v>
      </c>
      <c r="T9" s="88">
        <f t="shared" si="1"/>
        <v>5.0000000000000001E-3</v>
      </c>
      <c r="W9" s="18"/>
      <c r="X9" s="24">
        <f t="shared" si="16"/>
        <v>1.25</v>
      </c>
      <c r="Y9" s="25" cm="1">
        <f t="array" ref="Y9">flatInterpolation(X9,$S$4:$S$9,$T$4:$T$9)</f>
        <v>5.0000000000000001E-3</v>
      </c>
      <c r="Z9" s="26">
        <f t="shared" si="2"/>
        <v>0.99376949062339492</v>
      </c>
      <c r="AA9" s="26">
        <f t="shared" si="3"/>
        <v>1.2429885692875065E-3</v>
      </c>
      <c r="AB9" s="27" cm="1">
        <f t="array" ref="AB9">cubicInterpolation(CurveResults.Times,CurveResults.DFs,$X9)</f>
        <v>0.94476174559314918</v>
      </c>
      <c r="AG9" s="24">
        <f t="shared" si="17"/>
        <v>1.25</v>
      </c>
      <c r="AH9" s="130">
        <f>HazardRate5Y</f>
        <v>5.0000000000000001E-3</v>
      </c>
      <c r="AI9" s="18" cm="1">
        <f t="array" ref="AI9">flatInterpolation($AG9,$S$4:$S$9,AH$5:AH$10)</f>
        <v>5.0000000000000001E-3</v>
      </c>
      <c r="AJ9" s="26">
        <f t="shared" si="4"/>
        <v>0.99376939124645058</v>
      </c>
      <c r="AK9" s="122">
        <f t="shared" si="5"/>
        <v>1.242988444988713E-3</v>
      </c>
      <c r="AL9" s="127">
        <f>HazardRate5Y</f>
        <v>5.0000000000000001E-3</v>
      </c>
      <c r="AM9" s="18" cm="1">
        <f t="array" ref="AM9">flatInterpolation($AG9,$S$4:$S$9,AL$5:AL$10)</f>
        <v>5.0001000000000004E-3</v>
      </c>
      <c r="AN9" s="26">
        <f t="shared" si="6"/>
        <v>0.99376946577915792</v>
      </c>
      <c r="AO9" s="122">
        <f t="shared" si="7"/>
        <v>1.2430134135245074E-3</v>
      </c>
      <c r="AP9" s="127">
        <f>HazardRate5Y</f>
        <v>5.0000000000000001E-3</v>
      </c>
      <c r="AQ9" s="18" cm="1">
        <f t="array" ref="AQ9">flatInterpolation($AG9,$S$4:$S$9,AP$5:AP$10)</f>
        <v>5.0000000000000001E-3</v>
      </c>
      <c r="AR9" s="26">
        <f t="shared" si="8"/>
        <v>0.99376949062339492</v>
      </c>
      <c r="AS9" s="122">
        <f t="shared" si="9"/>
        <v>1.2429885692875065E-3</v>
      </c>
      <c r="AT9" s="127">
        <f>HazardRate5Y</f>
        <v>5.0000000000000001E-3</v>
      </c>
      <c r="AU9" s="18" cm="1">
        <f t="array" ref="AU9">flatInterpolation($AG9,$S$4:$S$9,AT$5:AT$10)</f>
        <v>5.0000000000000001E-3</v>
      </c>
      <c r="AV9" s="26">
        <f t="shared" si="10"/>
        <v>0.99376949062339492</v>
      </c>
      <c r="AW9" s="122">
        <f t="shared" si="11"/>
        <v>1.2429885692875065E-3</v>
      </c>
      <c r="AX9" s="128">
        <f>HazardRate5Y+ShiftSize</f>
        <v>5.0001000000000004E-3</v>
      </c>
      <c r="AY9" s="18" cm="1">
        <f t="array" ref="AY9">flatInterpolation($AG9,$S$4:$S$9,AX$5:AX$10)</f>
        <v>5.0000000000000001E-3</v>
      </c>
      <c r="AZ9" s="26">
        <f t="shared" si="12"/>
        <v>0.99376949062339492</v>
      </c>
      <c r="BA9" s="122">
        <f t="shared" si="13"/>
        <v>1.2429885692875065E-3</v>
      </c>
      <c r="BB9" s="127">
        <f>HazardRate5Y</f>
        <v>5.0000000000000001E-3</v>
      </c>
      <c r="BC9" s="18" cm="1">
        <f t="array" ref="BC9">flatInterpolation($AG9,$S$4:$S$9,BB$5:BB$10)</f>
        <v>5.0000000000000001E-3</v>
      </c>
      <c r="BD9" s="26">
        <f t="shared" si="14"/>
        <v>0.99376949062339492</v>
      </c>
      <c r="BE9" s="122">
        <f t="shared" si="15"/>
        <v>1.2429885692875065E-3</v>
      </c>
    </row>
    <row r="10" spans="3:58" x14ac:dyDescent="0.3">
      <c r="C10" t="s">
        <v>140</v>
      </c>
      <c r="X10" s="24">
        <f t="shared" si="16"/>
        <v>1.5</v>
      </c>
      <c r="Y10" s="25" cm="1">
        <f t="array" ref="Y10">flatInterpolation(X10,$S$4:$S$9,$T$4:$T$9)</f>
        <v>5.0000000000000001E-3</v>
      </c>
      <c r="Z10" s="26">
        <f t="shared" si="2"/>
        <v>0.99252805481913864</v>
      </c>
      <c r="AA10" s="26">
        <f t="shared" si="3"/>
        <v>1.2414358042562856E-3</v>
      </c>
      <c r="AB10" s="27" cm="1">
        <f t="array" ref="AB10">cubicInterpolation(CurveResults.Times,CurveResults.DFs,$X10)</f>
        <v>0.93466312738762736</v>
      </c>
      <c r="AG10" s="24">
        <f t="shared" si="17"/>
        <v>1.5</v>
      </c>
      <c r="AH10" s="130">
        <f>HazardRate10Y</f>
        <v>5.0000000000000001E-3</v>
      </c>
      <c r="AI10" s="18" cm="1">
        <f t="array" ref="AI10">flatInterpolation($AG10,$S$4:$S$9,AH$5:AH$10)</f>
        <v>5.0000000000000001E-3</v>
      </c>
      <c r="AJ10" s="26">
        <f t="shared" si="4"/>
        <v>0.99252795556633788</v>
      </c>
      <c r="AK10" s="122">
        <f t="shared" si="5"/>
        <v>1.2414356801127013E-3</v>
      </c>
      <c r="AL10" s="127">
        <f>HazardRate10Y</f>
        <v>5.0000000000000001E-3</v>
      </c>
      <c r="AM10" s="18" cm="1">
        <f t="array" ref="AM10">flatInterpolation($AG10,$S$4:$S$9,AL$5:AL$10)</f>
        <v>5.0001000000000004E-3</v>
      </c>
      <c r="AN10" s="26">
        <f t="shared" si="6"/>
        <v>0.9925280051927371</v>
      </c>
      <c r="AO10" s="122">
        <f t="shared" si="7"/>
        <v>1.2414605864208283E-3</v>
      </c>
      <c r="AP10" s="127">
        <f>HazardRate10Y</f>
        <v>5.0000000000000001E-3</v>
      </c>
      <c r="AQ10" s="18" cm="1">
        <f t="array" ref="AQ10">flatInterpolation($AG10,$S$4:$S$9,AP$5:AP$10)</f>
        <v>5.0000000000000001E-3</v>
      </c>
      <c r="AR10" s="26">
        <f t="shared" si="8"/>
        <v>0.99252805481913864</v>
      </c>
      <c r="AS10" s="122">
        <f t="shared" si="9"/>
        <v>1.2414358042562856E-3</v>
      </c>
      <c r="AT10" s="127">
        <f>HazardRate10Y</f>
        <v>5.0000000000000001E-3</v>
      </c>
      <c r="AU10" s="18" cm="1">
        <f t="array" ref="AU10">flatInterpolation($AG10,$S$4:$S$9,AT$5:AT$10)</f>
        <v>5.0000000000000001E-3</v>
      </c>
      <c r="AV10" s="26">
        <f t="shared" si="10"/>
        <v>0.99252805481913864</v>
      </c>
      <c r="AW10" s="122">
        <f t="shared" si="11"/>
        <v>1.2414358042562856E-3</v>
      </c>
      <c r="AX10" s="127">
        <f>HazardRate10Y</f>
        <v>5.0000000000000001E-3</v>
      </c>
      <c r="AY10" s="18" cm="1">
        <f t="array" ref="AY10">flatInterpolation($AG10,$S$4:$S$9,AX$5:AX$10)</f>
        <v>5.0000000000000001E-3</v>
      </c>
      <c r="AZ10" s="26">
        <f t="shared" si="12"/>
        <v>0.99252805481913864</v>
      </c>
      <c r="BA10" s="122">
        <f t="shared" si="13"/>
        <v>1.2414358042562856E-3</v>
      </c>
      <c r="BB10" s="128">
        <f>HazardRate10Y+ShiftSize</f>
        <v>5.0001000000000004E-3</v>
      </c>
      <c r="BC10" s="18" cm="1">
        <f t="array" ref="BC10">flatInterpolation($AG10,$S$4:$S$9,BB$5:BB$10)</f>
        <v>5.0000000000000001E-3</v>
      </c>
      <c r="BD10" s="26">
        <f t="shared" si="14"/>
        <v>0.99252805481913864</v>
      </c>
      <c r="BE10" s="122">
        <f t="shared" si="15"/>
        <v>1.2414358042562856E-3</v>
      </c>
    </row>
    <row r="11" spans="3:58" x14ac:dyDescent="0.3">
      <c r="C11" t="s">
        <v>160</v>
      </c>
      <c r="X11" s="24">
        <f t="shared" si="16"/>
        <v>1.75</v>
      </c>
      <c r="Y11" s="25" cm="1">
        <f t="array" ref="Y11">flatInterpolation(X11,$S$4:$S$9,$T$4:$T$9)</f>
        <v>5.0000000000000001E-3</v>
      </c>
      <c r="Z11" s="26">
        <f t="shared" si="2"/>
        <v>0.99128816984016999</v>
      </c>
      <c r="AA11" s="26">
        <f t="shared" si="3"/>
        <v>1.2398849789686528E-3</v>
      </c>
      <c r="AB11" s="27" cm="1">
        <f t="array" ref="AB11">cubicInterpolation(CurveResults.Times,CurveResults.DFs,$X11)</f>
        <v>0.92484187664189998</v>
      </c>
      <c r="AG11" s="24">
        <f t="shared" si="17"/>
        <v>1.75</v>
      </c>
      <c r="AI11" s="18" cm="1">
        <f t="array" ref="AI11">flatInterpolation($AG11,$S$4:$S$9,AH$5:AH$10)</f>
        <v>5.0000000000000001E-3</v>
      </c>
      <c r="AJ11" s="26">
        <f t="shared" si="4"/>
        <v>0.99128807071135772</v>
      </c>
      <c r="AK11" s="122">
        <f t="shared" si="5"/>
        <v>1.2398848549801667E-3</v>
      </c>
      <c r="AL11" s="116"/>
      <c r="AM11" s="18" cm="1">
        <f t="array" ref="AM11">flatInterpolation($AG11,$S$4:$S$9,AL$5:AL$10)</f>
        <v>5.0001000000000004E-3</v>
      </c>
      <c r="AN11" s="26">
        <f t="shared" si="6"/>
        <v>0.9912880954935599</v>
      </c>
      <c r="AO11" s="122">
        <f t="shared" si="7"/>
        <v>1.2399096991771996E-3</v>
      </c>
      <c r="AP11" s="116"/>
      <c r="AQ11" s="18" cm="1">
        <f t="array" ref="AQ11">flatInterpolation($AG11,$S$4:$S$9,AP$5:AP$10)</f>
        <v>5.0000000000000001E-3</v>
      </c>
      <c r="AR11" s="26">
        <f t="shared" si="8"/>
        <v>0.99128816984016999</v>
      </c>
      <c r="AS11" s="122">
        <f t="shared" si="9"/>
        <v>1.2398849789686528E-3</v>
      </c>
      <c r="AT11" s="116"/>
      <c r="AU11" s="18" cm="1">
        <f t="array" ref="AU11">flatInterpolation($AG11,$S$4:$S$9,AT$5:AT$10)</f>
        <v>5.0000000000000001E-3</v>
      </c>
      <c r="AV11" s="26">
        <f t="shared" si="10"/>
        <v>0.99128816984016999</v>
      </c>
      <c r="AW11" s="122">
        <f t="shared" si="11"/>
        <v>1.2398849789686528E-3</v>
      </c>
      <c r="AX11" s="116"/>
      <c r="AY11" s="18" cm="1">
        <f t="array" ref="AY11">flatInterpolation($AG11,$S$4:$S$9,AX$5:AX$10)</f>
        <v>5.0000000000000001E-3</v>
      </c>
      <c r="AZ11" s="26">
        <f t="shared" si="12"/>
        <v>0.99128816984016999</v>
      </c>
      <c r="BA11" s="122">
        <f t="shared" si="13"/>
        <v>1.2398849789686528E-3</v>
      </c>
      <c r="BB11" s="116"/>
      <c r="BC11" s="18" cm="1">
        <f t="array" ref="BC11">flatInterpolation($AG11,$S$4:$S$9,BB$5:BB$10)</f>
        <v>5.0000000000000001E-3</v>
      </c>
      <c r="BD11" s="26">
        <f t="shared" si="14"/>
        <v>0.99128816984016999</v>
      </c>
      <c r="BE11" s="122">
        <f t="shared" si="15"/>
        <v>1.2398849789686528E-3</v>
      </c>
    </row>
    <row r="12" spans="3:58" x14ac:dyDescent="0.3">
      <c r="K12" s="1" t="s">
        <v>50</v>
      </c>
      <c r="S12" s="1" t="s">
        <v>68</v>
      </c>
      <c r="X12" s="24">
        <f t="shared" si="16"/>
        <v>2</v>
      </c>
      <c r="Y12" s="25" cm="1">
        <f t="array" ref="Y12">flatInterpolation(X12,$S$4:$S$9,$T$4:$T$9)</f>
        <v>5.0000000000000001E-3</v>
      </c>
      <c r="Z12" s="26">
        <f t="shared" si="2"/>
        <v>0.99004983374916833</v>
      </c>
      <c r="AA12" s="26">
        <f t="shared" si="3"/>
        <v>1.2383360910016572E-3</v>
      </c>
      <c r="AB12" s="27" cm="1">
        <f t="array" ref="AB12">cubicInterpolation(CurveResults.Times,CurveResults.DFs,$X12)</f>
        <v>0.91525521397921195</v>
      </c>
      <c r="AG12" s="24">
        <f t="shared" si="17"/>
        <v>2</v>
      </c>
      <c r="AI12" s="18" cm="1">
        <f t="array" ref="AI12">flatInterpolation($AG12,$S$4:$S$9,AH$5:AH$10)</f>
        <v>5.0000000000000001E-3</v>
      </c>
      <c r="AJ12" s="26">
        <f t="shared" si="4"/>
        <v>0.99004973474418967</v>
      </c>
      <c r="AK12" s="122">
        <f t="shared" si="5"/>
        <v>1.2383359671680472E-3</v>
      </c>
      <c r="AL12" s="116"/>
      <c r="AM12" s="18" cm="1">
        <f t="array" ref="AM12">flatInterpolation($AG12,$S$4:$S$9,AL$5:AL$10)</f>
        <v>5.0001000000000004E-3</v>
      </c>
      <c r="AN12" s="26">
        <f t="shared" si="6"/>
        <v>0.99004973474418978</v>
      </c>
      <c r="AO12" s="122">
        <f t="shared" si="7"/>
        <v>1.2383607493701154E-3</v>
      </c>
      <c r="AP12" s="116"/>
      <c r="AQ12" s="18" cm="1">
        <f t="array" ref="AQ12">flatInterpolation($AG12,$S$4:$S$9,AP$5:AP$10)</f>
        <v>5.0000000000000001E-3</v>
      </c>
      <c r="AR12" s="26">
        <f t="shared" si="8"/>
        <v>0.99004983374916833</v>
      </c>
      <c r="AS12" s="122">
        <f t="shared" si="9"/>
        <v>1.2383360910016572E-3</v>
      </c>
      <c r="AT12" s="116"/>
      <c r="AU12" s="18" cm="1">
        <f t="array" ref="AU12">flatInterpolation($AG12,$S$4:$S$9,AT$5:AT$10)</f>
        <v>5.0000000000000001E-3</v>
      </c>
      <c r="AV12" s="26">
        <f t="shared" si="10"/>
        <v>0.99004983374916833</v>
      </c>
      <c r="AW12" s="122">
        <f t="shared" si="11"/>
        <v>1.2383360910016572E-3</v>
      </c>
      <c r="AX12" s="116"/>
      <c r="AY12" s="18" cm="1">
        <f t="array" ref="AY12">flatInterpolation($AG12,$S$4:$S$9,AX$5:AX$10)</f>
        <v>5.0000000000000001E-3</v>
      </c>
      <c r="AZ12" s="26">
        <f t="shared" si="12"/>
        <v>0.99004983374916833</v>
      </c>
      <c r="BA12" s="122">
        <f t="shared" si="13"/>
        <v>1.2383360910016572E-3</v>
      </c>
      <c r="BB12" s="116"/>
      <c r="BC12" s="18" cm="1">
        <f t="array" ref="BC12">flatInterpolation($AG12,$S$4:$S$9,BB$5:BB$10)</f>
        <v>5.0000000000000001E-3</v>
      </c>
      <c r="BD12" s="26">
        <f t="shared" si="14"/>
        <v>0.99004983374916833</v>
      </c>
      <c r="BE12" s="122">
        <f t="shared" si="15"/>
        <v>1.2383360910016572E-3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si="16"/>
        <v>2.25</v>
      </c>
      <c r="Y13" s="25" cm="1">
        <f t="array" ref="Y13">flatInterpolation(X13,$S$4:$S$9,$T$4:$T$9)</f>
        <v>5.0000000000000001E-3</v>
      </c>
      <c r="Z13" s="26">
        <f t="shared" si="2"/>
        <v>0.98881304461123343</v>
      </c>
      <c r="AA13" s="26">
        <f t="shared" si="3"/>
        <v>1.2367891379349016E-3</v>
      </c>
      <c r="AB13" s="27" cm="1">
        <f t="array" ref="AB13">cubicInterpolation(CurveResults.Times,CurveResults.DFs,$X13)</f>
        <v>0.90592386234408706</v>
      </c>
      <c r="AG13" s="24">
        <f t="shared" si="17"/>
        <v>2.25</v>
      </c>
      <c r="AI13" s="18" cm="1">
        <f t="array" ref="AI13">flatInterpolation($AG13,$S$4:$S$9,AH$5:AH$10)</f>
        <v>5.0000000000000001E-3</v>
      </c>
      <c r="AJ13" s="26">
        <f t="shared" si="4"/>
        <v>0.98881294572993361</v>
      </c>
      <c r="AK13" s="122">
        <f t="shared" si="5"/>
        <v>1.2367890142560567E-3</v>
      </c>
      <c r="AL13" s="116"/>
      <c r="AM13" s="18" cm="1">
        <f t="array" ref="AM13">flatInterpolation($AG13,$S$4:$S$9,AL$5:AL$10)</f>
        <v>5.0000000000000001E-3</v>
      </c>
      <c r="AN13" s="26">
        <f t="shared" si="6"/>
        <v>0.98881294572993372</v>
      </c>
      <c r="AO13" s="122">
        <f t="shared" si="7"/>
        <v>1.2367890142560567E-3</v>
      </c>
      <c r="AP13" s="116"/>
      <c r="AQ13" s="18" cm="1">
        <f t="array" ref="AQ13">flatInterpolation($AG13,$S$4:$S$9,AP$5:AP$10)</f>
        <v>5.0001000000000004E-3</v>
      </c>
      <c r="AR13" s="26">
        <f t="shared" si="8"/>
        <v>0.98881301989090753</v>
      </c>
      <c r="AS13" s="122">
        <f t="shared" si="9"/>
        <v>1.236813858260799E-3</v>
      </c>
      <c r="AT13" s="116"/>
      <c r="AU13" s="18" cm="1">
        <f t="array" ref="AU13">flatInterpolation($AG13,$S$4:$S$9,AT$5:AT$10)</f>
        <v>5.0000000000000001E-3</v>
      </c>
      <c r="AV13" s="26">
        <f t="shared" si="10"/>
        <v>0.98881304461123343</v>
      </c>
      <c r="AW13" s="122">
        <f t="shared" si="11"/>
        <v>1.2367891379349016E-3</v>
      </c>
      <c r="AX13" s="116"/>
      <c r="AY13" s="18" cm="1">
        <f t="array" ref="AY13">flatInterpolation($AG13,$S$4:$S$9,AX$5:AX$10)</f>
        <v>5.0000000000000001E-3</v>
      </c>
      <c r="AZ13" s="26">
        <f t="shared" si="12"/>
        <v>0.98881304461123343</v>
      </c>
      <c r="BA13" s="122">
        <f t="shared" si="13"/>
        <v>1.2367891379349016E-3</v>
      </c>
      <c r="BB13" s="116"/>
      <c r="BC13" s="18" cm="1">
        <f t="array" ref="BC13">flatInterpolation($AG13,$S$4:$S$9,BB$5:BB$10)</f>
        <v>5.0000000000000001E-3</v>
      </c>
      <c r="BD13" s="26">
        <f t="shared" si="14"/>
        <v>0.98881304461123343</v>
      </c>
      <c r="BE13" s="122">
        <f t="shared" si="15"/>
        <v>1.2367891379349016E-3</v>
      </c>
    </row>
    <row r="14" spans="3:58" x14ac:dyDescent="0.3">
      <c r="C14" t="s">
        <v>148</v>
      </c>
      <c r="K14" s="29" t="s">
        <v>11</v>
      </c>
      <c r="L14" s="30">
        <f t="shared" ref="L14:L19" si="18">Q4</f>
        <v>3.0000000000000001E-3</v>
      </c>
      <c r="M14" s="31">
        <f t="shared" ref="M14:M19" si="19">-Notional*L14*YearFraction</f>
        <v>-750</v>
      </c>
      <c r="N14" s="32">
        <f>M14*SUMPRODUCT(PSurvival1Y,DiscFactors1Y)</f>
        <v>-2906.348600763683</v>
      </c>
      <c r="O14" s="32">
        <f>M14*0.5*SUMPRODUCT(PDefault1Y,DiscFactors1Y)</f>
        <v>-1.8176036410858027</v>
      </c>
      <c r="P14" s="32">
        <f>LGD*SUMPRODUCT(PDefault1Y,DiscFactors1Y)</f>
        <v>2908.1658257372842</v>
      </c>
      <c r="Q14" s="33">
        <f t="shared" ref="Q14:Q19" si="20">SUM(N14:P14)</f>
        <v>-3.7866748471060419E-4</v>
      </c>
      <c r="S14" s="79">
        <f>Notional*YearFraction*(SUMPRODUCT(PSurvival1Y,DiscFactors1Y)+0.5*SUMPRODUCT(PDefault1Y,DiscFactors1Y))</f>
        <v>969388.73480158963</v>
      </c>
      <c r="T14" s="80">
        <f t="shared" ref="T14:T19" si="21">P14/S14*10000</f>
        <v>29.999996093749893</v>
      </c>
      <c r="U14" s="18">
        <f t="shared" ref="U14:U19" si="22">T14/10000</f>
        <v>2.9999996093749894E-3</v>
      </c>
      <c r="V14" s="18">
        <f t="shared" ref="V14:V19" si="23">U14-Q4</f>
        <v>-3.9062501063641397E-10</v>
      </c>
      <c r="W14" s="17"/>
      <c r="X14" s="24">
        <f t="shared" si="16"/>
        <v>2.5</v>
      </c>
      <c r="Y14" s="25" cm="1">
        <f t="array" ref="Y14">flatInterpolation(X14,$S$4:$S$9,$T$4:$T$9)</f>
        <v>5.0000000000000001E-3</v>
      </c>
      <c r="Z14" s="26">
        <f t="shared" si="2"/>
        <v>0.98757780049388189</v>
      </c>
      <c r="AA14" s="26">
        <f t="shared" si="3"/>
        <v>1.2352441173515416E-3</v>
      </c>
      <c r="AB14" s="27" cm="1">
        <f t="array" ref="AB14">cubicInterpolation(CurveResults.Times,CurveResults.DFs,$X14)</f>
        <v>0.89685992714468643</v>
      </c>
      <c r="AG14" s="24">
        <f t="shared" si="17"/>
        <v>2.5</v>
      </c>
      <c r="AI14" s="18" cm="1">
        <f t="array" ref="AI14">flatInterpolation($AG14,$S$4:$S$9,AH$5:AH$10)</f>
        <v>5.0000000000000001E-3</v>
      </c>
      <c r="AJ14" s="26">
        <f t="shared" si="4"/>
        <v>0.98757770173610648</v>
      </c>
      <c r="AK14" s="122">
        <f t="shared" si="5"/>
        <v>1.2352439938271287E-3</v>
      </c>
      <c r="AL14" s="116"/>
      <c r="AM14" s="18" cm="1">
        <f t="array" ref="AM14">flatInterpolation($AG14,$S$4:$S$9,AL$5:AL$10)</f>
        <v>5.0000000000000001E-3</v>
      </c>
      <c r="AN14" s="26">
        <f t="shared" si="6"/>
        <v>0.98757770173610659</v>
      </c>
      <c r="AO14" s="122">
        <f t="shared" si="7"/>
        <v>1.2352439938271287E-3</v>
      </c>
      <c r="AP14" s="116"/>
      <c r="AQ14" s="18" cm="1">
        <f t="array" ref="AQ14">flatInterpolation($AG14,$S$4:$S$9,AP$5:AP$10)</f>
        <v>5.0001000000000004E-3</v>
      </c>
      <c r="AR14" s="26">
        <f t="shared" si="8"/>
        <v>0.98757775111499291</v>
      </c>
      <c r="AS14" s="122">
        <f t="shared" si="9"/>
        <v>1.2352687759146219E-3</v>
      </c>
      <c r="AT14" s="116"/>
      <c r="AU14" s="18" cm="1">
        <f t="array" ref="AU14">flatInterpolation($AG14,$S$4:$S$9,AT$5:AT$10)</f>
        <v>5.0000000000000001E-3</v>
      </c>
      <c r="AV14" s="26">
        <f t="shared" si="10"/>
        <v>0.98757780049388189</v>
      </c>
      <c r="AW14" s="122">
        <f t="shared" si="11"/>
        <v>1.2352441173515416E-3</v>
      </c>
      <c r="AX14" s="116"/>
      <c r="AY14" s="18" cm="1">
        <f t="array" ref="AY14">flatInterpolation($AG14,$S$4:$S$9,AX$5:AX$10)</f>
        <v>5.0000000000000001E-3</v>
      </c>
      <c r="AZ14" s="26">
        <f t="shared" si="12"/>
        <v>0.98757780049388189</v>
      </c>
      <c r="BA14" s="122">
        <f t="shared" si="13"/>
        <v>1.2352441173515416E-3</v>
      </c>
      <c r="BB14" s="116"/>
      <c r="BC14" s="18" cm="1">
        <f t="array" ref="BC14">flatInterpolation($AG14,$S$4:$S$9,BB$5:BB$10)</f>
        <v>5.0000000000000001E-3</v>
      </c>
      <c r="BD14" s="26">
        <f t="shared" si="14"/>
        <v>0.98757780049388189</v>
      </c>
      <c r="BE14" s="122">
        <f t="shared" si="15"/>
        <v>1.2352441173515416E-3</v>
      </c>
    </row>
    <row r="15" spans="3:58" x14ac:dyDescent="0.3">
      <c r="C15" t="s">
        <v>149</v>
      </c>
      <c r="K15" s="34" t="s">
        <v>12</v>
      </c>
      <c r="L15" s="18">
        <f t="shared" si="18"/>
        <v>3.0000000000000001E-3</v>
      </c>
      <c r="M15" s="2">
        <f t="shared" si="19"/>
        <v>-750</v>
      </c>
      <c r="N15" s="28">
        <f>M15*SUMPRODUCT(PSurvival2Y,DiscFactors2Y)</f>
        <v>-5673.4644943700805</v>
      </c>
      <c r="O15" s="4">
        <f>M15*0.5*SUMPRODUCT(PDefault2Y,DiscFactors2Y)</f>
        <v>-3.5481324297533994</v>
      </c>
      <c r="P15" s="4">
        <f>LGD*SUMPRODUCT(PDefault2Y,DiscFactors2Y)</f>
        <v>5677.0118876054385</v>
      </c>
      <c r="Q15" s="5">
        <f t="shared" si="20"/>
        <v>-7.3919439546443755E-4</v>
      </c>
      <c r="S15" s="3">
        <f>Notional*YearFraction*(SUMPRODUCT(PSurvival2Y,DiscFactors2Y)+0.5*SUMPRODUCT(PDefault2Y,DiscFactors2Y))</f>
        <v>1892337.5422666112</v>
      </c>
      <c r="T15" s="81">
        <f t="shared" si="21"/>
        <v>29.999996093749772</v>
      </c>
      <c r="U15" s="18">
        <f t="shared" si="22"/>
        <v>2.9999996093749773E-3</v>
      </c>
      <c r="V15" s="18">
        <f t="shared" si="23"/>
        <v>-3.906250227794783E-10</v>
      </c>
      <c r="W15" s="17"/>
      <c r="X15" s="24">
        <f t="shared" si="16"/>
        <v>2.75</v>
      </c>
      <c r="Y15" s="25" cm="1">
        <f t="array" ref="Y15">flatInterpolation(X15,$S$4:$S$9,$T$4:$T$9)</f>
        <v>5.0000000000000001E-3</v>
      </c>
      <c r="Z15" s="26">
        <f t="shared" si="2"/>
        <v>0.98634409946704449</v>
      </c>
      <c r="AA15" s="26">
        <f t="shared" si="3"/>
        <v>1.2337010268373971E-3</v>
      </c>
      <c r="AB15" s="27" cm="1">
        <f t="array" ref="AB15">cubicInterpolation(CurveResults.Times,CurveResults.DFs,$X15)</f>
        <v>0.8880077026997103</v>
      </c>
      <c r="AG15" s="24">
        <f t="shared" si="17"/>
        <v>2.75</v>
      </c>
      <c r="AI15" s="18" cm="1">
        <f t="array" ref="AI15">flatInterpolation($AG15,$S$4:$S$9,AH$5:AH$10)</f>
        <v>5.0000000000000001E-3</v>
      </c>
      <c r="AJ15" s="26">
        <f t="shared" si="4"/>
        <v>0.98634400083263918</v>
      </c>
      <c r="AK15" s="122">
        <f t="shared" si="5"/>
        <v>1.2337009034673052E-3</v>
      </c>
      <c r="AL15" s="116"/>
      <c r="AM15" s="18" cm="1">
        <f t="array" ref="AM15">flatInterpolation($AG15,$S$4:$S$9,AL$5:AL$10)</f>
        <v>5.0000000000000001E-3</v>
      </c>
      <c r="AN15" s="26">
        <f t="shared" si="6"/>
        <v>0.98634400083263929</v>
      </c>
      <c r="AO15" s="122">
        <f t="shared" si="7"/>
        <v>1.2337009034673052E-3</v>
      </c>
      <c r="AP15" s="116"/>
      <c r="AQ15" s="18" cm="1">
        <f t="array" ref="AQ15">flatInterpolation($AG15,$S$4:$S$9,AP$5:AP$10)</f>
        <v>5.0001000000000004E-3</v>
      </c>
      <c r="AR15" s="26">
        <f t="shared" si="8"/>
        <v>0.98634402549123956</v>
      </c>
      <c r="AS15" s="122">
        <f t="shared" si="9"/>
        <v>1.2337256237533456E-3</v>
      </c>
      <c r="AT15" s="116"/>
      <c r="AU15" s="18" cm="1">
        <f t="array" ref="AU15">flatInterpolation($AG15,$S$4:$S$9,AT$5:AT$10)</f>
        <v>5.0000000000000001E-3</v>
      </c>
      <c r="AV15" s="26">
        <f t="shared" si="10"/>
        <v>0.98634409946704449</v>
      </c>
      <c r="AW15" s="122">
        <f t="shared" si="11"/>
        <v>1.2337010268373971E-3</v>
      </c>
      <c r="AX15" s="116"/>
      <c r="AY15" s="18" cm="1">
        <f t="array" ref="AY15">flatInterpolation($AG15,$S$4:$S$9,AX$5:AX$10)</f>
        <v>5.0000000000000001E-3</v>
      </c>
      <c r="AZ15" s="26">
        <f t="shared" si="12"/>
        <v>0.98634409946704449</v>
      </c>
      <c r="BA15" s="122">
        <f t="shared" si="13"/>
        <v>1.2337010268373971E-3</v>
      </c>
      <c r="BB15" s="116"/>
      <c r="BC15" s="18" cm="1">
        <f t="array" ref="BC15">flatInterpolation($AG15,$S$4:$S$9,BB$5:BB$10)</f>
        <v>5.0000000000000001E-3</v>
      </c>
      <c r="BD15" s="26">
        <f t="shared" si="14"/>
        <v>0.98634409946704449</v>
      </c>
      <c r="BE15" s="122">
        <f t="shared" si="15"/>
        <v>1.2337010268373971E-3</v>
      </c>
    </row>
    <row r="16" spans="3:58" x14ac:dyDescent="0.3">
      <c r="C16" t="s">
        <v>152</v>
      </c>
      <c r="K16" s="34" t="s">
        <v>13</v>
      </c>
      <c r="L16" s="18">
        <f t="shared" si="18"/>
        <v>3.0000000000000001E-3</v>
      </c>
      <c r="M16" s="2">
        <f t="shared" si="19"/>
        <v>-750</v>
      </c>
      <c r="N16" s="28">
        <f>M16*SUMPRODUCT(PSurvival3Y,DiscFactors3Y)</f>
        <v>-8316.1717584250127</v>
      </c>
      <c r="O16" s="4">
        <f>M16*0.5*SUMPRODUCT(PDefault3Y,DiscFactors3Y)</f>
        <v>-5.2008572075752468</v>
      </c>
      <c r="P16" s="4">
        <f>LGD*SUMPRODUCT(PDefault3Y,DiscFactors3Y)</f>
        <v>8321.3715321203945</v>
      </c>
      <c r="Q16" s="5">
        <f t="shared" si="20"/>
        <v>-1.0835121938725933E-3</v>
      </c>
      <c r="S16" s="3">
        <f>Notional*YearFraction*(SUMPRODUCT(PSurvival3Y,DiscFactors3Y)+0.5*SUMPRODUCT(PDefault3Y,DiscFactors3Y))</f>
        <v>2773790.8718775292</v>
      </c>
      <c r="T16" s="81">
        <f t="shared" si="21"/>
        <v>29.999996093749516</v>
      </c>
      <c r="U16" s="18">
        <f t="shared" si="22"/>
        <v>2.9999996093749517E-3</v>
      </c>
      <c r="V16" s="18">
        <f t="shared" si="23"/>
        <v>-3.9062504836664957E-10</v>
      </c>
      <c r="W16" s="17"/>
      <c r="X16" s="24">
        <f t="shared" si="16"/>
        <v>3</v>
      </c>
      <c r="Y16" s="25" cm="1">
        <f t="array" ref="Y16">flatInterpolation(X16,$S$4:$S$9,$T$4:$T$9)</f>
        <v>5.0000000000000001E-3</v>
      </c>
      <c r="Z16" s="26">
        <f t="shared" si="2"/>
        <v>0.9851119396030632</v>
      </c>
      <c r="AA16" s="26">
        <f t="shared" si="3"/>
        <v>1.2321598639812859E-3</v>
      </c>
      <c r="AB16" s="27" cm="1">
        <f t="array" ref="AB16">cubicInterpolation(CurveResults.Times,CurveResults.DFs,$X16)</f>
        <v>0.87931148332785924</v>
      </c>
      <c r="AG16" s="24">
        <f t="shared" si="17"/>
        <v>3</v>
      </c>
      <c r="AI16" s="18" cm="1">
        <f t="array" ref="AI16">flatInterpolation($AG16,$S$4:$S$9,AH$5:AH$10)</f>
        <v>5.0000000000000001E-3</v>
      </c>
      <c r="AJ16" s="26">
        <f t="shared" si="4"/>
        <v>0.98511184109187389</v>
      </c>
      <c r="AK16" s="122">
        <f t="shared" si="5"/>
        <v>1.2321597407652929E-3</v>
      </c>
      <c r="AL16" s="116"/>
      <c r="AM16" s="18" cm="1">
        <f t="array" ref="AM16">flatInterpolation($AG16,$S$4:$S$9,AL$5:AL$10)</f>
        <v>5.0000000000000001E-3</v>
      </c>
      <c r="AN16" s="26">
        <f t="shared" si="6"/>
        <v>0.985111841091874</v>
      </c>
      <c r="AO16" s="122">
        <f t="shared" si="7"/>
        <v>1.2321597407652929E-3</v>
      </c>
      <c r="AP16" s="116"/>
      <c r="AQ16" s="18" cm="1">
        <f t="array" ref="AQ16">flatInterpolation($AG16,$S$4:$S$9,AP$5:AP$10)</f>
        <v>5.0001000000000004E-3</v>
      </c>
      <c r="AR16" s="26">
        <f t="shared" si="8"/>
        <v>0.98511184109187389</v>
      </c>
      <c r="AS16" s="122">
        <f t="shared" si="9"/>
        <v>1.2321843993656767E-3</v>
      </c>
      <c r="AT16" s="116"/>
      <c r="AU16" s="18" cm="1">
        <f t="array" ref="AU16">flatInterpolation($AG16,$S$4:$S$9,AT$5:AT$10)</f>
        <v>5.0000000000000001E-3</v>
      </c>
      <c r="AV16" s="26">
        <f t="shared" si="10"/>
        <v>0.9851119396030632</v>
      </c>
      <c r="AW16" s="122">
        <f t="shared" si="11"/>
        <v>1.2321598639812859E-3</v>
      </c>
      <c r="AX16" s="116"/>
      <c r="AY16" s="18" cm="1">
        <f t="array" ref="AY16">flatInterpolation($AG16,$S$4:$S$9,AX$5:AX$10)</f>
        <v>5.0000000000000001E-3</v>
      </c>
      <c r="AZ16" s="26">
        <f t="shared" si="12"/>
        <v>0.9851119396030632</v>
      </c>
      <c r="BA16" s="122">
        <f t="shared" si="13"/>
        <v>1.2321598639812859E-3</v>
      </c>
      <c r="BB16" s="116"/>
      <c r="BC16" s="18" cm="1">
        <f t="array" ref="BC16">flatInterpolation($AG16,$S$4:$S$9,BB$5:BB$10)</f>
        <v>5.0000000000000001E-3</v>
      </c>
      <c r="BD16" s="26">
        <f t="shared" si="14"/>
        <v>0.9851119396030632</v>
      </c>
      <c r="BE16" s="122">
        <f t="shared" si="15"/>
        <v>1.2321598639812859E-3</v>
      </c>
    </row>
    <row r="17" spans="3:57" x14ac:dyDescent="0.3">
      <c r="C17" t="s">
        <v>153</v>
      </c>
      <c r="K17" s="34" t="s">
        <v>14</v>
      </c>
      <c r="L17" s="18">
        <f t="shared" si="18"/>
        <v>3.0000000000000001E-3</v>
      </c>
      <c r="M17" s="2">
        <f t="shared" si="19"/>
        <v>-750</v>
      </c>
      <c r="N17" s="28">
        <f>M17*SUMPRODUCT(PSurvival4Y,DiscFactors4Y)</f>
        <v>-10845.177739614403</v>
      </c>
      <c r="O17" s="4">
        <f>M17*0.5*SUMPRODUCT(PDefault4Y,DiscFactors4Y)</f>
        <v>-6.7824742505307238</v>
      </c>
      <c r="P17" s="4">
        <f>LGD*SUMPRODUCT(PDefault4Y,DiscFactors4Y)</f>
        <v>10851.958800849157</v>
      </c>
      <c r="Q17" s="5">
        <f t="shared" si="20"/>
        <v>-1.4130157760519069E-3</v>
      </c>
      <c r="S17" s="3">
        <f>Notional*YearFraction*(SUMPRODUCT(PSurvival4Y,DiscFactors4Y)+0.5*SUMPRODUCT(PDefault4Y,DiscFactors4Y))</f>
        <v>3617320.0712883109</v>
      </c>
      <c r="T17" s="81">
        <f t="shared" si="21"/>
        <v>29.999996093749662</v>
      </c>
      <c r="U17" s="18">
        <f t="shared" si="22"/>
        <v>2.999999609374966E-3</v>
      </c>
      <c r="V17" s="18">
        <f t="shared" si="23"/>
        <v>-3.906250340551809E-10</v>
      </c>
      <c r="W17" s="17"/>
      <c r="X17" s="24">
        <f t="shared" si="16"/>
        <v>3.25</v>
      </c>
      <c r="Y17" s="25" cm="1">
        <f t="array" ref="Y17">flatInterpolation(X17,$S$4:$S$9,$T$4:$T$9)</f>
        <v>5.0000000000000001E-3</v>
      </c>
      <c r="Z17" s="26">
        <f t="shared" si="2"/>
        <v>0.98388131897668796</v>
      </c>
      <c r="AA17" s="26">
        <f t="shared" si="3"/>
        <v>1.2306206263752451E-3</v>
      </c>
      <c r="AB17" s="27" cm="1">
        <f t="array" ref="AB17">cubicInterpolation(CurveResults.Times,CurveResults.DFs,$X17)</f>
        <v>0.87078171535403615</v>
      </c>
      <c r="AG17" s="24">
        <f t="shared" si="17"/>
        <v>3.25</v>
      </c>
      <c r="AI17" s="18" cm="1">
        <f t="array" ref="AI17">flatInterpolation($AG17,$S$4:$S$9,AH$5:AH$10)</f>
        <v>5.0000000000000001E-3</v>
      </c>
      <c r="AJ17" s="26">
        <f t="shared" si="4"/>
        <v>0.98388122058856076</v>
      </c>
      <c r="AK17" s="122">
        <f t="shared" si="5"/>
        <v>1.230620503313129E-3</v>
      </c>
      <c r="AL17" s="116"/>
      <c r="AM17" s="18" cm="1">
        <f t="array" ref="AM17">flatInterpolation($AG17,$S$4:$S$9,AL$5:AL$10)</f>
        <v>5.0000000000000001E-3</v>
      </c>
      <c r="AN17" s="26">
        <f t="shared" si="6"/>
        <v>0.98388122058856087</v>
      </c>
      <c r="AO17" s="122">
        <f t="shared" si="7"/>
        <v>1.230620503313129E-3</v>
      </c>
      <c r="AP17" s="116"/>
      <c r="AQ17" s="18" cm="1">
        <f t="array" ref="AQ17">flatInterpolation($AG17,$S$4:$S$9,AP$5:AP$10)</f>
        <v>5.0000000000000001E-3</v>
      </c>
      <c r="AR17" s="26">
        <f t="shared" si="8"/>
        <v>0.98388122058856076</v>
      </c>
      <c r="AS17" s="122">
        <f t="shared" si="9"/>
        <v>1.230620503313129E-3</v>
      </c>
      <c r="AT17" s="116"/>
      <c r="AU17" s="18" cm="1">
        <f t="array" ref="AU17">flatInterpolation($AG17,$S$4:$S$9,AT$5:AT$10)</f>
        <v>5.0001000000000004E-3</v>
      </c>
      <c r="AV17" s="26">
        <f t="shared" si="10"/>
        <v>0.98388129437965521</v>
      </c>
      <c r="AW17" s="122">
        <f t="shared" si="11"/>
        <v>1.230645223407989E-3</v>
      </c>
      <c r="AX17" s="116"/>
      <c r="AY17" s="18" cm="1">
        <f t="array" ref="AY17">flatInterpolation($AG17,$S$4:$S$9,AX$5:AX$10)</f>
        <v>5.0000000000000001E-3</v>
      </c>
      <c r="AZ17" s="26">
        <f t="shared" si="12"/>
        <v>0.98388131897668796</v>
      </c>
      <c r="BA17" s="122">
        <f t="shared" si="13"/>
        <v>1.2306206263752451E-3</v>
      </c>
      <c r="BB17" s="116"/>
      <c r="BC17" s="18" cm="1">
        <f t="array" ref="BC17">flatInterpolation($AG17,$S$4:$S$9,BB$5:BB$10)</f>
        <v>5.0000000000000001E-3</v>
      </c>
      <c r="BD17" s="26">
        <f t="shared" si="14"/>
        <v>0.98388131897668796</v>
      </c>
      <c r="BE17" s="122">
        <f t="shared" si="15"/>
        <v>1.2306206263752451E-3</v>
      </c>
    </row>
    <row r="18" spans="3:57" x14ac:dyDescent="0.3">
      <c r="C18" t="s">
        <v>154</v>
      </c>
      <c r="K18" s="34" t="s">
        <v>15</v>
      </c>
      <c r="L18" s="18">
        <f t="shared" si="18"/>
        <v>3.0000000000000001E-3</v>
      </c>
      <c r="M18" s="2">
        <f t="shared" si="19"/>
        <v>-750</v>
      </c>
      <c r="N18" s="28">
        <f>M18*SUMPRODUCT(PSurvival5Y,DiscFactors5Y)</f>
        <v>-13268.129516371269</v>
      </c>
      <c r="O18" s="4">
        <f>M18*0.5*SUMPRODUCT(PDefault5Y,DiscFactors5Y)</f>
        <v>-8.2977659710253988</v>
      </c>
      <c r="P18" s="4">
        <f>LGD*SUMPRODUCT(PDefault5Y,DiscFactors5Y)</f>
        <v>13276.425553640638</v>
      </c>
      <c r="Q18" s="5">
        <f t="shared" si="20"/>
        <v>-1.728701656247722E-3</v>
      </c>
      <c r="S18" s="3">
        <f>Notional*YearFraction*(SUMPRODUCT(PSurvival5Y,DiscFactors5Y)+0.5*SUMPRODUCT(PDefault5Y,DiscFactors5Y))</f>
        <v>4425475.7607807647</v>
      </c>
      <c r="T18" s="81">
        <f t="shared" si="21"/>
        <v>29.999996093749576</v>
      </c>
      <c r="U18" s="18">
        <f t="shared" si="22"/>
        <v>2.9999996093749578E-3</v>
      </c>
      <c r="V18" s="18">
        <f t="shared" si="23"/>
        <v>-3.9062504229511741E-10</v>
      </c>
      <c r="W18" s="17"/>
      <c r="X18" s="24">
        <f t="shared" si="16"/>
        <v>3.5</v>
      </c>
      <c r="Y18" s="25" cm="1">
        <f t="array" ref="Y18">flatInterpolation(X18,$S$4:$S$9,$T$4:$T$9)</f>
        <v>5.0000000000000001E-3</v>
      </c>
      <c r="Z18" s="26">
        <f t="shared" si="2"/>
        <v>0.98265223566507376</v>
      </c>
      <c r="AA18" s="26">
        <f t="shared" si="3"/>
        <v>1.2290833116141986E-3</v>
      </c>
      <c r="AB18" s="27" cm="1">
        <f t="array" ref="AB18">cubicInterpolation(CurveResults.Times,CurveResults.DFs,$X18)</f>
        <v>0.86243967475051753</v>
      </c>
      <c r="AG18" s="24">
        <f t="shared" si="17"/>
        <v>3.5</v>
      </c>
      <c r="AI18" s="18" cm="1">
        <f t="array" ref="AI18">flatInterpolation($AG18,$S$4:$S$9,AH$5:AH$10)</f>
        <v>5.0000000000000001E-3</v>
      </c>
      <c r="AJ18" s="26">
        <f t="shared" si="4"/>
        <v>0.98265213739985491</v>
      </c>
      <c r="AK18" s="122">
        <f t="shared" si="5"/>
        <v>1.2290831887058484E-3</v>
      </c>
      <c r="AL18" s="116"/>
      <c r="AM18" s="18" cm="1">
        <f t="array" ref="AM18">flatInterpolation($AG18,$S$4:$S$9,AL$5:AL$10)</f>
        <v>5.0000000000000001E-3</v>
      </c>
      <c r="AN18" s="26">
        <f t="shared" si="6"/>
        <v>0.98265213739985502</v>
      </c>
      <c r="AO18" s="122">
        <f t="shared" si="7"/>
        <v>1.2290831887058484E-3</v>
      </c>
      <c r="AP18" s="116"/>
      <c r="AQ18" s="18" cm="1">
        <f t="array" ref="AQ18">flatInterpolation($AG18,$S$4:$S$9,AP$5:AP$10)</f>
        <v>5.0000000000000001E-3</v>
      </c>
      <c r="AR18" s="26">
        <f t="shared" si="8"/>
        <v>0.98265213739985491</v>
      </c>
      <c r="AS18" s="122">
        <f t="shared" si="9"/>
        <v>1.2290831887058484E-3</v>
      </c>
      <c r="AT18" s="116"/>
      <c r="AU18" s="18" cm="1">
        <f t="array" ref="AU18">flatInterpolation($AG18,$S$4:$S$9,AT$5:AT$10)</f>
        <v>5.0001000000000004E-3</v>
      </c>
      <c r="AV18" s="26">
        <f t="shared" si="10"/>
        <v>0.98265218653246311</v>
      </c>
      <c r="AW18" s="122">
        <f t="shared" si="11"/>
        <v>1.2291078471921013E-3</v>
      </c>
      <c r="AX18" s="116"/>
      <c r="AY18" s="18" cm="1">
        <f t="array" ref="AY18">flatInterpolation($AG18,$S$4:$S$9,AX$5:AX$10)</f>
        <v>5.0000000000000001E-3</v>
      </c>
      <c r="AZ18" s="26">
        <f t="shared" si="12"/>
        <v>0.98265223566507376</v>
      </c>
      <c r="BA18" s="122">
        <f t="shared" si="13"/>
        <v>1.2290833116141986E-3</v>
      </c>
      <c r="BB18" s="116"/>
      <c r="BC18" s="18" cm="1">
        <f t="array" ref="BC18">flatInterpolation($AG18,$S$4:$S$9,BB$5:BB$10)</f>
        <v>5.0000000000000001E-3</v>
      </c>
      <c r="BD18" s="26">
        <f t="shared" si="14"/>
        <v>0.98265223566507376</v>
      </c>
      <c r="BE18" s="122">
        <f t="shared" si="15"/>
        <v>1.2290833116141986E-3</v>
      </c>
    </row>
    <row r="19" spans="3:57" x14ac:dyDescent="0.3">
      <c r="C19" t="s">
        <v>330</v>
      </c>
      <c r="K19" s="35" t="s">
        <v>16</v>
      </c>
      <c r="L19" s="36">
        <f t="shared" si="18"/>
        <v>3.0000000000000001E-3</v>
      </c>
      <c r="M19" s="37">
        <f t="shared" si="19"/>
        <v>-750</v>
      </c>
      <c r="N19" s="38">
        <f>M19*SUMPRODUCT(PSurvival10Y,DiscFactors10Y)</f>
        <v>-23956.535135558403</v>
      </c>
      <c r="O19" s="7">
        <f>M19*0.5*SUMPRODUCT(PDefault10Y,DiscFactors10Y)</f>
        <v>-14.982196381655186</v>
      </c>
      <c r="P19" s="7">
        <f>LGD*SUMPRODUCT(PDefault10Y,DiscFactors10Y)</f>
        <v>23971.514210648296</v>
      </c>
      <c r="Q19" s="8">
        <f t="shared" si="20"/>
        <v>-3.1212917601806112E-3</v>
      </c>
      <c r="S19" s="6">
        <f>Notional*YearFraction*(SUMPRODUCT(PSurvival10Y,DiscFactors10Y)+0.5*SUMPRODUCT(PDefault10Y,DiscFactors10Y))</f>
        <v>7990505.7773133526</v>
      </c>
      <c r="T19" s="82">
        <f t="shared" si="21"/>
        <v>29.999996093749449</v>
      </c>
      <c r="U19" s="18">
        <f t="shared" si="22"/>
        <v>2.9999996093749448E-3</v>
      </c>
      <c r="V19" s="18">
        <f t="shared" si="23"/>
        <v>-3.9062505530554348E-10</v>
      </c>
      <c r="W19" s="17"/>
      <c r="X19" s="24">
        <f t="shared" si="16"/>
        <v>3.75</v>
      </c>
      <c r="Y19" s="25" cm="1">
        <f t="array" ref="Y19">flatInterpolation(X19,$S$4:$S$9,$T$4:$T$9)</f>
        <v>5.0000000000000001E-3</v>
      </c>
      <c r="Z19" s="26">
        <f t="shared" si="2"/>
        <v>0.98142468774777769</v>
      </c>
      <c r="AA19" s="26">
        <f t="shared" si="3"/>
        <v>1.2275479172960679E-3</v>
      </c>
      <c r="AB19" s="27" cm="1">
        <f t="array" ref="AB19">cubicInterpolation(CurveResults.Times,CurveResults.DFs,$X19)</f>
        <v>0.85424590030706427</v>
      </c>
      <c r="AG19" s="24">
        <f t="shared" si="17"/>
        <v>3.75</v>
      </c>
      <c r="AI19" s="18" cm="1">
        <f t="array" ref="AI19">flatInterpolation($AG19,$S$4:$S$9,AH$5:AH$10)</f>
        <v>5.0000000000000001E-3</v>
      </c>
      <c r="AJ19" s="26">
        <f t="shared" si="4"/>
        <v>0.98142458960531365</v>
      </c>
      <c r="AK19" s="122">
        <f t="shared" si="5"/>
        <v>1.2275477945412616E-3</v>
      </c>
      <c r="AL19" s="116"/>
      <c r="AM19" s="18" cm="1">
        <f t="array" ref="AM19">flatInterpolation($AG19,$S$4:$S$9,AL$5:AL$10)</f>
        <v>5.0000000000000001E-3</v>
      </c>
      <c r="AN19" s="26">
        <f t="shared" si="6"/>
        <v>0.98142458960531376</v>
      </c>
      <c r="AO19" s="122">
        <f t="shared" si="7"/>
        <v>1.2275477945412616E-3</v>
      </c>
      <c r="AP19" s="116"/>
      <c r="AQ19" s="18" cm="1">
        <f t="array" ref="AQ19">flatInterpolation($AG19,$S$4:$S$9,AP$5:AP$10)</f>
        <v>5.0000000000000001E-3</v>
      </c>
      <c r="AR19" s="26">
        <f t="shared" si="8"/>
        <v>0.98142458960531365</v>
      </c>
      <c r="AS19" s="122">
        <f t="shared" si="9"/>
        <v>1.2275477945412616E-3</v>
      </c>
      <c r="AT19" s="116"/>
      <c r="AU19" s="18" cm="1">
        <f t="array" ref="AU19">flatInterpolation($AG19,$S$4:$S$9,AT$5:AT$10)</f>
        <v>5.0001000000000004E-3</v>
      </c>
      <c r="AV19" s="26">
        <f t="shared" si="10"/>
        <v>0.98142461414092874</v>
      </c>
      <c r="AW19" s="122">
        <f t="shared" si="11"/>
        <v>1.2275723915343706E-3</v>
      </c>
      <c r="AX19" s="116"/>
      <c r="AY19" s="18" cm="1">
        <f t="array" ref="AY19">flatInterpolation($AG19,$S$4:$S$9,AX$5:AX$10)</f>
        <v>5.0000000000000001E-3</v>
      </c>
      <c r="AZ19" s="26">
        <f t="shared" si="12"/>
        <v>0.98142468774777769</v>
      </c>
      <c r="BA19" s="122">
        <f t="shared" si="13"/>
        <v>1.2275479172960679E-3</v>
      </c>
      <c r="BB19" s="116"/>
      <c r="BC19" s="18" cm="1">
        <f t="array" ref="BC19">flatInterpolation($AG19,$S$4:$S$9,BB$5:BB$10)</f>
        <v>5.0000000000000001E-3</v>
      </c>
      <c r="BD19" s="26">
        <f t="shared" si="14"/>
        <v>0.98142468774777769</v>
      </c>
      <c r="BE19" s="122">
        <f t="shared" si="15"/>
        <v>1.2275479172960679E-3</v>
      </c>
    </row>
    <row r="20" spans="3:57" x14ac:dyDescent="0.3">
      <c r="C20" t="s">
        <v>331</v>
      </c>
      <c r="X20" s="24">
        <f t="shared" si="16"/>
        <v>4</v>
      </c>
      <c r="Y20" s="25" cm="1">
        <f t="array" ref="Y20">flatInterpolation(X20,$S$4:$S$9,$T$4:$T$9)</f>
        <v>5.0000000000000001E-3</v>
      </c>
      <c r="Z20" s="26">
        <f t="shared" si="2"/>
        <v>0.98019867330675592</v>
      </c>
      <c r="AA20" s="26">
        <f t="shared" si="3"/>
        <v>1.2260144410217722E-3</v>
      </c>
      <c r="AB20" s="27" cm="1">
        <f t="array" ref="AB20">cubicInterpolation(CurveResults.Times,CurveResults.DFs,$X20)</f>
        <v>0.84616093081343713</v>
      </c>
      <c r="AG20" s="24">
        <f t="shared" si="17"/>
        <v>4</v>
      </c>
      <c r="AI20" s="18" cm="1">
        <f t="array" ref="AI20">flatInterpolation($AG20,$S$4:$S$9,AH$5:AH$10)</f>
        <v>5.0000000000000001E-3</v>
      </c>
      <c r="AJ20" s="26">
        <f t="shared" si="4"/>
        <v>0.98019857528689336</v>
      </c>
      <c r="AK20" s="122">
        <f t="shared" si="5"/>
        <v>1.2260143184202876E-3</v>
      </c>
      <c r="AL20" s="116"/>
      <c r="AM20" s="18" cm="1">
        <f t="array" ref="AM20">flatInterpolation($AG20,$S$4:$S$9,AL$5:AL$10)</f>
        <v>5.0000000000000001E-3</v>
      </c>
      <c r="AN20" s="26">
        <f t="shared" si="6"/>
        <v>0.98019857528689347</v>
      </c>
      <c r="AO20" s="122">
        <f t="shared" si="7"/>
        <v>1.2260143184202876E-3</v>
      </c>
      <c r="AP20" s="116"/>
      <c r="AQ20" s="18" cm="1">
        <f t="array" ref="AQ20">flatInterpolation($AG20,$S$4:$S$9,AP$5:AP$10)</f>
        <v>5.0000000000000001E-3</v>
      </c>
      <c r="AR20" s="26">
        <f t="shared" si="8"/>
        <v>0.98019857528689336</v>
      </c>
      <c r="AS20" s="122">
        <f t="shared" si="9"/>
        <v>1.2260143184202876E-3</v>
      </c>
      <c r="AT20" s="116"/>
      <c r="AU20" s="18" cm="1">
        <f t="array" ref="AU20">flatInterpolation($AG20,$S$4:$S$9,AT$5:AT$10)</f>
        <v>5.0001000000000004E-3</v>
      </c>
      <c r="AV20" s="26">
        <f t="shared" si="10"/>
        <v>0.98019857528689336</v>
      </c>
      <c r="AW20" s="122">
        <f t="shared" si="11"/>
        <v>1.2260388540353828E-3</v>
      </c>
      <c r="AX20" s="116"/>
      <c r="AY20" s="18" cm="1">
        <f t="array" ref="AY20">flatInterpolation($AG20,$S$4:$S$9,AX$5:AX$10)</f>
        <v>5.0000000000000001E-3</v>
      </c>
      <c r="AZ20" s="26">
        <f t="shared" si="12"/>
        <v>0.98019867330675592</v>
      </c>
      <c r="BA20" s="122">
        <f t="shared" si="13"/>
        <v>1.2260144410217722E-3</v>
      </c>
      <c r="BB20" s="116"/>
      <c r="BC20" s="18" cm="1">
        <f t="array" ref="BC20">flatInterpolation($AG20,$S$4:$S$9,BB$5:BB$10)</f>
        <v>5.0000000000000001E-3</v>
      </c>
      <c r="BD20" s="26">
        <f t="shared" si="14"/>
        <v>0.98019867330675592</v>
      </c>
      <c r="BE20" s="122">
        <f t="shared" si="15"/>
        <v>1.2260144410217722E-3</v>
      </c>
    </row>
    <row r="21" spans="3:57" x14ac:dyDescent="0.3">
      <c r="X21" s="24">
        <f t="shared" si="16"/>
        <v>4.25</v>
      </c>
      <c r="Y21" s="25" cm="1">
        <f t="array" ref="Y21">flatInterpolation(X21,$S$4:$S$9,$T$4:$T$9)</f>
        <v>5.0000000000000001E-3</v>
      </c>
      <c r="Z21" s="26">
        <f t="shared" si="2"/>
        <v>0.97897419042636069</v>
      </c>
      <c r="AA21" s="26">
        <f t="shared" si="3"/>
        <v>1.2244828803952279E-3</v>
      </c>
      <c r="AB21" s="27" cm="1">
        <f t="array" ref="AB21">cubicInterpolation(CurveResults.Times,CurveResults.DFs,$X21)</f>
        <v>0.83819214507342643</v>
      </c>
      <c r="AG21" s="24">
        <f t="shared" si="17"/>
        <v>4.25</v>
      </c>
      <c r="AI21" s="18" cm="1">
        <f t="array" ref="AI21">flatInterpolation($AG21,$S$4:$S$9,AH$5:AH$10)</f>
        <v>5.0000000000000001E-3</v>
      </c>
      <c r="AJ21" s="26">
        <f t="shared" si="4"/>
        <v>0.9789740925289464</v>
      </c>
      <c r="AK21" s="122">
        <f t="shared" si="5"/>
        <v>1.2244827579469542E-3</v>
      </c>
      <c r="AL21" s="116"/>
      <c r="AM21" s="18" cm="1">
        <f t="array" ref="AM21">flatInterpolation($AG21,$S$4:$S$9,AL$5:AL$10)</f>
        <v>5.0000000000000001E-3</v>
      </c>
      <c r="AN21" s="26">
        <f t="shared" si="6"/>
        <v>0.97897409252894652</v>
      </c>
      <c r="AO21" s="122">
        <f t="shared" si="7"/>
        <v>1.2244827579469542E-3</v>
      </c>
      <c r="AP21" s="116"/>
      <c r="AQ21" s="18" cm="1">
        <f t="array" ref="AQ21">flatInterpolation($AG21,$S$4:$S$9,AP$5:AP$10)</f>
        <v>5.0000000000000001E-3</v>
      </c>
      <c r="AR21" s="26">
        <f t="shared" si="8"/>
        <v>0.9789740925289464</v>
      </c>
      <c r="AS21" s="122">
        <f t="shared" si="9"/>
        <v>1.2244827579469542E-3</v>
      </c>
      <c r="AT21" s="116"/>
      <c r="AU21" s="18" cm="1">
        <f t="array" ref="AU21">flatInterpolation($AG21,$S$4:$S$9,AT$5:AT$10)</f>
        <v>5.0000000000000001E-3</v>
      </c>
      <c r="AV21" s="26">
        <f t="shared" si="10"/>
        <v>0.9789740925289464</v>
      </c>
      <c r="AW21" s="122">
        <f t="shared" si="11"/>
        <v>1.2244827579469542E-3</v>
      </c>
      <c r="AX21" s="116"/>
      <c r="AY21" s="18" cm="1">
        <f t="array" ref="AY21">flatInterpolation($AG21,$S$4:$S$9,AX$5:AX$10)</f>
        <v>5.0001000000000004E-3</v>
      </c>
      <c r="AZ21" s="26">
        <f t="shared" si="12"/>
        <v>0.97897416595200615</v>
      </c>
      <c r="BA21" s="122">
        <f t="shared" si="13"/>
        <v>1.2245073547497709E-3</v>
      </c>
      <c r="BB21" s="116"/>
      <c r="BC21" s="18" cm="1">
        <f t="array" ref="BC21">flatInterpolation($AG21,$S$4:$S$9,BB$5:BB$10)</f>
        <v>5.0000000000000001E-3</v>
      </c>
      <c r="BD21" s="26">
        <f t="shared" si="14"/>
        <v>0.97897419042636069</v>
      </c>
      <c r="BE21" s="122">
        <f t="shared" si="15"/>
        <v>1.2244828803952279E-3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si="16"/>
        <v>4.5</v>
      </c>
      <c r="Y22" s="25" cm="1">
        <f t="array" ref="Y22">flatInterpolation(X22,$S$4:$S$9,$T$4:$T$9)</f>
        <v>5.0000000000000001E-3</v>
      </c>
      <c r="Z22" s="26">
        <f t="shared" si="2"/>
        <v>0.97775123719333712</v>
      </c>
      <c r="AA22" s="26">
        <f t="shared" si="3"/>
        <v>1.2229532330235715E-3</v>
      </c>
      <c r="AB22" s="27" cm="1">
        <f t="array" ref="AB22">cubicInterpolation(CurveResults.Times,CurveResults.DFs,$X22)</f>
        <v>0.8303546218014306</v>
      </c>
      <c r="AG22" s="24">
        <f t="shared" si="17"/>
        <v>4.5</v>
      </c>
      <c r="AI22" s="18" cm="1">
        <f t="array" ref="AI22">flatInterpolation($AG22,$S$4:$S$9,AH$5:AH$10)</f>
        <v>5.0000000000000001E-3</v>
      </c>
      <c r="AJ22" s="26">
        <f t="shared" si="4"/>
        <v>0.97775113941821812</v>
      </c>
      <c r="AK22" s="122">
        <f t="shared" si="5"/>
        <v>1.2229531107282865E-3</v>
      </c>
      <c r="AL22" s="116"/>
      <c r="AM22" s="18" cm="1">
        <f t="array" ref="AM22">flatInterpolation($AG22,$S$4:$S$9,AL$5:AL$10)</f>
        <v>5.0000000000000001E-3</v>
      </c>
      <c r="AN22" s="26">
        <f t="shared" si="6"/>
        <v>0.97775113941821823</v>
      </c>
      <c r="AO22" s="122">
        <f t="shared" si="7"/>
        <v>1.2229531107282865E-3</v>
      </c>
      <c r="AP22" s="116"/>
      <c r="AQ22" s="18" cm="1">
        <f t="array" ref="AQ22">flatInterpolation($AG22,$S$4:$S$9,AP$5:AP$10)</f>
        <v>5.0000000000000001E-3</v>
      </c>
      <c r="AR22" s="26">
        <f t="shared" si="8"/>
        <v>0.97775113941821812</v>
      </c>
      <c r="AS22" s="122">
        <f t="shared" si="9"/>
        <v>1.2229531107282865E-3</v>
      </c>
      <c r="AT22" s="116"/>
      <c r="AU22" s="18" cm="1">
        <f t="array" ref="AU22">flatInterpolation($AG22,$S$4:$S$9,AT$5:AT$10)</f>
        <v>5.0000000000000001E-3</v>
      </c>
      <c r="AV22" s="26">
        <f t="shared" si="10"/>
        <v>0.97775113941821812</v>
      </c>
      <c r="AW22" s="122">
        <f t="shared" si="11"/>
        <v>1.2229531107282865E-3</v>
      </c>
      <c r="AX22" s="116"/>
      <c r="AY22" s="18" cm="1">
        <f t="array" ref="AY22">flatInterpolation($AG22,$S$4:$S$9,AX$5:AX$10)</f>
        <v>5.0001000000000004E-3</v>
      </c>
      <c r="AZ22" s="26">
        <f t="shared" si="12"/>
        <v>0.97775118830577634</v>
      </c>
      <c r="BA22" s="122">
        <f t="shared" si="13"/>
        <v>1.2229776462298059E-3</v>
      </c>
      <c r="BB22" s="116"/>
      <c r="BC22" s="18" cm="1">
        <f t="array" ref="BC22">flatInterpolation($AG22,$S$4:$S$9,BB$5:BB$10)</f>
        <v>5.0000000000000001E-3</v>
      </c>
      <c r="BD22" s="26">
        <f t="shared" si="14"/>
        <v>0.97775123719333712</v>
      </c>
      <c r="BE22" s="122">
        <f t="shared" si="15"/>
        <v>1.2229532330235715E-3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1.5947207268946779E-9</v>
      </c>
      <c r="S23" s="2" t="s">
        <v>156</v>
      </c>
      <c r="T23" s="2" t="s">
        <v>20</v>
      </c>
      <c r="X23" s="24">
        <f t="shared" si="16"/>
        <v>4.75</v>
      </c>
      <c r="Y23" s="25" cm="1">
        <f t="array" ref="Y23">flatInterpolation(X23,$S$4:$S$9,$T$4:$T$9)</f>
        <v>5.0000000000000001E-3</v>
      </c>
      <c r="Z23" s="26">
        <f t="shared" si="2"/>
        <v>0.97652981169682063</v>
      </c>
      <c r="AA23" s="26">
        <f t="shared" si="3"/>
        <v>1.2214254965164928E-3</v>
      </c>
      <c r="AB23" s="27" cm="1">
        <f t="array" ref="AB23">cubicInterpolation(CurveResults.Times,CurveResults.DFs,$X23)</f>
        <v>0.82262044965312253</v>
      </c>
      <c r="AG23" s="24">
        <f t="shared" si="17"/>
        <v>4.75</v>
      </c>
      <c r="AI23" s="18" cm="1">
        <f t="array" ref="AI23">flatInterpolation($AG23,$S$4:$S$9,AH$5:AH$10)</f>
        <v>5.0000000000000001E-3</v>
      </c>
      <c r="AJ23" s="26">
        <f t="shared" si="4"/>
        <v>0.97652971404384414</v>
      </c>
      <c r="AK23" s="122">
        <f t="shared" si="5"/>
        <v>1.2214253743739745E-3</v>
      </c>
      <c r="AL23" s="116"/>
      <c r="AM23" s="18" cm="1">
        <f t="array" ref="AM23">flatInterpolation($AG23,$S$4:$S$9,AL$5:AL$10)</f>
        <v>5.0000000000000001E-3</v>
      </c>
      <c r="AN23" s="26">
        <f t="shared" si="6"/>
        <v>0.97652971404384425</v>
      </c>
      <c r="AO23" s="122">
        <f t="shared" si="7"/>
        <v>1.2214253743739745E-3</v>
      </c>
      <c r="AP23" s="116"/>
      <c r="AQ23" s="18" cm="1">
        <f t="array" ref="AQ23">flatInterpolation($AG23,$S$4:$S$9,AP$5:AP$10)</f>
        <v>5.0000000000000001E-3</v>
      </c>
      <c r="AR23" s="26">
        <f t="shared" si="8"/>
        <v>0.97652971404384414</v>
      </c>
      <c r="AS23" s="122">
        <f t="shared" si="9"/>
        <v>1.2214253743739745E-3</v>
      </c>
      <c r="AT23" s="116"/>
      <c r="AU23" s="18" cm="1">
        <f t="array" ref="AU23">flatInterpolation($AG23,$S$4:$S$9,AT$5:AT$10)</f>
        <v>5.0000000000000001E-3</v>
      </c>
      <c r="AV23" s="26">
        <f t="shared" si="10"/>
        <v>0.97652971404384414</v>
      </c>
      <c r="AW23" s="122">
        <f t="shared" si="11"/>
        <v>1.2214253743739745E-3</v>
      </c>
      <c r="AX23" s="116"/>
      <c r="AY23" s="18" cm="1">
        <f t="array" ref="AY23">flatInterpolation($AG23,$S$4:$S$9,AX$5:AX$10)</f>
        <v>5.0001000000000004E-3</v>
      </c>
      <c r="AZ23" s="26">
        <f t="shared" si="12"/>
        <v>0.97652973845708724</v>
      </c>
      <c r="BA23" s="122">
        <f t="shared" si="13"/>
        <v>1.2214498486891046E-3</v>
      </c>
      <c r="BB23" s="116"/>
      <c r="BC23" s="18" cm="1">
        <f t="array" ref="BC23">flatInterpolation($AG23,$S$4:$S$9,BB$5:BB$10)</f>
        <v>5.0000000000000001E-3</v>
      </c>
      <c r="BD23" s="26">
        <f t="shared" si="14"/>
        <v>0.97652981169682063</v>
      </c>
      <c r="BE23" s="122">
        <f t="shared" si="15"/>
        <v>1.2214254965164928E-3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5.0000000000000001E-3</v>
      </c>
      <c r="X24" s="24">
        <f t="shared" si="16"/>
        <v>5</v>
      </c>
      <c r="Y24" s="25" cm="1">
        <f t="array" ref="Y24">flatInterpolation(X24,$S$4:$S$9,$T$4:$T$9)</f>
        <v>5.0000000000000001E-3</v>
      </c>
      <c r="Z24" s="26">
        <f t="shared" si="2"/>
        <v>0.9753099120283335</v>
      </c>
      <c r="AA24" s="26">
        <f t="shared" si="3"/>
        <v>1.2198996684871233E-3</v>
      </c>
      <c r="AB24" s="27" cm="1">
        <f t="array" ref="AB24">cubicInterpolation(CurveResults.Times,CurveResults.DFs,$X24)</f>
        <v>0.81496171728417521</v>
      </c>
      <c r="AG24" s="24">
        <f t="shared" si="17"/>
        <v>5</v>
      </c>
      <c r="AI24" s="18" cm="1">
        <f t="array" ref="AI24">flatInterpolation($AG24,$S$4:$S$9,AH$5:AH$10)</f>
        <v>5.0000000000000001E-3</v>
      </c>
      <c r="AJ24" s="26">
        <f t="shared" si="4"/>
        <v>0.97530981449734699</v>
      </c>
      <c r="AK24" s="122">
        <f t="shared" si="5"/>
        <v>1.2198995464971496E-3</v>
      </c>
      <c r="AL24" s="116"/>
      <c r="AM24" s="18" cm="1">
        <f t="array" ref="AM24">flatInterpolation($AG24,$S$4:$S$9,AL$5:AL$10)</f>
        <v>5.0000000000000001E-3</v>
      </c>
      <c r="AN24" s="26">
        <f t="shared" si="6"/>
        <v>0.97530981449734711</v>
      </c>
      <c r="AO24" s="122">
        <f t="shared" si="7"/>
        <v>1.2198995464971496E-3</v>
      </c>
      <c r="AP24" s="116"/>
      <c r="AQ24" s="18" cm="1">
        <f t="array" ref="AQ24">flatInterpolation($AG24,$S$4:$S$9,AP$5:AP$10)</f>
        <v>5.0000000000000001E-3</v>
      </c>
      <c r="AR24" s="26">
        <f t="shared" si="8"/>
        <v>0.97530981449734699</v>
      </c>
      <c r="AS24" s="122">
        <f t="shared" si="9"/>
        <v>1.2198995464971496E-3</v>
      </c>
      <c r="AT24" s="116"/>
      <c r="AU24" s="18" cm="1">
        <f t="array" ref="AU24">flatInterpolation($AG24,$S$4:$S$9,AT$5:AT$10)</f>
        <v>5.0000000000000001E-3</v>
      </c>
      <c r="AV24" s="26">
        <f t="shared" si="10"/>
        <v>0.97530981449734699</v>
      </c>
      <c r="AW24" s="122">
        <f t="shared" si="11"/>
        <v>1.2198995464971496E-3</v>
      </c>
      <c r="AX24" s="116"/>
      <c r="AY24" s="18" cm="1">
        <f t="array" ref="AY24">flatInterpolation($AG24,$S$4:$S$9,AX$5:AX$10)</f>
        <v>5.0001000000000004E-3</v>
      </c>
      <c r="AZ24" s="26">
        <f t="shared" si="12"/>
        <v>0.97530981449734688</v>
      </c>
      <c r="BA24" s="122">
        <f t="shared" si="13"/>
        <v>1.2199239597403544E-3</v>
      </c>
      <c r="BB24" s="116"/>
      <c r="BC24" s="18" cm="1">
        <f t="array" ref="BC24">flatInterpolation($AG24,$S$4:$S$9,BB$5:BB$10)</f>
        <v>5.0000000000000001E-3</v>
      </c>
      <c r="BD24" s="26">
        <f t="shared" si="14"/>
        <v>0.9753099120283335</v>
      </c>
      <c r="BE24" s="122">
        <f t="shared" si="15"/>
        <v>1.2198996684871233E-3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5.0000000000000001E-3</v>
      </c>
      <c r="X25" s="24">
        <f t="shared" si="16"/>
        <v>5.25</v>
      </c>
      <c r="Y25" s="25" cm="1">
        <f t="array" ref="Y25">flatInterpolation(X25,$S$4:$S$9,$T$4:$T$9)</f>
        <v>5.0000000000000001E-3</v>
      </c>
      <c r="Z25" s="26">
        <f t="shared" si="2"/>
        <v>0.97409153628178236</v>
      </c>
      <c r="AA25" s="26">
        <f t="shared" si="3"/>
        <v>1.218375746551148E-3</v>
      </c>
      <c r="AB25" s="27" cm="1">
        <f t="array" ref="AB25">cubicInterpolation(CurveResults.Times,CurveResults.DFs,$X25)</f>
        <v>0.80737798558678209</v>
      </c>
      <c r="AG25" s="24">
        <f t="shared" si="17"/>
        <v>5.25</v>
      </c>
      <c r="AI25" s="18" cm="1">
        <f t="array" ref="AI25">flatInterpolation($AG25,$S$4:$S$9,AH$5:AH$10)</f>
        <v>5.0000000000000001E-3</v>
      </c>
      <c r="AJ25" s="26">
        <f t="shared" si="4"/>
        <v>0.9740914388726335</v>
      </c>
      <c r="AK25" s="122">
        <f t="shared" si="5"/>
        <v>1.2183756247134969E-3</v>
      </c>
      <c r="AL25" s="116"/>
      <c r="AM25" s="18" cm="1">
        <f t="array" ref="AM25">flatInterpolation($AG25,$S$4:$S$9,AL$5:AL$10)</f>
        <v>5.0000000000000001E-3</v>
      </c>
      <c r="AN25" s="26">
        <f t="shared" si="6"/>
        <v>0.97409143887263361</v>
      </c>
      <c r="AO25" s="122">
        <f t="shared" si="7"/>
        <v>1.2183756247134969E-3</v>
      </c>
      <c r="AP25" s="116"/>
      <c r="AQ25" s="18" cm="1">
        <f t="array" ref="AQ25">flatInterpolation($AG25,$S$4:$S$9,AP$5:AP$10)</f>
        <v>5.0000000000000001E-3</v>
      </c>
      <c r="AR25" s="26">
        <f t="shared" si="8"/>
        <v>0.9740914388726335</v>
      </c>
      <c r="AS25" s="122">
        <f t="shared" si="9"/>
        <v>1.2183756247134969E-3</v>
      </c>
      <c r="AT25" s="116"/>
      <c r="AU25" s="18" cm="1">
        <f t="array" ref="AU25">flatInterpolation($AG25,$S$4:$S$9,AT$5:AT$10)</f>
        <v>5.0000000000000001E-3</v>
      </c>
      <c r="AV25" s="26">
        <f t="shared" si="10"/>
        <v>0.9740914388726335</v>
      </c>
      <c r="AW25" s="122">
        <f t="shared" si="11"/>
        <v>1.2183756247134969E-3</v>
      </c>
      <c r="AX25" s="116"/>
      <c r="AY25" s="18" cm="1">
        <f t="array" ref="AY25">flatInterpolation($AG25,$S$4:$S$9,AX$5:AX$10)</f>
        <v>5.0000000000000001E-3</v>
      </c>
      <c r="AZ25" s="26">
        <f t="shared" si="12"/>
        <v>0.97409143887263339</v>
      </c>
      <c r="BA25" s="122">
        <f t="shared" si="13"/>
        <v>1.2183756247134969E-3</v>
      </c>
      <c r="BB25" s="116"/>
      <c r="BC25" s="18" cm="1">
        <f t="array" ref="BC25">flatInterpolation($AG25,$S$4:$S$9,BB$5:BB$10)</f>
        <v>5.0001000000000004E-3</v>
      </c>
      <c r="BD25" s="26">
        <f t="shared" si="14"/>
        <v>0.97409151192949428</v>
      </c>
      <c r="BE25" s="122">
        <f t="shared" si="15"/>
        <v>1.218400098839223E-3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5.0000000000000001E-3</v>
      </c>
      <c r="X26" s="24">
        <f t="shared" si="16"/>
        <v>5.5</v>
      </c>
      <c r="Y26" s="25" cm="1">
        <f t="array" ref="Y26">flatInterpolation(X26,$S$4:$S$9,$T$4:$T$9)</f>
        <v>5.0000000000000001E-3</v>
      </c>
      <c r="Z26" s="26">
        <f t="shared" si="2"/>
        <v>0.97287468255345488</v>
      </c>
      <c r="AA26" s="26">
        <f t="shared" si="3"/>
        <v>1.2168537283274716E-3</v>
      </c>
      <c r="AB26" s="27" cm="1">
        <f t="array" ref="AB26">cubicInterpolation(CurveResults.Times,CurveResults.DFs,$X26)</f>
        <v>0.79988180597213521</v>
      </c>
      <c r="AG26" s="24">
        <f t="shared" si="17"/>
        <v>5.5</v>
      </c>
      <c r="AI26" s="18" cm="1">
        <f t="array" ref="AI26">flatInterpolation($AG26,$S$4:$S$9,AH$5:AH$10)</f>
        <v>5.0000000000000001E-3</v>
      </c>
      <c r="AJ26" s="26">
        <f t="shared" si="4"/>
        <v>0.97287458526599135</v>
      </c>
      <c r="AK26" s="122">
        <f t="shared" si="5"/>
        <v>1.2168536066421431E-3</v>
      </c>
      <c r="AL26" s="116"/>
      <c r="AM26" s="18" cm="1">
        <f t="array" ref="AM26">flatInterpolation($AG26,$S$4:$S$9,AL$5:AL$10)</f>
        <v>5.0000000000000001E-3</v>
      </c>
      <c r="AN26" s="26">
        <f t="shared" si="6"/>
        <v>0.97287458526599147</v>
      </c>
      <c r="AO26" s="122">
        <f t="shared" si="7"/>
        <v>1.2168536066421431E-3</v>
      </c>
      <c r="AP26" s="116"/>
      <c r="AQ26" s="18" cm="1">
        <f t="array" ref="AQ26">flatInterpolation($AG26,$S$4:$S$9,AP$5:AP$10)</f>
        <v>5.0000000000000001E-3</v>
      </c>
      <c r="AR26" s="26">
        <f t="shared" si="8"/>
        <v>0.97287458526599135</v>
      </c>
      <c r="AS26" s="122">
        <f t="shared" si="9"/>
        <v>1.2168536066421431E-3</v>
      </c>
      <c r="AT26" s="116"/>
      <c r="AU26" s="18" cm="1">
        <f t="array" ref="AU26">flatInterpolation($AG26,$S$4:$S$9,AT$5:AT$10)</f>
        <v>5.0000000000000001E-3</v>
      </c>
      <c r="AV26" s="26">
        <f t="shared" si="10"/>
        <v>0.97287458526599135</v>
      </c>
      <c r="AW26" s="122">
        <f t="shared" si="11"/>
        <v>1.2168536066421431E-3</v>
      </c>
      <c r="AX26" s="116"/>
      <c r="AY26" s="18" cm="1">
        <f t="array" ref="AY26">flatInterpolation($AG26,$S$4:$S$9,AX$5:AX$10)</f>
        <v>5.0000000000000001E-3</v>
      </c>
      <c r="AZ26" s="26">
        <f t="shared" si="12"/>
        <v>0.97287458526599124</v>
      </c>
      <c r="BA26" s="122">
        <f t="shared" si="13"/>
        <v>1.2168536066421431E-3</v>
      </c>
      <c r="BB26" s="116"/>
      <c r="BC26" s="18" cm="1">
        <f t="array" ref="BC26">flatInterpolation($AG26,$S$4:$S$9,BB$5:BB$10)</f>
        <v>5.0001000000000004E-3</v>
      </c>
      <c r="BD26" s="26">
        <f t="shared" si="14"/>
        <v>0.97287463390972195</v>
      </c>
      <c r="BE26" s="122">
        <f t="shared" si="15"/>
        <v>1.2168780197723272E-3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5.0000006510419375E-3</v>
      </c>
      <c r="N27" s="65">
        <v>5.0000000000000001E-3</v>
      </c>
      <c r="O27" s="66">
        <f t="shared" ref="O27:O32" si="24">Q4/(1-RecoveryRate)</f>
        <v>5.0000000000000001E-3</v>
      </c>
      <c r="P27" s="65">
        <f t="shared" ref="P27:P32" si="25">V14</f>
        <v>-3.9062501063641397E-10</v>
      </c>
      <c r="Q27" s="83">
        <f t="shared" ref="Q27:Q32" si="26">M27-N27</f>
        <v>6.510419373745302E-10</v>
      </c>
      <c r="S27" s="17">
        <f>S5</f>
        <v>2</v>
      </c>
      <c r="T27" s="18" cm="1">
        <f t="array" ref="T27">flatInterpolation(S27,Calibration.Times,Calibration.HazardRates)</f>
        <v>5.0000000000000001E-3</v>
      </c>
      <c r="X27" s="24">
        <f t="shared" si="16"/>
        <v>5.75</v>
      </c>
      <c r="Y27" s="25" cm="1">
        <f t="array" ref="Y27">flatInterpolation(X27,$S$4:$S$9,$T$4:$T$9)</f>
        <v>5.0000000000000001E-3</v>
      </c>
      <c r="Z27" s="26">
        <f t="shared" si="2"/>
        <v>0.97165934894201678</v>
      </c>
      <c r="AA27" s="26">
        <f t="shared" si="3"/>
        <v>1.2153336114381075E-3</v>
      </c>
      <c r="AB27" s="27" cm="1">
        <f t="array" ref="AB27">cubicInterpolation(CurveResults.Times,CurveResults.DFs,$X27)</f>
        <v>0.79246475287440499</v>
      </c>
      <c r="AG27" s="24">
        <f t="shared" si="17"/>
        <v>5.75</v>
      </c>
      <c r="AI27" s="18" cm="1">
        <f t="array" ref="AI27">flatInterpolation($AG27,$S$4:$S$9,AH$5:AH$10)</f>
        <v>5.0000000000000001E-3</v>
      </c>
      <c r="AJ27" s="26">
        <f t="shared" si="4"/>
        <v>0.9716592517760867</v>
      </c>
      <c r="AK27" s="122">
        <f t="shared" si="5"/>
        <v>1.2153334899046575E-3</v>
      </c>
      <c r="AL27" s="116"/>
      <c r="AM27" s="18" cm="1">
        <f t="array" ref="AM27">flatInterpolation($AG27,$S$4:$S$9,AL$5:AL$10)</f>
        <v>5.0000000000000001E-3</v>
      </c>
      <c r="AN27" s="26">
        <f t="shared" si="6"/>
        <v>0.97165925177608681</v>
      </c>
      <c r="AO27" s="122">
        <f t="shared" si="7"/>
        <v>1.2153334899046575E-3</v>
      </c>
      <c r="AP27" s="116"/>
      <c r="AQ27" s="18" cm="1">
        <f t="array" ref="AQ27">flatInterpolation($AG27,$S$4:$S$9,AP$5:AP$10)</f>
        <v>5.0000000000000001E-3</v>
      </c>
      <c r="AR27" s="26">
        <f t="shared" si="8"/>
        <v>0.9716592517760867</v>
      </c>
      <c r="AS27" s="122">
        <f t="shared" si="9"/>
        <v>1.2153334899046575E-3</v>
      </c>
      <c r="AT27" s="116"/>
      <c r="AU27" s="18" cm="1">
        <f t="array" ref="AU27">flatInterpolation($AG27,$S$4:$S$9,AT$5:AT$10)</f>
        <v>5.0000000000000001E-3</v>
      </c>
      <c r="AV27" s="26">
        <f t="shared" si="10"/>
        <v>0.9716592517760867</v>
      </c>
      <c r="AW27" s="122">
        <f t="shared" si="11"/>
        <v>1.2153334899046575E-3</v>
      </c>
      <c r="AX27" s="116"/>
      <c r="AY27" s="18" cm="1">
        <f t="array" ref="AY27">flatInterpolation($AG27,$S$4:$S$9,AX$5:AX$10)</f>
        <v>5.0000000000000001E-3</v>
      </c>
      <c r="AZ27" s="26">
        <f t="shared" si="12"/>
        <v>0.97165925177608659</v>
      </c>
      <c r="BA27" s="122">
        <f t="shared" si="13"/>
        <v>1.2153334899046575E-3</v>
      </c>
      <c r="BB27" s="116"/>
      <c r="BC27" s="18" cm="1">
        <f t="array" ref="BC27">flatInterpolation($AG27,$S$4:$S$9,BB$5:BB$10)</f>
        <v>5.0001000000000004E-3</v>
      </c>
      <c r="BD27" s="26">
        <f t="shared" si="14"/>
        <v>0.9716592760675683</v>
      </c>
      <c r="BE27" s="122">
        <f t="shared" si="15"/>
        <v>1.2153578421536526E-3</v>
      </c>
    </row>
    <row r="28" spans="3:57" x14ac:dyDescent="0.3">
      <c r="K28" s="67" t="s">
        <v>12</v>
      </c>
      <c r="L28" s="17">
        <v>2</v>
      </c>
      <c r="M28" s="60">
        <v>5.0000006510419791E-3</v>
      </c>
      <c r="N28" s="45">
        <v>5.0000000000000001E-3</v>
      </c>
      <c r="O28" s="61">
        <f t="shared" si="24"/>
        <v>5.0000000000000001E-3</v>
      </c>
      <c r="P28" s="45">
        <f t="shared" si="25"/>
        <v>-3.906250227794783E-10</v>
      </c>
      <c r="Q28" s="84">
        <f t="shared" si="26"/>
        <v>6.5104197900789362E-10</v>
      </c>
      <c r="S28" s="17">
        <f>S27+0.01</f>
        <v>2.0099999999999998</v>
      </c>
      <c r="T28" s="18" cm="1">
        <f t="array" ref="T28">flatInterpolation(S28,Calibration.Times,Calibration.HazardRates)</f>
        <v>5.0000000000000001E-3</v>
      </c>
      <c r="X28" s="24">
        <f t="shared" si="16"/>
        <v>6</v>
      </c>
      <c r="Y28" s="25" cm="1">
        <f t="array" ref="Y28">flatInterpolation(X28,$S$4:$S$9,$T$4:$T$9)</f>
        <v>5.0000000000000001E-3</v>
      </c>
      <c r="Z28" s="26">
        <f t="shared" si="2"/>
        <v>0.97044553354850915</v>
      </c>
      <c r="AA28" s="26">
        <f t="shared" si="3"/>
        <v>1.2138153935076224E-3</v>
      </c>
      <c r="AB28" s="27" cm="1">
        <f t="array" ref="AB28">cubicInterpolation(CurveResults.Times,CurveResults.DFs,$X28)</f>
        <v>0.78511840072776184</v>
      </c>
      <c r="AG28" s="24">
        <f t="shared" si="17"/>
        <v>6</v>
      </c>
      <c r="AI28" s="18" cm="1">
        <f t="array" ref="AI28">flatInterpolation($AG28,$S$4:$S$9,AH$5:AH$10)</f>
        <v>5.0000000000000001E-3</v>
      </c>
      <c r="AJ28" s="26">
        <f t="shared" si="4"/>
        <v>0.97044543650396053</v>
      </c>
      <c r="AK28" s="122">
        <f t="shared" si="5"/>
        <v>1.2138152721261619E-3</v>
      </c>
      <c r="AL28" s="116"/>
      <c r="AM28" s="18" cm="1">
        <f t="array" ref="AM28">flatInterpolation($AG28,$S$4:$S$9,AL$5:AL$10)</f>
        <v>5.0000000000000001E-3</v>
      </c>
      <c r="AN28" s="26">
        <f t="shared" si="6"/>
        <v>0.97044543650396065</v>
      </c>
      <c r="AO28" s="122">
        <f t="shared" si="7"/>
        <v>1.2138152721261619E-3</v>
      </c>
      <c r="AP28" s="116"/>
      <c r="AQ28" s="18" cm="1">
        <f t="array" ref="AQ28">flatInterpolation($AG28,$S$4:$S$9,AP$5:AP$10)</f>
        <v>5.0000000000000001E-3</v>
      </c>
      <c r="AR28" s="26">
        <f t="shared" si="8"/>
        <v>0.97044543650396053</v>
      </c>
      <c r="AS28" s="122">
        <f t="shared" si="9"/>
        <v>1.2138152721261619E-3</v>
      </c>
      <c r="AT28" s="116"/>
      <c r="AU28" s="18" cm="1">
        <f t="array" ref="AU28">flatInterpolation($AG28,$S$4:$S$9,AT$5:AT$10)</f>
        <v>5.0000000000000001E-3</v>
      </c>
      <c r="AV28" s="26">
        <f t="shared" si="10"/>
        <v>0.97044543650396053</v>
      </c>
      <c r="AW28" s="122">
        <f t="shared" si="11"/>
        <v>1.2138152721261619E-3</v>
      </c>
      <c r="AX28" s="116"/>
      <c r="AY28" s="18" cm="1">
        <f t="array" ref="AY28">flatInterpolation($AG28,$S$4:$S$9,AX$5:AX$10)</f>
        <v>5.0000000000000001E-3</v>
      </c>
      <c r="AZ28" s="26">
        <f t="shared" si="12"/>
        <v>0.97044543650396042</v>
      </c>
      <c r="BA28" s="122">
        <f t="shared" si="13"/>
        <v>1.2138152721261619E-3</v>
      </c>
      <c r="BB28" s="116"/>
      <c r="BC28" s="18" cm="1">
        <f t="array" ref="BC28">flatInterpolation($AG28,$S$4:$S$9,BB$5:BB$10)</f>
        <v>5.0001000000000004E-3</v>
      </c>
      <c r="BD28" s="26">
        <f t="shared" si="14"/>
        <v>0.97044543650396053</v>
      </c>
      <c r="BE28" s="122">
        <f t="shared" si="15"/>
        <v>1.2138395636077659E-3</v>
      </c>
    </row>
    <row r="29" spans="3:57" x14ac:dyDescent="0.3">
      <c r="K29" s="67" t="s">
        <v>13</v>
      </c>
      <c r="L29" s="17">
        <v>3</v>
      </c>
      <c r="M29" s="60">
        <v>5.0000006510420901E-3</v>
      </c>
      <c r="N29" s="45">
        <v>5.0000000000000001E-3</v>
      </c>
      <c r="O29" s="61">
        <f t="shared" si="24"/>
        <v>5.0000000000000001E-3</v>
      </c>
      <c r="P29" s="45">
        <f t="shared" si="25"/>
        <v>-3.9062504836664957E-10</v>
      </c>
      <c r="Q29" s="84">
        <f t="shared" si="26"/>
        <v>6.5104209003019609E-10</v>
      </c>
      <c r="S29" s="17">
        <f>S6</f>
        <v>3</v>
      </c>
      <c r="T29" s="18" cm="1">
        <f t="array" ref="T29">flatInterpolation(S29,Calibration.Times,Calibration.HazardRates)</f>
        <v>5.0000000000000001E-3</v>
      </c>
      <c r="X29" s="24">
        <f t="shared" si="16"/>
        <v>6.25</v>
      </c>
      <c r="Y29" s="25" cm="1">
        <f t="array" ref="Y29">flatInterpolation(X29,$S$4:$S$9,$T$4:$T$9)</f>
        <v>5.0000000000000001E-3</v>
      </c>
      <c r="Z29" s="26">
        <f t="shared" si="2"/>
        <v>0.96923323447634513</v>
      </c>
      <c r="AA29" s="26">
        <f t="shared" si="3"/>
        <v>1.2122990721640248E-3</v>
      </c>
      <c r="AB29" s="27" cm="1">
        <f t="array" ref="AB29">cubicInterpolation(CurveResults.Times,CurveResults.DFs,$X29)</f>
        <v>0.77784547446757579</v>
      </c>
      <c r="AG29" s="24">
        <f t="shared" si="17"/>
        <v>6.25</v>
      </c>
      <c r="AI29" s="18" cm="1">
        <f t="array" ref="AI29">flatInterpolation($AG29,$S$4:$S$9,AH$5:AH$10)</f>
        <v>5.0000000000000001E-3</v>
      </c>
      <c r="AJ29" s="26">
        <f t="shared" si="4"/>
        <v>0.96923313755302642</v>
      </c>
      <c r="AK29" s="122">
        <f t="shared" si="5"/>
        <v>1.2122989509341098E-3</v>
      </c>
      <c r="AL29" s="116"/>
      <c r="AM29" s="18" cm="1">
        <f t="array" ref="AM29">flatInterpolation($AG29,$S$4:$S$9,AL$5:AL$10)</f>
        <v>5.0000000000000001E-3</v>
      </c>
      <c r="AN29" s="26">
        <f t="shared" si="6"/>
        <v>0.96923313755302654</v>
      </c>
      <c r="AO29" s="122">
        <f t="shared" si="7"/>
        <v>1.2122989509341098E-3</v>
      </c>
      <c r="AP29" s="116"/>
      <c r="AQ29" s="18" cm="1">
        <f t="array" ref="AQ29">flatInterpolation($AG29,$S$4:$S$9,AP$5:AP$10)</f>
        <v>5.0000000000000001E-3</v>
      </c>
      <c r="AR29" s="26">
        <f t="shared" si="8"/>
        <v>0.96923313755302642</v>
      </c>
      <c r="AS29" s="122">
        <f t="shared" si="9"/>
        <v>1.2122989509341098E-3</v>
      </c>
      <c r="AT29" s="116"/>
      <c r="AU29" s="18" cm="1">
        <f t="array" ref="AU29">flatInterpolation($AG29,$S$4:$S$9,AT$5:AT$10)</f>
        <v>5.0000000000000001E-3</v>
      </c>
      <c r="AV29" s="26">
        <f t="shared" si="10"/>
        <v>0.96923313755302642</v>
      </c>
      <c r="AW29" s="122">
        <f t="shared" si="11"/>
        <v>1.2122989509341098E-3</v>
      </c>
      <c r="AX29" s="116"/>
      <c r="AY29" s="18" cm="1">
        <f t="array" ref="AY29">flatInterpolation($AG29,$S$4:$S$9,AX$5:AX$10)</f>
        <v>5.0000000000000001E-3</v>
      </c>
      <c r="AZ29" s="26">
        <f t="shared" si="12"/>
        <v>0.96923313755302631</v>
      </c>
      <c r="BA29" s="122">
        <f t="shared" si="13"/>
        <v>1.2122989509341098E-3</v>
      </c>
      <c r="BB29" s="116"/>
      <c r="BC29" s="18" cm="1">
        <f t="array" ref="BC29">flatInterpolation($AG29,$S$4:$S$9,BB$5:BB$10)</f>
        <v>5.0001000000000004E-3</v>
      </c>
      <c r="BD29" s="26">
        <f t="shared" si="14"/>
        <v>0.96923311332219819</v>
      </c>
      <c r="BE29" s="122">
        <f t="shared" si="15"/>
        <v>1.2123231817623425E-3</v>
      </c>
    </row>
    <row r="30" spans="3:57" x14ac:dyDescent="0.3">
      <c r="K30" s="67" t="s">
        <v>14</v>
      </c>
      <c r="L30" s="17">
        <v>4</v>
      </c>
      <c r="M30" s="60">
        <v>5.000000651041901E-3</v>
      </c>
      <c r="N30" s="45">
        <v>5.0000000000000001E-3</v>
      </c>
      <c r="O30" s="61">
        <f t="shared" si="24"/>
        <v>5.0000000000000001E-3</v>
      </c>
      <c r="P30" s="45">
        <f t="shared" si="25"/>
        <v>-3.906250340551809E-10</v>
      </c>
      <c r="Q30" s="84">
        <f t="shared" si="26"/>
        <v>6.510419009453372E-10</v>
      </c>
      <c r="S30" s="17">
        <f>S29+0.01</f>
        <v>3.01</v>
      </c>
      <c r="T30" s="18" cm="1">
        <f t="array" ref="T30">flatInterpolation(S30,Calibration.Times,Calibration.HazardRates)</f>
        <v>5.0000000000000001E-3</v>
      </c>
      <c r="X30" s="24">
        <f t="shared" si="16"/>
        <v>6.5</v>
      </c>
      <c r="Y30" s="25" cm="1">
        <f t="array" ref="Y30">flatInterpolation(X30,$S$4:$S$9,$T$4:$T$9)</f>
        <v>5.0000000000000001E-3</v>
      </c>
      <c r="Z30" s="26">
        <f t="shared" si="2"/>
        <v>0.96802244983130714</v>
      </c>
      <c r="AA30" s="26">
        <f t="shared" si="3"/>
        <v>1.2107846450379878E-3</v>
      </c>
      <c r="AB30" s="27" cm="1">
        <f t="array" ref="AB30">cubicInterpolation(CurveResults.Times,CurveResults.DFs,$X30)</f>
        <v>0.77064881047798106</v>
      </c>
      <c r="AG30" s="24">
        <f t="shared" si="17"/>
        <v>6.5</v>
      </c>
      <c r="AI30" s="18" cm="1">
        <f t="array" ref="AI30">flatInterpolation($AG30,$S$4:$S$9,AH$5:AH$10)</f>
        <v>5.0000000000000001E-3</v>
      </c>
      <c r="AJ30" s="26">
        <f t="shared" si="4"/>
        <v>0.96802235302906692</v>
      </c>
      <c r="AK30" s="122">
        <f t="shared" si="5"/>
        <v>1.2107845239595072E-3</v>
      </c>
      <c r="AL30" s="116"/>
      <c r="AM30" s="18" cm="1">
        <f t="array" ref="AM30">flatInterpolation($AG30,$S$4:$S$9,AL$5:AL$10)</f>
        <v>5.0000000000000001E-3</v>
      </c>
      <c r="AN30" s="26">
        <f t="shared" si="6"/>
        <v>0.96802235302906703</v>
      </c>
      <c r="AO30" s="122">
        <f t="shared" si="7"/>
        <v>1.2107845239595072E-3</v>
      </c>
      <c r="AP30" s="116"/>
      <c r="AQ30" s="18" cm="1">
        <f t="array" ref="AQ30">flatInterpolation($AG30,$S$4:$S$9,AP$5:AP$10)</f>
        <v>5.0000000000000001E-3</v>
      </c>
      <c r="AR30" s="26">
        <f t="shared" si="8"/>
        <v>0.96802235302906692</v>
      </c>
      <c r="AS30" s="122">
        <f t="shared" si="9"/>
        <v>1.2107845239595072E-3</v>
      </c>
      <c r="AT30" s="116"/>
      <c r="AU30" s="18" cm="1">
        <f t="array" ref="AU30">flatInterpolation($AG30,$S$4:$S$9,AT$5:AT$10)</f>
        <v>5.0000000000000001E-3</v>
      </c>
      <c r="AV30" s="26">
        <f t="shared" si="10"/>
        <v>0.96802235302906692</v>
      </c>
      <c r="AW30" s="122">
        <f t="shared" si="11"/>
        <v>1.2107845239595072E-3</v>
      </c>
      <c r="AX30" s="116"/>
      <c r="AY30" s="18" cm="1">
        <f t="array" ref="AY30">flatInterpolation($AG30,$S$4:$S$9,AX$5:AX$10)</f>
        <v>5.0000000000000001E-3</v>
      </c>
      <c r="AZ30" s="26">
        <f t="shared" si="12"/>
        <v>0.96802235302906681</v>
      </c>
      <c r="BA30" s="122">
        <f t="shared" si="13"/>
        <v>1.2107845239595072E-3</v>
      </c>
      <c r="BB30" s="116"/>
      <c r="BC30" s="18" cm="1">
        <f t="array" ref="BC30">flatInterpolation($AG30,$S$4:$S$9,BB$5:BB$10)</f>
        <v>5.0001000000000004E-3</v>
      </c>
      <c r="BD30" s="26">
        <f t="shared" si="14"/>
        <v>0.96802230462795025</v>
      </c>
      <c r="BE30" s="122">
        <f t="shared" si="15"/>
        <v>1.2108086942479446E-3</v>
      </c>
    </row>
    <row r="31" spans="3:57" x14ac:dyDescent="0.3">
      <c r="K31" s="67" t="s">
        <v>15</v>
      </c>
      <c r="L31" s="17">
        <v>5</v>
      </c>
      <c r="M31" s="60">
        <v>5.0000006510420494E-3</v>
      </c>
      <c r="N31" s="45">
        <v>5.0000000000000001E-3</v>
      </c>
      <c r="O31" s="61">
        <f t="shared" si="24"/>
        <v>5.0000000000000001E-3</v>
      </c>
      <c r="P31" s="45">
        <f t="shared" si="25"/>
        <v>-3.9062504229511741E-10</v>
      </c>
      <c r="Q31" s="84">
        <f t="shared" si="26"/>
        <v>6.510420492641944E-10</v>
      </c>
      <c r="S31" s="17">
        <f>S7</f>
        <v>4</v>
      </c>
      <c r="T31" s="18" cm="1">
        <f t="array" ref="T31">flatInterpolation(S31,Calibration.Times,Calibration.HazardRates)</f>
        <v>5.0000000000000001E-3</v>
      </c>
      <c r="X31" s="24">
        <f t="shared" si="16"/>
        <v>6.75</v>
      </c>
      <c r="Y31" s="25" cm="1">
        <f t="array" ref="Y31">flatInterpolation(X31,$S$4:$S$9,$T$4:$T$9)</f>
        <v>5.0000000000000001E-3</v>
      </c>
      <c r="Z31" s="26">
        <f t="shared" si="2"/>
        <v>0.96681317772154396</v>
      </c>
      <c r="AA31" s="26">
        <f t="shared" si="3"/>
        <v>1.209272109763182E-3</v>
      </c>
      <c r="AB31" s="27" cm="1">
        <f t="array" ref="AB31">cubicInterpolation(CurveResults.Times,CurveResults.DFs,$X31)</f>
        <v>0.76352015036629473</v>
      </c>
      <c r="AG31" s="24">
        <f t="shared" si="17"/>
        <v>6.75</v>
      </c>
      <c r="AI31" s="18" cm="1">
        <f t="array" ref="AI31">flatInterpolation($AG31,$S$4:$S$9,AH$5:AH$10)</f>
        <v>5.0000000000000001E-3</v>
      </c>
      <c r="AJ31" s="26">
        <f t="shared" si="4"/>
        <v>0.96681308104023089</v>
      </c>
      <c r="AK31" s="122">
        <f t="shared" si="5"/>
        <v>1.2092719888360248E-3</v>
      </c>
      <c r="AL31" s="116"/>
      <c r="AM31" s="18" cm="1">
        <f t="array" ref="AM31">flatInterpolation($AG31,$S$4:$S$9,AL$5:AL$10)</f>
        <v>5.0000000000000001E-3</v>
      </c>
      <c r="AN31" s="26">
        <f t="shared" si="6"/>
        <v>0.966813081040231</v>
      </c>
      <c r="AO31" s="122">
        <f t="shared" si="7"/>
        <v>1.2092719888360248E-3</v>
      </c>
      <c r="AP31" s="116"/>
      <c r="AQ31" s="18" cm="1">
        <f t="array" ref="AQ31">flatInterpolation($AG31,$S$4:$S$9,AP$5:AP$10)</f>
        <v>5.0000000000000001E-3</v>
      </c>
      <c r="AR31" s="26">
        <f t="shared" si="8"/>
        <v>0.96681308104023089</v>
      </c>
      <c r="AS31" s="122">
        <f t="shared" si="9"/>
        <v>1.2092719888360248E-3</v>
      </c>
      <c r="AT31" s="116"/>
      <c r="AU31" s="18" cm="1">
        <f t="array" ref="AU31">flatInterpolation($AG31,$S$4:$S$9,AT$5:AT$10)</f>
        <v>5.0000000000000001E-3</v>
      </c>
      <c r="AV31" s="26">
        <f t="shared" si="10"/>
        <v>0.96681308104023089</v>
      </c>
      <c r="AW31" s="122">
        <f t="shared" si="11"/>
        <v>1.2092719888360248E-3</v>
      </c>
      <c r="AX31" s="116"/>
      <c r="AY31" s="18" cm="1">
        <f t="array" ref="AY31">flatInterpolation($AG31,$S$4:$S$9,AX$5:AX$10)</f>
        <v>5.0000000000000001E-3</v>
      </c>
      <c r="AZ31" s="26">
        <f t="shared" si="12"/>
        <v>0.96681308104023078</v>
      </c>
      <c r="BA31" s="122">
        <f t="shared" si="13"/>
        <v>1.2092719888360248E-3</v>
      </c>
      <c r="BB31" s="116"/>
      <c r="BC31" s="18" cm="1">
        <f t="array" ref="BC31">flatInterpolation($AG31,$S$4:$S$9,BB$5:BB$10)</f>
        <v>5.0001000000000004E-3</v>
      </c>
      <c r="BD31" s="26">
        <f t="shared" si="14"/>
        <v>0.96681300852925234</v>
      </c>
      <c r="BE31" s="122">
        <f t="shared" si="15"/>
        <v>1.2092960986979095E-3</v>
      </c>
    </row>
    <row r="32" spans="3:57" x14ac:dyDescent="0.3">
      <c r="K32" s="68" t="s">
        <v>16</v>
      </c>
      <c r="L32" s="69">
        <v>10</v>
      </c>
      <c r="M32" s="70">
        <v>5.0000006510421066E-3</v>
      </c>
      <c r="N32" s="71">
        <v>5.0000000000000001E-3</v>
      </c>
      <c r="O32" s="72">
        <f t="shared" si="24"/>
        <v>5.0000000000000001E-3</v>
      </c>
      <c r="P32" s="71">
        <f t="shared" si="25"/>
        <v>-3.9062505530554348E-10</v>
      </c>
      <c r="Q32" s="85">
        <f t="shared" si="26"/>
        <v>6.5104210651006911E-10</v>
      </c>
      <c r="S32" s="17">
        <f>S31+0.01</f>
        <v>4.01</v>
      </c>
      <c r="T32" s="18" cm="1">
        <f t="array" ref="T32">flatInterpolation(S32,Calibration.Times,Calibration.HazardRates)</f>
        <v>5.0000000000000001E-3</v>
      </c>
      <c r="X32" s="24">
        <f t="shared" si="16"/>
        <v>7</v>
      </c>
      <c r="Y32" s="25" cm="1">
        <f t="array" ref="Y32">flatInterpolation(X32,$S$4:$S$9,$T$4:$T$9)</f>
        <v>5.0000000000000001E-3</v>
      </c>
      <c r="Z32" s="26">
        <f t="shared" si="2"/>
        <v>0.96560541625756768</v>
      </c>
      <c r="AA32" s="26">
        <f t="shared" si="3"/>
        <v>1.2077614639762757E-3</v>
      </c>
      <c r="AB32" s="27" cm="1">
        <f t="array" ref="AB32">cubicInterpolation(CurveResults.Times,CurveResults.DFs,$X32)</f>
        <v>0.75645123573983353</v>
      </c>
      <c r="AG32" s="24">
        <f t="shared" si="17"/>
        <v>7</v>
      </c>
      <c r="AI32" s="18" cm="1">
        <f t="array" ref="AI32">flatInterpolation($AG32,$S$4:$S$9,AH$5:AH$10)</f>
        <v>5.0000000000000001E-3</v>
      </c>
      <c r="AJ32" s="26">
        <f t="shared" si="4"/>
        <v>0.96560531969703078</v>
      </c>
      <c r="AK32" s="122">
        <f t="shared" si="5"/>
        <v>1.2077613432001089E-3</v>
      </c>
      <c r="AL32" s="116"/>
      <c r="AM32" s="18" cm="1">
        <f t="array" ref="AM32">flatInterpolation($AG32,$S$4:$S$9,AL$5:AL$10)</f>
        <v>5.0000000000000001E-3</v>
      </c>
      <c r="AN32" s="26">
        <f t="shared" si="6"/>
        <v>0.96560531969703089</v>
      </c>
      <c r="AO32" s="122">
        <f t="shared" si="7"/>
        <v>1.2077613432001089E-3</v>
      </c>
      <c r="AP32" s="116"/>
      <c r="AQ32" s="18" cm="1">
        <f t="array" ref="AQ32">flatInterpolation($AG32,$S$4:$S$9,AP$5:AP$10)</f>
        <v>5.0000000000000001E-3</v>
      </c>
      <c r="AR32" s="26">
        <f t="shared" si="8"/>
        <v>0.96560531969703078</v>
      </c>
      <c r="AS32" s="122">
        <f t="shared" si="9"/>
        <v>1.2077613432001089E-3</v>
      </c>
      <c r="AT32" s="116"/>
      <c r="AU32" s="18" cm="1">
        <f t="array" ref="AU32">flatInterpolation($AG32,$S$4:$S$9,AT$5:AT$10)</f>
        <v>5.0000000000000001E-3</v>
      </c>
      <c r="AV32" s="26">
        <f t="shared" si="10"/>
        <v>0.96560531969703078</v>
      </c>
      <c r="AW32" s="122">
        <f t="shared" si="11"/>
        <v>1.2077613432001089E-3</v>
      </c>
      <c r="AX32" s="116"/>
      <c r="AY32" s="18" cm="1">
        <f t="array" ref="AY32">flatInterpolation($AG32,$S$4:$S$9,AX$5:AX$10)</f>
        <v>5.0000000000000001E-3</v>
      </c>
      <c r="AZ32" s="26">
        <f t="shared" si="12"/>
        <v>0.96560531969703067</v>
      </c>
      <c r="BA32" s="122">
        <f t="shared" si="13"/>
        <v>1.2077613432001089E-3</v>
      </c>
      <c r="BB32" s="116"/>
      <c r="BC32" s="18" cm="1">
        <f t="array" ref="BC32">flatInterpolation($AG32,$S$4:$S$9,BB$5:BB$10)</f>
        <v>5.0001000000000004E-3</v>
      </c>
      <c r="BD32" s="26">
        <f t="shared" si="14"/>
        <v>0.96560522313650332</v>
      </c>
      <c r="BE32" s="122">
        <f t="shared" si="15"/>
        <v>1.2077853927490168E-3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5.0000000000000001E-3</v>
      </c>
      <c r="X33" s="24">
        <f t="shared" si="16"/>
        <v>7.25</v>
      </c>
      <c r="Y33" s="25" cm="1">
        <f t="array" ref="Y33">flatInterpolation(X33,$S$4:$S$9,$T$4:$T$9)</f>
        <v>5.0000000000000001E-3</v>
      </c>
      <c r="Z33" s="26">
        <f t="shared" si="2"/>
        <v>0.96439916355225075</v>
      </c>
      <c r="AA33" s="26">
        <f t="shared" si="3"/>
        <v>1.2062527053169347E-3</v>
      </c>
      <c r="AB33" s="27" cm="1">
        <f t="array" ref="AB33">cubicInterpolation(CurveResults.Times,CurveResults.DFs,$X33)</f>
        <v>0.74944730018205008</v>
      </c>
      <c r="AG33" s="24">
        <f t="shared" si="17"/>
        <v>7.25</v>
      </c>
      <c r="AI33" s="18" cm="1">
        <f t="array" ref="AI33">flatInterpolation($AG33,$S$4:$S$9,AH$5:AH$10)</f>
        <v>5.0000000000000001E-3</v>
      </c>
      <c r="AJ33" s="26">
        <f t="shared" si="4"/>
        <v>0.96439906711233914</v>
      </c>
      <c r="AK33" s="122">
        <f t="shared" si="5"/>
        <v>1.2062525846916472E-3</v>
      </c>
      <c r="AL33" s="116"/>
      <c r="AM33" s="18" cm="1">
        <f t="array" ref="AM33">flatInterpolation($AG33,$S$4:$S$9,AL$5:AL$10)</f>
        <v>5.0000000000000001E-3</v>
      </c>
      <c r="AN33" s="26">
        <f t="shared" si="6"/>
        <v>0.96439906711233925</v>
      </c>
      <c r="AO33" s="122">
        <f t="shared" si="7"/>
        <v>1.2062525846916472E-3</v>
      </c>
      <c r="AP33" s="116"/>
      <c r="AQ33" s="18" cm="1">
        <f t="array" ref="AQ33">flatInterpolation($AG33,$S$4:$S$9,AP$5:AP$10)</f>
        <v>5.0000000000000001E-3</v>
      </c>
      <c r="AR33" s="26">
        <f t="shared" si="8"/>
        <v>0.96439906711233914</v>
      </c>
      <c r="AS33" s="122">
        <f t="shared" si="9"/>
        <v>1.2062525846916472E-3</v>
      </c>
      <c r="AT33" s="116"/>
      <c r="AU33" s="18" cm="1">
        <f t="array" ref="AU33">flatInterpolation($AG33,$S$4:$S$9,AT$5:AT$10)</f>
        <v>5.0000000000000001E-3</v>
      </c>
      <c r="AV33" s="26">
        <f t="shared" si="10"/>
        <v>0.96439906711233914</v>
      </c>
      <c r="AW33" s="122">
        <f t="shared" si="11"/>
        <v>1.2062525846916472E-3</v>
      </c>
      <c r="AX33" s="116"/>
      <c r="AY33" s="18" cm="1">
        <f t="array" ref="AY33">flatInterpolation($AG33,$S$4:$S$9,AX$5:AX$10)</f>
        <v>5.0000000000000001E-3</v>
      </c>
      <c r="AZ33" s="26">
        <f t="shared" si="12"/>
        <v>0.96439906711233903</v>
      </c>
      <c r="BA33" s="122">
        <f t="shared" si="13"/>
        <v>1.2062525846916472E-3</v>
      </c>
      <c r="BB33" s="116"/>
      <c r="BC33" s="18" cm="1">
        <f t="array" ref="BC33">flatInterpolation($AG33,$S$4:$S$9,BB$5:BB$10)</f>
        <v>5.0001000000000004E-3</v>
      </c>
      <c r="BD33" s="26">
        <f t="shared" si="14"/>
        <v>0.96439894656246283</v>
      </c>
      <c r="BE33" s="122">
        <f t="shared" si="15"/>
        <v>1.2062765740404879E-3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5.0000000000000001E-3</v>
      </c>
      <c r="X34" s="24">
        <f t="shared" si="16"/>
        <v>7.5</v>
      </c>
      <c r="Y34" s="25" cm="1">
        <f t="array" ref="Y34">flatInterpolation(X34,$S$4:$S$9,$T$4:$T$9)</f>
        <v>5.0000000000000001E-3</v>
      </c>
      <c r="Z34" s="26">
        <f t="shared" si="2"/>
        <v>0.96319441772082304</v>
      </c>
      <c r="AA34" s="26">
        <f t="shared" si="3"/>
        <v>1.2047458314277115E-3</v>
      </c>
      <c r="AB34" s="27" cm="1">
        <f t="array" ref="AB34">cubicInterpolation(CurveResults.Times,CurveResults.DFs,$X34)</f>
        <v>0.74251026956187482</v>
      </c>
      <c r="AG34" s="24">
        <f t="shared" si="17"/>
        <v>7.5</v>
      </c>
      <c r="AI34" s="18" cm="1">
        <f t="array" ref="AI34">flatInterpolation($AG34,$S$4:$S$9,AH$5:AH$10)</f>
        <v>5.0000000000000001E-3</v>
      </c>
      <c r="AJ34" s="26">
        <f t="shared" si="4"/>
        <v>0.96319432140138606</v>
      </c>
      <c r="AK34" s="122">
        <f t="shared" si="5"/>
        <v>1.2047457109530813E-3</v>
      </c>
      <c r="AL34" s="116"/>
      <c r="AM34" s="18" cm="1">
        <f t="array" ref="AM34">flatInterpolation($AG34,$S$4:$S$9,AL$5:AL$10)</f>
        <v>5.0000000000000001E-3</v>
      </c>
      <c r="AN34" s="26">
        <f t="shared" si="6"/>
        <v>0.96319432140138617</v>
      </c>
      <c r="AO34" s="122">
        <f t="shared" si="7"/>
        <v>1.2047457109530813E-3</v>
      </c>
      <c r="AP34" s="116"/>
      <c r="AQ34" s="18" cm="1">
        <f t="array" ref="AQ34">flatInterpolation($AG34,$S$4:$S$9,AP$5:AP$10)</f>
        <v>5.0000000000000001E-3</v>
      </c>
      <c r="AR34" s="26">
        <f t="shared" si="8"/>
        <v>0.96319432140138606</v>
      </c>
      <c r="AS34" s="122">
        <f t="shared" si="9"/>
        <v>1.2047457109530813E-3</v>
      </c>
      <c r="AT34" s="116"/>
      <c r="AU34" s="18" cm="1">
        <f t="array" ref="AU34">flatInterpolation($AG34,$S$4:$S$9,AT$5:AT$10)</f>
        <v>5.0000000000000001E-3</v>
      </c>
      <c r="AV34" s="26">
        <f t="shared" si="10"/>
        <v>0.96319432140138606</v>
      </c>
      <c r="AW34" s="122">
        <f t="shared" si="11"/>
        <v>1.2047457109530813E-3</v>
      </c>
      <c r="AX34" s="116"/>
      <c r="AY34" s="18" cm="1">
        <f t="array" ref="AY34">flatInterpolation($AG34,$S$4:$S$9,AX$5:AX$10)</f>
        <v>5.0000000000000001E-3</v>
      </c>
      <c r="AZ34" s="26">
        <f t="shared" si="12"/>
        <v>0.96319432140138594</v>
      </c>
      <c r="BA34" s="122">
        <f t="shared" si="13"/>
        <v>1.2047457109530813E-3</v>
      </c>
      <c r="BB34" s="116"/>
      <c r="BC34" s="18" cm="1">
        <f t="array" ref="BC34">flatInterpolation($AG34,$S$4:$S$9,BB$5:BB$10)</f>
        <v>5.0001000000000004E-3</v>
      </c>
      <c r="BD34" s="26">
        <f t="shared" si="14"/>
        <v>0.96319417692224818</v>
      </c>
      <c r="BE34" s="122">
        <f t="shared" si="15"/>
        <v>1.2047696402146535E-3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5.0000000000000001E-3</v>
      </c>
      <c r="X35" s="24">
        <f t="shared" si="16"/>
        <v>7.75</v>
      </c>
      <c r="Y35" s="25" cm="1">
        <f t="array" ref="Y35">flatInterpolation(X35,$S$4:$S$9,$T$4:$T$9)</f>
        <v>5.0000000000000001E-3</v>
      </c>
      <c r="Z35" s="26">
        <f t="shared" si="2"/>
        <v>0.96199117688086899</v>
      </c>
      <c r="AA35" s="26">
        <f t="shared" si="3"/>
        <v>1.2032408399540451E-3</v>
      </c>
      <c r="AB35" s="27" cm="1">
        <f t="array" ref="AB35">cubicInterpolation(CurveResults.Times,CurveResults.DFs,$X35)</f>
        <v>0.73562692391484197</v>
      </c>
      <c r="AG35" s="24">
        <f t="shared" si="17"/>
        <v>7.75</v>
      </c>
      <c r="AI35" s="18" cm="1">
        <f t="array" ref="AI35">flatInterpolation($AG35,$S$4:$S$9,AH$5:AH$10)</f>
        <v>5.0000000000000001E-3</v>
      </c>
      <c r="AJ35" s="26">
        <f t="shared" si="4"/>
        <v>0.96199108068175609</v>
      </c>
      <c r="AK35" s="122">
        <f t="shared" si="5"/>
        <v>1.203240719629961E-3</v>
      </c>
      <c r="AL35" s="116"/>
      <c r="AM35" s="18" cm="1">
        <f t="array" ref="AM35">flatInterpolation($AG35,$S$4:$S$9,AL$5:AL$10)</f>
        <v>5.0000000000000001E-3</v>
      </c>
      <c r="AN35" s="26">
        <f t="shared" si="6"/>
        <v>0.96199108068175621</v>
      </c>
      <c r="AO35" s="122">
        <f t="shared" si="7"/>
        <v>1.203240719629961E-3</v>
      </c>
      <c r="AP35" s="116"/>
      <c r="AQ35" s="18" cm="1">
        <f t="array" ref="AQ35">flatInterpolation($AG35,$S$4:$S$9,AP$5:AP$10)</f>
        <v>5.0000000000000001E-3</v>
      </c>
      <c r="AR35" s="26">
        <f t="shared" si="8"/>
        <v>0.96199108068175609</v>
      </c>
      <c r="AS35" s="122">
        <f t="shared" si="9"/>
        <v>1.203240719629961E-3</v>
      </c>
      <c r="AT35" s="116"/>
      <c r="AU35" s="18" cm="1">
        <f t="array" ref="AU35">flatInterpolation($AG35,$S$4:$S$9,AT$5:AT$10)</f>
        <v>5.0000000000000001E-3</v>
      </c>
      <c r="AV35" s="26">
        <f t="shared" si="10"/>
        <v>0.96199108068175609</v>
      </c>
      <c r="AW35" s="122">
        <f t="shared" si="11"/>
        <v>1.203240719629961E-3</v>
      </c>
      <c r="AX35" s="116"/>
      <c r="AY35" s="18" cm="1">
        <f t="array" ref="AY35">flatInterpolation($AG35,$S$4:$S$9,AX$5:AX$10)</f>
        <v>5.0000000000000001E-3</v>
      </c>
      <c r="AZ35" s="26">
        <f t="shared" si="12"/>
        <v>0.96199108068175598</v>
      </c>
      <c r="BA35" s="122">
        <f t="shared" si="13"/>
        <v>1.203240719629961E-3</v>
      </c>
      <c r="BB35" s="116"/>
      <c r="BC35" s="18" cm="1">
        <f t="array" ref="BC35">flatInterpolation($AG35,$S$4:$S$9,BB$5:BB$10)</f>
        <v>5.0001000000000004E-3</v>
      </c>
      <c r="BD35" s="26">
        <f t="shared" si="14"/>
        <v>0.96199091233333112</v>
      </c>
      <c r="BE35" s="122">
        <f t="shared" si="15"/>
        <v>1.2032645889170634E-3</v>
      </c>
    </row>
    <row r="36" spans="3:57" x14ac:dyDescent="0.3">
      <c r="O36" s="55" t="s">
        <v>147</v>
      </c>
      <c r="T36" s="2"/>
      <c r="X36" s="24">
        <f t="shared" si="16"/>
        <v>8</v>
      </c>
      <c r="Y36" s="25" cm="1">
        <f t="array" ref="Y36">flatInterpolation(X36,$S$4:$S$9,$T$4:$T$9)</f>
        <v>5.0000000000000001E-3</v>
      </c>
      <c r="Z36" s="26">
        <f t="shared" si="2"/>
        <v>0.96078943915232451</v>
      </c>
      <c r="AA36" s="26">
        <f t="shared" si="3"/>
        <v>1.201737728544483E-3</v>
      </c>
      <c r="AB36" s="27" cm="1">
        <f t="array" ref="AB36">cubicInterpolation(CurveResults.Times,CurveResults.DFs,$X36)</f>
        <v>0.72878404327648572</v>
      </c>
      <c r="AG36" s="24">
        <f t="shared" si="17"/>
        <v>8</v>
      </c>
      <c r="AI36" s="18" cm="1">
        <f t="array" ref="AI36">flatInterpolation($AG36,$S$4:$S$9,AH$5:AH$10)</f>
        <v>5.0000000000000001E-3</v>
      </c>
      <c r="AJ36" s="26">
        <f t="shared" si="4"/>
        <v>0.96078934307338537</v>
      </c>
      <c r="AK36" s="122">
        <f t="shared" si="5"/>
        <v>1.2017376083707232E-3</v>
      </c>
      <c r="AL36" s="116"/>
      <c r="AM36" s="18" cm="1">
        <f t="array" ref="AM36">flatInterpolation($AG36,$S$4:$S$9,AL$5:AL$10)</f>
        <v>5.0000000000000001E-3</v>
      </c>
      <c r="AN36" s="26">
        <f t="shared" si="6"/>
        <v>0.96078934307338548</v>
      </c>
      <c r="AO36" s="122">
        <f t="shared" si="7"/>
        <v>1.2017376083707232E-3</v>
      </c>
      <c r="AP36" s="116"/>
      <c r="AQ36" s="18" cm="1">
        <f t="array" ref="AQ36">flatInterpolation($AG36,$S$4:$S$9,AP$5:AP$10)</f>
        <v>5.0000000000000001E-3</v>
      </c>
      <c r="AR36" s="26">
        <f t="shared" si="8"/>
        <v>0.96078934307338537</v>
      </c>
      <c r="AS36" s="122">
        <f t="shared" si="9"/>
        <v>1.2017376083707232E-3</v>
      </c>
      <c r="AT36" s="116"/>
      <c r="AU36" s="18" cm="1">
        <f t="array" ref="AU36">flatInterpolation($AG36,$S$4:$S$9,AT$5:AT$10)</f>
        <v>5.0000000000000001E-3</v>
      </c>
      <c r="AV36" s="26">
        <f t="shared" si="10"/>
        <v>0.96078934307338537</v>
      </c>
      <c r="AW36" s="122">
        <f t="shared" si="11"/>
        <v>1.2017376083707232E-3</v>
      </c>
      <c r="AX36" s="116"/>
      <c r="AY36" s="18" cm="1">
        <f t="array" ref="AY36">flatInterpolation($AG36,$S$4:$S$9,AX$5:AX$10)</f>
        <v>5.0000000000000001E-3</v>
      </c>
      <c r="AZ36" s="26">
        <f t="shared" si="12"/>
        <v>0.96078934307338526</v>
      </c>
      <c r="BA36" s="122">
        <f t="shared" si="13"/>
        <v>1.2017376083707232E-3</v>
      </c>
      <c r="BB36" s="116"/>
      <c r="BC36" s="18" cm="1">
        <f t="array" ref="BC36">flatInterpolation($AG36,$S$4:$S$9,BB$5:BB$10)</f>
        <v>5.0001000000000004E-3</v>
      </c>
      <c r="BD36" s="26">
        <f t="shared" si="14"/>
        <v>0.96078915091553541</v>
      </c>
      <c r="BE36" s="122">
        <f t="shared" si="15"/>
        <v>1.2017614177957103E-3</v>
      </c>
    </row>
    <row r="37" spans="3:57" x14ac:dyDescent="0.3">
      <c r="O37" s="46" t="b">
        <v>0</v>
      </c>
      <c r="X37" s="24">
        <f t="shared" si="16"/>
        <v>8.25</v>
      </c>
      <c r="Y37" s="25" cm="1">
        <f t="array" ref="Y37">flatInterpolation(X37,$S$4:$S$9,$T$4:$T$9)</f>
        <v>5.0000000000000001E-3</v>
      </c>
      <c r="Z37" s="26">
        <f t="shared" si="2"/>
        <v>0.95958920265747427</v>
      </c>
      <c r="AA37" s="26">
        <f t="shared" si="3"/>
        <v>1.2002364948502375E-3</v>
      </c>
      <c r="AB37" s="27" cm="1">
        <f t="array" ref="AB37">cubicInterpolation(CurveResults.Times,CurveResults.DFs,$X37)</f>
        <v>0.72197918670630057</v>
      </c>
      <c r="AG37" s="24">
        <f t="shared" si="17"/>
        <v>8.25</v>
      </c>
      <c r="AI37" s="18" cm="1">
        <f t="array" ref="AI37">flatInterpolation($AG37,$S$4:$S$9,AH$5:AH$10)</f>
        <v>5.0000000000000001E-3</v>
      </c>
      <c r="AJ37" s="26">
        <f t="shared" si="4"/>
        <v>0.95958910669855868</v>
      </c>
      <c r="AK37" s="122">
        <f t="shared" si="5"/>
        <v>1.2002363748266909E-3</v>
      </c>
      <c r="AL37" s="116"/>
      <c r="AM37" s="18" cm="1">
        <f t="array" ref="AM37">flatInterpolation($AG37,$S$4:$S$9,AL$5:AL$10)</f>
        <v>5.0000000000000001E-3</v>
      </c>
      <c r="AN37" s="26">
        <f t="shared" si="6"/>
        <v>0.95958910669855879</v>
      </c>
      <c r="AO37" s="122">
        <f t="shared" si="7"/>
        <v>1.2002363748266909E-3</v>
      </c>
      <c r="AP37" s="116"/>
      <c r="AQ37" s="18" cm="1">
        <f t="array" ref="AQ37">flatInterpolation($AG37,$S$4:$S$9,AP$5:AP$10)</f>
        <v>5.0000000000000001E-3</v>
      </c>
      <c r="AR37" s="26">
        <f t="shared" si="8"/>
        <v>0.95958910669855868</v>
      </c>
      <c r="AS37" s="122">
        <f t="shared" si="9"/>
        <v>1.2002363748266909E-3</v>
      </c>
      <c r="AT37" s="116"/>
      <c r="AU37" s="18" cm="1">
        <f t="array" ref="AU37">flatInterpolation($AG37,$S$4:$S$9,AT$5:AT$10)</f>
        <v>5.0000000000000001E-3</v>
      </c>
      <c r="AV37" s="26">
        <f t="shared" si="10"/>
        <v>0.95958910669855868</v>
      </c>
      <c r="AW37" s="122">
        <f t="shared" si="11"/>
        <v>1.2002363748266909E-3</v>
      </c>
      <c r="AX37" s="116"/>
      <c r="AY37" s="18" cm="1">
        <f t="array" ref="AY37">flatInterpolation($AG37,$S$4:$S$9,AX$5:AX$10)</f>
        <v>5.0000000000000001E-3</v>
      </c>
      <c r="AZ37" s="26">
        <f t="shared" si="12"/>
        <v>0.95958910669855857</v>
      </c>
      <c r="BA37" s="122">
        <f t="shared" si="13"/>
        <v>1.2002363748266909E-3</v>
      </c>
      <c r="BB37" s="116"/>
      <c r="BC37" s="18" cm="1">
        <f t="array" ref="BC37">flatInterpolation($AG37,$S$4:$S$9,BB$5:BB$10)</f>
        <v>5.0001000000000004E-3</v>
      </c>
      <c r="BD37" s="26">
        <f t="shared" si="14"/>
        <v>0.95958889079103338</v>
      </c>
      <c r="BE37" s="122">
        <f t="shared" si="15"/>
        <v>1.2002601245020283E-3</v>
      </c>
    </row>
    <row r="38" spans="3:57" x14ac:dyDescent="0.3">
      <c r="X38" s="24">
        <f t="shared" si="16"/>
        <v>8.5</v>
      </c>
      <c r="Y38" s="25" cm="1">
        <f t="array" ref="Y38">flatInterpolation(X38,$S$4:$S$9,$T$4:$T$9)</f>
        <v>5.0000000000000001E-3</v>
      </c>
      <c r="Z38" s="26">
        <f t="shared" si="2"/>
        <v>0.95839046552094842</v>
      </c>
      <c r="AA38" s="26">
        <f t="shared" si="3"/>
        <v>1.1987371365258515E-3</v>
      </c>
      <c r="AB38" s="27" cm="1">
        <f t="array" ref="AB38">cubicInterpolation(CurveResults.Times,CurveResults.DFs,$X38)</f>
        <v>0.71521904339088416</v>
      </c>
      <c r="AG38" s="24">
        <f t="shared" si="17"/>
        <v>8.5</v>
      </c>
      <c r="AI38" s="18" cm="1">
        <f t="array" ref="AI38">flatInterpolation($AG38,$S$4:$S$9,AH$5:AH$10)</f>
        <v>5.0000000000000001E-3</v>
      </c>
      <c r="AJ38" s="26">
        <f t="shared" si="4"/>
        <v>0.9583903696819065</v>
      </c>
      <c r="AK38" s="122">
        <f t="shared" si="5"/>
        <v>1.1987370166521849E-3</v>
      </c>
      <c r="AL38" s="116"/>
      <c r="AM38" s="18" cm="1">
        <f t="array" ref="AM38">flatInterpolation($AG38,$S$4:$S$9,AL$5:AL$10)</f>
        <v>5.0000000000000001E-3</v>
      </c>
      <c r="AN38" s="26">
        <f t="shared" si="6"/>
        <v>0.95839036968190661</v>
      </c>
      <c r="AO38" s="122">
        <f t="shared" si="7"/>
        <v>1.1987370166521849E-3</v>
      </c>
      <c r="AP38" s="116"/>
      <c r="AQ38" s="18" cm="1">
        <f t="array" ref="AQ38">flatInterpolation($AG38,$S$4:$S$9,AP$5:AP$10)</f>
        <v>5.0000000000000001E-3</v>
      </c>
      <c r="AR38" s="26">
        <f t="shared" si="8"/>
        <v>0.9583903696819065</v>
      </c>
      <c r="AS38" s="122">
        <f t="shared" si="9"/>
        <v>1.1987370166521849E-3</v>
      </c>
      <c r="AT38" s="116"/>
      <c r="AU38" s="18" cm="1">
        <f t="array" ref="AU38">flatInterpolation($AG38,$S$4:$S$9,AT$5:AT$10)</f>
        <v>5.0000000000000001E-3</v>
      </c>
      <c r="AV38" s="26">
        <f t="shared" si="10"/>
        <v>0.9583903696819065</v>
      </c>
      <c r="AW38" s="122">
        <f t="shared" si="11"/>
        <v>1.1987370166521849E-3</v>
      </c>
      <c r="AX38" s="116"/>
      <c r="AY38" s="18" cm="1">
        <f t="array" ref="AY38">flatInterpolation($AG38,$S$4:$S$9,AX$5:AX$10)</f>
        <v>5.0000000000000001E-3</v>
      </c>
      <c r="AZ38" s="26">
        <f t="shared" si="12"/>
        <v>0.95839036968190638</v>
      </c>
      <c r="BA38" s="122">
        <f t="shared" si="13"/>
        <v>1.1987370166521849E-3</v>
      </c>
      <c r="BB38" s="116"/>
      <c r="BC38" s="18" cm="1">
        <f t="array" ref="BC38">flatInterpolation($AG38,$S$4:$S$9,BB$5:BB$10)</f>
        <v>5.0001000000000004E-3</v>
      </c>
      <c r="BD38" s="26">
        <f t="shared" si="14"/>
        <v>0.95839013008434337</v>
      </c>
      <c r="BE38" s="122">
        <f t="shared" si="15"/>
        <v>1.1987607066900052E-3</v>
      </c>
    </row>
    <row r="39" spans="3:57" x14ac:dyDescent="0.3">
      <c r="U39" s="2"/>
      <c r="V39" s="2"/>
      <c r="W39" s="2"/>
      <c r="X39" s="24">
        <f t="shared" si="16"/>
        <v>8.75</v>
      </c>
      <c r="Y39" s="25" cm="1">
        <f t="array" ref="Y39">flatInterpolation(X39,$S$4:$S$9,$T$4:$T$9)</f>
        <v>5.0000000000000001E-3</v>
      </c>
      <c r="Z39" s="26">
        <f t="shared" si="2"/>
        <v>0.95719322586971989</v>
      </c>
      <c r="AA39" s="26">
        <f t="shared" si="3"/>
        <v>1.1972396512285322E-3</v>
      </c>
      <c r="AB39" s="27" cm="1">
        <f t="array" ref="AB39">cubicInterpolation(CurveResults.Times,CurveResults.DFs,$X39)</f>
        <v>0.70850408855642577</v>
      </c>
      <c r="AG39" s="24">
        <f t="shared" si="17"/>
        <v>8.75</v>
      </c>
      <c r="AI39" s="18" cm="1">
        <f t="array" ref="AI39">flatInterpolation($AG39,$S$4:$S$9,AH$5:AH$10)</f>
        <v>5.0000000000000001E-3</v>
      </c>
      <c r="AJ39" s="26">
        <f t="shared" si="4"/>
        <v>0.95719313015040186</v>
      </c>
      <c r="AK39" s="122">
        <f t="shared" si="5"/>
        <v>1.1972395315046347E-3</v>
      </c>
      <c r="AL39" s="116"/>
      <c r="AM39" s="18" cm="1">
        <f t="array" ref="AM39">flatInterpolation($AG39,$S$4:$S$9,AL$5:AL$10)</f>
        <v>5.0000000000000001E-3</v>
      </c>
      <c r="AN39" s="26">
        <f t="shared" si="6"/>
        <v>0.95719313015040197</v>
      </c>
      <c r="AO39" s="122">
        <f t="shared" si="7"/>
        <v>1.1972395315046347E-3</v>
      </c>
      <c r="AP39" s="116"/>
      <c r="AQ39" s="18" cm="1">
        <f t="array" ref="AQ39">flatInterpolation($AG39,$S$4:$S$9,AP$5:AP$10)</f>
        <v>5.0000000000000001E-3</v>
      </c>
      <c r="AR39" s="26">
        <f t="shared" si="8"/>
        <v>0.95719313015040186</v>
      </c>
      <c r="AS39" s="122">
        <f t="shared" si="9"/>
        <v>1.1972395315046347E-3</v>
      </c>
      <c r="AT39" s="116"/>
      <c r="AU39" s="18" cm="1">
        <f t="array" ref="AU39">flatInterpolation($AG39,$S$4:$S$9,AT$5:AT$10)</f>
        <v>5.0000000000000001E-3</v>
      </c>
      <c r="AV39" s="26">
        <f t="shared" si="10"/>
        <v>0.95719313015040186</v>
      </c>
      <c r="AW39" s="122">
        <f t="shared" si="11"/>
        <v>1.1972395315046347E-3</v>
      </c>
      <c r="AX39" s="116"/>
      <c r="AY39" s="18" cm="1">
        <f t="array" ref="AY39">flatInterpolation($AG39,$S$4:$S$9,AX$5:AX$10)</f>
        <v>5.0000000000000001E-3</v>
      </c>
      <c r="AZ39" s="26">
        <f t="shared" si="12"/>
        <v>0.95719313015040175</v>
      </c>
      <c r="BA39" s="122">
        <f t="shared" si="13"/>
        <v>1.1972395315046347E-3</v>
      </c>
      <c r="BB39" s="116"/>
      <c r="BC39" s="18" cm="1">
        <f t="array" ref="BC39">flatInterpolation($AG39,$S$4:$S$9,BB$5:BB$10)</f>
        <v>5.0001000000000004E-3</v>
      </c>
      <c r="BD39" s="26">
        <f t="shared" si="14"/>
        <v>0.95719286692232664</v>
      </c>
      <c r="BE39" s="122">
        <f t="shared" si="15"/>
        <v>1.1972631620167373E-3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si="16"/>
        <v>9</v>
      </c>
      <c r="Y40" s="25" cm="1">
        <f t="array" ref="Y40">flatInterpolation(X40,$S$4:$S$9,$T$4:$T$9)</f>
        <v>5.0000000000000001E-3</v>
      </c>
      <c r="Z40" s="26">
        <f t="shared" si="2"/>
        <v>0.95599748183310151</v>
      </c>
      <c r="AA40" s="26">
        <f t="shared" si="3"/>
        <v>1.1957440366183736E-3</v>
      </c>
      <c r="AB40" s="27" cm="1">
        <f t="array" ref="AB40">cubicInterpolation(CurveResults.Times,CurveResults.DFs,$X40)</f>
        <v>0.70183479742911425</v>
      </c>
      <c r="AG40" s="24">
        <f t="shared" si="17"/>
        <v>9</v>
      </c>
      <c r="AI40" s="18" cm="1">
        <f t="array" ref="AI40">flatInterpolation($AG40,$S$4:$S$9,AH$5:AH$10)</f>
        <v>5.0000000000000001E-3</v>
      </c>
      <c r="AJ40" s="26">
        <f t="shared" si="4"/>
        <v>0.95599738623335784</v>
      </c>
      <c r="AK40" s="122">
        <f t="shared" si="5"/>
        <v>1.1957439170440232E-3</v>
      </c>
      <c r="AL40" s="116"/>
      <c r="AM40" s="18" cm="1">
        <f t="array" ref="AM40">flatInterpolation($AG40,$S$4:$S$9,AL$5:AL$10)</f>
        <v>5.0000000000000001E-3</v>
      </c>
      <c r="AN40" s="26">
        <f t="shared" si="6"/>
        <v>0.95599738623335795</v>
      </c>
      <c r="AO40" s="122">
        <f t="shared" si="7"/>
        <v>1.1957439170440232E-3</v>
      </c>
      <c r="AP40" s="116"/>
      <c r="AQ40" s="18" cm="1">
        <f t="array" ref="AQ40">flatInterpolation($AG40,$S$4:$S$9,AP$5:AP$10)</f>
        <v>5.0000000000000001E-3</v>
      </c>
      <c r="AR40" s="26">
        <f t="shared" si="8"/>
        <v>0.95599738623335784</v>
      </c>
      <c r="AS40" s="122">
        <f t="shared" si="9"/>
        <v>1.1957439170440232E-3</v>
      </c>
      <c r="AT40" s="116"/>
      <c r="AU40" s="18" cm="1">
        <f t="array" ref="AU40">flatInterpolation($AG40,$S$4:$S$9,AT$5:AT$10)</f>
        <v>5.0000000000000001E-3</v>
      </c>
      <c r="AV40" s="26">
        <f t="shared" si="10"/>
        <v>0.95599738623335784</v>
      </c>
      <c r="AW40" s="122">
        <f t="shared" si="11"/>
        <v>1.1957439170440232E-3</v>
      </c>
      <c r="AX40" s="116"/>
      <c r="AY40" s="18" cm="1">
        <f t="array" ref="AY40">flatInterpolation($AG40,$S$4:$S$9,AX$5:AX$10)</f>
        <v>5.0000000000000001E-3</v>
      </c>
      <c r="AZ40" s="26">
        <f t="shared" si="12"/>
        <v>0.95599738623335773</v>
      </c>
      <c r="BA40" s="122">
        <f t="shared" si="13"/>
        <v>1.1957439170440232E-3</v>
      </c>
      <c r="BB40" s="116"/>
      <c r="BC40" s="18" cm="1">
        <f t="array" ref="BC40">flatInterpolation($AG40,$S$4:$S$9,BB$5:BB$10)</f>
        <v>5.0001000000000004E-3</v>
      </c>
      <c r="BD40" s="26">
        <f t="shared" si="14"/>
        <v>0.95599709943418432</v>
      </c>
      <c r="BE40" s="122">
        <f t="shared" si="15"/>
        <v>1.1957674881423186E-3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si="16"/>
        <v>9.25</v>
      </c>
      <c r="Y41" s="25" cm="1">
        <f t="array" ref="Y41">flatInterpolation(X41,$S$4:$S$9,$T$4:$T$9)</f>
        <v>5.0000000000000001E-3</v>
      </c>
      <c r="Z41" s="26">
        <f t="shared" si="2"/>
        <v>0.95480323154274305</v>
      </c>
      <c r="AA41" s="26">
        <f t="shared" si="3"/>
        <v>1.1942502903584673E-3</v>
      </c>
      <c r="AB41" s="27" cm="1">
        <f t="array" ref="AB41">cubicInterpolation(CurveResults.Times,CurveResults.DFs,$X41)</f>
        <v>0.69522831370022098</v>
      </c>
      <c r="AG41" s="24">
        <f t="shared" si="17"/>
        <v>9.25</v>
      </c>
      <c r="AI41" s="18" cm="1">
        <f t="array" ref="AI41">flatInterpolation($AG41,$S$4:$S$9,AH$5:AH$10)</f>
        <v>5.0000000000000001E-3</v>
      </c>
      <c r="AJ41" s="26">
        <f t="shared" si="4"/>
        <v>0.9548031360624244</v>
      </c>
      <c r="AK41" s="122">
        <f t="shared" si="5"/>
        <v>1.1942501709334419E-3</v>
      </c>
      <c r="AL41" s="116"/>
      <c r="AM41" s="18" cm="1">
        <f t="array" ref="AM41">flatInterpolation($AG41,$S$4:$S$9,AL$5:AL$10)</f>
        <v>5.0000000000000001E-3</v>
      </c>
      <c r="AN41" s="26">
        <f t="shared" si="6"/>
        <v>0.95480313606242451</v>
      </c>
      <c r="AO41" s="122">
        <f t="shared" si="7"/>
        <v>1.1942501709334419E-3</v>
      </c>
      <c r="AP41" s="116"/>
      <c r="AQ41" s="18" cm="1">
        <f t="array" ref="AQ41">flatInterpolation($AG41,$S$4:$S$9,AP$5:AP$10)</f>
        <v>5.0000000000000001E-3</v>
      </c>
      <c r="AR41" s="26">
        <f t="shared" si="8"/>
        <v>0.9548031360624244</v>
      </c>
      <c r="AS41" s="122">
        <f t="shared" si="9"/>
        <v>1.1942501709334419E-3</v>
      </c>
      <c r="AT41" s="116"/>
      <c r="AU41" s="18" cm="1">
        <f t="array" ref="AU41">flatInterpolation($AG41,$S$4:$S$9,AT$5:AT$10)</f>
        <v>5.0000000000000001E-3</v>
      </c>
      <c r="AV41" s="26">
        <f t="shared" si="10"/>
        <v>0.9548031360624244</v>
      </c>
      <c r="AW41" s="122">
        <f t="shared" si="11"/>
        <v>1.1942501709334419E-3</v>
      </c>
      <c r="AX41" s="116"/>
      <c r="AY41" s="18" cm="1">
        <f t="array" ref="AY41">flatInterpolation($AG41,$S$4:$S$9,AX$5:AX$10)</f>
        <v>5.0000000000000001E-3</v>
      </c>
      <c r="AZ41" s="26">
        <f t="shared" si="12"/>
        <v>0.95480313606242428</v>
      </c>
      <c r="BA41" s="122">
        <f t="shared" si="13"/>
        <v>1.1942501709334419E-3</v>
      </c>
      <c r="BB41" s="116"/>
      <c r="BC41" s="18" cm="1">
        <f t="array" ref="BC41">flatInterpolation($AG41,$S$4:$S$9,BB$5:BB$10)</f>
        <v>5.0001000000000004E-3</v>
      </c>
      <c r="BD41" s="26">
        <f t="shared" si="14"/>
        <v>0.95480282575145481</v>
      </c>
      <c r="BE41" s="122">
        <f t="shared" si="15"/>
        <v>1.1942736827295075E-3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5.0000000000000001E-3</v>
      </c>
      <c r="L42" s="108">
        <v>5.0000006510419375E-3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si="16"/>
        <v>9.5</v>
      </c>
      <c r="Y42" s="25" cm="1">
        <f t="array" ref="Y42">flatInterpolation(X42,$S$4:$S$9,$T$4:$T$9)</f>
        <v>5.0000000000000001E-3</v>
      </c>
      <c r="Z42" s="26">
        <f t="shared" si="2"/>
        <v>0.95361047313262803</v>
      </c>
      <c r="AA42" s="26">
        <f t="shared" si="3"/>
        <v>1.1927584101150135E-3</v>
      </c>
      <c r="AB42" s="27" cm="1">
        <f t="array" ref="AB42">cubicInterpolation(CurveResults.Times,CurveResults.DFs,$X42)</f>
        <v>0.68867871159434935</v>
      </c>
      <c r="AG42" s="24">
        <f t="shared" si="17"/>
        <v>9.5</v>
      </c>
      <c r="AI42" s="18" cm="1">
        <f t="array" ref="AI42">flatInterpolation($AG42,$S$4:$S$9,AH$5:AH$10)</f>
        <v>5.0000000000000001E-3</v>
      </c>
      <c r="AJ42" s="26">
        <f t="shared" si="4"/>
        <v>0.9536103777715853</v>
      </c>
      <c r="AK42" s="122">
        <f t="shared" si="5"/>
        <v>1.192758290839091E-3</v>
      </c>
      <c r="AL42" s="116"/>
      <c r="AM42" s="18" cm="1">
        <f t="array" ref="AM42">flatInterpolation($AG42,$S$4:$S$9,AL$5:AL$10)</f>
        <v>5.0000000000000001E-3</v>
      </c>
      <c r="AN42" s="26">
        <f t="shared" si="6"/>
        <v>0.95361037777158542</v>
      </c>
      <c r="AO42" s="122">
        <f t="shared" si="7"/>
        <v>1.192758290839091E-3</v>
      </c>
      <c r="AP42" s="116"/>
      <c r="AQ42" s="18" cm="1">
        <f t="array" ref="AQ42">flatInterpolation($AG42,$S$4:$S$9,AP$5:AP$10)</f>
        <v>5.0000000000000001E-3</v>
      </c>
      <c r="AR42" s="26">
        <f t="shared" si="8"/>
        <v>0.9536103777715853</v>
      </c>
      <c r="AS42" s="122">
        <f t="shared" si="9"/>
        <v>1.192758290839091E-3</v>
      </c>
      <c r="AT42" s="116"/>
      <c r="AU42" s="18" cm="1">
        <f t="array" ref="AU42">flatInterpolation($AG42,$S$4:$S$9,AT$5:AT$10)</f>
        <v>5.0000000000000001E-3</v>
      </c>
      <c r="AV42" s="26">
        <f t="shared" si="10"/>
        <v>0.9536103777715853</v>
      </c>
      <c r="AW42" s="122">
        <f t="shared" si="11"/>
        <v>1.192758290839091E-3</v>
      </c>
      <c r="AX42" s="116"/>
      <c r="AY42" s="18" cm="1">
        <f t="array" ref="AY42">flatInterpolation($AG42,$S$4:$S$9,AX$5:AX$10)</f>
        <v>5.0000000000000001E-3</v>
      </c>
      <c r="AZ42" s="26">
        <f t="shared" si="12"/>
        <v>0.95361037777158519</v>
      </c>
      <c r="BA42" s="122">
        <f t="shared" si="13"/>
        <v>1.192758290839091E-3</v>
      </c>
      <c r="BB42" s="116"/>
      <c r="BC42" s="18" cm="1">
        <f t="array" ref="BC42">flatInterpolation($AG42,$S$4:$S$9,BB$5:BB$10)</f>
        <v>5.0001000000000004E-3</v>
      </c>
      <c r="BD42" s="26">
        <f t="shared" si="14"/>
        <v>0.95361004400801064</v>
      </c>
      <c r="BE42" s="122">
        <f t="shared" si="15"/>
        <v>1.1927817434441712E-3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5.0000000000000001E-3</v>
      </c>
      <c r="L43" s="103">
        <v>5.0000006510419791E-3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si="16"/>
        <v>9.75</v>
      </c>
      <c r="Y43" s="25" cm="1">
        <f t="array" ref="Y43">flatInterpolation(X43,$S$4:$S$9,$T$4:$T$9)</f>
        <v>5.0000000000000001E-3</v>
      </c>
      <c r="Z43" s="26">
        <f t="shared" si="2"/>
        <v>0.95241920473907138</v>
      </c>
      <c r="AA43" s="26">
        <f t="shared" si="3"/>
        <v>1.1912683935566548E-3</v>
      </c>
      <c r="AB43" s="27" cm="1">
        <f t="array" ref="AB43">cubicInterpolation(CurveResults.Times,CurveResults.DFs,$X43)</f>
        <v>0.6821518621376863</v>
      </c>
      <c r="AG43" s="24">
        <f t="shared" si="17"/>
        <v>9.75</v>
      </c>
      <c r="AI43" s="18" cm="1">
        <f t="array" ref="AI43">flatInterpolation($AG43,$S$4:$S$9,AH$5:AH$10)</f>
        <v>5.0000000000000001E-3</v>
      </c>
      <c r="AJ43" s="26">
        <f t="shared" si="4"/>
        <v>0.95241910949715547</v>
      </c>
      <c r="AK43" s="122">
        <f t="shared" si="5"/>
        <v>1.1912682744298353E-3</v>
      </c>
      <c r="AL43" s="116"/>
      <c r="AM43" s="18" cm="1">
        <f t="array" ref="AM43">flatInterpolation($AG43,$S$4:$S$9,AL$5:AL$10)</f>
        <v>5.0000000000000001E-3</v>
      </c>
      <c r="AN43" s="26">
        <f t="shared" si="6"/>
        <v>0.95241910949715558</v>
      </c>
      <c r="AO43" s="122">
        <f t="shared" si="7"/>
        <v>1.1912682744298353E-3</v>
      </c>
      <c r="AP43" s="116"/>
      <c r="AQ43" s="18" cm="1">
        <f t="array" ref="AQ43">flatInterpolation($AG43,$S$4:$S$9,AP$5:AP$10)</f>
        <v>5.0000000000000001E-3</v>
      </c>
      <c r="AR43" s="26">
        <f t="shared" si="8"/>
        <v>0.95241910949715547</v>
      </c>
      <c r="AS43" s="122">
        <f t="shared" si="9"/>
        <v>1.1912682744298353E-3</v>
      </c>
      <c r="AT43" s="116"/>
      <c r="AU43" s="18" cm="1">
        <f t="array" ref="AU43">flatInterpolation($AG43,$S$4:$S$9,AT$5:AT$10)</f>
        <v>5.0000000000000001E-3</v>
      </c>
      <c r="AV43" s="26">
        <f t="shared" si="10"/>
        <v>0.95241910949715547</v>
      </c>
      <c r="AW43" s="122">
        <f t="shared" si="11"/>
        <v>1.1912682744298353E-3</v>
      </c>
      <c r="AX43" s="116"/>
      <c r="AY43" s="18" cm="1">
        <f t="array" ref="AY43">flatInterpolation($AG43,$S$4:$S$9,AX$5:AX$10)</f>
        <v>5.0000000000000001E-3</v>
      </c>
      <c r="AZ43" s="26">
        <f t="shared" si="12"/>
        <v>0.95241910949715536</v>
      </c>
      <c r="BA43" s="122">
        <f t="shared" si="13"/>
        <v>1.1912682744298353E-3</v>
      </c>
      <c r="BB43" s="116"/>
      <c r="BC43" s="18" cm="1">
        <f t="array" ref="BC43">flatInterpolation($AG43,$S$4:$S$9,BB$5:BB$10)</f>
        <v>5.0001000000000004E-3</v>
      </c>
      <c r="BD43" s="26">
        <f t="shared" si="14"/>
        <v>0.95241875234005546</v>
      </c>
      <c r="BE43" s="122">
        <f t="shared" si="15"/>
        <v>1.1912916679551744E-3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5.0000000000000001E-3</v>
      </c>
      <c r="L44" s="103">
        <v>5.0000006510420901E-3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si="16"/>
        <v>10</v>
      </c>
      <c r="Y44" s="19" cm="1">
        <f t="array" ref="Y44">flatInterpolation(X44,$S$4:$S$9,$T$4:$T$9)</f>
        <v>5.0000000000000001E-3</v>
      </c>
      <c r="Z44" s="14">
        <f t="shared" si="2"/>
        <v>0.9512294245007159</v>
      </c>
      <c r="AA44" s="14">
        <f t="shared" si="3"/>
        <v>1.1897802383554756E-3</v>
      </c>
      <c r="AB44" s="15" cm="1">
        <f t="array" ref="AB44">cubicInterpolation(CurveResults.Times,CurveResults.DFs,$X44)</f>
        <v>0.67561363635641902</v>
      </c>
      <c r="AG44" s="9">
        <f t="shared" si="17"/>
        <v>10</v>
      </c>
      <c r="AH44" s="113"/>
      <c r="AI44" s="36" cm="1">
        <f t="array" ref="AI44">flatInterpolation($AG44,$S$4:$S$9,AH$5:AH$10)</f>
        <v>5.0000000000000001E-3</v>
      </c>
      <c r="AJ44" s="14">
        <f t="shared" si="4"/>
        <v>0.95122932937777793</v>
      </c>
      <c r="AK44" s="123">
        <f t="shared" si="5"/>
        <v>1.189780119377537E-3</v>
      </c>
      <c r="AL44" s="112"/>
      <c r="AM44" s="36" cm="1">
        <f t="array" ref="AM44">flatInterpolation($AG44,$S$4:$S$9,AL$5:AL$10)</f>
        <v>5.0000000000000001E-3</v>
      </c>
      <c r="AN44" s="14">
        <f t="shared" si="6"/>
        <v>0.95122932937777804</v>
      </c>
      <c r="AO44" s="123">
        <f t="shared" si="7"/>
        <v>1.189780119377537E-3</v>
      </c>
      <c r="AP44" s="112"/>
      <c r="AQ44" s="36" cm="1">
        <f t="array" ref="AQ44">flatInterpolation($AG44,$S$4:$S$9,AP$5:AP$10)</f>
        <v>5.0000000000000001E-3</v>
      </c>
      <c r="AR44" s="14">
        <f t="shared" si="8"/>
        <v>0.95122932937777793</v>
      </c>
      <c r="AS44" s="123">
        <f t="shared" si="9"/>
        <v>1.189780119377537E-3</v>
      </c>
      <c r="AT44" s="112"/>
      <c r="AU44" s="36" cm="1">
        <f t="array" ref="AU44">flatInterpolation($AG44,$S$4:$S$9,AT$5:AT$10)</f>
        <v>5.0000000000000001E-3</v>
      </c>
      <c r="AV44" s="14">
        <f t="shared" si="10"/>
        <v>0.95122932937777793</v>
      </c>
      <c r="AW44" s="123">
        <f t="shared" si="11"/>
        <v>1.189780119377537E-3</v>
      </c>
      <c r="AX44" s="112"/>
      <c r="AY44" s="36" cm="1">
        <f t="array" ref="AY44">flatInterpolation($AG44,$S$4:$S$9,AX$5:AX$10)</f>
        <v>5.0000000000000001E-3</v>
      </c>
      <c r="AZ44" s="14">
        <f t="shared" si="12"/>
        <v>0.95122932937777782</v>
      </c>
      <c r="BA44" s="123">
        <f t="shared" si="13"/>
        <v>1.189780119377537E-3</v>
      </c>
      <c r="BB44" s="112"/>
      <c r="BC44" s="36" cm="1">
        <f t="array" ref="BC44">flatInterpolation($AG44,$S$4:$S$9,BB$5:BB$10)</f>
        <v>5.0001000000000004E-3</v>
      </c>
      <c r="BD44" s="14">
        <f t="shared" si="14"/>
        <v>0.95122894888612131</v>
      </c>
      <c r="BE44" s="123">
        <f t="shared" si="15"/>
        <v>1.1898034539341573E-3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5.0000000000000001E-3</v>
      </c>
      <c r="L45" s="103">
        <v>5.000000651041901E-3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5.0000000000000001E-3</v>
      </c>
      <c r="L46" s="103">
        <v>5.0000006510420494E-3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5.0000000000000001E-3</v>
      </c>
      <c r="L47" s="105">
        <v>5.0000006510421066E-3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27">IF($K$51="ANALYTICAL",Y53,AH53)</f>
        <v>0.59999976677153899</v>
      </c>
      <c r="L53" s="90">
        <f t="shared" si="27"/>
        <v>0</v>
      </c>
      <c r="M53" s="90">
        <f t="shared" si="27"/>
        <v>0</v>
      </c>
      <c r="N53" s="90">
        <f t="shared" si="27"/>
        <v>0</v>
      </c>
      <c r="O53" s="90">
        <f t="shared" si="27"/>
        <v>0</v>
      </c>
      <c r="P53" s="91">
        <f t="shared" si="27"/>
        <v>0</v>
      </c>
      <c r="X53" s="2" t="s">
        <v>60</v>
      </c>
      <c r="Y53" s="89">
        <f>(Y64*RiskyAnnuity1Y-Protection1Y*Y75)/RiskyAnnuity1Y^2*Notional</f>
        <v>0.59999976562506097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28">(AH64-$U14)/ShiftSize</f>
        <v>0.59999976677153899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27"/>
        <v>0.30736219958516636</v>
      </c>
      <c r="L54" s="93">
        <f t="shared" si="27"/>
        <v>0.29263756724708795</v>
      </c>
      <c r="M54" s="94">
        <f t="shared" si="27"/>
        <v>0</v>
      </c>
      <c r="N54" s="94">
        <f t="shared" si="27"/>
        <v>0</v>
      </c>
      <c r="O54" s="94">
        <f t="shared" si="27"/>
        <v>0</v>
      </c>
      <c r="P54" s="95">
        <f t="shared" si="27"/>
        <v>0</v>
      </c>
      <c r="X54" s="2" t="s">
        <v>61</v>
      </c>
      <c r="Y54" s="92">
        <f>(Y65*RiskyAnnuity2Y-Protection2Y*Y76)/RiskyAnnuity2Y^2*Notional</f>
        <v>0.30845955831675315</v>
      </c>
      <c r="Z54" s="93">
        <f>(Z65*RiskyAnnuity2Y-Protection2Y*Z76)/RiskyAnnuity2Y^2*Notional</f>
        <v>0.29263757431966758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28"/>
        <v>0.30736219958516636</v>
      </c>
      <c r="AI54" s="93">
        <f>(AI65-$U15)/ShiftSize</f>
        <v>0.29263756724708795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27"/>
        <v>0.20968885587960284</v>
      </c>
      <c r="L55" s="93">
        <f t="shared" si="27"/>
        <v>0.19964341003292363</v>
      </c>
      <c r="M55" s="93">
        <f t="shared" si="27"/>
        <v>0.19066750134039828</v>
      </c>
      <c r="N55" s="94">
        <f t="shared" si="27"/>
        <v>0</v>
      </c>
      <c r="O55" s="94">
        <f t="shared" si="27"/>
        <v>0</v>
      </c>
      <c r="P55" s="95">
        <f t="shared" si="27"/>
        <v>0</v>
      </c>
      <c r="X55" s="2" t="s">
        <v>62</v>
      </c>
      <c r="Y55" s="92">
        <f>(Y66*RiskyAnnuity3Y-Protection3Y*Y77)/RiskyAnnuity3Y^2*Notional</f>
        <v>0.21310380724531919</v>
      </c>
      <c r="Z55" s="93">
        <f>(Z66*RiskyAnnuity3Y-Protection3Y*Z77)/RiskyAnnuity3Y^2*Notional</f>
        <v>0.20035839849137732</v>
      </c>
      <c r="AA55" s="93">
        <f>(AA66*RiskyAnnuity3Y-Protection3Y*AA77)/RiskyAnnuity3Y^2*Notional</f>
        <v>0.19066750725082476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28"/>
        <v>0.20968885587960284</v>
      </c>
      <c r="AI55" s="93">
        <f>(AI66-$U16)/ShiftSize</f>
        <v>0.19964341003292363</v>
      </c>
      <c r="AJ55" s="93">
        <f>(AJ66-$U16)/ShiftSize</f>
        <v>0.19066750134039828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27"/>
        <v>0.16079114497757202</v>
      </c>
      <c r="L56" s="93">
        <f t="shared" si="27"/>
        <v>0.15308821541600709</v>
      </c>
      <c r="M56" s="93">
        <f t="shared" si="27"/>
        <v>0.1462054156084816</v>
      </c>
      <c r="N56" s="93">
        <f t="shared" si="27"/>
        <v>0.13991499048758571</v>
      </c>
      <c r="O56" s="94">
        <f t="shared" si="27"/>
        <v>0</v>
      </c>
      <c r="P56" s="95">
        <f t="shared" si="27"/>
        <v>0</v>
      </c>
      <c r="X56" s="2" t="s">
        <v>63</v>
      </c>
      <c r="Y56" s="92">
        <f>(Y67*RiskyAnnuity4Y-Protection4Y*Y78)/RiskyAnnuity4Y^2*Notional</f>
        <v>0.16682927752071114</v>
      </c>
      <c r="Z56" s="93">
        <f>(Z67*RiskyAnnuity4Y-Protection4Y*Z78)/RiskyAnnuity4Y^2*Notional</f>
        <v>0.15559158501320444</v>
      </c>
      <c r="AA56" s="93">
        <f>(AA67*RiskyAnnuity4Y-Protection4Y*AA78)/RiskyAnnuity4Y^2*Notional</f>
        <v>0.14673008839988366</v>
      </c>
      <c r="AB56" s="93">
        <f>(AB67*RiskyAnnuity4Y-Protection4Y*AB78)/RiskyAnnuity4Y^2*Notional</f>
        <v>0.13991499562384882</v>
      </c>
      <c r="AC56" s="94">
        <v>0</v>
      </c>
      <c r="AD56" s="95">
        <v>0</v>
      </c>
      <c r="AG56" s="2" t="s">
        <v>63</v>
      </c>
      <c r="AH56" s="92">
        <f t="shared" si="28"/>
        <v>0.16079114497757202</v>
      </c>
      <c r="AI56" s="93">
        <f>(AI67-$U17)/ShiftSize</f>
        <v>0.15308821541600709</v>
      </c>
      <c r="AJ56" s="93">
        <f>(AJ67-$U17)/ShiftSize</f>
        <v>0.1462054156084816</v>
      </c>
      <c r="AK56" s="93">
        <f>(AK67-$U17)/ShiftSize</f>
        <v>0.13991499048758571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27"/>
        <v>0.13142836367829869</v>
      </c>
      <c r="L57" s="93">
        <f t="shared" si="27"/>
        <v>0.12513210070983632</v>
      </c>
      <c r="M57" s="93">
        <f t="shared" si="27"/>
        <v>0.11950619990125366</v>
      </c>
      <c r="N57" s="93">
        <f t="shared" si="27"/>
        <v>0.11436449755958256</v>
      </c>
      <c r="O57" s="93">
        <f t="shared" si="27"/>
        <v>0.10956860511338734</v>
      </c>
      <c r="P57" s="95">
        <f t="shared" si="27"/>
        <v>0</v>
      </c>
      <c r="X57" s="2" t="s">
        <v>64</v>
      </c>
      <c r="Y57" s="92">
        <f>(Y68*RiskyAnnuity5Y-Protection5Y*Y79)/RiskyAnnuity5Y^2*Notional</f>
        <v>0.14021163118668664</v>
      </c>
      <c r="Z57" s="93">
        <f>(Z68*RiskyAnnuity5Y-Protection5Y*Z79)/RiskyAnnuity5Y^2*Notional</f>
        <v>0.12985365314408953</v>
      </c>
      <c r="AA57" s="93">
        <f>(AA68*RiskyAnnuity5Y-Protection5Y*AA79)/RiskyAnnuity5Y^2*Notional</f>
        <v>0.12146547615433392</v>
      </c>
      <c r="AB57" s="93">
        <f>(AB68*RiskyAnnuity5Y-Protection5Y*AB79)/RiskyAnnuity5Y^2*Notional</f>
        <v>0.11477537421502407</v>
      </c>
      <c r="AC57" s="93">
        <f>(AC68*RiskyAnnuity5Y-Protection5Y*AC79)/RiskyAnnuity5Y^2*Notional</f>
        <v>0.10956860922869095</v>
      </c>
      <c r="AD57" s="95">
        <v>0</v>
      </c>
      <c r="AG57" s="2" t="s">
        <v>64</v>
      </c>
      <c r="AH57" s="92">
        <f t="shared" si="28"/>
        <v>0.13142836367829869</v>
      </c>
      <c r="AI57" s="93">
        <f>(AI68-$U18)/ShiftSize</f>
        <v>0.12513210070983632</v>
      </c>
      <c r="AJ57" s="93">
        <f>(AJ68-$U18)/ShiftSize</f>
        <v>0.11950619990125366</v>
      </c>
      <c r="AK57" s="93">
        <f>(AK68-$U18)/ShiftSize</f>
        <v>0.11436449755958256</v>
      </c>
      <c r="AL57" s="93">
        <f>(AL68-$U18)/ShiftSize</f>
        <v>0.10956860511338734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27"/>
        <v>7.2790516283775808E-2</v>
      </c>
      <c r="L58" s="97">
        <f t="shared" si="27"/>
        <v>6.9303383587460132E-2</v>
      </c>
      <c r="M58" s="97">
        <f t="shared" si="27"/>
        <v>6.6187525347635723E-2</v>
      </c>
      <c r="N58" s="97">
        <f t="shared" si="27"/>
        <v>6.3339836366312074E-2</v>
      </c>
      <c r="O58" s="97">
        <f t="shared" si="27"/>
        <v>6.0683671299771591E-2</v>
      </c>
      <c r="P58" s="98">
        <f t="shared" si="27"/>
        <v>0.26769480602692464</v>
      </c>
      <c r="X58" s="2" t="s">
        <v>65</v>
      </c>
      <c r="Y58" s="118">
        <f t="shared" ref="Y58:AD58" si="29">(Y69*RiskyAnnuity10Y-Protection10Y*Y80)/RiskyAnnuity10Y^2*Notional</f>
        <v>9.5825677238423182E-2</v>
      </c>
      <c r="Z58" s="97">
        <f t="shared" si="29"/>
        <v>8.7028936171964971E-2</v>
      </c>
      <c r="AA58" s="97">
        <f t="shared" si="29"/>
        <v>7.9397573509768296E-2</v>
      </c>
      <c r="AB58" s="97">
        <f t="shared" si="29"/>
        <v>7.2775210366172141E-2</v>
      </c>
      <c r="AC58" s="97">
        <f t="shared" si="29"/>
        <v>6.7038824371663128E-2</v>
      </c>
      <c r="AD58" s="98">
        <f t="shared" si="29"/>
        <v>0.26769484109991631</v>
      </c>
      <c r="AG58" s="2" t="s">
        <v>65</v>
      </c>
      <c r="AH58" s="118">
        <f t="shared" si="28"/>
        <v>7.2790516283775808E-2</v>
      </c>
      <c r="AI58" s="119">
        <f>(AI69-$U19)/ShiftSize</f>
        <v>6.9303383587460132E-2</v>
      </c>
      <c r="AJ58" s="119">
        <f>(AJ69-$U19)/ShiftSize</f>
        <v>6.6187525347635723E-2</v>
      </c>
      <c r="AK58" s="119">
        <f>(AK69-$U19)/ShiftSize</f>
        <v>6.3339836366312074E-2</v>
      </c>
      <c r="AL58" s="119">
        <f>(AL69-$U19)/ShiftSize</f>
        <v>6.0683671299771591E-2</v>
      </c>
      <c r="AM58" s="98">
        <f>(AM69-$U19)/ShiftSize</f>
        <v>0.26769480602692464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1.6666673145237547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0.58126972015273659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I69" si="30">AH75/AH86</f>
        <v>3.0000596093516666E-3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-1.7505289446866843</v>
      </c>
      <c r="L65" s="93">
        <v>3.4171962588646454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0.58057750863726953</v>
      </c>
      <c r="Z65" s="93">
        <f>(1-RecoveryRate)*YearFraction*(SUMPRODUCT($Z$9:$Z$12,$AB$9:$AB$12))</f>
        <v>0.55342317872127944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0"/>
        <v>3.0000303455949358E-3</v>
      </c>
      <c r="AI65" s="136">
        <f t="shared" si="30"/>
        <v>3.000028873131702E-3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2.9182574249467734E-8</v>
      </c>
      <c r="L66" s="93">
        <v>-3.5780650036081387</v>
      </c>
      <c r="M66" s="93">
        <v>5.244732285103491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0.57991641872614075</v>
      </c>
      <c r="Z66" s="93">
        <f>(1-RecoveryRate)*YearFraction*(SUMPRODUCT($Z$9:$Z$12,$AB$9:$AB$12)-SUMPRODUCT($AA$13:$AA$16,$AB$13:$AB$16))</f>
        <v>0.55276208881015065</v>
      </c>
      <c r="AA66" s="93">
        <f>(1-RecoveryRate)*YearFraction*(SUMPRODUCT($Z$13:$Z$16,$AB$13:$AB$16))</f>
        <v>0.5285414528109863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0"/>
        <v>3.0000205782605397E-3</v>
      </c>
      <c r="AI66" s="136">
        <f t="shared" si="30"/>
        <v>3.000019573715955E-3</v>
      </c>
      <c r="AJ66" s="136">
        <f t="shared" ref="AJ66" si="31">AJ77/AJ88</f>
        <v>3.0000186761250857E-3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1.5084378031735548E-8</v>
      </c>
      <c r="L67" s="100">
        <v>2.8094536950811631E-8</v>
      </c>
      <c r="M67" s="93">
        <v>-5.4805297189854301</v>
      </c>
      <c r="N67" s="93">
        <v>7.1471969980852581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0.57928377190895852</v>
      </c>
      <c r="Z67" s="93">
        <f>(1-RecoveryRate)*YearFraction*(SUMPRODUCT($Z$9:$Z$12,$AB$9:$AB$12)-SUMPRODUCT($AA$13:$AA$20,$AB$13:$AB$20))</f>
        <v>0.55212944199296854</v>
      </c>
      <c r="AA67" s="93">
        <f>(1-RecoveryRate)*YearFraction*(SUMPRODUCT($Z$13:$Z$16,$AB$13:$AB$16)-SUMPRODUCT($AA$17:$AA$20,$AB$17:$AB$20))</f>
        <v>0.52790880599380419</v>
      </c>
      <c r="AB67" s="93">
        <f>(1-RecoveryRate)*YearFraction*(SUMPRODUCT($Z$17:$Z$20,$AB$17:$AB$20))</f>
        <v>0.50580119623787811</v>
      </c>
      <c r="AC67" s="94">
        <v>0</v>
      </c>
      <c r="AD67" s="95">
        <v>0</v>
      </c>
      <c r="AG67" s="2" t="s">
        <v>102</v>
      </c>
      <c r="AH67" s="135">
        <f t="shared" si="30"/>
        <v>3.0000156884894638E-3</v>
      </c>
      <c r="AI67" s="136">
        <f t="shared" si="30"/>
        <v>3.0000149181965076E-3</v>
      </c>
      <c r="AJ67" s="136">
        <f t="shared" ref="AJ67:AK67" si="32">AJ78/AJ89</f>
        <v>3.0000142299165269E-3</v>
      </c>
      <c r="AK67" s="136">
        <f t="shared" si="32"/>
        <v>3.0000136008740148E-3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9.5414229292071105E-9</v>
      </c>
      <c r="L68" s="100">
        <v>1.7873092399753226E-8</v>
      </c>
      <c r="M68" s="100">
        <v>2.5372159502379991E-8</v>
      </c>
      <c r="N68" s="93">
        <v>-7.4600346768994976</v>
      </c>
      <c r="O68" s="93">
        <v>9.1267019322291052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0.57867765522076064</v>
      </c>
      <c r="Z68" s="93">
        <f>(1-RecoveryRate)*YearFraction*(SUMPRODUCT($Z$9:$Z$12,$AB$9:$AB$12)-SUMPRODUCT($AA$13:$AA$24,$AB$13:$AB$24))</f>
        <v>0.55152332530477066</v>
      </c>
      <c r="AA68" s="93">
        <f>(1-RecoveryRate)*YearFraction*(SUMPRODUCT($Z$13:$Z$16,$AB$13:$AB$16)-SUMPRODUCT($AA$17:$AA$24,$AB$17:$AB$24))</f>
        <v>0.52730268930560631</v>
      </c>
      <c r="AB68" s="93">
        <f>(1-RecoveryRate)*YearFraction*(SUMPRODUCT($Z$17:$Z$20,$AB$17:$AB$20)-SUMPRODUCT($AA$21:$AA$24,$AB$21:$AB$24))</f>
        <v>0.50519507954968024</v>
      </c>
      <c r="AC68" s="93">
        <f>(1-RecoveryRate)*YearFraction*(SUMPRODUCT($Z$21:$Z$24,$AB$21:$AB$24))</f>
        <v>0.48459035535137296</v>
      </c>
      <c r="AD68" s="95">
        <v>0</v>
      </c>
      <c r="AG68" s="2" t="s">
        <v>103</v>
      </c>
      <c r="AH68" s="135">
        <f t="shared" si="30"/>
        <v>3.0000127522113256E-3</v>
      </c>
      <c r="AI68" s="136">
        <f t="shared" si="30"/>
        <v>3.0000121225850288E-3</v>
      </c>
      <c r="AJ68" s="136">
        <f t="shared" ref="AJ68:AK68" si="33">AJ79/AJ90</f>
        <v>3.0000115599949479E-3</v>
      </c>
      <c r="AK68" s="136">
        <f t="shared" si="33"/>
        <v>3.0000110458247137E-3</v>
      </c>
      <c r="AL68" s="136">
        <f t="shared" ref="AL68" si="34">AL79/AL90</f>
        <v>3.0000105662354691E-3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4.3748395454869543E-9</v>
      </c>
      <c r="L69" s="102">
        <v>7.9790996599431256E-9</v>
      </c>
      <c r="M69" s="102">
        <v>1.1205749371775745E-8</v>
      </c>
      <c r="N69" s="102">
        <v>1.4499160107872388E-8</v>
      </c>
      <c r="O69" s="97">
        <v>-2.0689298695271514</v>
      </c>
      <c r="P69" s="98">
        <v>3.7355973201042247</v>
      </c>
      <c r="X69" s="2" t="s">
        <v>77</v>
      </c>
      <c r="Y69" s="96">
        <f>(1-RecoveryRate)*YearFraction*(SUMPRODUCT($Z$5:$Z$8,$AB$5:$AB$8)-SUMPRODUCT($AA$9:$AA$44,$AB$9:$AB$44))</f>
        <v>0.57600388305650885</v>
      </c>
      <c r="Z69" s="119">
        <f>(1-RecoveryRate)*YearFraction*(SUMPRODUCT($Z$9:$Z$12,$AB$9:$AB$12)-SUMPRODUCT($AA$13:$AA$44,$AB$13:$AB$44))</f>
        <v>0.54884955314051875</v>
      </c>
      <c r="AA69" s="119">
        <f>(1-RecoveryRate)*YearFraction*(SUMPRODUCT($Z$13:$Z$16,$AB$13:$AB$16)-SUMPRODUCT($AA$17:$AA$44,$AB$17:$AB$44))</f>
        <v>0.52462891714135429</v>
      </c>
      <c r="AB69" s="119">
        <f>(1-RecoveryRate)*YearFraction*(SUMPRODUCT($Z$17:$Z$20,$AB$17:$AB$20)-SUMPRODUCT($AA$21:$AA$44,$AB$21:$AB$44))</f>
        <v>0.50252130738542833</v>
      </c>
      <c r="AC69" s="119">
        <f>(1-RecoveryRate)*YearFraction*(SUMPRODUCT($Z$21:$Z$24,$AB$21:$AB$24)-SUMPRODUCT($AA$25:$AA$44,$AB$25:$AB$44))</f>
        <v>0.48191658318712105</v>
      </c>
      <c r="AD69" s="98">
        <f>(1-RecoveryRate)*YearFraction*(SUMPRODUCT($Z$25:$Z$44,$AB$25:$AB$44))</f>
        <v>2.137681123837428</v>
      </c>
      <c r="AG69" s="2" t="s">
        <v>104</v>
      </c>
      <c r="AH69" s="138">
        <f t="shared" si="30"/>
        <v>3.0000068884265731E-3</v>
      </c>
      <c r="AI69" s="146">
        <f t="shared" si="30"/>
        <v>3.0000065397133035E-3</v>
      </c>
      <c r="AJ69" s="146">
        <f t="shared" ref="AJ69:AK69" si="35">AJ80/AJ91</f>
        <v>3.0000062281274795E-3</v>
      </c>
      <c r="AK69" s="146">
        <f t="shared" si="35"/>
        <v>3.0000059433585814E-3</v>
      </c>
      <c r="AL69" s="146">
        <f t="shared" ref="AL69:AM69" si="36">AL80/AL91</f>
        <v>3.0000056777420747E-3</v>
      </c>
      <c r="AM69" s="147">
        <f t="shared" si="36"/>
        <v>3.0000263788555474E-3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-0.12109785836515345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2908.2238448088974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-1.0440314147747813</v>
      </c>
      <c r="Z76" s="93">
        <f>-YearFraction*(0.5*YearFraction*SUMPRODUCT($Z$9:$Z$12,$AB$9:$AB$12))</f>
        <v>-0.11529649556693322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5677.0696297924851</v>
      </c>
      <c r="AI76" s="141">
        <f>LGD*SUMPRODUCT($AO$5:$AO$12,DiscFactors2Y)</f>
        <v>5677.0671271121355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-3.729659343390797</v>
      </c>
      <c r="Z77" s="93">
        <f>-YearFraction*(0.5*YearFraction*SUMPRODUCT($Z$9:$Z$12,$AB$9:$AB$12)+SUM($AB$13:$AB$16)*(YearFraction*SUM($Z$13:$Z$16)+0.5*YearFraction*SUM($AA$13:$AA$16)))</f>
        <v>-0.99673613952748208</v>
      </c>
      <c r="AA77" s="93">
        <f>-YearFraction*(0.5*YearFraction*SUMPRODUCT($Z$13:$Z$16,$AB$13:$AB$16))</f>
        <v>-0.11011280266895548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8321.4290098715155</v>
      </c>
      <c r="AI77" s="141">
        <f>LGD*SUMPRODUCT($AO$5:$AO$16,DiscFactors3Y)</f>
        <v>8321.4265071911668</v>
      </c>
      <c r="AJ77" s="141">
        <f>LGD*SUMPRODUCT($AS$5:$AS$16,DiscFactors3Y)</f>
        <v>8321.4242880241563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-8.063708431708017</v>
      </c>
      <c r="Z78" s="93">
        <f>-YearFraction*(0.5*YearFraction*SUMPRODUCT($Z$9:$Z$12,$AB$9:$AB$12)+SUM($AB$13:$AB$20)*(YearFraction*SUM($Z$13:$Z$20)+0.5*YearFraction*SUM($AA$13:$AA$20)))</f>
        <v>-3.565040930483887</v>
      </c>
      <c r="AA78" s="93">
        <f>-YearFraction*(0.5*YearFraction*SUMPRODUCT($Z$13:$Z$16,$AB$13:$AB$16)+SUM($AB$17:$AB$20)*(YearFraction*SUM($Z$17:$Z$20)+0.5*YearFraction*SUM($AA$17:$AA$20)))</f>
        <v>-0.95362940317157219</v>
      </c>
      <c r="AB78" s="93">
        <f>-YearFraction*(0.5*YearFraction*SUMPRODUCT($Z$17:$Z$20,$AB$17:$AB$20))</f>
        <v>-0.10537524921622461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10852.016025541488</v>
      </c>
      <c r="AI78" s="141">
        <f>LGD*SUMPRODUCT($AO$5:$AO$20,DiscFactors4Y)</f>
        <v>10852.01352286114</v>
      </c>
      <c r="AJ78" s="141">
        <f>LGD*SUMPRODUCT($AS$5:$AS$20,DiscFactors4Y)</f>
        <v>10852.011303694129</v>
      </c>
      <c r="AK78" s="141">
        <f>LGD*SUMPRODUCT($AW$5:$AW$20,DiscFactors4Y)</f>
        <v>10852.009286924107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-13.941841807162001</v>
      </c>
      <c r="Z79" s="93">
        <f>-YearFraction*(0.5*YearFraction*SUMPRODUCT($Z$9:$Z$12,$AB$9:$AB$12)+SUM($AB$13:$AB$24)*(YearFraction*SUM($Z$13:$Z$24)+0.5*YearFraction*SUM($AA$13:$AA$24)))</f>
        <v>-7.7136240487884038</v>
      </c>
      <c r="AA79" s="93">
        <f>-YearFraction*(0.5*YearFraction*SUMPRODUCT($Z$13:$Z$16,$AB$13:$AB$16)+SUM($AB$17:$AB$24)*(YearFraction*SUM($Z$17:$Z$24)+0.5*YearFraction*SUM($AA$17:$AA$24)))</f>
        <v>-3.4132775068013861</v>
      </c>
      <c r="AB79" s="93">
        <f>-YearFraction*(0.5*YearFraction*SUMPRODUCT($Z$17:$Z$20,$AB$17:$AB$20)+SUM($AB$21:$AB$24)*(YearFraction*SUM($Z$21:$Z$24)+0.5*YearFraction*SUM($AA$21:$AA$24)))</f>
        <v>-0.91351911009795261</v>
      </c>
      <c r="AC79" s="93">
        <f>-YearFraction*(0.5*YearFraction*SUMPRODUCT($Z$21:$Z$24,$AB$21:$AB$24))</f>
        <v>-0.10095632403153604</v>
      </c>
      <c r="AD79" s="95">
        <v>0</v>
      </c>
      <c r="AG79" s="2" t="s">
        <v>76</v>
      </c>
      <c r="AH79" s="140">
        <f>LGD*SUMPRODUCT($AK$5:$AK$24,DiscFactors5Y)</f>
        <v>13276.482535886333</v>
      </c>
      <c r="AI79" s="141">
        <f>LGD*SUMPRODUCT($AO$5:$AO$24,DiscFactors5Y)</f>
        <v>13276.480033205984</v>
      </c>
      <c r="AJ79" s="141">
        <f>LGD*SUMPRODUCT($AS$5:$AS$24,DiscFactors5Y)</f>
        <v>13276.477814038974</v>
      </c>
      <c r="AK79" s="141">
        <f>LGD*SUMPRODUCT($AW$5:$AW$24,DiscFactors5Y)</f>
        <v>13276.475797268953</v>
      </c>
      <c r="AL79" s="141">
        <f>LGD*SUMPRODUCT($BA$5:$BA$24,DiscFactors5Y)</f>
        <v>13276.473922560837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-63.230589743842955</v>
      </c>
      <c r="Z80" s="97">
        <f>-YearFraction*(0.5*YearFraction*SUMPRODUCT($Z$9:$Z$12,$AB$9:$AB$12)+SUM($AB$13:$AB$44)*(YearFraction*SUM($Z$13:$Z$44)+0.5*YearFraction*SUM($AA$13:$AA$44)))</f>
        <v>-48.851894405925421</v>
      </c>
      <c r="AA80" s="97">
        <f>-YearFraction*(0.5*YearFraction*SUMPRODUCT($Z$13:$Z$16,$AB$13:$AB$16)+SUM($AB$17:$AB$44)*(YearFraction*SUM($Z$17:$Z$44)+0.5*YearFraction*SUM($AA$17:$AA$44)))</f>
        <v>-36.599288996570053</v>
      </c>
      <c r="AB80" s="97">
        <f>-YearFraction*(0.5*YearFraction*SUMPRODUCT($Z$17:$Z$20,$AB$17:$AB$20)+SUM($AB$21:$AB$44)*(YearFraction*SUM($Z$21:$Z$44)+0.5*YearFraction*SUM($AA$21:$AA$44)))</f>
        <v>-26.329813925249908</v>
      </c>
      <c r="AC80" s="97">
        <f>-YearFraction*(0.5*YearFraction*SUMPRODUCT($Z$21:$Z$24,$AB$21:$AB$24)+SUM($AB$25:$AB$44)*(YearFraction*SUM($Z$25:$Z$44)+0.5*YearFraction*SUM($AA$25:$AA$44)))</f>
        <v>-17.919179086209521</v>
      </c>
      <c r="AD80" s="98">
        <f>-YearFraction*(0.5*YearFraction*SUMPRODUCT($Z$25:$Z$44,$AB$25:$AB$44))</f>
        <v>-0.44535023413279751</v>
      </c>
      <c r="AG80" s="2" t="s">
        <v>77</v>
      </c>
      <c r="AH80" s="143">
        <f>LGD*SUMPRODUCT($AK$5:$AK$44,DiscFactors10Y)</f>
        <v>23971.57012338522</v>
      </c>
      <c r="AI80" s="144">
        <f>LGD*SUMPRODUCT($AO$5:$AO$44,DiscFactors10Y)</f>
        <v>23971.567620704875</v>
      </c>
      <c r="AJ80" s="144">
        <f>LGD*SUMPRODUCT($AS$5:$AS$44,DiscFactors10Y)</f>
        <v>23971.56540153786</v>
      </c>
      <c r="AK80" s="144">
        <f>LGD*SUMPRODUCT($AW$5:$AW$44,DiscFactors10Y)</f>
        <v>23971.56338476784</v>
      </c>
      <c r="AL80" s="144">
        <f>LGD*SUMPRODUCT($BA$5:$BA$44,DiscFactors10Y)</f>
        <v>23971.561510059724</v>
      </c>
      <c r="AM80" s="145">
        <f>LGD*SUMPRODUCT($BE$5:$BE$44,DiscFactors10Y)</f>
        <v>23971.725532870729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969388.68672592298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1892337.4018960684</v>
      </c>
      <c r="AI87" s="141">
        <f>Notional*YearFraction*(SUMPRODUCT($AN$5:$AN$12,DiscFactors2Y)+0.5*SUMPRODUCT($AO$5:$AO$12,DiscFactors2Y))</f>
        <v>1892337.4964674585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2773790.6433616579</v>
      </c>
      <c r="AI88" s="141">
        <f>Notional*YearFraction*(SUMPRODUCT($AN$5:$AN$16,DiscFactors3Y)+0.5*SUMPRODUCT($AO$5:$AO$16,DiscFactors3Y))</f>
        <v>2773790.737933048</v>
      </c>
      <c r="AJ88" s="141">
        <f>Notional*YearFraction*(SUMPRODUCT($AR$5:$AR$16,DiscFactors3Y)+0.5*SUMPRODUCT($AS$5:$AS$16,DiscFactors3Y))</f>
        <v>2773790.8281198964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3617319.7584195239</v>
      </c>
      <c r="AI89" s="141">
        <f>Notional*YearFraction*(SUMPRODUCT($AN$5:$AN$20,DiscFactors4Y)+0.5*SUMPRODUCT($AO$5:$AO$20,DiscFactors4Y))</f>
        <v>3617319.8529909141</v>
      </c>
      <c r="AJ89" s="141">
        <f>Notional*YearFraction*(SUMPRODUCT($AR$5:$AR$20,DiscFactors4Y)+0.5*SUMPRODUCT($AS$5:$AS$20,DiscFactors4Y))</f>
        <v>3617319.9431777624</v>
      </c>
      <c r="AK89" s="141">
        <f>Notional*YearFraction*(SUMPRODUCT($AV$5:$AV$20,DiscFactors4Y)+0.5*SUMPRODUCT($AW$5:$AW$20,DiscFactors4Y))</f>
        <v>3617320.0294033722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4425475.367096412</v>
      </c>
      <c r="AI90" s="141">
        <f>Notional*YearFraction*(SUMPRODUCT($AN$5:$AN$24,DiscFactors5Y)+0.5*SUMPRODUCT($AO$5:$AO$24,DiscFactors5Y))</f>
        <v>4425475.4616678022</v>
      </c>
      <c r="AJ90" s="141">
        <f>Notional*YearFraction*(SUMPRODUCT($AR$5:$AR$24,DiscFactors5Y)+0.5*SUMPRODUCT($AS$5:$AS$24,DiscFactors5Y))</f>
        <v>4425475.5518546505</v>
      </c>
      <c r="AK90" s="141">
        <f>Notional*YearFraction*(SUMPRODUCT($AV$5:$AV$24,DiscFactors5Y)+0.5*SUMPRODUCT($AW$5:$AW$24,DiscFactors5Y))</f>
        <v>4425475.6380802598</v>
      </c>
      <c r="AL90" s="141">
        <f>Notional*YearFraction*(SUMPRODUCT($AZ$5:$AZ$24,DiscFactors5Y)+0.5*SUMPRODUCT($BA$5:$BA$24,DiscFactors5Y))</f>
        <v>4425475.7206474366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7990505.0271260198</v>
      </c>
      <c r="AI91" s="144">
        <f>Notional*YearFraction*(SUMPRODUCT($AN$5:$AN$44,DiscFactors10Y)+0.5*SUMPRODUCT($AO$5:$AO$44,DiscFactors10Y))</f>
        <v>7990505.12169741</v>
      </c>
      <c r="AJ91" s="144">
        <f>Notional*YearFraction*(SUMPRODUCT($AR$5:$AR$44,DiscFactors10Y)+0.5*SUMPRODUCT($AS$5:$AS$44,DiscFactors10Y))</f>
        <v>7990505.2118842583</v>
      </c>
      <c r="AK91" s="144">
        <f>Notional*YearFraction*(SUMPRODUCT($AV$5:$AV$44,DiscFactors10Y)+0.5*SUMPRODUCT($AW$5:$AW$44,DiscFactors10Y))</f>
        <v>7990505.2981098685</v>
      </c>
      <c r="AL91" s="144">
        <f>Notional*YearFraction*(SUMPRODUCT($AZ$5:$AZ$44,DiscFactors10Y)+0.5*SUMPRODUCT($BA$5:$BA$44,DiscFactors10Y))</f>
        <v>7990505.3806770416</v>
      </c>
      <c r="AM91" s="145">
        <f>Notional*YearFraction*(SUMPRODUCT($BD$5:$BD$44,DiscFactors10Y)+0.5*SUMPRODUCT($BE$5:$BE$44,DiscFactors10Y))</f>
        <v>7990504.9174985867</v>
      </c>
    </row>
  </sheetData>
  <mergeCells count="7">
    <mergeCell ref="K9:L9"/>
    <mergeCell ref="K3:L3"/>
    <mergeCell ref="K4:L4"/>
    <mergeCell ref="K5:L5"/>
    <mergeCell ref="K8:L8"/>
    <mergeCell ref="K6:L6"/>
    <mergeCell ref="K7:L7"/>
  </mergeCells>
  <dataValidations count="2">
    <dataValidation type="list" allowBlank="1" showInputMessage="1" showErrorMessage="1" sqref="O37" xr:uid="{ED6D3334-3C12-4598-9B8E-3E8C11E28705}">
      <formula1>"TRUE,FALSE"</formula1>
    </dataValidation>
    <dataValidation type="list" allowBlank="1" showInputMessage="1" showErrorMessage="1" sqref="K51" xr:uid="{ABA15CA1-E0CD-4204-8952-CA2BCA25F43C}">
      <formula1>"ANALYTICAL,NUMERICAL"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6E83B-F8B1-471A-8EF1-64A37CDDE28D}">
  <sheetPr codeName="Sheet2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4" t="s">
        <v>0</v>
      </c>
      <c r="L3" s="395"/>
      <c r="M3" s="47" t="s">
        <v>336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6" t="s">
        <v>17</v>
      </c>
      <c r="L4" s="397"/>
      <c r="M4" s="48" t="s">
        <v>19</v>
      </c>
      <c r="O4" s="73" t="s">
        <v>11</v>
      </c>
      <c r="P4" s="74">
        <v>35</v>
      </c>
      <c r="Q4" s="18">
        <f t="shared" ref="Q4:Q9" si="0">P4/10000</f>
        <v>3.5000000000000001E-3</v>
      </c>
      <c r="S4" s="11">
        <v>1</v>
      </c>
      <c r="T4" s="86">
        <f t="shared" ref="T4:T9" si="1">N27</f>
        <v>5.8333333333333336E-3</v>
      </c>
      <c r="W4" s="18"/>
      <c r="X4" s="17">
        <v>0</v>
      </c>
      <c r="Y4" s="18" cm="1">
        <f t="array" ref="Y4">flatInterpolation(X4,$S$4:$S$9,$T$4:$T$9)</f>
        <v>5.8333333333333336E-3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6" t="s">
        <v>3</v>
      </c>
      <c r="L5" s="397"/>
      <c r="M5" s="49" t="s">
        <v>4</v>
      </c>
      <c r="O5" s="75" t="s">
        <v>12</v>
      </c>
      <c r="P5" s="76">
        <v>35</v>
      </c>
      <c r="Q5" s="18">
        <f t="shared" si="0"/>
        <v>3.5000000000000001E-3</v>
      </c>
      <c r="S5" s="12">
        <v>2</v>
      </c>
      <c r="T5" s="87">
        <f t="shared" si="1"/>
        <v>5.8333333333333336E-3</v>
      </c>
      <c r="W5" s="18"/>
      <c r="X5" s="20">
        <f>YearFraction</f>
        <v>0.25</v>
      </c>
      <c r="Y5" s="21" cm="1">
        <f t="array" ref="Y5">flatInterpolation(X5,$S$4:$S$9,$T$4:$T$9)</f>
        <v>5.8333333333333336E-3</v>
      </c>
      <c r="Z5" s="22">
        <f t="shared" ref="Z5" si="2">EXP(-Y5*YearFraction)*Z4</f>
        <v>0.99854272951799561</v>
      </c>
      <c r="AA5" s="22">
        <f t="shared" ref="AA5:AA44" si="3">Z4-Z5</f>
        <v>1.4572704820043914E-3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5.8334333333333339E-3</v>
      </c>
      <c r="AI5" s="30" cm="1">
        <f t="array" ref="AI5">flatInterpolation($AG5,$S$4:$S$9,AH$5:AH$10)</f>
        <v>5.8334333333333339E-3</v>
      </c>
      <c r="AJ5" s="22">
        <f t="shared" ref="AJ5" si="4">EXP(-AI5*YearFraction)*AJ4</f>
        <v>0.99854270455442762</v>
      </c>
      <c r="AK5" s="121">
        <f t="shared" ref="AK5:AK44" si="5">AJ4-AJ5</f>
        <v>1.4572954455723819E-3</v>
      </c>
      <c r="AL5" s="126">
        <f>HazardRate1Y</f>
        <v>5.8333333333333336E-3</v>
      </c>
      <c r="AM5" s="30" cm="1">
        <f t="array" ref="AM5">flatInterpolation($AG5,$S$4:$S$9,AL$5:AL$10)</f>
        <v>5.8333333333333336E-3</v>
      </c>
      <c r="AN5" s="22">
        <f t="shared" ref="AN5" si="6">EXP(-AM5*YearFraction)*AN4</f>
        <v>0.99854272951799561</v>
      </c>
      <c r="AO5" s="121">
        <f t="shared" ref="AO5:AO44" si="7">AN4-AN5</f>
        <v>1.4572704820043914E-3</v>
      </c>
      <c r="AP5" s="126">
        <f>HazardRate1Y</f>
        <v>5.8333333333333336E-3</v>
      </c>
      <c r="AQ5" s="30" cm="1">
        <f t="array" ref="AQ5">flatInterpolation($AG5,$S$4:$S$9,AP$5:AP$10)</f>
        <v>5.8333333333333336E-3</v>
      </c>
      <c r="AR5" s="22">
        <f t="shared" ref="AR5" si="8">EXP(-AQ5*YearFraction)*AR4</f>
        <v>0.99854272951799561</v>
      </c>
      <c r="AS5" s="121">
        <f t="shared" ref="AS5:AS44" si="9">AR4-AR5</f>
        <v>1.4572704820043914E-3</v>
      </c>
      <c r="AT5" s="126">
        <f>HazardRate1Y</f>
        <v>5.8333333333333336E-3</v>
      </c>
      <c r="AU5" s="30" cm="1">
        <f t="array" ref="AU5">flatInterpolation($AG5,$S$4:$S$9,AT$5:AT$10)</f>
        <v>5.8333333333333336E-3</v>
      </c>
      <c r="AV5" s="22">
        <f t="shared" ref="AV5" si="10">EXP(-AU5*YearFraction)*AV4</f>
        <v>0.99854272951799561</v>
      </c>
      <c r="AW5" s="121">
        <f t="shared" ref="AW5:AW44" si="11">AV4-AV5</f>
        <v>1.4572704820043914E-3</v>
      </c>
      <c r="AX5" s="126">
        <f>HazardRate1Y</f>
        <v>5.8333333333333336E-3</v>
      </c>
      <c r="AY5" s="30" cm="1">
        <f t="array" ref="AY5">flatInterpolation($AG5,$S$4:$S$9,AX$5:AX$10)</f>
        <v>5.8333333333333336E-3</v>
      </c>
      <c r="AZ5" s="22">
        <f t="shared" ref="AZ5" si="12">EXP(-AY5*YearFraction)*AZ4</f>
        <v>0.99854272951799561</v>
      </c>
      <c r="BA5" s="121">
        <f t="shared" ref="BA5:BA44" si="13">AZ4-AZ5</f>
        <v>1.4572704820043914E-3</v>
      </c>
      <c r="BB5" s="126">
        <f>HazardRate1Y</f>
        <v>5.8333333333333336E-3</v>
      </c>
      <c r="BC5" s="30" cm="1">
        <f t="array" ref="BC5">flatInterpolation($AG5,$S$4:$S$9,BB$5:BB$10)</f>
        <v>5.8333333333333336E-3</v>
      </c>
      <c r="BD5" s="22">
        <f t="shared" ref="BD5" si="14">EXP(-BC5*YearFraction)*BD4</f>
        <v>0.99854272951799561</v>
      </c>
      <c r="BE5" s="121">
        <f t="shared" ref="BE5:BE44" si="15">BD4-BD5</f>
        <v>1.4572704820043914E-3</v>
      </c>
    </row>
    <row r="6" spans="3:58" x14ac:dyDescent="0.3">
      <c r="C6" s="1" t="s">
        <v>137</v>
      </c>
      <c r="D6" t="s">
        <v>141</v>
      </c>
      <c r="K6" s="396" t="s">
        <v>1</v>
      </c>
      <c r="L6" s="397"/>
      <c r="M6" s="51">
        <v>0.4</v>
      </c>
      <c r="O6" s="75" t="s">
        <v>13</v>
      </c>
      <c r="P6" s="76">
        <v>35</v>
      </c>
      <c r="Q6" s="18">
        <f t="shared" si="0"/>
        <v>3.5000000000000001E-3</v>
      </c>
      <c r="S6" s="12">
        <v>3</v>
      </c>
      <c r="T6" s="87">
        <f t="shared" si="1"/>
        <v>5.8333333333333336E-3</v>
      </c>
      <c r="W6" s="18"/>
      <c r="X6" s="24">
        <f t="shared" ref="X6" si="16">X5+YearFraction</f>
        <v>0.5</v>
      </c>
      <c r="Y6" s="25" cm="1">
        <f t="array" ref="Y6">flatInterpolation(X6,$S$4:$S$9,$T$4:$T$9)</f>
        <v>5.8333333333333336E-3</v>
      </c>
      <c r="Z6" s="26">
        <f t="shared" ref="Z6" si="17">EXP(-Y6*YearFraction)*Z5</f>
        <v>0.99708758267324893</v>
      </c>
      <c r="AA6" s="26">
        <f t="shared" si="3"/>
        <v>1.4551468447466798E-3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5.8333333333333336E-3</v>
      </c>
      <c r="AI6" s="18" cm="1">
        <f t="array" ref="AI6">flatInterpolation($AG6,$S$4:$S$9,AH$5:AH$10)</f>
        <v>5.8334333333333339E-3</v>
      </c>
      <c r="AJ6" s="26">
        <f t="shared" ref="AJ6" si="19">EXP(-AI6*YearFraction)*AJ5</f>
        <v>0.99708753281887097</v>
      </c>
      <c r="AK6" s="122">
        <f t="shared" si="5"/>
        <v>1.4551717355566485E-3</v>
      </c>
      <c r="AL6" s="128">
        <f>HazardRate2Y+ShiftSize</f>
        <v>5.8334333333333339E-3</v>
      </c>
      <c r="AM6" s="18" cm="1">
        <f t="array" ref="AM6">flatInterpolation($AG6,$S$4:$S$9,AL$5:AL$10)</f>
        <v>5.8333333333333336E-3</v>
      </c>
      <c r="AN6" s="26">
        <f t="shared" ref="AN6" si="20">EXP(-AM6*YearFraction)*AN5</f>
        <v>0.99708758267324893</v>
      </c>
      <c r="AO6" s="122">
        <f t="shared" si="7"/>
        <v>1.4551468447466798E-3</v>
      </c>
      <c r="AP6" s="127">
        <f>HazardRate2Y</f>
        <v>5.8333333333333336E-3</v>
      </c>
      <c r="AQ6" s="18" cm="1">
        <f t="array" ref="AQ6">flatInterpolation($AG6,$S$4:$S$9,AP$5:AP$10)</f>
        <v>5.8333333333333336E-3</v>
      </c>
      <c r="AR6" s="26">
        <f t="shared" ref="AR6" si="21">EXP(-AQ6*YearFraction)*AR5</f>
        <v>0.99708758267324893</v>
      </c>
      <c r="AS6" s="122">
        <f t="shared" si="9"/>
        <v>1.4551468447466798E-3</v>
      </c>
      <c r="AT6" s="127">
        <f>HazardRate2Y</f>
        <v>5.8333333333333336E-3</v>
      </c>
      <c r="AU6" s="18" cm="1">
        <f t="array" ref="AU6">flatInterpolation($AG6,$S$4:$S$9,AT$5:AT$10)</f>
        <v>5.8333333333333336E-3</v>
      </c>
      <c r="AV6" s="26">
        <f t="shared" ref="AV6" si="22">EXP(-AU6*YearFraction)*AV5</f>
        <v>0.99708758267324893</v>
      </c>
      <c r="AW6" s="122">
        <f t="shared" si="11"/>
        <v>1.4551468447466798E-3</v>
      </c>
      <c r="AX6" s="127">
        <f>HazardRate2Y</f>
        <v>5.8333333333333336E-3</v>
      </c>
      <c r="AY6" s="18" cm="1">
        <f t="array" ref="AY6">flatInterpolation($AG6,$S$4:$S$9,AX$5:AX$10)</f>
        <v>5.8333333333333336E-3</v>
      </c>
      <c r="AZ6" s="26">
        <f t="shared" ref="AZ6" si="23">EXP(-AY6*YearFraction)*AZ5</f>
        <v>0.99708758267324893</v>
      </c>
      <c r="BA6" s="122">
        <f t="shared" si="13"/>
        <v>1.4551468447466798E-3</v>
      </c>
      <c r="BB6" s="127">
        <f>HazardRate2Y</f>
        <v>5.8333333333333336E-3</v>
      </c>
      <c r="BC6" s="18" cm="1">
        <f t="array" ref="BC6">flatInterpolation($AG6,$S$4:$S$9,BB$5:BB$10)</f>
        <v>5.8333333333333336E-3</v>
      </c>
      <c r="BD6" s="26">
        <f t="shared" ref="BD6" si="24">EXP(-BC6*YearFraction)*BD5</f>
        <v>0.99708758267324893</v>
      </c>
      <c r="BE6" s="122">
        <f t="shared" si="15"/>
        <v>1.4551468447466798E-3</v>
      </c>
    </row>
    <row r="7" spans="3:58" x14ac:dyDescent="0.3">
      <c r="C7" s="1" t="s">
        <v>138</v>
      </c>
      <c r="D7" t="s">
        <v>142</v>
      </c>
      <c r="K7" s="396" t="s">
        <v>5</v>
      </c>
      <c r="L7" s="397"/>
      <c r="M7" s="52">
        <v>0.25</v>
      </c>
      <c r="O7" s="75" t="s">
        <v>14</v>
      </c>
      <c r="P7" s="76">
        <v>35</v>
      </c>
      <c r="Q7" s="18">
        <f t="shared" si="0"/>
        <v>3.5000000000000001E-3</v>
      </c>
      <c r="S7" s="12">
        <v>4</v>
      </c>
      <c r="T7" s="87">
        <f t="shared" si="1"/>
        <v>5.8333333333333336E-3</v>
      </c>
      <c r="W7" s="18"/>
      <c r="X7" s="24">
        <f t="shared" ref="X7" si="25">X6+YearFraction</f>
        <v>0.75</v>
      </c>
      <c r="Y7" s="25" cm="1">
        <f t="array" ref="Y7">flatInterpolation(X7,$S$4:$S$9,$T$4:$T$9)</f>
        <v>5.8333333333333336E-3</v>
      </c>
      <c r="Z7" s="26">
        <f t="shared" ref="Z7" si="26">EXP(-Y7*YearFraction)*Z6</f>
        <v>0.99563455637104614</v>
      </c>
      <c r="AA7" s="26">
        <f t="shared" si="3"/>
        <v>1.4530263022027867E-3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5.8333333333333336E-3</v>
      </c>
      <c r="AI7" s="18" cm="1">
        <f t="array" ref="AI7">flatInterpolation($AG7,$S$4:$S$9,AH$5:AH$10)</f>
        <v>5.8334333333333339E-3</v>
      </c>
      <c r="AJ7" s="26">
        <f t="shared" ref="AJ7" si="28">EXP(-AI7*YearFraction)*AJ6</f>
        <v>0.99563448169845703</v>
      </c>
      <c r="AK7" s="122">
        <f t="shared" si="5"/>
        <v>1.4530511204139396E-3</v>
      </c>
      <c r="AL7" s="127">
        <f>HazardRate3Y</f>
        <v>5.8333333333333336E-3</v>
      </c>
      <c r="AM7" s="18" cm="1">
        <f t="array" ref="AM7">flatInterpolation($AG7,$S$4:$S$9,AL$5:AL$10)</f>
        <v>5.8333333333333336E-3</v>
      </c>
      <c r="AN7" s="26">
        <f t="shared" ref="AN7" si="29">EXP(-AM7*YearFraction)*AN6</f>
        <v>0.99563455637104614</v>
      </c>
      <c r="AO7" s="122">
        <f t="shared" si="7"/>
        <v>1.4530263022027867E-3</v>
      </c>
      <c r="AP7" s="128">
        <f>HazardRate3Y+ShiftSize</f>
        <v>5.8334333333333339E-3</v>
      </c>
      <c r="AQ7" s="18" cm="1">
        <f t="array" ref="AQ7">flatInterpolation($AG7,$S$4:$S$9,AP$5:AP$10)</f>
        <v>5.8333333333333336E-3</v>
      </c>
      <c r="AR7" s="26">
        <f t="shared" ref="AR7" si="30">EXP(-AQ7*YearFraction)*AR6</f>
        <v>0.99563455637104614</v>
      </c>
      <c r="AS7" s="122">
        <f t="shared" si="9"/>
        <v>1.4530263022027867E-3</v>
      </c>
      <c r="AT7" s="127">
        <f>HazardRate3Y</f>
        <v>5.8333333333333336E-3</v>
      </c>
      <c r="AU7" s="18" cm="1">
        <f t="array" ref="AU7">flatInterpolation($AG7,$S$4:$S$9,AT$5:AT$10)</f>
        <v>5.8333333333333336E-3</v>
      </c>
      <c r="AV7" s="26">
        <f t="shared" ref="AV7" si="31">EXP(-AU7*YearFraction)*AV6</f>
        <v>0.99563455637104614</v>
      </c>
      <c r="AW7" s="122">
        <f t="shared" si="11"/>
        <v>1.4530263022027867E-3</v>
      </c>
      <c r="AX7" s="127">
        <f>HazardRate3Y</f>
        <v>5.8333333333333336E-3</v>
      </c>
      <c r="AY7" s="18" cm="1">
        <f t="array" ref="AY7">flatInterpolation($AG7,$S$4:$S$9,AX$5:AX$10)</f>
        <v>5.8333333333333336E-3</v>
      </c>
      <c r="AZ7" s="26">
        <f t="shared" ref="AZ7" si="32">EXP(-AY7*YearFraction)*AZ6</f>
        <v>0.99563455637104614</v>
      </c>
      <c r="BA7" s="122">
        <f t="shared" si="13"/>
        <v>1.4530263022027867E-3</v>
      </c>
      <c r="BB7" s="127">
        <f>HazardRate3Y</f>
        <v>5.8333333333333336E-3</v>
      </c>
      <c r="BC7" s="18" cm="1">
        <f t="array" ref="BC7">flatInterpolation($AG7,$S$4:$S$9,BB$5:BB$10)</f>
        <v>5.8333333333333336E-3</v>
      </c>
      <c r="BD7" s="26">
        <f t="shared" ref="BD7" si="33">EXP(-BC7*YearFraction)*BD6</f>
        <v>0.99563455637104614</v>
      </c>
      <c r="BE7" s="122">
        <f t="shared" si="15"/>
        <v>1.4530263022027867E-3</v>
      </c>
    </row>
    <row r="8" spans="3:58" x14ac:dyDescent="0.3">
      <c r="K8" s="396" t="s">
        <v>18</v>
      </c>
      <c r="L8" s="397"/>
      <c r="M8" s="165">
        <v>1000000</v>
      </c>
      <c r="O8" s="75" t="s">
        <v>15</v>
      </c>
      <c r="P8" s="76">
        <v>35</v>
      </c>
      <c r="Q8" s="18">
        <f t="shared" si="0"/>
        <v>3.5000000000000001E-3</v>
      </c>
      <c r="S8" s="12">
        <v>5</v>
      </c>
      <c r="T8" s="87">
        <f t="shared" si="1"/>
        <v>5.8333333333333336E-3</v>
      </c>
      <c r="W8" s="18"/>
      <c r="X8" s="24">
        <f t="shared" ref="X8" si="34">X7+YearFraction</f>
        <v>1</v>
      </c>
      <c r="Y8" s="25" cm="1">
        <f t="array" ref="Y8">flatInterpolation(X8,$S$4:$S$9,$T$4:$T$9)</f>
        <v>5.8333333333333336E-3</v>
      </c>
      <c r="Z8" s="26">
        <f t="shared" ref="Z8" si="35">EXP(-Y8*YearFraction)*Z7</f>
        <v>0.99418364752118304</v>
      </c>
      <c r="AA8" s="26">
        <f t="shared" si="3"/>
        <v>1.4509088498630973E-3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5.8333333333333336E-3</v>
      </c>
      <c r="AI8" s="18" cm="1">
        <f t="array" ref="AI8">flatInterpolation($AG8,$S$4:$S$9,AH$5:AH$10)</f>
        <v>5.8334333333333339E-3</v>
      </c>
      <c r="AJ8" s="26">
        <f t="shared" ref="AJ8" si="37">EXP(-AI8*YearFraction)*AJ7</f>
        <v>0.99418354810282306</v>
      </c>
      <c r="AK8" s="122">
        <f t="shared" si="5"/>
        <v>1.4509335956339742E-3</v>
      </c>
      <c r="AL8" s="127">
        <f>HazardRate4Y</f>
        <v>5.8333333333333336E-3</v>
      </c>
      <c r="AM8" s="18" cm="1">
        <f t="array" ref="AM8">flatInterpolation($AG8,$S$4:$S$9,AL$5:AL$10)</f>
        <v>5.8333333333333336E-3</v>
      </c>
      <c r="AN8" s="26">
        <f t="shared" ref="AN8" si="38">EXP(-AM8*YearFraction)*AN7</f>
        <v>0.99418364752118304</v>
      </c>
      <c r="AO8" s="122">
        <f t="shared" si="7"/>
        <v>1.4509088498630973E-3</v>
      </c>
      <c r="AP8" s="127">
        <f>HazardRate4Y</f>
        <v>5.8333333333333336E-3</v>
      </c>
      <c r="AQ8" s="18" cm="1">
        <f t="array" ref="AQ8">flatInterpolation($AG8,$S$4:$S$9,AP$5:AP$10)</f>
        <v>5.8333333333333336E-3</v>
      </c>
      <c r="AR8" s="26">
        <f t="shared" ref="AR8" si="39">EXP(-AQ8*YearFraction)*AR7</f>
        <v>0.99418364752118304</v>
      </c>
      <c r="AS8" s="122">
        <f t="shared" si="9"/>
        <v>1.4509088498630973E-3</v>
      </c>
      <c r="AT8" s="128">
        <f>HazardRate4Y+ShiftSize</f>
        <v>5.8334333333333339E-3</v>
      </c>
      <c r="AU8" s="18" cm="1">
        <f t="array" ref="AU8">flatInterpolation($AG8,$S$4:$S$9,AT$5:AT$10)</f>
        <v>5.8333333333333336E-3</v>
      </c>
      <c r="AV8" s="26">
        <f t="shared" ref="AV8" si="40">EXP(-AU8*YearFraction)*AV7</f>
        <v>0.99418364752118304</v>
      </c>
      <c r="AW8" s="122">
        <f t="shared" si="11"/>
        <v>1.4509088498630973E-3</v>
      </c>
      <c r="AX8" s="127">
        <f>HazardRate4Y</f>
        <v>5.8333333333333336E-3</v>
      </c>
      <c r="AY8" s="18" cm="1">
        <f t="array" ref="AY8">flatInterpolation($AG8,$S$4:$S$9,AX$5:AX$10)</f>
        <v>5.8333333333333336E-3</v>
      </c>
      <c r="AZ8" s="26">
        <f t="shared" ref="AZ8" si="41">EXP(-AY8*YearFraction)*AZ7</f>
        <v>0.99418364752118304</v>
      </c>
      <c r="BA8" s="122">
        <f t="shared" si="13"/>
        <v>1.4509088498630973E-3</v>
      </c>
      <c r="BB8" s="127">
        <f>HazardRate4Y</f>
        <v>5.8333333333333336E-3</v>
      </c>
      <c r="BC8" s="18" cm="1">
        <f t="array" ref="BC8">flatInterpolation($AG8,$S$4:$S$9,BB$5:BB$10)</f>
        <v>5.8333333333333336E-3</v>
      </c>
      <c r="BD8" s="26">
        <f t="shared" ref="BD8" si="42">EXP(-BC8*YearFraction)*BD7</f>
        <v>0.99418364752118304</v>
      </c>
      <c r="BE8" s="122">
        <f t="shared" si="15"/>
        <v>1.4509088498630973E-3</v>
      </c>
    </row>
    <row r="9" spans="3:58" x14ac:dyDescent="0.3">
      <c r="C9" s="1" t="s">
        <v>136</v>
      </c>
      <c r="K9" s="392" t="s">
        <v>9</v>
      </c>
      <c r="L9" s="393"/>
      <c r="M9" s="53">
        <f>Notional*(1-RecoveryRate)</f>
        <v>600000</v>
      </c>
      <c r="O9" s="77" t="s">
        <v>16</v>
      </c>
      <c r="P9" s="78">
        <v>35</v>
      </c>
      <c r="Q9" s="18">
        <f t="shared" si="0"/>
        <v>3.5000000000000001E-3</v>
      </c>
      <c r="S9" s="13">
        <v>10</v>
      </c>
      <c r="T9" s="88">
        <f t="shared" si="1"/>
        <v>5.8333333333333336E-3</v>
      </c>
      <c r="W9" s="18"/>
      <c r="X9" s="24">
        <f t="shared" ref="X9" si="43">X8+YearFraction</f>
        <v>1.25</v>
      </c>
      <c r="Y9" s="25" cm="1">
        <f t="array" ref="Y9">flatInterpolation(X9,$S$4:$S$9,$T$4:$T$9)</f>
        <v>5.8333333333333336E-3</v>
      </c>
      <c r="Z9" s="26">
        <f t="shared" ref="Z9" si="44">EXP(-Y9*YearFraction)*Z8</f>
        <v>0.99273485303795894</v>
      </c>
      <c r="AA9" s="26">
        <f t="shared" si="3"/>
        <v>1.4487944832241029E-3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5.8333333333333336E-3</v>
      </c>
      <c r="AI9" s="18" cm="1">
        <f t="array" ref="AI9">flatInterpolation($AG9,$S$4:$S$9,AH$5:AH$10)</f>
        <v>5.8333333333333336E-3</v>
      </c>
      <c r="AJ9" s="26">
        <f t="shared" ref="AJ9" si="46">EXP(-AI9*YearFraction)*AJ8</f>
        <v>0.99273475376447839</v>
      </c>
      <c r="AK9" s="122">
        <f t="shared" si="5"/>
        <v>1.4487943383446611E-3</v>
      </c>
      <c r="AL9" s="127">
        <f>HazardRate5Y</f>
        <v>5.8333333333333336E-3</v>
      </c>
      <c r="AM9" s="18" cm="1">
        <f t="array" ref="AM9">flatInterpolation($AG9,$S$4:$S$9,AL$5:AL$10)</f>
        <v>5.8334333333333339E-3</v>
      </c>
      <c r="AN9" s="26">
        <f t="shared" ref="AN9" si="47">EXP(-AM9*YearFraction)*AN8</f>
        <v>0.99273482821958792</v>
      </c>
      <c r="AO9" s="122">
        <f t="shared" si="7"/>
        <v>1.4488193015951278E-3</v>
      </c>
      <c r="AP9" s="127">
        <f>HazardRate5Y</f>
        <v>5.8333333333333336E-3</v>
      </c>
      <c r="AQ9" s="18" cm="1">
        <f t="array" ref="AQ9">flatInterpolation($AG9,$S$4:$S$9,AP$5:AP$10)</f>
        <v>5.8333333333333336E-3</v>
      </c>
      <c r="AR9" s="26">
        <f t="shared" ref="AR9" si="48">EXP(-AQ9*YearFraction)*AR8</f>
        <v>0.99273485303795894</v>
      </c>
      <c r="AS9" s="122">
        <f t="shared" si="9"/>
        <v>1.4487944832241029E-3</v>
      </c>
      <c r="AT9" s="127">
        <f>HazardRate5Y</f>
        <v>5.8333333333333336E-3</v>
      </c>
      <c r="AU9" s="18" cm="1">
        <f t="array" ref="AU9">flatInterpolation($AG9,$S$4:$S$9,AT$5:AT$10)</f>
        <v>5.8333333333333336E-3</v>
      </c>
      <c r="AV9" s="26">
        <f t="shared" ref="AV9" si="49">EXP(-AU9*YearFraction)*AV8</f>
        <v>0.99273485303795894</v>
      </c>
      <c r="AW9" s="122">
        <f t="shared" si="11"/>
        <v>1.4487944832241029E-3</v>
      </c>
      <c r="AX9" s="128">
        <f>HazardRate5Y+ShiftSize</f>
        <v>5.8334333333333339E-3</v>
      </c>
      <c r="AY9" s="18" cm="1">
        <f t="array" ref="AY9">flatInterpolation($AG9,$S$4:$S$9,AX$5:AX$10)</f>
        <v>5.8333333333333336E-3</v>
      </c>
      <c r="AZ9" s="26">
        <f t="shared" ref="AZ9" si="50">EXP(-AY9*YearFraction)*AZ8</f>
        <v>0.99273485303795894</v>
      </c>
      <c r="BA9" s="122">
        <f t="shared" si="13"/>
        <v>1.4487944832241029E-3</v>
      </c>
      <c r="BB9" s="127">
        <f>HazardRate5Y</f>
        <v>5.8333333333333336E-3</v>
      </c>
      <c r="BC9" s="18" cm="1">
        <f t="array" ref="BC9">flatInterpolation($AG9,$S$4:$S$9,BB$5:BB$10)</f>
        <v>5.8333333333333336E-3</v>
      </c>
      <c r="BD9" s="26">
        <f t="shared" ref="BD9" si="51">EXP(-BC9*YearFraction)*BD8</f>
        <v>0.99273485303795894</v>
      </c>
      <c r="BE9" s="122">
        <f t="shared" si="15"/>
        <v>1.4487944832241029E-3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5.8333333333333336E-3</v>
      </c>
      <c r="Z10" s="26">
        <f t="shared" ref="Z10" si="53">EXP(-Y10*YearFraction)*Z9</f>
        <v>0.99128816984016976</v>
      </c>
      <c r="AA10" s="26">
        <f t="shared" si="3"/>
        <v>1.4466831977891781E-3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5.8333333333333336E-3</v>
      </c>
      <c r="AI10" s="18" cm="1">
        <f t="array" ref="AI10">flatInterpolation($AG10,$S$4:$S$9,AH$5:AH$10)</f>
        <v>5.8333333333333336E-3</v>
      </c>
      <c r="AJ10" s="26">
        <f t="shared" ref="AJ10" si="55">EXP(-AI10*YearFraction)*AJ9</f>
        <v>0.99128807071135749</v>
      </c>
      <c r="AK10" s="122">
        <f t="shared" si="5"/>
        <v>1.4466830531209007E-3</v>
      </c>
      <c r="AL10" s="127">
        <f>HazardRate10Y</f>
        <v>5.8333333333333336E-3</v>
      </c>
      <c r="AM10" s="18" cm="1">
        <f t="array" ref="AM10">flatInterpolation($AG10,$S$4:$S$9,AL$5:AL$10)</f>
        <v>5.8334333333333339E-3</v>
      </c>
      <c r="AN10" s="26">
        <f t="shared" ref="AN10" si="56">EXP(-AM10*YearFraction)*AN9</f>
        <v>0.99128812027576241</v>
      </c>
      <c r="AO10" s="122">
        <f t="shared" si="7"/>
        <v>1.4467079438255093E-3</v>
      </c>
      <c r="AP10" s="127">
        <f>HazardRate10Y</f>
        <v>5.8333333333333336E-3</v>
      </c>
      <c r="AQ10" s="18" cm="1">
        <f t="array" ref="AQ10">flatInterpolation($AG10,$S$4:$S$9,AP$5:AP$10)</f>
        <v>5.8333333333333336E-3</v>
      </c>
      <c r="AR10" s="26">
        <f t="shared" ref="AR10" si="57">EXP(-AQ10*YearFraction)*AR9</f>
        <v>0.99128816984016976</v>
      </c>
      <c r="AS10" s="122">
        <f t="shared" si="9"/>
        <v>1.4466831977891781E-3</v>
      </c>
      <c r="AT10" s="127">
        <f>HazardRate10Y</f>
        <v>5.8333333333333336E-3</v>
      </c>
      <c r="AU10" s="18" cm="1">
        <f t="array" ref="AU10">flatInterpolation($AG10,$S$4:$S$9,AT$5:AT$10)</f>
        <v>5.8333333333333336E-3</v>
      </c>
      <c r="AV10" s="26">
        <f t="shared" ref="AV10" si="58">EXP(-AU10*YearFraction)*AV9</f>
        <v>0.99128816984016976</v>
      </c>
      <c r="AW10" s="122">
        <f t="shared" si="11"/>
        <v>1.4466831977891781E-3</v>
      </c>
      <c r="AX10" s="127">
        <f>HazardRate10Y</f>
        <v>5.8333333333333336E-3</v>
      </c>
      <c r="AY10" s="18" cm="1">
        <f t="array" ref="AY10">flatInterpolation($AG10,$S$4:$S$9,AX$5:AX$10)</f>
        <v>5.8333333333333336E-3</v>
      </c>
      <c r="AZ10" s="26">
        <f t="shared" ref="AZ10" si="59">EXP(-AY10*YearFraction)*AZ9</f>
        <v>0.99128816984016976</v>
      </c>
      <c r="BA10" s="122">
        <f t="shared" si="13"/>
        <v>1.4466831977891781E-3</v>
      </c>
      <c r="BB10" s="128">
        <f>HazardRate10Y+ShiftSize</f>
        <v>5.8334333333333339E-3</v>
      </c>
      <c r="BC10" s="18" cm="1">
        <f t="array" ref="BC10">flatInterpolation($AG10,$S$4:$S$9,BB$5:BB$10)</f>
        <v>5.8333333333333336E-3</v>
      </c>
      <c r="BD10" s="26">
        <f t="shared" ref="BD10" si="60">EXP(-BC10*YearFraction)*BD9</f>
        <v>0.99128816984016976</v>
      </c>
      <c r="BE10" s="122">
        <f t="shared" si="15"/>
        <v>1.4466831977891781E-3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5.8333333333333336E-3</v>
      </c>
      <c r="Z11" s="26">
        <f t="shared" ref="Z11" si="62">EXP(-Y11*YearFraction)*Z10</f>
        <v>0.98984359485110152</v>
      </c>
      <c r="AA11" s="26">
        <f t="shared" si="3"/>
        <v>1.444574989068248E-3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5.8333333333333336E-3</v>
      </c>
      <c r="AJ11" s="26">
        <f t="shared" ref="AJ11" si="64">EXP(-AI11*YearFraction)*AJ10</f>
        <v>0.9898434958667468</v>
      </c>
      <c r="AK11" s="122">
        <f t="shared" si="5"/>
        <v>1.444574844610691E-3</v>
      </c>
      <c r="AL11" s="116"/>
      <c r="AM11" s="18" cm="1">
        <f t="array" ref="AM11">flatInterpolation($AG11,$S$4:$S$9,AL$5:AL$10)</f>
        <v>5.8334333333333339E-3</v>
      </c>
      <c r="AN11" s="26">
        <f t="shared" ref="AN11" si="65">EXP(-AM11*YearFraction)*AN10</f>
        <v>0.98984352061283454</v>
      </c>
      <c r="AO11" s="122">
        <f t="shared" si="7"/>
        <v>1.4445996629278701E-3</v>
      </c>
      <c r="AP11" s="116"/>
      <c r="AQ11" s="18" cm="1">
        <f t="array" ref="AQ11">flatInterpolation($AG11,$S$4:$S$9,AP$5:AP$10)</f>
        <v>5.8333333333333336E-3</v>
      </c>
      <c r="AR11" s="26">
        <f t="shared" ref="AR11" si="66">EXP(-AQ11*YearFraction)*AR10</f>
        <v>0.98984359485110152</v>
      </c>
      <c r="AS11" s="122">
        <f t="shared" si="9"/>
        <v>1.444574989068248E-3</v>
      </c>
      <c r="AT11" s="116"/>
      <c r="AU11" s="18" cm="1">
        <f t="array" ref="AU11">flatInterpolation($AG11,$S$4:$S$9,AT$5:AT$10)</f>
        <v>5.8333333333333336E-3</v>
      </c>
      <c r="AV11" s="26">
        <f t="shared" ref="AV11" si="67">EXP(-AU11*YearFraction)*AV10</f>
        <v>0.98984359485110152</v>
      </c>
      <c r="AW11" s="122">
        <f t="shared" si="11"/>
        <v>1.444574989068248E-3</v>
      </c>
      <c r="AX11" s="116"/>
      <c r="AY11" s="18" cm="1">
        <f t="array" ref="AY11">flatInterpolation($AG11,$S$4:$S$9,AX$5:AX$10)</f>
        <v>5.8333333333333336E-3</v>
      </c>
      <c r="AZ11" s="26">
        <f t="shared" ref="AZ11" si="68">EXP(-AY11*YearFraction)*AZ10</f>
        <v>0.98984359485110152</v>
      </c>
      <c r="BA11" s="122">
        <f t="shared" si="13"/>
        <v>1.444574989068248E-3</v>
      </c>
      <c r="BB11" s="116"/>
      <c r="BC11" s="18" cm="1">
        <f t="array" ref="BC11">flatInterpolation($AG11,$S$4:$S$9,BB$5:BB$10)</f>
        <v>5.8333333333333336E-3</v>
      </c>
      <c r="BD11" s="26">
        <f t="shared" ref="BD11" si="69">EXP(-BC11*YearFraction)*BD10</f>
        <v>0.98984359485110152</v>
      </c>
      <c r="BE11" s="122">
        <f t="shared" si="15"/>
        <v>1.444574989068248E-3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5.8333333333333336E-3</v>
      </c>
      <c r="Z12" s="26">
        <f t="shared" ref="Z12" si="71">EXP(-Y12*YearFraction)*Z11</f>
        <v>0.98840112499852384</v>
      </c>
      <c r="AA12" s="26">
        <f t="shared" si="3"/>
        <v>1.4424698525776769E-3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5.8333333333333336E-3</v>
      </c>
      <c r="AJ12" s="26">
        <f t="shared" ref="AJ12" si="73">EXP(-AI12*YearFraction)*AJ11</f>
        <v>0.98840102615841618</v>
      </c>
      <c r="AK12" s="122">
        <f t="shared" si="5"/>
        <v>1.4424697083306182E-3</v>
      </c>
      <c r="AL12" s="116"/>
      <c r="AM12" s="18" cm="1">
        <f t="array" ref="AM12">flatInterpolation($AG12,$S$4:$S$9,AL$5:AL$10)</f>
        <v>5.8334333333333339E-3</v>
      </c>
      <c r="AN12" s="26">
        <f t="shared" ref="AN12" si="74">EXP(-AM12*YearFraction)*AN11</f>
        <v>0.98840102615841607</v>
      </c>
      <c r="AO12" s="122">
        <f t="shared" si="7"/>
        <v>1.4424944544184637E-3</v>
      </c>
      <c r="AP12" s="116"/>
      <c r="AQ12" s="18" cm="1">
        <f t="array" ref="AQ12">flatInterpolation($AG12,$S$4:$S$9,AP$5:AP$10)</f>
        <v>5.8333333333333336E-3</v>
      </c>
      <c r="AR12" s="26">
        <f t="shared" ref="AR12" si="75">EXP(-AQ12*YearFraction)*AR11</f>
        <v>0.98840112499852384</v>
      </c>
      <c r="AS12" s="122">
        <f t="shared" si="9"/>
        <v>1.4424698525776769E-3</v>
      </c>
      <c r="AT12" s="116"/>
      <c r="AU12" s="18" cm="1">
        <f t="array" ref="AU12">flatInterpolation($AG12,$S$4:$S$9,AT$5:AT$10)</f>
        <v>5.8333333333333336E-3</v>
      </c>
      <c r="AV12" s="26">
        <f t="shared" ref="AV12" si="76">EXP(-AU12*YearFraction)*AV11</f>
        <v>0.98840112499852384</v>
      </c>
      <c r="AW12" s="122">
        <f t="shared" si="11"/>
        <v>1.4424698525776769E-3</v>
      </c>
      <c r="AX12" s="116"/>
      <c r="AY12" s="18" cm="1">
        <f t="array" ref="AY12">flatInterpolation($AG12,$S$4:$S$9,AX$5:AX$10)</f>
        <v>5.8333333333333336E-3</v>
      </c>
      <c r="AZ12" s="26">
        <f t="shared" ref="AZ12" si="77">EXP(-AY12*YearFraction)*AZ11</f>
        <v>0.98840112499852384</v>
      </c>
      <c r="BA12" s="122">
        <f t="shared" si="13"/>
        <v>1.4424698525776769E-3</v>
      </c>
      <c r="BB12" s="116"/>
      <c r="BC12" s="18" cm="1">
        <f t="array" ref="BC12">flatInterpolation($AG12,$S$4:$S$9,BB$5:BB$10)</f>
        <v>5.8333333333333336E-3</v>
      </c>
      <c r="BD12" s="26">
        <f t="shared" ref="BD12" si="78">EXP(-BC12*YearFraction)*BD11</f>
        <v>0.98840112499852384</v>
      </c>
      <c r="BE12" s="122">
        <f t="shared" si="15"/>
        <v>1.4424698525776769E-3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5.8333333333333336E-3</v>
      </c>
      <c r="Z13" s="26">
        <f t="shared" ref="Z13" si="80">EXP(-Y13*YearFraction)*Z12</f>
        <v>0.98696075721468357</v>
      </c>
      <c r="AA13" s="26">
        <f t="shared" si="3"/>
        <v>1.4403677838402684E-3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5.8333333333333336E-3</v>
      </c>
      <c r="AJ13" s="26">
        <f t="shared" ref="AJ13" si="82">EXP(-AI13*YearFraction)*AJ12</f>
        <v>0.9869606585186127</v>
      </c>
      <c r="AK13" s="122">
        <f t="shared" si="5"/>
        <v>1.4403676398034859E-3</v>
      </c>
      <c r="AL13" s="116"/>
      <c r="AM13" s="18" cm="1">
        <f t="array" ref="AM13">flatInterpolation($AG13,$S$4:$S$9,AL$5:AL$10)</f>
        <v>5.8333333333333336E-3</v>
      </c>
      <c r="AN13" s="26">
        <f t="shared" ref="AN13" si="83">EXP(-AM13*YearFraction)*AN12</f>
        <v>0.98696065851861259</v>
      </c>
      <c r="AO13" s="122">
        <f t="shared" si="7"/>
        <v>1.4403676398034859E-3</v>
      </c>
      <c r="AP13" s="116"/>
      <c r="AQ13" s="18" cm="1">
        <f t="array" ref="AQ13">flatInterpolation($AG13,$S$4:$S$9,AP$5:AP$10)</f>
        <v>5.8334333333333339E-3</v>
      </c>
      <c r="AR13" s="26">
        <f t="shared" ref="AR13" si="84">EXP(-AQ13*YearFraction)*AR12</f>
        <v>0.98696073254066485</v>
      </c>
      <c r="AS13" s="122">
        <f t="shared" si="9"/>
        <v>1.4403924578589855E-3</v>
      </c>
      <c r="AT13" s="116"/>
      <c r="AU13" s="18" cm="1">
        <f t="array" ref="AU13">flatInterpolation($AG13,$S$4:$S$9,AT$5:AT$10)</f>
        <v>5.8333333333333336E-3</v>
      </c>
      <c r="AV13" s="26">
        <f t="shared" ref="AV13" si="85">EXP(-AU13*YearFraction)*AV12</f>
        <v>0.98696075721468357</v>
      </c>
      <c r="AW13" s="122">
        <f t="shared" si="11"/>
        <v>1.4403677838402684E-3</v>
      </c>
      <c r="AX13" s="116"/>
      <c r="AY13" s="18" cm="1">
        <f t="array" ref="AY13">flatInterpolation($AG13,$S$4:$S$9,AX$5:AX$10)</f>
        <v>5.8333333333333336E-3</v>
      </c>
      <c r="AZ13" s="26">
        <f t="shared" ref="AZ13" si="86">EXP(-AY13*YearFraction)*AZ12</f>
        <v>0.98696075721468357</v>
      </c>
      <c r="BA13" s="122">
        <f t="shared" si="13"/>
        <v>1.4403677838402684E-3</v>
      </c>
      <c r="BB13" s="116"/>
      <c r="BC13" s="18" cm="1">
        <f t="array" ref="BC13">flatInterpolation($AG13,$S$4:$S$9,BB$5:BB$10)</f>
        <v>5.8333333333333336E-3</v>
      </c>
      <c r="BD13" s="26">
        <f t="shared" ref="BD13" si="87">EXP(-BC13*YearFraction)*BD12</f>
        <v>0.98696075721468357</v>
      </c>
      <c r="BE13" s="122">
        <f t="shared" si="15"/>
        <v>1.4403677838402684E-3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3.5000000000000001E-3</v>
      </c>
      <c r="M14" s="31">
        <f t="shared" ref="M14" si="89">-Notional*L14*YearFraction</f>
        <v>-875</v>
      </c>
      <c r="N14" s="32">
        <f>M14*SUMPRODUCT(PSurvival1Y,DiscFactors1Y)</f>
        <v>-3388.985826680133</v>
      </c>
      <c r="O14" s="32">
        <f>M14*0.5*SUMPRODUCT(PDefault1Y,DiscFactors1Y)</f>
        <v>-2.4729382444836063</v>
      </c>
      <c r="P14" s="32">
        <f>LGD*SUMPRODUCT(PDefault1Y,DiscFactors1Y)</f>
        <v>3391.4581638632312</v>
      </c>
      <c r="Q14" s="33">
        <f t="shared" ref="Q14:Q19" si="90">SUM(N14:P14)</f>
        <v>-6.0106138516857754E-4</v>
      </c>
      <c r="S14" s="79">
        <f>Notional*YearFraction*(SUMPRODUCT(PSurvival1Y,DiscFactors1Y)+0.5*SUMPRODUCT(PDefault1Y,DiscFactors1Y))</f>
        <v>968988.21854989044</v>
      </c>
      <c r="T14" s="80">
        <f t="shared" ref="T14:T19" si="91">P14/S14*10000</f>
        <v>34.999993797020707</v>
      </c>
      <c r="U14" s="18">
        <f t="shared" ref="U14:U19" si="92">T14/10000</f>
        <v>3.4999993797020707E-3</v>
      </c>
      <c r="V14" s="18">
        <f t="shared" ref="V14:V19" si="93">U14-Q4</f>
        <v>-6.2029792934070738E-10</v>
      </c>
      <c r="W14" s="17"/>
      <c r="X14" s="24">
        <f t="shared" ref="X14" si="94">X13+YearFraction</f>
        <v>2.5</v>
      </c>
      <c r="Y14" s="25" cm="1">
        <f t="array" ref="Y14">flatInterpolation(X14,$S$4:$S$9,$T$4:$T$9)</f>
        <v>5.8333333333333336E-3</v>
      </c>
      <c r="Z14" s="26">
        <f t="shared" ref="Z14" si="95">EXP(-Y14*YearFraction)*Z13</f>
        <v>0.98552248843629786</v>
      </c>
      <c r="AA14" s="26">
        <f t="shared" si="3"/>
        <v>1.4382687783857095E-3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5.8333333333333336E-3</v>
      </c>
      <c r="AJ14" s="26">
        <f t="shared" ref="AJ14" si="97">EXP(-AI14*YearFraction)*AJ13</f>
        <v>0.98552238988405394</v>
      </c>
      <c r="AK14" s="122">
        <f t="shared" si="5"/>
        <v>1.4382686345587592E-3</v>
      </c>
      <c r="AL14" s="116"/>
      <c r="AM14" s="18" cm="1">
        <f t="array" ref="AM14">flatInterpolation($AG14,$S$4:$S$9,AL$5:AL$10)</f>
        <v>5.8333333333333336E-3</v>
      </c>
      <c r="AN14" s="26">
        <f t="shared" ref="AN14" si="98">EXP(-AM14*YearFraction)*AN13</f>
        <v>0.98552238988405383</v>
      </c>
      <c r="AO14" s="122">
        <f t="shared" si="7"/>
        <v>1.4382686345587592E-3</v>
      </c>
      <c r="AP14" s="116"/>
      <c r="AQ14" s="18" cm="1">
        <f t="array" ref="AQ14">flatInterpolation($AG14,$S$4:$S$9,AP$5:AP$10)</f>
        <v>5.8334333333333339E-3</v>
      </c>
      <c r="AR14" s="26">
        <f t="shared" ref="AR14" si="99">EXP(-AQ14*YearFraction)*AR13</f>
        <v>0.98552243916017457</v>
      </c>
      <c r="AS14" s="122">
        <f t="shared" si="9"/>
        <v>1.4382933804902853E-3</v>
      </c>
      <c r="AT14" s="116"/>
      <c r="AU14" s="18" cm="1">
        <f t="array" ref="AU14">flatInterpolation($AG14,$S$4:$S$9,AT$5:AT$10)</f>
        <v>5.8333333333333336E-3</v>
      </c>
      <c r="AV14" s="26">
        <f t="shared" ref="AV14" si="100">EXP(-AU14*YearFraction)*AV13</f>
        <v>0.98552248843629786</v>
      </c>
      <c r="AW14" s="122">
        <f t="shared" si="11"/>
        <v>1.4382687783857095E-3</v>
      </c>
      <c r="AX14" s="116"/>
      <c r="AY14" s="18" cm="1">
        <f t="array" ref="AY14">flatInterpolation($AG14,$S$4:$S$9,AX$5:AX$10)</f>
        <v>5.8333333333333336E-3</v>
      </c>
      <c r="AZ14" s="26">
        <f t="shared" ref="AZ14" si="101">EXP(-AY14*YearFraction)*AZ13</f>
        <v>0.98552248843629786</v>
      </c>
      <c r="BA14" s="122">
        <f t="shared" si="13"/>
        <v>1.4382687783857095E-3</v>
      </c>
      <c r="BB14" s="116"/>
      <c r="BC14" s="18" cm="1">
        <f t="array" ref="BC14">flatInterpolation($AG14,$S$4:$S$9,BB$5:BB$10)</f>
        <v>5.8333333333333336E-3</v>
      </c>
      <c r="BD14" s="26">
        <f t="shared" ref="BD14" si="102">EXP(-BC14*YearFraction)*BD13</f>
        <v>0.98552248843629786</v>
      </c>
      <c r="BE14" s="122">
        <f t="shared" si="15"/>
        <v>1.4382687783857095E-3</v>
      </c>
    </row>
    <row r="15" spans="3:58" x14ac:dyDescent="0.3">
      <c r="C15" t="s">
        <v>149</v>
      </c>
      <c r="K15" s="34" t="s">
        <v>12</v>
      </c>
      <c r="L15" s="18">
        <f t="shared" si="88"/>
        <v>3.5000000000000001E-3</v>
      </c>
      <c r="M15" s="2">
        <f t="shared" ref="M15" si="103">-Notional*L15*YearFraction</f>
        <v>-875</v>
      </c>
      <c r="N15" s="28">
        <f>M15*SUMPRODUCT(PSurvival2Y,DiscFactors2Y)</f>
        <v>-6612.929018235186</v>
      </c>
      <c r="O15" s="4">
        <f>M15*0.5*SUMPRODUCT(PDefault2Y,DiscFactors2Y)</f>
        <v>-4.8254451076501477</v>
      </c>
      <c r="P15" s="4">
        <f>LGD*SUMPRODUCT(PDefault2Y,DiscFactors2Y)</f>
        <v>6617.7532904916316</v>
      </c>
      <c r="Q15" s="5">
        <f t="shared" si="90"/>
        <v>-1.1728512045010575E-3</v>
      </c>
      <c r="S15" s="3">
        <f>Notional*YearFraction*(SUMPRODUCT(PSurvival2Y,DiscFactors2Y)+0.5*SUMPRODUCT(PDefault2Y,DiscFactors2Y))</f>
        <v>1890786.9895265247</v>
      </c>
      <c r="T15" s="81">
        <f t="shared" si="91"/>
        <v>34.99999379702097</v>
      </c>
      <c r="U15" s="18">
        <f t="shared" si="92"/>
        <v>3.4999993797020972E-3</v>
      </c>
      <c r="V15" s="18">
        <f t="shared" si="93"/>
        <v>-6.2029790288617437E-10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5.8333333333333336E-3</v>
      </c>
      <c r="Z15" s="26">
        <f t="shared" ref="Z15" si="105">EXP(-Y15*YearFraction)*Z14</f>
        <v>0.98408631560454818</v>
      </c>
      <c r="AA15" s="26">
        <f t="shared" si="3"/>
        <v>1.4361728317496825E-3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5.8333333333333336E-3</v>
      </c>
      <c r="AJ15" s="26">
        <f t="shared" ref="AJ15" si="107">EXP(-AI15*YearFraction)*AJ14</f>
        <v>0.98408621719592149</v>
      </c>
      <c r="AK15" s="122">
        <f t="shared" si="5"/>
        <v>1.4361726881324532E-3</v>
      </c>
      <c r="AL15" s="116"/>
      <c r="AM15" s="18" cm="1">
        <f t="array" ref="AM15">flatInterpolation($AG15,$S$4:$S$9,AL$5:AL$10)</f>
        <v>5.8333333333333336E-3</v>
      </c>
      <c r="AN15" s="26">
        <f t="shared" ref="AN15" si="108">EXP(-AM15*YearFraction)*AN14</f>
        <v>0.98408621719592138</v>
      </c>
      <c r="AO15" s="122">
        <f t="shared" si="7"/>
        <v>1.4361726881324532E-3</v>
      </c>
      <c r="AP15" s="116"/>
      <c r="AQ15" s="18" cm="1">
        <f t="array" ref="AQ15">flatInterpolation($AG15,$S$4:$S$9,AP$5:AP$10)</f>
        <v>5.8334333333333339E-3</v>
      </c>
      <c r="AR15" s="26">
        <f t="shared" ref="AR15" si="109">EXP(-AQ15*YearFraction)*AR14</f>
        <v>0.98408624179807702</v>
      </c>
      <c r="AS15" s="122">
        <f t="shared" si="9"/>
        <v>1.4361973620975466E-3</v>
      </c>
      <c r="AT15" s="116"/>
      <c r="AU15" s="18" cm="1">
        <f t="array" ref="AU15">flatInterpolation($AG15,$S$4:$S$9,AT$5:AT$10)</f>
        <v>5.8333333333333336E-3</v>
      </c>
      <c r="AV15" s="26">
        <f t="shared" ref="AV15" si="110">EXP(-AU15*YearFraction)*AV14</f>
        <v>0.98408631560454818</v>
      </c>
      <c r="AW15" s="122">
        <f t="shared" si="11"/>
        <v>1.4361728317496825E-3</v>
      </c>
      <c r="AX15" s="116"/>
      <c r="AY15" s="18" cm="1">
        <f t="array" ref="AY15">flatInterpolation($AG15,$S$4:$S$9,AX$5:AX$10)</f>
        <v>5.8333333333333336E-3</v>
      </c>
      <c r="AZ15" s="26">
        <f t="shared" ref="AZ15" si="111">EXP(-AY15*YearFraction)*AZ14</f>
        <v>0.98408631560454818</v>
      </c>
      <c r="BA15" s="122">
        <f t="shared" si="13"/>
        <v>1.4361728317496825E-3</v>
      </c>
      <c r="BB15" s="116"/>
      <c r="BC15" s="18" cm="1">
        <f t="array" ref="BC15">flatInterpolation($AG15,$S$4:$S$9,BB$5:BB$10)</f>
        <v>5.8333333333333336E-3</v>
      </c>
      <c r="BD15" s="26">
        <f t="shared" ref="BD15" si="112">EXP(-BC15*YearFraction)*BD14</f>
        <v>0.98408631560454818</v>
      </c>
      <c r="BE15" s="122">
        <f t="shared" si="15"/>
        <v>1.4361728317496825E-3</v>
      </c>
    </row>
    <row r="16" spans="3:58" x14ac:dyDescent="0.3">
      <c r="C16" t="s">
        <v>152</v>
      </c>
      <c r="K16" s="34" t="s">
        <v>13</v>
      </c>
      <c r="L16" s="18">
        <f t="shared" si="88"/>
        <v>3.5000000000000001E-3</v>
      </c>
      <c r="M16" s="2">
        <f t="shared" ref="M16" si="113">-Notional*L16*YearFraction</f>
        <v>-875</v>
      </c>
      <c r="N16" s="28">
        <f>M16*SUMPRODUCT(PSurvival3Y,DiscFactors3Y)</f>
        <v>-9689.3595009313049</v>
      </c>
      <c r="O16" s="4">
        <f>M16*0.5*SUMPRODUCT(PDefault3Y,DiscFactors3Y)</f>
        <v>-7.0703121523161512</v>
      </c>
      <c r="P16" s="4">
        <f>LGD*SUMPRODUCT(PDefault3Y,DiscFactors3Y)</f>
        <v>9696.4280946050076</v>
      </c>
      <c r="Q16" s="5">
        <f t="shared" si="90"/>
        <v>-1.7184786138386698E-3</v>
      </c>
      <c r="S16" s="3">
        <f>Notional*YearFraction*(SUMPRODUCT(PSurvival3Y,DiscFactors3Y)+0.5*SUMPRODUCT(PDefault3Y,DiscFactors3Y))</f>
        <v>2770408.5180238914</v>
      </c>
      <c r="T16" s="81">
        <f t="shared" si="91"/>
        <v>34.999993797020906</v>
      </c>
      <c r="U16" s="18">
        <f t="shared" si="92"/>
        <v>3.4999993797020907E-3</v>
      </c>
      <c r="V16" s="18">
        <f t="shared" si="93"/>
        <v>-6.202979093913874E-10</v>
      </c>
      <c r="W16" s="17"/>
      <c r="X16" s="24">
        <f t="shared" ref="X16" si="114">X15+YearFraction</f>
        <v>3</v>
      </c>
      <c r="Y16" s="25" cm="1">
        <f t="array" ref="Y16">flatInterpolation(X16,$S$4:$S$9,$T$4:$T$9)</f>
        <v>5.8333333333333336E-3</v>
      </c>
      <c r="Z16" s="26">
        <f t="shared" ref="Z16" si="115">EXP(-Y16*YearFraction)*Z15</f>
        <v>0.9826522356650732</v>
      </c>
      <c r="AA16" s="26">
        <f t="shared" si="3"/>
        <v>1.4340799394749748E-3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5.8333333333333336E-3</v>
      </c>
      <c r="AJ16" s="26">
        <f t="shared" ref="AJ16" si="117">EXP(-AI16*YearFraction)*AJ15</f>
        <v>0.98265213739985446</v>
      </c>
      <c r="AK16" s="122">
        <f t="shared" si="5"/>
        <v>1.4340797960670226E-3</v>
      </c>
      <c r="AL16" s="116"/>
      <c r="AM16" s="18" cm="1">
        <f t="array" ref="AM16">flatInterpolation($AG16,$S$4:$S$9,AL$5:AL$10)</f>
        <v>5.8333333333333336E-3</v>
      </c>
      <c r="AN16" s="26">
        <f t="shared" ref="AN16" si="118">EXP(-AM16*YearFraction)*AN15</f>
        <v>0.98265213739985435</v>
      </c>
      <c r="AO16" s="122">
        <f t="shared" si="7"/>
        <v>1.4340797960670226E-3</v>
      </c>
      <c r="AP16" s="116"/>
      <c r="AQ16" s="18" cm="1">
        <f t="array" ref="AQ16">flatInterpolation($AG16,$S$4:$S$9,AP$5:AP$10)</f>
        <v>5.8334333333333339E-3</v>
      </c>
      <c r="AR16" s="26">
        <f t="shared" ref="AR16" si="119">EXP(-AQ16*YearFraction)*AR15</f>
        <v>0.98265213739985424</v>
      </c>
      <c r="AS16" s="122">
        <f t="shared" si="9"/>
        <v>1.4341043982227797E-3</v>
      </c>
      <c r="AT16" s="116"/>
      <c r="AU16" s="18" cm="1">
        <f t="array" ref="AU16">flatInterpolation($AG16,$S$4:$S$9,AT$5:AT$10)</f>
        <v>5.8333333333333336E-3</v>
      </c>
      <c r="AV16" s="26">
        <f t="shared" ref="AV16" si="120">EXP(-AU16*YearFraction)*AV15</f>
        <v>0.9826522356650732</v>
      </c>
      <c r="AW16" s="122">
        <f t="shared" si="11"/>
        <v>1.4340799394749748E-3</v>
      </c>
      <c r="AX16" s="116"/>
      <c r="AY16" s="18" cm="1">
        <f t="array" ref="AY16">flatInterpolation($AG16,$S$4:$S$9,AX$5:AX$10)</f>
        <v>5.8333333333333336E-3</v>
      </c>
      <c r="AZ16" s="26">
        <f t="shared" ref="AZ16" si="121">EXP(-AY16*YearFraction)*AZ15</f>
        <v>0.9826522356650732</v>
      </c>
      <c r="BA16" s="122">
        <f t="shared" si="13"/>
        <v>1.4340799394749748E-3</v>
      </c>
      <c r="BB16" s="116"/>
      <c r="BC16" s="18" cm="1">
        <f t="array" ref="BC16">flatInterpolation($AG16,$S$4:$S$9,BB$5:BB$10)</f>
        <v>5.8333333333333336E-3</v>
      </c>
      <c r="BD16" s="26">
        <f t="shared" ref="BD16" si="122">EXP(-BC16*YearFraction)*BD15</f>
        <v>0.9826522356650732</v>
      </c>
      <c r="BE16" s="122">
        <f t="shared" si="15"/>
        <v>1.4340799394749748E-3</v>
      </c>
    </row>
    <row r="17" spans="3:57" x14ac:dyDescent="0.3">
      <c r="C17" t="s">
        <v>153</v>
      </c>
      <c r="K17" s="34" t="s">
        <v>14</v>
      </c>
      <c r="L17" s="18">
        <f t="shared" si="88"/>
        <v>3.5000000000000001E-3</v>
      </c>
      <c r="M17" s="2">
        <f t="shared" ref="M17" si="123">-Notional*L17*YearFraction</f>
        <v>-875</v>
      </c>
      <c r="N17" s="28">
        <f>M17*SUMPRODUCT(PSurvival4Y,DiscFactors4Y)</f>
        <v>-12630.975297932951</v>
      </c>
      <c r="O17" s="4">
        <f>M17*0.5*SUMPRODUCT(PDefault4Y,DiscFactors4Y)</f>
        <v>-9.2168051083249463</v>
      </c>
      <c r="P17" s="4">
        <f>LGD*SUMPRODUCT(PDefault4Y,DiscFactors4Y)</f>
        <v>12640.189862845642</v>
      </c>
      <c r="Q17" s="5">
        <f t="shared" si="90"/>
        <v>-2.2401956339308526E-3</v>
      </c>
      <c r="S17" s="3">
        <f>Notional*YearFraction*(SUMPRODUCT(PSurvival4Y,DiscFactors4Y)+0.5*SUMPRODUCT(PDefault4Y,DiscFactors4Y))</f>
        <v>3611483.458011793</v>
      </c>
      <c r="T17" s="81">
        <f t="shared" si="91"/>
        <v>34.99999379702092</v>
      </c>
      <c r="U17" s="18">
        <f t="shared" si="92"/>
        <v>3.499999379702092E-3</v>
      </c>
      <c r="V17" s="18">
        <f t="shared" si="93"/>
        <v>-6.202979080903448E-10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5.8333333333333336E-3</v>
      </c>
      <c r="Z17" s="26">
        <f t="shared" ref="Z17" si="125">EXP(-Y17*YearFraction)*Z16</f>
        <v>0.98122024556796283</v>
      </c>
      <c r="AA17" s="26">
        <f t="shared" si="3"/>
        <v>1.4319900971103694E-3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5.8333333333333336E-3</v>
      </c>
      <c r="AJ17" s="26">
        <f t="shared" ref="AJ17" si="127">EXP(-AI17*YearFraction)*AJ16</f>
        <v>0.9812201474459431</v>
      </c>
      <c r="AK17" s="122">
        <f t="shared" si="5"/>
        <v>1.4319899539113612E-3</v>
      </c>
      <c r="AL17" s="116"/>
      <c r="AM17" s="18" cm="1">
        <f t="array" ref="AM17">flatInterpolation($AG17,$S$4:$S$9,AL$5:AL$10)</f>
        <v>5.8333333333333336E-3</v>
      </c>
      <c r="AN17" s="26">
        <f t="shared" ref="AN17" si="128">EXP(-AM17*YearFraction)*AN16</f>
        <v>0.98122014744594299</v>
      </c>
      <c r="AO17" s="122">
        <f t="shared" si="7"/>
        <v>1.4319899539113612E-3</v>
      </c>
      <c r="AP17" s="116"/>
      <c r="AQ17" s="18" cm="1">
        <f t="array" ref="AQ17">flatInterpolation($AG17,$S$4:$S$9,AP$5:AP$10)</f>
        <v>5.8333333333333336E-3</v>
      </c>
      <c r="AR17" s="26">
        <f t="shared" ref="AR17" si="129">EXP(-AQ17*YearFraction)*AR16</f>
        <v>0.98122014744594288</v>
      </c>
      <c r="AS17" s="122">
        <f t="shared" si="9"/>
        <v>1.4319899539113612E-3</v>
      </c>
      <c r="AT17" s="116"/>
      <c r="AU17" s="18" cm="1">
        <f t="array" ref="AU17">flatInterpolation($AG17,$S$4:$S$9,AT$5:AT$10)</f>
        <v>5.8334333333333339E-3</v>
      </c>
      <c r="AV17" s="26">
        <f t="shared" ref="AV17" si="130">EXP(-AU17*YearFraction)*AV16</f>
        <v>0.98122022103745699</v>
      </c>
      <c r="AW17" s="122">
        <f t="shared" si="11"/>
        <v>1.4320146276162182E-3</v>
      </c>
      <c r="AX17" s="116"/>
      <c r="AY17" s="18" cm="1">
        <f t="array" ref="AY17">flatInterpolation($AG17,$S$4:$S$9,AX$5:AX$10)</f>
        <v>5.8333333333333336E-3</v>
      </c>
      <c r="AZ17" s="26">
        <f t="shared" ref="AZ17" si="131">EXP(-AY17*YearFraction)*AZ16</f>
        <v>0.98122024556796283</v>
      </c>
      <c r="BA17" s="122">
        <f t="shared" si="13"/>
        <v>1.4319900971103694E-3</v>
      </c>
      <c r="BB17" s="116"/>
      <c r="BC17" s="18" cm="1">
        <f t="array" ref="BC17">flatInterpolation($AG17,$S$4:$S$9,BB$5:BB$10)</f>
        <v>5.8333333333333336E-3</v>
      </c>
      <c r="BD17" s="26">
        <f t="shared" ref="BD17" si="132">EXP(-BC17*YearFraction)*BD16</f>
        <v>0.98122024556796283</v>
      </c>
      <c r="BE17" s="122">
        <f t="shared" si="15"/>
        <v>1.4319900971103694E-3</v>
      </c>
    </row>
    <row r="18" spans="3:57" x14ac:dyDescent="0.3">
      <c r="C18" t="s">
        <v>154</v>
      </c>
      <c r="K18" s="34" t="s">
        <v>15</v>
      </c>
      <c r="L18" s="18">
        <f t="shared" si="88"/>
        <v>3.5000000000000001E-3</v>
      </c>
      <c r="M18" s="2">
        <f t="shared" ref="M18" si="133">-Notional*L18*YearFraction</f>
        <v>-875</v>
      </c>
      <c r="N18" s="28">
        <f>M18*SUMPRODUCT(PSurvival5Y,DiscFactors5Y)</f>
        <v>-15446.88633144598</v>
      </c>
      <c r="O18" s="4">
        <f>M18*0.5*SUMPRODUCT(PDefault5Y,DiscFactors5Y)</f>
        <v>-11.271571473240458</v>
      </c>
      <c r="P18" s="4">
        <f>LGD*SUMPRODUCT(PDefault5Y,DiscFactors5Y)</f>
        <v>15458.155163301199</v>
      </c>
      <c r="Q18" s="5">
        <f t="shared" si="90"/>
        <v>-2.7396180212235777E-3</v>
      </c>
      <c r="S18" s="3">
        <f>Notional*YearFraction*(SUMPRODUCT(PSurvival5Y,DiscFactors5Y)+0.5*SUMPRODUCT(PDefault5Y,DiscFactors5Y))</f>
        <v>4416616.5436912049</v>
      </c>
      <c r="T18" s="81">
        <f t="shared" si="91"/>
        <v>34.999993797020885</v>
      </c>
      <c r="U18" s="18">
        <f t="shared" si="92"/>
        <v>3.4999993797020885E-3</v>
      </c>
      <c r="V18" s="18">
        <f t="shared" si="93"/>
        <v>-6.2029791155979175E-10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5.8333333333333336E-3</v>
      </c>
      <c r="Z18" s="26">
        <f t="shared" ref="Z18" si="135">EXP(-Y18*YearFraction)*Z17</f>
        <v>0.97979034226775152</v>
      </c>
      <c r="AA18" s="26">
        <f t="shared" si="3"/>
        <v>1.4299033002113104E-3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5.8333333333333336E-3</v>
      </c>
      <c r="AJ18" s="26">
        <f t="shared" ref="AJ18" si="137">EXP(-AI18*YearFraction)*AJ17</f>
        <v>0.97979024428872208</v>
      </c>
      <c r="AK18" s="122">
        <f t="shared" si="5"/>
        <v>1.4299031572210241E-3</v>
      </c>
      <c r="AL18" s="116"/>
      <c r="AM18" s="18" cm="1">
        <f t="array" ref="AM18">flatInterpolation($AG18,$S$4:$S$9,AL$5:AL$10)</f>
        <v>5.8333333333333336E-3</v>
      </c>
      <c r="AN18" s="26">
        <f t="shared" ref="AN18" si="138">EXP(-AM18*YearFraction)*AN17</f>
        <v>0.97979024428872197</v>
      </c>
      <c r="AO18" s="122">
        <f t="shared" si="7"/>
        <v>1.4299031572210241E-3</v>
      </c>
      <c r="AP18" s="116"/>
      <c r="AQ18" s="18" cm="1">
        <f t="array" ref="AQ18">flatInterpolation($AG18,$S$4:$S$9,AP$5:AP$10)</f>
        <v>5.8333333333333336E-3</v>
      </c>
      <c r="AR18" s="26">
        <f t="shared" ref="AR18" si="139">EXP(-AQ18*YearFraction)*AR17</f>
        <v>0.97979024428872186</v>
      </c>
      <c r="AS18" s="122">
        <f t="shared" si="9"/>
        <v>1.4299031572210241E-3</v>
      </c>
      <c r="AT18" s="116"/>
      <c r="AU18" s="18" cm="1">
        <f t="array" ref="AU18">flatInterpolation($AG18,$S$4:$S$9,AT$5:AT$10)</f>
        <v>5.8334333333333339E-3</v>
      </c>
      <c r="AV18" s="26">
        <f t="shared" ref="AV18" si="140">EXP(-AU18*YearFraction)*AV17</f>
        <v>0.97979029327823552</v>
      </c>
      <c r="AW18" s="122">
        <f t="shared" si="11"/>
        <v>1.429927759221461E-3</v>
      </c>
      <c r="AX18" s="116"/>
      <c r="AY18" s="18" cm="1">
        <f t="array" ref="AY18">flatInterpolation($AG18,$S$4:$S$9,AX$5:AX$10)</f>
        <v>5.8333333333333336E-3</v>
      </c>
      <c r="AZ18" s="26">
        <f t="shared" ref="AZ18" si="141">EXP(-AY18*YearFraction)*AZ17</f>
        <v>0.97979034226775152</v>
      </c>
      <c r="BA18" s="122">
        <f t="shared" si="13"/>
        <v>1.4299033002113104E-3</v>
      </c>
      <c r="BB18" s="116"/>
      <c r="BC18" s="18" cm="1">
        <f t="array" ref="BC18">flatInterpolation($AG18,$S$4:$S$9,BB$5:BB$10)</f>
        <v>5.8333333333333336E-3</v>
      </c>
      <c r="BD18" s="26">
        <f t="shared" ref="BD18" si="142">EXP(-BC18*YearFraction)*BD17</f>
        <v>0.97979034226775152</v>
      </c>
      <c r="BE18" s="122">
        <f t="shared" si="15"/>
        <v>1.4299033002113104E-3</v>
      </c>
    </row>
    <row r="19" spans="3:57" x14ac:dyDescent="0.3">
      <c r="C19" t="s">
        <v>330</v>
      </c>
      <c r="K19" s="35" t="s">
        <v>16</v>
      </c>
      <c r="L19" s="36">
        <f t="shared" si="88"/>
        <v>3.5000000000000001E-3</v>
      </c>
      <c r="M19" s="37">
        <f t="shared" ref="M19" si="143">-Notional*L19*YearFraction</f>
        <v>-875</v>
      </c>
      <c r="N19" s="38">
        <f>M19*SUMPRODUCT(PSurvival10Y,DiscFactors10Y)</f>
        <v>-27838.627706213538</v>
      </c>
      <c r="O19" s="7">
        <f>M19*0.5*SUMPRODUCT(PDefault10Y,DiscFactors10Y)</f>
        <v>-20.313807920547035</v>
      </c>
      <c r="P19" s="7">
        <f>LGD*SUMPRODUCT(PDefault10Y,DiscFactors10Y)</f>
        <v>27858.93657675022</v>
      </c>
      <c r="Q19" s="8">
        <f t="shared" si="90"/>
        <v>-4.9373838628525846E-3</v>
      </c>
      <c r="S19" s="6">
        <f>Notional*YearFraction*(SUMPRODUCT(PSurvival10Y,DiscFactors10Y)+0.5*SUMPRODUCT(PDefault10Y,DiscFactors10Y))</f>
        <v>7959697.5754668815</v>
      </c>
      <c r="T19" s="82">
        <f t="shared" si="91"/>
        <v>34.999993797020778</v>
      </c>
      <c r="U19" s="18">
        <f t="shared" si="92"/>
        <v>3.4999993797020777E-3</v>
      </c>
      <c r="V19" s="18">
        <f t="shared" si="93"/>
        <v>-6.2029792240181347E-10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5.8333333333333336E-3</v>
      </c>
      <c r="Z19" s="26">
        <f t="shared" ref="Z19" si="145">EXP(-Y19*YearFraction)*Z18</f>
        <v>0.97836252272341173</v>
      </c>
      <c r="AA19" s="26">
        <f t="shared" si="3"/>
        <v>1.4278195443397923E-3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5.8333333333333336E-3</v>
      </c>
      <c r="AJ19" s="26">
        <f t="shared" ref="AJ19" si="147">EXP(-AI19*YearFraction)*AJ18</f>
        <v>0.97836242488716429</v>
      </c>
      <c r="AK19" s="122">
        <f t="shared" si="5"/>
        <v>1.4278194015577839E-3</v>
      </c>
      <c r="AL19" s="116"/>
      <c r="AM19" s="18" cm="1">
        <f t="array" ref="AM19">flatInterpolation($AG19,$S$4:$S$9,AL$5:AL$10)</f>
        <v>5.8333333333333336E-3</v>
      </c>
      <c r="AN19" s="26">
        <f t="shared" ref="AN19" si="148">EXP(-AM19*YearFraction)*AN18</f>
        <v>0.97836242488716418</v>
      </c>
      <c r="AO19" s="122">
        <f t="shared" si="7"/>
        <v>1.4278194015577839E-3</v>
      </c>
      <c r="AP19" s="116"/>
      <c r="AQ19" s="18" cm="1">
        <f t="array" ref="AQ19">flatInterpolation($AG19,$S$4:$S$9,AP$5:AP$10)</f>
        <v>5.8333333333333336E-3</v>
      </c>
      <c r="AR19" s="26">
        <f t="shared" ref="AR19" si="149">EXP(-AQ19*YearFraction)*AR18</f>
        <v>0.97836242488716407</v>
      </c>
      <c r="AS19" s="122">
        <f t="shared" si="9"/>
        <v>1.4278194015577839E-3</v>
      </c>
      <c r="AT19" s="116"/>
      <c r="AU19" s="18" cm="1">
        <f t="array" ref="AU19">flatInterpolation($AG19,$S$4:$S$9,AT$5:AT$10)</f>
        <v>5.8334333333333339E-3</v>
      </c>
      <c r="AV19" s="26">
        <f t="shared" ref="AV19" si="150">EXP(-AU19*YearFraction)*AV18</f>
        <v>0.97836244934622507</v>
      </c>
      <c r="AW19" s="122">
        <f t="shared" si="11"/>
        <v>1.427843932010453E-3</v>
      </c>
      <c r="AX19" s="116"/>
      <c r="AY19" s="18" cm="1">
        <f t="array" ref="AY19">flatInterpolation($AG19,$S$4:$S$9,AX$5:AX$10)</f>
        <v>5.8333333333333336E-3</v>
      </c>
      <c r="AZ19" s="26">
        <f t="shared" ref="AZ19" si="151">EXP(-AY19*YearFraction)*AZ18</f>
        <v>0.97836252272341173</v>
      </c>
      <c r="BA19" s="122">
        <f t="shared" si="13"/>
        <v>1.4278195443397923E-3</v>
      </c>
      <c r="BB19" s="116"/>
      <c r="BC19" s="18" cm="1">
        <f t="array" ref="BC19">flatInterpolation($AG19,$S$4:$S$9,BB$5:BB$10)</f>
        <v>5.8333333333333336E-3</v>
      </c>
      <c r="BD19" s="26">
        <f t="shared" ref="BD19" si="152">EXP(-BC19*YearFraction)*BD18</f>
        <v>0.97836252272341173</v>
      </c>
      <c r="BE19" s="122">
        <f t="shared" si="15"/>
        <v>1.4278195443397923E-3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5.8333333333333336E-3</v>
      </c>
      <c r="Z20" s="26">
        <f t="shared" ref="Z20" si="154">EXP(-Y20*YearFraction)*Z19</f>
        <v>0.97693678389834759</v>
      </c>
      <c r="AA20" s="26">
        <f t="shared" si="3"/>
        <v>1.4257388250641378E-3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5.8333333333333336E-3</v>
      </c>
      <c r="AJ20" s="26">
        <f t="shared" ref="AJ20" si="156">EXP(-AI20*YearFraction)*AJ19</f>
        <v>0.976936686204674</v>
      </c>
      <c r="AK20" s="122">
        <f t="shared" si="5"/>
        <v>1.4257386824902962E-3</v>
      </c>
      <c r="AL20" s="116"/>
      <c r="AM20" s="18" cm="1">
        <f t="array" ref="AM20">flatInterpolation($AG20,$S$4:$S$9,AL$5:AL$10)</f>
        <v>5.8333333333333336E-3</v>
      </c>
      <c r="AN20" s="26">
        <f t="shared" ref="AN20" si="157">EXP(-AM20*YearFraction)*AN19</f>
        <v>0.97693668620467389</v>
      </c>
      <c r="AO20" s="122">
        <f t="shared" si="7"/>
        <v>1.4257386824902962E-3</v>
      </c>
      <c r="AP20" s="116"/>
      <c r="AQ20" s="18" cm="1">
        <f t="array" ref="AQ20">flatInterpolation($AG20,$S$4:$S$9,AP$5:AP$10)</f>
        <v>5.8333333333333336E-3</v>
      </c>
      <c r="AR20" s="26">
        <f t="shared" ref="AR20" si="158">EXP(-AQ20*YearFraction)*AR19</f>
        <v>0.97693668620467378</v>
      </c>
      <c r="AS20" s="122">
        <f t="shared" si="9"/>
        <v>1.4257386824902962E-3</v>
      </c>
      <c r="AT20" s="116"/>
      <c r="AU20" s="18" cm="1">
        <f t="array" ref="AU20">flatInterpolation($AG20,$S$4:$S$9,AT$5:AT$10)</f>
        <v>5.8334333333333339E-3</v>
      </c>
      <c r="AV20" s="26">
        <f t="shared" ref="AV20" si="159">EXP(-AU20*YearFraction)*AV19</f>
        <v>0.97693668620467378</v>
      </c>
      <c r="AW20" s="122">
        <f t="shared" si="11"/>
        <v>1.425763141551295E-3</v>
      </c>
      <c r="AX20" s="116"/>
      <c r="AY20" s="18" cm="1">
        <f t="array" ref="AY20">flatInterpolation($AG20,$S$4:$S$9,AX$5:AX$10)</f>
        <v>5.8333333333333336E-3</v>
      </c>
      <c r="AZ20" s="26">
        <f t="shared" ref="AZ20" si="160">EXP(-AY20*YearFraction)*AZ19</f>
        <v>0.97693678389834759</v>
      </c>
      <c r="BA20" s="122">
        <f t="shared" si="13"/>
        <v>1.4257388250641378E-3</v>
      </c>
      <c r="BB20" s="116"/>
      <c r="BC20" s="18" cm="1">
        <f t="array" ref="BC20">flatInterpolation($AG20,$S$4:$S$9,BB$5:BB$10)</f>
        <v>5.8333333333333336E-3</v>
      </c>
      <c r="BD20" s="26">
        <f t="shared" ref="BD20" si="161">EXP(-BC20*YearFraction)*BD19</f>
        <v>0.97693678389834759</v>
      </c>
      <c r="BE20" s="122">
        <f t="shared" si="15"/>
        <v>1.4257388250641378E-3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5.8333333333333336E-3</v>
      </c>
      <c r="Z21" s="26">
        <f t="shared" ref="Z21" si="163">EXP(-Y21*YearFraction)*Z20</f>
        <v>0.97551312276038826</v>
      </c>
      <c r="AA21" s="26">
        <f t="shared" si="3"/>
        <v>1.4236611379593311E-3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5.8333333333333336E-3</v>
      </c>
      <c r="AJ21" s="26">
        <f t="shared" ref="AJ21" si="165">EXP(-AI21*YearFraction)*AJ20</f>
        <v>0.97551302520908079</v>
      </c>
      <c r="AK21" s="122">
        <f t="shared" si="5"/>
        <v>1.4236609955932122E-3</v>
      </c>
      <c r="AL21" s="116"/>
      <c r="AM21" s="18" cm="1">
        <f t="array" ref="AM21">flatInterpolation($AG21,$S$4:$S$9,AL$5:AL$10)</f>
        <v>5.8333333333333336E-3</v>
      </c>
      <c r="AN21" s="26">
        <f t="shared" ref="AN21" si="166">EXP(-AM21*YearFraction)*AN20</f>
        <v>0.97551302520908068</v>
      </c>
      <c r="AO21" s="122">
        <f t="shared" si="7"/>
        <v>1.4236609955932122E-3</v>
      </c>
      <c r="AP21" s="116"/>
      <c r="AQ21" s="18" cm="1">
        <f t="array" ref="AQ21">flatInterpolation($AG21,$S$4:$S$9,AP$5:AP$10)</f>
        <v>5.8333333333333336E-3</v>
      </c>
      <c r="AR21" s="26">
        <f t="shared" ref="AR21" si="167">EXP(-AQ21*YearFraction)*AR20</f>
        <v>0.97551302520908056</v>
      </c>
      <c r="AS21" s="122">
        <f t="shared" si="9"/>
        <v>1.4236609955932122E-3</v>
      </c>
      <c r="AT21" s="116"/>
      <c r="AU21" s="18" cm="1">
        <f t="array" ref="AU21">flatInterpolation($AG21,$S$4:$S$9,AT$5:AT$10)</f>
        <v>5.8333333333333336E-3</v>
      </c>
      <c r="AV21" s="26">
        <f t="shared" ref="AV21" si="168">EXP(-AU21*YearFraction)*AV20</f>
        <v>0.97551302520908056</v>
      </c>
      <c r="AW21" s="122">
        <f t="shared" si="11"/>
        <v>1.4236609955932122E-3</v>
      </c>
      <c r="AX21" s="116"/>
      <c r="AY21" s="18" cm="1">
        <f t="array" ref="AY21">flatInterpolation($AG21,$S$4:$S$9,AX$5:AX$10)</f>
        <v>5.8334333333333339E-3</v>
      </c>
      <c r="AZ21" s="26">
        <f t="shared" ref="AZ21" si="169">EXP(-AY21*YearFraction)*AZ20</f>
        <v>0.97551309837256039</v>
      </c>
      <c r="BA21" s="122">
        <f t="shared" si="13"/>
        <v>1.4236855257871994E-3</v>
      </c>
      <c r="BB21" s="116"/>
      <c r="BC21" s="18" cm="1">
        <f t="array" ref="BC21">flatInterpolation($AG21,$S$4:$S$9,BB$5:BB$10)</f>
        <v>5.8333333333333336E-3</v>
      </c>
      <c r="BD21" s="26">
        <f t="shared" ref="BD21" si="170">EXP(-BC21*YearFraction)*BD20</f>
        <v>0.97551312276038826</v>
      </c>
      <c r="BE21" s="122">
        <f t="shared" si="15"/>
        <v>1.4236611379593311E-3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5.8333333333333336E-3</v>
      </c>
      <c r="Z22" s="26">
        <f t="shared" ref="Z22" si="172">EXP(-Y22*YearFraction)*Z21</f>
        <v>0.97409153628178158</v>
      </c>
      <c r="AA22" s="26">
        <f t="shared" si="3"/>
        <v>1.4215864786066845E-3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5.8333333333333336E-3</v>
      </c>
      <c r="AJ22" s="26">
        <f t="shared" ref="AJ22" si="174">EXP(-AI22*YearFraction)*AJ21</f>
        <v>0.97409143887263283</v>
      </c>
      <c r="AK22" s="122">
        <f t="shared" si="5"/>
        <v>1.4215863364479553E-3</v>
      </c>
      <c r="AL22" s="116"/>
      <c r="AM22" s="18" cm="1">
        <f t="array" ref="AM22">flatInterpolation($AG22,$S$4:$S$9,AL$5:AL$10)</f>
        <v>5.8333333333333336E-3</v>
      </c>
      <c r="AN22" s="26">
        <f t="shared" ref="AN22" si="175">EXP(-AM22*YearFraction)*AN21</f>
        <v>0.97409143887263272</v>
      </c>
      <c r="AO22" s="122">
        <f t="shared" si="7"/>
        <v>1.4215863364479553E-3</v>
      </c>
      <c r="AP22" s="116"/>
      <c r="AQ22" s="18" cm="1">
        <f t="array" ref="AQ22">flatInterpolation($AG22,$S$4:$S$9,AP$5:AP$10)</f>
        <v>5.8333333333333336E-3</v>
      </c>
      <c r="AR22" s="26">
        <f t="shared" ref="AR22" si="176">EXP(-AQ22*YearFraction)*AR21</f>
        <v>0.97409143887263261</v>
      </c>
      <c r="AS22" s="122">
        <f t="shared" si="9"/>
        <v>1.4215863364479553E-3</v>
      </c>
      <c r="AT22" s="116"/>
      <c r="AU22" s="18" cm="1">
        <f t="array" ref="AU22">flatInterpolation($AG22,$S$4:$S$9,AT$5:AT$10)</f>
        <v>5.8333333333333336E-3</v>
      </c>
      <c r="AV22" s="26">
        <f t="shared" ref="AV22" si="177">EXP(-AU22*YearFraction)*AV21</f>
        <v>0.97409143887263261</v>
      </c>
      <c r="AW22" s="122">
        <f t="shared" si="11"/>
        <v>1.4215863364479553E-3</v>
      </c>
      <c r="AX22" s="116"/>
      <c r="AY22" s="18" cm="1">
        <f t="array" ref="AY22">flatInterpolation($AG22,$S$4:$S$9,AX$5:AX$10)</f>
        <v>5.8334333333333339E-3</v>
      </c>
      <c r="AZ22" s="26">
        <f t="shared" ref="AZ22" si="178">EXP(-AY22*YearFraction)*AZ21</f>
        <v>0.97409148757720587</v>
      </c>
      <c r="BA22" s="122">
        <f t="shared" si="13"/>
        <v>1.4216107953545221E-3</v>
      </c>
      <c r="BB22" s="116"/>
      <c r="BC22" s="18" cm="1">
        <f t="array" ref="BC22">flatInterpolation($AG22,$S$4:$S$9,BB$5:BB$10)</f>
        <v>5.8333333333333336E-3</v>
      </c>
      <c r="BD22" s="26">
        <f t="shared" ref="BD22" si="179">EXP(-BC22*YearFraction)*BD21</f>
        <v>0.97409153628178158</v>
      </c>
      <c r="BE22" s="122">
        <f t="shared" si="15"/>
        <v>1.4215864786066845E-3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2.5323570230200253E-9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5.8333333333333336E-3</v>
      </c>
      <c r="Z23" s="26">
        <f t="shared" ref="Z23" si="181">EXP(-Y23*YearFraction)*Z22</f>
        <v>0.97267202143918785</v>
      </c>
      <c r="AA23" s="26">
        <f t="shared" si="3"/>
        <v>1.4195148425937276E-3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5.8333333333333336E-3</v>
      </c>
      <c r="AJ23" s="26">
        <f t="shared" ref="AJ23" si="183">EXP(-AI23*YearFraction)*AJ22</f>
        <v>0.97267192417199055</v>
      </c>
      <c r="AK23" s="122">
        <f t="shared" si="5"/>
        <v>1.419514700642277E-3</v>
      </c>
      <c r="AL23" s="116"/>
      <c r="AM23" s="18" cm="1">
        <f t="array" ref="AM23">flatInterpolation($AG23,$S$4:$S$9,AL$5:AL$10)</f>
        <v>5.8333333333333336E-3</v>
      </c>
      <c r="AN23" s="26">
        <f t="shared" ref="AN23" si="184">EXP(-AM23*YearFraction)*AN22</f>
        <v>0.97267192417199044</v>
      </c>
      <c r="AO23" s="122">
        <f t="shared" si="7"/>
        <v>1.419514700642277E-3</v>
      </c>
      <c r="AP23" s="116"/>
      <c r="AQ23" s="18" cm="1">
        <f t="array" ref="AQ23">flatInterpolation($AG23,$S$4:$S$9,AP$5:AP$10)</f>
        <v>5.8333333333333336E-3</v>
      </c>
      <c r="AR23" s="26">
        <f t="shared" ref="AR23" si="185">EXP(-AQ23*YearFraction)*AR22</f>
        <v>0.97267192417199033</v>
      </c>
      <c r="AS23" s="122">
        <f t="shared" si="9"/>
        <v>1.419514700642277E-3</v>
      </c>
      <c r="AT23" s="116"/>
      <c r="AU23" s="18" cm="1">
        <f t="array" ref="AU23">flatInterpolation($AG23,$S$4:$S$9,AT$5:AT$10)</f>
        <v>5.8333333333333336E-3</v>
      </c>
      <c r="AV23" s="26">
        <f t="shared" ref="AV23" si="186">EXP(-AU23*YearFraction)*AV22</f>
        <v>0.97267192417199033</v>
      </c>
      <c r="AW23" s="122">
        <f t="shared" si="11"/>
        <v>1.419514700642277E-3</v>
      </c>
      <c r="AX23" s="116"/>
      <c r="AY23" s="18" cm="1">
        <f t="array" ref="AY23">flatInterpolation($AG23,$S$4:$S$9,AX$5:AX$10)</f>
        <v>5.8334333333333339E-3</v>
      </c>
      <c r="AZ23" s="26">
        <f t="shared" ref="AZ23" si="187">EXP(-AY23*YearFraction)*AZ22</f>
        <v>0.9726719484887888</v>
      </c>
      <c r="BA23" s="122">
        <f t="shared" si="13"/>
        <v>1.4195390884170767E-3</v>
      </c>
      <c r="BB23" s="116"/>
      <c r="BC23" s="18" cm="1">
        <f t="array" ref="BC23">flatInterpolation($AG23,$S$4:$S$9,BB$5:BB$10)</f>
        <v>5.8333333333333336E-3</v>
      </c>
      <c r="BD23" s="26">
        <f t="shared" ref="BD23" si="188">EXP(-BC23*YearFraction)*BD22</f>
        <v>0.97267202143918785</v>
      </c>
      <c r="BE23" s="122">
        <f t="shared" si="15"/>
        <v>1.4195148425937276E-3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5.8333333333333336E-3</v>
      </c>
      <c r="X24" s="24">
        <f t="shared" ref="X24" si="189">X23+YearFraction</f>
        <v>5</v>
      </c>
      <c r="Y24" s="25" cm="1">
        <f t="array" ref="Y24">flatInterpolation(X24,$S$4:$S$9,$T$4:$T$9)</f>
        <v>5.8333333333333336E-3</v>
      </c>
      <c r="Z24" s="26">
        <f t="shared" ref="Z24" si="190">EXP(-Y24*YearFraction)*Z23</f>
        <v>0.97125457521367298</v>
      </c>
      <c r="AA24" s="26">
        <f t="shared" si="3"/>
        <v>1.4174462255148734E-3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5.8333333333333336E-3</v>
      </c>
      <c r="AJ24" s="26">
        <f t="shared" ref="AJ24" si="192">EXP(-AI24*YearFraction)*AJ23</f>
        <v>0.9712544780882203</v>
      </c>
      <c r="AK24" s="122">
        <f t="shared" si="5"/>
        <v>1.4174460837702574E-3</v>
      </c>
      <c r="AL24" s="116"/>
      <c r="AM24" s="18" cm="1">
        <f t="array" ref="AM24">flatInterpolation($AG24,$S$4:$S$9,AL$5:AL$10)</f>
        <v>5.8333333333333336E-3</v>
      </c>
      <c r="AN24" s="26">
        <f t="shared" ref="AN24" si="193">EXP(-AM24*YearFraction)*AN23</f>
        <v>0.97125447808822019</v>
      </c>
      <c r="AO24" s="122">
        <f t="shared" si="7"/>
        <v>1.4174460837702574E-3</v>
      </c>
      <c r="AP24" s="116"/>
      <c r="AQ24" s="18" cm="1">
        <f t="array" ref="AQ24">flatInterpolation($AG24,$S$4:$S$9,AP$5:AP$10)</f>
        <v>5.8333333333333336E-3</v>
      </c>
      <c r="AR24" s="26">
        <f t="shared" ref="AR24" si="194">EXP(-AQ24*YearFraction)*AR23</f>
        <v>0.97125447808822007</v>
      </c>
      <c r="AS24" s="122">
        <f t="shared" si="9"/>
        <v>1.4174460837702574E-3</v>
      </c>
      <c r="AT24" s="116"/>
      <c r="AU24" s="18" cm="1">
        <f t="array" ref="AU24">flatInterpolation($AG24,$S$4:$S$9,AT$5:AT$10)</f>
        <v>5.8333333333333336E-3</v>
      </c>
      <c r="AV24" s="26">
        <f t="shared" ref="AV24" si="195">EXP(-AU24*YearFraction)*AV23</f>
        <v>0.97125447808822007</v>
      </c>
      <c r="AW24" s="122">
        <f t="shared" si="11"/>
        <v>1.4174460837702574E-3</v>
      </c>
      <c r="AX24" s="116"/>
      <c r="AY24" s="18" cm="1">
        <f t="array" ref="AY24">flatInterpolation($AG24,$S$4:$S$9,AX$5:AX$10)</f>
        <v>5.8334333333333339E-3</v>
      </c>
      <c r="AZ24" s="26">
        <f t="shared" ref="AZ24" si="196">EXP(-AY24*YearFraction)*AZ23</f>
        <v>0.97125447808822007</v>
      </c>
      <c r="BA24" s="122">
        <f t="shared" si="13"/>
        <v>1.4174704005687211E-3</v>
      </c>
      <c r="BB24" s="116"/>
      <c r="BC24" s="18" cm="1">
        <f t="array" ref="BC24">flatInterpolation($AG24,$S$4:$S$9,BB$5:BB$10)</f>
        <v>5.8333333333333336E-3</v>
      </c>
      <c r="BD24" s="26">
        <f t="shared" ref="BD24" si="197">EXP(-BC24*YearFraction)*BD23</f>
        <v>0.97125457521367298</v>
      </c>
      <c r="BE24" s="122">
        <f t="shared" si="15"/>
        <v>1.4174462255148734E-3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5.8333333333333336E-3</v>
      </c>
      <c r="X25" s="24">
        <f t="shared" ref="X25" si="198">X24+YearFraction</f>
        <v>5.25</v>
      </c>
      <c r="Y25" s="25" cm="1">
        <f t="array" ref="Y25">flatInterpolation(X25,$S$4:$S$9,$T$4:$T$9)</f>
        <v>5.8333333333333336E-3</v>
      </c>
      <c r="Z25" s="26">
        <f t="shared" ref="Z25" si="199">EXP(-Y25*YearFraction)*Z24</f>
        <v>0.96983919459070234</v>
      </c>
      <c r="AA25" s="26">
        <f t="shared" si="3"/>
        <v>1.4153806229706412E-3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5.8333333333333336E-3</v>
      </c>
      <c r="AJ25" s="26">
        <f t="shared" ref="AJ25" si="201">EXP(-AI25*YearFraction)*AJ24</f>
        <v>0.96983909760678777</v>
      </c>
      <c r="AK25" s="122">
        <f t="shared" si="5"/>
        <v>1.4153804814325266E-3</v>
      </c>
      <c r="AL25" s="116"/>
      <c r="AM25" s="18" cm="1">
        <f t="array" ref="AM25">flatInterpolation($AG25,$S$4:$S$9,AL$5:AL$10)</f>
        <v>5.8333333333333336E-3</v>
      </c>
      <c r="AN25" s="26">
        <f t="shared" ref="AN25" si="202">EXP(-AM25*YearFraction)*AN24</f>
        <v>0.96983909760678766</v>
      </c>
      <c r="AO25" s="122">
        <f t="shared" si="7"/>
        <v>1.4153804814325266E-3</v>
      </c>
      <c r="AP25" s="116"/>
      <c r="AQ25" s="18" cm="1">
        <f t="array" ref="AQ25">flatInterpolation($AG25,$S$4:$S$9,AP$5:AP$10)</f>
        <v>5.8333333333333336E-3</v>
      </c>
      <c r="AR25" s="26">
        <f t="shared" ref="AR25" si="203">EXP(-AQ25*YearFraction)*AR24</f>
        <v>0.96983909760678755</v>
      </c>
      <c r="AS25" s="122">
        <f t="shared" si="9"/>
        <v>1.4153804814325266E-3</v>
      </c>
      <c r="AT25" s="116"/>
      <c r="AU25" s="18" cm="1">
        <f t="array" ref="AU25">flatInterpolation($AG25,$S$4:$S$9,AT$5:AT$10)</f>
        <v>5.8333333333333336E-3</v>
      </c>
      <c r="AV25" s="26">
        <f t="shared" ref="AV25" si="204">EXP(-AU25*YearFraction)*AV24</f>
        <v>0.96983909760678755</v>
      </c>
      <c r="AW25" s="122">
        <f t="shared" si="11"/>
        <v>1.4153804814325266E-3</v>
      </c>
      <c r="AX25" s="116"/>
      <c r="AY25" s="18" cm="1">
        <f t="array" ref="AY25">flatInterpolation($AG25,$S$4:$S$9,AX$5:AX$10)</f>
        <v>5.8333333333333336E-3</v>
      </c>
      <c r="AZ25" s="26">
        <f t="shared" ref="AZ25" si="205">EXP(-AY25*YearFraction)*AZ24</f>
        <v>0.96983909760678755</v>
      </c>
      <c r="BA25" s="122">
        <f t="shared" si="13"/>
        <v>1.4153804814325266E-3</v>
      </c>
      <c r="BB25" s="116"/>
      <c r="BC25" s="18" cm="1">
        <f t="array" ref="BC25">flatInterpolation($AG25,$S$4:$S$9,BB$5:BB$10)</f>
        <v>5.8334333333333339E-3</v>
      </c>
      <c r="BD25" s="26">
        <f t="shared" ref="BD25" si="206">EXP(-BC25*YearFraction)*BD24</f>
        <v>0.96983917034472278</v>
      </c>
      <c r="BE25" s="122">
        <f t="shared" si="15"/>
        <v>1.4154048689501986E-3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5.8333333333333336E-3</v>
      </c>
      <c r="X26" s="24">
        <f t="shared" ref="X26" si="207">X25+YearFraction</f>
        <v>5.5</v>
      </c>
      <c r="Y26" s="25" cm="1">
        <f t="array" ref="Y26">flatInterpolation(X26,$S$4:$S$9,$T$4:$T$9)</f>
        <v>5.8333333333333336E-3</v>
      </c>
      <c r="Z26" s="26">
        <f t="shared" ref="Z26" si="208">EXP(-Y26*YearFraction)*Z25</f>
        <v>0.96842587656013435</v>
      </c>
      <c r="AA26" s="26">
        <f t="shared" si="3"/>
        <v>1.4133180305679893E-3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5.8333333333333336E-3</v>
      </c>
      <c r="AJ26" s="26">
        <f t="shared" ref="AJ26" si="210">EXP(-AI26*YearFraction)*AJ25</f>
        <v>0.96842577971755162</v>
      </c>
      <c r="AK26" s="122">
        <f t="shared" si="5"/>
        <v>1.4133178892361542E-3</v>
      </c>
      <c r="AL26" s="116"/>
      <c r="AM26" s="18" cm="1">
        <f t="array" ref="AM26">flatInterpolation($AG26,$S$4:$S$9,AL$5:AL$10)</f>
        <v>5.8333333333333336E-3</v>
      </c>
      <c r="AN26" s="26">
        <f t="shared" ref="AN26" si="211">EXP(-AM26*YearFraction)*AN25</f>
        <v>0.9684257797175515</v>
      </c>
      <c r="AO26" s="122">
        <f t="shared" si="7"/>
        <v>1.4133178892361542E-3</v>
      </c>
      <c r="AP26" s="116"/>
      <c r="AQ26" s="18" cm="1">
        <f t="array" ref="AQ26">flatInterpolation($AG26,$S$4:$S$9,AP$5:AP$10)</f>
        <v>5.8333333333333336E-3</v>
      </c>
      <c r="AR26" s="26">
        <f t="shared" ref="AR26" si="212">EXP(-AQ26*YearFraction)*AR25</f>
        <v>0.96842577971755139</v>
      </c>
      <c r="AS26" s="122">
        <f t="shared" si="9"/>
        <v>1.4133178892361542E-3</v>
      </c>
      <c r="AT26" s="116"/>
      <c r="AU26" s="18" cm="1">
        <f t="array" ref="AU26">flatInterpolation($AG26,$S$4:$S$9,AT$5:AT$10)</f>
        <v>5.8333333333333336E-3</v>
      </c>
      <c r="AV26" s="26">
        <f t="shared" ref="AV26" si="213">EXP(-AU26*YearFraction)*AV25</f>
        <v>0.96842577971755139</v>
      </c>
      <c r="AW26" s="122">
        <f t="shared" si="11"/>
        <v>1.4133178892361542E-3</v>
      </c>
      <c r="AX26" s="116"/>
      <c r="AY26" s="18" cm="1">
        <f t="array" ref="AY26">flatInterpolation($AG26,$S$4:$S$9,AX$5:AX$10)</f>
        <v>5.8333333333333336E-3</v>
      </c>
      <c r="AZ26" s="26">
        <f t="shared" ref="AZ26" si="214">EXP(-AY26*YearFraction)*AZ25</f>
        <v>0.96842577971755139</v>
      </c>
      <c r="BA26" s="122">
        <f t="shared" si="13"/>
        <v>1.4133178892361542E-3</v>
      </c>
      <c r="BB26" s="116"/>
      <c r="BC26" s="18" cm="1">
        <f t="array" ref="BC26">flatInterpolation($AG26,$S$4:$S$9,BB$5:BB$10)</f>
        <v>5.8334333333333339E-3</v>
      </c>
      <c r="BD26" s="26">
        <f t="shared" ref="BD26" si="215">EXP(-BC26*YearFraction)*BD25</f>
        <v>0.9684258281388417</v>
      </c>
      <c r="BE26" s="122">
        <f t="shared" si="15"/>
        <v>1.4133422058810741E-3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5.8333343671637637E-3</v>
      </c>
      <c r="N27" s="65">
        <v>5.8333333333333336E-3</v>
      </c>
      <c r="O27" s="66">
        <f t="shared" ref="O27" si="216">Q4/(1-RecoveryRate)</f>
        <v>5.8333333333333336E-3</v>
      </c>
      <c r="P27" s="65">
        <f t="shared" ref="P27:P32" si="217">V14</f>
        <v>-6.2029792934070738E-10</v>
      </c>
      <c r="Q27" s="83">
        <f t="shared" ref="Q27:Q32" si="218">M27-N27</f>
        <v>1.0338304301180101E-9</v>
      </c>
      <c r="S27" s="17">
        <f>S5</f>
        <v>2</v>
      </c>
      <c r="T27" s="18" cm="1">
        <f t="array" ref="T27">flatInterpolation(S27,Calibration.Times,Calibration.HazardRates)</f>
        <v>5.8333333333333336E-3</v>
      </c>
      <c r="X27" s="24">
        <f t="shared" ref="X27" si="219">X26+YearFraction</f>
        <v>5.75</v>
      </c>
      <c r="Y27" s="25" cm="1">
        <f t="array" ref="Y27">flatInterpolation(X27,$S$4:$S$9,$T$4:$T$9)</f>
        <v>5.8333333333333336E-3</v>
      </c>
      <c r="Z27" s="26">
        <f t="shared" ref="Z27" si="220">EXP(-Y27*YearFraction)*Z26</f>
        <v>0.96701461811621403</v>
      </c>
      <c r="AA27" s="26">
        <f t="shared" si="3"/>
        <v>1.4112584439203157E-3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5.8333333333333336E-3</v>
      </c>
      <c r="AJ27" s="26">
        <f t="shared" ref="AJ27" si="222">EXP(-AI27*YearFraction)*AJ26</f>
        <v>0.96701452141475719</v>
      </c>
      <c r="AK27" s="122">
        <f t="shared" si="5"/>
        <v>1.411258302794427E-3</v>
      </c>
      <c r="AL27" s="116"/>
      <c r="AM27" s="18" cm="1">
        <f t="array" ref="AM27">flatInterpolation($AG27,$S$4:$S$9,AL$5:AL$10)</f>
        <v>5.8333333333333336E-3</v>
      </c>
      <c r="AN27" s="26">
        <f t="shared" ref="AN27" si="223">EXP(-AM27*YearFraction)*AN26</f>
        <v>0.96701452141475708</v>
      </c>
      <c r="AO27" s="122">
        <f t="shared" si="7"/>
        <v>1.411258302794427E-3</v>
      </c>
      <c r="AP27" s="116"/>
      <c r="AQ27" s="18" cm="1">
        <f t="array" ref="AQ27">flatInterpolation($AG27,$S$4:$S$9,AP$5:AP$10)</f>
        <v>5.8333333333333336E-3</v>
      </c>
      <c r="AR27" s="26">
        <f t="shared" ref="AR27" si="224">EXP(-AQ27*YearFraction)*AR26</f>
        <v>0.96701452141475697</v>
      </c>
      <c r="AS27" s="122">
        <f t="shared" si="9"/>
        <v>1.411258302794427E-3</v>
      </c>
      <c r="AT27" s="116"/>
      <c r="AU27" s="18" cm="1">
        <f t="array" ref="AU27">flatInterpolation($AG27,$S$4:$S$9,AT$5:AT$10)</f>
        <v>5.8333333333333336E-3</v>
      </c>
      <c r="AV27" s="26">
        <f t="shared" ref="AV27" si="225">EXP(-AU27*YearFraction)*AV26</f>
        <v>0.96701452141475697</v>
      </c>
      <c r="AW27" s="122">
        <f t="shared" si="11"/>
        <v>1.411258302794427E-3</v>
      </c>
      <c r="AX27" s="116"/>
      <c r="AY27" s="18" cm="1">
        <f t="array" ref="AY27">flatInterpolation($AG27,$S$4:$S$9,AX$5:AX$10)</f>
        <v>5.8333333333333336E-3</v>
      </c>
      <c r="AZ27" s="26">
        <f t="shared" ref="AZ27" si="226">EXP(-AY27*YearFraction)*AZ26</f>
        <v>0.96701452141475697</v>
      </c>
      <c r="BA27" s="122">
        <f t="shared" si="13"/>
        <v>1.411258302794427E-3</v>
      </c>
      <c r="BB27" s="116"/>
      <c r="BC27" s="18" cm="1">
        <f t="array" ref="BC27">flatInterpolation($AG27,$S$4:$S$9,BB$5:BB$10)</f>
        <v>5.8334333333333339E-3</v>
      </c>
      <c r="BD27" s="26">
        <f t="shared" ref="BD27" si="227">EXP(-BC27*YearFraction)*BD26</f>
        <v>0.96701454559012034</v>
      </c>
      <c r="BE27" s="122">
        <f t="shared" si="15"/>
        <v>1.4112825487213598E-3</v>
      </c>
    </row>
    <row r="28" spans="3:57" x14ac:dyDescent="0.3">
      <c r="K28" s="67" t="s">
        <v>12</v>
      </c>
      <c r="L28" s="17">
        <v>2</v>
      </c>
      <c r="M28" s="60">
        <v>5.8333343671636735E-3</v>
      </c>
      <c r="N28" s="45">
        <v>5.8333333333333336E-3</v>
      </c>
      <c r="O28" s="61">
        <f t="shared" ref="O28" si="228">Q5/(1-RecoveryRate)</f>
        <v>5.8333333333333336E-3</v>
      </c>
      <c r="P28" s="45">
        <f t="shared" si="217"/>
        <v>-6.2029790288617437E-10</v>
      </c>
      <c r="Q28" s="84">
        <f t="shared" si="218"/>
        <v>1.0338303399123894E-9</v>
      </c>
      <c r="S28" s="17">
        <f>S27+0.01</f>
        <v>2.0099999999999998</v>
      </c>
      <c r="T28" s="18" cm="1">
        <f t="array" ref="T28">flatInterpolation(S28,Calibration.Times,Calibration.HazardRates)</f>
        <v>5.8333333333333336E-3</v>
      </c>
      <c r="X28" s="24">
        <f t="shared" ref="X28" si="229">X27+YearFraction</f>
        <v>6</v>
      </c>
      <c r="Y28" s="25" cm="1">
        <f t="array" ref="Y28">flatInterpolation(X28,$S$4:$S$9,$T$4:$T$9)</f>
        <v>5.8333333333333336E-3</v>
      </c>
      <c r="Z28" s="26">
        <f t="shared" ref="Z28" si="230">EXP(-Y28*YearFraction)*Z27</f>
        <v>0.96560541625756657</v>
      </c>
      <c r="AA28" s="26">
        <f t="shared" si="3"/>
        <v>1.4092018586474575E-3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5.8333333333333336E-3</v>
      </c>
      <c r="AJ28" s="26">
        <f t="shared" ref="AJ28" si="232">EXP(-AI28*YearFraction)*AJ27</f>
        <v>0.9656053196970299</v>
      </c>
      <c r="AK28" s="122">
        <f t="shared" si="5"/>
        <v>1.4092017177272931E-3</v>
      </c>
      <c r="AL28" s="116"/>
      <c r="AM28" s="18" cm="1">
        <f t="array" ref="AM28">flatInterpolation($AG28,$S$4:$S$9,AL$5:AL$10)</f>
        <v>5.8333333333333336E-3</v>
      </c>
      <c r="AN28" s="26">
        <f t="shared" ref="AN28" si="233">EXP(-AM28*YearFraction)*AN27</f>
        <v>0.96560531969702978</v>
      </c>
      <c r="AO28" s="122">
        <f t="shared" si="7"/>
        <v>1.4092017177272931E-3</v>
      </c>
      <c r="AP28" s="116"/>
      <c r="AQ28" s="18" cm="1">
        <f t="array" ref="AQ28">flatInterpolation($AG28,$S$4:$S$9,AP$5:AP$10)</f>
        <v>5.8333333333333336E-3</v>
      </c>
      <c r="AR28" s="26">
        <f t="shared" ref="AR28" si="234">EXP(-AQ28*YearFraction)*AR27</f>
        <v>0.96560531969702967</v>
      </c>
      <c r="AS28" s="122">
        <f t="shared" si="9"/>
        <v>1.4092017177272931E-3</v>
      </c>
      <c r="AT28" s="116"/>
      <c r="AU28" s="18" cm="1">
        <f t="array" ref="AU28">flatInterpolation($AG28,$S$4:$S$9,AT$5:AT$10)</f>
        <v>5.8333333333333336E-3</v>
      </c>
      <c r="AV28" s="26">
        <f t="shared" ref="AV28" si="235">EXP(-AU28*YearFraction)*AV27</f>
        <v>0.96560531969702967</v>
      </c>
      <c r="AW28" s="122">
        <f t="shared" si="11"/>
        <v>1.4092017177272931E-3</v>
      </c>
      <c r="AX28" s="116"/>
      <c r="AY28" s="18" cm="1">
        <f t="array" ref="AY28">flatInterpolation($AG28,$S$4:$S$9,AX$5:AX$10)</f>
        <v>5.8333333333333336E-3</v>
      </c>
      <c r="AZ28" s="26">
        <f t="shared" ref="AZ28" si="236">EXP(-AY28*YearFraction)*AZ27</f>
        <v>0.96560531969702967</v>
      </c>
      <c r="BA28" s="122">
        <f t="shared" si="13"/>
        <v>1.4092017177272931E-3</v>
      </c>
      <c r="BB28" s="116"/>
      <c r="BC28" s="18" cm="1">
        <f t="array" ref="BC28">flatInterpolation($AG28,$S$4:$S$9,BB$5:BB$10)</f>
        <v>5.8334333333333339E-3</v>
      </c>
      <c r="BD28" s="26">
        <f t="shared" ref="BD28" si="237">EXP(-BC28*YearFraction)*BD27</f>
        <v>0.96560531969702956</v>
      </c>
      <c r="BE28" s="122">
        <f t="shared" si="15"/>
        <v>1.4092258930907819E-3</v>
      </c>
    </row>
    <row r="29" spans="3:57" x14ac:dyDescent="0.3">
      <c r="K29" s="67" t="s">
        <v>13</v>
      </c>
      <c r="L29" s="17">
        <v>3</v>
      </c>
      <c r="M29" s="60">
        <v>5.8333343671637524E-3</v>
      </c>
      <c r="N29" s="45">
        <v>5.8333333333333336E-3</v>
      </c>
      <c r="O29" s="61">
        <f t="shared" ref="O29" si="238">Q6/(1-RecoveryRate)</f>
        <v>5.8333333333333336E-3</v>
      </c>
      <c r="P29" s="45">
        <f t="shared" si="217"/>
        <v>-6.202979093913874E-10</v>
      </c>
      <c r="Q29" s="84">
        <f t="shared" si="218"/>
        <v>1.0338304188423075E-9</v>
      </c>
      <c r="S29" s="17">
        <f>S6</f>
        <v>3</v>
      </c>
      <c r="T29" s="18" cm="1">
        <f t="array" ref="T29">flatInterpolation(S29,Calibration.Times,Calibration.HazardRates)</f>
        <v>5.8333333333333336E-3</v>
      </c>
      <c r="X29" s="24">
        <f t="shared" ref="X29" si="239">X28+YearFraction</f>
        <v>6.25</v>
      </c>
      <c r="Y29" s="25" cm="1">
        <f t="array" ref="Y29">flatInterpolation(X29,$S$4:$S$9,$T$4:$T$9)</f>
        <v>5.8333333333333336E-3</v>
      </c>
      <c r="Z29" s="26">
        <f t="shared" ref="Z29" si="240">EXP(-Y29*YearFraction)*Z28</f>
        <v>0.96419826798719088</v>
      </c>
      <c r="AA29" s="26">
        <f t="shared" si="3"/>
        <v>1.407148270375691E-3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5.8333333333333336E-3</v>
      </c>
      <c r="AJ29" s="26">
        <f t="shared" ref="AJ29" si="242">EXP(-AI29*YearFraction)*AJ28</f>
        <v>0.96419817156736898</v>
      </c>
      <c r="AK29" s="122">
        <f t="shared" si="5"/>
        <v>1.4071481296609178E-3</v>
      </c>
      <c r="AL29" s="116"/>
      <c r="AM29" s="18" cm="1">
        <f t="array" ref="AM29">flatInterpolation($AG29,$S$4:$S$9,AL$5:AL$10)</f>
        <v>5.8333333333333336E-3</v>
      </c>
      <c r="AN29" s="26">
        <f t="shared" ref="AN29" si="243">EXP(-AM29*YearFraction)*AN28</f>
        <v>0.96419817156736887</v>
      </c>
      <c r="AO29" s="122">
        <f t="shared" si="7"/>
        <v>1.4071481296609178E-3</v>
      </c>
      <c r="AP29" s="116"/>
      <c r="AQ29" s="18" cm="1">
        <f t="array" ref="AQ29">flatInterpolation($AG29,$S$4:$S$9,AP$5:AP$10)</f>
        <v>5.8333333333333336E-3</v>
      </c>
      <c r="AR29" s="26">
        <f t="shared" ref="AR29" si="244">EXP(-AQ29*YearFraction)*AR28</f>
        <v>0.96419817156736876</v>
      </c>
      <c r="AS29" s="122">
        <f t="shared" si="9"/>
        <v>1.4071481296609178E-3</v>
      </c>
      <c r="AT29" s="116"/>
      <c r="AU29" s="18" cm="1">
        <f t="array" ref="AU29">flatInterpolation($AG29,$S$4:$S$9,AT$5:AT$10)</f>
        <v>5.8333333333333336E-3</v>
      </c>
      <c r="AV29" s="26">
        <f t="shared" ref="AV29" si="245">EXP(-AU29*YearFraction)*AV28</f>
        <v>0.96419817156736876</v>
      </c>
      <c r="AW29" s="122">
        <f t="shared" si="11"/>
        <v>1.4071481296609178E-3</v>
      </c>
      <c r="AX29" s="116"/>
      <c r="AY29" s="18" cm="1">
        <f t="array" ref="AY29">flatInterpolation($AG29,$S$4:$S$9,AX$5:AX$10)</f>
        <v>5.8333333333333336E-3</v>
      </c>
      <c r="AZ29" s="26">
        <f t="shared" ref="AZ29" si="246">EXP(-AY29*YearFraction)*AZ28</f>
        <v>0.96419817156736876</v>
      </c>
      <c r="BA29" s="122">
        <f t="shared" si="13"/>
        <v>1.4071481296609178E-3</v>
      </c>
      <c r="BB29" s="116"/>
      <c r="BC29" s="18" cm="1">
        <f t="array" ref="BC29">flatInterpolation($AG29,$S$4:$S$9,BB$5:BB$10)</f>
        <v>5.8334333333333339E-3</v>
      </c>
      <c r="BD29" s="26">
        <f t="shared" ref="BD29" si="247">EXP(-BC29*YearFraction)*BD28</f>
        <v>0.96419814746241461</v>
      </c>
      <c r="BE29" s="122">
        <f t="shared" si="15"/>
        <v>1.4071722346149507E-3</v>
      </c>
    </row>
    <row r="30" spans="3:57" x14ac:dyDescent="0.3">
      <c r="K30" s="67" t="s">
        <v>14</v>
      </c>
      <c r="L30" s="17">
        <v>4</v>
      </c>
      <c r="M30" s="60">
        <v>5.8333343671637195E-3</v>
      </c>
      <c r="N30" s="45">
        <v>5.8333333333333336E-3</v>
      </c>
      <c r="O30" s="61">
        <f t="shared" ref="O30" si="248">Q7/(1-RecoveryRate)</f>
        <v>5.8333333333333336E-3</v>
      </c>
      <c r="P30" s="45">
        <f t="shared" si="217"/>
        <v>-6.202979080903448E-10</v>
      </c>
      <c r="Q30" s="84">
        <f t="shared" si="218"/>
        <v>1.0338303858825615E-9</v>
      </c>
      <c r="S30" s="17">
        <f>S29+0.01</f>
        <v>3.01</v>
      </c>
      <c r="T30" s="18" cm="1">
        <f t="array" ref="T30">flatInterpolation(S30,Calibration.Times,Calibration.HazardRates)</f>
        <v>5.8333333333333336E-3</v>
      </c>
      <c r="X30" s="24">
        <f t="shared" ref="X30" si="249">X29+YearFraction</f>
        <v>6.5</v>
      </c>
      <c r="Y30" s="25" cm="1">
        <f t="array" ref="Y30">flatInterpolation(X30,$S$4:$S$9,$T$4:$T$9)</f>
        <v>5.8333333333333336E-3</v>
      </c>
      <c r="Z30" s="26">
        <f t="shared" ref="Z30" si="250">EXP(-Y30*YearFraction)*Z29</f>
        <v>0.96279317031245337</v>
      </c>
      <c r="AA30" s="26">
        <f t="shared" si="3"/>
        <v>1.4050976747375099E-3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5.8333333333333336E-3</v>
      </c>
      <c r="AJ30" s="26">
        <f t="shared" ref="AJ30" si="252">EXP(-AI30*YearFraction)*AJ29</f>
        <v>0.96279307403314129</v>
      </c>
      <c r="AK30" s="122">
        <f t="shared" si="5"/>
        <v>1.4050975342276839E-3</v>
      </c>
      <c r="AL30" s="116"/>
      <c r="AM30" s="18" cm="1">
        <f t="array" ref="AM30">flatInterpolation($AG30,$S$4:$S$9,AL$5:AL$10)</f>
        <v>5.8333333333333336E-3</v>
      </c>
      <c r="AN30" s="26">
        <f t="shared" ref="AN30" si="253">EXP(-AM30*YearFraction)*AN29</f>
        <v>0.96279307403314118</v>
      </c>
      <c r="AO30" s="122">
        <f t="shared" si="7"/>
        <v>1.4050975342276839E-3</v>
      </c>
      <c r="AP30" s="116"/>
      <c r="AQ30" s="18" cm="1">
        <f t="array" ref="AQ30">flatInterpolation($AG30,$S$4:$S$9,AP$5:AP$10)</f>
        <v>5.8333333333333336E-3</v>
      </c>
      <c r="AR30" s="26">
        <f t="shared" ref="AR30" si="254">EXP(-AQ30*YearFraction)*AR29</f>
        <v>0.96279307403314107</v>
      </c>
      <c r="AS30" s="122">
        <f t="shared" si="9"/>
        <v>1.4050975342276839E-3</v>
      </c>
      <c r="AT30" s="116"/>
      <c r="AU30" s="18" cm="1">
        <f t="array" ref="AU30">flatInterpolation($AG30,$S$4:$S$9,AT$5:AT$10)</f>
        <v>5.8333333333333336E-3</v>
      </c>
      <c r="AV30" s="26">
        <f t="shared" ref="AV30" si="255">EXP(-AU30*YearFraction)*AV29</f>
        <v>0.96279307403314107</v>
      </c>
      <c r="AW30" s="122">
        <f t="shared" si="11"/>
        <v>1.4050975342276839E-3</v>
      </c>
      <c r="AX30" s="116"/>
      <c r="AY30" s="18" cm="1">
        <f t="array" ref="AY30">flatInterpolation($AG30,$S$4:$S$9,AX$5:AX$10)</f>
        <v>5.8333333333333336E-3</v>
      </c>
      <c r="AZ30" s="26">
        <f t="shared" ref="AZ30" si="256">EXP(-AY30*YearFraction)*AZ29</f>
        <v>0.96279307403314107</v>
      </c>
      <c r="BA30" s="122">
        <f t="shared" si="13"/>
        <v>1.4050975342276839E-3</v>
      </c>
      <c r="BB30" s="116"/>
      <c r="BC30" s="18" cm="1">
        <f t="array" ref="BC30">flatInterpolation($AG30,$S$4:$S$9,BB$5:BB$10)</f>
        <v>5.8334333333333339E-3</v>
      </c>
      <c r="BD30" s="26">
        <f t="shared" ref="BD30" si="257">EXP(-BC30*YearFraction)*BD29</f>
        <v>0.96279302589348825</v>
      </c>
      <c r="BE30" s="122">
        <f t="shared" si="15"/>
        <v>1.4051215689263596E-3</v>
      </c>
    </row>
    <row r="31" spans="3:57" x14ac:dyDescent="0.3">
      <c r="K31" s="67" t="s">
        <v>15</v>
      </c>
      <c r="L31" s="17">
        <v>5</v>
      </c>
      <c r="M31" s="60">
        <v>5.833334367163762E-3</v>
      </c>
      <c r="N31" s="45">
        <v>5.8333333333333336E-3</v>
      </c>
      <c r="O31" s="61">
        <f t="shared" ref="O31" si="258">Q8/(1-RecoveryRate)</f>
        <v>5.8333333333333336E-3</v>
      </c>
      <c r="P31" s="45">
        <f t="shared" si="217"/>
        <v>-6.2029791155979175E-10</v>
      </c>
      <c r="Q31" s="84">
        <f t="shared" si="218"/>
        <v>1.0338304283832866E-9</v>
      </c>
      <c r="S31" s="17">
        <f>S7</f>
        <v>4</v>
      </c>
      <c r="T31" s="18" cm="1">
        <f t="array" ref="T31">flatInterpolation(S31,Calibration.Times,Calibration.HazardRates)</f>
        <v>5.8333333333333336E-3</v>
      </c>
      <c r="X31" s="24">
        <f t="shared" ref="X31" si="259">X30+YearFraction</f>
        <v>6.75</v>
      </c>
      <c r="Y31" s="25" cm="1">
        <f t="array" ref="Y31">flatInterpolation(X31,$S$4:$S$9,$T$4:$T$9)</f>
        <v>5.8333333333333336E-3</v>
      </c>
      <c r="Z31" s="26">
        <f t="shared" ref="Z31" si="260">EXP(-Y31*YearFraction)*Z30</f>
        <v>0.96139012024508164</v>
      </c>
      <c r="AA31" s="26">
        <f t="shared" si="3"/>
        <v>1.4030500673717361E-3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5.8333333333333336E-3</v>
      </c>
      <c r="AJ31" s="26">
        <f t="shared" ref="AJ31" si="262">EXP(-AI31*YearFraction)*AJ30</f>
        <v>0.96139002410607455</v>
      </c>
      <c r="AK31" s="122">
        <f t="shared" si="5"/>
        <v>1.4030499270667462E-3</v>
      </c>
      <c r="AL31" s="116"/>
      <c r="AM31" s="18" cm="1">
        <f t="array" ref="AM31">flatInterpolation($AG31,$S$4:$S$9,AL$5:AL$10)</f>
        <v>5.8333333333333336E-3</v>
      </c>
      <c r="AN31" s="26">
        <f t="shared" ref="AN31" si="263">EXP(-AM31*YearFraction)*AN30</f>
        <v>0.96139002410607444</v>
      </c>
      <c r="AO31" s="122">
        <f t="shared" si="7"/>
        <v>1.4030499270667462E-3</v>
      </c>
      <c r="AP31" s="116"/>
      <c r="AQ31" s="18" cm="1">
        <f t="array" ref="AQ31">flatInterpolation($AG31,$S$4:$S$9,AP$5:AP$10)</f>
        <v>5.8333333333333336E-3</v>
      </c>
      <c r="AR31" s="26">
        <f t="shared" ref="AR31" si="264">EXP(-AQ31*YearFraction)*AR30</f>
        <v>0.96139002410607433</v>
      </c>
      <c r="AS31" s="122">
        <f t="shared" si="9"/>
        <v>1.4030499270667462E-3</v>
      </c>
      <c r="AT31" s="116"/>
      <c r="AU31" s="18" cm="1">
        <f t="array" ref="AU31">flatInterpolation($AG31,$S$4:$S$9,AT$5:AT$10)</f>
        <v>5.8333333333333336E-3</v>
      </c>
      <c r="AV31" s="26">
        <f t="shared" ref="AV31" si="265">EXP(-AU31*YearFraction)*AV30</f>
        <v>0.96139002410607433</v>
      </c>
      <c r="AW31" s="122">
        <f t="shared" si="11"/>
        <v>1.4030499270667462E-3</v>
      </c>
      <c r="AX31" s="116"/>
      <c r="AY31" s="18" cm="1">
        <f t="array" ref="AY31">flatInterpolation($AG31,$S$4:$S$9,AX$5:AX$10)</f>
        <v>5.8333333333333336E-3</v>
      </c>
      <c r="AZ31" s="26">
        <f t="shared" ref="AZ31" si="266">EXP(-AY31*YearFraction)*AZ30</f>
        <v>0.96139002410607433</v>
      </c>
      <c r="BA31" s="122">
        <f t="shared" si="13"/>
        <v>1.4030499270667462E-3</v>
      </c>
      <c r="BB31" s="116"/>
      <c r="BC31" s="18" cm="1">
        <f t="array" ref="BC31">flatInterpolation($AG31,$S$4:$S$9,BB$5:BB$10)</f>
        <v>5.8334333333333339E-3</v>
      </c>
      <c r="BD31" s="26">
        <f t="shared" ref="BD31" si="267">EXP(-BC31*YearFraction)*BD30</f>
        <v>0.96138995200182487</v>
      </c>
      <c r="BE31" s="122">
        <f t="shared" si="15"/>
        <v>1.4030738916633867E-3</v>
      </c>
    </row>
    <row r="32" spans="3:57" x14ac:dyDescent="0.3">
      <c r="K32" s="68" t="s">
        <v>16</v>
      </c>
      <c r="L32" s="69">
        <v>10</v>
      </c>
      <c r="M32" s="70">
        <v>5.8333343671638834E-3</v>
      </c>
      <c r="N32" s="71">
        <v>5.8333333333333336E-3</v>
      </c>
      <c r="O32" s="72">
        <f t="shared" ref="O32" si="268">Q9/(1-RecoveryRate)</f>
        <v>5.8333333333333336E-3</v>
      </c>
      <c r="P32" s="71">
        <f t="shared" si="217"/>
        <v>-6.2029792240181347E-10</v>
      </c>
      <c r="Q32" s="85">
        <f t="shared" si="218"/>
        <v>1.03383054981393E-9</v>
      </c>
      <c r="S32" s="17">
        <f>S31+0.01</f>
        <v>4.01</v>
      </c>
      <c r="T32" s="18" cm="1">
        <f t="array" ref="T32">flatInterpolation(S32,Calibration.Times,Calibration.HazardRates)</f>
        <v>5.8333333333333336E-3</v>
      </c>
      <c r="X32" s="24">
        <f t="shared" ref="X32" si="269">X31+YearFraction</f>
        <v>7</v>
      </c>
      <c r="Y32" s="25" cm="1">
        <f t="array" ref="Y32">flatInterpolation(X32,$S$4:$S$9,$T$4:$T$9)</f>
        <v>5.8333333333333336E-3</v>
      </c>
      <c r="Z32" s="26">
        <f t="shared" ref="Z32" si="270">EXP(-Y32*YearFraction)*Z31</f>
        <v>0.95998911480115778</v>
      </c>
      <c r="AA32" s="26">
        <f t="shared" si="3"/>
        <v>1.4010054439238528E-3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5.8333333333333336E-3</v>
      </c>
      <c r="AJ32" s="26">
        <f t="shared" ref="AJ32" si="272">EXP(-AI32*YearFraction)*AJ31</f>
        <v>0.95998901880225129</v>
      </c>
      <c r="AK32" s="122">
        <f t="shared" si="5"/>
        <v>1.4010053038232551E-3</v>
      </c>
      <c r="AL32" s="116"/>
      <c r="AM32" s="18" cm="1">
        <f t="array" ref="AM32">flatInterpolation($AG32,$S$4:$S$9,AL$5:AL$10)</f>
        <v>5.8333333333333336E-3</v>
      </c>
      <c r="AN32" s="26">
        <f t="shared" ref="AN32" si="273">EXP(-AM32*YearFraction)*AN31</f>
        <v>0.95998901880225118</v>
      </c>
      <c r="AO32" s="122">
        <f t="shared" si="7"/>
        <v>1.4010053038232551E-3</v>
      </c>
      <c r="AP32" s="116"/>
      <c r="AQ32" s="18" cm="1">
        <f t="array" ref="AQ32">flatInterpolation($AG32,$S$4:$S$9,AP$5:AP$10)</f>
        <v>5.8333333333333336E-3</v>
      </c>
      <c r="AR32" s="26">
        <f t="shared" ref="AR32" si="274">EXP(-AQ32*YearFraction)*AR31</f>
        <v>0.95998901880225107</v>
      </c>
      <c r="AS32" s="122">
        <f t="shared" si="9"/>
        <v>1.4010053038232551E-3</v>
      </c>
      <c r="AT32" s="116"/>
      <c r="AU32" s="18" cm="1">
        <f t="array" ref="AU32">flatInterpolation($AG32,$S$4:$S$9,AT$5:AT$10)</f>
        <v>5.8333333333333336E-3</v>
      </c>
      <c r="AV32" s="26">
        <f t="shared" ref="AV32" si="275">EXP(-AU32*YearFraction)*AV31</f>
        <v>0.95998901880225107</v>
      </c>
      <c r="AW32" s="122">
        <f t="shared" si="11"/>
        <v>1.4010053038232551E-3</v>
      </c>
      <c r="AX32" s="116"/>
      <c r="AY32" s="18" cm="1">
        <f t="array" ref="AY32">flatInterpolation($AG32,$S$4:$S$9,AX$5:AX$10)</f>
        <v>5.8333333333333336E-3</v>
      </c>
      <c r="AZ32" s="26">
        <f t="shared" ref="AZ32" si="276">EXP(-AY32*YearFraction)*AZ31</f>
        <v>0.95998901880225107</v>
      </c>
      <c r="BA32" s="122">
        <f t="shared" si="13"/>
        <v>1.4010053038232551E-3</v>
      </c>
      <c r="BB32" s="116"/>
      <c r="BC32" s="18" cm="1">
        <f t="array" ref="BC32">flatInterpolation($AG32,$S$4:$S$9,BB$5:BB$10)</f>
        <v>5.8334333333333339E-3</v>
      </c>
      <c r="BD32" s="26">
        <f t="shared" ref="BD32" si="277">EXP(-BC32*YearFraction)*BD31</f>
        <v>0.95998892280335357</v>
      </c>
      <c r="BE32" s="122">
        <f t="shared" si="15"/>
        <v>1.401029198471293E-3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5.8333333333333336E-3</v>
      </c>
      <c r="X33" s="24">
        <f t="shared" ref="X33" si="278">X32+YearFraction</f>
        <v>7.25</v>
      </c>
      <c r="Y33" s="25" cm="1">
        <f t="array" ref="Y33">flatInterpolation(X33,$S$4:$S$9,$T$4:$T$9)</f>
        <v>5.8333333333333336E-3</v>
      </c>
      <c r="Z33" s="26">
        <f t="shared" ref="Z33" si="279">EXP(-Y33*YearFraction)*Z32</f>
        <v>0.95859015100111256</v>
      </c>
      <c r="AA33" s="26">
        <f t="shared" si="3"/>
        <v>1.3989638000452276E-3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5.8333333333333336E-3</v>
      </c>
      <c r="AJ33" s="26">
        <f t="shared" ref="AJ33" si="281">EXP(-AI33*YearFraction)*AJ32</f>
        <v>0.95859005514210238</v>
      </c>
      <c r="AK33" s="122">
        <f t="shared" si="5"/>
        <v>1.3989636601489108E-3</v>
      </c>
      <c r="AL33" s="116"/>
      <c r="AM33" s="18" cm="1">
        <f t="array" ref="AM33">flatInterpolation($AG33,$S$4:$S$9,AL$5:AL$10)</f>
        <v>5.8333333333333336E-3</v>
      </c>
      <c r="AN33" s="26">
        <f t="shared" ref="AN33" si="282">EXP(-AM33*YearFraction)*AN32</f>
        <v>0.95859005514210227</v>
      </c>
      <c r="AO33" s="122">
        <f t="shared" si="7"/>
        <v>1.3989636601489108E-3</v>
      </c>
      <c r="AP33" s="116"/>
      <c r="AQ33" s="18" cm="1">
        <f t="array" ref="AQ33">flatInterpolation($AG33,$S$4:$S$9,AP$5:AP$10)</f>
        <v>5.8333333333333336E-3</v>
      </c>
      <c r="AR33" s="26">
        <f t="shared" ref="AR33" si="283">EXP(-AQ33*YearFraction)*AR32</f>
        <v>0.95859005514210216</v>
      </c>
      <c r="AS33" s="122">
        <f t="shared" si="9"/>
        <v>1.3989636601489108E-3</v>
      </c>
      <c r="AT33" s="116"/>
      <c r="AU33" s="18" cm="1">
        <f t="array" ref="AU33">flatInterpolation($AG33,$S$4:$S$9,AT$5:AT$10)</f>
        <v>5.8333333333333336E-3</v>
      </c>
      <c r="AV33" s="26">
        <f t="shared" ref="AV33" si="284">EXP(-AU33*YearFraction)*AV32</f>
        <v>0.95859005514210216</v>
      </c>
      <c r="AW33" s="122">
        <f t="shared" si="11"/>
        <v>1.3989636601489108E-3</v>
      </c>
      <c r="AX33" s="116"/>
      <c r="AY33" s="18" cm="1">
        <f t="array" ref="AY33">flatInterpolation($AG33,$S$4:$S$9,AX$5:AX$10)</f>
        <v>5.8333333333333336E-3</v>
      </c>
      <c r="AZ33" s="26">
        <f t="shared" ref="AZ33" si="285">EXP(-AY33*YearFraction)*AZ32</f>
        <v>0.95859005514210216</v>
      </c>
      <c r="BA33" s="122">
        <f t="shared" si="13"/>
        <v>1.3989636601489108E-3</v>
      </c>
      <c r="BB33" s="116"/>
      <c r="BC33" s="18" cm="1">
        <f t="array" ref="BC33">flatInterpolation($AG33,$S$4:$S$9,BB$5:BB$10)</f>
        <v>5.8334333333333339E-3</v>
      </c>
      <c r="BD33" s="26">
        <f t="shared" ref="BD33" si="286">EXP(-BC33*YearFraction)*BD32</f>
        <v>0.95858993531835235</v>
      </c>
      <c r="BE33" s="122">
        <f t="shared" si="15"/>
        <v>1.3989874850012241E-3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5.8333333333333336E-3</v>
      </c>
      <c r="X34" s="24">
        <f t="shared" ref="X34" si="287">X33+YearFraction</f>
        <v>7.5</v>
      </c>
      <c r="Y34" s="25" cm="1">
        <f t="array" ref="Y34">flatInterpolation(X34,$S$4:$S$9,$T$4:$T$9)</f>
        <v>5.8333333333333336E-3</v>
      </c>
      <c r="Z34" s="26">
        <f t="shared" ref="Z34" si="288">EXP(-Y34*YearFraction)*Z33</f>
        <v>0.95719322586971856</v>
      </c>
      <c r="AA34" s="26">
        <f t="shared" si="3"/>
        <v>1.3969251313940001E-3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5.8333333333333336E-3</v>
      </c>
      <c r="AJ34" s="26">
        <f t="shared" ref="AJ34" si="290">EXP(-AI34*YearFraction)*AJ33</f>
        <v>0.95719313015040086</v>
      </c>
      <c r="AK34" s="122">
        <f t="shared" si="5"/>
        <v>1.3969249917015203E-3</v>
      </c>
      <c r="AL34" s="116"/>
      <c r="AM34" s="18" cm="1">
        <f t="array" ref="AM34">flatInterpolation($AG34,$S$4:$S$9,AL$5:AL$10)</f>
        <v>5.8333333333333336E-3</v>
      </c>
      <c r="AN34" s="26">
        <f t="shared" ref="AN34" si="291">EXP(-AM34*YearFraction)*AN33</f>
        <v>0.95719313015040075</v>
      </c>
      <c r="AO34" s="122">
        <f t="shared" si="7"/>
        <v>1.3969249917015203E-3</v>
      </c>
      <c r="AP34" s="116"/>
      <c r="AQ34" s="18" cm="1">
        <f t="array" ref="AQ34">flatInterpolation($AG34,$S$4:$S$9,AP$5:AP$10)</f>
        <v>5.8333333333333336E-3</v>
      </c>
      <c r="AR34" s="26">
        <f t="shared" ref="AR34" si="292">EXP(-AQ34*YearFraction)*AR33</f>
        <v>0.95719313015040064</v>
      </c>
      <c r="AS34" s="122">
        <f t="shared" si="9"/>
        <v>1.3969249917015203E-3</v>
      </c>
      <c r="AT34" s="116"/>
      <c r="AU34" s="18" cm="1">
        <f t="array" ref="AU34">flatInterpolation($AG34,$S$4:$S$9,AT$5:AT$10)</f>
        <v>5.8333333333333336E-3</v>
      </c>
      <c r="AV34" s="26">
        <f t="shared" ref="AV34" si="293">EXP(-AU34*YearFraction)*AV33</f>
        <v>0.95719313015040064</v>
      </c>
      <c r="AW34" s="122">
        <f t="shared" si="11"/>
        <v>1.3969249917015203E-3</v>
      </c>
      <c r="AX34" s="116"/>
      <c r="AY34" s="18" cm="1">
        <f t="array" ref="AY34">flatInterpolation($AG34,$S$4:$S$9,AX$5:AX$10)</f>
        <v>5.8333333333333336E-3</v>
      </c>
      <c r="AZ34" s="26">
        <f t="shared" ref="AZ34" si="294">EXP(-AY34*YearFraction)*AZ33</f>
        <v>0.95719313015040064</v>
      </c>
      <c r="BA34" s="122">
        <f t="shared" si="13"/>
        <v>1.3969249917015203E-3</v>
      </c>
      <c r="BB34" s="116"/>
      <c r="BC34" s="18" cm="1">
        <f t="array" ref="BC34">flatInterpolation($AG34,$S$4:$S$9,BB$5:BB$10)</f>
        <v>5.8334333333333339E-3</v>
      </c>
      <c r="BD34" s="26">
        <f t="shared" ref="BD34" si="295">EXP(-BC34*YearFraction)*BD33</f>
        <v>0.95719298657144136</v>
      </c>
      <c r="BE34" s="122">
        <f t="shared" si="15"/>
        <v>1.3969487469109865E-3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5.8333333333333336E-3</v>
      </c>
      <c r="X35" s="24">
        <f t="shared" ref="X35" si="296">X34+YearFraction</f>
        <v>7.75</v>
      </c>
      <c r="Y35" s="25" cm="1">
        <f t="array" ref="Y35">flatInterpolation(X35,$S$4:$S$9,$T$4:$T$9)</f>
        <v>5.8333333333333336E-3</v>
      </c>
      <c r="Z35" s="26">
        <f t="shared" ref="Z35" si="297">EXP(-Y35*YearFraction)*Z34</f>
        <v>0.95579833643608403</v>
      </c>
      <c r="AA35" s="26">
        <f t="shared" si="3"/>
        <v>1.3948894336345274E-3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5.8333333333333336E-3</v>
      </c>
      <c r="AJ35" s="26">
        <f t="shared" ref="AJ35" si="299">EXP(-AI35*YearFraction)*AJ34</f>
        <v>0.95579824085625531</v>
      </c>
      <c r="AK35" s="122">
        <f t="shared" si="5"/>
        <v>1.3948892941455515E-3</v>
      </c>
      <c r="AL35" s="116"/>
      <c r="AM35" s="18" cm="1">
        <f t="array" ref="AM35">flatInterpolation($AG35,$S$4:$S$9,AL$5:AL$10)</f>
        <v>5.8333333333333336E-3</v>
      </c>
      <c r="AN35" s="26">
        <f t="shared" ref="AN35" si="300">EXP(-AM35*YearFraction)*AN34</f>
        <v>0.9557982408562552</v>
      </c>
      <c r="AO35" s="122">
        <f t="shared" si="7"/>
        <v>1.3948892941455515E-3</v>
      </c>
      <c r="AP35" s="116"/>
      <c r="AQ35" s="18" cm="1">
        <f t="array" ref="AQ35">flatInterpolation($AG35,$S$4:$S$9,AP$5:AP$10)</f>
        <v>5.8333333333333336E-3</v>
      </c>
      <c r="AR35" s="26">
        <f t="shared" ref="AR35" si="301">EXP(-AQ35*YearFraction)*AR34</f>
        <v>0.95579824085625509</v>
      </c>
      <c r="AS35" s="122">
        <f t="shared" si="9"/>
        <v>1.3948892941455515E-3</v>
      </c>
      <c r="AT35" s="116"/>
      <c r="AU35" s="18" cm="1">
        <f t="array" ref="AU35">flatInterpolation($AG35,$S$4:$S$9,AT$5:AT$10)</f>
        <v>5.8333333333333336E-3</v>
      </c>
      <c r="AV35" s="26">
        <f t="shared" ref="AV35" si="302">EXP(-AU35*YearFraction)*AV34</f>
        <v>0.95579824085625509</v>
      </c>
      <c r="AW35" s="122">
        <f t="shared" si="11"/>
        <v>1.3948892941455515E-3</v>
      </c>
      <c r="AX35" s="116"/>
      <c r="AY35" s="18" cm="1">
        <f t="array" ref="AY35">flatInterpolation($AG35,$S$4:$S$9,AX$5:AX$10)</f>
        <v>5.8333333333333336E-3</v>
      </c>
      <c r="AZ35" s="26">
        <f t="shared" ref="AZ35" si="303">EXP(-AY35*YearFraction)*AZ34</f>
        <v>0.95579824085625509</v>
      </c>
      <c r="BA35" s="122">
        <f t="shared" si="13"/>
        <v>1.3948892941455515E-3</v>
      </c>
      <c r="BB35" s="116"/>
      <c r="BC35" s="18" cm="1">
        <f t="array" ref="BC35">flatInterpolation($AG35,$S$4:$S$9,BB$5:BB$10)</f>
        <v>5.8334333333333339E-3</v>
      </c>
      <c r="BD35" s="26">
        <f t="shared" ref="BD35" si="304">EXP(-BC35*YearFraction)*BD34</f>
        <v>0.95579807359157698</v>
      </c>
      <c r="BE35" s="122">
        <f t="shared" si="15"/>
        <v>1.3949129798643822E-3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5.8333333333333336E-3</v>
      </c>
      <c r="Z36" s="26">
        <f t="shared" ref="Z36" si="306">EXP(-Y36*YearFraction)*Z35</f>
        <v>0.95440547973364687</v>
      </c>
      <c r="AA36" s="26">
        <f t="shared" si="3"/>
        <v>1.3928567024371619E-3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5.8333333333333336E-3</v>
      </c>
      <c r="AJ36" s="26">
        <f t="shared" ref="AJ36" si="308">EXP(-AI36*YearFraction)*AJ35</f>
        <v>0.95440538429310373</v>
      </c>
      <c r="AK36" s="122">
        <f t="shared" si="5"/>
        <v>1.3928565631515788E-3</v>
      </c>
      <c r="AL36" s="116"/>
      <c r="AM36" s="18" cm="1">
        <f t="array" ref="AM36">flatInterpolation($AG36,$S$4:$S$9,AL$5:AL$10)</f>
        <v>5.8333333333333336E-3</v>
      </c>
      <c r="AN36" s="26">
        <f t="shared" ref="AN36" si="309">EXP(-AM36*YearFraction)*AN35</f>
        <v>0.95440538429310362</v>
      </c>
      <c r="AO36" s="122">
        <f t="shared" si="7"/>
        <v>1.3928565631515788E-3</v>
      </c>
      <c r="AP36" s="116"/>
      <c r="AQ36" s="18" cm="1">
        <f t="array" ref="AQ36">flatInterpolation($AG36,$S$4:$S$9,AP$5:AP$10)</f>
        <v>5.8333333333333336E-3</v>
      </c>
      <c r="AR36" s="26">
        <f t="shared" ref="AR36" si="310">EXP(-AQ36*YearFraction)*AR35</f>
        <v>0.95440538429310351</v>
      </c>
      <c r="AS36" s="122">
        <f t="shared" si="9"/>
        <v>1.3928565631515788E-3</v>
      </c>
      <c r="AT36" s="116"/>
      <c r="AU36" s="18" cm="1">
        <f t="array" ref="AU36">flatInterpolation($AG36,$S$4:$S$9,AT$5:AT$10)</f>
        <v>5.8333333333333336E-3</v>
      </c>
      <c r="AV36" s="26">
        <f t="shared" ref="AV36" si="311">EXP(-AU36*YearFraction)*AV35</f>
        <v>0.95440538429310351</v>
      </c>
      <c r="AW36" s="122">
        <f t="shared" si="11"/>
        <v>1.3928565631515788E-3</v>
      </c>
      <c r="AX36" s="116"/>
      <c r="AY36" s="18" cm="1">
        <f t="array" ref="AY36">flatInterpolation($AG36,$S$4:$S$9,AX$5:AX$10)</f>
        <v>5.8333333333333336E-3</v>
      </c>
      <c r="AZ36" s="26">
        <f t="shared" ref="AZ36" si="312">EXP(-AY36*YearFraction)*AZ35</f>
        <v>0.95440538429310351</v>
      </c>
      <c r="BA36" s="122">
        <f t="shared" si="13"/>
        <v>1.3928565631515788E-3</v>
      </c>
      <c r="BB36" s="116"/>
      <c r="BC36" s="18" cm="1">
        <f t="array" ref="BC36">flatInterpolation($AG36,$S$4:$S$9,BB$5:BB$10)</f>
        <v>5.8334333333333339E-3</v>
      </c>
      <c r="BD36" s="26">
        <f t="shared" ref="BD36" si="313">EXP(-BC36*YearFraction)*BD35</f>
        <v>0.95440519341204511</v>
      </c>
      <c r="BE36" s="122">
        <f t="shared" si="15"/>
        <v>1.3928801795318746E-3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5.8333333333333336E-3</v>
      </c>
      <c r="Z37" s="26">
        <f t="shared" ref="Z37" si="315">EXP(-Y37*YearFraction)*Z36</f>
        <v>0.95301465280016773</v>
      </c>
      <c r="AA37" s="26">
        <f t="shared" si="3"/>
        <v>1.390826933479139E-3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5.8333333333333336E-3</v>
      </c>
      <c r="AJ37" s="26">
        <f t="shared" ref="AJ37" si="317">EXP(-AI37*YearFraction)*AJ36</f>
        <v>0.95301455749870734</v>
      </c>
      <c r="AK37" s="122">
        <f t="shared" si="5"/>
        <v>1.3908267943963937E-3</v>
      </c>
      <c r="AL37" s="116"/>
      <c r="AM37" s="18" cm="1">
        <f t="array" ref="AM37">flatInterpolation($AG37,$S$4:$S$9,AL$5:AL$10)</f>
        <v>5.8333333333333336E-3</v>
      </c>
      <c r="AN37" s="26">
        <f t="shared" ref="AN37" si="318">EXP(-AM37*YearFraction)*AN36</f>
        <v>0.95301455749870723</v>
      </c>
      <c r="AO37" s="122">
        <f t="shared" si="7"/>
        <v>1.3908267943963937E-3</v>
      </c>
      <c r="AP37" s="116"/>
      <c r="AQ37" s="18" cm="1">
        <f t="array" ref="AQ37">flatInterpolation($AG37,$S$4:$S$9,AP$5:AP$10)</f>
        <v>5.8333333333333336E-3</v>
      </c>
      <c r="AR37" s="26">
        <f t="shared" ref="AR37" si="319">EXP(-AQ37*YearFraction)*AR36</f>
        <v>0.95301455749870712</v>
      </c>
      <c r="AS37" s="122">
        <f t="shared" si="9"/>
        <v>1.3908267943963937E-3</v>
      </c>
      <c r="AT37" s="116"/>
      <c r="AU37" s="18" cm="1">
        <f t="array" ref="AU37">flatInterpolation($AG37,$S$4:$S$9,AT$5:AT$10)</f>
        <v>5.8333333333333336E-3</v>
      </c>
      <c r="AV37" s="26">
        <f t="shared" ref="AV37" si="320">EXP(-AU37*YearFraction)*AV36</f>
        <v>0.95301455749870712</v>
      </c>
      <c r="AW37" s="122">
        <f t="shared" si="11"/>
        <v>1.3908267943963937E-3</v>
      </c>
      <c r="AX37" s="116"/>
      <c r="AY37" s="18" cm="1">
        <f t="array" ref="AY37">flatInterpolation($AG37,$S$4:$S$9,AX$5:AX$10)</f>
        <v>5.8333333333333336E-3</v>
      </c>
      <c r="AZ37" s="26">
        <f t="shared" ref="AZ37" si="321">EXP(-AY37*YearFraction)*AZ36</f>
        <v>0.95301455749870712</v>
      </c>
      <c r="BA37" s="122">
        <f t="shared" si="13"/>
        <v>1.3908267943963937E-3</v>
      </c>
      <c r="BB37" s="116"/>
      <c r="BC37" s="18" cm="1">
        <f t="array" ref="BC37">flatInterpolation($AG37,$S$4:$S$9,BB$5:BB$10)</f>
        <v>5.8334333333333339E-3</v>
      </c>
      <c r="BD37" s="26">
        <f t="shared" ref="BD37" si="322">EXP(-BC37*YearFraction)*BD36</f>
        <v>0.95301434307045507</v>
      </c>
      <c r="BE37" s="122">
        <f t="shared" si="15"/>
        <v>1.3908503415900331E-3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5.8333333333333336E-3</v>
      </c>
      <c r="Z38" s="26">
        <f t="shared" ref="Z38" si="324">EXP(-Y38*YearFraction)*Z37</f>
        <v>0.95162585267772437</v>
      </c>
      <c r="AA38" s="26">
        <f t="shared" si="3"/>
        <v>1.3888001224433566E-3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5.8333333333333336E-3</v>
      </c>
      <c r="AJ38" s="26">
        <f t="shared" ref="AJ38" si="326">EXP(-AI38*YearFraction)*AJ37</f>
        <v>0.951625757515144</v>
      </c>
      <c r="AK38" s="122">
        <f t="shared" si="5"/>
        <v>1.388799983563338E-3</v>
      </c>
      <c r="AL38" s="116"/>
      <c r="AM38" s="18" cm="1">
        <f t="array" ref="AM38">flatInterpolation($AG38,$S$4:$S$9,AL$5:AL$10)</f>
        <v>5.8333333333333336E-3</v>
      </c>
      <c r="AN38" s="26">
        <f t="shared" ref="AN38" si="327">EXP(-AM38*YearFraction)*AN37</f>
        <v>0.95162575751514389</v>
      </c>
      <c r="AO38" s="122">
        <f t="shared" si="7"/>
        <v>1.388799983563338E-3</v>
      </c>
      <c r="AP38" s="116"/>
      <c r="AQ38" s="18" cm="1">
        <f t="array" ref="AQ38">flatInterpolation($AG38,$S$4:$S$9,AP$5:AP$10)</f>
        <v>5.8333333333333336E-3</v>
      </c>
      <c r="AR38" s="26">
        <f t="shared" ref="AR38" si="328">EXP(-AQ38*YearFraction)*AR37</f>
        <v>0.95162575751514378</v>
      </c>
      <c r="AS38" s="122">
        <f t="shared" si="9"/>
        <v>1.388799983563338E-3</v>
      </c>
      <c r="AT38" s="116"/>
      <c r="AU38" s="18" cm="1">
        <f t="array" ref="AU38">flatInterpolation($AG38,$S$4:$S$9,AT$5:AT$10)</f>
        <v>5.8333333333333336E-3</v>
      </c>
      <c r="AV38" s="26">
        <f t="shared" ref="AV38" si="329">EXP(-AU38*YearFraction)*AV37</f>
        <v>0.95162575751514378</v>
      </c>
      <c r="AW38" s="122">
        <f t="shared" si="11"/>
        <v>1.388799983563338E-3</v>
      </c>
      <c r="AX38" s="116"/>
      <c r="AY38" s="18" cm="1">
        <f t="array" ref="AY38">flatInterpolation($AG38,$S$4:$S$9,AX$5:AX$10)</f>
        <v>5.8333333333333336E-3</v>
      </c>
      <c r="AZ38" s="26">
        <f t="shared" ref="AZ38" si="330">EXP(-AY38*YearFraction)*AZ37</f>
        <v>0.95162575751514378</v>
      </c>
      <c r="BA38" s="122">
        <f t="shared" si="13"/>
        <v>1.388799983563338E-3</v>
      </c>
      <c r="BB38" s="116"/>
      <c r="BC38" s="18" cm="1">
        <f t="array" ref="BC38">flatInterpolation($AG38,$S$4:$S$9,BB$5:BB$10)</f>
        <v>5.8334333333333339E-3</v>
      </c>
      <c r="BD38" s="26">
        <f t="shared" ref="BD38" si="331">EXP(-BC38*YearFraction)*BD37</f>
        <v>0.95162551960873332</v>
      </c>
      <c r="BE38" s="122">
        <f t="shared" si="15"/>
        <v>1.3888234617217554E-3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5.8333333333333336E-3</v>
      </c>
      <c r="Z39" s="26">
        <f t="shared" ref="Z39" si="333">EXP(-Y39*YearFraction)*Z38</f>
        <v>0.95023907641270489</v>
      </c>
      <c r="AA39" s="26">
        <f t="shared" si="3"/>
        <v>1.3867762650194848E-3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5.8333333333333336E-3</v>
      </c>
      <c r="AJ39" s="26">
        <f t="shared" ref="AJ39" si="335">EXP(-AI39*YearFraction)*AJ38</f>
        <v>0.95023898138880214</v>
      </c>
      <c r="AK39" s="122">
        <f t="shared" si="5"/>
        <v>1.3867761263418599E-3</v>
      </c>
      <c r="AL39" s="116"/>
      <c r="AM39" s="18" cm="1">
        <f t="array" ref="AM39">flatInterpolation($AG39,$S$4:$S$9,AL$5:AL$10)</f>
        <v>5.8333333333333336E-3</v>
      </c>
      <c r="AN39" s="26">
        <f t="shared" ref="AN39" si="336">EXP(-AM39*YearFraction)*AN38</f>
        <v>0.95023898138880203</v>
      </c>
      <c r="AO39" s="122">
        <f t="shared" si="7"/>
        <v>1.3867761263418599E-3</v>
      </c>
      <c r="AP39" s="116"/>
      <c r="AQ39" s="18" cm="1">
        <f t="array" ref="AQ39">flatInterpolation($AG39,$S$4:$S$9,AP$5:AP$10)</f>
        <v>5.8333333333333336E-3</v>
      </c>
      <c r="AR39" s="26">
        <f t="shared" ref="AR39" si="337">EXP(-AQ39*YearFraction)*AR38</f>
        <v>0.95023898138880192</v>
      </c>
      <c r="AS39" s="122">
        <f t="shared" si="9"/>
        <v>1.3867761263418599E-3</v>
      </c>
      <c r="AT39" s="116"/>
      <c r="AU39" s="18" cm="1">
        <f t="array" ref="AU39">flatInterpolation($AG39,$S$4:$S$9,AT$5:AT$10)</f>
        <v>5.8333333333333336E-3</v>
      </c>
      <c r="AV39" s="26">
        <f t="shared" ref="AV39" si="338">EXP(-AU39*YearFraction)*AV38</f>
        <v>0.95023898138880192</v>
      </c>
      <c r="AW39" s="122">
        <f t="shared" si="11"/>
        <v>1.3867761263418599E-3</v>
      </c>
      <c r="AX39" s="116"/>
      <c r="AY39" s="18" cm="1">
        <f t="array" ref="AY39">flatInterpolation($AG39,$S$4:$S$9,AX$5:AX$10)</f>
        <v>5.8333333333333336E-3</v>
      </c>
      <c r="AZ39" s="26">
        <f t="shared" ref="AZ39" si="339">EXP(-AY39*YearFraction)*AZ38</f>
        <v>0.95023898138880192</v>
      </c>
      <c r="BA39" s="122">
        <f t="shared" si="13"/>
        <v>1.3867761263418599E-3</v>
      </c>
      <c r="BB39" s="116"/>
      <c r="BC39" s="18" cm="1">
        <f t="array" ref="BC39">flatInterpolation($AG39,$S$4:$S$9,BB$5:BB$10)</f>
        <v>5.8334333333333339E-3</v>
      </c>
      <c r="BD39" s="26">
        <f t="shared" ref="BD39" si="340">EXP(-BC39*YearFraction)*BD38</f>
        <v>0.95023872007311705</v>
      </c>
      <c r="BE39" s="122">
        <f t="shared" si="15"/>
        <v>1.3867995356162677E-3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5.8333333333333336E-3</v>
      </c>
      <c r="Z40" s="26">
        <f t="shared" ref="Z40" si="342">EXP(-Y40*YearFraction)*Z39</f>
        <v>0.94885432105580159</v>
      </c>
      <c r="AA40" s="26">
        <f t="shared" si="3"/>
        <v>1.3847553569033E-3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5.8333333333333336E-3</v>
      </c>
      <c r="AJ40" s="26">
        <f t="shared" ref="AJ40" si="344">EXP(-AI40*YearFraction)*AJ39</f>
        <v>0.94885422617037429</v>
      </c>
      <c r="AK40" s="122">
        <f t="shared" si="5"/>
        <v>1.3847552184278467E-3</v>
      </c>
      <c r="AL40" s="116"/>
      <c r="AM40" s="18" cm="1">
        <f t="array" ref="AM40">flatInterpolation($AG40,$S$4:$S$9,AL$5:AL$10)</f>
        <v>5.8333333333333336E-3</v>
      </c>
      <c r="AN40" s="26">
        <f t="shared" ref="AN40" si="345">EXP(-AM40*YearFraction)*AN39</f>
        <v>0.94885422617037418</v>
      </c>
      <c r="AO40" s="122">
        <f t="shared" si="7"/>
        <v>1.3847552184278467E-3</v>
      </c>
      <c r="AP40" s="116"/>
      <c r="AQ40" s="18" cm="1">
        <f t="array" ref="AQ40">flatInterpolation($AG40,$S$4:$S$9,AP$5:AP$10)</f>
        <v>5.8333333333333336E-3</v>
      </c>
      <c r="AR40" s="26">
        <f t="shared" ref="AR40" si="346">EXP(-AQ40*YearFraction)*AR39</f>
        <v>0.94885422617037407</v>
      </c>
      <c r="AS40" s="122">
        <f t="shared" si="9"/>
        <v>1.3847552184278467E-3</v>
      </c>
      <c r="AT40" s="116"/>
      <c r="AU40" s="18" cm="1">
        <f t="array" ref="AU40">flatInterpolation($AG40,$S$4:$S$9,AT$5:AT$10)</f>
        <v>5.8333333333333336E-3</v>
      </c>
      <c r="AV40" s="26">
        <f t="shared" ref="AV40" si="347">EXP(-AU40*YearFraction)*AV39</f>
        <v>0.94885422617037407</v>
      </c>
      <c r="AW40" s="122">
        <f t="shared" si="11"/>
        <v>1.3847552184278467E-3</v>
      </c>
      <c r="AX40" s="116"/>
      <c r="AY40" s="18" cm="1">
        <f t="array" ref="AY40">flatInterpolation($AG40,$S$4:$S$9,AX$5:AX$10)</f>
        <v>5.8333333333333336E-3</v>
      </c>
      <c r="AZ40" s="26">
        <f t="shared" ref="AZ40" si="348">EXP(-AY40*YearFraction)*AZ39</f>
        <v>0.94885422617037407</v>
      </c>
      <c r="BA40" s="122">
        <f t="shared" si="13"/>
        <v>1.3847552184278467E-3</v>
      </c>
      <c r="BB40" s="116"/>
      <c r="BC40" s="18" cm="1">
        <f t="array" ref="BC40">flatInterpolation($AG40,$S$4:$S$9,BB$5:BB$10)</f>
        <v>5.8334333333333339E-3</v>
      </c>
      <c r="BD40" s="26">
        <f t="shared" ref="BD40" si="349">EXP(-BC40*YearFraction)*BD39</f>
        <v>0.94885394151414792</v>
      </c>
      <c r="BE40" s="122">
        <f t="shared" si="15"/>
        <v>1.3847785589691242E-3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5.8333333333333336E-3</v>
      </c>
      <c r="Z41" s="26">
        <f t="shared" ref="Z41" si="351">EXP(-Y41*YearFraction)*Z40</f>
        <v>0.94747158366200468</v>
      </c>
      <c r="AA41" s="26">
        <f t="shared" si="3"/>
        <v>1.3827373937969067E-3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5.8333333333333336E-3</v>
      </c>
      <c r="AJ41" s="26">
        <f t="shared" ref="AJ41" si="353">EXP(-AI41*YearFraction)*AJ40</f>
        <v>0.94747148891485111</v>
      </c>
      <c r="AK41" s="122">
        <f t="shared" si="5"/>
        <v>1.3827372555231809E-3</v>
      </c>
      <c r="AL41" s="116"/>
      <c r="AM41" s="18" cm="1">
        <f t="array" ref="AM41">flatInterpolation($AG41,$S$4:$S$9,AL$5:AL$10)</f>
        <v>5.8333333333333336E-3</v>
      </c>
      <c r="AN41" s="26">
        <f t="shared" ref="AN41" si="354">EXP(-AM41*YearFraction)*AN40</f>
        <v>0.947471488914851</v>
      </c>
      <c r="AO41" s="122">
        <f t="shared" si="7"/>
        <v>1.3827372555231809E-3</v>
      </c>
      <c r="AP41" s="116"/>
      <c r="AQ41" s="18" cm="1">
        <f t="array" ref="AQ41">flatInterpolation($AG41,$S$4:$S$9,AP$5:AP$10)</f>
        <v>5.8333333333333336E-3</v>
      </c>
      <c r="AR41" s="26">
        <f t="shared" ref="AR41" si="355">EXP(-AQ41*YearFraction)*AR40</f>
        <v>0.94747148891485089</v>
      </c>
      <c r="AS41" s="122">
        <f t="shared" si="9"/>
        <v>1.3827372555231809E-3</v>
      </c>
      <c r="AT41" s="116"/>
      <c r="AU41" s="18" cm="1">
        <f t="array" ref="AU41">flatInterpolation($AG41,$S$4:$S$9,AT$5:AT$10)</f>
        <v>5.8333333333333336E-3</v>
      </c>
      <c r="AV41" s="26">
        <f t="shared" ref="AV41" si="356">EXP(-AU41*YearFraction)*AV40</f>
        <v>0.94747148891485089</v>
      </c>
      <c r="AW41" s="122">
        <f t="shared" si="11"/>
        <v>1.3827372555231809E-3</v>
      </c>
      <c r="AX41" s="116"/>
      <c r="AY41" s="18" cm="1">
        <f t="array" ref="AY41">flatInterpolation($AG41,$S$4:$S$9,AX$5:AX$10)</f>
        <v>5.8333333333333336E-3</v>
      </c>
      <c r="AZ41" s="26">
        <f t="shared" ref="AZ41" si="357">EXP(-AY41*YearFraction)*AZ40</f>
        <v>0.94747148891485089</v>
      </c>
      <c r="BA41" s="122">
        <f t="shared" si="13"/>
        <v>1.3827372555231809E-3</v>
      </c>
      <c r="BB41" s="116"/>
      <c r="BC41" s="18" cm="1">
        <f t="array" ref="BC41">flatInterpolation($AG41,$S$4:$S$9,BB$5:BB$10)</f>
        <v>5.8334333333333339E-3</v>
      </c>
      <c r="BD41" s="26">
        <f t="shared" ref="BD41" si="358">EXP(-BC41*YearFraction)*BD40</f>
        <v>0.94747118098666594</v>
      </c>
      <c r="BE41" s="122">
        <f t="shared" si="15"/>
        <v>1.3827605274819854E-3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5.8333333333333336E-3</v>
      </c>
      <c r="L42" s="108">
        <v>5.8333343671637637E-3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5.8333333333333336E-3</v>
      </c>
      <c r="Z42" s="26">
        <f t="shared" ref="Z42" si="360">EXP(-Y42*YearFraction)*Z41</f>
        <v>0.94609086129059605</v>
      </c>
      <c r="AA42" s="26">
        <f t="shared" si="3"/>
        <v>1.380722371408627E-3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5.8333333333333336E-3</v>
      </c>
      <c r="AJ42" s="26">
        <f t="shared" ref="AJ42" si="362">EXP(-AI42*YearFraction)*AJ41</f>
        <v>0.94609076668151471</v>
      </c>
      <c r="AK42" s="122">
        <f t="shared" si="5"/>
        <v>1.3807222333364066E-3</v>
      </c>
      <c r="AL42" s="116"/>
      <c r="AM42" s="18" cm="1">
        <f t="array" ref="AM42">flatInterpolation($AG42,$S$4:$S$9,AL$5:AL$10)</f>
        <v>5.8333333333333336E-3</v>
      </c>
      <c r="AN42" s="26">
        <f t="shared" ref="AN42" si="363">EXP(-AM42*YearFraction)*AN41</f>
        <v>0.94609076668151459</v>
      </c>
      <c r="AO42" s="122">
        <f t="shared" si="7"/>
        <v>1.3807222333364066E-3</v>
      </c>
      <c r="AP42" s="116"/>
      <c r="AQ42" s="18" cm="1">
        <f t="array" ref="AQ42">flatInterpolation($AG42,$S$4:$S$9,AP$5:AP$10)</f>
        <v>5.8333333333333336E-3</v>
      </c>
      <c r="AR42" s="26">
        <f t="shared" ref="AR42" si="364">EXP(-AQ42*YearFraction)*AR41</f>
        <v>0.94609076668151448</v>
      </c>
      <c r="AS42" s="122">
        <f t="shared" si="9"/>
        <v>1.3807222333364066E-3</v>
      </c>
      <c r="AT42" s="116"/>
      <c r="AU42" s="18" cm="1">
        <f t="array" ref="AU42">flatInterpolation($AG42,$S$4:$S$9,AT$5:AT$10)</f>
        <v>5.8333333333333336E-3</v>
      </c>
      <c r="AV42" s="26">
        <f t="shared" ref="AV42" si="365">EXP(-AU42*YearFraction)*AV41</f>
        <v>0.94609076668151448</v>
      </c>
      <c r="AW42" s="122">
        <f t="shared" si="11"/>
        <v>1.3807222333364066E-3</v>
      </c>
      <c r="AX42" s="116"/>
      <c r="AY42" s="18" cm="1">
        <f t="array" ref="AY42">flatInterpolation($AG42,$S$4:$S$9,AX$5:AX$10)</f>
        <v>5.8333333333333336E-3</v>
      </c>
      <c r="AZ42" s="26">
        <f t="shared" ref="AZ42" si="366">EXP(-AY42*YearFraction)*AZ41</f>
        <v>0.94609076668151448</v>
      </c>
      <c r="BA42" s="122">
        <f t="shared" si="13"/>
        <v>1.3807222333364066E-3</v>
      </c>
      <c r="BB42" s="116"/>
      <c r="BC42" s="18" cm="1">
        <f t="array" ref="BC42">flatInterpolation($AG42,$S$4:$S$9,BB$5:BB$10)</f>
        <v>5.8334333333333339E-3</v>
      </c>
      <c r="BD42" s="26">
        <f t="shared" ref="BD42" si="367">EXP(-BC42*YearFraction)*BD41</f>
        <v>0.94609043554980299</v>
      </c>
      <c r="BE42" s="122">
        <f t="shared" si="15"/>
        <v>1.3807454368629513E-3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5.8333333333333336E-3</v>
      </c>
      <c r="L43" s="103">
        <v>5.8333343671636735E-3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5.8333333333333336E-3</v>
      </c>
      <c r="Z43" s="26">
        <f t="shared" ref="Z43" si="369">EXP(-Y43*YearFraction)*Z42</f>
        <v>0.94471215100514316</v>
      </c>
      <c r="AA43" s="26">
        <f t="shared" si="3"/>
        <v>1.3787102854528888E-3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5.8333333333333336E-3</v>
      </c>
      <c r="AJ43" s="26">
        <f t="shared" ref="AJ43" si="371">EXP(-AI43*YearFraction)*AJ42</f>
        <v>0.94471205653393286</v>
      </c>
      <c r="AK43" s="122">
        <f t="shared" si="5"/>
        <v>1.3787101475818409E-3</v>
      </c>
      <c r="AL43" s="116"/>
      <c r="AM43" s="18" cm="1">
        <f t="array" ref="AM43">flatInterpolation($AG43,$S$4:$S$9,AL$5:AL$10)</f>
        <v>5.8333333333333336E-3</v>
      </c>
      <c r="AN43" s="26">
        <f t="shared" ref="AN43" si="372">EXP(-AM43*YearFraction)*AN42</f>
        <v>0.94471205653393275</v>
      </c>
      <c r="AO43" s="122">
        <f t="shared" si="7"/>
        <v>1.3787101475818409E-3</v>
      </c>
      <c r="AP43" s="116"/>
      <c r="AQ43" s="18" cm="1">
        <f t="array" ref="AQ43">flatInterpolation($AG43,$S$4:$S$9,AP$5:AP$10)</f>
        <v>5.8333333333333336E-3</v>
      </c>
      <c r="AR43" s="26">
        <f t="shared" ref="AR43" si="373">EXP(-AQ43*YearFraction)*AR42</f>
        <v>0.94471205653393264</v>
      </c>
      <c r="AS43" s="122">
        <f t="shared" si="9"/>
        <v>1.3787101475818409E-3</v>
      </c>
      <c r="AT43" s="116"/>
      <c r="AU43" s="18" cm="1">
        <f t="array" ref="AU43">flatInterpolation($AG43,$S$4:$S$9,AT$5:AT$10)</f>
        <v>5.8333333333333336E-3</v>
      </c>
      <c r="AV43" s="26">
        <f t="shared" ref="AV43" si="374">EXP(-AU43*YearFraction)*AV42</f>
        <v>0.94471205653393264</v>
      </c>
      <c r="AW43" s="122">
        <f t="shared" si="11"/>
        <v>1.3787101475818409E-3</v>
      </c>
      <c r="AX43" s="116"/>
      <c r="AY43" s="18" cm="1">
        <f t="array" ref="AY43">flatInterpolation($AG43,$S$4:$S$9,AX$5:AX$10)</f>
        <v>5.8333333333333336E-3</v>
      </c>
      <c r="AZ43" s="26">
        <f t="shared" ref="AZ43" si="375">EXP(-AY43*YearFraction)*AZ42</f>
        <v>0.94471205653393264</v>
      </c>
      <c r="BA43" s="122">
        <f t="shared" si="13"/>
        <v>1.3787101475818409E-3</v>
      </c>
      <c r="BB43" s="116"/>
      <c r="BC43" s="18" cm="1">
        <f t="array" ref="BC43">flatInterpolation($AG43,$S$4:$S$9,BB$5:BB$10)</f>
        <v>5.8334333333333339E-3</v>
      </c>
      <c r="BD43" s="26">
        <f t="shared" ref="BD43" si="376">EXP(-BC43*YearFraction)*BD42</f>
        <v>0.94471170226697665</v>
      </c>
      <c r="BE43" s="122">
        <f t="shared" si="15"/>
        <v>1.3787332828263388E-3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5.8333333333333336E-3</v>
      </c>
      <c r="L44" s="103">
        <v>5.8333343671637524E-3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5.8333333333333336E-3</v>
      </c>
      <c r="Z44" s="14">
        <f t="shared" ref="Z44" si="378">EXP(-Y44*YearFraction)*Z43</f>
        <v>0.94333544987349249</v>
      </c>
      <c r="AA44" s="14">
        <f t="shared" si="3"/>
        <v>1.3767011316506705E-3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5.8333333333333336E-3</v>
      </c>
      <c r="AJ44" s="14">
        <f t="shared" ref="AJ44" si="380">EXP(-AI44*YearFraction)*AJ43</f>
        <v>0.94333535553995229</v>
      </c>
      <c r="AK44" s="123">
        <f t="shared" si="5"/>
        <v>1.376700993980573E-3</v>
      </c>
      <c r="AL44" s="112"/>
      <c r="AM44" s="36" cm="1">
        <f t="array" ref="AM44">flatInterpolation($AG44,$S$4:$S$9,AL$5:AL$10)</f>
        <v>5.8333333333333336E-3</v>
      </c>
      <c r="AN44" s="14">
        <f t="shared" ref="AN44" si="381">EXP(-AM44*YearFraction)*AN43</f>
        <v>0.94333535553995218</v>
      </c>
      <c r="AO44" s="123">
        <f t="shared" si="7"/>
        <v>1.376700993980573E-3</v>
      </c>
      <c r="AP44" s="112"/>
      <c r="AQ44" s="36" cm="1">
        <f t="array" ref="AQ44">flatInterpolation($AG44,$S$4:$S$9,AP$5:AP$10)</f>
        <v>5.8333333333333336E-3</v>
      </c>
      <c r="AR44" s="14">
        <f t="shared" ref="AR44" si="382">EXP(-AQ44*YearFraction)*AR43</f>
        <v>0.94333535553995207</v>
      </c>
      <c r="AS44" s="123">
        <f t="shared" si="9"/>
        <v>1.376700993980573E-3</v>
      </c>
      <c r="AT44" s="112"/>
      <c r="AU44" s="36" cm="1">
        <f t="array" ref="AU44">flatInterpolation($AG44,$S$4:$S$9,AT$5:AT$10)</f>
        <v>5.8333333333333336E-3</v>
      </c>
      <c r="AV44" s="14">
        <f t="shared" ref="AV44" si="383">EXP(-AU44*YearFraction)*AV43</f>
        <v>0.94333535553995207</v>
      </c>
      <c r="AW44" s="123">
        <f t="shared" si="11"/>
        <v>1.376700993980573E-3</v>
      </c>
      <c r="AX44" s="112"/>
      <c r="AY44" s="36" cm="1">
        <f t="array" ref="AY44">flatInterpolation($AG44,$S$4:$S$9,AX$5:AX$10)</f>
        <v>5.8333333333333336E-3</v>
      </c>
      <c r="AZ44" s="14">
        <f t="shared" ref="AZ44" si="384">EXP(-AY44*YearFraction)*AZ43</f>
        <v>0.94333535553995207</v>
      </c>
      <c r="BA44" s="123">
        <f t="shared" si="13"/>
        <v>1.376700993980573E-3</v>
      </c>
      <c r="BB44" s="112"/>
      <c r="BC44" s="36" cm="1">
        <f t="array" ref="BC44">flatInterpolation($AG44,$S$4:$S$9,BB$5:BB$10)</f>
        <v>5.8334333333333339E-3</v>
      </c>
      <c r="BD44" s="14">
        <f t="shared" ref="BD44" si="385">EXP(-BC44*YearFraction)*BD43</f>
        <v>0.94333497820588408</v>
      </c>
      <c r="BE44" s="123">
        <f t="shared" si="15"/>
        <v>1.3767240610925713E-3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5.8333333333333336E-3</v>
      </c>
      <c r="L45" s="103">
        <v>5.8333343671637195E-3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5.8333333333333336E-3</v>
      </c>
      <c r="L46" s="103">
        <v>5.833334367163762E-3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5.8333333333333336E-3</v>
      </c>
      <c r="L47" s="105">
        <v>5.8333343671638834E-3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0.59999968224713762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0.59999968098969625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0.59999968224713762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0.30748711522723265</v>
      </c>
      <c r="L54" s="93">
        <f t="shared" si="386"/>
        <v>0.29251256681607496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0.30876681741207285</v>
      </c>
      <c r="Z54" s="93">
        <f>(Z65*RiskyAnnuity2Y-Protection2Y*Z76)/RiskyAnnuity2Y^2*Notional</f>
        <v>0.29251257364594624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0.30748711522723265</v>
      </c>
      <c r="AI54" s="93">
        <f>(AI65-$U15)/ShiftSize</f>
        <v>0.29251256681607496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0.20985809053627319</v>
      </c>
      <c r="L55" s="93">
        <f t="shared" si="386"/>
        <v>0.19963805527548756</v>
      </c>
      <c r="M55" s="93">
        <f t="shared" si="386"/>
        <v>0.1905035364960922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0.21384042309761095</v>
      </c>
      <c r="Z55" s="93">
        <f>(Z66*RiskyAnnuity3Y-Protection3Y*Z77)/RiskyAnnuity3Y^2*Notional</f>
        <v>0.20047148831865766</v>
      </c>
      <c r="AA55" s="93">
        <f>(AA66*RiskyAnnuity3Y-Protection3Y*AA77)/RiskyAnnuity3Y^2*Notional</f>
        <v>0.19050354236802061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0.20985809053627319</v>
      </c>
      <c r="AI55" s="93">
        <f>(AI66-$U16)/ShiftSize</f>
        <v>0.19963805527548756</v>
      </c>
      <c r="AJ55" s="93">
        <f>(AJ66-$U16)/ShiftSize</f>
        <v>0.1905035364960922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0.16098444053508354</v>
      </c>
      <c r="L56" s="93">
        <f t="shared" si="386"/>
        <v>0.15314454072934414</v>
      </c>
      <c r="M56" s="93">
        <f t="shared" si="386"/>
        <v>0.14613735234078606</v>
      </c>
      <c r="N56" s="93">
        <f t="shared" si="386"/>
        <v>0.13973334888912198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0.16802563790489286</v>
      </c>
      <c r="Z56" s="93">
        <f>(Z67*RiskyAnnuity4Y-Protection4Y*Z78)/RiskyAnnuity4Y^2*Notional</f>
        <v>0.15606255447224979</v>
      </c>
      <c r="AA56" s="93">
        <f>(AA67*RiskyAnnuity4Y-Protection4Y*AA78)/RiskyAnnuity4Y^2*Notional</f>
        <v>0.14674867341418979</v>
      </c>
      <c r="AB56" s="93">
        <f>(AB67*RiskyAnnuity4Y-Protection4Y*AB78)/RiskyAnnuity4Y^2*Notional</f>
        <v>0.1397333537722994</v>
      </c>
      <c r="AC56" s="94">
        <v>0</v>
      </c>
      <c r="AD56" s="95">
        <v>0</v>
      </c>
      <c r="AG56" s="2" t="s">
        <v>63</v>
      </c>
      <c r="AH56" s="92">
        <f t="shared" si="387"/>
        <v>0.16098444053508354</v>
      </c>
      <c r="AI56" s="93">
        <f>(AI67-$U17)/ShiftSize</f>
        <v>0.15314454072934414</v>
      </c>
      <c r="AJ56" s="93">
        <f>(AJ67-$U17)/ShiftSize</f>
        <v>0.14613735234078606</v>
      </c>
      <c r="AK56" s="93">
        <f>(AK67-$U17)/ShiftSize</f>
        <v>0.13973334888912198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0.13163756447734376</v>
      </c>
      <c r="L57" s="93">
        <f t="shared" si="386"/>
        <v>0.12522685038235393</v>
      </c>
      <c r="M57" s="93">
        <f t="shared" si="386"/>
        <v>0.11949704739177419</v>
      </c>
      <c r="N57" s="93">
        <f t="shared" si="386"/>
        <v>0.11426047085479757</v>
      </c>
      <c r="O57" s="93">
        <f t="shared" si="386"/>
        <v>0.10937774907581604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0.14187966037665761</v>
      </c>
      <c r="Z57" s="93">
        <f>(Z68*RiskyAnnuity5Y-Protection5Y*Z79)/RiskyAnnuity5Y^2*Notional</f>
        <v>0.13073030946726197</v>
      </c>
      <c r="AA57" s="93">
        <f>(AA68*RiskyAnnuity5Y-Protection5Y*AA79)/RiskyAnnuity5Y^2*Notional</f>
        <v>0.1217798328061559</v>
      </c>
      <c r="AB57" s="93">
        <f>(AB68*RiskyAnnuity5Y-Protection5Y*AB79)/RiskyAnnuity5Y^2*Notional</f>
        <v>0.11473899002189226</v>
      </c>
      <c r="AC57" s="93">
        <f>(AC68*RiskyAnnuity5Y-Protection5Y*AC79)/RiskyAnnuity5Y^2*Notional</f>
        <v>0.10937775326045436</v>
      </c>
      <c r="AD57" s="95">
        <v>0</v>
      </c>
      <c r="AG57" s="2" t="s">
        <v>64</v>
      </c>
      <c r="AH57" s="92">
        <f t="shared" si="387"/>
        <v>0.13163756447734376</v>
      </c>
      <c r="AI57" s="93">
        <f>(AI68-$U18)/ShiftSize</f>
        <v>0.12522685038235393</v>
      </c>
      <c r="AJ57" s="93">
        <f>(AJ68-$U18)/ShiftSize</f>
        <v>0.11949704739177419</v>
      </c>
      <c r="AK57" s="93">
        <f>(AK68-$U18)/ShiftSize</f>
        <v>0.11426047085479757</v>
      </c>
      <c r="AL57" s="93">
        <f>(AL68-$U18)/ShiftSize</f>
        <v>0.10937774907581604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7.304205242811973E-2</v>
      </c>
      <c r="L58" s="97">
        <f t="shared" si="386"/>
        <v>6.9484924719413754E-2</v>
      </c>
      <c r="M58" s="97">
        <f t="shared" si="386"/>
        <v>6.6305615707175358E-2</v>
      </c>
      <c r="N58" s="97">
        <f t="shared" si="386"/>
        <v>6.3399984364005679E-2</v>
      </c>
      <c r="O58" s="97">
        <f t="shared" si="386"/>
        <v>6.0690697203068245E-2</v>
      </c>
      <c r="P58" s="98">
        <f t="shared" si="386"/>
        <v>0.26707637956237262</v>
      </c>
      <c r="X58" s="2" t="s">
        <v>65</v>
      </c>
      <c r="Y58" s="118">
        <f t="shared" ref="Y58:AD58" si="388">(Y69*RiskyAnnuity10Y-Protection10Y*Y80)/RiskyAnnuity10Y^2*Notional</f>
        <v>9.9897712444837652E-2</v>
      </c>
      <c r="Z58" s="97">
        <f t="shared" si="388"/>
        <v>9.0141624181893656E-2</v>
      </c>
      <c r="AA58" s="97">
        <f t="shared" si="388"/>
        <v>8.1693624758531438E-2</v>
      </c>
      <c r="AB58" s="97">
        <f t="shared" si="388"/>
        <v>7.4386357714393697E-2</v>
      </c>
      <c r="AC58" s="97">
        <f t="shared" si="388"/>
        <v>6.8087410402293352E-2</v>
      </c>
      <c r="AD58" s="98">
        <f t="shared" si="388"/>
        <v>0.26707641447814129</v>
      </c>
      <c r="AG58" s="2" t="s">
        <v>65</v>
      </c>
      <c r="AH58" s="118">
        <f t="shared" si="387"/>
        <v>7.304205242811973E-2</v>
      </c>
      <c r="AI58" s="119">
        <f>(AI69-$U19)/ShiftSize</f>
        <v>6.9484924719413754E-2</v>
      </c>
      <c r="AJ58" s="119">
        <f>(AJ69-$U19)/ShiftSize</f>
        <v>6.6305615707175358E-2</v>
      </c>
      <c r="AK58" s="119">
        <f>(AK69-$U19)/ShiftSize</f>
        <v>6.3399984364005679E-2</v>
      </c>
      <c r="AL58" s="119">
        <f>(AL69-$U19)/ShiftSize</f>
        <v>6.0690697203068245E-2</v>
      </c>
      <c r="AM58" s="98">
        <f>(AM69-$U19)/ShiftSize</f>
        <v>0.26707637956237262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1.666667549313974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0.5809689988594513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3.5000593796702954E-3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-1.7519889909674549</v>
      </c>
      <c r="L65" s="93">
        <v>3.4186565414428043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0.58016242507779425</v>
      </c>
      <c r="Z65" s="93">
        <f>(1-RecoveryRate)*YearFraction*(SUMPRODUCT($Z$9:$Z$12,$AB$9:$AB$12))</f>
        <v>0.55267597569515181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3.5000301284136199E-3</v>
      </c>
      <c r="AI65" s="136">
        <f t="shared" si="389"/>
        <v>3.5000286309587788E-3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2.9201588837173841E-8</v>
      </c>
      <c r="L66" s="93">
        <v>-3.5825788651564783</v>
      </c>
      <c r="M66" s="93">
        <v>5.2492463835206182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0.57939275637676591</v>
      </c>
      <c r="Z66" s="93">
        <f>(1-RecoveryRate)*YearFraction*(SUMPRODUCT($Z$9:$Z$12,$AB$9:$AB$12)-SUMPRODUCT($AA$13:$AA$16,$AB$13:$AB$16))</f>
        <v>0.55190630699412346</v>
      </c>
      <c r="AA66" s="93">
        <f>(1-RecoveryRate)*YearFraction*(SUMPRODUCT($Z$13:$Z$16,$AB$13:$AB$16))</f>
        <v>0.52738808274790627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3.5000203655111443E-3</v>
      </c>
      <c r="AI66" s="136">
        <f t="shared" si="389"/>
        <v>3.5000193435076182E-3</v>
      </c>
      <c r="AJ66" s="136">
        <f t="shared" si="389"/>
        <v>3.5000184300557403E-3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1.526368730971224E-8</v>
      </c>
      <c r="L67" s="100">
        <v>2.8306767739132327E-8</v>
      </c>
      <c r="M67" s="93">
        <v>-5.4898202495729915</v>
      </c>
      <c r="N67" s="93">
        <v>7.156487752923586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0.57865681593470575</v>
      </c>
      <c r="Z67" s="93">
        <f>(1-RecoveryRate)*YearFraction*(SUMPRODUCT($Z$9:$Z$12,$AB$9:$AB$12)-SUMPRODUCT($AA$13:$AA$20,$AB$13:$AB$20))</f>
        <v>0.55117036655206331</v>
      </c>
      <c r="AA67" s="93">
        <f>(1-RecoveryRate)*YearFraction*(SUMPRODUCT($Z$13:$Z$16,$AB$13:$AB$16)-SUMPRODUCT($AA$17:$AA$20,$AB$17:$AB$20))</f>
        <v>0.52665214230584612</v>
      </c>
      <c r="AB67" s="93">
        <f>(1-RecoveryRate)*YearFraction*(SUMPRODUCT($Z$17:$Z$20,$AB$17:$AB$20))</f>
        <v>0.50427699377171098</v>
      </c>
      <c r="AC67" s="94">
        <v>0</v>
      </c>
      <c r="AD67" s="95">
        <v>0</v>
      </c>
      <c r="AG67" s="2" t="s">
        <v>102</v>
      </c>
      <c r="AH67" s="135">
        <f t="shared" si="389"/>
        <v>3.5000154781461455E-3</v>
      </c>
      <c r="AI67" s="136">
        <f t="shared" si="389"/>
        <v>3.5000146941561649E-3</v>
      </c>
      <c r="AJ67" s="136">
        <f t="shared" si="389"/>
        <v>3.5000139934373261E-3</v>
      </c>
      <c r="AK67" s="136">
        <f t="shared" si="389"/>
        <v>3.5000133530369809E-3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9.3689822648114989E-9</v>
      </c>
      <c r="L68" s="100">
        <v>1.8066875005093456E-8</v>
      </c>
      <c r="M68" s="100">
        <v>2.5249648499269259E-8</v>
      </c>
      <c r="N68" s="93">
        <v>-7.475959847636318</v>
      </c>
      <c r="O68" s="93">
        <v>9.1426273483361058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0.57795232460959178</v>
      </c>
      <c r="Z68" s="93">
        <f>(1-RecoveryRate)*YearFraction*(SUMPRODUCT($Z$9:$Z$12,$AB$9:$AB$12)-SUMPRODUCT($AA$13:$AA$24,$AB$13:$AB$24))</f>
        <v>0.55046587522694945</v>
      </c>
      <c r="AA68" s="93">
        <f>(1-RecoveryRate)*YearFraction*(SUMPRODUCT($Z$13:$Z$16,$AB$13:$AB$16)-SUMPRODUCT($AA$17:$AA$24,$AB$17:$AB$24))</f>
        <v>0.52594765098073226</v>
      </c>
      <c r="AB68" s="93">
        <f>(1-RecoveryRate)*YearFraction*(SUMPRODUCT($Z$17:$Z$20,$AB$17:$AB$20)-SUMPRODUCT($AA$21:$AA$24,$AB$21:$AB$24))</f>
        <v>0.50357250244659713</v>
      </c>
      <c r="AC68" s="93">
        <f>(1-RecoveryRate)*YearFraction*(SUMPRODUCT($Z$21:$Z$24,$AB$21:$AB$24))</f>
        <v>0.48272760574509049</v>
      </c>
      <c r="AD68" s="95">
        <v>0</v>
      </c>
      <c r="AG68" s="2" t="s">
        <v>103</v>
      </c>
      <c r="AH68" s="135">
        <f t="shared" si="389"/>
        <v>3.5000125434585362E-3</v>
      </c>
      <c r="AI68" s="136">
        <f t="shared" si="389"/>
        <v>3.5000119023871267E-3</v>
      </c>
      <c r="AJ68" s="136">
        <f t="shared" si="389"/>
        <v>3.5000113294068277E-3</v>
      </c>
      <c r="AK68" s="136">
        <f t="shared" si="389"/>
        <v>3.500010805749174E-3</v>
      </c>
      <c r="AL68" s="136">
        <f t="shared" si="389"/>
        <v>3.5000103174769961E-3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4.3314246532303568E-9</v>
      </c>
      <c r="L69" s="102">
        <v>8.0834155355391123E-9</v>
      </c>
      <c r="M69" s="102">
        <v>1.1209199916655335E-8</v>
      </c>
      <c r="N69" s="102">
        <v>1.4148156865793292E-8</v>
      </c>
      <c r="O69" s="97">
        <v>-2.0775795633727063</v>
      </c>
      <c r="P69" s="98">
        <v>3.7442472510619811</v>
      </c>
      <c r="X69" s="2" t="s">
        <v>77</v>
      </c>
      <c r="Y69" s="96">
        <f>(1-RecoveryRate)*YearFraction*(SUMPRODUCT($Z$5:$Z$8,$AB$5:$AB$8)-SUMPRODUCT($AA$9:$AA$44,$AB$9:$AB$44))</f>
        <v>0.57485212925622964</v>
      </c>
      <c r="Z69" s="119">
        <f>(1-RecoveryRate)*YearFraction*(SUMPRODUCT($Z$9:$Z$12,$AB$9:$AB$12)-SUMPRODUCT($AA$13:$AA$44,$AB$13:$AB$44))</f>
        <v>0.5473656798735872</v>
      </c>
      <c r="AA69" s="119">
        <f>(1-RecoveryRate)*YearFraction*(SUMPRODUCT($Z$13:$Z$16,$AB$13:$AB$16)-SUMPRODUCT($AA$17:$AA$44,$AB$17:$AB$44))</f>
        <v>0.52284745562737001</v>
      </c>
      <c r="AB69" s="119">
        <f>(1-RecoveryRate)*YearFraction*(SUMPRODUCT($Z$17:$Z$20,$AB$17:$AB$20)-SUMPRODUCT($AA$21:$AA$44,$AB$21:$AB$44))</f>
        <v>0.50047230709323487</v>
      </c>
      <c r="AC69" s="119">
        <f>(1-RecoveryRate)*YearFraction*(SUMPRODUCT($Z$21:$Z$24,$AB$21:$AB$24)-SUMPRODUCT($AA$25:$AA$44,$AB$25:$AB$44))</f>
        <v>0.47962741039172824</v>
      </c>
      <c r="AD69" s="98">
        <f>(1-RecoveryRate)*YearFraction*(SUMPRODUCT($Z$25:$Z$44,$AB$25:$AB$44))</f>
        <v>2.1242985213887238</v>
      </c>
      <c r="AG69" s="2" t="s">
        <v>104</v>
      </c>
      <c r="AH69" s="138">
        <f t="shared" si="389"/>
        <v>3.5000066839073205E-3</v>
      </c>
      <c r="AI69" s="146">
        <f t="shared" si="389"/>
        <v>3.5000063281945496E-3</v>
      </c>
      <c r="AJ69" s="146">
        <f t="shared" si="389"/>
        <v>3.5000060102636484E-3</v>
      </c>
      <c r="AK69" s="146">
        <f t="shared" si="389"/>
        <v>3.5000057197005141E-3</v>
      </c>
      <c r="AL69" s="146">
        <f t="shared" si="389"/>
        <v>3.500005448771798E-3</v>
      </c>
      <c r="AM69" s="147">
        <f t="shared" si="389"/>
        <v>3.5000260873400339E-3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-0.12103520809571904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3391.5161349538821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-1.0428162083776682</v>
      </c>
      <c r="Z76" s="93">
        <f>-YearFraction*(0.5*YearFraction*SUMPRODUCT($Z$9:$Z$12,$AB$9:$AB$12))</f>
        <v>-0.1151408282698233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6617.8109389527262</v>
      </c>
      <c r="AI76" s="141">
        <f>LGD*SUMPRODUCT($AO$5:$AO$12,DiscFactors2Y)</f>
        <v>6617.8084383137912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-3.7235930229786733</v>
      </c>
      <c r="Z77" s="93">
        <f>-YearFraction*(0.5*YearFraction*SUMPRODUCT($Z$9:$Z$12,$AB$9:$AB$12)+SUM($AB$13:$AB$16)*(YearFraction*SUM($Z$13:$Z$16)+0.5*YearFraction*SUM($AA$13:$AA$16)))</f>
        <v>-0.99474642338624275</v>
      </c>
      <c r="AA77" s="93">
        <f>-YearFraction*(0.5*YearFraction*SUMPRODUCT($Z$13:$Z$16,$AB$13:$AB$16))</f>
        <v>-0.10987251723914715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9696.4854351986305</v>
      </c>
      <c r="AI77" s="141">
        <f>LGD*SUMPRODUCT($AO$5:$AO$16,DiscFactors3Y)</f>
        <v>9696.4829345596972</v>
      </c>
      <c r="AJ77" s="141">
        <f>LGD*SUMPRODUCT($AS$5:$AS$16,DiscFactors3Y)</f>
        <v>9696.480719056839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-8.0471431063771703</v>
      </c>
      <c r="Z78" s="93">
        <f>-YearFraction*(0.5*YearFraction*SUMPRODUCT($Z$9:$Z$12,$AB$9:$AB$12)+SUM($AB$13:$AB$20)*(YearFraction*SUM($Z$13:$Z$20)+0.5*YearFraction*SUM($AA$13:$AA$20)))</f>
        <v>-3.556277012994951</v>
      </c>
      <c r="AA78" s="93">
        <f>-YearFraction*(0.5*YearFraction*SUMPRODUCT($Z$13:$Z$16,$AB$13:$AB$16)+SUM($AB$17:$AB$20)*(YearFraction*SUM($Z$17:$Z$20)+0.5*YearFraction*SUM($AA$17:$AA$20)))</f>
        <v>-0.95093280129625579</v>
      </c>
      <c r="AB78" s="93">
        <f>-YearFraction*(0.5*YearFraction*SUMPRODUCT($Z$17:$Z$20,$AB$17:$AB$20))</f>
        <v>-0.10505770703577313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12640.246909063102</v>
      </c>
      <c r="AI78" s="141">
        <f>LGD*SUMPRODUCT($AO$5:$AO$20,DiscFactors4Y)</f>
        <v>12640.244408424169</v>
      </c>
      <c r="AJ78" s="141">
        <f>LGD*SUMPRODUCT($AS$5:$AS$20,DiscFactors4Y)</f>
        <v>12640.242192921311</v>
      </c>
      <c r="AK78" s="141">
        <f>LGD*SUMPRODUCT($AW$5:$AW$20,DiscFactors4Y)</f>
        <v>12640.240181165125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-13.907354071413238</v>
      </c>
      <c r="Z79" s="93">
        <f>-YearFraction*(0.5*YearFraction*SUMPRODUCT($Z$9:$Z$12,$AB$9:$AB$12)+SUM($AB$13:$AB$24)*(YearFraction*SUM($Z$13:$Z$24)+0.5*YearFraction*SUM($AA$13:$AA$24)))</f>
        <v>-7.6913648854194951</v>
      </c>
      <c r="AA79" s="93">
        <f>-YearFraction*(0.5*YearFraction*SUMPRODUCT($Z$13:$Z$16,$AB$13:$AB$16)+SUM($AB$17:$AB$24)*(YearFraction*SUM($Z$17:$Z$24)+0.5*YearFraction*SUM($AA$17:$AA$24)))</f>
        <v>-3.4020501111912331</v>
      </c>
      <c r="AB79" s="93">
        <f>-YearFraction*(0.5*YearFraction*SUMPRODUCT($Z$17:$Z$20,$AB$17:$AB$20)+SUM($AB$21:$AB$24)*(YearFraction*SUM($Z$21:$Z$24)+0.5*YearFraction*SUM($AA$21:$AA$24)))</f>
        <v>-0.91017704431236646</v>
      </c>
      <c r="AC79" s="93">
        <f>-YearFraction*(0.5*YearFraction*SUMPRODUCT($Z$21:$Z$24,$AB$21:$AB$24))</f>
        <v>-0.10056825119689386</v>
      </c>
      <c r="AD79" s="95">
        <v>0</v>
      </c>
      <c r="AG79" s="2" t="s">
        <v>76</v>
      </c>
      <c r="AH79" s="140">
        <f>LGD*SUMPRODUCT($AK$5:$AK$24,DiscFactors5Y)</f>
        <v>15458.211927722108</v>
      </c>
      <c r="AI79" s="141">
        <f>LGD*SUMPRODUCT($AO$5:$AO$24,DiscFactors5Y)</f>
        <v>15458.209427083175</v>
      </c>
      <c r="AJ79" s="141">
        <f>LGD*SUMPRODUCT($AS$5:$AS$24,DiscFactors5Y)</f>
        <v>15458.207211580315</v>
      </c>
      <c r="AK79" s="141">
        <f>LGD*SUMPRODUCT($AW$5:$AW$24,DiscFactors5Y)</f>
        <v>15458.205199824131</v>
      </c>
      <c r="AL79" s="141">
        <f>LGD*SUMPRODUCT($BA$5:$BA$24,DiscFactors5Y)</f>
        <v>15458.203331339126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-62.943854094164074</v>
      </c>
      <c r="Z80" s="97">
        <f>-YearFraction*(0.5*YearFraction*SUMPRODUCT($Z$9:$Z$12,$AB$9:$AB$12)+SUM($AB$13:$AB$44)*(YearFraction*SUM($Z$13:$Z$44)+0.5*YearFraction*SUM($AA$13:$AA$44)))</f>
        <v>-48.609833636644957</v>
      </c>
      <c r="AA80" s="97">
        <f>-YearFraction*(0.5*YearFraction*SUMPRODUCT($Z$13:$Z$16,$AB$13:$AB$16)+SUM($AB$17:$AB$44)*(YearFraction*SUM($Z$17:$Z$44)+0.5*YearFraction*SUM($AA$17:$AA$44)))</f>
        <v>-36.402603964192423</v>
      </c>
      <c r="AB80" s="97">
        <f>-YearFraction*(0.5*YearFraction*SUMPRODUCT($Z$17:$Z$20,$AB$17:$AB$20)+SUM($AB$21:$AB$44)*(YearFraction*SUM($Z$21:$Z$44)+0.5*YearFraction*SUM($AA$21:$AA$44)))</f>
        <v>-26.17732008330686</v>
      </c>
      <c r="AC80" s="97">
        <f>-YearFraction*(0.5*YearFraction*SUMPRODUCT($Z$21:$Z$24,$AB$21:$AB$24)+SUM($AB$25:$AB$44)*(YearFraction*SUM($Z$25:$Z$44)+0.5*YearFraction*SUM($AA$25:$AA$44)))</f>
        <v>-17.80794175812969</v>
      </c>
      <c r="AD80" s="98">
        <f>-YearFraction*(0.5*YearFraction*SUMPRODUCT($Z$25:$Z$44,$AB$25:$AB$44))</f>
        <v>-0.44256219195598412</v>
      </c>
      <c r="AG80" s="2" t="s">
        <v>77</v>
      </c>
      <c r="AH80" s="143">
        <f>LGD*SUMPRODUCT($AK$5:$AK$44,DiscFactors10Y)</f>
        <v>27858.992101093012</v>
      </c>
      <c r="AI80" s="144">
        <f>LGD*SUMPRODUCT($AO$5:$AO$44,DiscFactors10Y)</f>
        <v>27858.989600454079</v>
      </c>
      <c r="AJ80" s="144">
        <f>LGD*SUMPRODUCT($AS$5:$AS$44,DiscFactors10Y)</f>
        <v>27858.987384951219</v>
      </c>
      <c r="AK80" s="144">
        <f>LGD*SUMPRODUCT($AW$5:$AW$44,DiscFactors10Y)</f>
        <v>27858.985373195035</v>
      </c>
      <c r="AL80" s="144">
        <f>LGD*SUMPRODUCT($BA$5:$BA$44,DiscFactors10Y)</f>
        <v>27858.983504710028</v>
      </c>
      <c r="AM80" s="145">
        <f>LGD*SUMPRODUCT($BE$5:$BE$44,DiscFactors10Y)</f>
        <v>27859.146172783501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968988.17050165648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1890786.849298418</v>
      </c>
      <c r="AI87" s="141">
        <f>Notional*YearFraction*(SUMPRODUCT($AN$5:$AN$12,DiscFactors2Y)+0.5*SUMPRODUCT($AO$5:$AO$12,DiscFactors2Y))</f>
        <v>1890786.9437916412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2770408.289833637</v>
      </c>
      <c r="AI88" s="141">
        <f>Notional*YearFraction*(SUMPRODUCT($AN$5:$AN$16,DiscFactors3Y)+0.5*SUMPRODUCT($AO$5:$AO$16,DiscFactors3Y))</f>
        <v>2770408.3843268598</v>
      </c>
      <c r="AJ88" s="141">
        <f>Notional*YearFraction*(SUMPRODUCT($AR$5:$AR$16,DiscFactors3Y)+0.5*SUMPRODUCT($AS$5:$AS$16,DiscFactors3Y))</f>
        <v>2770408.4743640665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3611483.1457140488</v>
      </c>
      <c r="AI89" s="141">
        <f>Notional*YearFraction*(SUMPRODUCT($AN$5:$AN$20,DiscFactors4Y)+0.5*SUMPRODUCT($AO$5:$AO$20,DiscFactors4Y))</f>
        <v>3611483.2402072717</v>
      </c>
      <c r="AJ89" s="141">
        <f>Notional*YearFraction*(SUMPRODUCT($AR$5:$AR$20,DiscFactors4Y)+0.5*SUMPRODUCT($AS$5:$AS$20,DiscFactors4Y))</f>
        <v>3611483.3302444783</v>
      </c>
      <c r="AK89" s="141">
        <f>Notional*YearFraction*(SUMPRODUCT($AV$5:$AV$20,DiscFactors4Y)+0.5*SUMPRODUCT($AW$5:$AW$20,DiscFactors4Y))</f>
        <v>3611483.4162552892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4416616.150880157</v>
      </c>
      <c r="AI90" s="141">
        <f>Notional*YearFraction*(SUMPRODUCT($AN$5:$AN$24,DiscFactors5Y)+0.5*SUMPRODUCT($AO$5:$AO$24,DiscFactors5Y))</f>
        <v>4416616.2453733804</v>
      </c>
      <c r="AJ90" s="141">
        <f>Notional*YearFraction*(SUMPRODUCT($AR$5:$AR$24,DiscFactors5Y)+0.5*SUMPRODUCT($AS$5:$AS$24,DiscFactors5Y))</f>
        <v>4416616.3354105856</v>
      </c>
      <c r="AK90" s="141">
        <f>Notional*YearFraction*(SUMPRODUCT($AV$5:$AV$24,DiscFactors5Y)+0.5*SUMPRODUCT($AW$5:$AW$24,DiscFactors5Y))</f>
        <v>4416616.4214213956</v>
      </c>
      <c r="AL90" s="141">
        <f>Notional*YearFraction*(SUMPRODUCT($AZ$5:$AZ$24,DiscFactors5Y)+0.5*SUMPRODUCT($BA$5:$BA$24,DiscFactors5Y))</f>
        <v>4416616.5037142709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7959696.8283477463</v>
      </c>
      <c r="AI91" s="144">
        <f>Notional*YearFraction*(SUMPRODUCT($AN$5:$AN$44,DiscFactors10Y)+0.5*SUMPRODUCT($AO$5:$AO$44,DiscFactors10Y))</f>
        <v>7959696.9228409696</v>
      </c>
      <c r="AJ91" s="144">
        <f>Notional*YearFraction*(SUMPRODUCT($AR$5:$AR$44,DiscFactors10Y)+0.5*SUMPRODUCT($AS$5:$AS$44,DiscFactors10Y))</f>
        <v>7959697.012878174</v>
      </c>
      <c r="AK91" s="144">
        <f>Notional*YearFraction*(SUMPRODUCT($AV$5:$AV$44,DiscFactors10Y)+0.5*SUMPRODUCT($AW$5:$AW$44,DiscFactors10Y))</f>
        <v>7959697.0988889849</v>
      </c>
      <c r="AL91" s="144">
        <f>Notional*YearFraction*(SUMPRODUCT($AZ$5:$AZ$44,DiscFactors10Y)+0.5*SUMPRODUCT($BA$5:$BA$44,DiscFactors10Y))</f>
        <v>7959697.1811818592</v>
      </c>
      <c r="AM91" s="145">
        <f>Notional*YearFraction*(SUMPRODUCT($BD$5:$BD$44,DiscFactors10Y)+0.5*SUMPRODUCT($BE$5:$BE$44,DiscFactors10Y))</f>
        <v>7959696.7215624452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K51" xr:uid="{899B60DC-5F45-4045-B0AB-CB12A6081C8E}">
      <formula1>"ANALYTICAL,NUMERICAL"</formula1>
    </dataValidation>
    <dataValidation type="list" allowBlank="1" showInputMessage="1" showErrorMessage="1" sqref="O37" xr:uid="{3C0512C9-8732-4CD3-B20D-A600E7CF5C20}">
      <formula1>"TRUE,FALSE"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AC5DA-E8F3-4B0D-869F-162A35AA3D99}">
  <sheetPr codeName="Sheet4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4" t="s">
        <v>0</v>
      </c>
      <c r="L3" s="395"/>
      <c r="M3" s="47" t="s">
        <v>337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6" t="s">
        <v>17</v>
      </c>
      <c r="L4" s="397"/>
      <c r="M4" s="48" t="s">
        <v>19</v>
      </c>
      <c r="O4" s="73" t="s">
        <v>11</v>
      </c>
      <c r="P4" s="74">
        <v>45</v>
      </c>
      <c r="Q4" s="18">
        <f t="shared" ref="Q4:Q9" si="0">P4/10000</f>
        <v>4.4999999999999997E-3</v>
      </c>
      <c r="S4" s="11">
        <v>1</v>
      </c>
      <c r="T4" s="86">
        <f t="shared" ref="T4:T9" si="1">N27</f>
        <v>7.4999999999999997E-3</v>
      </c>
      <c r="W4" s="18"/>
      <c r="X4" s="17">
        <v>0</v>
      </c>
      <c r="Y4" s="18" cm="1">
        <f t="array" ref="Y4">flatInterpolation(X4,$S$4:$S$9,$T$4:$T$9)</f>
        <v>7.4999999999999997E-3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6" t="s">
        <v>3</v>
      </c>
      <c r="L5" s="397"/>
      <c r="M5" s="49" t="s">
        <v>4</v>
      </c>
      <c r="O5" s="75" t="s">
        <v>12</v>
      </c>
      <c r="P5" s="76">
        <v>45</v>
      </c>
      <c r="Q5" s="18">
        <f t="shared" si="0"/>
        <v>4.4999999999999997E-3</v>
      </c>
      <c r="S5" s="12">
        <v>2</v>
      </c>
      <c r="T5" s="87">
        <f t="shared" si="1"/>
        <v>7.4999999999999997E-3</v>
      </c>
      <c r="W5" s="18"/>
      <c r="X5" s="20">
        <f>YearFraction</f>
        <v>0.25</v>
      </c>
      <c r="Y5" s="21" cm="1">
        <f t="array" ref="Y5">flatInterpolation(X5,$S$4:$S$9,$T$4:$T$9)</f>
        <v>7.4999999999999997E-3</v>
      </c>
      <c r="Z5" s="22">
        <f t="shared" ref="Z5" si="2">EXP(-Y5*YearFraction)*Z4</f>
        <v>0.998126756714382</v>
      </c>
      <c r="AA5" s="22">
        <f t="shared" ref="AA5:AA44" si="3">Z4-Z5</f>
        <v>1.8732432856179981E-3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7.5001E-3</v>
      </c>
      <c r="AI5" s="30" cm="1">
        <f t="array" ref="AI5">flatInterpolation($AG5,$S$4:$S$9,AH$5:AH$10)</f>
        <v>7.5001E-3</v>
      </c>
      <c r="AJ5" s="22">
        <f t="shared" ref="AJ5" si="4">EXP(-AI5*YearFraction)*AJ4</f>
        <v>0.99812673176121336</v>
      </c>
      <c r="AK5" s="121">
        <f t="shared" ref="AK5:AK44" si="5">AJ4-AJ5</f>
        <v>1.8732682387866406E-3</v>
      </c>
      <c r="AL5" s="126">
        <f>HazardRate1Y</f>
        <v>7.4999999999999997E-3</v>
      </c>
      <c r="AM5" s="30" cm="1">
        <f t="array" ref="AM5">flatInterpolation($AG5,$S$4:$S$9,AL$5:AL$10)</f>
        <v>7.4999999999999997E-3</v>
      </c>
      <c r="AN5" s="22">
        <f t="shared" ref="AN5" si="6">EXP(-AM5*YearFraction)*AN4</f>
        <v>0.998126756714382</v>
      </c>
      <c r="AO5" s="121">
        <f t="shared" ref="AO5:AO44" si="7">AN4-AN5</f>
        <v>1.8732432856179981E-3</v>
      </c>
      <c r="AP5" s="126">
        <f>HazardRate1Y</f>
        <v>7.4999999999999997E-3</v>
      </c>
      <c r="AQ5" s="30" cm="1">
        <f t="array" ref="AQ5">flatInterpolation($AG5,$S$4:$S$9,AP$5:AP$10)</f>
        <v>7.4999999999999997E-3</v>
      </c>
      <c r="AR5" s="22">
        <f t="shared" ref="AR5" si="8">EXP(-AQ5*YearFraction)*AR4</f>
        <v>0.998126756714382</v>
      </c>
      <c r="AS5" s="121">
        <f t="shared" ref="AS5:AS44" si="9">AR4-AR5</f>
        <v>1.8732432856179981E-3</v>
      </c>
      <c r="AT5" s="126">
        <f>HazardRate1Y</f>
        <v>7.4999999999999997E-3</v>
      </c>
      <c r="AU5" s="30" cm="1">
        <f t="array" ref="AU5">flatInterpolation($AG5,$S$4:$S$9,AT$5:AT$10)</f>
        <v>7.4999999999999997E-3</v>
      </c>
      <c r="AV5" s="22">
        <f t="shared" ref="AV5" si="10">EXP(-AU5*YearFraction)*AV4</f>
        <v>0.998126756714382</v>
      </c>
      <c r="AW5" s="121">
        <f t="shared" ref="AW5:AW44" si="11">AV4-AV5</f>
        <v>1.8732432856179981E-3</v>
      </c>
      <c r="AX5" s="126">
        <f>HazardRate1Y</f>
        <v>7.4999999999999997E-3</v>
      </c>
      <c r="AY5" s="30" cm="1">
        <f t="array" ref="AY5">flatInterpolation($AG5,$S$4:$S$9,AX$5:AX$10)</f>
        <v>7.4999999999999997E-3</v>
      </c>
      <c r="AZ5" s="22">
        <f t="shared" ref="AZ5" si="12">EXP(-AY5*YearFraction)*AZ4</f>
        <v>0.998126756714382</v>
      </c>
      <c r="BA5" s="121">
        <f t="shared" ref="BA5:BA44" si="13">AZ4-AZ5</f>
        <v>1.8732432856179981E-3</v>
      </c>
      <c r="BB5" s="126">
        <f>HazardRate1Y</f>
        <v>7.4999999999999997E-3</v>
      </c>
      <c r="BC5" s="30" cm="1">
        <f t="array" ref="BC5">flatInterpolation($AG5,$S$4:$S$9,BB$5:BB$10)</f>
        <v>7.4999999999999997E-3</v>
      </c>
      <c r="BD5" s="22">
        <f t="shared" ref="BD5" si="14">EXP(-BC5*YearFraction)*BD4</f>
        <v>0.998126756714382</v>
      </c>
      <c r="BE5" s="121">
        <f t="shared" ref="BE5:BE44" si="15">BD4-BD5</f>
        <v>1.8732432856179981E-3</v>
      </c>
    </row>
    <row r="6" spans="3:58" x14ac:dyDescent="0.3">
      <c r="C6" s="1" t="s">
        <v>137</v>
      </c>
      <c r="D6" t="s">
        <v>141</v>
      </c>
      <c r="K6" s="396" t="s">
        <v>1</v>
      </c>
      <c r="L6" s="397"/>
      <c r="M6" s="51">
        <v>0.4</v>
      </c>
      <c r="O6" s="75" t="s">
        <v>13</v>
      </c>
      <c r="P6" s="76">
        <v>45</v>
      </c>
      <c r="Q6" s="18">
        <f t="shared" si="0"/>
        <v>4.4999999999999997E-3</v>
      </c>
      <c r="S6" s="12">
        <v>3</v>
      </c>
      <c r="T6" s="87">
        <f t="shared" si="1"/>
        <v>7.4999999999999997E-3</v>
      </c>
      <c r="W6" s="18"/>
      <c r="X6" s="24">
        <f t="shared" ref="X6" si="16">X5+YearFraction</f>
        <v>0.5</v>
      </c>
      <c r="Y6" s="25" cm="1">
        <f t="array" ref="Y6">flatInterpolation(X6,$S$4:$S$9,$T$4:$T$9)</f>
        <v>7.4999999999999997E-3</v>
      </c>
      <c r="Z6" s="26">
        <f t="shared" ref="Z6" si="17">EXP(-Y6*YearFraction)*Z5</f>
        <v>0.99625702246917114</v>
      </c>
      <c r="AA6" s="26">
        <f t="shared" si="3"/>
        <v>1.8697342452108634E-3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7.4999999999999997E-3</v>
      </c>
      <c r="AI6" s="18" cm="1">
        <f t="array" ref="AI6">flatInterpolation($AG6,$S$4:$S$9,AH$5:AH$10)</f>
        <v>7.5001E-3</v>
      </c>
      <c r="AJ6" s="26">
        <f t="shared" ref="AJ6" si="19">EXP(-AI6*YearFraction)*AJ5</f>
        <v>0.99625697265632118</v>
      </c>
      <c r="AK6" s="122">
        <f t="shared" si="5"/>
        <v>1.8697591048921769E-3</v>
      </c>
      <c r="AL6" s="128">
        <f>HazardRate2Y+ShiftSize</f>
        <v>7.5001E-3</v>
      </c>
      <c r="AM6" s="18" cm="1">
        <f t="array" ref="AM6">flatInterpolation($AG6,$S$4:$S$9,AL$5:AL$10)</f>
        <v>7.4999999999999997E-3</v>
      </c>
      <c r="AN6" s="26">
        <f t="shared" ref="AN6" si="20">EXP(-AM6*YearFraction)*AN5</f>
        <v>0.99625702246917114</v>
      </c>
      <c r="AO6" s="122">
        <f t="shared" si="7"/>
        <v>1.8697342452108634E-3</v>
      </c>
      <c r="AP6" s="127">
        <f>HazardRate2Y</f>
        <v>7.4999999999999997E-3</v>
      </c>
      <c r="AQ6" s="18" cm="1">
        <f t="array" ref="AQ6">flatInterpolation($AG6,$S$4:$S$9,AP$5:AP$10)</f>
        <v>7.4999999999999997E-3</v>
      </c>
      <c r="AR6" s="26">
        <f t="shared" ref="AR6" si="21">EXP(-AQ6*YearFraction)*AR5</f>
        <v>0.99625702246917114</v>
      </c>
      <c r="AS6" s="122">
        <f t="shared" si="9"/>
        <v>1.8697342452108634E-3</v>
      </c>
      <c r="AT6" s="127">
        <f>HazardRate2Y</f>
        <v>7.4999999999999997E-3</v>
      </c>
      <c r="AU6" s="18" cm="1">
        <f t="array" ref="AU6">flatInterpolation($AG6,$S$4:$S$9,AT$5:AT$10)</f>
        <v>7.4999999999999997E-3</v>
      </c>
      <c r="AV6" s="26">
        <f t="shared" ref="AV6" si="22">EXP(-AU6*YearFraction)*AV5</f>
        <v>0.99625702246917114</v>
      </c>
      <c r="AW6" s="122">
        <f t="shared" si="11"/>
        <v>1.8697342452108634E-3</v>
      </c>
      <c r="AX6" s="127">
        <f>HazardRate2Y</f>
        <v>7.4999999999999997E-3</v>
      </c>
      <c r="AY6" s="18" cm="1">
        <f t="array" ref="AY6">flatInterpolation($AG6,$S$4:$S$9,AX$5:AX$10)</f>
        <v>7.4999999999999997E-3</v>
      </c>
      <c r="AZ6" s="26">
        <f t="shared" ref="AZ6" si="23">EXP(-AY6*YearFraction)*AZ5</f>
        <v>0.99625702246917114</v>
      </c>
      <c r="BA6" s="122">
        <f t="shared" si="13"/>
        <v>1.8697342452108634E-3</v>
      </c>
      <c r="BB6" s="127">
        <f>HazardRate2Y</f>
        <v>7.4999999999999997E-3</v>
      </c>
      <c r="BC6" s="18" cm="1">
        <f t="array" ref="BC6">flatInterpolation($AG6,$S$4:$S$9,BB$5:BB$10)</f>
        <v>7.4999999999999997E-3</v>
      </c>
      <c r="BD6" s="26">
        <f t="shared" ref="BD6" si="24">EXP(-BC6*YearFraction)*BD5</f>
        <v>0.99625702246917114</v>
      </c>
      <c r="BE6" s="122">
        <f t="shared" si="15"/>
        <v>1.8697342452108634E-3</v>
      </c>
    </row>
    <row r="7" spans="3:58" x14ac:dyDescent="0.3">
      <c r="C7" s="1" t="s">
        <v>138</v>
      </c>
      <c r="D7" t="s">
        <v>142</v>
      </c>
      <c r="K7" s="396" t="s">
        <v>5</v>
      </c>
      <c r="L7" s="397"/>
      <c r="M7" s="52">
        <v>0.25</v>
      </c>
      <c r="O7" s="75" t="s">
        <v>14</v>
      </c>
      <c r="P7" s="76">
        <v>45</v>
      </c>
      <c r="Q7" s="18">
        <f t="shared" si="0"/>
        <v>4.4999999999999997E-3</v>
      </c>
      <c r="S7" s="12">
        <v>4</v>
      </c>
      <c r="T7" s="87">
        <f t="shared" si="1"/>
        <v>7.4999999999999997E-3</v>
      </c>
      <c r="W7" s="18"/>
      <c r="X7" s="24">
        <f t="shared" ref="X7" si="25">X6+YearFraction</f>
        <v>0.75</v>
      </c>
      <c r="Y7" s="25" cm="1">
        <f t="array" ref="Y7">flatInterpolation(X7,$S$4:$S$9,$T$4:$T$9)</f>
        <v>7.4999999999999997E-3</v>
      </c>
      <c r="Z7" s="26">
        <f t="shared" ref="Z7" si="26">EXP(-Y7*YearFraction)*Z6</f>
        <v>0.99439079069108094</v>
      </c>
      <c r="AA7" s="26">
        <f t="shared" si="3"/>
        <v>1.8662317780901994E-3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7.4999999999999997E-3</v>
      </c>
      <c r="AI7" s="18" cm="1">
        <f t="array" ref="AI7">flatInterpolation($AG7,$S$4:$S$9,AH$5:AH$10)</f>
        <v>7.5001E-3</v>
      </c>
      <c r="AJ7" s="26">
        <f t="shared" ref="AJ7" si="28">EXP(-AI7*YearFraction)*AJ6</f>
        <v>0.99439071611177432</v>
      </c>
      <c r="AK7" s="122">
        <f t="shared" si="5"/>
        <v>1.8662565445468626E-3</v>
      </c>
      <c r="AL7" s="127">
        <f>HazardRate3Y</f>
        <v>7.4999999999999997E-3</v>
      </c>
      <c r="AM7" s="18" cm="1">
        <f t="array" ref="AM7">flatInterpolation($AG7,$S$4:$S$9,AL$5:AL$10)</f>
        <v>7.4999999999999997E-3</v>
      </c>
      <c r="AN7" s="26">
        <f t="shared" ref="AN7" si="29">EXP(-AM7*YearFraction)*AN6</f>
        <v>0.99439079069108094</v>
      </c>
      <c r="AO7" s="122">
        <f t="shared" si="7"/>
        <v>1.8662317780901994E-3</v>
      </c>
      <c r="AP7" s="128">
        <f>HazardRate3Y+ShiftSize</f>
        <v>7.5001E-3</v>
      </c>
      <c r="AQ7" s="18" cm="1">
        <f t="array" ref="AQ7">flatInterpolation($AG7,$S$4:$S$9,AP$5:AP$10)</f>
        <v>7.4999999999999997E-3</v>
      </c>
      <c r="AR7" s="26">
        <f t="shared" ref="AR7" si="30">EXP(-AQ7*YearFraction)*AR6</f>
        <v>0.99439079069108094</v>
      </c>
      <c r="AS7" s="122">
        <f t="shared" si="9"/>
        <v>1.8662317780901994E-3</v>
      </c>
      <c r="AT7" s="127">
        <f>HazardRate3Y</f>
        <v>7.4999999999999997E-3</v>
      </c>
      <c r="AU7" s="18" cm="1">
        <f t="array" ref="AU7">flatInterpolation($AG7,$S$4:$S$9,AT$5:AT$10)</f>
        <v>7.4999999999999997E-3</v>
      </c>
      <c r="AV7" s="26">
        <f t="shared" ref="AV7" si="31">EXP(-AU7*YearFraction)*AV6</f>
        <v>0.99439079069108094</v>
      </c>
      <c r="AW7" s="122">
        <f t="shared" si="11"/>
        <v>1.8662317780901994E-3</v>
      </c>
      <c r="AX7" s="127">
        <f>HazardRate3Y</f>
        <v>7.4999999999999997E-3</v>
      </c>
      <c r="AY7" s="18" cm="1">
        <f t="array" ref="AY7">flatInterpolation($AG7,$S$4:$S$9,AX$5:AX$10)</f>
        <v>7.4999999999999997E-3</v>
      </c>
      <c r="AZ7" s="26">
        <f t="shared" ref="AZ7" si="32">EXP(-AY7*YearFraction)*AZ6</f>
        <v>0.99439079069108094</v>
      </c>
      <c r="BA7" s="122">
        <f t="shared" si="13"/>
        <v>1.8662317780901994E-3</v>
      </c>
      <c r="BB7" s="127">
        <f>HazardRate3Y</f>
        <v>7.4999999999999997E-3</v>
      </c>
      <c r="BC7" s="18" cm="1">
        <f t="array" ref="BC7">flatInterpolation($AG7,$S$4:$S$9,BB$5:BB$10)</f>
        <v>7.4999999999999997E-3</v>
      </c>
      <c r="BD7" s="26">
        <f t="shared" ref="BD7" si="33">EXP(-BC7*YearFraction)*BD6</f>
        <v>0.99439079069108094</v>
      </c>
      <c r="BE7" s="122">
        <f t="shared" si="15"/>
        <v>1.8662317780901994E-3</v>
      </c>
    </row>
    <row r="8" spans="3:58" x14ac:dyDescent="0.3">
      <c r="K8" s="396" t="s">
        <v>18</v>
      </c>
      <c r="L8" s="397"/>
      <c r="M8" s="165">
        <v>1000000</v>
      </c>
      <c r="O8" s="75" t="s">
        <v>15</v>
      </c>
      <c r="P8" s="76">
        <v>45</v>
      </c>
      <c r="Q8" s="18">
        <f t="shared" si="0"/>
        <v>4.4999999999999997E-3</v>
      </c>
      <c r="S8" s="12">
        <v>5</v>
      </c>
      <c r="T8" s="87">
        <f t="shared" si="1"/>
        <v>7.4999999999999997E-3</v>
      </c>
      <c r="W8" s="18"/>
      <c r="X8" s="24">
        <f t="shared" ref="X8" si="34">X7+YearFraction</f>
        <v>1</v>
      </c>
      <c r="Y8" s="25" cm="1">
        <f t="array" ref="Y8">flatInterpolation(X8,$S$4:$S$9,$T$4:$T$9)</f>
        <v>7.4999999999999997E-3</v>
      </c>
      <c r="Z8" s="26">
        <f t="shared" ref="Z8" si="35">EXP(-Y8*YearFraction)*Z7</f>
        <v>0.99252805481913853</v>
      </c>
      <c r="AA8" s="26">
        <f t="shared" si="3"/>
        <v>1.8627358719424114E-3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7.4999999999999997E-3</v>
      </c>
      <c r="AI8" s="18" cm="1">
        <f t="array" ref="AI8">flatInterpolation($AG8,$S$4:$S$9,AH$5:AH$10)</f>
        <v>7.5001E-3</v>
      </c>
      <c r="AJ8" s="26">
        <f t="shared" ref="AJ8" si="37">EXP(-AI8*YearFraction)*AJ7</f>
        <v>0.99252795556633788</v>
      </c>
      <c r="AK8" s="122">
        <f t="shared" si="5"/>
        <v>1.8627605454364371E-3</v>
      </c>
      <c r="AL8" s="127">
        <f>HazardRate4Y</f>
        <v>7.4999999999999997E-3</v>
      </c>
      <c r="AM8" s="18" cm="1">
        <f t="array" ref="AM8">flatInterpolation($AG8,$S$4:$S$9,AL$5:AL$10)</f>
        <v>7.4999999999999997E-3</v>
      </c>
      <c r="AN8" s="26">
        <f t="shared" ref="AN8" si="38">EXP(-AM8*YearFraction)*AN7</f>
        <v>0.99252805481913853</v>
      </c>
      <c r="AO8" s="122">
        <f t="shared" si="7"/>
        <v>1.8627358719424114E-3</v>
      </c>
      <c r="AP8" s="127">
        <f>HazardRate4Y</f>
        <v>7.4999999999999997E-3</v>
      </c>
      <c r="AQ8" s="18" cm="1">
        <f t="array" ref="AQ8">flatInterpolation($AG8,$S$4:$S$9,AP$5:AP$10)</f>
        <v>7.4999999999999997E-3</v>
      </c>
      <c r="AR8" s="26">
        <f t="shared" ref="AR8" si="39">EXP(-AQ8*YearFraction)*AR7</f>
        <v>0.99252805481913853</v>
      </c>
      <c r="AS8" s="122">
        <f t="shared" si="9"/>
        <v>1.8627358719424114E-3</v>
      </c>
      <c r="AT8" s="128">
        <f>HazardRate4Y+ShiftSize</f>
        <v>7.5001E-3</v>
      </c>
      <c r="AU8" s="18" cm="1">
        <f t="array" ref="AU8">flatInterpolation($AG8,$S$4:$S$9,AT$5:AT$10)</f>
        <v>7.4999999999999997E-3</v>
      </c>
      <c r="AV8" s="26">
        <f t="shared" ref="AV8" si="40">EXP(-AU8*YearFraction)*AV7</f>
        <v>0.99252805481913853</v>
      </c>
      <c r="AW8" s="122">
        <f t="shared" si="11"/>
        <v>1.8627358719424114E-3</v>
      </c>
      <c r="AX8" s="127">
        <f>HazardRate4Y</f>
        <v>7.4999999999999997E-3</v>
      </c>
      <c r="AY8" s="18" cm="1">
        <f t="array" ref="AY8">flatInterpolation($AG8,$S$4:$S$9,AX$5:AX$10)</f>
        <v>7.4999999999999997E-3</v>
      </c>
      <c r="AZ8" s="26">
        <f t="shared" ref="AZ8" si="41">EXP(-AY8*YearFraction)*AZ7</f>
        <v>0.99252805481913853</v>
      </c>
      <c r="BA8" s="122">
        <f t="shared" si="13"/>
        <v>1.8627358719424114E-3</v>
      </c>
      <c r="BB8" s="127">
        <f>HazardRate4Y</f>
        <v>7.4999999999999997E-3</v>
      </c>
      <c r="BC8" s="18" cm="1">
        <f t="array" ref="BC8">flatInterpolation($AG8,$S$4:$S$9,BB$5:BB$10)</f>
        <v>7.4999999999999997E-3</v>
      </c>
      <c r="BD8" s="26">
        <f t="shared" ref="BD8" si="42">EXP(-BC8*YearFraction)*BD7</f>
        <v>0.99252805481913853</v>
      </c>
      <c r="BE8" s="122">
        <f t="shared" si="15"/>
        <v>1.8627358719424114E-3</v>
      </c>
    </row>
    <row r="9" spans="3:58" x14ac:dyDescent="0.3">
      <c r="C9" s="1" t="s">
        <v>136</v>
      </c>
      <c r="K9" s="392" t="s">
        <v>9</v>
      </c>
      <c r="L9" s="393"/>
      <c r="M9" s="53">
        <f>Notional*(1-RecoveryRate)</f>
        <v>600000</v>
      </c>
      <c r="O9" s="77" t="s">
        <v>16</v>
      </c>
      <c r="P9" s="78">
        <v>45</v>
      </c>
      <c r="Q9" s="18">
        <f t="shared" si="0"/>
        <v>4.4999999999999997E-3</v>
      </c>
      <c r="S9" s="13">
        <v>10</v>
      </c>
      <c r="T9" s="88">
        <f t="shared" si="1"/>
        <v>7.4999999999999997E-3</v>
      </c>
      <c r="W9" s="18"/>
      <c r="X9" s="24">
        <f t="shared" ref="X9" si="43">X8+YearFraction</f>
        <v>1.25</v>
      </c>
      <c r="Y9" s="25" cm="1">
        <f t="array" ref="Y9">flatInterpolation(X9,$S$4:$S$9,$T$4:$T$9)</f>
        <v>7.4999999999999997E-3</v>
      </c>
      <c r="Z9" s="26">
        <f t="shared" ref="Z9" si="44">EXP(-Y9*YearFraction)*Z8</f>
        <v>0.99066880830466109</v>
      </c>
      <c r="AA9" s="26">
        <f t="shared" si="3"/>
        <v>1.8592465144774417E-3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7.4999999999999997E-3</v>
      </c>
      <c r="AI9" s="18" cm="1">
        <f t="array" ref="AI9">flatInterpolation($AG9,$S$4:$S$9,AH$5:AH$10)</f>
        <v>7.4999999999999997E-3</v>
      </c>
      <c r="AJ9" s="26">
        <f t="shared" ref="AJ9" si="46">EXP(-AI9*YearFraction)*AJ8</f>
        <v>0.99066870923778505</v>
      </c>
      <c r="AK9" s="122">
        <f t="shared" si="5"/>
        <v>1.8592463285528327E-3</v>
      </c>
      <c r="AL9" s="127">
        <f>HazardRate5Y</f>
        <v>7.4999999999999997E-3</v>
      </c>
      <c r="AM9" s="18" cm="1">
        <f t="array" ref="AM9">flatInterpolation($AG9,$S$4:$S$9,AL$5:AL$10)</f>
        <v>7.5001E-3</v>
      </c>
      <c r="AN9" s="26">
        <f t="shared" ref="AN9" si="47">EXP(-AM9*YearFraction)*AN8</f>
        <v>0.99066878353794119</v>
      </c>
      <c r="AO9" s="122">
        <f t="shared" si="7"/>
        <v>1.8592712811973389E-3</v>
      </c>
      <c r="AP9" s="127">
        <f>HazardRate5Y</f>
        <v>7.4999999999999997E-3</v>
      </c>
      <c r="AQ9" s="18" cm="1">
        <f t="array" ref="AQ9">flatInterpolation($AG9,$S$4:$S$9,AP$5:AP$10)</f>
        <v>7.4999999999999997E-3</v>
      </c>
      <c r="AR9" s="26">
        <f t="shared" ref="AR9" si="48">EXP(-AQ9*YearFraction)*AR8</f>
        <v>0.99066880830466109</v>
      </c>
      <c r="AS9" s="122">
        <f t="shared" si="9"/>
        <v>1.8592465144774417E-3</v>
      </c>
      <c r="AT9" s="127">
        <f>HazardRate5Y</f>
        <v>7.4999999999999997E-3</v>
      </c>
      <c r="AU9" s="18" cm="1">
        <f t="array" ref="AU9">flatInterpolation($AG9,$S$4:$S$9,AT$5:AT$10)</f>
        <v>7.4999999999999997E-3</v>
      </c>
      <c r="AV9" s="26">
        <f t="shared" ref="AV9" si="49">EXP(-AU9*YearFraction)*AV8</f>
        <v>0.99066880830466109</v>
      </c>
      <c r="AW9" s="122">
        <f t="shared" si="11"/>
        <v>1.8592465144774417E-3</v>
      </c>
      <c r="AX9" s="128">
        <f>HazardRate5Y+ShiftSize</f>
        <v>7.5001E-3</v>
      </c>
      <c r="AY9" s="18" cm="1">
        <f t="array" ref="AY9">flatInterpolation($AG9,$S$4:$S$9,AX$5:AX$10)</f>
        <v>7.4999999999999997E-3</v>
      </c>
      <c r="AZ9" s="26">
        <f t="shared" ref="AZ9" si="50">EXP(-AY9*YearFraction)*AZ8</f>
        <v>0.99066880830466109</v>
      </c>
      <c r="BA9" s="122">
        <f t="shared" si="13"/>
        <v>1.8592465144774417E-3</v>
      </c>
      <c r="BB9" s="127">
        <f>HazardRate5Y</f>
        <v>7.4999999999999997E-3</v>
      </c>
      <c r="BC9" s="18" cm="1">
        <f t="array" ref="BC9">flatInterpolation($AG9,$S$4:$S$9,BB$5:BB$10)</f>
        <v>7.4999999999999997E-3</v>
      </c>
      <c r="BD9" s="26">
        <f t="shared" ref="BD9" si="51">EXP(-BC9*YearFraction)*BD8</f>
        <v>0.99066880830466109</v>
      </c>
      <c r="BE9" s="122">
        <f t="shared" si="15"/>
        <v>1.8592465144774417E-3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7.4999999999999997E-3</v>
      </c>
      <c r="Z10" s="26">
        <f t="shared" ref="Z10" si="53">EXP(-Y10*YearFraction)*Z9</f>
        <v>0.98881304461123321</v>
      </c>
      <c r="AA10" s="26">
        <f t="shared" si="3"/>
        <v>1.8557636934278809E-3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7.4999999999999997E-3</v>
      </c>
      <c r="AI10" s="18" cm="1">
        <f t="array" ref="AI10">flatInterpolation($AG10,$S$4:$S$9,AH$5:AH$10)</f>
        <v>7.4999999999999997E-3</v>
      </c>
      <c r="AJ10" s="26">
        <f t="shared" ref="AJ10" si="55">EXP(-AI10*YearFraction)*AJ9</f>
        <v>0.9888129457299335</v>
      </c>
      <c r="AK10" s="122">
        <f t="shared" si="5"/>
        <v>1.8557635078515489E-3</v>
      </c>
      <c r="AL10" s="127">
        <f>HazardRate10Y</f>
        <v>7.4999999999999997E-3</v>
      </c>
      <c r="AM10" s="18" cm="1">
        <f t="array" ref="AM10">flatInterpolation($AG10,$S$4:$S$9,AL$5:AL$10)</f>
        <v>7.5001E-3</v>
      </c>
      <c r="AN10" s="26">
        <f t="shared" ref="AN10" si="56">EXP(-AM10*YearFraction)*AN9</f>
        <v>0.98881299517058219</v>
      </c>
      <c r="AO10" s="122">
        <f t="shared" si="7"/>
        <v>1.8557883673590014E-3</v>
      </c>
      <c r="AP10" s="127">
        <f>HazardRate10Y</f>
        <v>7.4999999999999997E-3</v>
      </c>
      <c r="AQ10" s="18" cm="1">
        <f t="array" ref="AQ10">flatInterpolation($AG10,$S$4:$S$9,AP$5:AP$10)</f>
        <v>7.4999999999999997E-3</v>
      </c>
      <c r="AR10" s="26">
        <f t="shared" ref="AR10" si="57">EXP(-AQ10*YearFraction)*AR9</f>
        <v>0.98881304461123321</v>
      </c>
      <c r="AS10" s="122">
        <f t="shared" si="9"/>
        <v>1.8557636934278809E-3</v>
      </c>
      <c r="AT10" s="127">
        <f>HazardRate10Y</f>
        <v>7.4999999999999997E-3</v>
      </c>
      <c r="AU10" s="18" cm="1">
        <f t="array" ref="AU10">flatInterpolation($AG10,$S$4:$S$9,AT$5:AT$10)</f>
        <v>7.4999999999999997E-3</v>
      </c>
      <c r="AV10" s="26">
        <f t="shared" ref="AV10" si="58">EXP(-AU10*YearFraction)*AV9</f>
        <v>0.98881304461123321</v>
      </c>
      <c r="AW10" s="122">
        <f t="shared" si="11"/>
        <v>1.8557636934278809E-3</v>
      </c>
      <c r="AX10" s="127">
        <f>HazardRate10Y</f>
        <v>7.4999999999999997E-3</v>
      </c>
      <c r="AY10" s="18" cm="1">
        <f t="array" ref="AY10">flatInterpolation($AG10,$S$4:$S$9,AX$5:AX$10)</f>
        <v>7.4999999999999997E-3</v>
      </c>
      <c r="AZ10" s="26">
        <f t="shared" ref="AZ10" si="59">EXP(-AY10*YearFraction)*AZ9</f>
        <v>0.98881304461123321</v>
      </c>
      <c r="BA10" s="122">
        <f t="shared" si="13"/>
        <v>1.8557636934278809E-3</v>
      </c>
      <c r="BB10" s="128">
        <f>HazardRate10Y+ShiftSize</f>
        <v>7.5001E-3</v>
      </c>
      <c r="BC10" s="18" cm="1">
        <f t="array" ref="BC10">flatInterpolation($AG10,$S$4:$S$9,BB$5:BB$10)</f>
        <v>7.4999999999999997E-3</v>
      </c>
      <c r="BD10" s="26">
        <f t="shared" ref="BD10" si="60">EXP(-BC10*YearFraction)*BD9</f>
        <v>0.98881304461123321</v>
      </c>
      <c r="BE10" s="122">
        <f t="shared" si="15"/>
        <v>1.8557636934278809E-3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7.4999999999999997E-3</v>
      </c>
      <c r="Z11" s="26">
        <f t="shared" ref="Z11" si="62">EXP(-Y11*YearFraction)*Z10</f>
        <v>0.98696075721468368</v>
      </c>
      <c r="AA11" s="26">
        <f t="shared" si="3"/>
        <v>1.8522873965495235E-3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7.4999999999999997E-3</v>
      </c>
      <c r="AJ11" s="26">
        <f t="shared" ref="AJ11" si="64">EXP(-AI11*YearFraction)*AJ10</f>
        <v>0.9869606585186127</v>
      </c>
      <c r="AK11" s="122">
        <f t="shared" si="5"/>
        <v>1.8522872113208022E-3</v>
      </c>
      <c r="AL11" s="116"/>
      <c r="AM11" s="18" cm="1">
        <f t="array" ref="AM11">flatInterpolation($AG11,$S$4:$S$9,AL$5:AL$10)</f>
        <v>7.5001E-3</v>
      </c>
      <c r="AN11" s="26">
        <f t="shared" ref="AN11" si="65">EXP(-AM11*YearFraction)*AN10</f>
        <v>0.98696068319262964</v>
      </c>
      <c r="AO11" s="122">
        <f t="shared" si="7"/>
        <v>1.8523119779525477E-3</v>
      </c>
      <c r="AP11" s="116"/>
      <c r="AQ11" s="18" cm="1">
        <f t="array" ref="AQ11">flatInterpolation($AG11,$S$4:$S$9,AP$5:AP$10)</f>
        <v>7.4999999999999997E-3</v>
      </c>
      <c r="AR11" s="26">
        <f t="shared" ref="AR11" si="66">EXP(-AQ11*YearFraction)*AR10</f>
        <v>0.98696075721468368</v>
      </c>
      <c r="AS11" s="122">
        <f t="shared" si="9"/>
        <v>1.8522873965495235E-3</v>
      </c>
      <c r="AT11" s="116"/>
      <c r="AU11" s="18" cm="1">
        <f t="array" ref="AU11">flatInterpolation($AG11,$S$4:$S$9,AT$5:AT$10)</f>
        <v>7.4999999999999997E-3</v>
      </c>
      <c r="AV11" s="26">
        <f t="shared" ref="AV11" si="67">EXP(-AU11*YearFraction)*AV10</f>
        <v>0.98696075721468368</v>
      </c>
      <c r="AW11" s="122">
        <f t="shared" si="11"/>
        <v>1.8522873965495235E-3</v>
      </c>
      <c r="AX11" s="116"/>
      <c r="AY11" s="18" cm="1">
        <f t="array" ref="AY11">flatInterpolation($AG11,$S$4:$S$9,AX$5:AX$10)</f>
        <v>7.4999999999999997E-3</v>
      </c>
      <c r="AZ11" s="26">
        <f t="shared" ref="AZ11" si="68">EXP(-AY11*YearFraction)*AZ10</f>
        <v>0.98696075721468368</v>
      </c>
      <c r="BA11" s="122">
        <f t="shared" si="13"/>
        <v>1.8522873965495235E-3</v>
      </c>
      <c r="BB11" s="116"/>
      <c r="BC11" s="18" cm="1">
        <f t="array" ref="BC11">flatInterpolation($AG11,$S$4:$S$9,BB$5:BB$10)</f>
        <v>7.4999999999999997E-3</v>
      </c>
      <c r="BD11" s="26">
        <f t="shared" ref="BD11" si="69">EXP(-BC11*YearFraction)*BD10</f>
        <v>0.98696075721468368</v>
      </c>
      <c r="BE11" s="122">
        <f t="shared" si="15"/>
        <v>1.8522873965495235E-3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7.4999999999999997E-3</v>
      </c>
      <c r="Z12" s="26">
        <f t="shared" ref="Z12" si="71">EXP(-Y12*YearFraction)*Z11</f>
        <v>0.98511193960306287</v>
      </c>
      <c r="AA12" s="26">
        <f t="shared" si="3"/>
        <v>1.8488176116208122E-3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7.4999999999999997E-3</v>
      </c>
      <c r="AJ12" s="26">
        <f t="shared" ref="AJ12" si="73">EXP(-AI12*YearFraction)*AJ11</f>
        <v>0.98511184109187355</v>
      </c>
      <c r="AK12" s="122">
        <f t="shared" si="5"/>
        <v>1.8488174267391466E-3</v>
      </c>
      <c r="AL12" s="116"/>
      <c r="AM12" s="18" cm="1">
        <f t="array" ref="AM12">flatInterpolation($AG12,$S$4:$S$9,AL$5:AL$10)</f>
        <v>7.5001E-3</v>
      </c>
      <c r="AN12" s="26">
        <f t="shared" ref="AN12" si="74">EXP(-AM12*YearFraction)*AN11</f>
        <v>0.98511184109187377</v>
      </c>
      <c r="AO12" s="122">
        <f t="shared" si="7"/>
        <v>1.8488421007558653E-3</v>
      </c>
      <c r="AP12" s="116"/>
      <c r="AQ12" s="18" cm="1">
        <f t="array" ref="AQ12">flatInterpolation($AG12,$S$4:$S$9,AP$5:AP$10)</f>
        <v>7.4999999999999997E-3</v>
      </c>
      <c r="AR12" s="26">
        <f t="shared" ref="AR12" si="75">EXP(-AQ12*YearFraction)*AR11</f>
        <v>0.98511193960306287</v>
      </c>
      <c r="AS12" s="122">
        <f t="shared" si="9"/>
        <v>1.8488176116208122E-3</v>
      </c>
      <c r="AT12" s="116"/>
      <c r="AU12" s="18" cm="1">
        <f t="array" ref="AU12">flatInterpolation($AG12,$S$4:$S$9,AT$5:AT$10)</f>
        <v>7.4999999999999997E-3</v>
      </c>
      <c r="AV12" s="26">
        <f t="shared" ref="AV12" si="76">EXP(-AU12*YearFraction)*AV11</f>
        <v>0.98511193960306287</v>
      </c>
      <c r="AW12" s="122">
        <f t="shared" si="11"/>
        <v>1.8488176116208122E-3</v>
      </c>
      <c r="AX12" s="116"/>
      <c r="AY12" s="18" cm="1">
        <f t="array" ref="AY12">flatInterpolation($AG12,$S$4:$S$9,AX$5:AX$10)</f>
        <v>7.4999999999999997E-3</v>
      </c>
      <c r="AZ12" s="26">
        <f t="shared" ref="AZ12" si="77">EXP(-AY12*YearFraction)*AZ11</f>
        <v>0.98511193960306287</v>
      </c>
      <c r="BA12" s="122">
        <f t="shared" si="13"/>
        <v>1.8488176116208122E-3</v>
      </c>
      <c r="BB12" s="116"/>
      <c r="BC12" s="18" cm="1">
        <f t="array" ref="BC12">flatInterpolation($AG12,$S$4:$S$9,BB$5:BB$10)</f>
        <v>7.4999999999999997E-3</v>
      </c>
      <c r="BD12" s="26">
        <f t="shared" ref="BD12" si="78">EXP(-BC12*YearFraction)*BD11</f>
        <v>0.98511193960306287</v>
      </c>
      <c r="BE12" s="122">
        <f t="shared" si="15"/>
        <v>1.8488176116208122E-3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7.4999999999999997E-3</v>
      </c>
      <c r="Z13" s="26">
        <f t="shared" ref="Z13" si="80">EXP(-Y13*YearFraction)*Z12</f>
        <v>0.98326658527661925</v>
      </c>
      <c r="AA13" s="26">
        <f t="shared" si="3"/>
        <v>1.8453543264436156E-3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7.4999999999999997E-3</v>
      </c>
      <c r="AJ13" s="26">
        <f t="shared" ref="AJ13" si="82">EXP(-AI13*YearFraction)*AJ12</f>
        <v>0.98326648694996543</v>
      </c>
      <c r="AK13" s="122">
        <f t="shared" si="5"/>
        <v>1.8453541419081176E-3</v>
      </c>
      <c r="AL13" s="116"/>
      <c r="AM13" s="18" cm="1">
        <f t="array" ref="AM13">flatInterpolation($AG13,$S$4:$S$9,AL$5:AL$10)</f>
        <v>7.4999999999999997E-3</v>
      </c>
      <c r="AN13" s="26">
        <f t="shared" ref="AN13" si="83">EXP(-AM13*YearFraction)*AN12</f>
        <v>0.98326648694996566</v>
      </c>
      <c r="AO13" s="122">
        <f t="shared" si="7"/>
        <v>1.8453541419081176E-3</v>
      </c>
      <c r="AP13" s="116"/>
      <c r="AQ13" s="18" cm="1">
        <f t="array" ref="AQ13">flatInterpolation($AG13,$S$4:$S$9,AP$5:AP$10)</f>
        <v>7.5001E-3</v>
      </c>
      <c r="AR13" s="26">
        <f t="shared" ref="AR13" si="84">EXP(-AQ13*YearFraction)*AR12</f>
        <v>0.98326656069495499</v>
      </c>
      <c r="AS13" s="122">
        <f t="shared" si="9"/>
        <v>1.8453789081078753E-3</v>
      </c>
      <c r="AT13" s="116"/>
      <c r="AU13" s="18" cm="1">
        <f t="array" ref="AU13">flatInterpolation($AG13,$S$4:$S$9,AT$5:AT$10)</f>
        <v>7.4999999999999997E-3</v>
      </c>
      <c r="AV13" s="26">
        <f t="shared" ref="AV13" si="85">EXP(-AU13*YearFraction)*AV12</f>
        <v>0.98326658527661925</v>
      </c>
      <c r="AW13" s="122">
        <f t="shared" si="11"/>
        <v>1.8453543264436156E-3</v>
      </c>
      <c r="AX13" s="116"/>
      <c r="AY13" s="18" cm="1">
        <f t="array" ref="AY13">flatInterpolation($AG13,$S$4:$S$9,AX$5:AX$10)</f>
        <v>7.4999999999999997E-3</v>
      </c>
      <c r="AZ13" s="26">
        <f t="shared" ref="AZ13" si="86">EXP(-AY13*YearFraction)*AZ12</f>
        <v>0.98326658527661925</v>
      </c>
      <c r="BA13" s="122">
        <f t="shared" si="13"/>
        <v>1.8453543264436156E-3</v>
      </c>
      <c r="BB13" s="116"/>
      <c r="BC13" s="18" cm="1">
        <f t="array" ref="BC13">flatInterpolation($AG13,$S$4:$S$9,BB$5:BB$10)</f>
        <v>7.4999999999999997E-3</v>
      </c>
      <c r="BD13" s="26">
        <f t="shared" ref="BD13" si="87">EXP(-BC13*YearFraction)*BD12</f>
        <v>0.98326658527661925</v>
      </c>
      <c r="BE13" s="122">
        <f t="shared" si="15"/>
        <v>1.8453543264436156E-3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4.4999999999999997E-3</v>
      </c>
      <c r="M14" s="31">
        <f t="shared" ref="M14" si="89">-Notional*L14*YearFraction</f>
        <v>-1125</v>
      </c>
      <c r="N14" s="32">
        <f>M14*SUMPRODUCT(PSurvival1Y,DiscFactors1Y)</f>
        <v>-4352.7608803633902</v>
      </c>
      <c r="O14" s="32">
        <f>M14*0.5*SUMPRODUCT(PDefault1Y,DiscFactors1Y)</f>
        <v>-4.0845413862473183</v>
      </c>
      <c r="P14" s="32">
        <f>LGD*SUMPRODUCT(PDefault1Y,DiscFactors1Y)</f>
        <v>4356.8441453304731</v>
      </c>
      <c r="Q14" s="33">
        <f t="shared" ref="Q14:Q19" si="90">SUM(N14:P14)</f>
        <v>-1.2764191642418155E-3</v>
      </c>
      <c r="S14" s="79">
        <f>Notional*YearFraction*(SUMPRODUCT(PSurvival1Y,DiscFactors1Y)+0.5*SUMPRODUCT(PDefault1Y,DiscFactors1Y))</f>
        <v>968187.87149991945</v>
      </c>
      <c r="T14" s="80">
        <f t="shared" ref="T14:T19" si="91">P14/S14*10000</f>
        <v>44.999986816410306</v>
      </c>
      <c r="U14" s="18">
        <f t="shared" ref="U14:U19" si="92">T14/10000</f>
        <v>4.4999986816410308E-3</v>
      </c>
      <c r="V14" s="18">
        <f t="shared" ref="V14:V19" si="93">U14-Q4</f>
        <v>-1.3183589688686714E-9</v>
      </c>
      <c r="W14" s="17"/>
      <c r="X14" s="24">
        <f t="shared" ref="X14" si="94">X13+YearFraction</f>
        <v>2.5</v>
      </c>
      <c r="Y14" s="25" cm="1">
        <f t="array" ref="Y14">flatInterpolation(X14,$S$4:$S$9,$T$4:$T$9)</f>
        <v>7.4999999999999997E-3</v>
      </c>
      <c r="Z14" s="26">
        <f t="shared" ref="Z14" si="95">EXP(-Y14*YearFraction)*Z13</f>
        <v>0.98142468774777725</v>
      </c>
      <c r="AA14" s="26">
        <f t="shared" si="3"/>
        <v>1.841897528842007E-3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7.4999999999999997E-3</v>
      </c>
      <c r="AJ14" s="26">
        <f t="shared" ref="AJ14" si="97">EXP(-AI14*YearFraction)*AJ13</f>
        <v>0.9814245896053132</v>
      </c>
      <c r="AK14" s="122">
        <f t="shared" si="5"/>
        <v>1.8418973446522324E-3</v>
      </c>
      <c r="AL14" s="116"/>
      <c r="AM14" s="18" cm="1">
        <f t="array" ref="AM14">flatInterpolation($AG14,$S$4:$S$9,AL$5:AL$10)</f>
        <v>7.4999999999999997E-3</v>
      </c>
      <c r="AN14" s="26">
        <f t="shared" ref="AN14" si="98">EXP(-AM14*YearFraction)*AN13</f>
        <v>0.98142458960531342</v>
      </c>
      <c r="AO14" s="122">
        <f t="shared" si="7"/>
        <v>1.8418973446522324E-3</v>
      </c>
      <c r="AP14" s="116"/>
      <c r="AQ14" s="18" cm="1">
        <f t="array" ref="AQ14">flatInterpolation($AG14,$S$4:$S$9,AP$5:AP$10)</f>
        <v>7.5001E-3</v>
      </c>
      <c r="AR14" s="26">
        <f t="shared" ref="AR14" si="99">EXP(-AQ14*YearFraction)*AR13</f>
        <v>0.98142463867654417</v>
      </c>
      <c r="AS14" s="122">
        <f t="shared" si="9"/>
        <v>1.8419220184108243E-3</v>
      </c>
      <c r="AT14" s="116"/>
      <c r="AU14" s="18" cm="1">
        <f t="array" ref="AU14">flatInterpolation($AG14,$S$4:$S$9,AT$5:AT$10)</f>
        <v>7.4999999999999997E-3</v>
      </c>
      <c r="AV14" s="26">
        <f t="shared" ref="AV14" si="100">EXP(-AU14*YearFraction)*AV13</f>
        <v>0.98142468774777725</v>
      </c>
      <c r="AW14" s="122">
        <f t="shared" si="11"/>
        <v>1.841897528842007E-3</v>
      </c>
      <c r="AX14" s="116"/>
      <c r="AY14" s="18" cm="1">
        <f t="array" ref="AY14">flatInterpolation($AG14,$S$4:$S$9,AX$5:AX$10)</f>
        <v>7.4999999999999997E-3</v>
      </c>
      <c r="AZ14" s="26">
        <f t="shared" ref="AZ14" si="101">EXP(-AY14*YearFraction)*AZ13</f>
        <v>0.98142468774777725</v>
      </c>
      <c r="BA14" s="122">
        <f t="shared" si="13"/>
        <v>1.841897528842007E-3</v>
      </c>
      <c r="BB14" s="116"/>
      <c r="BC14" s="18" cm="1">
        <f t="array" ref="BC14">flatInterpolation($AG14,$S$4:$S$9,BB$5:BB$10)</f>
        <v>7.4999999999999997E-3</v>
      </c>
      <c r="BD14" s="26">
        <f t="shared" ref="BD14" si="102">EXP(-BC14*YearFraction)*BD13</f>
        <v>0.98142468774777725</v>
      </c>
      <c r="BE14" s="122">
        <f t="shared" si="15"/>
        <v>1.841897528842007E-3</v>
      </c>
    </row>
    <row r="15" spans="3:58" x14ac:dyDescent="0.3">
      <c r="C15" t="s">
        <v>149</v>
      </c>
      <c r="K15" s="34" t="s">
        <v>12</v>
      </c>
      <c r="L15" s="18">
        <f t="shared" si="88"/>
        <v>4.4999999999999997E-3</v>
      </c>
      <c r="M15" s="2">
        <f t="shared" ref="M15" si="103">-Notional*L15*YearFraction</f>
        <v>-1125</v>
      </c>
      <c r="N15" s="28">
        <f>M15*SUMPRODUCT(PSurvival2Y,DiscFactors2Y)</f>
        <v>-8486.6460140374475</v>
      </c>
      <c r="O15" s="4">
        <f>M15*0.5*SUMPRODUCT(PDefault2Y,DiscFactors2Y)</f>
        <v>-7.9636942684232253</v>
      </c>
      <c r="P15" s="4">
        <f>LGD*SUMPRODUCT(PDefault2Y,DiscFactors2Y)</f>
        <v>8494.6072196514415</v>
      </c>
      <c r="Q15" s="5">
        <f t="shared" si="90"/>
        <v>-2.4886544288165169E-3</v>
      </c>
      <c r="S15" s="3">
        <f>Notional*YearFraction*(SUMPRODUCT(PSurvival2Y,DiscFactors2Y)+0.5*SUMPRODUCT(PDefault2Y,DiscFactors2Y))</f>
        <v>1887691.0462901935</v>
      </c>
      <c r="T15" s="81">
        <f t="shared" si="91"/>
        <v>44.999986816410271</v>
      </c>
      <c r="U15" s="18">
        <f t="shared" si="92"/>
        <v>4.4999986816410273E-3</v>
      </c>
      <c r="V15" s="18">
        <f t="shared" si="93"/>
        <v>-1.3183589723381184E-9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7.4999999999999997E-3</v>
      </c>
      <c r="Z15" s="26">
        <f t="shared" ref="Z15" si="105">EXP(-Y15*YearFraction)*Z14</f>
        <v>0.97958624054111398</v>
      </c>
      <c r="AA15" s="26">
        <f t="shared" si="3"/>
        <v>1.8384472066632629E-3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7.4999999999999997E-3</v>
      </c>
      <c r="AJ15" s="26">
        <f t="shared" ref="AJ15" si="107">EXP(-AI15*YearFraction)*AJ14</f>
        <v>0.97958614258249466</v>
      </c>
      <c r="AK15" s="122">
        <f t="shared" si="5"/>
        <v>1.8384470228185457E-3</v>
      </c>
      <c r="AL15" s="116"/>
      <c r="AM15" s="18" cm="1">
        <f t="array" ref="AM15">flatInterpolation($AG15,$S$4:$S$9,AL$5:AL$10)</f>
        <v>7.4999999999999997E-3</v>
      </c>
      <c r="AN15" s="26">
        <f t="shared" ref="AN15" si="108">EXP(-AM15*YearFraction)*AN14</f>
        <v>0.97958614258249488</v>
      </c>
      <c r="AO15" s="122">
        <f t="shared" si="7"/>
        <v>1.8384470228185457E-3</v>
      </c>
      <c r="AP15" s="116"/>
      <c r="AQ15" s="18" cm="1">
        <f t="array" ref="AQ15">flatInterpolation($AG15,$S$4:$S$9,AP$5:AP$10)</f>
        <v>7.5001E-3</v>
      </c>
      <c r="AR15" s="26">
        <f t="shared" ref="AR15" si="109">EXP(-AQ15*YearFraction)*AR14</f>
        <v>0.97958616707214874</v>
      </c>
      <c r="AS15" s="122">
        <f t="shared" si="9"/>
        <v>1.8384716043954308E-3</v>
      </c>
      <c r="AT15" s="116"/>
      <c r="AU15" s="18" cm="1">
        <f t="array" ref="AU15">flatInterpolation($AG15,$S$4:$S$9,AT$5:AT$10)</f>
        <v>7.4999999999999997E-3</v>
      </c>
      <c r="AV15" s="26">
        <f t="shared" ref="AV15" si="110">EXP(-AU15*YearFraction)*AV14</f>
        <v>0.97958624054111398</v>
      </c>
      <c r="AW15" s="122">
        <f t="shared" si="11"/>
        <v>1.8384472066632629E-3</v>
      </c>
      <c r="AX15" s="116"/>
      <c r="AY15" s="18" cm="1">
        <f t="array" ref="AY15">flatInterpolation($AG15,$S$4:$S$9,AX$5:AX$10)</f>
        <v>7.4999999999999997E-3</v>
      </c>
      <c r="AZ15" s="26">
        <f t="shared" ref="AZ15" si="111">EXP(-AY15*YearFraction)*AZ14</f>
        <v>0.97958624054111398</v>
      </c>
      <c r="BA15" s="122">
        <f t="shared" si="13"/>
        <v>1.8384472066632629E-3</v>
      </c>
      <c r="BB15" s="116"/>
      <c r="BC15" s="18" cm="1">
        <f t="array" ref="BC15">flatInterpolation($AG15,$S$4:$S$9,BB$5:BB$10)</f>
        <v>7.4999999999999997E-3</v>
      </c>
      <c r="BD15" s="26">
        <f t="shared" ref="BD15" si="112">EXP(-BC15*YearFraction)*BD14</f>
        <v>0.97958624054111398</v>
      </c>
      <c r="BE15" s="122">
        <f t="shared" si="15"/>
        <v>1.8384472066632629E-3</v>
      </c>
    </row>
    <row r="16" spans="3:58" x14ac:dyDescent="0.3">
      <c r="C16" t="s">
        <v>152</v>
      </c>
      <c r="K16" s="34" t="s">
        <v>13</v>
      </c>
      <c r="L16" s="18">
        <f t="shared" si="88"/>
        <v>4.4999999999999997E-3</v>
      </c>
      <c r="M16" s="2">
        <f t="shared" ref="M16" si="113">-Notional*L16*YearFraction</f>
        <v>-1125</v>
      </c>
      <c r="N16" s="28">
        <f>M16*SUMPRODUCT(PSurvival3Y,DiscFactors3Y)</f>
        <v>-12424.813312692928</v>
      </c>
      <c r="O16" s="4">
        <f>M16*0.5*SUMPRODUCT(PDefault3Y,DiscFactors3Y)</f>
        <v>-11.659189555079411</v>
      </c>
      <c r="P16" s="4">
        <f>LGD*SUMPRODUCT(PDefault3Y,DiscFactors3Y)</f>
        <v>12436.468858751372</v>
      </c>
      <c r="Q16" s="5">
        <f t="shared" si="90"/>
        <v>-3.6434966350498144E-3</v>
      </c>
      <c r="S16" s="3">
        <f>Notional*YearFraction*(SUMPRODUCT(PSurvival3Y,DiscFactors3Y)+0.5*SUMPRODUCT(PDefault3Y,DiscFactors3Y))</f>
        <v>2763660.5560551127</v>
      </c>
      <c r="T16" s="81">
        <f t="shared" si="91"/>
        <v>44.99998681641047</v>
      </c>
      <c r="U16" s="18">
        <f t="shared" si="92"/>
        <v>4.4999986816410473E-3</v>
      </c>
      <c r="V16" s="18">
        <f t="shared" si="93"/>
        <v>-1.3183589523887984E-9</v>
      </c>
      <c r="W16" s="17"/>
      <c r="X16" s="24">
        <f t="shared" ref="X16" si="114">X15+YearFraction</f>
        <v>3</v>
      </c>
      <c r="Y16" s="25" cm="1">
        <f t="array" ref="Y16">flatInterpolation(X16,$S$4:$S$9,$T$4:$T$9)</f>
        <v>7.4999999999999997E-3</v>
      </c>
      <c r="Z16" s="26">
        <f t="shared" ref="Z16" si="115">EXP(-Y16*YearFraction)*Z15</f>
        <v>0.97775123719333656</v>
      </c>
      <c r="AA16" s="26">
        <f t="shared" si="3"/>
        <v>1.8350033477774197E-3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7.4999999999999997E-3</v>
      </c>
      <c r="AJ16" s="26">
        <f t="shared" ref="AJ16" si="117">EXP(-AI16*YearFraction)*AJ15</f>
        <v>0.97775113941821756</v>
      </c>
      <c r="AK16" s="122">
        <f t="shared" si="5"/>
        <v>1.8350031642770936E-3</v>
      </c>
      <c r="AL16" s="116"/>
      <c r="AM16" s="18" cm="1">
        <f t="array" ref="AM16">flatInterpolation($AG16,$S$4:$S$9,AL$5:AL$10)</f>
        <v>7.4999999999999997E-3</v>
      </c>
      <c r="AN16" s="26">
        <f t="shared" ref="AN16" si="118">EXP(-AM16*YearFraction)*AN15</f>
        <v>0.97775113941821779</v>
      </c>
      <c r="AO16" s="122">
        <f t="shared" si="7"/>
        <v>1.8350031642770936E-3</v>
      </c>
      <c r="AP16" s="116"/>
      <c r="AQ16" s="18" cm="1">
        <f t="array" ref="AQ16">flatInterpolation($AG16,$S$4:$S$9,AP$5:AP$10)</f>
        <v>7.5001E-3</v>
      </c>
      <c r="AR16" s="26">
        <f t="shared" ref="AR16" si="119">EXP(-AQ16*YearFraction)*AR15</f>
        <v>0.97775113941821779</v>
      </c>
      <c r="AS16" s="122">
        <f t="shared" si="9"/>
        <v>1.835027653930954E-3</v>
      </c>
      <c r="AT16" s="116"/>
      <c r="AU16" s="18" cm="1">
        <f t="array" ref="AU16">flatInterpolation($AG16,$S$4:$S$9,AT$5:AT$10)</f>
        <v>7.4999999999999997E-3</v>
      </c>
      <c r="AV16" s="26">
        <f t="shared" ref="AV16" si="120">EXP(-AU16*YearFraction)*AV15</f>
        <v>0.97775123719333656</v>
      </c>
      <c r="AW16" s="122">
        <f t="shared" si="11"/>
        <v>1.8350033477774197E-3</v>
      </c>
      <c r="AX16" s="116"/>
      <c r="AY16" s="18" cm="1">
        <f t="array" ref="AY16">flatInterpolation($AG16,$S$4:$S$9,AX$5:AX$10)</f>
        <v>7.4999999999999997E-3</v>
      </c>
      <c r="AZ16" s="26">
        <f t="shared" ref="AZ16" si="121">EXP(-AY16*YearFraction)*AZ15</f>
        <v>0.97775123719333656</v>
      </c>
      <c r="BA16" s="122">
        <f t="shared" si="13"/>
        <v>1.8350033477774197E-3</v>
      </c>
      <c r="BB16" s="116"/>
      <c r="BC16" s="18" cm="1">
        <f t="array" ref="BC16">flatInterpolation($AG16,$S$4:$S$9,BB$5:BB$10)</f>
        <v>7.4999999999999997E-3</v>
      </c>
      <c r="BD16" s="26">
        <f t="shared" ref="BD16" si="122">EXP(-BC16*YearFraction)*BD15</f>
        <v>0.97775123719333656</v>
      </c>
      <c r="BE16" s="122">
        <f t="shared" si="15"/>
        <v>1.8350033477774197E-3</v>
      </c>
    </row>
    <row r="17" spans="3:57" x14ac:dyDescent="0.3">
      <c r="C17" t="s">
        <v>153</v>
      </c>
      <c r="K17" s="34" t="s">
        <v>14</v>
      </c>
      <c r="L17" s="18">
        <f t="shared" si="88"/>
        <v>4.4999999999999997E-3</v>
      </c>
      <c r="M17" s="2">
        <f t="shared" ref="M17" si="123">-Notional*L17*YearFraction</f>
        <v>-1125</v>
      </c>
      <c r="N17" s="28">
        <f>M17*SUMPRODUCT(PSurvival4Y,DiscFactors4Y)</f>
        <v>-16184.131581646025</v>
      </c>
      <c r="O17" s="4">
        <f>M17*0.5*SUMPRODUCT(PDefault4Y,DiscFactors4Y)</f>
        <v>-15.186856586568821</v>
      </c>
      <c r="P17" s="4">
        <f>LGD*SUMPRODUCT(PDefault4Y,DiscFactors4Y)</f>
        <v>16199.313692340076</v>
      </c>
      <c r="Q17" s="5">
        <f t="shared" si="90"/>
        <v>-4.7458925164391985E-3</v>
      </c>
      <c r="S17" s="3">
        <f>Notional*YearFraction*(SUMPRODUCT(PSurvival4Y,DiscFactors4Y)+0.5*SUMPRODUCT(PDefault4Y,DiscFactors4Y))</f>
        <v>3599848.541829465</v>
      </c>
      <c r="T17" s="81">
        <f t="shared" si="91"/>
        <v>44.999986816410576</v>
      </c>
      <c r="U17" s="18">
        <f t="shared" si="92"/>
        <v>4.4999986816410577E-3</v>
      </c>
      <c r="V17" s="18">
        <f t="shared" si="93"/>
        <v>-1.3183589419804576E-9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7.4999999999999997E-3</v>
      </c>
      <c r="Z17" s="26">
        <f t="shared" ref="Z17" si="125">EXP(-Y17*YearFraction)*Z16</f>
        <v>0.9759196712532594</v>
      </c>
      <c r="AA17" s="26">
        <f t="shared" si="3"/>
        <v>1.8315659400771622E-3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7.4999999999999997E-3</v>
      </c>
      <c r="AJ17" s="26">
        <f t="shared" ref="AJ17" si="127">EXP(-AI17*YearFraction)*AJ16</f>
        <v>0.975919573661297</v>
      </c>
      <c r="AK17" s="122">
        <f t="shared" si="5"/>
        <v>1.8315657569205612E-3</v>
      </c>
      <c r="AL17" s="116"/>
      <c r="AM17" s="18" cm="1">
        <f t="array" ref="AM17">flatInterpolation($AG17,$S$4:$S$9,AL$5:AL$10)</f>
        <v>7.4999999999999997E-3</v>
      </c>
      <c r="AN17" s="26">
        <f t="shared" ref="AN17" si="128">EXP(-AM17*YearFraction)*AN16</f>
        <v>0.97591957366129722</v>
      </c>
      <c r="AO17" s="122">
        <f t="shared" si="7"/>
        <v>1.8315657569205612E-3</v>
      </c>
      <c r="AP17" s="116"/>
      <c r="AQ17" s="18" cm="1">
        <f t="array" ref="AQ17">flatInterpolation($AG17,$S$4:$S$9,AP$5:AP$10)</f>
        <v>7.4999999999999997E-3</v>
      </c>
      <c r="AR17" s="26">
        <f t="shared" ref="AR17" si="129">EXP(-AQ17*YearFraction)*AR16</f>
        <v>0.97591957366129722</v>
      </c>
      <c r="AS17" s="122">
        <f t="shared" si="9"/>
        <v>1.8315657569205612E-3</v>
      </c>
      <c r="AT17" s="116"/>
      <c r="AU17" s="18" cm="1">
        <f t="array" ref="AU17">flatInterpolation($AG17,$S$4:$S$9,AT$5:AT$10)</f>
        <v>7.5001E-3</v>
      </c>
      <c r="AV17" s="26">
        <f t="shared" ref="AV17" si="130">EXP(-AU17*YearFraction)*AV16</f>
        <v>0.975919646855268</v>
      </c>
      <c r="AW17" s="122">
        <f t="shared" si="11"/>
        <v>1.8315903380685672E-3</v>
      </c>
      <c r="AX17" s="116"/>
      <c r="AY17" s="18" cm="1">
        <f t="array" ref="AY17">flatInterpolation($AG17,$S$4:$S$9,AX$5:AX$10)</f>
        <v>7.4999999999999997E-3</v>
      </c>
      <c r="AZ17" s="26">
        <f t="shared" ref="AZ17" si="131">EXP(-AY17*YearFraction)*AZ16</f>
        <v>0.9759196712532594</v>
      </c>
      <c r="BA17" s="122">
        <f t="shared" si="13"/>
        <v>1.8315659400771622E-3</v>
      </c>
      <c r="BB17" s="116"/>
      <c r="BC17" s="18" cm="1">
        <f t="array" ref="BC17">flatInterpolation($AG17,$S$4:$S$9,BB$5:BB$10)</f>
        <v>7.4999999999999997E-3</v>
      </c>
      <c r="BD17" s="26">
        <f t="shared" ref="BD17" si="132">EXP(-BC17*YearFraction)*BD16</f>
        <v>0.9759196712532594</v>
      </c>
      <c r="BE17" s="122">
        <f t="shared" si="15"/>
        <v>1.8315659400771622E-3</v>
      </c>
    </row>
    <row r="18" spans="3:57" x14ac:dyDescent="0.3">
      <c r="C18" t="s">
        <v>154</v>
      </c>
      <c r="K18" s="34" t="s">
        <v>15</v>
      </c>
      <c r="L18" s="18">
        <f t="shared" si="88"/>
        <v>4.4999999999999997E-3</v>
      </c>
      <c r="M18" s="2">
        <f t="shared" ref="M18" si="133">-Notional*L18*YearFraction</f>
        <v>-1125</v>
      </c>
      <c r="N18" s="28">
        <f>M18*SUMPRODUCT(PSurvival5Y,DiscFactors5Y)</f>
        <v>-19776.808866754083</v>
      </c>
      <c r="O18" s="4">
        <f>M18*0.5*SUMPRODUCT(PDefault5Y,DiscFactors5Y)</f>
        <v>-18.558151142319716</v>
      </c>
      <c r="P18" s="4">
        <f>LGD*SUMPRODUCT(PDefault5Y,DiscFactors5Y)</f>
        <v>19795.361218474362</v>
      </c>
      <c r="Q18" s="5">
        <f t="shared" si="90"/>
        <v>-5.7994220405817032E-3</v>
      </c>
      <c r="S18" s="3">
        <f>Notional*YearFraction*(SUMPRODUCT(PSurvival5Y,DiscFactors5Y)+0.5*SUMPRODUCT(PDefault5Y,DiscFactors5Y))</f>
        <v>4398970.4484214233</v>
      </c>
      <c r="T18" s="81">
        <f t="shared" si="91"/>
        <v>44.999986816410541</v>
      </c>
      <c r="U18" s="18">
        <f t="shared" si="92"/>
        <v>4.4999986816410542E-3</v>
      </c>
      <c r="V18" s="18">
        <f t="shared" si="93"/>
        <v>-1.3183589454499045E-9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7.4999999999999997E-3</v>
      </c>
      <c r="Z18" s="26">
        <f t="shared" ref="Z18" si="135">EXP(-Y18*YearFraction)*Z17</f>
        <v>0.97409153628178169</v>
      </c>
      <c r="AA18" s="26">
        <f t="shared" si="3"/>
        <v>1.8281349714777129E-3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7.4999999999999997E-3</v>
      </c>
      <c r="AJ18" s="26">
        <f t="shared" ref="AJ18" si="137">EXP(-AI18*YearFraction)*AJ17</f>
        <v>0.97409143887263283</v>
      </c>
      <c r="AK18" s="122">
        <f t="shared" si="5"/>
        <v>1.8281347886641708E-3</v>
      </c>
      <c r="AL18" s="116"/>
      <c r="AM18" s="18" cm="1">
        <f t="array" ref="AM18">flatInterpolation($AG18,$S$4:$S$9,AL$5:AL$10)</f>
        <v>7.4999999999999997E-3</v>
      </c>
      <c r="AN18" s="26">
        <f t="shared" ref="AN18" si="138">EXP(-AM18*YearFraction)*AN17</f>
        <v>0.97409143887263305</v>
      </c>
      <c r="AO18" s="122">
        <f t="shared" si="7"/>
        <v>1.8281347886641708E-3</v>
      </c>
      <c r="AP18" s="116"/>
      <c r="AQ18" s="18" cm="1">
        <f t="array" ref="AQ18">flatInterpolation($AG18,$S$4:$S$9,AP$5:AP$10)</f>
        <v>7.4999999999999997E-3</v>
      </c>
      <c r="AR18" s="26">
        <f t="shared" ref="AR18" si="139">EXP(-AQ18*YearFraction)*AR17</f>
        <v>0.97409143887263305</v>
      </c>
      <c r="AS18" s="122">
        <f t="shared" si="9"/>
        <v>1.8281347886641708E-3</v>
      </c>
      <c r="AT18" s="116"/>
      <c r="AU18" s="18" cm="1">
        <f t="array" ref="AU18">flatInterpolation($AG18,$S$4:$S$9,AT$5:AT$10)</f>
        <v>7.5001E-3</v>
      </c>
      <c r="AV18" s="26">
        <f t="shared" ref="AV18" si="140">EXP(-AU18*YearFraction)*AV17</f>
        <v>0.97409148757720609</v>
      </c>
      <c r="AW18" s="122">
        <f t="shared" si="11"/>
        <v>1.8281592780619027E-3</v>
      </c>
      <c r="AX18" s="116"/>
      <c r="AY18" s="18" cm="1">
        <f t="array" ref="AY18">flatInterpolation($AG18,$S$4:$S$9,AX$5:AX$10)</f>
        <v>7.4999999999999997E-3</v>
      </c>
      <c r="AZ18" s="26">
        <f t="shared" ref="AZ18" si="141">EXP(-AY18*YearFraction)*AZ17</f>
        <v>0.97409153628178169</v>
      </c>
      <c r="BA18" s="122">
        <f t="shared" si="13"/>
        <v>1.8281349714777129E-3</v>
      </c>
      <c r="BB18" s="116"/>
      <c r="BC18" s="18" cm="1">
        <f t="array" ref="BC18">flatInterpolation($AG18,$S$4:$S$9,BB$5:BB$10)</f>
        <v>7.4999999999999997E-3</v>
      </c>
      <c r="BD18" s="26">
        <f t="shared" ref="BD18" si="142">EXP(-BC18*YearFraction)*BD17</f>
        <v>0.97409153628178169</v>
      </c>
      <c r="BE18" s="122">
        <f t="shared" si="15"/>
        <v>1.8281349714777129E-3</v>
      </c>
    </row>
    <row r="19" spans="3:57" x14ac:dyDescent="0.3">
      <c r="C19" t="s">
        <v>330</v>
      </c>
      <c r="K19" s="35" t="s">
        <v>16</v>
      </c>
      <c r="L19" s="36">
        <f t="shared" si="88"/>
        <v>4.4999999999999997E-3</v>
      </c>
      <c r="M19" s="37">
        <f t="shared" ref="M19" si="143">-Notional*L19*YearFraction</f>
        <v>-1125</v>
      </c>
      <c r="N19" s="38">
        <f>M19*SUMPRODUCT(PSurvival10Y,DiscFactors10Y)</f>
        <v>-35510.257789943287</v>
      </c>
      <c r="O19" s="7">
        <f>M19*0.5*SUMPRODUCT(PDefault10Y,DiscFactors10Y)</f>
        <v>-33.322096381096507</v>
      </c>
      <c r="P19" s="7">
        <f>LGD*SUMPRODUCT(PDefault10Y,DiscFactors10Y)</f>
        <v>35543.569473169613</v>
      </c>
      <c r="Q19" s="8">
        <f t="shared" si="90"/>
        <v>-1.0413154770503752E-2</v>
      </c>
      <c r="S19" s="6">
        <f>Notional*YearFraction*(SUMPRODUCT(PSurvival10Y,DiscFactors10Y)+0.5*SUMPRODUCT(PDefault10Y,DiscFactors10Y))</f>
        <v>7898573.3080720846</v>
      </c>
      <c r="T19" s="82">
        <f t="shared" si="91"/>
        <v>44.999986816410562</v>
      </c>
      <c r="U19" s="18">
        <f t="shared" si="92"/>
        <v>4.4999986816410559E-3</v>
      </c>
      <c r="V19" s="18">
        <f t="shared" si="93"/>
        <v>-1.318358943715181E-9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7.4999999999999997E-3</v>
      </c>
      <c r="Z19" s="26">
        <f t="shared" ref="Z19" si="145">EXP(-Y19*YearFraction)*Z18</f>
        <v>0.97226682585186452</v>
      </c>
      <c r="AA19" s="26">
        <f t="shared" si="3"/>
        <v>1.8247104299171646E-3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7.4999999999999997E-3</v>
      </c>
      <c r="AJ19" s="26">
        <f t="shared" ref="AJ19" si="147">EXP(-AI19*YearFraction)*AJ18</f>
        <v>0.9722667286251867</v>
      </c>
      <c r="AK19" s="122">
        <f t="shared" si="5"/>
        <v>1.8247102474461263E-3</v>
      </c>
      <c r="AL19" s="116"/>
      <c r="AM19" s="18" cm="1">
        <f t="array" ref="AM19">flatInterpolation($AG19,$S$4:$S$9,AL$5:AL$10)</f>
        <v>7.4999999999999997E-3</v>
      </c>
      <c r="AN19" s="26">
        <f t="shared" ref="AN19" si="148">EXP(-AM19*YearFraction)*AN18</f>
        <v>0.97226672862518693</v>
      </c>
      <c r="AO19" s="122">
        <f t="shared" si="7"/>
        <v>1.8247102474461263E-3</v>
      </c>
      <c r="AP19" s="116"/>
      <c r="AQ19" s="18" cm="1">
        <f t="array" ref="AQ19">flatInterpolation($AG19,$S$4:$S$9,AP$5:AP$10)</f>
        <v>7.4999999999999997E-3</v>
      </c>
      <c r="AR19" s="26">
        <f t="shared" ref="AR19" si="149">EXP(-AQ19*YearFraction)*AR18</f>
        <v>0.97226672862518693</v>
      </c>
      <c r="AS19" s="122">
        <f t="shared" si="9"/>
        <v>1.8247102474461263E-3</v>
      </c>
      <c r="AT19" s="116"/>
      <c r="AU19" s="18" cm="1">
        <f t="array" ref="AU19">flatInterpolation($AG19,$S$4:$S$9,AT$5:AT$10)</f>
        <v>7.5001E-3</v>
      </c>
      <c r="AV19" s="26">
        <f t="shared" ref="AV19" si="150">EXP(-AU19*YearFraction)*AV18</f>
        <v>0.97226675293185527</v>
      </c>
      <c r="AW19" s="122">
        <f t="shared" si="11"/>
        <v>1.8247346453508229E-3</v>
      </c>
      <c r="AX19" s="116"/>
      <c r="AY19" s="18" cm="1">
        <f t="array" ref="AY19">flatInterpolation($AG19,$S$4:$S$9,AX$5:AX$10)</f>
        <v>7.4999999999999997E-3</v>
      </c>
      <c r="AZ19" s="26">
        <f t="shared" ref="AZ19" si="151">EXP(-AY19*YearFraction)*AZ18</f>
        <v>0.97226682585186452</v>
      </c>
      <c r="BA19" s="122">
        <f t="shared" si="13"/>
        <v>1.8247104299171646E-3</v>
      </c>
      <c r="BB19" s="116"/>
      <c r="BC19" s="18" cm="1">
        <f t="array" ref="BC19">flatInterpolation($AG19,$S$4:$S$9,BB$5:BB$10)</f>
        <v>7.4999999999999997E-3</v>
      </c>
      <c r="BD19" s="26">
        <f t="shared" ref="BD19" si="152">EXP(-BC19*YearFraction)*BD18</f>
        <v>0.97226682585186452</v>
      </c>
      <c r="BE19" s="122">
        <f t="shared" si="15"/>
        <v>1.8247104299171646E-3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7.4999999999999997E-3</v>
      </c>
      <c r="Z20" s="26">
        <f t="shared" ref="Z20" si="154">EXP(-Y20*YearFraction)*Z19</f>
        <v>0.97044553354850838</v>
      </c>
      <c r="AA20" s="26">
        <f t="shared" si="3"/>
        <v>1.8212923033561479E-3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7.4999999999999997E-3</v>
      </c>
      <c r="AJ20" s="26">
        <f t="shared" ref="AJ20" si="156">EXP(-AI20*YearFraction)*AJ19</f>
        <v>0.97044543650395976</v>
      </c>
      <c r="AK20" s="122">
        <f t="shared" si="5"/>
        <v>1.8212921212269473E-3</v>
      </c>
      <c r="AL20" s="116"/>
      <c r="AM20" s="18" cm="1">
        <f t="array" ref="AM20">flatInterpolation($AG20,$S$4:$S$9,AL$5:AL$10)</f>
        <v>7.4999999999999997E-3</v>
      </c>
      <c r="AN20" s="26">
        <f t="shared" ref="AN20" si="157">EXP(-AM20*YearFraction)*AN19</f>
        <v>0.97044543650395998</v>
      </c>
      <c r="AO20" s="122">
        <f t="shared" si="7"/>
        <v>1.8212921212269473E-3</v>
      </c>
      <c r="AP20" s="116"/>
      <c r="AQ20" s="18" cm="1">
        <f t="array" ref="AQ20">flatInterpolation($AG20,$S$4:$S$9,AP$5:AP$10)</f>
        <v>7.4999999999999997E-3</v>
      </c>
      <c r="AR20" s="26">
        <f t="shared" ref="AR20" si="158">EXP(-AQ20*YearFraction)*AR19</f>
        <v>0.97044543650395998</v>
      </c>
      <c r="AS20" s="122">
        <f t="shared" si="9"/>
        <v>1.8212921212269473E-3</v>
      </c>
      <c r="AT20" s="116"/>
      <c r="AU20" s="18" cm="1">
        <f t="array" ref="AU20">flatInterpolation($AG20,$S$4:$S$9,AT$5:AT$10)</f>
        <v>7.5001E-3</v>
      </c>
      <c r="AV20" s="26">
        <f t="shared" ref="AV20" si="159">EXP(-AU20*YearFraction)*AV19</f>
        <v>0.97044543650395976</v>
      </c>
      <c r="AW20" s="122">
        <f t="shared" si="11"/>
        <v>1.8213164278955141E-3</v>
      </c>
      <c r="AX20" s="116"/>
      <c r="AY20" s="18" cm="1">
        <f t="array" ref="AY20">flatInterpolation($AG20,$S$4:$S$9,AX$5:AX$10)</f>
        <v>7.4999999999999997E-3</v>
      </c>
      <c r="AZ20" s="26">
        <f t="shared" ref="AZ20" si="160">EXP(-AY20*YearFraction)*AZ19</f>
        <v>0.97044553354850838</v>
      </c>
      <c r="BA20" s="122">
        <f t="shared" si="13"/>
        <v>1.8212923033561479E-3</v>
      </c>
      <c r="BB20" s="116"/>
      <c r="BC20" s="18" cm="1">
        <f t="array" ref="BC20">flatInterpolation($AG20,$S$4:$S$9,BB$5:BB$10)</f>
        <v>7.4999999999999997E-3</v>
      </c>
      <c r="BD20" s="26">
        <f t="shared" ref="BD20" si="161">EXP(-BC20*YearFraction)*BD19</f>
        <v>0.97044553354850838</v>
      </c>
      <c r="BE20" s="122">
        <f t="shared" si="15"/>
        <v>1.8212923033561479E-3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7.4999999999999997E-3</v>
      </c>
      <c r="Z21" s="26">
        <f t="shared" ref="Z21" si="163">EXP(-Y21*YearFraction)*Z20</f>
        <v>0.96862765296873066</v>
      </c>
      <c r="AA21" s="26">
        <f t="shared" si="3"/>
        <v>1.8178805797777198E-3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7.4999999999999997E-3</v>
      </c>
      <c r="AJ21" s="26">
        <f t="shared" ref="AJ21" si="165">EXP(-AI21*YearFraction)*AJ20</f>
        <v>0.96862755610597007</v>
      </c>
      <c r="AK21" s="122">
        <f t="shared" si="5"/>
        <v>1.8178803979896907E-3</v>
      </c>
      <c r="AL21" s="116"/>
      <c r="AM21" s="18" cm="1">
        <f t="array" ref="AM21">flatInterpolation($AG21,$S$4:$S$9,AL$5:AL$10)</f>
        <v>7.4999999999999997E-3</v>
      </c>
      <c r="AN21" s="26">
        <f t="shared" ref="AN21" si="166">EXP(-AM21*YearFraction)*AN20</f>
        <v>0.96862755610597029</v>
      </c>
      <c r="AO21" s="122">
        <f t="shared" si="7"/>
        <v>1.8178803979896907E-3</v>
      </c>
      <c r="AP21" s="116"/>
      <c r="AQ21" s="18" cm="1">
        <f t="array" ref="AQ21">flatInterpolation($AG21,$S$4:$S$9,AP$5:AP$10)</f>
        <v>7.4999999999999997E-3</v>
      </c>
      <c r="AR21" s="26">
        <f t="shared" ref="AR21" si="167">EXP(-AQ21*YearFraction)*AR20</f>
        <v>0.96862755610597029</v>
      </c>
      <c r="AS21" s="122">
        <f t="shared" si="9"/>
        <v>1.8178803979896907E-3</v>
      </c>
      <c r="AT21" s="116"/>
      <c r="AU21" s="18" cm="1">
        <f t="array" ref="AU21">flatInterpolation($AG21,$S$4:$S$9,AT$5:AT$10)</f>
        <v>7.4999999999999997E-3</v>
      </c>
      <c r="AV21" s="26">
        <f t="shared" ref="AV21" si="168">EXP(-AU21*YearFraction)*AV20</f>
        <v>0.96862755610597007</v>
      </c>
      <c r="AW21" s="122">
        <f t="shared" si="11"/>
        <v>1.8178803979896907E-3</v>
      </c>
      <c r="AX21" s="116"/>
      <c r="AY21" s="18" cm="1">
        <f t="array" ref="AY21">flatInterpolation($AG21,$S$4:$S$9,AX$5:AX$10)</f>
        <v>7.5001E-3</v>
      </c>
      <c r="AZ21" s="26">
        <f t="shared" ref="AZ21" si="169">EXP(-AY21*YearFraction)*AZ20</f>
        <v>0.96862762875303965</v>
      </c>
      <c r="BA21" s="122">
        <f t="shared" si="13"/>
        <v>1.8179047954687277E-3</v>
      </c>
      <c r="BB21" s="116"/>
      <c r="BC21" s="18" cm="1">
        <f t="array" ref="BC21">flatInterpolation($AG21,$S$4:$S$9,BB$5:BB$10)</f>
        <v>7.4999999999999997E-3</v>
      </c>
      <c r="BD21" s="26">
        <f t="shared" ref="BD21" si="170">EXP(-BC21*YearFraction)*BD20</f>
        <v>0.96862765296873066</v>
      </c>
      <c r="BE21" s="122">
        <f t="shared" si="15"/>
        <v>1.8178805797777198E-3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7.4999999999999997E-3</v>
      </c>
      <c r="Z22" s="26">
        <f t="shared" ref="Z22" si="172">EXP(-Y22*YearFraction)*Z21</f>
        <v>0.96681317772154307</v>
      </c>
      <c r="AA22" s="26">
        <f t="shared" si="3"/>
        <v>1.8144752471875858E-3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7.4999999999999997E-3</v>
      </c>
      <c r="AJ22" s="26">
        <f t="shared" ref="AJ22" si="174">EXP(-AI22*YearFraction)*AJ21</f>
        <v>0.96681308104023</v>
      </c>
      <c r="AK22" s="122">
        <f t="shared" si="5"/>
        <v>1.8144750657400621E-3</v>
      </c>
      <c r="AL22" s="116"/>
      <c r="AM22" s="18" cm="1">
        <f t="array" ref="AM22">flatInterpolation($AG22,$S$4:$S$9,AL$5:AL$10)</f>
        <v>7.4999999999999997E-3</v>
      </c>
      <c r="AN22" s="26">
        <f t="shared" ref="AN22" si="175">EXP(-AM22*YearFraction)*AN21</f>
        <v>0.96681308104023023</v>
      </c>
      <c r="AO22" s="122">
        <f t="shared" si="7"/>
        <v>1.8144750657400621E-3</v>
      </c>
      <c r="AP22" s="116"/>
      <c r="AQ22" s="18" cm="1">
        <f t="array" ref="AQ22">flatInterpolation($AG22,$S$4:$S$9,AP$5:AP$10)</f>
        <v>7.4999999999999997E-3</v>
      </c>
      <c r="AR22" s="26">
        <f t="shared" ref="AR22" si="176">EXP(-AQ22*YearFraction)*AR21</f>
        <v>0.96681308104023023</v>
      </c>
      <c r="AS22" s="122">
        <f t="shared" si="9"/>
        <v>1.8144750657400621E-3</v>
      </c>
      <c r="AT22" s="116"/>
      <c r="AU22" s="18" cm="1">
        <f t="array" ref="AU22">flatInterpolation($AG22,$S$4:$S$9,AT$5:AT$10)</f>
        <v>7.4999999999999997E-3</v>
      </c>
      <c r="AV22" s="26">
        <f t="shared" ref="AV22" si="177">EXP(-AU22*YearFraction)*AV21</f>
        <v>0.96681308104023</v>
      </c>
      <c r="AW22" s="122">
        <f t="shared" si="11"/>
        <v>1.8144750657400621E-3</v>
      </c>
      <c r="AX22" s="116"/>
      <c r="AY22" s="18" cm="1">
        <f t="array" ref="AY22">flatInterpolation($AG22,$S$4:$S$9,AX$5:AX$10)</f>
        <v>7.5001E-3</v>
      </c>
      <c r="AZ22" s="26">
        <f t="shared" ref="AZ22" si="178">EXP(-AY22*YearFraction)*AZ21</f>
        <v>0.96681312938088537</v>
      </c>
      <c r="BA22" s="122">
        <f t="shared" si="13"/>
        <v>1.8144993721542768E-3</v>
      </c>
      <c r="BB22" s="116"/>
      <c r="BC22" s="18" cm="1">
        <f t="array" ref="BC22">flatInterpolation($AG22,$S$4:$S$9,BB$5:BB$10)</f>
        <v>7.4999999999999997E-3</v>
      </c>
      <c r="BD22" s="26">
        <f t="shared" ref="BD22" si="179">EXP(-BC22*YearFraction)*BD21</f>
        <v>0.96681317772154307</v>
      </c>
      <c r="BE22" s="122">
        <f t="shared" si="15"/>
        <v>1.8144752471875858E-3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5.3821826748469217E-9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7.4999999999999997E-3</v>
      </c>
      <c r="Z23" s="26">
        <f t="shared" ref="Z23" si="181">EXP(-Y23*YearFraction)*Z22</f>
        <v>0.96500210142792919</v>
      </c>
      <c r="AA23" s="26">
        <f t="shared" si="3"/>
        <v>1.811076293613878E-3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7.4999999999999997E-3</v>
      </c>
      <c r="AJ23" s="26">
        <f t="shared" ref="AJ23" si="183">EXP(-AI23*YearFraction)*AJ22</f>
        <v>0.9650020049277237</v>
      </c>
      <c r="AK23" s="122">
        <f t="shared" si="5"/>
        <v>1.8110761125063046E-3</v>
      </c>
      <c r="AL23" s="116"/>
      <c r="AM23" s="18" cm="1">
        <f t="array" ref="AM23">flatInterpolation($AG23,$S$4:$S$9,AL$5:AL$10)</f>
        <v>7.4999999999999997E-3</v>
      </c>
      <c r="AN23" s="26">
        <f t="shared" ref="AN23" si="184">EXP(-AM23*YearFraction)*AN22</f>
        <v>0.96500200492772392</v>
      </c>
      <c r="AO23" s="122">
        <f t="shared" si="7"/>
        <v>1.8110761125063046E-3</v>
      </c>
      <c r="AP23" s="116"/>
      <c r="AQ23" s="18" cm="1">
        <f t="array" ref="AQ23">flatInterpolation($AG23,$S$4:$S$9,AP$5:AP$10)</f>
        <v>7.4999999999999997E-3</v>
      </c>
      <c r="AR23" s="26">
        <f t="shared" ref="AR23" si="185">EXP(-AQ23*YearFraction)*AR22</f>
        <v>0.96500200492772392</v>
      </c>
      <c r="AS23" s="122">
        <f t="shared" si="9"/>
        <v>1.8110761125063046E-3</v>
      </c>
      <c r="AT23" s="116"/>
      <c r="AU23" s="18" cm="1">
        <f t="array" ref="AU23">flatInterpolation($AG23,$S$4:$S$9,AT$5:AT$10)</f>
        <v>7.4999999999999997E-3</v>
      </c>
      <c r="AV23" s="26">
        <f t="shared" ref="AV23" si="186">EXP(-AU23*YearFraction)*AV22</f>
        <v>0.9650020049277237</v>
      </c>
      <c r="AW23" s="122">
        <f t="shared" si="11"/>
        <v>1.8110761125063046E-3</v>
      </c>
      <c r="AX23" s="116"/>
      <c r="AY23" s="18" cm="1">
        <f t="array" ref="AY23">flatInterpolation($AG23,$S$4:$S$9,AX$5:AX$10)</f>
        <v>7.5001E-3</v>
      </c>
      <c r="AZ23" s="26">
        <f t="shared" ref="AZ23" si="187">EXP(-AY23*YearFraction)*AZ22</f>
        <v>0.96500202905277421</v>
      </c>
      <c r="BA23" s="122">
        <f t="shared" si="13"/>
        <v>1.8111003281111593E-3</v>
      </c>
      <c r="BB23" s="116"/>
      <c r="BC23" s="18" cm="1">
        <f t="array" ref="BC23">flatInterpolation($AG23,$S$4:$S$9,BB$5:BB$10)</f>
        <v>7.4999999999999997E-3</v>
      </c>
      <c r="BD23" s="26">
        <f t="shared" ref="BD23" si="188">EXP(-BC23*YearFraction)*BD22</f>
        <v>0.96500210142792919</v>
      </c>
      <c r="BE23" s="122">
        <f t="shared" si="15"/>
        <v>1.811076293613878E-3</v>
      </c>
    </row>
    <row r="24" spans="3:57" x14ac:dyDescent="0.3">
      <c r="S24" s="17">
        <v>0</v>
      </c>
      <c r="T24" s="18" cm="1">
        <f t="array" ref="T24">flatInterpolation(S24,Calibration.Times,Calibration.HazardRates)</f>
        <v>7.4999999999999997E-3</v>
      </c>
      <c r="X24" s="24">
        <f t="shared" ref="X24" si="189">X23+YearFraction</f>
        <v>5</v>
      </c>
      <c r="Y24" s="25" cm="1">
        <f t="array" ref="Y24">flatInterpolation(X24,$S$4:$S$9,$T$4:$T$9)</f>
        <v>7.4999999999999997E-3</v>
      </c>
      <c r="Z24" s="26">
        <f t="shared" ref="Z24" si="190">EXP(-Y24*YearFraction)*Z23</f>
        <v>0.96319441772082204</v>
      </c>
      <c r="AA24" s="26">
        <f t="shared" si="3"/>
        <v>1.807683707107155E-3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7.4999999999999997E-3</v>
      </c>
      <c r="AJ24" s="26">
        <f t="shared" ref="AJ24" si="192">EXP(-AI24*YearFraction)*AJ23</f>
        <v>0.96319432140138495</v>
      </c>
      <c r="AK24" s="122">
        <f t="shared" si="5"/>
        <v>1.8076835263387547E-3</v>
      </c>
      <c r="AL24" s="116"/>
      <c r="AM24" s="18" cm="1">
        <f t="array" ref="AM24">flatInterpolation($AG24,$S$4:$S$9,AL$5:AL$10)</f>
        <v>7.4999999999999997E-3</v>
      </c>
      <c r="AN24" s="26">
        <f t="shared" ref="AN24" si="193">EXP(-AM24*YearFraction)*AN23</f>
        <v>0.96319432140138517</v>
      </c>
      <c r="AO24" s="122">
        <f t="shared" si="7"/>
        <v>1.8076835263387547E-3</v>
      </c>
      <c r="AP24" s="116"/>
      <c r="AQ24" s="18" cm="1">
        <f t="array" ref="AQ24">flatInterpolation($AG24,$S$4:$S$9,AP$5:AP$10)</f>
        <v>7.4999999999999997E-3</v>
      </c>
      <c r="AR24" s="26">
        <f t="shared" ref="AR24" si="194">EXP(-AQ24*YearFraction)*AR23</f>
        <v>0.96319432140138517</v>
      </c>
      <c r="AS24" s="122">
        <f t="shared" si="9"/>
        <v>1.8076835263387547E-3</v>
      </c>
      <c r="AT24" s="116"/>
      <c r="AU24" s="18" cm="1">
        <f t="array" ref="AU24">flatInterpolation($AG24,$S$4:$S$9,AT$5:AT$10)</f>
        <v>7.4999999999999997E-3</v>
      </c>
      <c r="AV24" s="26">
        <f t="shared" ref="AV24" si="195">EXP(-AU24*YearFraction)*AV23</f>
        <v>0.96319432140138495</v>
      </c>
      <c r="AW24" s="122">
        <f t="shared" si="11"/>
        <v>1.8076835263387547E-3</v>
      </c>
      <c r="AX24" s="116"/>
      <c r="AY24" s="18" cm="1">
        <f t="array" ref="AY24">flatInterpolation($AG24,$S$4:$S$9,AX$5:AX$10)</f>
        <v>7.5001E-3</v>
      </c>
      <c r="AZ24" s="26">
        <f t="shared" ref="AZ24" si="196">EXP(-AY24*YearFraction)*AZ23</f>
        <v>0.96319432140138495</v>
      </c>
      <c r="BA24" s="122">
        <f t="shared" si="13"/>
        <v>1.8077076513892676E-3</v>
      </c>
      <c r="BB24" s="116"/>
      <c r="BC24" s="18" cm="1">
        <f t="array" ref="BC24">flatInterpolation($AG24,$S$4:$S$9,BB$5:BB$10)</f>
        <v>7.4999999999999997E-3</v>
      </c>
      <c r="BD24" s="26">
        <f t="shared" ref="BD24" si="197">EXP(-BC24*YearFraction)*BD23</f>
        <v>0.96319441772082204</v>
      </c>
      <c r="BE24" s="122">
        <f t="shared" si="15"/>
        <v>1.807683707107155E-3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7.4999999999999997E-3</v>
      </c>
      <c r="X25" s="24">
        <f t="shared" ref="X25" si="198">X24+YearFraction</f>
        <v>5.25</v>
      </c>
      <c r="Y25" s="25" cm="1">
        <f t="array" ref="Y25">flatInterpolation(X25,$S$4:$S$9,$T$4:$T$9)</f>
        <v>7.4999999999999997E-3</v>
      </c>
      <c r="Z25" s="26">
        <f t="shared" ref="Z25" si="199">EXP(-Y25*YearFraction)*Z24</f>
        <v>0.96139012024508175</v>
      </c>
      <c r="AA25" s="26">
        <f t="shared" si="3"/>
        <v>1.8042974757402908E-3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7.4999999999999997E-3</v>
      </c>
      <c r="AJ25" s="26">
        <f t="shared" ref="AJ25" si="201">EXP(-AI25*YearFraction)*AJ24</f>
        <v>0.96139002410607444</v>
      </c>
      <c r="AK25" s="122">
        <f t="shared" si="5"/>
        <v>1.8042972953105085E-3</v>
      </c>
      <c r="AL25" s="116"/>
      <c r="AM25" s="18" cm="1">
        <f t="array" ref="AM25">flatInterpolation($AG25,$S$4:$S$9,AL$5:AL$10)</f>
        <v>7.4999999999999997E-3</v>
      </c>
      <c r="AN25" s="26">
        <f t="shared" ref="AN25" si="202">EXP(-AM25*YearFraction)*AN24</f>
        <v>0.96139002410607466</v>
      </c>
      <c r="AO25" s="122">
        <f t="shared" si="7"/>
        <v>1.8042972953105085E-3</v>
      </c>
      <c r="AP25" s="116"/>
      <c r="AQ25" s="18" cm="1">
        <f t="array" ref="AQ25">flatInterpolation($AG25,$S$4:$S$9,AP$5:AP$10)</f>
        <v>7.4999999999999997E-3</v>
      </c>
      <c r="AR25" s="26">
        <f t="shared" ref="AR25" si="203">EXP(-AQ25*YearFraction)*AR24</f>
        <v>0.96139002410607466</v>
      </c>
      <c r="AS25" s="122">
        <f t="shared" si="9"/>
        <v>1.8042972953105085E-3</v>
      </c>
      <c r="AT25" s="116"/>
      <c r="AU25" s="18" cm="1">
        <f t="array" ref="AU25">flatInterpolation($AG25,$S$4:$S$9,AT$5:AT$10)</f>
        <v>7.4999999999999997E-3</v>
      </c>
      <c r="AV25" s="26">
        <f t="shared" ref="AV25" si="204">EXP(-AU25*YearFraction)*AV24</f>
        <v>0.96139002410607444</v>
      </c>
      <c r="AW25" s="122">
        <f t="shared" si="11"/>
        <v>1.8042972953105085E-3</v>
      </c>
      <c r="AX25" s="116"/>
      <c r="AY25" s="18" cm="1">
        <f t="array" ref="AY25">flatInterpolation($AG25,$S$4:$S$9,AX$5:AX$10)</f>
        <v>7.4999999999999997E-3</v>
      </c>
      <c r="AZ25" s="26">
        <f t="shared" ref="AZ25" si="205">EXP(-AY25*YearFraction)*AZ24</f>
        <v>0.96139002410607444</v>
      </c>
      <c r="BA25" s="122">
        <f t="shared" si="13"/>
        <v>1.8042972953105085E-3</v>
      </c>
      <c r="BB25" s="116"/>
      <c r="BC25" s="18" cm="1">
        <f t="array" ref="BC25">flatInterpolation($AG25,$S$4:$S$9,BB$5:BB$10)</f>
        <v>7.5001E-3</v>
      </c>
      <c r="BD25" s="26">
        <f t="shared" ref="BD25" si="206">EXP(-BC25*YearFraction)*BD24</f>
        <v>0.961390096210329</v>
      </c>
      <c r="BE25" s="122">
        <f t="shared" si="15"/>
        <v>1.8043215104930344E-3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7.4999999999999997E-3</v>
      </c>
      <c r="X26" s="24">
        <f t="shared" ref="X26" si="207">X25+YearFraction</f>
        <v>5.5</v>
      </c>
      <c r="Y26" s="25" cm="1">
        <f t="array" ref="Y26">flatInterpolation(X26,$S$4:$S$9,$T$4:$T$9)</f>
        <v>7.4999999999999997E-3</v>
      </c>
      <c r="Z26" s="26">
        <f t="shared" ref="Z26" si="208">EXP(-Y26*YearFraction)*Z25</f>
        <v>0.95958920265747316</v>
      </c>
      <c r="AA26" s="26">
        <f t="shared" si="3"/>
        <v>1.8009175876085859E-3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7.4999999999999997E-3</v>
      </c>
      <c r="AJ26" s="26">
        <f t="shared" ref="AJ26" si="210">EXP(-AI26*YearFraction)*AJ25</f>
        <v>0.95958910669855757</v>
      </c>
      <c r="AK26" s="122">
        <f t="shared" si="5"/>
        <v>1.8009174075168666E-3</v>
      </c>
      <c r="AL26" s="116"/>
      <c r="AM26" s="18" cm="1">
        <f t="array" ref="AM26">flatInterpolation($AG26,$S$4:$S$9,AL$5:AL$10)</f>
        <v>7.4999999999999997E-3</v>
      </c>
      <c r="AN26" s="26">
        <f t="shared" ref="AN26" si="211">EXP(-AM26*YearFraction)*AN25</f>
        <v>0.95958910669855779</v>
      </c>
      <c r="AO26" s="122">
        <f t="shared" si="7"/>
        <v>1.8009174075168666E-3</v>
      </c>
      <c r="AP26" s="116"/>
      <c r="AQ26" s="18" cm="1">
        <f t="array" ref="AQ26">flatInterpolation($AG26,$S$4:$S$9,AP$5:AP$10)</f>
        <v>7.4999999999999997E-3</v>
      </c>
      <c r="AR26" s="26">
        <f t="shared" ref="AR26" si="212">EXP(-AQ26*YearFraction)*AR25</f>
        <v>0.95958910669855779</v>
      </c>
      <c r="AS26" s="122">
        <f t="shared" si="9"/>
        <v>1.8009174075168666E-3</v>
      </c>
      <c r="AT26" s="116"/>
      <c r="AU26" s="18" cm="1">
        <f t="array" ref="AU26">flatInterpolation($AG26,$S$4:$S$9,AT$5:AT$10)</f>
        <v>7.4999999999999997E-3</v>
      </c>
      <c r="AV26" s="26">
        <f t="shared" ref="AV26" si="213">EXP(-AU26*YearFraction)*AV25</f>
        <v>0.95958910669855757</v>
      </c>
      <c r="AW26" s="122">
        <f t="shared" si="11"/>
        <v>1.8009174075168666E-3</v>
      </c>
      <c r="AX26" s="116"/>
      <c r="AY26" s="18" cm="1">
        <f t="array" ref="AY26">flatInterpolation($AG26,$S$4:$S$9,AX$5:AX$10)</f>
        <v>7.4999999999999997E-3</v>
      </c>
      <c r="AZ26" s="26">
        <f t="shared" ref="AZ26" si="214">EXP(-AY26*YearFraction)*AZ25</f>
        <v>0.95958910669855757</v>
      </c>
      <c r="BA26" s="122">
        <f t="shared" si="13"/>
        <v>1.8009174075168666E-3</v>
      </c>
      <c r="BB26" s="116"/>
      <c r="BC26" s="18" cm="1">
        <f t="array" ref="BC26">flatInterpolation($AG26,$S$4:$S$9,BB$5:BB$10)</f>
        <v>7.5001E-3</v>
      </c>
      <c r="BD26" s="26">
        <f t="shared" ref="BD26" si="215">EXP(-BC26*YearFraction)*BD25</f>
        <v>0.9595891546780142</v>
      </c>
      <c r="BE26" s="122">
        <f t="shared" si="15"/>
        <v>1.8009415323148037E-3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7.500002197266876E-3</v>
      </c>
      <c r="N27" s="65">
        <v>7.4999999999999997E-3</v>
      </c>
      <c r="O27" s="66">
        <f t="shared" ref="O27" si="216">Q4/(1-RecoveryRate)</f>
        <v>7.4999999999999997E-3</v>
      </c>
      <c r="P27" s="65">
        <f t="shared" ref="P27:P32" si="217">V14</f>
        <v>-1.3183589688686714E-9</v>
      </c>
      <c r="Q27" s="83">
        <f t="shared" ref="Q27:Q32" si="218">M27-N27</f>
        <v>2.1972668762595959E-9</v>
      </c>
      <c r="S27" s="17">
        <f>S5</f>
        <v>2</v>
      </c>
      <c r="T27" s="18" cm="1">
        <f t="array" ref="T27">flatInterpolation(S27,Calibration.Times,Calibration.HazardRates)</f>
        <v>7.4999999999999997E-3</v>
      </c>
      <c r="X27" s="24">
        <f t="shared" ref="X27" si="219">X26+YearFraction</f>
        <v>5.75</v>
      </c>
      <c r="Y27" s="25" cm="1">
        <f t="array" ref="Y27">flatInterpolation(X27,$S$4:$S$9,$T$4:$T$9)</f>
        <v>7.4999999999999997E-3</v>
      </c>
      <c r="Z27" s="26">
        <f t="shared" ref="Z27" si="220">EXP(-Y27*YearFraction)*Z26</f>
        <v>0.95779165862664351</v>
      </c>
      <c r="AA27" s="26">
        <f t="shared" si="3"/>
        <v>1.7975440308296564E-3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7.4999999999999997E-3</v>
      </c>
      <c r="AJ27" s="26">
        <f t="shared" ref="AJ27" si="222">EXP(-AI27*YearFraction)*AJ26</f>
        <v>0.95779156284748235</v>
      </c>
      <c r="AK27" s="122">
        <f t="shared" si="5"/>
        <v>1.7975438510752229E-3</v>
      </c>
      <c r="AL27" s="116"/>
      <c r="AM27" s="18" cm="1">
        <f t="array" ref="AM27">flatInterpolation($AG27,$S$4:$S$9,AL$5:AL$10)</f>
        <v>7.4999999999999997E-3</v>
      </c>
      <c r="AN27" s="26">
        <f t="shared" ref="AN27" si="223">EXP(-AM27*YearFraction)*AN26</f>
        <v>0.95779156284748257</v>
      </c>
      <c r="AO27" s="122">
        <f t="shared" si="7"/>
        <v>1.7975438510752229E-3</v>
      </c>
      <c r="AP27" s="116"/>
      <c r="AQ27" s="18" cm="1">
        <f t="array" ref="AQ27">flatInterpolation($AG27,$S$4:$S$9,AP$5:AP$10)</f>
        <v>7.4999999999999997E-3</v>
      </c>
      <c r="AR27" s="26">
        <f t="shared" ref="AR27" si="224">EXP(-AQ27*YearFraction)*AR26</f>
        <v>0.95779156284748257</v>
      </c>
      <c r="AS27" s="122">
        <f t="shared" si="9"/>
        <v>1.7975438510752229E-3</v>
      </c>
      <c r="AT27" s="116"/>
      <c r="AU27" s="18" cm="1">
        <f t="array" ref="AU27">flatInterpolation($AG27,$S$4:$S$9,AT$5:AT$10)</f>
        <v>7.4999999999999997E-3</v>
      </c>
      <c r="AV27" s="26">
        <f t="shared" ref="AV27" si="225">EXP(-AU27*YearFraction)*AV26</f>
        <v>0.95779156284748235</v>
      </c>
      <c r="AW27" s="122">
        <f t="shared" si="11"/>
        <v>1.7975438510752229E-3</v>
      </c>
      <c r="AX27" s="116"/>
      <c r="AY27" s="18" cm="1">
        <f t="array" ref="AY27">flatInterpolation($AG27,$S$4:$S$9,AX$5:AX$10)</f>
        <v>7.4999999999999997E-3</v>
      </c>
      <c r="AZ27" s="26">
        <f t="shared" ref="AZ27" si="226">EXP(-AY27*YearFraction)*AZ26</f>
        <v>0.95779156284748235</v>
      </c>
      <c r="BA27" s="122">
        <f t="shared" si="13"/>
        <v>1.7975438510752229E-3</v>
      </c>
      <c r="BB27" s="116"/>
      <c r="BC27" s="18" cm="1">
        <f t="array" ref="BC27">flatInterpolation($AG27,$S$4:$S$9,BB$5:BB$10)</f>
        <v>7.5001E-3</v>
      </c>
      <c r="BD27" s="26">
        <f t="shared" ref="BD27" si="227">EXP(-BC27*YearFraction)*BD26</f>
        <v>0.95779158679227172</v>
      </c>
      <c r="BE27" s="122">
        <f t="shared" si="15"/>
        <v>1.7975678857424793E-3</v>
      </c>
    </row>
    <row r="28" spans="3:57" x14ac:dyDescent="0.3">
      <c r="K28" s="67" t="s">
        <v>12</v>
      </c>
      <c r="L28" s="17">
        <v>2</v>
      </c>
      <c r="M28" s="60">
        <v>7.5000021972668855E-3</v>
      </c>
      <c r="N28" s="45">
        <v>7.4999999999999997E-3</v>
      </c>
      <c r="O28" s="61">
        <f t="shared" ref="O28" si="228">Q5/(1-RecoveryRate)</f>
        <v>7.4999999999999997E-3</v>
      </c>
      <c r="P28" s="45">
        <f t="shared" si="217"/>
        <v>-1.3183589723381184E-9</v>
      </c>
      <c r="Q28" s="84">
        <f t="shared" si="218"/>
        <v>2.1972668858005751E-9</v>
      </c>
      <c r="S28" s="17">
        <f>S27+0.01</f>
        <v>2.0099999999999998</v>
      </c>
      <c r="T28" s="18" cm="1">
        <f t="array" ref="T28">flatInterpolation(S28,Calibration.Times,Calibration.HazardRates)</f>
        <v>7.4999999999999997E-3</v>
      </c>
      <c r="X28" s="24">
        <f t="shared" ref="X28" si="229">X27+YearFraction</f>
        <v>6</v>
      </c>
      <c r="Y28" s="25" cm="1">
        <f t="array" ref="Y28">flatInterpolation(X28,$S$4:$S$9,$T$4:$T$9)</f>
        <v>7.4999999999999997E-3</v>
      </c>
      <c r="Z28" s="26">
        <f t="shared" ref="Z28" si="230">EXP(-Y28*YearFraction)*Z27</f>
        <v>0.95599748183310018</v>
      </c>
      <c r="AA28" s="26">
        <f t="shared" si="3"/>
        <v>1.7941767935433228E-3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7.4999999999999997E-3</v>
      </c>
      <c r="AJ28" s="26">
        <f t="shared" ref="AJ28" si="232">EXP(-AI28*YearFraction)*AJ27</f>
        <v>0.95599738623335673</v>
      </c>
      <c r="AK28" s="122">
        <f t="shared" si="5"/>
        <v>1.7941766141256199E-3</v>
      </c>
      <c r="AL28" s="116"/>
      <c r="AM28" s="18" cm="1">
        <f t="array" ref="AM28">flatInterpolation($AG28,$S$4:$S$9,AL$5:AL$10)</f>
        <v>7.4999999999999997E-3</v>
      </c>
      <c r="AN28" s="26">
        <f t="shared" ref="AN28" si="233">EXP(-AM28*YearFraction)*AN27</f>
        <v>0.95599738623335695</v>
      </c>
      <c r="AO28" s="122">
        <f t="shared" si="7"/>
        <v>1.7941766141256199E-3</v>
      </c>
      <c r="AP28" s="116"/>
      <c r="AQ28" s="18" cm="1">
        <f t="array" ref="AQ28">flatInterpolation($AG28,$S$4:$S$9,AP$5:AP$10)</f>
        <v>7.4999999999999997E-3</v>
      </c>
      <c r="AR28" s="26">
        <f t="shared" ref="AR28" si="234">EXP(-AQ28*YearFraction)*AR27</f>
        <v>0.95599738623335695</v>
      </c>
      <c r="AS28" s="122">
        <f t="shared" si="9"/>
        <v>1.7941766141256199E-3</v>
      </c>
      <c r="AT28" s="116"/>
      <c r="AU28" s="18" cm="1">
        <f t="array" ref="AU28">flatInterpolation($AG28,$S$4:$S$9,AT$5:AT$10)</f>
        <v>7.4999999999999997E-3</v>
      </c>
      <c r="AV28" s="26">
        <f t="shared" ref="AV28" si="235">EXP(-AU28*YearFraction)*AV27</f>
        <v>0.95599738623335673</v>
      </c>
      <c r="AW28" s="122">
        <f t="shared" si="11"/>
        <v>1.7941766141256199E-3</v>
      </c>
      <c r="AX28" s="116"/>
      <c r="AY28" s="18" cm="1">
        <f t="array" ref="AY28">flatInterpolation($AG28,$S$4:$S$9,AX$5:AX$10)</f>
        <v>7.4999999999999997E-3</v>
      </c>
      <c r="AZ28" s="26">
        <f t="shared" ref="AZ28" si="236">EXP(-AY28*YearFraction)*AZ27</f>
        <v>0.95599738623335673</v>
      </c>
      <c r="BA28" s="122">
        <f t="shared" si="13"/>
        <v>1.7941766141256199E-3</v>
      </c>
      <c r="BB28" s="116"/>
      <c r="BC28" s="18" cm="1">
        <f t="array" ref="BC28">flatInterpolation($AG28,$S$4:$S$9,BB$5:BB$10)</f>
        <v>7.5001E-3</v>
      </c>
      <c r="BD28" s="26">
        <f t="shared" ref="BD28" si="237">EXP(-BC28*YearFraction)*BD27</f>
        <v>0.95599738623335673</v>
      </c>
      <c r="BE28" s="122">
        <f t="shared" si="15"/>
        <v>1.7942005589149934E-3</v>
      </c>
    </row>
    <row r="29" spans="3:57" x14ac:dyDescent="0.3">
      <c r="K29" s="67" t="s">
        <v>13</v>
      </c>
      <c r="L29" s="17">
        <v>3</v>
      </c>
      <c r="M29" s="60">
        <v>7.5000021972667849E-3</v>
      </c>
      <c r="N29" s="45">
        <v>7.4999999999999997E-3</v>
      </c>
      <c r="O29" s="61">
        <f t="shared" ref="O29" si="238">Q6/(1-RecoveryRate)</f>
        <v>7.4999999999999997E-3</v>
      </c>
      <c r="P29" s="45">
        <f t="shared" si="217"/>
        <v>-1.3183589523887984E-9</v>
      </c>
      <c r="Q29" s="84">
        <f t="shared" si="218"/>
        <v>2.1972667851866134E-9</v>
      </c>
      <c r="S29" s="17">
        <f>S6</f>
        <v>3</v>
      </c>
      <c r="T29" s="18" cm="1">
        <f t="array" ref="T29">flatInterpolation(S29,Calibration.Times,Calibration.HazardRates)</f>
        <v>7.4999999999999997E-3</v>
      </c>
      <c r="X29" s="24">
        <f t="shared" ref="X29" si="239">X28+YearFraction</f>
        <v>6.25</v>
      </c>
      <c r="Y29" s="25" cm="1">
        <f t="array" ref="Y29">flatInterpolation(X29,$S$4:$S$9,$T$4:$T$9)</f>
        <v>7.4999999999999997E-3</v>
      </c>
      <c r="Z29" s="26">
        <f t="shared" ref="Z29" si="240">EXP(-Y29*YearFraction)*Z28</f>
        <v>0.95420666596918857</v>
      </c>
      <c r="AA29" s="26">
        <f t="shared" si="3"/>
        <v>1.7908158639116101E-3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7.4999999999999997E-3</v>
      </c>
      <c r="AJ29" s="26">
        <f t="shared" ref="AJ29" si="242">EXP(-AI29*YearFraction)*AJ28</f>
        <v>0.95420657054852676</v>
      </c>
      <c r="AK29" s="122">
        <f t="shared" si="5"/>
        <v>1.7908156848299717E-3</v>
      </c>
      <c r="AL29" s="116"/>
      <c r="AM29" s="18" cm="1">
        <f t="array" ref="AM29">flatInterpolation($AG29,$S$4:$S$9,AL$5:AL$10)</f>
        <v>7.4999999999999997E-3</v>
      </c>
      <c r="AN29" s="26">
        <f t="shared" ref="AN29" si="243">EXP(-AM29*YearFraction)*AN28</f>
        <v>0.95420657054852698</v>
      </c>
      <c r="AO29" s="122">
        <f t="shared" si="7"/>
        <v>1.7908156848299717E-3</v>
      </c>
      <c r="AP29" s="116"/>
      <c r="AQ29" s="18" cm="1">
        <f t="array" ref="AQ29">flatInterpolation($AG29,$S$4:$S$9,AP$5:AP$10)</f>
        <v>7.4999999999999997E-3</v>
      </c>
      <c r="AR29" s="26">
        <f t="shared" ref="AR29" si="244">EXP(-AQ29*YearFraction)*AR28</f>
        <v>0.95420657054852698</v>
      </c>
      <c r="AS29" s="122">
        <f t="shared" si="9"/>
        <v>1.7908156848299717E-3</v>
      </c>
      <c r="AT29" s="116"/>
      <c r="AU29" s="18" cm="1">
        <f t="array" ref="AU29">flatInterpolation($AG29,$S$4:$S$9,AT$5:AT$10)</f>
        <v>7.4999999999999997E-3</v>
      </c>
      <c r="AV29" s="26">
        <f t="shared" ref="AV29" si="245">EXP(-AU29*YearFraction)*AV28</f>
        <v>0.95420657054852676</v>
      </c>
      <c r="AW29" s="122">
        <f t="shared" si="11"/>
        <v>1.7908156848299717E-3</v>
      </c>
      <c r="AX29" s="116"/>
      <c r="AY29" s="18" cm="1">
        <f t="array" ref="AY29">flatInterpolation($AG29,$S$4:$S$9,AX$5:AX$10)</f>
        <v>7.4999999999999997E-3</v>
      </c>
      <c r="AZ29" s="26">
        <f t="shared" ref="AZ29" si="246">EXP(-AY29*YearFraction)*AZ28</f>
        <v>0.95420657054852676</v>
      </c>
      <c r="BA29" s="122">
        <f t="shared" si="13"/>
        <v>1.7908156848299717E-3</v>
      </c>
      <c r="BB29" s="116"/>
      <c r="BC29" s="18" cm="1">
        <f t="array" ref="BC29">flatInterpolation($AG29,$S$4:$S$9,BB$5:BB$10)</f>
        <v>7.5001E-3</v>
      </c>
      <c r="BD29" s="26">
        <f t="shared" ref="BD29" si="247">EXP(-BC29*YearFraction)*BD28</f>
        <v>0.95420654669336269</v>
      </c>
      <c r="BE29" s="122">
        <f t="shared" si="15"/>
        <v>1.790839539994038E-3</v>
      </c>
    </row>
    <row r="30" spans="3:57" x14ac:dyDescent="0.3">
      <c r="K30" s="67" t="s">
        <v>14</v>
      </c>
      <c r="L30" s="17">
        <v>4</v>
      </c>
      <c r="M30" s="60">
        <v>7.5000021972667771E-3</v>
      </c>
      <c r="N30" s="45">
        <v>7.4999999999999997E-3</v>
      </c>
      <c r="O30" s="61">
        <f t="shared" ref="O30" si="248">Q7/(1-RecoveryRate)</f>
        <v>7.4999999999999997E-3</v>
      </c>
      <c r="P30" s="45">
        <f t="shared" si="217"/>
        <v>-1.3183589419804576E-9</v>
      </c>
      <c r="Q30" s="84">
        <f t="shared" si="218"/>
        <v>2.1972667773803578E-9</v>
      </c>
      <c r="S30" s="17">
        <f>S29+0.01</f>
        <v>3.01</v>
      </c>
      <c r="T30" s="18" cm="1">
        <f t="array" ref="T30">flatInterpolation(S30,Calibration.Times,Calibration.HazardRates)</f>
        <v>7.4999999999999997E-3</v>
      </c>
      <c r="X30" s="24">
        <f t="shared" ref="X30" si="249">X29+YearFraction</f>
        <v>6.5</v>
      </c>
      <c r="Y30" s="25" cm="1">
        <f t="array" ref="Y30">flatInterpolation(X30,$S$4:$S$9,$T$4:$T$9)</f>
        <v>7.4999999999999997E-3</v>
      </c>
      <c r="Z30" s="26">
        <f t="shared" ref="Z30" si="250">EXP(-Y30*YearFraction)*Z29</f>
        <v>0.95241920473906982</v>
      </c>
      <c r="AA30" s="26">
        <f t="shared" si="3"/>
        <v>1.7874612301187476E-3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7.4999999999999997E-3</v>
      </c>
      <c r="AJ30" s="26">
        <f t="shared" ref="AJ30" si="252">EXP(-AI30*YearFraction)*AJ29</f>
        <v>0.95241910949715414</v>
      </c>
      <c r="AK30" s="122">
        <f t="shared" si="5"/>
        <v>1.7874610513726186E-3</v>
      </c>
      <c r="AL30" s="116"/>
      <c r="AM30" s="18" cm="1">
        <f t="array" ref="AM30">flatInterpolation($AG30,$S$4:$S$9,AL$5:AL$10)</f>
        <v>7.4999999999999997E-3</v>
      </c>
      <c r="AN30" s="26">
        <f t="shared" ref="AN30" si="253">EXP(-AM30*YearFraction)*AN29</f>
        <v>0.95241910949715436</v>
      </c>
      <c r="AO30" s="122">
        <f t="shared" si="7"/>
        <v>1.7874610513726186E-3</v>
      </c>
      <c r="AP30" s="116"/>
      <c r="AQ30" s="18" cm="1">
        <f t="array" ref="AQ30">flatInterpolation($AG30,$S$4:$S$9,AP$5:AP$10)</f>
        <v>7.4999999999999997E-3</v>
      </c>
      <c r="AR30" s="26">
        <f t="shared" ref="AR30" si="254">EXP(-AQ30*YearFraction)*AR29</f>
        <v>0.95241910949715436</v>
      </c>
      <c r="AS30" s="122">
        <f t="shared" si="9"/>
        <v>1.7874610513726186E-3</v>
      </c>
      <c r="AT30" s="116"/>
      <c r="AU30" s="18" cm="1">
        <f t="array" ref="AU30">flatInterpolation($AG30,$S$4:$S$9,AT$5:AT$10)</f>
        <v>7.4999999999999997E-3</v>
      </c>
      <c r="AV30" s="26">
        <f t="shared" ref="AV30" si="255">EXP(-AU30*YearFraction)*AV29</f>
        <v>0.95241910949715414</v>
      </c>
      <c r="AW30" s="122">
        <f t="shared" si="11"/>
        <v>1.7874610513726186E-3</v>
      </c>
      <c r="AX30" s="116"/>
      <c r="AY30" s="18" cm="1">
        <f t="array" ref="AY30">flatInterpolation($AG30,$S$4:$S$9,AX$5:AX$10)</f>
        <v>7.4999999999999997E-3</v>
      </c>
      <c r="AZ30" s="26">
        <f t="shared" ref="AZ30" si="256">EXP(-AY30*YearFraction)*AZ29</f>
        <v>0.95241910949715414</v>
      </c>
      <c r="BA30" s="122">
        <f t="shared" si="13"/>
        <v>1.7874610513726186E-3</v>
      </c>
      <c r="BB30" s="116"/>
      <c r="BC30" s="18" cm="1">
        <f t="array" ref="BC30">flatInterpolation($AG30,$S$4:$S$9,BB$5:BB$10)</f>
        <v>7.5001E-3</v>
      </c>
      <c r="BD30" s="26">
        <f t="shared" ref="BD30" si="257">EXP(-BC30*YearFraction)*BD29</f>
        <v>0.95241906187619974</v>
      </c>
      <c r="BE30" s="122">
        <f t="shared" si="15"/>
        <v>1.7874848171629543E-3</v>
      </c>
    </row>
    <row r="31" spans="3:57" x14ac:dyDescent="0.3">
      <c r="K31" s="67" t="s">
        <v>15</v>
      </c>
      <c r="L31" s="17">
        <v>5</v>
      </c>
      <c r="M31" s="60">
        <v>7.5000021972668586E-3</v>
      </c>
      <c r="N31" s="45">
        <v>7.4999999999999997E-3</v>
      </c>
      <c r="O31" s="61">
        <f t="shared" ref="O31" si="258">Q8/(1-RecoveryRate)</f>
        <v>7.4999999999999997E-3</v>
      </c>
      <c r="P31" s="45">
        <f t="shared" si="217"/>
        <v>-1.3183589454499045E-9</v>
      </c>
      <c r="Q31" s="84">
        <f t="shared" si="218"/>
        <v>2.1972668589123612E-9</v>
      </c>
      <c r="S31" s="17">
        <f>S7</f>
        <v>4</v>
      </c>
      <c r="T31" s="18" cm="1">
        <f t="array" ref="T31">flatInterpolation(S31,Calibration.Times,Calibration.HazardRates)</f>
        <v>7.4999999999999997E-3</v>
      </c>
      <c r="X31" s="24">
        <f t="shared" ref="X31" si="259">X30+YearFraction</f>
        <v>6.75</v>
      </c>
      <c r="Y31" s="25" cm="1">
        <f t="array" ref="Y31">flatInterpolation(X31,$S$4:$S$9,$T$4:$T$9)</f>
        <v>7.4999999999999997E-3</v>
      </c>
      <c r="Z31" s="26">
        <f t="shared" ref="Z31" si="260">EXP(-Y31*YearFraction)*Z30</f>
        <v>0.95063509185869877</v>
      </c>
      <c r="AA31" s="26">
        <f t="shared" si="3"/>
        <v>1.7841128803710582E-3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7.4999999999999997E-3</v>
      </c>
      <c r="AJ31" s="26">
        <f t="shared" ref="AJ31" si="262">EXP(-AI31*YearFraction)*AJ30</f>
        <v>0.95063499679519436</v>
      </c>
      <c r="AK31" s="122">
        <f t="shared" si="5"/>
        <v>1.7841127019597725E-3</v>
      </c>
      <c r="AL31" s="116"/>
      <c r="AM31" s="18" cm="1">
        <f t="array" ref="AM31">flatInterpolation($AG31,$S$4:$S$9,AL$5:AL$10)</f>
        <v>7.4999999999999997E-3</v>
      </c>
      <c r="AN31" s="26">
        <f t="shared" ref="AN31" si="263">EXP(-AM31*YearFraction)*AN30</f>
        <v>0.95063499679519459</v>
      </c>
      <c r="AO31" s="122">
        <f t="shared" si="7"/>
        <v>1.7841127019597725E-3</v>
      </c>
      <c r="AP31" s="116"/>
      <c r="AQ31" s="18" cm="1">
        <f t="array" ref="AQ31">flatInterpolation($AG31,$S$4:$S$9,AP$5:AP$10)</f>
        <v>7.4999999999999997E-3</v>
      </c>
      <c r="AR31" s="26">
        <f t="shared" ref="AR31" si="264">EXP(-AQ31*YearFraction)*AR30</f>
        <v>0.95063499679519459</v>
      </c>
      <c r="AS31" s="122">
        <f t="shared" si="9"/>
        <v>1.7841127019597725E-3</v>
      </c>
      <c r="AT31" s="116"/>
      <c r="AU31" s="18" cm="1">
        <f t="array" ref="AU31">flatInterpolation($AG31,$S$4:$S$9,AT$5:AT$10)</f>
        <v>7.4999999999999997E-3</v>
      </c>
      <c r="AV31" s="26">
        <f t="shared" ref="AV31" si="265">EXP(-AU31*YearFraction)*AV30</f>
        <v>0.95063499679519436</v>
      </c>
      <c r="AW31" s="122">
        <f t="shared" si="11"/>
        <v>1.7841127019597725E-3</v>
      </c>
      <c r="AX31" s="116"/>
      <c r="AY31" s="18" cm="1">
        <f t="array" ref="AY31">flatInterpolation($AG31,$S$4:$S$9,AX$5:AX$10)</f>
        <v>7.4999999999999997E-3</v>
      </c>
      <c r="AZ31" s="26">
        <f t="shared" ref="AZ31" si="266">EXP(-AY31*YearFraction)*AZ30</f>
        <v>0.95063499679519436</v>
      </c>
      <c r="BA31" s="122">
        <f t="shared" si="13"/>
        <v>1.7841127019597725E-3</v>
      </c>
      <c r="BB31" s="116"/>
      <c r="BC31" s="18" cm="1">
        <f t="array" ref="BC31">flatInterpolation($AG31,$S$4:$S$9,BB$5:BB$10)</f>
        <v>7.5001E-3</v>
      </c>
      <c r="BD31" s="26">
        <f t="shared" ref="BD31" si="267">EXP(-BC31*YearFraction)*BD30</f>
        <v>0.95063492549757211</v>
      </c>
      <c r="BE31" s="122">
        <f t="shared" si="15"/>
        <v>1.784136378627621E-3</v>
      </c>
    </row>
    <row r="32" spans="3:57" x14ac:dyDescent="0.3">
      <c r="K32" s="68" t="s">
        <v>16</v>
      </c>
      <c r="L32" s="69">
        <v>10</v>
      </c>
      <c r="M32" s="70">
        <v>7.500002197267072E-3</v>
      </c>
      <c r="N32" s="71">
        <v>7.4999999999999997E-3</v>
      </c>
      <c r="O32" s="72">
        <f t="shared" ref="O32" si="268">Q9/(1-RecoveryRate)</f>
        <v>7.4999999999999997E-3</v>
      </c>
      <c r="P32" s="71">
        <f t="shared" si="217"/>
        <v>-1.318358943715181E-9</v>
      </c>
      <c r="Q32" s="85">
        <f t="shared" si="218"/>
        <v>2.1972670722833487E-9</v>
      </c>
      <c r="S32" s="17">
        <f>S31+0.01</f>
        <v>4.01</v>
      </c>
      <c r="T32" s="18" cm="1">
        <f t="array" ref="T32">flatInterpolation(S32,Calibration.Times,Calibration.HazardRates)</f>
        <v>7.4999999999999997E-3</v>
      </c>
      <c r="X32" s="24">
        <f t="shared" ref="X32" si="269">X31+YearFraction</f>
        <v>7</v>
      </c>
      <c r="Y32" s="25" cm="1">
        <f t="array" ref="Y32">flatInterpolation(X32,$S$4:$S$9,$T$4:$T$9)</f>
        <v>7.4999999999999997E-3</v>
      </c>
      <c r="Z32" s="26">
        <f t="shared" ref="Z32" si="270">EXP(-Y32*YearFraction)*Z31</f>
        <v>0.94885432105580159</v>
      </c>
      <c r="AA32" s="26">
        <f t="shared" si="3"/>
        <v>1.7807708028971803E-3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7.4999999999999997E-3</v>
      </c>
      <c r="AJ32" s="26">
        <f t="shared" ref="AJ32" si="272">EXP(-AI32*YearFraction)*AJ31</f>
        <v>0.94885422617037429</v>
      </c>
      <c r="AK32" s="122">
        <f t="shared" si="5"/>
        <v>1.7807706248200716E-3</v>
      </c>
      <c r="AL32" s="116"/>
      <c r="AM32" s="18" cm="1">
        <f t="array" ref="AM32">flatInterpolation($AG32,$S$4:$S$9,AL$5:AL$10)</f>
        <v>7.4999999999999997E-3</v>
      </c>
      <c r="AN32" s="26">
        <f t="shared" ref="AN32" si="273">EXP(-AM32*YearFraction)*AN31</f>
        <v>0.94885422617037452</v>
      </c>
      <c r="AO32" s="122">
        <f t="shared" si="7"/>
        <v>1.7807706248200716E-3</v>
      </c>
      <c r="AP32" s="116"/>
      <c r="AQ32" s="18" cm="1">
        <f t="array" ref="AQ32">flatInterpolation($AG32,$S$4:$S$9,AP$5:AP$10)</f>
        <v>7.4999999999999997E-3</v>
      </c>
      <c r="AR32" s="26">
        <f t="shared" ref="AR32" si="274">EXP(-AQ32*YearFraction)*AR31</f>
        <v>0.94885422617037452</v>
      </c>
      <c r="AS32" s="122">
        <f t="shared" si="9"/>
        <v>1.7807706248200716E-3</v>
      </c>
      <c r="AT32" s="116"/>
      <c r="AU32" s="18" cm="1">
        <f t="array" ref="AU32">flatInterpolation($AG32,$S$4:$S$9,AT$5:AT$10)</f>
        <v>7.4999999999999997E-3</v>
      </c>
      <c r="AV32" s="26">
        <f t="shared" ref="AV32" si="275">EXP(-AU32*YearFraction)*AV31</f>
        <v>0.94885422617037429</v>
      </c>
      <c r="AW32" s="122">
        <f t="shared" si="11"/>
        <v>1.7807706248200716E-3</v>
      </c>
      <c r="AX32" s="116"/>
      <c r="AY32" s="18" cm="1">
        <f t="array" ref="AY32">flatInterpolation($AG32,$S$4:$S$9,AX$5:AX$10)</f>
        <v>7.4999999999999997E-3</v>
      </c>
      <c r="AZ32" s="26">
        <f t="shared" ref="AZ32" si="276">EXP(-AY32*YearFraction)*AZ31</f>
        <v>0.94885422617037429</v>
      </c>
      <c r="BA32" s="122">
        <f t="shared" si="13"/>
        <v>1.7807706248200716E-3</v>
      </c>
      <c r="BB32" s="116"/>
      <c r="BC32" s="18" cm="1">
        <f t="array" ref="BC32">flatInterpolation($AG32,$S$4:$S$9,BB$5:BB$10)</f>
        <v>7.5001E-3</v>
      </c>
      <c r="BD32" s="26">
        <f t="shared" ref="BD32" si="277">EXP(-BC32*YearFraction)*BD31</f>
        <v>0.94885413128495621</v>
      </c>
      <c r="BE32" s="122">
        <f t="shared" si="15"/>
        <v>1.7807942126158993E-3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7.4999999999999997E-3</v>
      </c>
      <c r="X33" s="24">
        <f t="shared" ref="X33" si="278">X32+YearFraction</f>
        <v>7.25</v>
      </c>
      <c r="Y33" s="25" cm="1">
        <f t="array" ref="Y33">flatInterpolation(X33,$S$4:$S$9,$T$4:$T$9)</f>
        <v>7.4999999999999997E-3</v>
      </c>
      <c r="Z33" s="26">
        <f t="shared" ref="Z33" si="279">EXP(-Y33*YearFraction)*Z32</f>
        <v>0.94707688606985418</v>
      </c>
      <c r="AA33" s="26">
        <f t="shared" si="3"/>
        <v>1.7774349859474015E-3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7.4999999999999997E-3</v>
      </c>
      <c r="AJ33" s="26">
        <f t="shared" ref="AJ33" si="281">EXP(-AI33*YearFraction)*AJ32</f>
        <v>0.94707679136217038</v>
      </c>
      <c r="AK33" s="122">
        <f t="shared" si="5"/>
        <v>1.7774348082039149E-3</v>
      </c>
      <c r="AL33" s="116"/>
      <c r="AM33" s="18" cm="1">
        <f t="array" ref="AM33">flatInterpolation($AG33,$S$4:$S$9,AL$5:AL$10)</f>
        <v>7.4999999999999997E-3</v>
      </c>
      <c r="AN33" s="26">
        <f t="shared" ref="AN33" si="282">EXP(-AM33*YearFraction)*AN32</f>
        <v>0.9470767913621706</v>
      </c>
      <c r="AO33" s="122">
        <f t="shared" si="7"/>
        <v>1.7774348082039149E-3</v>
      </c>
      <c r="AP33" s="116"/>
      <c r="AQ33" s="18" cm="1">
        <f t="array" ref="AQ33">flatInterpolation($AG33,$S$4:$S$9,AP$5:AP$10)</f>
        <v>7.4999999999999997E-3</v>
      </c>
      <c r="AR33" s="26">
        <f t="shared" ref="AR33" si="283">EXP(-AQ33*YearFraction)*AR32</f>
        <v>0.9470767913621706</v>
      </c>
      <c r="AS33" s="122">
        <f t="shared" si="9"/>
        <v>1.7774348082039149E-3</v>
      </c>
      <c r="AT33" s="116"/>
      <c r="AU33" s="18" cm="1">
        <f t="array" ref="AU33">flatInterpolation($AG33,$S$4:$S$9,AT$5:AT$10)</f>
        <v>7.4999999999999997E-3</v>
      </c>
      <c r="AV33" s="26">
        <f t="shared" ref="AV33" si="284">EXP(-AU33*YearFraction)*AV32</f>
        <v>0.94707679136217038</v>
      </c>
      <c r="AW33" s="122">
        <f t="shared" si="11"/>
        <v>1.7774348082039149E-3</v>
      </c>
      <c r="AX33" s="116"/>
      <c r="AY33" s="18" cm="1">
        <f t="array" ref="AY33">flatInterpolation($AG33,$S$4:$S$9,AX$5:AX$10)</f>
        <v>7.4999999999999997E-3</v>
      </c>
      <c r="AZ33" s="26">
        <f t="shared" ref="AZ33" si="285">EXP(-AY33*YearFraction)*AZ32</f>
        <v>0.94707679136217038</v>
      </c>
      <c r="BA33" s="122">
        <f t="shared" si="13"/>
        <v>1.7774348082039149E-3</v>
      </c>
      <c r="BB33" s="116"/>
      <c r="BC33" s="18" cm="1">
        <f t="array" ref="BC33">flatInterpolation($AG33,$S$4:$S$9,BB$5:BB$10)</f>
        <v>7.5001E-3</v>
      </c>
      <c r="BD33" s="26">
        <f t="shared" ref="BD33" si="286">EXP(-BC33*YearFraction)*BD32</f>
        <v>0.94707667297757858</v>
      </c>
      <c r="BE33" s="122">
        <f t="shared" si="15"/>
        <v>1.7774583073776329E-3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7.4999999999999997E-3</v>
      </c>
      <c r="X34" s="24">
        <f t="shared" ref="X34" si="287">X33+YearFraction</f>
        <v>7.5</v>
      </c>
      <c r="Y34" s="25" cm="1">
        <f t="array" ref="Y34">flatInterpolation(X34,$S$4:$S$9,$T$4:$T$9)</f>
        <v>7.4999999999999997E-3</v>
      </c>
      <c r="Z34" s="26">
        <f t="shared" ref="Z34" si="288">EXP(-Y34*YearFraction)*Z33</f>
        <v>0.94530278065205986</v>
      </c>
      <c r="AA34" s="26">
        <f t="shared" si="3"/>
        <v>1.774105417794325E-3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7.4999999999999997E-3</v>
      </c>
      <c r="AJ34" s="26">
        <f t="shared" ref="AJ34" si="290">EXP(-AI34*YearFraction)*AJ33</f>
        <v>0.94530268612178658</v>
      </c>
      <c r="AK34" s="122">
        <f t="shared" si="5"/>
        <v>1.7741052403837942E-3</v>
      </c>
      <c r="AL34" s="116"/>
      <c r="AM34" s="18" cm="1">
        <f t="array" ref="AM34">flatInterpolation($AG34,$S$4:$S$9,AL$5:AL$10)</f>
        <v>7.4999999999999997E-3</v>
      </c>
      <c r="AN34" s="26">
        <f t="shared" ref="AN34" si="291">EXP(-AM34*YearFraction)*AN33</f>
        <v>0.94530268612178681</v>
      </c>
      <c r="AO34" s="122">
        <f t="shared" si="7"/>
        <v>1.7741052403837942E-3</v>
      </c>
      <c r="AP34" s="116"/>
      <c r="AQ34" s="18" cm="1">
        <f t="array" ref="AQ34">flatInterpolation($AG34,$S$4:$S$9,AP$5:AP$10)</f>
        <v>7.4999999999999997E-3</v>
      </c>
      <c r="AR34" s="26">
        <f t="shared" ref="AR34" si="292">EXP(-AQ34*YearFraction)*AR33</f>
        <v>0.94530268612178681</v>
      </c>
      <c r="AS34" s="122">
        <f t="shared" si="9"/>
        <v>1.7741052403837942E-3</v>
      </c>
      <c r="AT34" s="116"/>
      <c r="AU34" s="18" cm="1">
        <f t="array" ref="AU34">flatInterpolation($AG34,$S$4:$S$9,AT$5:AT$10)</f>
        <v>7.4999999999999997E-3</v>
      </c>
      <c r="AV34" s="26">
        <f t="shared" ref="AV34" si="293">EXP(-AU34*YearFraction)*AV33</f>
        <v>0.94530268612178658</v>
      </c>
      <c r="AW34" s="122">
        <f t="shared" si="11"/>
        <v>1.7741052403837942E-3</v>
      </c>
      <c r="AX34" s="116"/>
      <c r="AY34" s="18" cm="1">
        <f t="array" ref="AY34">flatInterpolation($AG34,$S$4:$S$9,AX$5:AX$10)</f>
        <v>7.4999999999999997E-3</v>
      </c>
      <c r="AZ34" s="26">
        <f t="shared" ref="AZ34" si="294">EXP(-AY34*YearFraction)*AZ33</f>
        <v>0.94530268612178658</v>
      </c>
      <c r="BA34" s="122">
        <f t="shared" si="13"/>
        <v>1.7741052403837942E-3</v>
      </c>
      <c r="BB34" s="116"/>
      <c r="BC34" s="18" cm="1">
        <f t="array" ref="BC34">flatInterpolation($AG34,$S$4:$S$9,BB$5:BB$10)</f>
        <v>7.5001E-3</v>
      </c>
      <c r="BD34" s="26">
        <f t="shared" ref="BD34" si="295">EXP(-BC34*YearFraction)*BD33</f>
        <v>0.94530254432639393</v>
      </c>
      <c r="BE34" s="122">
        <f t="shared" si="15"/>
        <v>1.7741286511846477E-3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7.4999999999999997E-3</v>
      </c>
      <c r="X35" s="24">
        <f t="shared" ref="X35" si="296">X34+YearFraction</f>
        <v>7.75</v>
      </c>
      <c r="Y35" s="25" cm="1">
        <f t="array" ref="Y35">flatInterpolation(X35,$S$4:$S$9,$T$4:$T$9)</f>
        <v>7.4999999999999997E-3</v>
      </c>
      <c r="Z35" s="26">
        <f t="shared" ref="Z35" si="297">EXP(-Y35*YearFraction)*Z34</f>
        <v>0.94353199856532732</v>
      </c>
      <c r="AA35" s="26">
        <f t="shared" si="3"/>
        <v>1.7707820867325363E-3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7.4999999999999997E-3</v>
      </c>
      <c r="AJ35" s="26">
        <f t="shared" ref="AJ35" si="299">EXP(-AI35*YearFraction)*AJ34</f>
        <v>0.94353190421213229</v>
      </c>
      <c r="AK35" s="122">
        <f t="shared" si="5"/>
        <v>1.7707819096542954E-3</v>
      </c>
      <c r="AL35" s="116"/>
      <c r="AM35" s="18" cm="1">
        <f t="array" ref="AM35">flatInterpolation($AG35,$S$4:$S$9,AL$5:AL$10)</f>
        <v>7.4999999999999997E-3</v>
      </c>
      <c r="AN35" s="26">
        <f t="shared" ref="AN35" si="300">EXP(-AM35*YearFraction)*AN34</f>
        <v>0.94353190421213251</v>
      </c>
      <c r="AO35" s="122">
        <f t="shared" si="7"/>
        <v>1.7707819096542954E-3</v>
      </c>
      <c r="AP35" s="116"/>
      <c r="AQ35" s="18" cm="1">
        <f t="array" ref="AQ35">flatInterpolation($AG35,$S$4:$S$9,AP$5:AP$10)</f>
        <v>7.4999999999999997E-3</v>
      </c>
      <c r="AR35" s="26">
        <f t="shared" ref="AR35" si="301">EXP(-AQ35*YearFraction)*AR34</f>
        <v>0.94353190421213251</v>
      </c>
      <c r="AS35" s="122">
        <f t="shared" si="9"/>
        <v>1.7707819096542954E-3</v>
      </c>
      <c r="AT35" s="116"/>
      <c r="AU35" s="18" cm="1">
        <f t="array" ref="AU35">flatInterpolation($AG35,$S$4:$S$9,AT$5:AT$10)</f>
        <v>7.4999999999999997E-3</v>
      </c>
      <c r="AV35" s="26">
        <f t="shared" ref="AV35" si="302">EXP(-AU35*YearFraction)*AV34</f>
        <v>0.94353190421213229</v>
      </c>
      <c r="AW35" s="122">
        <f t="shared" si="11"/>
        <v>1.7707819096542954E-3</v>
      </c>
      <c r="AX35" s="116"/>
      <c r="AY35" s="18" cm="1">
        <f t="array" ref="AY35">flatInterpolation($AG35,$S$4:$S$9,AX$5:AX$10)</f>
        <v>7.4999999999999997E-3</v>
      </c>
      <c r="AZ35" s="26">
        <f t="shared" ref="AZ35" si="303">EXP(-AY35*YearFraction)*AZ34</f>
        <v>0.94353190421213229</v>
      </c>
      <c r="BA35" s="122">
        <f t="shared" si="13"/>
        <v>1.7707819096542954E-3</v>
      </c>
      <c r="BB35" s="116"/>
      <c r="BC35" s="18" cm="1">
        <f t="array" ref="BC35">flatInterpolation($AG35,$S$4:$S$9,BB$5:BB$10)</f>
        <v>7.5001E-3</v>
      </c>
      <c r="BD35" s="26">
        <f t="shared" ref="BD35" si="304">EXP(-BC35*YearFraction)*BD34</f>
        <v>0.94353173909406307</v>
      </c>
      <c r="BE35" s="122">
        <f t="shared" si="15"/>
        <v>1.7708052323308632E-3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7.4999999999999997E-3</v>
      </c>
      <c r="Z36" s="26">
        <f t="shared" ref="Z36" si="306">EXP(-Y36*YearFraction)*Z35</f>
        <v>0.94176453358424905</v>
      </c>
      <c r="AA36" s="26">
        <f t="shared" si="3"/>
        <v>1.7674649810782705E-3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7.4999999999999997E-3</v>
      </c>
      <c r="AJ36" s="26">
        <f t="shared" ref="AJ36" si="308">EXP(-AI36*YearFraction)*AJ35</f>
        <v>0.94176443940780052</v>
      </c>
      <c r="AK36" s="122">
        <f t="shared" si="5"/>
        <v>1.7674648043317642E-3</v>
      </c>
      <c r="AL36" s="116"/>
      <c r="AM36" s="18" cm="1">
        <f t="array" ref="AM36">flatInterpolation($AG36,$S$4:$S$9,AL$5:AL$10)</f>
        <v>7.4999999999999997E-3</v>
      </c>
      <c r="AN36" s="26">
        <f t="shared" ref="AN36" si="309">EXP(-AM36*YearFraction)*AN35</f>
        <v>0.94176443940780075</v>
      </c>
      <c r="AO36" s="122">
        <f t="shared" si="7"/>
        <v>1.7674648043317642E-3</v>
      </c>
      <c r="AP36" s="116"/>
      <c r="AQ36" s="18" cm="1">
        <f t="array" ref="AQ36">flatInterpolation($AG36,$S$4:$S$9,AP$5:AP$10)</f>
        <v>7.4999999999999997E-3</v>
      </c>
      <c r="AR36" s="26">
        <f t="shared" ref="AR36" si="310">EXP(-AQ36*YearFraction)*AR35</f>
        <v>0.94176443940780075</v>
      </c>
      <c r="AS36" s="122">
        <f t="shared" si="9"/>
        <v>1.7674648043317642E-3</v>
      </c>
      <c r="AT36" s="116"/>
      <c r="AU36" s="18" cm="1">
        <f t="array" ref="AU36">flatInterpolation($AG36,$S$4:$S$9,AT$5:AT$10)</f>
        <v>7.4999999999999997E-3</v>
      </c>
      <c r="AV36" s="26">
        <f t="shared" ref="AV36" si="311">EXP(-AU36*YearFraction)*AV35</f>
        <v>0.94176443940780052</v>
      </c>
      <c r="AW36" s="122">
        <f t="shared" si="11"/>
        <v>1.7674648043317642E-3</v>
      </c>
      <c r="AX36" s="116"/>
      <c r="AY36" s="18" cm="1">
        <f t="array" ref="AY36">flatInterpolation($AG36,$S$4:$S$9,AX$5:AX$10)</f>
        <v>7.4999999999999997E-3</v>
      </c>
      <c r="AZ36" s="26">
        <f t="shared" ref="AZ36" si="312">EXP(-AY36*YearFraction)*AZ35</f>
        <v>0.94176443940780052</v>
      </c>
      <c r="BA36" s="122">
        <f t="shared" si="13"/>
        <v>1.7674648043317642E-3</v>
      </c>
      <c r="BB36" s="116"/>
      <c r="BC36" s="18" cm="1">
        <f t="array" ref="BC36">flatInterpolation($AG36,$S$4:$S$9,BB$5:BB$10)</f>
        <v>7.5001E-3</v>
      </c>
      <c r="BD36" s="26">
        <f t="shared" ref="BD36" si="313">EXP(-BC36*YearFraction)*BD35</f>
        <v>0.941764251054931</v>
      </c>
      <c r="BE36" s="122">
        <f t="shared" si="15"/>
        <v>1.7674880391320702E-3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7.4999999999999997E-3</v>
      </c>
      <c r="Z37" s="26">
        <f t="shared" ref="Z37" si="315">EXP(-Y37*YearFraction)*Z36</f>
        <v>0.9400003794950792</v>
      </c>
      <c r="AA37" s="26">
        <f t="shared" si="3"/>
        <v>1.7641540891698559E-3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7.4999999999999997E-3</v>
      </c>
      <c r="AJ37" s="26">
        <f t="shared" ref="AJ37" si="317">EXP(-AI37*YearFraction)*AJ36</f>
        <v>0.94000028549504611</v>
      </c>
      <c r="AK37" s="122">
        <f t="shared" si="5"/>
        <v>1.7641539127544181E-3</v>
      </c>
      <c r="AL37" s="116"/>
      <c r="AM37" s="18" cm="1">
        <f t="array" ref="AM37">flatInterpolation($AG37,$S$4:$S$9,AL$5:AL$10)</f>
        <v>7.4999999999999997E-3</v>
      </c>
      <c r="AN37" s="26">
        <f t="shared" ref="AN37" si="318">EXP(-AM37*YearFraction)*AN36</f>
        <v>0.94000028549504633</v>
      </c>
      <c r="AO37" s="122">
        <f t="shared" si="7"/>
        <v>1.7641539127544181E-3</v>
      </c>
      <c r="AP37" s="116"/>
      <c r="AQ37" s="18" cm="1">
        <f t="array" ref="AQ37">flatInterpolation($AG37,$S$4:$S$9,AP$5:AP$10)</f>
        <v>7.4999999999999997E-3</v>
      </c>
      <c r="AR37" s="26">
        <f t="shared" ref="AR37" si="319">EXP(-AQ37*YearFraction)*AR36</f>
        <v>0.94000028549504633</v>
      </c>
      <c r="AS37" s="122">
        <f t="shared" si="9"/>
        <v>1.7641539127544181E-3</v>
      </c>
      <c r="AT37" s="116"/>
      <c r="AU37" s="18" cm="1">
        <f t="array" ref="AU37">flatInterpolation($AG37,$S$4:$S$9,AT$5:AT$10)</f>
        <v>7.4999999999999997E-3</v>
      </c>
      <c r="AV37" s="26">
        <f t="shared" ref="AV37" si="320">EXP(-AU37*YearFraction)*AV36</f>
        <v>0.94000028549504611</v>
      </c>
      <c r="AW37" s="122">
        <f t="shared" si="11"/>
        <v>1.7641539127544181E-3</v>
      </c>
      <c r="AX37" s="116"/>
      <c r="AY37" s="18" cm="1">
        <f t="array" ref="AY37">flatInterpolation($AG37,$S$4:$S$9,AX$5:AX$10)</f>
        <v>7.4999999999999997E-3</v>
      </c>
      <c r="AZ37" s="26">
        <f t="shared" ref="AZ37" si="321">EXP(-AY37*YearFraction)*AZ36</f>
        <v>0.94000028549504611</v>
      </c>
      <c r="BA37" s="122">
        <f t="shared" si="13"/>
        <v>1.7641539127544181E-3</v>
      </c>
      <c r="BB37" s="116"/>
      <c r="BC37" s="18" cm="1">
        <f t="array" ref="BC37">flatInterpolation($AG37,$S$4:$S$9,BB$5:BB$10)</f>
        <v>7.5001E-3</v>
      </c>
      <c r="BD37" s="26">
        <f t="shared" ref="BD37" si="322">EXP(-BC37*YearFraction)*BD36</f>
        <v>0.94000007399500507</v>
      </c>
      <c r="BE37" s="122">
        <f t="shared" si="15"/>
        <v>1.764177059925931E-3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7.4999999999999997E-3</v>
      </c>
      <c r="Z38" s="26">
        <f t="shared" ref="Z38" si="324">EXP(-Y38*YearFraction)*Z37</f>
        <v>0.9382395300957117</v>
      </c>
      <c r="AA38" s="26">
        <f t="shared" si="3"/>
        <v>1.7608493993674923E-3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7.4999999999999997E-3</v>
      </c>
      <c r="AJ38" s="26">
        <f t="shared" ref="AJ38" si="326">EXP(-AI38*YearFraction)*AJ37</f>
        <v>0.93823943627176354</v>
      </c>
      <c r="AK38" s="122">
        <f t="shared" si="5"/>
        <v>1.7608492232825679E-3</v>
      </c>
      <c r="AL38" s="116"/>
      <c r="AM38" s="18" cm="1">
        <f t="array" ref="AM38">flatInterpolation($AG38,$S$4:$S$9,AL$5:AL$10)</f>
        <v>7.4999999999999997E-3</v>
      </c>
      <c r="AN38" s="26">
        <f t="shared" ref="AN38" si="327">EXP(-AM38*YearFraction)*AN37</f>
        <v>0.93823943627176376</v>
      </c>
      <c r="AO38" s="122">
        <f t="shared" si="7"/>
        <v>1.7608492232825679E-3</v>
      </c>
      <c r="AP38" s="116"/>
      <c r="AQ38" s="18" cm="1">
        <f t="array" ref="AQ38">flatInterpolation($AG38,$S$4:$S$9,AP$5:AP$10)</f>
        <v>7.4999999999999997E-3</v>
      </c>
      <c r="AR38" s="26">
        <f t="shared" ref="AR38" si="328">EXP(-AQ38*YearFraction)*AR37</f>
        <v>0.93823943627176376</v>
      </c>
      <c r="AS38" s="122">
        <f t="shared" si="9"/>
        <v>1.7608492232825679E-3</v>
      </c>
      <c r="AT38" s="116"/>
      <c r="AU38" s="18" cm="1">
        <f t="array" ref="AU38">flatInterpolation($AG38,$S$4:$S$9,AT$5:AT$10)</f>
        <v>7.4999999999999997E-3</v>
      </c>
      <c r="AV38" s="26">
        <f t="shared" ref="AV38" si="329">EXP(-AU38*YearFraction)*AV37</f>
        <v>0.93823943627176354</v>
      </c>
      <c r="AW38" s="122">
        <f t="shared" si="11"/>
        <v>1.7608492232825679E-3</v>
      </c>
      <c r="AX38" s="116"/>
      <c r="AY38" s="18" cm="1">
        <f t="array" ref="AY38">flatInterpolation($AG38,$S$4:$S$9,AX$5:AX$10)</f>
        <v>7.4999999999999997E-3</v>
      </c>
      <c r="AZ38" s="26">
        <f t="shared" ref="AZ38" si="330">EXP(-AY38*YearFraction)*AZ37</f>
        <v>0.93823943627176354</v>
      </c>
      <c r="BA38" s="122">
        <f t="shared" si="13"/>
        <v>1.7608492232825679E-3</v>
      </c>
      <c r="BB38" s="116"/>
      <c r="BC38" s="18" cm="1">
        <f t="array" ref="BC38">flatInterpolation($AG38,$S$4:$S$9,BB$5:BB$10)</f>
        <v>7.5001E-3</v>
      </c>
      <c r="BD38" s="26">
        <f t="shared" ref="BD38" si="331">EXP(-BC38*YearFraction)*BD37</f>
        <v>0.93823920171193309</v>
      </c>
      <c r="BE38" s="122">
        <f t="shared" si="15"/>
        <v>1.7608722830719792E-3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7.4999999999999997E-3</v>
      </c>
      <c r="Z39" s="26">
        <f t="shared" ref="Z39" si="333">EXP(-Y39*YearFraction)*Z38</f>
        <v>0.93648197919565856</v>
      </c>
      <c r="AA39" s="26">
        <f t="shared" si="3"/>
        <v>1.7575509000531397E-3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7.4999999999999997E-3</v>
      </c>
      <c r="AJ39" s="26">
        <f t="shared" ref="AJ39" si="335">EXP(-AI39*YearFraction)*AJ38</f>
        <v>0.93648188554746548</v>
      </c>
      <c r="AK39" s="122">
        <f t="shared" si="5"/>
        <v>1.7575507242980626E-3</v>
      </c>
      <c r="AL39" s="116"/>
      <c r="AM39" s="18" cm="1">
        <f t="array" ref="AM39">flatInterpolation($AG39,$S$4:$S$9,AL$5:AL$10)</f>
        <v>7.4999999999999997E-3</v>
      </c>
      <c r="AN39" s="26">
        <f t="shared" ref="AN39" si="336">EXP(-AM39*YearFraction)*AN38</f>
        <v>0.9364818855474657</v>
      </c>
      <c r="AO39" s="122">
        <f t="shared" si="7"/>
        <v>1.7575507242980626E-3</v>
      </c>
      <c r="AP39" s="116"/>
      <c r="AQ39" s="18" cm="1">
        <f t="array" ref="AQ39">flatInterpolation($AG39,$S$4:$S$9,AP$5:AP$10)</f>
        <v>7.4999999999999997E-3</v>
      </c>
      <c r="AR39" s="26">
        <f t="shared" ref="AR39" si="337">EXP(-AQ39*YearFraction)*AR38</f>
        <v>0.9364818855474657</v>
      </c>
      <c r="AS39" s="122">
        <f t="shared" si="9"/>
        <v>1.7575507242980626E-3</v>
      </c>
      <c r="AT39" s="116"/>
      <c r="AU39" s="18" cm="1">
        <f t="array" ref="AU39">flatInterpolation($AG39,$S$4:$S$9,AT$5:AT$10)</f>
        <v>7.4999999999999997E-3</v>
      </c>
      <c r="AV39" s="26">
        <f t="shared" ref="AV39" si="338">EXP(-AU39*YearFraction)*AV38</f>
        <v>0.93648188554746548</v>
      </c>
      <c r="AW39" s="122">
        <f t="shared" si="11"/>
        <v>1.7575507242980626E-3</v>
      </c>
      <c r="AX39" s="116"/>
      <c r="AY39" s="18" cm="1">
        <f t="array" ref="AY39">flatInterpolation($AG39,$S$4:$S$9,AX$5:AX$10)</f>
        <v>7.4999999999999997E-3</v>
      </c>
      <c r="AZ39" s="26">
        <f t="shared" ref="AZ39" si="339">EXP(-AY39*YearFraction)*AZ38</f>
        <v>0.93648188554746548</v>
      </c>
      <c r="BA39" s="122">
        <f t="shared" si="13"/>
        <v>1.7575507242980626E-3</v>
      </c>
      <c r="BB39" s="116"/>
      <c r="BC39" s="18" cm="1">
        <f t="array" ref="BC39">flatInterpolation($AG39,$S$4:$S$9,BB$5:BB$10)</f>
        <v>7.5001E-3</v>
      </c>
      <c r="BD39" s="26">
        <f t="shared" ref="BD39" si="340">EXP(-BC39*YearFraction)*BD38</f>
        <v>0.93648162801498158</v>
      </c>
      <c r="BE39" s="122">
        <f t="shared" si="15"/>
        <v>1.7575736969515088E-3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7.4999999999999997E-3</v>
      </c>
      <c r="Z40" s="26">
        <f t="shared" ref="Z40" si="342">EXP(-Y40*YearFraction)*Z39</f>
        <v>0.93472772061602805</v>
      </c>
      <c r="AA40" s="26">
        <f t="shared" si="3"/>
        <v>1.7542585796305188E-3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7.4999999999999997E-3</v>
      </c>
      <c r="AJ40" s="26">
        <f t="shared" ref="AJ40" si="344">EXP(-AI40*YearFraction)*AJ39</f>
        <v>0.93472762714326085</v>
      </c>
      <c r="AK40" s="122">
        <f t="shared" si="5"/>
        <v>1.7542584042046228E-3</v>
      </c>
      <c r="AL40" s="116"/>
      <c r="AM40" s="18" cm="1">
        <f t="array" ref="AM40">flatInterpolation($AG40,$S$4:$S$9,AL$5:AL$10)</f>
        <v>7.4999999999999997E-3</v>
      </c>
      <c r="AN40" s="26">
        <f t="shared" ref="AN40" si="345">EXP(-AM40*YearFraction)*AN39</f>
        <v>0.93472762714326108</v>
      </c>
      <c r="AO40" s="122">
        <f t="shared" si="7"/>
        <v>1.7542584042046228E-3</v>
      </c>
      <c r="AP40" s="116"/>
      <c r="AQ40" s="18" cm="1">
        <f t="array" ref="AQ40">flatInterpolation($AG40,$S$4:$S$9,AP$5:AP$10)</f>
        <v>7.4999999999999997E-3</v>
      </c>
      <c r="AR40" s="26">
        <f t="shared" ref="AR40" si="346">EXP(-AQ40*YearFraction)*AR39</f>
        <v>0.93472762714326108</v>
      </c>
      <c r="AS40" s="122">
        <f t="shared" si="9"/>
        <v>1.7542584042046228E-3</v>
      </c>
      <c r="AT40" s="116"/>
      <c r="AU40" s="18" cm="1">
        <f t="array" ref="AU40">flatInterpolation($AG40,$S$4:$S$9,AT$5:AT$10)</f>
        <v>7.4999999999999997E-3</v>
      </c>
      <c r="AV40" s="26">
        <f t="shared" ref="AV40" si="347">EXP(-AU40*YearFraction)*AV39</f>
        <v>0.93472762714326085</v>
      </c>
      <c r="AW40" s="122">
        <f t="shared" si="11"/>
        <v>1.7542584042046228E-3</v>
      </c>
      <c r="AX40" s="116"/>
      <c r="AY40" s="18" cm="1">
        <f t="array" ref="AY40">flatInterpolation($AG40,$S$4:$S$9,AX$5:AX$10)</f>
        <v>7.4999999999999997E-3</v>
      </c>
      <c r="AZ40" s="26">
        <f t="shared" ref="AZ40" si="348">EXP(-AY40*YearFraction)*AZ39</f>
        <v>0.93472762714326085</v>
      </c>
      <c r="BA40" s="122">
        <f t="shared" si="13"/>
        <v>1.7542584042046228E-3</v>
      </c>
      <c r="BB40" s="116"/>
      <c r="BC40" s="18" cm="1">
        <f t="array" ref="BC40">flatInterpolation($AG40,$S$4:$S$9,BB$5:BB$10)</f>
        <v>7.5001E-3</v>
      </c>
      <c r="BD40" s="26">
        <f t="shared" ref="BD40" si="349">EXP(-BC40*YearFraction)*BD39</f>
        <v>0.9347273467250139</v>
      </c>
      <c r="BE40" s="122">
        <f t="shared" si="15"/>
        <v>1.7542812899676852E-3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7.4999999999999997E-3</v>
      </c>
      <c r="Z41" s="26">
        <f t="shared" ref="Z41" si="351">EXP(-Y41*YearFraction)*Z40</f>
        <v>0.93297674818950305</v>
      </c>
      <c r="AA41" s="26">
        <f t="shared" si="3"/>
        <v>1.7509724265249993E-3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7.4999999999999997E-3</v>
      </c>
      <c r="AJ41" s="26">
        <f t="shared" ref="AJ41" si="353">EXP(-AI41*YearFraction)*AJ40</f>
        <v>0.93297665489183312</v>
      </c>
      <c r="AK41" s="122">
        <f t="shared" si="5"/>
        <v>1.7509722514277293E-3</v>
      </c>
      <c r="AL41" s="116"/>
      <c r="AM41" s="18" cm="1">
        <f t="array" ref="AM41">flatInterpolation($AG41,$S$4:$S$9,AL$5:AL$10)</f>
        <v>7.4999999999999997E-3</v>
      </c>
      <c r="AN41" s="26">
        <f t="shared" ref="AN41" si="354">EXP(-AM41*YearFraction)*AN40</f>
        <v>0.93297665489183335</v>
      </c>
      <c r="AO41" s="122">
        <f t="shared" si="7"/>
        <v>1.7509722514277293E-3</v>
      </c>
      <c r="AP41" s="116"/>
      <c r="AQ41" s="18" cm="1">
        <f t="array" ref="AQ41">flatInterpolation($AG41,$S$4:$S$9,AP$5:AP$10)</f>
        <v>7.4999999999999997E-3</v>
      </c>
      <c r="AR41" s="26">
        <f t="shared" ref="AR41" si="355">EXP(-AQ41*YearFraction)*AR40</f>
        <v>0.93297665489183335</v>
      </c>
      <c r="AS41" s="122">
        <f t="shared" si="9"/>
        <v>1.7509722514277293E-3</v>
      </c>
      <c r="AT41" s="116"/>
      <c r="AU41" s="18" cm="1">
        <f t="array" ref="AU41">flatInterpolation($AG41,$S$4:$S$9,AT$5:AT$10)</f>
        <v>7.4999999999999997E-3</v>
      </c>
      <c r="AV41" s="26">
        <f t="shared" ref="AV41" si="356">EXP(-AU41*YearFraction)*AV40</f>
        <v>0.93297665489183312</v>
      </c>
      <c r="AW41" s="122">
        <f t="shared" si="11"/>
        <v>1.7509722514277293E-3</v>
      </c>
      <c r="AX41" s="116"/>
      <c r="AY41" s="18" cm="1">
        <f t="array" ref="AY41">flatInterpolation($AG41,$S$4:$S$9,AX$5:AX$10)</f>
        <v>7.4999999999999997E-3</v>
      </c>
      <c r="AZ41" s="26">
        <f t="shared" ref="AZ41" si="357">EXP(-AY41*YearFraction)*AZ40</f>
        <v>0.93297665489183312</v>
      </c>
      <c r="BA41" s="122">
        <f t="shared" si="13"/>
        <v>1.7509722514277293E-3</v>
      </c>
      <c r="BB41" s="116"/>
      <c r="BC41" s="18" cm="1">
        <f t="array" ref="BC41">flatInterpolation($AG41,$S$4:$S$9,BB$5:BB$10)</f>
        <v>7.5001E-3</v>
      </c>
      <c r="BD41" s="26">
        <f t="shared" ref="BD41" si="358">EXP(-BC41*YearFraction)*BD40</f>
        <v>0.93297635167446857</v>
      </c>
      <c r="BE41" s="122">
        <f t="shared" si="15"/>
        <v>1.7509950505453231E-3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7.4999999999999997E-3</v>
      </c>
      <c r="L42" s="108">
        <v>7.500002197266876E-3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7.4999999999999997E-3</v>
      </c>
      <c r="Z42" s="26">
        <f t="shared" ref="Z42" si="360">EXP(-Y42*YearFraction)*Z41</f>
        <v>0.93122905576031934</v>
      </c>
      <c r="AA42" s="26">
        <f t="shared" si="3"/>
        <v>1.7476924291837115E-3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7.4999999999999997E-3</v>
      </c>
      <c r="AJ42" s="26">
        <f t="shared" ref="AJ42" si="362">EXP(-AI42*YearFraction)*AJ41</f>
        <v>0.93122896263741861</v>
      </c>
      <c r="AK42" s="122">
        <f t="shared" si="5"/>
        <v>1.7476922544145124E-3</v>
      </c>
      <c r="AL42" s="116"/>
      <c r="AM42" s="18" cm="1">
        <f t="array" ref="AM42">flatInterpolation($AG42,$S$4:$S$9,AL$5:AL$10)</f>
        <v>7.4999999999999997E-3</v>
      </c>
      <c r="AN42" s="26">
        <f t="shared" ref="AN42" si="363">EXP(-AM42*YearFraction)*AN41</f>
        <v>0.93122896263741883</v>
      </c>
      <c r="AO42" s="122">
        <f t="shared" si="7"/>
        <v>1.7476922544145124E-3</v>
      </c>
      <c r="AP42" s="116"/>
      <c r="AQ42" s="18" cm="1">
        <f t="array" ref="AQ42">flatInterpolation($AG42,$S$4:$S$9,AP$5:AP$10)</f>
        <v>7.4999999999999997E-3</v>
      </c>
      <c r="AR42" s="26">
        <f t="shared" ref="AR42" si="364">EXP(-AQ42*YearFraction)*AR41</f>
        <v>0.93122896263741883</v>
      </c>
      <c r="AS42" s="122">
        <f t="shared" si="9"/>
        <v>1.7476922544145124E-3</v>
      </c>
      <c r="AT42" s="116"/>
      <c r="AU42" s="18" cm="1">
        <f t="array" ref="AU42">flatInterpolation($AG42,$S$4:$S$9,AT$5:AT$10)</f>
        <v>7.4999999999999997E-3</v>
      </c>
      <c r="AV42" s="26">
        <f t="shared" ref="AV42" si="365">EXP(-AU42*YearFraction)*AV41</f>
        <v>0.93122896263741861</v>
      </c>
      <c r="AW42" s="122">
        <f t="shared" si="11"/>
        <v>1.7476922544145124E-3</v>
      </c>
      <c r="AX42" s="116"/>
      <c r="AY42" s="18" cm="1">
        <f t="array" ref="AY42">flatInterpolation($AG42,$S$4:$S$9,AX$5:AX$10)</f>
        <v>7.4999999999999997E-3</v>
      </c>
      <c r="AZ42" s="26">
        <f t="shared" ref="AZ42" si="366">EXP(-AY42*YearFraction)*AZ41</f>
        <v>0.93122896263741861</v>
      </c>
      <c r="BA42" s="122">
        <f t="shared" si="13"/>
        <v>1.7476922544145124E-3</v>
      </c>
      <c r="BB42" s="116"/>
      <c r="BC42" s="18" cm="1">
        <f t="array" ref="BC42">flatInterpolation($AG42,$S$4:$S$9,BB$5:BB$10)</f>
        <v>7.5001E-3</v>
      </c>
      <c r="BD42" s="26">
        <f t="shared" ref="BD42" si="367">EXP(-BC42*YearFraction)*BD41</f>
        <v>0.9312286367073378</v>
      </c>
      <c r="BE42" s="122">
        <f t="shared" si="15"/>
        <v>1.7477149671307757E-3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7.4999999999999997E-3</v>
      </c>
      <c r="L43" s="103">
        <v>7.5000021972668855E-3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7.4999999999999997E-3</v>
      </c>
      <c r="Z43" s="26">
        <f t="shared" ref="Z43" si="369">EXP(-Y43*YearFraction)*Z42</f>
        <v>0.9294846371842439</v>
      </c>
      <c r="AA43" s="26">
        <f t="shared" si="3"/>
        <v>1.7444185760754349E-3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7.4999999999999997E-3</v>
      </c>
      <c r="AJ43" s="26">
        <f t="shared" ref="AJ43" si="371">EXP(-AI43*YearFraction)*AJ42</f>
        <v>0.92948454423578508</v>
      </c>
      <c r="AK43" s="122">
        <f t="shared" si="5"/>
        <v>1.7444184016335296E-3</v>
      </c>
      <c r="AL43" s="116"/>
      <c r="AM43" s="18" cm="1">
        <f t="array" ref="AM43">flatInterpolation($AG43,$S$4:$S$9,AL$5:AL$10)</f>
        <v>7.4999999999999997E-3</v>
      </c>
      <c r="AN43" s="26">
        <f t="shared" ref="AN43" si="372">EXP(-AM43*YearFraction)*AN42</f>
        <v>0.9294845442357853</v>
      </c>
      <c r="AO43" s="122">
        <f t="shared" si="7"/>
        <v>1.7444184016335296E-3</v>
      </c>
      <c r="AP43" s="116"/>
      <c r="AQ43" s="18" cm="1">
        <f t="array" ref="AQ43">flatInterpolation($AG43,$S$4:$S$9,AP$5:AP$10)</f>
        <v>7.4999999999999997E-3</v>
      </c>
      <c r="AR43" s="26">
        <f t="shared" ref="AR43" si="373">EXP(-AQ43*YearFraction)*AR42</f>
        <v>0.9294845442357853</v>
      </c>
      <c r="AS43" s="122">
        <f t="shared" si="9"/>
        <v>1.7444184016335296E-3</v>
      </c>
      <c r="AT43" s="116"/>
      <c r="AU43" s="18" cm="1">
        <f t="array" ref="AU43">flatInterpolation($AG43,$S$4:$S$9,AT$5:AT$10)</f>
        <v>7.4999999999999997E-3</v>
      </c>
      <c r="AV43" s="26">
        <f t="shared" ref="AV43" si="374">EXP(-AU43*YearFraction)*AV42</f>
        <v>0.92948454423578508</v>
      </c>
      <c r="AW43" s="122">
        <f t="shared" si="11"/>
        <v>1.7444184016335296E-3</v>
      </c>
      <c r="AX43" s="116"/>
      <c r="AY43" s="18" cm="1">
        <f t="array" ref="AY43">flatInterpolation($AG43,$S$4:$S$9,AX$5:AX$10)</f>
        <v>7.4999999999999997E-3</v>
      </c>
      <c r="AZ43" s="26">
        <f t="shared" ref="AZ43" si="375">EXP(-AY43*YearFraction)*AZ42</f>
        <v>0.92948454423578508</v>
      </c>
      <c r="BA43" s="122">
        <f t="shared" si="13"/>
        <v>1.7444184016335296E-3</v>
      </c>
      <c r="BB43" s="116"/>
      <c r="BC43" s="18" cm="1">
        <f t="array" ref="BC43">flatInterpolation($AG43,$S$4:$S$9,BB$5:BB$10)</f>
        <v>7.5001E-3</v>
      </c>
      <c r="BD43" s="26">
        <f t="shared" ref="BD43" si="376">EXP(-BC43*YearFraction)*BD42</f>
        <v>0.92948419567914531</v>
      </c>
      <c r="BE43" s="122">
        <f t="shared" si="15"/>
        <v>1.7444410281924894E-3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7.4999999999999997E-3</v>
      </c>
      <c r="L44" s="103">
        <v>7.5000021972667849E-3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7.4999999999999997E-3</v>
      </c>
      <c r="Z44" s="14">
        <f t="shared" ref="Z44" si="378">EXP(-Y44*YearFraction)*Z43</f>
        <v>0.92774348632855341</v>
      </c>
      <c r="AA44" s="14">
        <f t="shared" si="3"/>
        <v>1.7411508556904876E-3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7.4999999999999997E-3</v>
      </c>
      <c r="AJ44" s="14">
        <f t="shared" ref="AJ44" si="380">EXP(-AI44*YearFraction)*AJ43</f>
        <v>0.92774339355420965</v>
      </c>
      <c r="AK44" s="123">
        <f t="shared" si="5"/>
        <v>1.7411506815754318E-3</v>
      </c>
      <c r="AL44" s="112"/>
      <c r="AM44" s="36" cm="1">
        <f t="array" ref="AM44">flatInterpolation($AG44,$S$4:$S$9,AL$5:AL$10)</f>
        <v>7.4999999999999997E-3</v>
      </c>
      <c r="AN44" s="14">
        <f t="shared" ref="AN44" si="381">EXP(-AM44*YearFraction)*AN43</f>
        <v>0.92774339355420987</v>
      </c>
      <c r="AO44" s="123">
        <f t="shared" si="7"/>
        <v>1.7411506815754318E-3</v>
      </c>
      <c r="AP44" s="112"/>
      <c r="AQ44" s="36" cm="1">
        <f t="array" ref="AQ44">flatInterpolation($AG44,$S$4:$S$9,AP$5:AP$10)</f>
        <v>7.4999999999999997E-3</v>
      </c>
      <c r="AR44" s="14">
        <f t="shared" ref="AR44" si="382">EXP(-AQ44*YearFraction)*AR43</f>
        <v>0.92774339355420987</v>
      </c>
      <c r="AS44" s="123">
        <f t="shared" si="9"/>
        <v>1.7411506815754318E-3</v>
      </c>
      <c r="AT44" s="112"/>
      <c r="AU44" s="36" cm="1">
        <f t="array" ref="AU44">flatInterpolation($AG44,$S$4:$S$9,AT$5:AT$10)</f>
        <v>7.4999999999999997E-3</v>
      </c>
      <c r="AV44" s="14">
        <f t="shared" ref="AV44" si="383">EXP(-AU44*YearFraction)*AV43</f>
        <v>0.92774339355420965</v>
      </c>
      <c r="AW44" s="123">
        <f t="shared" si="11"/>
        <v>1.7411506815754318E-3</v>
      </c>
      <c r="AX44" s="112"/>
      <c r="AY44" s="36" cm="1">
        <f t="array" ref="AY44">flatInterpolation($AG44,$S$4:$S$9,AX$5:AX$10)</f>
        <v>7.4999999999999997E-3</v>
      </c>
      <c r="AZ44" s="14">
        <f t="shared" ref="AZ44" si="384">EXP(-AY44*YearFraction)*AZ43</f>
        <v>0.92774339355420965</v>
      </c>
      <c r="BA44" s="123">
        <f t="shared" si="13"/>
        <v>1.7411506815754318E-3</v>
      </c>
      <c r="BB44" s="112"/>
      <c r="BC44" s="36" cm="1">
        <f t="array" ref="BC44">flatInterpolation($AG44,$S$4:$S$9,BB$5:BB$10)</f>
        <v>7.5001E-3</v>
      </c>
      <c r="BD44" s="14">
        <f t="shared" ref="BD44" si="385">EXP(-BC44*YearFraction)*BD43</f>
        <v>0.92774302245692541</v>
      </c>
      <c r="BE44" s="123">
        <f t="shared" si="15"/>
        <v>1.7411732222198939E-3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7.4999999999999997E-3</v>
      </c>
      <c r="L45" s="103">
        <v>7.5000021972667771E-3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7.4999999999999997E-3</v>
      </c>
      <c r="L46" s="103">
        <v>7.5000021972668586E-3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7.4999999999999997E-3</v>
      </c>
      <c r="L47" s="105">
        <v>7.500002197267072E-3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0.59999947339510473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0.59999947265655906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0.59999947339510473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0.30773691983565499</v>
      </c>
      <c r="L54" s="93">
        <f t="shared" si="386"/>
        <v>0.29226255393241529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0.30938083497625846</v>
      </c>
      <c r="Z54" s="93">
        <f>(Z65*RiskyAnnuity2Y-Protection2Y*Z76)/RiskyAnnuity2Y^2*Notional</f>
        <v>0.29226256121966249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0.30773691983565499</v>
      </c>
      <c r="AI54" s="93">
        <f>(AI65-$U15)/ShiftSize</f>
        <v>0.29226255393241529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0.2101966651082976</v>
      </c>
      <c r="L55" s="93">
        <f t="shared" si="386"/>
        <v>0.19962705538091596</v>
      </c>
      <c r="M55" s="93">
        <f t="shared" si="386"/>
        <v>0.19017575246353668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0.2153122327534798</v>
      </c>
      <c r="Z55" s="93">
        <f>(Z66*RiskyAnnuity3Y-Protection3Y*Z77)/RiskyAnnuity3Y^2*Notional</f>
        <v>0.20069676183328955</v>
      </c>
      <c r="AA55" s="93">
        <f>(AA66*RiskyAnnuity3Y-Protection3Y*AA77)/RiskyAnnuity3Y^2*Notional</f>
        <v>0.19017575902027492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0.2101966651082976</v>
      </c>
      <c r="AI55" s="93">
        <f>(AI66-$U16)/ShiftSize</f>
        <v>0.19962705538091596</v>
      </c>
      <c r="AJ55" s="93">
        <f>(AJ66-$U16)/ShiftSize</f>
        <v>0.19017575246353668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0.16137129874548017</v>
      </c>
      <c r="L56" s="93">
        <f t="shared" si="386"/>
        <v>0.15325684367406556</v>
      </c>
      <c r="M56" s="93">
        <f t="shared" si="386"/>
        <v>0.14600093022586191</v>
      </c>
      <c r="N56" s="93">
        <f t="shared" si="386"/>
        <v>0.13937040020325919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0.17041579880870505</v>
      </c>
      <c r="Z56" s="93">
        <f>(Z67*RiskyAnnuity4Y-Protection4Y*Z78)/RiskyAnnuity4Y^2*Notional</f>
        <v>0.15700193261993423</v>
      </c>
      <c r="AA56" s="93">
        <f>(AA67*RiskyAnnuity4Y-Protection4Y*AA78)/RiskyAnnuity4Y^2*Notional</f>
        <v>0.14678486805915991</v>
      </c>
      <c r="AB56" s="93">
        <f>(AB67*RiskyAnnuity4Y-Protection4Y*AB78)/RiskyAnnuity4Y^2*Notional</f>
        <v>0.13937040535916223</v>
      </c>
      <c r="AC56" s="94">
        <v>0</v>
      </c>
      <c r="AD56" s="95">
        <v>0</v>
      </c>
      <c r="AG56" s="2" t="s">
        <v>63</v>
      </c>
      <c r="AH56" s="92">
        <f t="shared" si="387"/>
        <v>0.16137129874548017</v>
      </c>
      <c r="AI56" s="93">
        <f>(AI67-$U17)/ShiftSize</f>
        <v>0.15325684367406556</v>
      </c>
      <c r="AJ56" s="93">
        <f>(AJ67-$U17)/ShiftSize</f>
        <v>0.14600093022586191</v>
      </c>
      <c r="AK56" s="93">
        <f>(AK67-$U17)/ShiftSize</f>
        <v>0.13937040020325919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0.13205640793552409</v>
      </c>
      <c r="L57" s="93">
        <f t="shared" si="386"/>
        <v>0.12541603446741822</v>
      </c>
      <c r="M57" s="93">
        <f t="shared" si="386"/>
        <v>0.11947823889968401</v>
      </c>
      <c r="N57" s="93">
        <f t="shared" si="386"/>
        <v>0.11405221881505279</v>
      </c>
      <c r="O57" s="93">
        <f t="shared" si="386"/>
        <v>0.10899657304323795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0.14521181967769442</v>
      </c>
      <c r="Z57" s="93">
        <f>(Z68*RiskyAnnuity5Y-Protection5Y*Z79)/RiskyAnnuity5Y^2*Notional</f>
        <v>0.13247900299983975</v>
      </c>
      <c r="AA57" s="93">
        <f>(AA68*RiskyAnnuity5Y-Protection5Y*AA79)/RiskyAnnuity5Y^2*Notional</f>
        <v>0.12240544495011134</v>
      </c>
      <c r="AB57" s="93">
        <f>(AB68*RiskyAnnuity5Y-Protection5Y*AB79)/RiskyAnnuity5Y^2*Notional</f>
        <v>0.11466530932979706</v>
      </c>
      <c r="AC57" s="93">
        <f>(AC68*RiskyAnnuity5Y-Protection5Y*AC79)/RiskyAnnuity5Y^2*Notional</f>
        <v>0.10899657730493244</v>
      </c>
      <c r="AD57" s="95">
        <v>0</v>
      </c>
      <c r="AG57" s="2" t="s">
        <v>64</v>
      </c>
      <c r="AH57" s="92">
        <f t="shared" si="387"/>
        <v>0.13205640793552409</v>
      </c>
      <c r="AI57" s="93">
        <f>(AI68-$U18)/ShiftSize</f>
        <v>0.12541603446741822</v>
      </c>
      <c r="AJ57" s="93">
        <f>(AJ68-$U18)/ShiftSize</f>
        <v>0.11947823889968401</v>
      </c>
      <c r="AK57" s="93">
        <f>(AK68-$U18)/ShiftSize</f>
        <v>0.11405221881505279</v>
      </c>
      <c r="AL57" s="93">
        <f>(AL68-$U18)/ShiftSize</f>
        <v>0.10899657304323795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7.3546476625843682E-2</v>
      </c>
      <c r="L58" s="97">
        <f t="shared" si="386"/>
        <v>6.9848238928860162E-2</v>
      </c>
      <c r="M58" s="97">
        <f t="shared" si="386"/>
        <v>6.6541289448981966E-2</v>
      </c>
      <c r="N58" s="97">
        <f t="shared" si="386"/>
        <v>6.3519364195546713E-2</v>
      </c>
      <c r="O58" s="97">
        <f t="shared" si="386"/>
        <v>6.070371226518656E-2</v>
      </c>
      <c r="P58" s="98">
        <f t="shared" si="386"/>
        <v>0.2658403626138589</v>
      </c>
      <c r="X58" s="2" t="s">
        <v>65</v>
      </c>
      <c r="Y58" s="118">
        <f t="shared" ref="Y58:AD58" si="388">(Y69*RiskyAnnuity10Y-Protection10Y*Y80)/RiskyAnnuity10Y^2*Notional</f>
        <v>0.10802705017074314</v>
      </c>
      <c r="Z58" s="97">
        <f t="shared" si="388"/>
        <v>9.6347358685531778E-2</v>
      </c>
      <c r="AA58" s="97">
        <f t="shared" si="388"/>
        <v>8.6264862434104E-2</v>
      </c>
      <c r="AB58" s="97">
        <f t="shared" si="388"/>
        <v>7.7589261773088239E-2</v>
      </c>
      <c r="AC58" s="97">
        <f t="shared" si="388"/>
        <v>7.0168471813839034E-2</v>
      </c>
      <c r="AD58" s="98">
        <f t="shared" si="388"/>
        <v>0.26584039780347368</v>
      </c>
      <c r="AG58" s="2" t="s">
        <v>65</v>
      </c>
      <c r="AH58" s="118">
        <f t="shared" si="387"/>
        <v>7.3546476625843682E-2</v>
      </c>
      <c r="AI58" s="119">
        <f>(AI69-$U19)/ShiftSize</f>
        <v>6.9848238928860162E-2</v>
      </c>
      <c r="AJ58" s="119">
        <f>(AJ69-$U19)/ShiftSize</f>
        <v>6.6541289448981966E-2</v>
      </c>
      <c r="AK58" s="119">
        <f>(AK69-$U19)/ShiftSize</f>
        <v>6.3519364195546713E-2</v>
      </c>
      <c r="AL58" s="119">
        <f>(AL69-$U19)/ShiftSize</f>
        <v>6.070371226518656E-2</v>
      </c>
      <c r="AM58" s="98">
        <f>(AM69-$U19)/ShiftSize</f>
        <v>0.2658403626138589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1.6666681294593262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0.5803681173817854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4.5000586815883703E-3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-1.7549128673756509</v>
      </c>
      <c r="L65" s="93">
        <v>3.4215809947080889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0.57933367661320512</v>
      </c>
      <c r="Z65" s="93">
        <f>(1-RecoveryRate)*YearFraction*(SUMPRODUCT($Z$9:$Z$12,$AB$9:$AB$12))</f>
        <v>0.55118468448987445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4.5000294553330109E-3</v>
      </c>
      <c r="AI65" s="136">
        <f t="shared" si="389"/>
        <v>4.5000279078964206E-3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2.8971339820633184E-8</v>
      </c>
      <c r="L66" s="93">
        <v>-3.5916257980987552</v>
      </c>
      <c r="M66" s="93">
        <v>5.2582939046960515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0.57834821120343005</v>
      </c>
      <c r="Z66" s="93">
        <f>(1-RecoveryRate)*YearFraction*(SUMPRODUCT($Z$9:$Z$12,$AB$9:$AB$12)-SUMPRODUCT($AA$13:$AA$16,$AB$13:$AB$16))</f>
        <v>0.5501992190800995</v>
      </c>
      <c r="AA66" s="93">
        <f>(1-RecoveryRate)*YearFraction*(SUMPRODUCT($Z$13:$Z$16,$AB$13:$AB$16))</f>
        <v>0.52508897315406411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4.5000197013075581E-3</v>
      </c>
      <c r="AI66" s="136">
        <f t="shared" si="389"/>
        <v>4.5000186443465854E-3</v>
      </c>
      <c r="AJ66" s="136">
        <f t="shared" si="389"/>
        <v>4.5000176992162936E-3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1.5201234606300953E-8</v>
      </c>
      <c r="L67" s="100">
        <v>2.8137183871102237E-8</v>
      </c>
      <c r="M67" s="93">
        <v>-5.5084566046087167</v>
      </c>
      <c r="N67" s="93">
        <v>7.1751246932030757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0.57740749999503294</v>
      </c>
      <c r="Z67" s="93">
        <f>(1-RecoveryRate)*YearFraction*(SUMPRODUCT($Z$9:$Z$12,$AB$9:$AB$12)-SUMPRODUCT($AA$13:$AA$20,$AB$13:$AB$20))</f>
        <v>0.54925850787170227</v>
      </c>
      <c r="AA67" s="93">
        <f>(1-RecoveryRate)*YearFraction*(SUMPRODUCT($Z$13:$Z$16,$AB$13:$AB$16)-SUMPRODUCT($AA$17:$AA$20,$AB$17:$AB$20))</f>
        <v>0.52414826194566688</v>
      </c>
      <c r="AB67" s="93">
        <f>(1-RecoveryRate)*YearFraction*(SUMPRODUCT($Z$17:$Z$20,$AB$17:$AB$20))</f>
        <v>0.50124243586041273</v>
      </c>
      <c r="AC67" s="94">
        <v>0</v>
      </c>
      <c r="AD67" s="95">
        <v>0</v>
      </c>
      <c r="AG67" s="2" t="s">
        <v>102</v>
      </c>
      <c r="AH67" s="135">
        <f t="shared" si="389"/>
        <v>4.5000148187709322E-3</v>
      </c>
      <c r="AI67" s="136">
        <f t="shared" si="389"/>
        <v>4.5000140073254251E-3</v>
      </c>
      <c r="AJ67" s="136">
        <f t="shared" si="389"/>
        <v>4.5000132817340803E-3</v>
      </c>
      <c r="AK67" s="136">
        <f t="shared" si="389"/>
        <v>4.500012618681078E-3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9.8159373694129569E-9</v>
      </c>
      <c r="L68" s="100">
        <v>1.8065065413323591E-8</v>
      </c>
      <c r="M68" s="100">
        <v>2.4331305615845782E-8</v>
      </c>
      <c r="N68" s="93">
        <v>-7.5079323017784976</v>
      </c>
      <c r="O68" s="93">
        <v>9.1746003757687777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0.57650848811349942</v>
      </c>
      <c r="Z68" s="93">
        <f>(1-RecoveryRate)*YearFraction*(SUMPRODUCT($Z$9:$Z$12,$AB$9:$AB$12)-SUMPRODUCT($AA$13:$AA$24,$AB$13:$AB$24))</f>
        <v>0.54835949599016875</v>
      </c>
      <c r="AA68" s="93">
        <f>(1-RecoveryRate)*YearFraction*(SUMPRODUCT($Z$13:$Z$16,$AB$13:$AB$16)-SUMPRODUCT($AA$17:$AA$24,$AB$17:$AB$24))</f>
        <v>0.52324925006413336</v>
      </c>
      <c r="AB68" s="93">
        <f>(1-RecoveryRate)*YearFraction*(SUMPRODUCT($Z$17:$Z$20,$AB$17:$AB$20)-SUMPRODUCT($AA$21:$AA$24,$AB$21:$AB$24))</f>
        <v>0.5003434239788791</v>
      </c>
      <c r="AC68" s="93">
        <f>(1-RecoveryRate)*YearFraction*(SUMPRODUCT($Z$21:$Z$24,$AB$21:$AB$24))</f>
        <v>0.47902363801440812</v>
      </c>
      <c r="AD68" s="95">
        <v>0</v>
      </c>
      <c r="AG68" s="2" t="s">
        <v>103</v>
      </c>
      <c r="AH68" s="135">
        <f t="shared" si="389"/>
        <v>4.5000118872818478E-3</v>
      </c>
      <c r="AI68" s="136">
        <f t="shared" si="389"/>
        <v>4.500011223244501E-3</v>
      </c>
      <c r="AJ68" s="136">
        <f t="shared" si="389"/>
        <v>4.5000106294649442E-3</v>
      </c>
      <c r="AK68" s="136">
        <f t="shared" si="389"/>
        <v>4.5000100868629357E-3</v>
      </c>
      <c r="AL68" s="136">
        <f t="shared" si="389"/>
        <v>4.5000095812983585E-3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4.3042361275374489E-9</v>
      </c>
      <c r="L69" s="102">
        <v>7.9259219376173511E-9</v>
      </c>
      <c r="M69" s="102">
        <v>1.1383928181238678E-8</v>
      </c>
      <c r="N69" s="102">
        <v>1.3608299190689518E-8</v>
      </c>
      <c r="O69" s="97">
        <v>-2.0949877433311408</v>
      </c>
      <c r="P69" s="98">
        <v>3.7616560185502377</v>
      </c>
      <c r="X69" s="2" t="s">
        <v>77</v>
      </c>
      <c r="Y69" s="96">
        <f>(1-RecoveryRate)*YearFraction*(SUMPRODUCT($Z$5:$Z$8,$AB$5:$AB$8)-SUMPRODUCT($AA$9:$AA$44,$AB$9:$AB$44))</f>
        <v>0.57257143604982563</v>
      </c>
      <c r="Z69" s="119">
        <f>(1-RecoveryRate)*YearFraction*(SUMPRODUCT($Z$9:$Z$12,$AB$9:$AB$12)-SUMPRODUCT($AA$13:$AA$44,$AB$13:$AB$44))</f>
        <v>0.54442244392649486</v>
      </c>
      <c r="AA69" s="119">
        <f>(1-RecoveryRate)*YearFraction*(SUMPRODUCT($Z$13:$Z$16,$AB$13:$AB$16)-SUMPRODUCT($AA$17:$AA$44,$AB$17:$AB$44))</f>
        <v>0.51931219800045947</v>
      </c>
      <c r="AB69" s="119">
        <f>(1-RecoveryRate)*YearFraction*(SUMPRODUCT($Z$17:$Z$20,$AB$17:$AB$20)-SUMPRODUCT($AA$21:$AA$44,$AB$21:$AB$44))</f>
        <v>0.49640637191520531</v>
      </c>
      <c r="AC69" s="119">
        <f>(1-RecoveryRate)*YearFraction*(SUMPRODUCT($Z$21:$Z$24,$AB$21:$AB$24)-SUMPRODUCT($AA$25:$AA$44,$AB$25:$AB$44))</f>
        <v>0.47508658595073433</v>
      </c>
      <c r="AD69" s="98">
        <f>(1-RecoveryRate)*YearFraction*(SUMPRODUCT($Z$25:$Z$44,$AB$25:$AB$44))</f>
        <v>2.0977931897585593</v>
      </c>
      <c r="AG69" s="2" t="s">
        <v>104</v>
      </c>
      <c r="AH69" s="138">
        <f t="shared" si="389"/>
        <v>4.5000060362887185E-3</v>
      </c>
      <c r="AI69" s="146">
        <f t="shared" si="389"/>
        <v>4.5000056664649488E-3</v>
      </c>
      <c r="AJ69" s="146">
        <f t="shared" si="389"/>
        <v>4.5000053357700008E-3</v>
      </c>
      <c r="AK69" s="146">
        <f t="shared" si="389"/>
        <v>4.5000050335774755E-3</v>
      </c>
      <c r="AL69" s="146">
        <f t="shared" si="389"/>
        <v>4.5000047520122825E-3</v>
      </c>
      <c r="AM69" s="147">
        <f t="shared" si="389"/>
        <v>4.5000252656773173E-3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-0.12091002445453862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4356.9020205785682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-1.0403904081933288</v>
      </c>
      <c r="Z76" s="93">
        <f>-YearFraction*(0.5*YearFraction*SUMPRODUCT($Z$9:$Z$12,$AB$9:$AB$12))</f>
        <v>-0.11483014260205718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8494.6646811233368</v>
      </c>
      <c r="AI76" s="141">
        <f>LGD*SUMPRODUCT($AO$5:$AO$12,DiscFactors2Y)</f>
        <v>8494.662184560997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-3.7114930192444007</v>
      </c>
      <c r="Z77" s="93">
        <f>-YearFraction*(0.5*YearFraction*SUMPRODUCT($Z$9:$Z$12,$AB$9:$AB$12)+SUM($AB$13:$AB$16)*(YearFraction*SUM($Z$13:$Z$16)+0.5*YearFraction*SUM($AA$13:$AA$16)))</f>
        <v>-0.99077925172282166</v>
      </c>
      <c r="AA77" s="93">
        <f>-YearFraction*(0.5*YearFraction*SUMPRODUCT($Z$13:$Z$16,$AB$13:$AB$16))</f>
        <v>-0.10939353607376336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12436.525926037064</v>
      </c>
      <c r="AI77" s="141">
        <f>LGD*SUMPRODUCT($AO$5:$AO$16,DiscFactors3Y)</f>
        <v>12436.523429474724</v>
      </c>
      <c r="AJ77" s="141">
        <f>LGD*SUMPRODUCT($AS$5:$AS$16,DiscFactors3Y)</f>
        <v>12436.521221281258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-8.014127870374347</v>
      </c>
      <c r="Z78" s="93">
        <f>-YearFraction*(0.5*YearFraction*SUMPRODUCT($Z$9:$Z$12,$AB$9:$AB$12)+SUM($AB$13:$AB$20)*(YearFraction*SUM($Z$13:$Z$20)+0.5*YearFraction*SUM($AA$13:$AA$20)))</f>
        <v>-3.5388166666680965</v>
      </c>
      <c r="AA78" s="93">
        <f>-YearFraction*(0.5*YearFraction*SUMPRODUCT($Z$13:$Z$16,$AB$13:$AB$16)+SUM($AB$17:$AB$20)*(YearFraction*SUM($Z$17:$Z$20)+0.5*YearFraction*SUM($AA$17:$AA$20)))</f>
        <v>-0.94556278807143157</v>
      </c>
      <c r="AB78" s="93">
        <f>-YearFraction*(0.5*YearFraction*SUMPRODUCT($Z$17:$Z$20,$AB$17:$AB$20))</f>
        <v>-0.10442550747091932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16199.370383341275</v>
      </c>
      <c r="AI78" s="141">
        <f>LGD*SUMPRODUCT($AO$5:$AO$20,DiscFactors4Y)</f>
        <v>16199.367886778933</v>
      </c>
      <c r="AJ78" s="141">
        <f>LGD*SUMPRODUCT($AS$5:$AS$20,DiscFactors4Y)</f>
        <v>16199.365678585467</v>
      </c>
      <c r="AK78" s="141">
        <f>LGD*SUMPRODUCT($AW$5:$AW$20,DiscFactors4Y)</f>
        <v>16199.363676819061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-13.838674145448582</v>
      </c>
      <c r="Z79" s="93">
        <f>-YearFraction*(0.5*YearFraction*SUMPRODUCT($Z$9:$Z$12,$AB$9:$AB$12)+SUM($AB$13:$AB$24)*(YearFraction*SUM($Z$13:$Z$24)+0.5*YearFraction*SUM($AA$13:$AA$24)))</f>
        <v>-7.6470518497818762</v>
      </c>
      <c r="AA79" s="93">
        <f>-YearFraction*(0.5*YearFraction*SUMPRODUCT($Z$13:$Z$16,$AB$13:$AB$16)+SUM($AB$17:$AB$24)*(YearFraction*SUM($Z$17:$Z$24)+0.5*YearFraction*SUM($AA$17:$AA$24)))</f>
        <v>-3.3797087673224344</v>
      </c>
      <c r="AB79" s="93">
        <f>-YearFraction*(0.5*YearFraction*SUMPRODUCT($Z$17:$Z$20,$AB$17:$AB$20)+SUM($AB$21:$AB$24)*(YearFraction*SUM($Z$21:$Z$24)+0.5*YearFraction*SUM($AA$21:$AA$24)))</f>
        <v>-0.90352986959468706</v>
      </c>
      <c r="AC79" s="93">
        <f>-YearFraction*(0.5*YearFraction*SUMPRODUCT($Z$21:$Z$24,$AB$21:$AB$24))</f>
        <v>-9.9796591253001693E-2</v>
      </c>
      <c r="AD79" s="95">
        <v>0</v>
      </c>
      <c r="AG79" s="2" t="s">
        <v>76</v>
      </c>
      <c r="AH79" s="140">
        <f>LGD*SUMPRODUCT($AK$5:$AK$24,DiscFactors5Y)</f>
        <v>19795.417549870836</v>
      </c>
      <c r="AI79" s="141">
        <f>LGD*SUMPRODUCT($AO$5:$AO$24,DiscFactors5Y)</f>
        <v>19795.415053308494</v>
      </c>
      <c r="AJ79" s="141">
        <f>LGD*SUMPRODUCT($AS$5:$AS$24,DiscFactors5Y)</f>
        <v>19795.412845115028</v>
      </c>
      <c r="AK79" s="141">
        <f>LGD*SUMPRODUCT($AW$5:$AW$24,DiscFactors5Y)</f>
        <v>19795.410843348622</v>
      </c>
      <c r="AL79" s="141">
        <f>LGD*SUMPRODUCT($BA$5:$BA$24,DiscFactors5Y)</f>
        <v>19795.408987247454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-62.375160269204542</v>
      </c>
      <c r="Z80" s="97">
        <f>-YearFraction*(0.5*YearFraction*SUMPRODUCT($Z$9:$Z$12,$AB$9:$AB$12)+SUM($AB$13:$AB$44)*(YearFraction*SUM($Z$13:$Z$44)+0.5*YearFraction*SUM($AA$13:$AA$44)))</f>
        <v>-48.129843365045112</v>
      </c>
      <c r="AA80" s="97">
        <f>-YearFraction*(0.5*YearFraction*SUMPRODUCT($Z$13:$Z$16,$AB$13:$AB$16)+SUM($AB$17:$AB$44)*(YearFraction*SUM($Z$17:$Z$44)+0.5*YearFraction*SUM($AA$17:$AA$44)))</f>
        <v>-36.012708738609192</v>
      </c>
      <c r="AB80" s="97">
        <f>-YearFraction*(0.5*YearFraction*SUMPRODUCT($Z$17:$Z$20,$AB$17:$AB$20)+SUM($AB$21:$AB$44)*(YearFraction*SUM($Z$21:$Z$44)+0.5*YearFraction*SUM($AA$21:$AA$44)))</f>
        <v>-25.875140940322396</v>
      </c>
      <c r="AC80" s="97">
        <f>-YearFraction*(0.5*YearFraction*SUMPRODUCT($Z$21:$Z$24,$AB$21:$AB$24)+SUM($AB$25:$AB$44)*(YearFraction*SUM($Z$25:$Z$44)+0.5*YearFraction*SUM($AA$25:$AA$44)))</f>
        <v>-17.587612394010929</v>
      </c>
      <c r="AD80" s="98">
        <f>-YearFraction*(0.5*YearFraction*SUMPRODUCT($Z$25:$Z$44,$AB$25:$AB$44))</f>
        <v>-0.43704024786636653</v>
      </c>
      <c r="AG80" s="2" t="s">
        <v>77</v>
      </c>
      <c r="AH80" s="143">
        <f>LGD*SUMPRODUCT($AK$5:$AK$44,DiscFactors10Y)</f>
        <v>35543.624229745168</v>
      </c>
      <c r="AI80" s="144">
        <f>LGD*SUMPRODUCT($AO$5:$AO$44,DiscFactors10Y)</f>
        <v>35543.62173318283</v>
      </c>
      <c r="AJ80" s="144">
        <f>LGD*SUMPRODUCT($AS$5:$AS$44,DiscFactors10Y)</f>
        <v>35543.619524989357</v>
      </c>
      <c r="AK80" s="144">
        <f>LGD*SUMPRODUCT($AW$5:$AW$44,DiscFactors10Y)</f>
        <v>35543.617523222958</v>
      </c>
      <c r="AL80" s="144">
        <f>LGD*SUMPRODUCT($BA$5:$BA$44,DiscFactors10Y)</f>
        <v>35543.615667121783</v>
      </c>
      <c r="AM80" s="145">
        <f>LGD*SUMPRODUCT($BE$5:$BE$44,DiscFactors10Y)</f>
        <v>35543.775659172075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968187.82350649859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1887690.9063464596</v>
      </c>
      <c r="AI87" s="141">
        <f>Notional*YearFraction*(SUMPRODUCT($AN$5:$AN$12,DiscFactors2Y)+0.5*SUMPRODUCT($AO$5:$AO$12,DiscFactors2Y))</f>
        <v>1887691.0006835724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2763660.3285144325</v>
      </c>
      <c r="AI88" s="141">
        <f>Notional*YearFraction*(SUMPRODUCT($AN$5:$AN$16,DiscFactors3Y)+0.5*SUMPRODUCT($AO$5:$AO$16,DiscFactors3Y))</f>
        <v>2763660.4228515457</v>
      </c>
      <c r="AJ88" s="141">
        <f>Notional*YearFraction*(SUMPRODUCT($AR$5:$AR$16,DiscFactors3Y)+0.5*SUMPRODUCT($AS$5:$AS$16,DiscFactors3Y))</f>
        <v>2763660.5125902407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3599848.2306699897</v>
      </c>
      <c r="AI89" s="141">
        <f>Notional*YearFraction*(SUMPRODUCT($AN$5:$AN$20,DiscFactors4Y)+0.5*SUMPRODUCT($AO$5:$AO$20,DiscFactors4Y))</f>
        <v>3599848.3250071029</v>
      </c>
      <c r="AJ89" s="141">
        <f>Notional*YearFraction*(SUMPRODUCT($AR$5:$AR$20,DiscFactors4Y)+0.5*SUMPRODUCT($AS$5:$AS$20,DiscFactors4Y))</f>
        <v>3599848.4147457983</v>
      </c>
      <c r="AK89" s="141">
        <f>Notional*YearFraction*(SUMPRODUCT($AV$5:$AV$20,DiscFactors4Y)+0.5*SUMPRODUCT($AW$5:$AW$20,DiscFactors4Y))</f>
        <v>3599848.500328646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4398970.057349761</v>
      </c>
      <c r="AI90" s="141">
        <f>Notional*YearFraction*(SUMPRODUCT($AN$5:$AN$24,DiscFactors5Y)+0.5*SUMPRODUCT($AO$5:$AO$24,DiscFactors5Y))</f>
        <v>4398970.1516868733</v>
      </c>
      <c r="AJ90" s="141">
        <f>Notional*YearFraction*(SUMPRODUCT($AR$5:$AR$24,DiscFactors5Y)+0.5*SUMPRODUCT($AS$5:$AS$24,DiscFactors5Y))</f>
        <v>4398970.2414255682</v>
      </c>
      <c r="AK90" s="141">
        <f>Notional*YearFraction*(SUMPRODUCT($AV$5:$AV$24,DiscFactors5Y)+0.5*SUMPRODUCT($AW$5:$AW$24,DiscFactors5Y))</f>
        <v>4398970.3270084169</v>
      </c>
      <c r="AL90" s="141">
        <f>Notional*YearFraction*(SUMPRODUCT($AZ$5:$AZ$24,DiscFactors5Y)+0.5*SUMPRODUCT($BA$5:$BA$24,DiscFactors5Y))</f>
        <v>4398970.408755444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7898572.5670401528</v>
      </c>
      <c r="AI91" s="144">
        <f>Notional*YearFraction*(SUMPRODUCT($AN$5:$AN$44,DiscFactors10Y)+0.5*SUMPRODUCT($AO$5:$AO$44,DiscFactors10Y))</f>
        <v>7898572.661377266</v>
      </c>
      <c r="AJ91" s="144">
        <f>Notional*YearFraction*(SUMPRODUCT($AR$5:$AR$44,DiscFactors10Y)+0.5*SUMPRODUCT($AS$5:$AS$44,DiscFactors10Y))</f>
        <v>7898572.751115961</v>
      </c>
      <c r="AK91" s="144">
        <f>Notional*YearFraction*(SUMPRODUCT($AV$5:$AV$44,DiscFactors10Y)+0.5*SUMPRODUCT($AW$5:$AW$44,DiscFactors10Y))</f>
        <v>7898572.8366988087</v>
      </c>
      <c r="AL91" s="144">
        <f>Notional*YearFraction*(SUMPRODUCT($AZ$5:$AZ$44,DiscFactors10Y)+0.5*SUMPRODUCT($BA$5:$BA$44,DiscFactors10Y))</f>
        <v>7898572.9184458358</v>
      </c>
      <c r="AM91" s="145">
        <f>Notional*YearFraction*(SUMPRODUCT($BD$5:$BD$44,DiscFactors10Y)+0.5*SUMPRODUCT($BE$5:$BE$44,DiscFactors10Y))</f>
        <v>7898572.4658641974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O37" xr:uid="{57AEADCB-573F-44A9-BD4B-5E7A6C9E2FF5}">
      <formula1>"TRUE,FALSE"</formula1>
    </dataValidation>
    <dataValidation type="list" allowBlank="1" showInputMessage="1" showErrorMessage="1" sqref="K51" xr:uid="{651FA587-D7B4-4A80-8447-E68DAE17B452}">
      <formula1>"ANALYTICAL,NUMERICAL"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B312-6E25-473F-916F-85E156F5AFA0}">
  <sheetPr codeName="Sheet3">
    <tabColor theme="9" tint="0.39997558519241921"/>
  </sheetPr>
  <dimension ref="B1:Z44"/>
  <sheetViews>
    <sheetView showGridLines="0" zoomScaleNormal="100" workbookViewId="0"/>
  </sheetViews>
  <sheetFormatPr defaultRowHeight="14.4" outlineLevelCol="1" x14ac:dyDescent="0.3"/>
  <cols>
    <col min="1" max="1" width="5.33203125" customWidth="1"/>
    <col min="2" max="3" width="12.6640625" customWidth="1"/>
    <col min="4" max="4" width="15.6640625" customWidth="1"/>
    <col min="5" max="5" width="5.33203125" customWidth="1"/>
    <col min="6" max="8" width="12.6640625" customWidth="1" outlineLevel="1"/>
    <col min="9" max="9" width="15.109375" customWidth="1" outlineLevel="1"/>
    <col min="10" max="10" width="12.6640625" customWidth="1" outlineLevel="1"/>
    <col min="11" max="11" width="14.44140625" customWidth="1" outlineLevel="1"/>
    <col min="12" max="14" width="12.6640625" customWidth="1" outlineLevel="1"/>
    <col min="15" max="15" width="15.6640625" customWidth="1"/>
    <col min="16" max="16" width="5.33203125" customWidth="1"/>
    <col min="17" max="19" width="12.6640625" customWidth="1" outlineLevel="1"/>
    <col min="20" max="20" width="15.109375" customWidth="1" outlineLevel="1"/>
    <col min="21" max="21" width="12.6640625" customWidth="1" outlineLevel="1"/>
    <col min="22" max="22" width="14.44140625" customWidth="1" outlineLevel="1"/>
    <col min="23" max="23" width="12.6640625" customWidth="1" outlineLevel="1"/>
    <col min="24" max="24" width="15.6640625" customWidth="1"/>
  </cols>
  <sheetData>
    <row r="1" spans="2:26" x14ac:dyDescent="0.3">
      <c r="O1" s="124" t="s">
        <v>111</v>
      </c>
      <c r="P1" s="124"/>
      <c r="X1" s="124" t="s">
        <v>130</v>
      </c>
    </row>
    <row r="2" spans="2:26" x14ac:dyDescent="0.3">
      <c r="B2" s="332" t="s">
        <v>322</v>
      </c>
      <c r="F2" s="1" t="s">
        <v>111</v>
      </c>
      <c r="Q2" s="1" t="s">
        <v>130</v>
      </c>
      <c r="Z2" s="1"/>
    </row>
    <row r="3" spans="2:26" x14ac:dyDescent="0.3">
      <c r="F3" s="41" t="s">
        <v>6</v>
      </c>
      <c r="G3" s="2" t="s">
        <v>2</v>
      </c>
      <c r="H3" s="2" t="s">
        <v>127</v>
      </c>
      <c r="I3" s="41" t="s">
        <v>8</v>
      </c>
      <c r="J3" s="41" t="s">
        <v>24</v>
      </c>
      <c r="K3" s="41" t="s">
        <v>134</v>
      </c>
      <c r="L3" s="41" t="s">
        <v>128</v>
      </c>
      <c r="M3" s="41" t="s">
        <v>129</v>
      </c>
      <c r="N3" s="41" t="s">
        <v>28</v>
      </c>
      <c r="Q3" s="41" t="s">
        <v>6</v>
      </c>
      <c r="R3" s="2" t="s">
        <v>131</v>
      </c>
      <c r="S3" s="2" t="s">
        <v>127</v>
      </c>
      <c r="T3" s="41" t="s">
        <v>8</v>
      </c>
      <c r="U3" s="41" t="s">
        <v>24</v>
      </c>
      <c r="V3" s="41" t="s">
        <v>134</v>
      </c>
      <c r="W3" s="41" t="s">
        <v>28</v>
      </c>
    </row>
    <row r="4" spans="2:26" x14ac:dyDescent="0.3">
      <c r="F4" s="17">
        <v>0</v>
      </c>
      <c r="G4" s="117" t="s">
        <v>121</v>
      </c>
      <c r="H4" s="117" t="s">
        <v>121</v>
      </c>
      <c r="I4" s="10">
        <v>1</v>
      </c>
      <c r="J4" s="10">
        <v>0</v>
      </c>
      <c r="K4" s="94">
        <v>1</v>
      </c>
      <c r="L4" s="158" t="s">
        <v>121</v>
      </c>
      <c r="M4" s="158" t="s">
        <v>121</v>
      </c>
      <c r="N4" s="117" t="s">
        <v>121</v>
      </c>
      <c r="Q4" s="17">
        <v>0</v>
      </c>
      <c r="R4" s="117" t="str">
        <f>"-"</f>
        <v>-</v>
      </c>
      <c r="S4" s="2" t="str">
        <f>"-"</f>
        <v>-</v>
      </c>
      <c r="T4" s="10">
        <v>1</v>
      </c>
      <c r="U4" s="10">
        <v>0</v>
      </c>
      <c r="V4" s="94">
        <v>1</v>
      </c>
      <c r="W4" s="2" t="str">
        <f>"-"</f>
        <v>-</v>
      </c>
    </row>
    <row r="5" spans="2:26" x14ac:dyDescent="0.3">
      <c r="B5" s="1" t="s">
        <v>132</v>
      </c>
      <c r="F5" s="366">
        <f t="shared" ref="F5:F44" si="0">F4+YearFraction</f>
        <v>0.25</v>
      </c>
      <c r="G5" s="367">
        <f t="shared" ref="G5:G44" si="1">IF($F5&gt;CDS.Tenor,"-",CDS.PremiumSign*CDS.Notional*CDS.YearFraction*CDS.CreditSpread)</f>
        <v>-25000</v>
      </c>
      <c r="H5" s="384" cm="1">
        <f t="array" aca="1" ref="H5" ca="1">IF($F5&gt;CDS.Tenor,"-",flatInterpolation(F5,INDIRECT(HazardRateTimes),INDIRECT(HazardRateValues)))</f>
        <v>5.0000000000000001E-3</v>
      </c>
      <c r="I5" s="347">
        <f t="shared" ref="I5:I44" ca="1" si="2">IF($F5&gt;CDS.Tenor,"-",EXP(-H5*YearFraction)*I4)</f>
        <v>0.99875078092458092</v>
      </c>
      <c r="J5" s="347">
        <f t="shared" ref="J5:J44" ca="1" si="3">IF($F5&gt;CDS.Tenor,"-",I4-I5)</f>
        <v>1.2492190754190835E-3</v>
      </c>
      <c r="K5" s="368" cm="1">
        <f t="array" ref="K5">IF($F5&gt;CDS.Tenor,"-",cubicInterpolation(CurveResults.Times,CurveResults.DFs,$F5))</f>
        <v>0.98868042001719347</v>
      </c>
      <c r="L5" s="367">
        <f t="shared" ref="L5:L44" ca="1" si="4">IF($F5&gt;CDS.Tenor,"-",G5*I5*K5)</f>
        <v>-24686.133539425366</v>
      </c>
      <c r="M5" s="367">
        <f t="shared" ref="M5:M44" ca="1" si="5">IF($F5&gt;CDS.Tenor,"-",0.5*G5*J5*K5)</f>
        <v>-15.43848050223537</v>
      </c>
      <c r="N5" s="369">
        <f t="shared" ref="N5:N44" ca="1" si="6">IF($F5&gt;CDS.Tenor,"-",L5+M5)</f>
        <v>-24701.5720199276</v>
      </c>
      <c r="Q5" s="366">
        <f t="shared" ref="Q5:Q44" si="7">Q4+YearFraction</f>
        <v>0.25</v>
      </c>
      <c r="R5" s="367">
        <f t="shared" ref="R5:R44" si="8">IF($F5&gt;CDS.Tenor,"-",CDS.ProtectionSign*CDS.Notional*(1-CDS.RecoveryRate))</f>
        <v>6000000</v>
      </c>
      <c r="S5" s="384" cm="1">
        <f t="array" aca="1" ref="S5" ca="1">IF($F5&gt;CDS.Tenor,"-",flatInterpolation(Q5,INDIRECT(HazardRateTimes),INDIRECT(HazardRateValues)))</f>
        <v>5.0000000000000001E-3</v>
      </c>
      <c r="T5" s="347">
        <f t="shared" ref="T5:T44" ca="1" si="9">IF($F5&gt;CDS.Tenor,"-",EXP(-S5*YearFraction)*T4)</f>
        <v>0.99875078092458092</v>
      </c>
      <c r="U5" s="347">
        <f t="shared" ref="U5:U44" ca="1" si="10">IF($F5&gt;CDS.Tenor,"-",T4-T5)</f>
        <v>1.2492190754190835E-3</v>
      </c>
      <c r="V5" s="368" cm="1">
        <f t="array" ref="V5">IF($Q5&gt;CDS.Tenor,"-",cubicInterpolation(CurveResults.Times,CurveResults.DFs,$F5))</f>
        <v>0.98868042001719347</v>
      </c>
      <c r="W5" s="369">
        <f ca="1">IF($F5&gt;CDS.Tenor,"-",R5*U5*V5)</f>
        <v>7410.4706410729768</v>
      </c>
    </row>
    <row r="6" spans="2:26" x14ac:dyDescent="0.3">
      <c r="B6" s="114" t="s">
        <v>113</v>
      </c>
      <c r="C6" s="115"/>
      <c r="D6" s="154" t="s">
        <v>114</v>
      </c>
      <c r="F6" s="370">
        <f t="shared" si="0"/>
        <v>0.5</v>
      </c>
      <c r="G6" s="371">
        <f t="shared" si="1"/>
        <v>-25000</v>
      </c>
      <c r="H6" s="385" cm="1">
        <f t="array" aca="1" ref="H6" ca="1">IF($F6&gt;CDS.Tenor,"-",flatInterpolation(F6,INDIRECT(HazardRateTimes),INDIRECT(HazardRateValues)))</f>
        <v>5.0000000000000001E-3</v>
      </c>
      <c r="I6" s="348">
        <f t="shared" ca="1" si="2"/>
        <v>0.9975031223974602</v>
      </c>
      <c r="J6" s="348">
        <f t="shared" ca="1" si="3"/>
        <v>1.2476585271207208E-3</v>
      </c>
      <c r="K6" s="372" cm="1">
        <f t="array" ref="K6">IF($F6&gt;CDS.Tenor,"-",cubicInterpolation(CurveResults.Times,CurveResults.DFs,$F6))</f>
        <v>0.97728436827331244</v>
      </c>
      <c r="L6" s="371">
        <f t="shared" ca="1" si="4"/>
        <v>-24371.105220571466</v>
      </c>
      <c r="M6" s="371">
        <f t="shared" ca="1" si="5"/>
        <v>-15.241464693724813</v>
      </c>
      <c r="N6" s="373">
        <f t="shared" ca="1" si="6"/>
        <v>-24386.346685265191</v>
      </c>
      <c r="Q6" s="370">
        <f t="shared" si="7"/>
        <v>0.5</v>
      </c>
      <c r="R6" s="371">
        <f t="shared" si="8"/>
        <v>6000000</v>
      </c>
      <c r="S6" s="385" cm="1">
        <f t="array" aca="1" ref="S6" ca="1">IF($F6&gt;CDS.Tenor,"-",flatInterpolation(Q6,INDIRECT(HazardRateTimes),INDIRECT(HazardRateValues)))</f>
        <v>5.0000000000000001E-3</v>
      </c>
      <c r="T6" s="348">
        <f t="shared" ca="1" si="9"/>
        <v>0.9975031223974602</v>
      </c>
      <c r="U6" s="348">
        <f t="shared" ca="1" si="10"/>
        <v>1.2476585271207208E-3</v>
      </c>
      <c r="V6" s="372" cm="1">
        <f t="array" ref="V6">IF($Q6&gt;CDS.Tenor,"-",cubicInterpolation(CurveResults.Times,CurveResults.DFs,$F6))</f>
        <v>0.97728436827331244</v>
      </c>
      <c r="W6" s="373">
        <f t="shared" ref="W6:W44" ca="1" si="11">IF($F6&gt;CDS.Tenor,"-",R6*U6*V6)</f>
        <v>7315.9030529879101</v>
      </c>
    </row>
    <row r="7" spans="2:26" x14ac:dyDescent="0.3">
      <c r="B7" s="116" t="s">
        <v>339</v>
      </c>
      <c r="D7" s="50" t="s">
        <v>335</v>
      </c>
      <c r="F7" s="370">
        <f t="shared" si="0"/>
        <v>0.75</v>
      </c>
      <c r="G7" s="371">
        <f t="shared" si="1"/>
        <v>-25000</v>
      </c>
      <c r="H7" s="385" cm="1">
        <f t="array" aca="1" ref="H7" ca="1">IF($F7&gt;CDS.Tenor,"-",flatInterpolation(F7,INDIRECT(HazardRateTimes),INDIRECT(HazardRateValues)))</f>
        <v>5.0000000000000001E-3</v>
      </c>
      <c r="I7" s="348">
        <f t="shared" ca="1" si="2"/>
        <v>0.99625702246917114</v>
      </c>
      <c r="J7" s="348">
        <f t="shared" ca="1" si="3"/>
        <v>1.2460999282890572E-3</v>
      </c>
      <c r="K7" s="372" cm="1">
        <f t="array" ref="K7">IF($F7&gt;CDS.Tenor,"-",cubicInterpolation(CurveResults.Times,CurveResults.DFs,$F7))</f>
        <v>0.96604126005158042</v>
      </c>
      <c r="L7" s="371">
        <f t="shared" ca="1" si="4"/>
        <v>-24060.634733033847</v>
      </c>
      <c r="M7" s="371">
        <f t="shared" ca="1" si="5"/>
        <v>-15.047299310931811</v>
      </c>
      <c r="N7" s="373">
        <f t="shared" ca="1" si="6"/>
        <v>-24075.682032344779</v>
      </c>
      <c r="Q7" s="370">
        <f t="shared" si="7"/>
        <v>0.75</v>
      </c>
      <c r="R7" s="371">
        <f t="shared" si="8"/>
        <v>6000000</v>
      </c>
      <c r="S7" s="385" cm="1">
        <f t="array" aca="1" ref="S7" ca="1">IF($F7&gt;CDS.Tenor,"-",flatInterpolation(Q7,INDIRECT(HazardRateTimes),INDIRECT(HazardRateValues)))</f>
        <v>5.0000000000000001E-3</v>
      </c>
      <c r="T7" s="348">
        <f t="shared" ca="1" si="9"/>
        <v>0.99625702246917114</v>
      </c>
      <c r="U7" s="348">
        <f t="shared" ca="1" si="10"/>
        <v>1.2460999282890572E-3</v>
      </c>
      <c r="V7" s="372" cm="1">
        <f t="array" ref="V7">IF($Q7&gt;CDS.Tenor,"-",cubicInterpolation(CurveResults.Times,CurveResults.DFs,$F7))</f>
        <v>0.96604126005158042</v>
      </c>
      <c r="W7" s="373">
        <f t="shared" ca="1" si="11"/>
        <v>7222.7036692472693</v>
      </c>
    </row>
    <row r="8" spans="2:26" x14ac:dyDescent="0.3">
      <c r="B8" s="116" t="s">
        <v>18</v>
      </c>
      <c r="D8" s="50">
        <v>10000000</v>
      </c>
      <c r="F8" s="370">
        <f t="shared" si="0"/>
        <v>1</v>
      </c>
      <c r="G8" s="371">
        <f t="shared" si="1"/>
        <v>-25000</v>
      </c>
      <c r="H8" s="385" cm="1">
        <f t="array" aca="1" ref="H8" ca="1">IF($F8&gt;CDS.Tenor,"-",flatInterpolation(F8,INDIRECT(HazardRateTimes),INDIRECT(HazardRateValues)))</f>
        <v>5.0000000000000001E-3</v>
      </c>
      <c r="I8" s="348">
        <f t="shared" ca="1" si="2"/>
        <v>0.99501247919268243</v>
      </c>
      <c r="J8" s="348">
        <f t="shared" ca="1" si="3"/>
        <v>1.2445432764887077E-3</v>
      </c>
      <c r="K8" s="372" cm="1">
        <f t="array" ref="K8">IF($F8&gt;CDS.Tenor,"-",cubicInterpolation(CurveResults.Times,CurveResults.DFs,$F8))</f>
        <v>0.95518051063522103</v>
      </c>
      <c r="L8" s="371">
        <f t="shared" ca="1" si="4"/>
        <v>-23760.413199092091</v>
      </c>
      <c r="M8" s="371">
        <f t="shared" ca="1" si="5"/>
        <v>-14.859543529301435</v>
      </c>
      <c r="N8" s="373">
        <f t="shared" ca="1" si="6"/>
        <v>-23775.272742621393</v>
      </c>
      <c r="Q8" s="370">
        <f t="shared" si="7"/>
        <v>1</v>
      </c>
      <c r="R8" s="371">
        <f t="shared" si="8"/>
        <v>6000000</v>
      </c>
      <c r="S8" s="385" cm="1">
        <f t="array" aca="1" ref="S8" ca="1">IF($F8&gt;CDS.Tenor,"-",flatInterpolation(Q8,INDIRECT(HazardRateTimes),INDIRECT(HazardRateValues)))</f>
        <v>5.0000000000000001E-3</v>
      </c>
      <c r="T8" s="348">
        <f t="shared" ca="1" si="9"/>
        <v>0.99501247919268243</v>
      </c>
      <c r="U8" s="348">
        <f t="shared" ca="1" si="10"/>
        <v>1.2445432764887077E-3</v>
      </c>
      <c r="V8" s="372" cm="1">
        <f t="array" ref="V8">IF($Q8&gt;CDS.Tenor,"-",cubicInterpolation(CurveResults.Times,CurveResults.DFs,$F8))</f>
        <v>0.95518051063522103</v>
      </c>
      <c r="W8" s="373">
        <f t="shared" ca="1" si="11"/>
        <v>7132.5808940646884</v>
      </c>
    </row>
    <row r="9" spans="2:26" x14ac:dyDescent="0.3">
      <c r="B9" s="116" t="s">
        <v>112</v>
      </c>
      <c r="D9" s="149">
        <v>100</v>
      </c>
      <c r="F9" s="370">
        <f t="shared" si="0"/>
        <v>1.25</v>
      </c>
      <c r="G9" s="371">
        <f t="shared" si="1"/>
        <v>-25000</v>
      </c>
      <c r="H9" s="385" cm="1">
        <f t="array" aca="1" ref="H9" ca="1">IF($F9&gt;CDS.Tenor,"-",flatInterpolation(F9,INDIRECT(HazardRateTimes),INDIRECT(HazardRateValues)))</f>
        <v>5.0000000000000001E-3</v>
      </c>
      <c r="I9" s="348">
        <f t="shared" ca="1" si="2"/>
        <v>0.99376949062339492</v>
      </c>
      <c r="J9" s="348">
        <f t="shared" ca="1" si="3"/>
        <v>1.2429885692875065E-3</v>
      </c>
      <c r="K9" s="372" cm="1">
        <f t="array" ref="K9">IF($F9&gt;CDS.Tenor,"-",cubicInterpolation(CurveResults.Times,CurveResults.DFs,$F9))</f>
        <v>0.94476174559314918</v>
      </c>
      <c r="L9" s="371">
        <f t="shared" ca="1" si="4"/>
        <v>-23471.884966964331</v>
      </c>
      <c r="M9" s="371">
        <f t="shared" ca="1" si="5"/>
        <v>-14.679100630904944</v>
      </c>
      <c r="N9" s="373">
        <f t="shared" ca="1" si="6"/>
        <v>-23486.564067595238</v>
      </c>
      <c r="Q9" s="370">
        <f t="shared" si="7"/>
        <v>1.25</v>
      </c>
      <c r="R9" s="371">
        <f t="shared" si="8"/>
        <v>6000000</v>
      </c>
      <c r="S9" s="385" cm="1">
        <f t="array" aca="1" ref="S9" ca="1">IF($F9&gt;CDS.Tenor,"-",flatInterpolation(Q9,INDIRECT(HazardRateTimes),INDIRECT(HazardRateValues)))</f>
        <v>5.0000000000000001E-3</v>
      </c>
      <c r="T9" s="348">
        <f t="shared" ca="1" si="9"/>
        <v>0.99376949062339492</v>
      </c>
      <c r="U9" s="348">
        <f t="shared" ca="1" si="10"/>
        <v>1.2429885692875065E-3</v>
      </c>
      <c r="V9" s="372" cm="1">
        <f t="array" ref="V9">IF($Q9&gt;CDS.Tenor,"-",cubicInterpolation(CurveResults.Times,CurveResults.DFs,$F9))</f>
        <v>0.94476174559314918</v>
      </c>
      <c r="W9" s="373">
        <f t="shared" ca="1" si="11"/>
        <v>7045.9683028343734</v>
      </c>
    </row>
    <row r="10" spans="2:26" x14ac:dyDescent="0.3">
      <c r="B10" s="116" t="s">
        <v>133</v>
      </c>
      <c r="C10" s="160"/>
      <c r="D10" s="162">
        <v>5</v>
      </c>
      <c r="F10" s="370">
        <f t="shared" si="0"/>
        <v>1.5</v>
      </c>
      <c r="G10" s="371">
        <f t="shared" si="1"/>
        <v>-25000</v>
      </c>
      <c r="H10" s="385" cm="1">
        <f t="array" aca="1" ref="H10" ca="1">IF($F10&gt;CDS.Tenor,"-",flatInterpolation(F10,INDIRECT(HazardRateTimes),INDIRECT(HazardRateValues)))</f>
        <v>5.0000000000000001E-3</v>
      </c>
      <c r="I10" s="348">
        <f t="shared" ca="1" si="2"/>
        <v>0.99252805481913864</v>
      </c>
      <c r="J10" s="348">
        <f t="shared" ca="1" si="3"/>
        <v>1.2414358042562856E-3</v>
      </c>
      <c r="K10" s="372" cm="1">
        <f t="array" ref="K10">IF($F10&gt;CDS.Tenor,"-",cubicInterpolation(CurveResults.Times,CurveResults.DFs,$F10))</f>
        <v>0.93466312738762736</v>
      </c>
      <c r="L10" s="371">
        <f t="shared" ca="1" si="4"/>
        <v>-23191.984393430364</v>
      </c>
      <c r="M10" s="371">
        <f t="shared" ca="1" si="5"/>
        <v>-14.504053390714429</v>
      </c>
      <c r="N10" s="373">
        <f t="shared" ca="1" si="6"/>
        <v>-23206.48844682108</v>
      </c>
      <c r="Q10" s="370">
        <f t="shared" si="7"/>
        <v>1.5</v>
      </c>
      <c r="R10" s="371">
        <f t="shared" si="8"/>
        <v>6000000</v>
      </c>
      <c r="S10" s="385" cm="1">
        <f t="array" aca="1" ref="S10" ca="1">IF($F10&gt;CDS.Tenor,"-",flatInterpolation(Q10,INDIRECT(HazardRateTimes),INDIRECT(HazardRateValues)))</f>
        <v>5.0000000000000001E-3</v>
      </c>
      <c r="T10" s="348">
        <f t="shared" ca="1" si="9"/>
        <v>0.99252805481913864</v>
      </c>
      <c r="U10" s="348">
        <f t="shared" ca="1" si="10"/>
        <v>1.2414358042562856E-3</v>
      </c>
      <c r="V10" s="372" cm="1">
        <f t="array" ref="V10">IF($Q10&gt;CDS.Tenor,"-",cubicInterpolation(CurveResults.Times,CurveResults.DFs,$F10))</f>
        <v>0.93466312738762736</v>
      </c>
      <c r="W10" s="373">
        <f t="shared" ca="1" si="11"/>
        <v>6961.9456275429256</v>
      </c>
    </row>
    <row r="11" spans="2:26" x14ac:dyDescent="0.3">
      <c r="B11" s="112" t="s">
        <v>115</v>
      </c>
      <c r="C11" s="161"/>
      <c r="D11" s="163">
        <v>0.4</v>
      </c>
      <c r="F11" s="370">
        <f t="shared" si="0"/>
        <v>1.75</v>
      </c>
      <c r="G11" s="371">
        <f t="shared" si="1"/>
        <v>-25000</v>
      </c>
      <c r="H11" s="385" cm="1">
        <f t="array" aca="1" ref="H11" ca="1">IF($F11&gt;CDS.Tenor,"-",flatInterpolation(F11,INDIRECT(HazardRateTimes),INDIRECT(HazardRateValues)))</f>
        <v>5.0000000000000001E-3</v>
      </c>
      <c r="I11" s="348">
        <f t="shared" ca="1" si="2"/>
        <v>0.99128816984016999</v>
      </c>
      <c r="J11" s="348">
        <f t="shared" ca="1" si="3"/>
        <v>1.2398849789686528E-3</v>
      </c>
      <c r="K11" s="372" cm="1">
        <f t="array" ref="K11">IF($F11&gt;CDS.Tenor,"-",cubicInterpolation(CurveResults.Times,CurveResults.DFs,$F11))</f>
        <v>0.92484187664189998</v>
      </c>
      <c r="L11" s="371">
        <f t="shared" ca="1" si="4"/>
        <v>-22919.620282197433</v>
      </c>
      <c r="M11" s="371">
        <f t="shared" ca="1" si="5"/>
        <v>-14.333719384618394</v>
      </c>
      <c r="N11" s="373">
        <f t="shared" ca="1" si="6"/>
        <v>-22933.954001582053</v>
      </c>
      <c r="Q11" s="370">
        <f t="shared" si="7"/>
        <v>1.75</v>
      </c>
      <c r="R11" s="371">
        <f t="shared" si="8"/>
        <v>6000000</v>
      </c>
      <c r="S11" s="385" cm="1">
        <f t="array" aca="1" ref="S11" ca="1">IF($F11&gt;CDS.Tenor,"-",flatInterpolation(Q11,INDIRECT(HazardRateTimes),INDIRECT(HazardRateValues)))</f>
        <v>5.0000000000000001E-3</v>
      </c>
      <c r="T11" s="348">
        <f t="shared" ca="1" si="9"/>
        <v>0.99128816984016999</v>
      </c>
      <c r="U11" s="348">
        <f t="shared" ca="1" si="10"/>
        <v>1.2398849789686528E-3</v>
      </c>
      <c r="V11" s="372" cm="1">
        <f t="array" ref="V11">IF($Q11&gt;CDS.Tenor,"-",cubicInterpolation(CurveResults.Times,CurveResults.DFs,$F11))</f>
        <v>0.92484187664189998</v>
      </c>
      <c r="W11" s="373">
        <f t="shared" ca="1" si="11"/>
        <v>6880.1853046168299</v>
      </c>
    </row>
    <row r="12" spans="2:26" x14ac:dyDescent="0.3">
      <c r="F12" s="370">
        <f t="shared" si="0"/>
        <v>2</v>
      </c>
      <c r="G12" s="371">
        <f t="shared" si="1"/>
        <v>-25000</v>
      </c>
      <c r="H12" s="385" cm="1">
        <f t="array" aca="1" ref="H12" ca="1">IF($F12&gt;CDS.Tenor,"-",flatInterpolation(F12,INDIRECT(HazardRateTimes),INDIRECT(HazardRateValues)))</f>
        <v>5.0000000000000001E-3</v>
      </c>
      <c r="I12" s="348">
        <f t="shared" ca="1" si="2"/>
        <v>0.99004983374916833</v>
      </c>
      <c r="J12" s="348">
        <f t="shared" ca="1" si="3"/>
        <v>1.2383360910016572E-3</v>
      </c>
      <c r="K12" s="372" cm="1">
        <f t="array" ref="K12">IF($F12&gt;CDS.Tenor,"-",cubicInterpolation(CurveResults.Times,CurveResults.DFs,$F12))</f>
        <v>0.91525521397921195</v>
      </c>
      <c r="L12" s="371">
        <f t="shared" ca="1" si="4"/>
        <v>-22653.706810954456</v>
      </c>
      <c r="M12" s="371">
        <f t="shared" ca="1" si="5"/>
        <v>-14.167419549348782</v>
      </c>
      <c r="N12" s="373">
        <f t="shared" ca="1" si="6"/>
        <v>-22667.874230503807</v>
      </c>
      <c r="Q12" s="370">
        <f t="shared" si="7"/>
        <v>2</v>
      </c>
      <c r="R12" s="371">
        <f t="shared" si="8"/>
        <v>6000000</v>
      </c>
      <c r="S12" s="385" cm="1">
        <f t="array" aca="1" ref="S12" ca="1">IF($F12&gt;CDS.Tenor,"-",flatInterpolation(Q12,INDIRECT(HazardRateTimes),INDIRECT(HazardRateValues)))</f>
        <v>5.0000000000000001E-3</v>
      </c>
      <c r="T12" s="348">
        <f t="shared" ca="1" si="9"/>
        <v>0.99004983374916833</v>
      </c>
      <c r="U12" s="348">
        <f t="shared" ca="1" si="10"/>
        <v>1.2383360910016572E-3</v>
      </c>
      <c r="V12" s="372" cm="1">
        <f t="array" ref="V12">IF($Q12&gt;CDS.Tenor,"-",cubicInterpolation(CurveResults.Times,CurveResults.DFs,$F12))</f>
        <v>0.91525521397921195</v>
      </c>
      <c r="W12" s="373">
        <f t="shared" ca="1" si="11"/>
        <v>6800.3613836874156</v>
      </c>
    </row>
    <row r="13" spans="2:26" x14ac:dyDescent="0.3">
      <c r="B13" s="1" t="s">
        <v>116</v>
      </c>
      <c r="F13" s="370">
        <f t="shared" si="0"/>
        <v>2.25</v>
      </c>
      <c r="G13" s="371">
        <f t="shared" si="1"/>
        <v>-25000</v>
      </c>
      <c r="H13" s="385" cm="1">
        <f t="array" aca="1" ref="H13" ca="1">IF($F13&gt;CDS.Tenor,"-",flatInterpolation(F13,INDIRECT(HazardRateTimes),INDIRECT(HazardRateValues)))</f>
        <v>5.0000000000000001E-3</v>
      </c>
      <c r="I13" s="348">
        <f t="shared" ca="1" si="2"/>
        <v>0.98881304461123343</v>
      </c>
      <c r="J13" s="348">
        <f t="shared" ca="1" si="3"/>
        <v>1.2367891379349016E-3</v>
      </c>
      <c r="K13" s="372" cm="1">
        <f t="array" ref="K13">IF($F13&gt;CDS.Tenor,"-",cubicInterpolation(CurveResults.Times,CurveResults.DFs,$F13))</f>
        <v>0.90592386234408706</v>
      </c>
      <c r="L13" s="371">
        <f t="shared" ca="1" si="4"/>
        <v>-22394.733312760618</v>
      </c>
      <c r="M13" s="371">
        <f t="shared" ca="1" si="5"/>
        <v>-14.00545990929</v>
      </c>
      <c r="N13" s="373">
        <f t="shared" ca="1" si="6"/>
        <v>-22408.738772669909</v>
      </c>
      <c r="Q13" s="370">
        <f t="shared" si="7"/>
        <v>2.25</v>
      </c>
      <c r="R13" s="371">
        <f t="shared" si="8"/>
        <v>6000000</v>
      </c>
      <c r="S13" s="385" cm="1">
        <f t="array" aca="1" ref="S13" ca="1">IF($F13&gt;CDS.Tenor,"-",flatInterpolation(Q13,INDIRECT(HazardRateTimes),INDIRECT(HazardRateValues)))</f>
        <v>5.0000000000000001E-3</v>
      </c>
      <c r="T13" s="348">
        <f t="shared" ca="1" si="9"/>
        <v>0.98881304461123343</v>
      </c>
      <c r="U13" s="348">
        <f t="shared" ca="1" si="10"/>
        <v>1.2367891379349016E-3</v>
      </c>
      <c r="V13" s="372" cm="1">
        <f t="array" ref="V13">IF($Q13&gt;CDS.Tenor,"-",cubicInterpolation(CurveResults.Times,CurveResults.DFs,$F13))</f>
        <v>0.90592386234408706</v>
      </c>
      <c r="W13" s="373">
        <f t="shared" ca="1" si="11"/>
        <v>6722.6207564591996</v>
      </c>
    </row>
    <row r="14" spans="2:26" x14ac:dyDescent="0.3">
      <c r="B14" s="114" t="s">
        <v>119</v>
      </c>
      <c r="C14" s="115"/>
      <c r="D14" s="150">
        <f>IF(D6="BUY",-1,1)</f>
        <v>-1</v>
      </c>
      <c r="F14" s="370">
        <f t="shared" si="0"/>
        <v>2.5</v>
      </c>
      <c r="G14" s="371">
        <f t="shared" si="1"/>
        <v>-25000</v>
      </c>
      <c r="H14" s="385" cm="1">
        <f t="array" aca="1" ref="H14" ca="1">IF($F14&gt;CDS.Tenor,"-",flatInterpolation(F14,INDIRECT(HazardRateTimes),INDIRECT(HazardRateValues)))</f>
        <v>5.0000000000000001E-3</v>
      </c>
      <c r="I14" s="348">
        <f t="shared" ca="1" si="2"/>
        <v>0.98757780049388189</v>
      </c>
      <c r="J14" s="348">
        <f t="shared" ca="1" si="3"/>
        <v>1.2352441173515416E-3</v>
      </c>
      <c r="K14" s="372" cm="1">
        <f t="array" ref="K14">IF($F14&gt;CDS.Tenor,"-",cubicInterpolation(CurveResults.Times,CurveResults.DFs,$F14))</f>
        <v>0.89685992714468643</v>
      </c>
      <c r="L14" s="371">
        <f t="shared" ca="1" si="4"/>
        <v>-22142.973855016317</v>
      </c>
      <c r="M14" s="371">
        <f t="shared" ca="1" si="5"/>
        <v>-13.848011863672577</v>
      </c>
      <c r="N14" s="373">
        <f t="shared" ca="1" si="6"/>
        <v>-22156.821866879989</v>
      </c>
      <c r="Q14" s="370">
        <f t="shared" si="7"/>
        <v>2.5</v>
      </c>
      <c r="R14" s="371">
        <f t="shared" si="8"/>
        <v>6000000</v>
      </c>
      <c r="S14" s="385" cm="1">
        <f t="array" aca="1" ref="S14" ca="1">IF($F14&gt;CDS.Tenor,"-",flatInterpolation(Q14,INDIRECT(HazardRateTimes),INDIRECT(HazardRateValues)))</f>
        <v>5.0000000000000001E-3</v>
      </c>
      <c r="T14" s="348">
        <f t="shared" ca="1" si="9"/>
        <v>0.98757780049388189</v>
      </c>
      <c r="U14" s="348">
        <f t="shared" ca="1" si="10"/>
        <v>1.2352441173515416E-3</v>
      </c>
      <c r="V14" s="372" cm="1">
        <f t="array" ref="V14">IF($Q14&gt;CDS.Tenor,"-",cubicInterpolation(CurveResults.Times,CurveResults.DFs,$F14))</f>
        <v>0.89685992714468643</v>
      </c>
      <c r="W14" s="373">
        <f t="shared" ca="1" si="11"/>
        <v>6647.0456945628366</v>
      </c>
    </row>
    <row r="15" spans="2:26" x14ac:dyDescent="0.3">
      <c r="B15" s="116" t="s">
        <v>120</v>
      </c>
      <c r="D15" s="151">
        <f>-D14</f>
        <v>1</v>
      </c>
      <c r="F15" s="370">
        <f t="shared" si="0"/>
        <v>2.75</v>
      </c>
      <c r="G15" s="371">
        <f t="shared" si="1"/>
        <v>-25000</v>
      </c>
      <c r="H15" s="385" cm="1">
        <f t="array" aca="1" ref="H15" ca="1">IF($F15&gt;CDS.Tenor,"-",flatInterpolation(F15,INDIRECT(HazardRateTimes),INDIRECT(HazardRateValues)))</f>
        <v>5.0000000000000001E-3</v>
      </c>
      <c r="I15" s="348">
        <f t="shared" ca="1" si="2"/>
        <v>0.98634409946704449</v>
      </c>
      <c r="J15" s="348">
        <f t="shared" ca="1" si="3"/>
        <v>1.2337010268373971E-3</v>
      </c>
      <c r="K15" s="372" cm="1">
        <f t="array" ref="K15">IF($F15&gt;CDS.Tenor,"-",cubicInterpolation(CurveResults.Times,CurveResults.DFs,$F15))</f>
        <v>0.8880077026997103</v>
      </c>
      <c r="L15" s="371">
        <f t="shared" ca="1" si="4"/>
        <v>-21897.028945978618</v>
      </c>
      <c r="M15" s="371">
        <f t="shared" ca="1" si="5"/>
        <v>-13.694200183251883</v>
      </c>
      <c r="N15" s="373">
        <f t="shared" ca="1" si="6"/>
        <v>-21910.723146161868</v>
      </c>
      <c r="Q15" s="370">
        <f t="shared" si="7"/>
        <v>2.75</v>
      </c>
      <c r="R15" s="371">
        <f t="shared" si="8"/>
        <v>6000000</v>
      </c>
      <c r="S15" s="385" cm="1">
        <f t="array" aca="1" ref="S15" ca="1">IF($F15&gt;CDS.Tenor,"-",flatInterpolation(Q15,INDIRECT(HazardRateTimes),INDIRECT(HazardRateValues)))</f>
        <v>5.0000000000000001E-3</v>
      </c>
      <c r="T15" s="348">
        <f t="shared" ca="1" si="9"/>
        <v>0.98634409946704449</v>
      </c>
      <c r="U15" s="348">
        <f t="shared" ca="1" si="10"/>
        <v>1.2337010268373971E-3</v>
      </c>
      <c r="V15" s="372" cm="1">
        <f t="array" ref="V15">IF($Q15&gt;CDS.Tenor,"-",cubicInterpolation(CurveResults.Times,CurveResults.DFs,$F15))</f>
        <v>0.8880077026997103</v>
      </c>
      <c r="W15" s="373">
        <f t="shared" ca="1" si="11"/>
        <v>6573.2160879609037</v>
      </c>
    </row>
    <row r="16" spans="2:26" x14ac:dyDescent="0.3">
      <c r="B16" s="116" t="s">
        <v>117</v>
      </c>
      <c r="D16" s="152">
        <f>D9/10000</f>
        <v>0.01</v>
      </c>
      <c r="F16" s="370">
        <f t="shared" si="0"/>
        <v>3</v>
      </c>
      <c r="G16" s="371">
        <f t="shared" si="1"/>
        <v>-25000</v>
      </c>
      <c r="H16" s="385" cm="1">
        <f t="array" aca="1" ref="H16" ca="1">IF($F16&gt;CDS.Tenor,"-",flatInterpolation(F16,INDIRECT(HazardRateTimes),INDIRECT(HazardRateValues)))</f>
        <v>5.0000000000000001E-3</v>
      </c>
      <c r="I16" s="348">
        <f t="shared" ca="1" si="2"/>
        <v>0.9851119396030632</v>
      </c>
      <c r="J16" s="348">
        <f t="shared" ca="1" si="3"/>
        <v>1.2321598639812859E-3</v>
      </c>
      <c r="K16" s="372" cm="1">
        <f t="array" ref="K16">IF($F16&gt;CDS.Tenor,"-",cubicInterpolation(CurveResults.Times,CurveResults.DFs,$F16))</f>
        <v>0.87931148332785924</v>
      </c>
      <c r="L16" s="371">
        <f t="shared" ca="1" si="4"/>
        <v>-21655.506021408852</v>
      </c>
      <c r="M16" s="371">
        <f t="shared" ca="1" si="5"/>
        <v>-13.543153971180473</v>
      </c>
      <c r="N16" s="373">
        <f t="shared" ca="1" si="6"/>
        <v>-21669.049175380031</v>
      </c>
      <c r="Q16" s="370">
        <f t="shared" si="7"/>
        <v>3</v>
      </c>
      <c r="R16" s="371">
        <f t="shared" si="8"/>
        <v>6000000</v>
      </c>
      <c r="S16" s="385" cm="1">
        <f t="array" aca="1" ref="S16" ca="1">IF($F16&gt;CDS.Tenor,"-",flatInterpolation(Q16,INDIRECT(HazardRateTimes),INDIRECT(HazardRateValues)))</f>
        <v>5.0000000000000001E-3</v>
      </c>
      <c r="T16" s="348">
        <f t="shared" ca="1" si="9"/>
        <v>0.9851119396030632</v>
      </c>
      <c r="U16" s="348">
        <f t="shared" ca="1" si="10"/>
        <v>1.2321598639812859E-3</v>
      </c>
      <c r="V16" s="372" cm="1">
        <f t="array" ref="V16">IF($Q16&gt;CDS.Tenor,"-",cubicInterpolation(CurveResults.Times,CurveResults.DFs,$F16))</f>
        <v>0.87931148332785924</v>
      </c>
      <c r="W16" s="373">
        <f t="shared" ca="1" si="11"/>
        <v>6500.7139061666267</v>
      </c>
    </row>
    <row r="17" spans="2:23" x14ac:dyDescent="0.3">
      <c r="B17" s="112" t="s">
        <v>118</v>
      </c>
      <c r="C17" s="113"/>
      <c r="D17" s="153">
        <v>0.25</v>
      </c>
      <c r="F17" s="370">
        <f t="shared" si="0"/>
        <v>3.25</v>
      </c>
      <c r="G17" s="371">
        <f t="shared" si="1"/>
        <v>-25000</v>
      </c>
      <c r="H17" s="385" cm="1">
        <f t="array" aca="1" ref="H17" ca="1">IF($F17&gt;CDS.Tenor,"-",flatInterpolation(F17,INDIRECT(HazardRateTimes),INDIRECT(HazardRateValues)))</f>
        <v>5.0000000000000001E-3</v>
      </c>
      <c r="I17" s="348">
        <f t="shared" ca="1" si="2"/>
        <v>0.98388131897668796</v>
      </c>
      <c r="J17" s="348">
        <f t="shared" ca="1" si="3"/>
        <v>1.2306206263752451E-3</v>
      </c>
      <c r="K17" s="372" cm="1">
        <f t="array" ref="K17">IF($F17&gt;CDS.Tenor,"-",cubicInterpolation(CurveResults.Times,CurveResults.DFs,$F17))</f>
        <v>0.87078171535403615</v>
      </c>
      <c r="L17" s="371">
        <f t="shared" ca="1" si="4"/>
        <v>-21418.646566082796</v>
      </c>
      <c r="M17" s="371">
        <f t="shared" ca="1" si="5"/>
        <v>-13.395024249813678</v>
      </c>
      <c r="N17" s="373">
        <f t="shared" ca="1" si="6"/>
        <v>-21432.04159033261</v>
      </c>
      <c r="Q17" s="370">
        <f t="shared" si="7"/>
        <v>3.25</v>
      </c>
      <c r="R17" s="371">
        <f t="shared" si="8"/>
        <v>6000000</v>
      </c>
      <c r="S17" s="385" cm="1">
        <f t="array" aca="1" ref="S17" ca="1">IF($F17&gt;CDS.Tenor,"-",flatInterpolation(Q17,INDIRECT(HazardRateTimes),INDIRECT(HazardRateValues)))</f>
        <v>5.0000000000000001E-3</v>
      </c>
      <c r="T17" s="348">
        <f t="shared" ca="1" si="9"/>
        <v>0.98388131897668796</v>
      </c>
      <c r="U17" s="348">
        <f t="shared" ca="1" si="10"/>
        <v>1.2306206263752451E-3</v>
      </c>
      <c r="V17" s="372" cm="1">
        <f t="array" ref="V17">IF($Q17&gt;CDS.Tenor,"-",cubicInterpolation(CurveResults.Times,CurveResults.DFs,$F17))</f>
        <v>0.87078171535403615</v>
      </c>
      <c r="W17" s="373">
        <f t="shared" ca="1" si="11"/>
        <v>6429.6116399105658</v>
      </c>
    </row>
    <row r="18" spans="2:23" x14ac:dyDescent="0.3">
      <c r="F18" s="370">
        <f t="shared" si="0"/>
        <v>3.5</v>
      </c>
      <c r="G18" s="371">
        <f t="shared" si="1"/>
        <v>-25000</v>
      </c>
      <c r="H18" s="385" cm="1">
        <f t="array" aca="1" ref="H18" ca="1">IF($F18&gt;CDS.Tenor,"-",flatInterpolation(F18,INDIRECT(HazardRateTimes),INDIRECT(HazardRateValues)))</f>
        <v>5.0000000000000001E-3</v>
      </c>
      <c r="I18" s="348">
        <f t="shared" ca="1" si="2"/>
        <v>0.98265223566507376</v>
      </c>
      <c r="J18" s="348">
        <f t="shared" ca="1" si="3"/>
        <v>1.2290833116141986E-3</v>
      </c>
      <c r="K18" s="372" cm="1">
        <f t="array" ref="K18">IF($F18&gt;CDS.Tenor,"-",cubicInterpolation(CurveResults.Times,CurveResults.DFs,$F18))</f>
        <v>0.86243967475051753</v>
      </c>
      <c r="L18" s="371">
        <f t="shared" ca="1" si="4"/>
        <v>-21186.95686299638</v>
      </c>
      <c r="M18" s="371">
        <f t="shared" ca="1" si="5"/>
        <v>-13.250127643872979</v>
      </c>
      <c r="N18" s="373">
        <f t="shared" ca="1" si="6"/>
        <v>-21200.206990640254</v>
      </c>
      <c r="Q18" s="370">
        <f t="shared" si="7"/>
        <v>3.5</v>
      </c>
      <c r="R18" s="371">
        <f t="shared" si="8"/>
        <v>6000000</v>
      </c>
      <c r="S18" s="385" cm="1">
        <f t="array" aca="1" ref="S18" ca="1">IF($F18&gt;CDS.Tenor,"-",flatInterpolation(Q18,INDIRECT(HazardRateTimes),INDIRECT(HazardRateValues)))</f>
        <v>5.0000000000000001E-3</v>
      </c>
      <c r="T18" s="348">
        <f t="shared" ca="1" si="9"/>
        <v>0.98265223566507376</v>
      </c>
      <c r="U18" s="348">
        <f t="shared" ca="1" si="10"/>
        <v>1.2290833116141986E-3</v>
      </c>
      <c r="V18" s="372" cm="1">
        <f t="array" ref="V18">IF($Q18&gt;CDS.Tenor,"-",cubicInterpolation(CurveResults.Times,CurveResults.DFs,$F18))</f>
        <v>0.86243967475051753</v>
      </c>
      <c r="W18" s="373">
        <f t="shared" ca="1" si="11"/>
        <v>6360.0612690590306</v>
      </c>
    </row>
    <row r="19" spans="2:23" x14ac:dyDescent="0.3">
      <c r="B19" s="1" t="s">
        <v>122</v>
      </c>
      <c r="F19" s="370">
        <f t="shared" si="0"/>
        <v>3.75</v>
      </c>
      <c r="G19" s="371">
        <f t="shared" si="1"/>
        <v>-25000</v>
      </c>
      <c r="H19" s="385" cm="1">
        <f t="array" aca="1" ref="H19" ca="1">IF($F19&gt;CDS.Tenor,"-",flatInterpolation(F19,INDIRECT(HazardRateTimes),INDIRECT(HazardRateValues)))</f>
        <v>5.0000000000000001E-3</v>
      </c>
      <c r="I19" s="348">
        <f t="shared" ca="1" si="2"/>
        <v>0.98142468774777769</v>
      </c>
      <c r="J19" s="348">
        <f t="shared" ca="1" si="3"/>
        <v>1.2275479172960679E-3</v>
      </c>
      <c r="K19" s="372" cm="1">
        <f t="array" ref="K19">IF($F19&gt;CDS.Tenor,"-",cubicInterpolation(CurveResults.Times,CurveResults.DFs,$F19))</f>
        <v>0.85424590030706427</v>
      </c>
      <c r="L19" s="371">
        <f t="shared" ca="1" si="4"/>
        <v>-20959.450399216992</v>
      </c>
      <c r="M19" s="371">
        <f t="shared" ca="1" si="5"/>
        <v>-13.107847197258016</v>
      </c>
      <c r="N19" s="373">
        <f t="shared" ca="1" si="6"/>
        <v>-20972.55824641425</v>
      </c>
      <c r="Q19" s="370">
        <f t="shared" si="7"/>
        <v>3.75</v>
      </c>
      <c r="R19" s="371">
        <f t="shared" si="8"/>
        <v>6000000</v>
      </c>
      <c r="S19" s="385" cm="1">
        <f t="array" aca="1" ref="S19" ca="1">IF($F19&gt;CDS.Tenor,"-",flatInterpolation(Q19,INDIRECT(HazardRateTimes),INDIRECT(HazardRateValues)))</f>
        <v>5.0000000000000001E-3</v>
      </c>
      <c r="T19" s="348">
        <f t="shared" ca="1" si="9"/>
        <v>0.98142468774777769</v>
      </c>
      <c r="U19" s="348">
        <f t="shared" ca="1" si="10"/>
        <v>1.2275479172960679E-3</v>
      </c>
      <c r="V19" s="372" cm="1">
        <f t="array" ref="V19">IF($Q19&gt;CDS.Tenor,"-",cubicInterpolation(CurveResults.Times,CurveResults.DFs,$F19))</f>
        <v>0.85424590030706427</v>
      </c>
      <c r="W19" s="373">
        <f t="shared" ca="1" si="11"/>
        <v>6291.7666546838473</v>
      </c>
    </row>
    <row r="20" spans="2:23" x14ac:dyDescent="0.3">
      <c r="B20" s="114" t="s">
        <v>123</v>
      </c>
      <c r="C20" s="159"/>
      <c r="D20" s="378">
        <f ca="1">SUM(D21:D22)</f>
        <v>-309783.32054167008</v>
      </c>
      <c r="F20" s="370">
        <f t="shared" si="0"/>
        <v>4</v>
      </c>
      <c r="G20" s="371">
        <f t="shared" si="1"/>
        <v>-25000</v>
      </c>
      <c r="H20" s="385" cm="1">
        <f t="array" aca="1" ref="H20" ca="1">IF($F20&gt;CDS.Tenor,"-",flatInterpolation(F20,INDIRECT(HazardRateTimes),INDIRECT(HazardRateValues)))</f>
        <v>5.0000000000000001E-3</v>
      </c>
      <c r="I20" s="348">
        <f t="shared" ca="1" si="2"/>
        <v>0.98019867330675592</v>
      </c>
      <c r="J20" s="348">
        <f t="shared" ca="1" si="3"/>
        <v>1.2260144410217722E-3</v>
      </c>
      <c r="K20" s="372" cm="1">
        <f t="array" ref="K20">IF($F20&gt;CDS.Tenor,"-",cubicInterpolation(CurveResults.Times,CurveResults.DFs,$F20))</f>
        <v>0.84616093081343713</v>
      </c>
      <c r="L20" s="371">
        <f t="shared" ca="1" si="4"/>
        <v>-20735.145544683521</v>
      </c>
      <c r="M20" s="371">
        <f t="shared" ca="1" si="5"/>
        <v>-12.967569007571232</v>
      </c>
      <c r="N20" s="373">
        <f t="shared" ca="1" si="6"/>
        <v>-20748.113113691092</v>
      </c>
      <c r="Q20" s="370">
        <f t="shared" si="7"/>
        <v>4</v>
      </c>
      <c r="R20" s="371">
        <f t="shared" si="8"/>
        <v>6000000</v>
      </c>
      <c r="S20" s="385" cm="1">
        <f t="array" aca="1" ref="S20" ca="1">IF($F20&gt;CDS.Tenor,"-",flatInterpolation(Q20,INDIRECT(HazardRateTimes),INDIRECT(HazardRateValues)))</f>
        <v>5.0000000000000001E-3</v>
      </c>
      <c r="T20" s="348">
        <f t="shared" ca="1" si="9"/>
        <v>0.98019867330675592</v>
      </c>
      <c r="U20" s="348">
        <f t="shared" ca="1" si="10"/>
        <v>1.2260144410217722E-3</v>
      </c>
      <c r="V20" s="372" cm="1">
        <f t="array" ref="V20">IF($Q20&gt;CDS.Tenor,"-",cubicInterpolation(CurveResults.Times,CurveResults.DFs,$F20))</f>
        <v>0.84616093081343713</v>
      </c>
      <c r="W20" s="373">
        <f t="shared" ca="1" si="11"/>
        <v>6224.4331236341914</v>
      </c>
    </row>
    <row r="21" spans="2:23" x14ac:dyDescent="0.3">
      <c r="B21" s="116" t="s">
        <v>124</v>
      </c>
      <c r="C21" s="160"/>
      <c r="D21" s="379">
        <f ca="1">SUM($N$4:$N$44)</f>
        <v>-442547.5760780765</v>
      </c>
      <c r="F21" s="370">
        <f t="shared" si="0"/>
        <v>4.25</v>
      </c>
      <c r="G21" s="371">
        <f t="shared" si="1"/>
        <v>-25000</v>
      </c>
      <c r="H21" s="385" cm="1">
        <f t="array" aca="1" ref="H21" ca="1">IF($F21&gt;CDS.Tenor,"-",flatInterpolation(F21,INDIRECT(HazardRateTimes),INDIRECT(HazardRateValues)))</f>
        <v>5.0000000000000001E-3</v>
      </c>
      <c r="I21" s="348">
        <f t="shared" ca="1" si="2"/>
        <v>0.97897419042636069</v>
      </c>
      <c r="J21" s="348">
        <f t="shared" ca="1" si="3"/>
        <v>1.2244828803952279E-3</v>
      </c>
      <c r="K21" s="372" cm="1">
        <f t="array" ref="K21">IF($F21&gt;CDS.Tenor,"-",cubicInterpolation(CurveResults.Times,CurveResults.DFs,$F21))</f>
        <v>0.83819214507342643</v>
      </c>
      <c r="L21" s="371">
        <f t="shared" ca="1" si="4"/>
        <v>-20514.211916124808</v>
      </c>
      <c r="M21" s="371">
        <f t="shared" ca="1" si="5"/>
        <v>-12.82939915155205</v>
      </c>
      <c r="N21" s="373">
        <f t="shared" ca="1" si="6"/>
        <v>-20527.041315276361</v>
      </c>
      <c r="Q21" s="370">
        <f t="shared" si="7"/>
        <v>4.25</v>
      </c>
      <c r="R21" s="371">
        <f t="shared" si="8"/>
        <v>6000000</v>
      </c>
      <c r="S21" s="385" cm="1">
        <f t="array" aca="1" ref="S21" ca="1">IF($F21&gt;CDS.Tenor,"-",flatInterpolation(Q21,INDIRECT(HazardRateTimes),INDIRECT(HazardRateValues)))</f>
        <v>5.0000000000000001E-3</v>
      </c>
      <c r="T21" s="348">
        <f t="shared" ca="1" si="9"/>
        <v>0.97897419042636069</v>
      </c>
      <c r="U21" s="348">
        <f t="shared" ca="1" si="10"/>
        <v>1.2244828803952279E-3</v>
      </c>
      <c r="V21" s="372" cm="1">
        <f t="array" ref="V21">IF($Q21&gt;CDS.Tenor,"-",cubicInterpolation(CurveResults.Times,CurveResults.DFs,$F21))</f>
        <v>0.83819214507342643</v>
      </c>
      <c r="W21" s="373">
        <f t="shared" ca="1" si="11"/>
        <v>6158.1115927449837</v>
      </c>
    </row>
    <row r="22" spans="2:23" x14ac:dyDescent="0.3">
      <c r="B22" s="116" t="s">
        <v>125</v>
      </c>
      <c r="C22" s="160"/>
      <c r="D22" s="379">
        <f ca="1">SUM($W$5:$W$44)</f>
        <v>132764.25553640642</v>
      </c>
      <c r="F22" s="370">
        <f t="shared" si="0"/>
        <v>4.5</v>
      </c>
      <c r="G22" s="371">
        <f t="shared" si="1"/>
        <v>-25000</v>
      </c>
      <c r="H22" s="385" cm="1">
        <f t="array" aca="1" ref="H22" ca="1">IF($F22&gt;CDS.Tenor,"-",flatInterpolation(F22,INDIRECT(HazardRateTimes),INDIRECT(HazardRateValues)))</f>
        <v>5.0000000000000001E-3</v>
      </c>
      <c r="I22" s="348">
        <f t="shared" ca="1" si="2"/>
        <v>0.97775123719333712</v>
      </c>
      <c r="J22" s="348">
        <f t="shared" ca="1" si="3"/>
        <v>1.2229532330235715E-3</v>
      </c>
      <c r="K22" s="372" cm="1">
        <f t="array" ref="K22">IF($F22&gt;CDS.Tenor,"-",cubicInterpolation(CurveResults.Times,CurveResults.DFs,$F22))</f>
        <v>0.8303546218014306</v>
      </c>
      <c r="L22" s="371">
        <f t="shared" ca="1" si="4"/>
        <v>-20297.00646938886</v>
      </c>
      <c r="M22" s="371">
        <f t="shared" ca="1" si="5"/>
        <v>-12.693560866101556</v>
      </c>
      <c r="N22" s="373">
        <f t="shared" ca="1" si="6"/>
        <v>-20309.70003025496</v>
      </c>
      <c r="Q22" s="370">
        <f t="shared" si="7"/>
        <v>4.5</v>
      </c>
      <c r="R22" s="371">
        <f t="shared" si="8"/>
        <v>6000000</v>
      </c>
      <c r="S22" s="385" cm="1">
        <f t="array" aca="1" ref="S22" ca="1">IF($F22&gt;CDS.Tenor,"-",flatInterpolation(Q22,INDIRECT(HazardRateTimes),INDIRECT(HazardRateValues)))</f>
        <v>5.0000000000000001E-3</v>
      </c>
      <c r="T22" s="348">
        <f t="shared" ca="1" si="9"/>
        <v>0.97775123719333712</v>
      </c>
      <c r="U22" s="348">
        <f t="shared" ca="1" si="10"/>
        <v>1.2229532330235715E-3</v>
      </c>
      <c r="V22" s="372" cm="1">
        <f t="array" ref="V22">IF($Q22&gt;CDS.Tenor,"-",cubicInterpolation(CurveResults.Times,CurveResults.DFs,$F22))</f>
        <v>0.8303546218014306</v>
      </c>
      <c r="W22" s="373">
        <f t="shared" ca="1" si="11"/>
        <v>6092.9092157287478</v>
      </c>
    </row>
    <row r="23" spans="2:23" x14ac:dyDescent="0.3">
      <c r="B23" s="116" t="s">
        <v>49</v>
      </c>
      <c r="C23" s="160"/>
      <c r="D23" s="380">
        <f ca="1">ABS(CDS.PremiumLegPV/CDS.CreditSpread)</f>
        <v>44254757.607807651</v>
      </c>
      <c r="F23" s="370">
        <f t="shared" si="0"/>
        <v>4.75</v>
      </c>
      <c r="G23" s="371">
        <f t="shared" si="1"/>
        <v>-25000</v>
      </c>
      <c r="H23" s="385" cm="1">
        <f t="array" aca="1" ref="H23" ca="1">IF($F23&gt;CDS.Tenor,"-",flatInterpolation(F23,INDIRECT(HazardRateTimes),INDIRECT(HazardRateValues)))</f>
        <v>5.0000000000000001E-3</v>
      </c>
      <c r="I23" s="348">
        <f t="shared" ca="1" si="2"/>
        <v>0.97652981169682063</v>
      </c>
      <c r="J23" s="348">
        <f t="shared" ca="1" si="3"/>
        <v>1.2214254965164928E-3</v>
      </c>
      <c r="K23" s="372" cm="1">
        <f t="array" ref="K23">IF($F23&gt;CDS.Tenor,"-",cubicInterpolation(CurveResults.Times,CurveResults.DFs,$F23))</f>
        <v>0.82262044965312253</v>
      </c>
      <c r="L23" s="371">
        <f t="shared" ca="1" si="4"/>
        <v>-20082.834819942942</v>
      </c>
      <c r="M23" s="371">
        <f t="shared" ca="1" si="5"/>
        <v>-12.559619889527321</v>
      </c>
      <c r="N23" s="373">
        <f t="shared" ca="1" si="6"/>
        <v>-20095.394439832471</v>
      </c>
      <c r="Q23" s="370">
        <f t="shared" si="7"/>
        <v>4.75</v>
      </c>
      <c r="R23" s="371">
        <f t="shared" si="8"/>
        <v>6000000</v>
      </c>
      <c r="S23" s="385" cm="1">
        <f t="array" aca="1" ref="S23" ca="1">IF($F23&gt;CDS.Tenor,"-",flatInterpolation(Q23,INDIRECT(HazardRateTimes),INDIRECT(HazardRateValues)))</f>
        <v>5.0000000000000001E-3</v>
      </c>
      <c r="T23" s="348">
        <f t="shared" ca="1" si="9"/>
        <v>0.97652981169682063</v>
      </c>
      <c r="U23" s="348">
        <f t="shared" ca="1" si="10"/>
        <v>1.2214254965164928E-3</v>
      </c>
      <c r="V23" s="372" cm="1">
        <f t="array" ref="V23">IF($Q23&gt;CDS.Tenor,"-",cubicInterpolation(CurveResults.Times,CurveResults.DFs,$F23))</f>
        <v>0.82262044965312253</v>
      </c>
      <c r="W23" s="373">
        <f t="shared" ca="1" si="11"/>
        <v>6028.6175469731143</v>
      </c>
    </row>
    <row r="24" spans="2:23" x14ac:dyDescent="0.3">
      <c r="B24" s="116" t="s">
        <v>126</v>
      </c>
      <c r="C24" s="160"/>
      <c r="D24" s="381">
        <f ca="1">D23*0.01%</f>
        <v>4425.4757607807651</v>
      </c>
      <c r="F24" s="370">
        <f t="shared" si="0"/>
        <v>5</v>
      </c>
      <c r="G24" s="371">
        <f t="shared" si="1"/>
        <v>-25000</v>
      </c>
      <c r="H24" s="385" cm="1">
        <f t="array" aca="1" ref="H24" ca="1">IF($F24&gt;CDS.Tenor,"-",flatInterpolation(F24,INDIRECT(HazardRateTimes),INDIRECT(HazardRateValues)))</f>
        <v>5.0000000000000001E-3</v>
      </c>
      <c r="I24" s="348">
        <f t="shared" ca="1" si="2"/>
        <v>0.9753099120283335</v>
      </c>
      <c r="J24" s="348">
        <f t="shared" ca="1" si="3"/>
        <v>1.2198996684871233E-3</v>
      </c>
      <c r="K24" s="372" cm="1">
        <f t="array" ref="K24">IF($F24&gt;CDS.Tenor,"-",cubicInterpolation(CurveResults.Times,CurveResults.DFs,$F24))</f>
        <v>0.81496171728417521</v>
      </c>
      <c r="L24" s="371">
        <f t="shared" ca="1" si="4"/>
        <v>-19871.006019772212</v>
      </c>
      <c r="M24" s="371">
        <f t="shared" ca="1" si="5"/>
        <v>-12.427144109308275</v>
      </c>
      <c r="N24" s="373">
        <f t="shared" ca="1" si="6"/>
        <v>-19883.43316388152</v>
      </c>
      <c r="Q24" s="370">
        <f t="shared" si="7"/>
        <v>5</v>
      </c>
      <c r="R24" s="371">
        <f t="shared" si="8"/>
        <v>6000000</v>
      </c>
      <c r="S24" s="385" cm="1">
        <f t="array" aca="1" ref="S24" ca="1">IF($F24&gt;CDS.Tenor,"-",flatInterpolation(Q24,INDIRECT(HazardRateTimes),INDIRECT(HazardRateValues)))</f>
        <v>5.0000000000000001E-3</v>
      </c>
      <c r="T24" s="348">
        <f t="shared" ca="1" si="9"/>
        <v>0.9753099120283335</v>
      </c>
      <c r="U24" s="348">
        <f t="shared" ca="1" si="10"/>
        <v>1.2198996684871233E-3</v>
      </c>
      <c r="V24" s="372" cm="1">
        <f t="array" ref="V24">IF($Q24&gt;CDS.Tenor,"-",cubicInterpolation(CurveResults.Times,CurveResults.DFs,$F24))</f>
        <v>0.81496171728417521</v>
      </c>
      <c r="W24" s="373">
        <f t="shared" ca="1" si="11"/>
        <v>5965.0291724679719</v>
      </c>
    </row>
    <row r="25" spans="2:23" x14ac:dyDescent="0.3">
      <c r="B25" s="116" t="s">
        <v>110</v>
      </c>
      <c r="C25" s="160"/>
      <c r="D25" s="382">
        <f ca="1">ABS(D22/D23)</f>
        <v>2.9999996093749582E-3</v>
      </c>
      <c r="F25" s="370">
        <f t="shared" si="0"/>
        <v>5.25</v>
      </c>
      <c r="G25" s="371" t="str">
        <f t="shared" si="1"/>
        <v>-</v>
      </c>
      <c r="H25" s="385" t="str" cm="1">
        <f t="array" aca="1" ref="H25" ca="1">IF($F25&gt;CDS.Tenor,"-",flatInterpolation(F25,INDIRECT(HazardRateTimes),INDIRECT(HazardRateValues)))</f>
        <v>-</v>
      </c>
      <c r="I25" s="348" t="str">
        <f t="shared" si="2"/>
        <v>-</v>
      </c>
      <c r="J25" s="348" t="str">
        <f t="shared" si="3"/>
        <v>-</v>
      </c>
      <c r="K25" s="372" t="str" cm="1">
        <f t="array" ref="K25">IF($F25&gt;CDS.Tenor,"-",cubicInterpolation(CurveResults.Times,CurveResults.DFs,$F25))</f>
        <v>-</v>
      </c>
      <c r="L25" s="371" t="str">
        <f t="shared" si="4"/>
        <v>-</v>
      </c>
      <c r="M25" s="371" t="str">
        <f t="shared" si="5"/>
        <v>-</v>
      </c>
      <c r="N25" s="373" t="str">
        <f t="shared" si="6"/>
        <v>-</v>
      </c>
      <c r="Q25" s="370">
        <f t="shared" si="7"/>
        <v>5.25</v>
      </c>
      <c r="R25" s="371" t="str">
        <f t="shared" si="8"/>
        <v>-</v>
      </c>
      <c r="S25" s="385" t="str" cm="1">
        <f t="array" aca="1" ref="S25" ca="1">IF($F25&gt;CDS.Tenor,"-",flatInterpolation(Q25,INDIRECT(HazardRateTimes),INDIRECT(HazardRateValues)))</f>
        <v>-</v>
      </c>
      <c r="T25" s="348" t="str">
        <f t="shared" si="9"/>
        <v>-</v>
      </c>
      <c r="U25" s="348" t="str">
        <f t="shared" si="10"/>
        <v>-</v>
      </c>
      <c r="V25" s="372" t="str" cm="1">
        <f t="array" ref="V25">IF($Q25&gt;CDS.Tenor,"-",cubicInterpolation(CurveResults.Times,CurveResults.DFs,$F25))</f>
        <v>-</v>
      </c>
      <c r="W25" s="373" t="str">
        <f t="shared" si="11"/>
        <v>-</v>
      </c>
    </row>
    <row r="26" spans="2:23" x14ac:dyDescent="0.3">
      <c r="B26" s="112" t="s">
        <v>67</v>
      </c>
      <c r="C26" s="161"/>
      <c r="D26" s="383">
        <f ca="1">D25*10000</f>
        <v>29.999996093749584</v>
      </c>
      <c r="F26" s="370">
        <f t="shared" si="0"/>
        <v>5.5</v>
      </c>
      <c r="G26" s="371" t="str">
        <f t="shared" si="1"/>
        <v>-</v>
      </c>
      <c r="H26" s="385" t="str" cm="1">
        <f t="array" aca="1" ref="H26" ca="1">IF($F26&gt;CDS.Tenor,"-",flatInterpolation(F26,INDIRECT(HazardRateTimes),INDIRECT(HazardRateValues)))</f>
        <v>-</v>
      </c>
      <c r="I26" s="348" t="str">
        <f t="shared" si="2"/>
        <v>-</v>
      </c>
      <c r="J26" s="348" t="str">
        <f t="shared" si="3"/>
        <v>-</v>
      </c>
      <c r="K26" s="372" t="str" cm="1">
        <f t="array" ref="K26">IF($F26&gt;CDS.Tenor,"-",cubicInterpolation(CurveResults.Times,CurveResults.DFs,$F26))</f>
        <v>-</v>
      </c>
      <c r="L26" s="371" t="str">
        <f t="shared" si="4"/>
        <v>-</v>
      </c>
      <c r="M26" s="371" t="str">
        <f t="shared" si="5"/>
        <v>-</v>
      </c>
      <c r="N26" s="373" t="str">
        <f t="shared" si="6"/>
        <v>-</v>
      </c>
      <c r="Q26" s="370">
        <f t="shared" si="7"/>
        <v>5.5</v>
      </c>
      <c r="R26" s="371" t="str">
        <f t="shared" si="8"/>
        <v>-</v>
      </c>
      <c r="S26" s="385" t="str" cm="1">
        <f t="array" aca="1" ref="S26" ca="1">IF($F26&gt;CDS.Tenor,"-",flatInterpolation(Q26,INDIRECT(HazardRateTimes),INDIRECT(HazardRateValues)))</f>
        <v>-</v>
      </c>
      <c r="T26" s="348" t="str">
        <f t="shared" si="9"/>
        <v>-</v>
      </c>
      <c r="U26" s="348" t="str">
        <f t="shared" si="10"/>
        <v>-</v>
      </c>
      <c r="V26" s="372" t="str" cm="1">
        <f t="array" ref="V26">IF($Q26&gt;CDS.Tenor,"-",cubicInterpolation(CurveResults.Times,CurveResults.DFs,$F26))</f>
        <v>-</v>
      </c>
      <c r="W26" s="373" t="str">
        <f t="shared" si="11"/>
        <v>-</v>
      </c>
    </row>
    <row r="27" spans="2:23" x14ac:dyDescent="0.3">
      <c r="D27" s="125"/>
      <c r="F27" s="370">
        <f t="shared" si="0"/>
        <v>5.75</v>
      </c>
      <c r="G27" s="371" t="str">
        <f t="shared" si="1"/>
        <v>-</v>
      </c>
      <c r="H27" s="385" t="str" cm="1">
        <f t="array" aca="1" ref="H27" ca="1">IF($F27&gt;CDS.Tenor,"-",flatInterpolation(F27,INDIRECT(HazardRateTimes),INDIRECT(HazardRateValues)))</f>
        <v>-</v>
      </c>
      <c r="I27" s="348" t="str">
        <f t="shared" si="2"/>
        <v>-</v>
      </c>
      <c r="J27" s="348" t="str">
        <f t="shared" si="3"/>
        <v>-</v>
      </c>
      <c r="K27" s="372" t="str" cm="1">
        <f t="array" ref="K27">IF($F27&gt;CDS.Tenor,"-",cubicInterpolation(CurveResults.Times,CurveResults.DFs,$F27))</f>
        <v>-</v>
      </c>
      <c r="L27" s="371" t="str">
        <f t="shared" si="4"/>
        <v>-</v>
      </c>
      <c r="M27" s="371" t="str">
        <f t="shared" si="5"/>
        <v>-</v>
      </c>
      <c r="N27" s="373" t="str">
        <f t="shared" si="6"/>
        <v>-</v>
      </c>
      <c r="Q27" s="370">
        <f t="shared" si="7"/>
        <v>5.75</v>
      </c>
      <c r="R27" s="371" t="str">
        <f t="shared" si="8"/>
        <v>-</v>
      </c>
      <c r="S27" s="385" t="str" cm="1">
        <f t="array" aca="1" ref="S27" ca="1">IF($F27&gt;CDS.Tenor,"-",flatInterpolation(Q27,INDIRECT(HazardRateTimes),INDIRECT(HazardRateValues)))</f>
        <v>-</v>
      </c>
      <c r="T27" s="348" t="str">
        <f t="shared" si="9"/>
        <v>-</v>
      </c>
      <c r="U27" s="348" t="str">
        <f t="shared" si="10"/>
        <v>-</v>
      </c>
      <c r="V27" s="372" t="str" cm="1">
        <f t="array" ref="V27">IF($Q27&gt;CDS.Tenor,"-",cubicInterpolation(CurveResults.Times,CurveResults.DFs,$F27))</f>
        <v>-</v>
      </c>
      <c r="W27" s="373" t="str">
        <f t="shared" si="11"/>
        <v>-</v>
      </c>
    </row>
    <row r="28" spans="2:23" x14ac:dyDescent="0.3">
      <c r="B28" s="1" t="s">
        <v>340</v>
      </c>
      <c r="F28" s="370">
        <f t="shared" si="0"/>
        <v>6</v>
      </c>
      <c r="G28" s="371" t="str">
        <f t="shared" si="1"/>
        <v>-</v>
      </c>
      <c r="H28" s="385" t="str" cm="1">
        <f t="array" aca="1" ref="H28" ca="1">IF($F28&gt;CDS.Tenor,"-",flatInterpolation(F28,INDIRECT(HazardRateTimes),INDIRECT(HazardRateValues)))</f>
        <v>-</v>
      </c>
      <c r="I28" s="348" t="str">
        <f t="shared" si="2"/>
        <v>-</v>
      </c>
      <c r="J28" s="348" t="str">
        <f t="shared" si="3"/>
        <v>-</v>
      </c>
      <c r="K28" s="372" t="str" cm="1">
        <f t="array" ref="K28">IF($F28&gt;CDS.Tenor,"-",cubicInterpolation(CurveResults.Times,CurveResults.DFs,$F28))</f>
        <v>-</v>
      </c>
      <c r="L28" s="371" t="str">
        <f t="shared" si="4"/>
        <v>-</v>
      </c>
      <c r="M28" s="371" t="str">
        <f t="shared" si="5"/>
        <v>-</v>
      </c>
      <c r="N28" s="373" t="str">
        <f t="shared" si="6"/>
        <v>-</v>
      </c>
      <c r="Q28" s="370">
        <f t="shared" si="7"/>
        <v>6</v>
      </c>
      <c r="R28" s="371" t="str">
        <f t="shared" si="8"/>
        <v>-</v>
      </c>
      <c r="S28" s="385" t="str" cm="1">
        <f t="array" aca="1" ref="S28" ca="1">IF($F28&gt;CDS.Tenor,"-",flatInterpolation(Q28,INDIRECT(HazardRateTimes),INDIRECT(HazardRateValues)))</f>
        <v>-</v>
      </c>
      <c r="T28" s="348" t="str">
        <f t="shared" si="9"/>
        <v>-</v>
      </c>
      <c r="U28" s="348" t="str">
        <f t="shared" si="10"/>
        <v>-</v>
      </c>
      <c r="V28" s="372" t="str" cm="1">
        <f t="array" ref="V28">IF($Q28&gt;CDS.Tenor,"-",cubicInterpolation(CurveResults.Times,CurveResults.DFs,$F28))</f>
        <v>-</v>
      </c>
      <c r="W28" s="373" t="str">
        <f t="shared" si="11"/>
        <v>-</v>
      </c>
    </row>
    <row r="29" spans="2:23" x14ac:dyDescent="0.3">
      <c r="B29" s="339" t="str">
        <f>"Credit Curve "&amp;$D$7</f>
        <v>Credit Curve AAPL</v>
      </c>
      <c r="F29" s="370">
        <f t="shared" si="0"/>
        <v>6.25</v>
      </c>
      <c r="G29" s="371" t="str">
        <f t="shared" si="1"/>
        <v>-</v>
      </c>
      <c r="H29" s="385" t="str" cm="1">
        <f t="array" aca="1" ref="H29" ca="1">IF($F29&gt;CDS.Tenor,"-",flatInterpolation(F29,INDIRECT(HazardRateTimes),INDIRECT(HazardRateValues)))</f>
        <v>-</v>
      </c>
      <c r="I29" s="348" t="str">
        <f t="shared" si="2"/>
        <v>-</v>
      </c>
      <c r="J29" s="348" t="str">
        <f t="shared" si="3"/>
        <v>-</v>
      </c>
      <c r="K29" s="372" t="str" cm="1">
        <f t="array" ref="K29">IF($F29&gt;CDS.Tenor,"-",cubicInterpolation(CurveResults.Times,CurveResults.DFs,$F29))</f>
        <v>-</v>
      </c>
      <c r="L29" s="371" t="str">
        <f t="shared" si="4"/>
        <v>-</v>
      </c>
      <c r="M29" s="371" t="str">
        <f t="shared" si="5"/>
        <v>-</v>
      </c>
      <c r="N29" s="373" t="str">
        <f t="shared" si="6"/>
        <v>-</v>
      </c>
      <c r="Q29" s="370">
        <f t="shared" si="7"/>
        <v>6.25</v>
      </c>
      <c r="R29" s="371" t="str">
        <f t="shared" si="8"/>
        <v>-</v>
      </c>
      <c r="S29" s="385" t="str" cm="1">
        <f t="array" aca="1" ref="S29" ca="1">IF($F29&gt;CDS.Tenor,"-",flatInterpolation(Q29,INDIRECT(HazardRateTimes),INDIRECT(HazardRateValues)))</f>
        <v>-</v>
      </c>
      <c r="T29" s="348" t="str">
        <f t="shared" si="9"/>
        <v>-</v>
      </c>
      <c r="U29" s="348" t="str">
        <f t="shared" si="10"/>
        <v>-</v>
      </c>
      <c r="V29" s="372" t="str" cm="1">
        <f t="array" ref="V29">IF($Q29&gt;CDS.Tenor,"-",cubicInterpolation(CurveResults.Times,CurveResults.DFs,$F29))</f>
        <v>-</v>
      </c>
      <c r="W29" s="373" t="str">
        <f t="shared" si="11"/>
        <v>-</v>
      </c>
    </row>
    <row r="30" spans="2:23" x14ac:dyDescent="0.3">
      <c r="B30" s="339" t="str">
        <f>"'"&amp;CreditCurve&amp;"'!Calibration.Times"</f>
        <v>'Credit Curve AAPL'!Calibration.Times</v>
      </c>
      <c r="F30" s="370">
        <f t="shared" si="0"/>
        <v>6.5</v>
      </c>
      <c r="G30" s="371" t="str">
        <f t="shared" si="1"/>
        <v>-</v>
      </c>
      <c r="H30" s="385" t="str" cm="1">
        <f t="array" aca="1" ref="H30" ca="1">IF($F30&gt;CDS.Tenor,"-",flatInterpolation(F30,INDIRECT(HazardRateTimes),INDIRECT(HazardRateValues)))</f>
        <v>-</v>
      </c>
      <c r="I30" s="348" t="str">
        <f t="shared" si="2"/>
        <v>-</v>
      </c>
      <c r="J30" s="348" t="str">
        <f t="shared" si="3"/>
        <v>-</v>
      </c>
      <c r="K30" s="372" t="str" cm="1">
        <f t="array" ref="K30">IF($F30&gt;CDS.Tenor,"-",cubicInterpolation(CurveResults.Times,CurveResults.DFs,$F30))</f>
        <v>-</v>
      </c>
      <c r="L30" s="371" t="str">
        <f t="shared" si="4"/>
        <v>-</v>
      </c>
      <c r="M30" s="371" t="str">
        <f t="shared" si="5"/>
        <v>-</v>
      </c>
      <c r="N30" s="373" t="str">
        <f t="shared" si="6"/>
        <v>-</v>
      </c>
      <c r="Q30" s="370">
        <f t="shared" si="7"/>
        <v>6.5</v>
      </c>
      <c r="R30" s="371" t="str">
        <f t="shared" si="8"/>
        <v>-</v>
      </c>
      <c r="S30" s="385" t="str" cm="1">
        <f t="array" aca="1" ref="S30" ca="1">IF($F30&gt;CDS.Tenor,"-",flatInterpolation(Q30,INDIRECT(HazardRateTimes),INDIRECT(HazardRateValues)))</f>
        <v>-</v>
      </c>
      <c r="T30" s="348" t="str">
        <f t="shared" si="9"/>
        <v>-</v>
      </c>
      <c r="U30" s="348" t="str">
        <f t="shared" si="10"/>
        <v>-</v>
      </c>
      <c r="V30" s="372" t="str" cm="1">
        <f t="array" ref="V30">IF($Q30&gt;CDS.Tenor,"-",cubicInterpolation(CurveResults.Times,CurveResults.DFs,$F30))</f>
        <v>-</v>
      </c>
      <c r="W30" s="373" t="str">
        <f t="shared" si="11"/>
        <v>-</v>
      </c>
    </row>
    <row r="31" spans="2:23" x14ac:dyDescent="0.3">
      <c r="B31" s="339" t="str">
        <f>"'"&amp;CreditCurve&amp;"'!Calibration.HazardRates"</f>
        <v>'Credit Curve AAPL'!Calibration.HazardRates</v>
      </c>
      <c r="F31" s="370">
        <f t="shared" si="0"/>
        <v>6.75</v>
      </c>
      <c r="G31" s="371" t="str">
        <f t="shared" si="1"/>
        <v>-</v>
      </c>
      <c r="H31" s="385" t="str" cm="1">
        <f t="array" aca="1" ref="H31" ca="1">IF($F31&gt;CDS.Tenor,"-",flatInterpolation(F31,INDIRECT(HazardRateTimes),INDIRECT(HazardRateValues)))</f>
        <v>-</v>
      </c>
      <c r="I31" s="348" t="str">
        <f t="shared" si="2"/>
        <v>-</v>
      </c>
      <c r="J31" s="348" t="str">
        <f t="shared" si="3"/>
        <v>-</v>
      </c>
      <c r="K31" s="372" t="str" cm="1">
        <f t="array" ref="K31">IF($F31&gt;CDS.Tenor,"-",cubicInterpolation(CurveResults.Times,CurveResults.DFs,$F31))</f>
        <v>-</v>
      </c>
      <c r="L31" s="371" t="str">
        <f t="shared" si="4"/>
        <v>-</v>
      </c>
      <c r="M31" s="371" t="str">
        <f t="shared" si="5"/>
        <v>-</v>
      </c>
      <c r="N31" s="373" t="str">
        <f t="shared" si="6"/>
        <v>-</v>
      </c>
      <c r="Q31" s="370">
        <f t="shared" si="7"/>
        <v>6.75</v>
      </c>
      <c r="R31" s="371" t="str">
        <f t="shared" si="8"/>
        <v>-</v>
      </c>
      <c r="S31" s="385" t="str" cm="1">
        <f t="array" aca="1" ref="S31" ca="1">IF($F31&gt;CDS.Tenor,"-",flatInterpolation(Q31,INDIRECT(HazardRateTimes),INDIRECT(HazardRateValues)))</f>
        <v>-</v>
      </c>
      <c r="T31" s="348" t="str">
        <f t="shared" si="9"/>
        <v>-</v>
      </c>
      <c r="U31" s="348" t="str">
        <f t="shared" si="10"/>
        <v>-</v>
      </c>
      <c r="V31" s="372" t="str" cm="1">
        <f t="array" ref="V31">IF($Q31&gt;CDS.Tenor,"-",cubicInterpolation(CurveResults.Times,CurveResults.DFs,$F31))</f>
        <v>-</v>
      </c>
      <c r="W31" s="373" t="str">
        <f t="shared" si="11"/>
        <v>-</v>
      </c>
    </row>
    <row r="32" spans="2:23" x14ac:dyDescent="0.3">
      <c r="F32" s="370">
        <f t="shared" si="0"/>
        <v>7</v>
      </c>
      <c r="G32" s="371" t="str">
        <f t="shared" si="1"/>
        <v>-</v>
      </c>
      <c r="H32" s="385" t="str" cm="1">
        <f t="array" aca="1" ref="H32" ca="1">IF($F32&gt;CDS.Tenor,"-",flatInterpolation(F32,INDIRECT(HazardRateTimes),INDIRECT(HazardRateValues)))</f>
        <v>-</v>
      </c>
      <c r="I32" s="348" t="str">
        <f t="shared" si="2"/>
        <v>-</v>
      </c>
      <c r="J32" s="348" t="str">
        <f t="shared" si="3"/>
        <v>-</v>
      </c>
      <c r="K32" s="372" t="str" cm="1">
        <f t="array" ref="K32">IF($F32&gt;CDS.Tenor,"-",cubicInterpolation(CurveResults.Times,CurveResults.DFs,$F32))</f>
        <v>-</v>
      </c>
      <c r="L32" s="371" t="str">
        <f t="shared" si="4"/>
        <v>-</v>
      </c>
      <c r="M32" s="371" t="str">
        <f t="shared" si="5"/>
        <v>-</v>
      </c>
      <c r="N32" s="373" t="str">
        <f t="shared" si="6"/>
        <v>-</v>
      </c>
      <c r="Q32" s="370">
        <f t="shared" si="7"/>
        <v>7</v>
      </c>
      <c r="R32" s="371" t="str">
        <f t="shared" si="8"/>
        <v>-</v>
      </c>
      <c r="S32" s="385" t="str" cm="1">
        <f t="array" aca="1" ref="S32" ca="1">IF($F32&gt;CDS.Tenor,"-",flatInterpolation(Q32,INDIRECT(HazardRateTimes),INDIRECT(HazardRateValues)))</f>
        <v>-</v>
      </c>
      <c r="T32" s="348" t="str">
        <f t="shared" si="9"/>
        <v>-</v>
      </c>
      <c r="U32" s="348" t="str">
        <f t="shared" si="10"/>
        <v>-</v>
      </c>
      <c r="V32" s="372" t="str" cm="1">
        <f t="array" ref="V32">IF($Q32&gt;CDS.Tenor,"-",cubicInterpolation(CurveResults.Times,CurveResults.DFs,$F32))</f>
        <v>-</v>
      </c>
      <c r="W32" s="373" t="str">
        <f t="shared" si="11"/>
        <v>-</v>
      </c>
    </row>
    <row r="33" spans="6:23" x14ac:dyDescent="0.3">
      <c r="F33" s="370">
        <f t="shared" si="0"/>
        <v>7.25</v>
      </c>
      <c r="G33" s="371" t="str">
        <f t="shared" si="1"/>
        <v>-</v>
      </c>
      <c r="H33" s="385" t="str" cm="1">
        <f t="array" aca="1" ref="H33" ca="1">IF($F33&gt;CDS.Tenor,"-",flatInterpolation(F33,INDIRECT(HazardRateTimes),INDIRECT(HazardRateValues)))</f>
        <v>-</v>
      </c>
      <c r="I33" s="348" t="str">
        <f t="shared" si="2"/>
        <v>-</v>
      </c>
      <c r="J33" s="348" t="str">
        <f t="shared" si="3"/>
        <v>-</v>
      </c>
      <c r="K33" s="372" t="str" cm="1">
        <f t="array" ref="K33">IF($F33&gt;CDS.Tenor,"-",cubicInterpolation(CurveResults.Times,CurveResults.DFs,$F33))</f>
        <v>-</v>
      </c>
      <c r="L33" s="371" t="str">
        <f t="shared" si="4"/>
        <v>-</v>
      </c>
      <c r="M33" s="371" t="str">
        <f t="shared" si="5"/>
        <v>-</v>
      </c>
      <c r="N33" s="373" t="str">
        <f t="shared" si="6"/>
        <v>-</v>
      </c>
      <c r="Q33" s="370">
        <f t="shared" si="7"/>
        <v>7.25</v>
      </c>
      <c r="R33" s="371" t="str">
        <f t="shared" si="8"/>
        <v>-</v>
      </c>
      <c r="S33" s="385" t="str" cm="1">
        <f t="array" aca="1" ref="S33" ca="1">IF($F33&gt;CDS.Tenor,"-",flatInterpolation(Q33,INDIRECT(HazardRateTimes),INDIRECT(HazardRateValues)))</f>
        <v>-</v>
      </c>
      <c r="T33" s="348" t="str">
        <f t="shared" si="9"/>
        <v>-</v>
      </c>
      <c r="U33" s="348" t="str">
        <f t="shared" si="10"/>
        <v>-</v>
      </c>
      <c r="V33" s="372" t="str" cm="1">
        <f t="array" ref="V33">IF($Q33&gt;CDS.Tenor,"-",cubicInterpolation(CurveResults.Times,CurveResults.DFs,$F33))</f>
        <v>-</v>
      </c>
      <c r="W33" s="373" t="str">
        <f t="shared" si="11"/>
        <v>-</v>
      </c>
    </row>
    <row r="34" spans="6:23" x14ac:dyDescent="0.3">
      <c r="F34" s="370">
        <f t="shared" si="0"/>
        <v>7.5</v>
      </c>
      <c r="G34" s="371" t="str">
        <f t="shared" si="1"/>
        <v>-</v>
      </c>
      <c r="H34" s="385" t="str" cm="1">
        <f t="array" aca="1" ref="H34" ca="1">IF($F34&gt;CDS.Tenor,"-",flatInterpolation(F34,INDIRECT(HazardRateTimes),INDIRECT(HazardRateValues)))</f>
        <v>-</v>
      </c>
      <c r="I34" s="348" t="str">
        <f t="shared" si="2"/>
        <v>-</v>
      </c>
      <c r="J34" s="348" t="str">
        <f t="shared" si="3"/>
        <v>-</v>
      </c>
      <c r="K34" s="372" t="str" cm="1">
        <f t="array" ref="K34">IF($F34&gt;CDS.Tenor,"-",cubicInterpolation(CurveResults.Times,CurveResults.DFs,$F34))</f>
        <v>-</v>
      </c>
      <c r="L34" s="371" t="str">
        <f t="shared" si="4"/>
        <v>-</v>
      </c>
      <c r="M34" s="371" t="str">
        <f t="shared" si="5"/>
        <v>-</v>
      </c>
      <c r="N34" s="373" t="str">
        <f t="shared" si="6"/>
        <v>-</v>
      </c>
      <c r="Q34" s="370">
        <f t="shared" si="7"/>
        <v>7.5</v>
      </c>
      <c r="R34" s="371" t="str">
        <f t="shared" si="8"/>
        <v>-</v>
      </c>
      <c r="S34" s="385" t="str" cm="1">
        <f t="array" aca="1" ref="S34" ca="1">IF($F34&gt;CDS.Tenor,"-",flatInterpolation(Q34,INDIRECT(HazardRateTimes),INDIRECT(HazardRateValues)))</f>
        <v>-</v>
      </c>
      <c r="T34" s="348" t="str">
        <f t="shared" si="9"/>
        <v>-</v>
      </c>
      <c r="U34" s="348" t="str">
        <f t="shared" si="10"/>
        <v>-</v>
      </c>
      <c r="V34" s="372" t="str" cm="1">
        <f t="array" ref="V34">IF($Q34&gt;CDS.Tenor,"-",cubicInterpolation(CurveResults.Times,CurveResults.DFs,$F34))</f>
        <v>-</v>
      </c>
      <c r="W34" s="373" t="str">
        <f t="shared" si="11"/>
        <v>-</v>
      </c>
    </row>
    <row r="35" spans="6:23" x14ac:dyDescent="0.3">
      <c r="F35" s="370">
        <f t="shared" si="0"/>
        <v>7.75</v>
      </c>
      <c r="G35" s="371" t="str">
        <f t="shared" si="1"/>
        <v>-</v>
      </c>
      <c r="H35" s="385" t="str" cm="1">
        <f t="array" aca="1" ref="H35" ca="1">IF($F35&gt;CDS.Tenor,"-",flatInterpolation(F35,INDIRECT(HazardRateTimes),INDIRECT(HazardRateValues)))</f>
        <v>-</v>
      </c>
      <c r="I35" s="348" t="str">
        <f t="shared" si="2"/>
        <v>-</v>
      </c>
      <c r="J35" s="348" t="str">
        <f t="shared" si="3"/>
        <v>-</v>
      </c>
      <c r="K35" s="372" t="str" cm="1">
        <f t="array" ref="K35">IF($F35&gt;CDS.Tenor,"-",cubicInterpolation(CurveResults.Times,CurveResults.DFs,$F35))</f>
        <v>-</v>
      </c>
      <c r="L35" s="371" t="str">
        <f t="shared" si="4"/>
        <v>-</v>
      </c>
      <c r="M35" s="371" t="str">
        <f t="shared" si="5"/>
        <v>-</v>
      </c>
      <c r="N35" s="373" t="str">
        <f t="shared" si="6"/>
        <v>-</v>
      </c>
      <c r="Q35" s="370">
        <f t="shared" si="7"/>
        <v>7.75</v>
      </c>
      <c r="R35" s="371" t="str">
        <f t="shared" si="8"/>
        <v>-</v>
      </c>
      <c r="S35" s="385" t="str" cm="1">
        <f t="array" aca="1" ref="S35" ca="1">IF($F35&gt;CDS.Tenor,"-",flatInterpolation(Q35,INDIRECT(HazardRateTimes),INDIRECT(HazardRateValues)))</f>
        <v>-</v>
      </c>
      <c r="T35" s="348" t="str">
        <f t="shared" si="9"/>
        <v>-</v>
      </c>
      <c r="U35" s="348" t="str">
        <f t="shared" si="10"/>
        <v>-</v>
      </c>
      <c r="V35" s="372" t="str" cm="1">
        <f t="array" ref="V35">IF($Q35&gt;CDS.Tenor,"-",cubicInterpolation(CurveResults.Times,CurveResults.DFs,$F35))</f>
        <v>-</v>
      </c>
      <c r="W35" s="373" t="str">
        <f t="shared" si="11"/>
        <v>-</v>
      </c>
    </row>
    <row r="36" spans="6:23" x14ac:dyDescent="0.3">
      <c r="F36" s="370">
        <f t="shared" si="0"/>
        <v>8</v>
      </c>
      <c r="G36" s="371" t="str">
        <f t="shared" si="1"/>
        <v>-</v>
      </c>
      <c r="H36" s="385" t="str" cm="1">
        <f t="array" aca="1" ref="H36" ca="1">IF($F36&gt;CDS.Tenor,"-",flatInterpolation(F36,INDIRECT(HazardRateTimes),INDIRECT(HazardRateValues)))</f>
        <v>-</v>
      </c>
      <c r="I36" s="348" t="str">
        <f t="shared" si="2"/>
        <v>-</v>
      </c>
      <c r="J36" s="348" t="str">
        <f t="shared" si="3"/>
        <v>-</v>
      </c>
      <c r="K36" s="372" t="str" cm="1">
        <f t="array" ref="K36">IF($F36&gt;CDS.Tenor,"-",cubicInterpolation(CurveResults.Times,CurveResults.DFs,$F36))</f>
        <v>-</v>
      </c>
      <c r="L36" s="371" t="str">
        <f t="shared" si="4"/>
        <v>-</v>
      </c>
      <c r="M36" s="371" t="str">
        <f t="shared" si="5"/>
        <v>-</v>
      </c>
      <c r="N36" s="373" t="str">
        <f t="shared" si="6"/>
        <v>-</v>
      </c>
      <c r="Q36" s="370">
        <f t="shared" si="7"/>
        <v>8</v>
      </c>
      <c r="R36" s="371" t="str">
        <f t="shared" si="8"/>
        <v>-</v>
      </c>
      <c r="S36" s="385" t="str" cm="1">
        <f t="array" aca="1" ref="S36" ca="1">IF($F36&gt;CDS.Tenor,"-",flatInterpolation(Q36,INDIRECT(HazardRateTimes),INDIRECT(HazardRateValues)))</f>
        <v>-</v>
      </c>
      <c r="T36" s="348" t="str">
        <f t="shared" si="9"/>
        <v>-</v>
      </c>
      <c r="U36" s="348" t="str">
        <f t="shared" si="10"/>
        <v>-</v>
      </c>
      <c r="V36" s="372" t="str" cm="1">
        <f t="array" ref="V36">IF($Q36&gt;CDS.Tenor,"-",cubicInterpolation(CurveResults.Times,CurveResults.DFs,$F36))</f>
        <v>-</v>
      </c>
      <c r="W36" s="373" t="str">
        <f t="shared" si="11"/>
        <v>-</v>
      </c>
    </row>
    <row r="37" spans="6:23" x14ac:dyDescent="0.3">
      <c r="F37" s="370">
        <f t="shared" si="0"/>
        <v>8.25</v>
      </c>
      <c r="G37" s="371" t="str">
        <f t="shared" si="1"/>
        <v>-</v>
      </c>
      <c r="H37" s="385" t="str" cm="1">
        <f t="array" aca="1" ref="H37" ca="1">IF($F37&gt;CDS.Tenor,"-",flatInterpolation(F37,INDIRECT(HazardRateTimes),INDIRECT(HazardRateValues)))</f>
        <v>-</v>
      </c>
      <c r="I37" s="348" t="str">
        <f t="shared" si="2"/>
        <v>-</v>
      </c>
      <c r="J37" s="348" t="str">
        <f t="shared" si="3"/>
        <v>-</v>
      </c>
      <c r="K37" s="372" t="str" cm="1">
        <f t="array" ref="K37">IF($F37&gt;CDS.Tenor,"-",cubicInterpolation(CurveResults.Times,CurveResults.DFs,$F37))</f>
        <v>-</v>
      </c>
      <c r="L37" s="371" t="str">
        <f t="shared" si="4"/>
        <v>-</v>
      </c>
      <c r="M37" s="371" t="str">
        <f t="shared" si="5"/>
        <v>-</v>
      </c>
      <c r="N37" s="373" t="str">
        <f t="shared" si="6"/>
        <v>-</v>
      </c>
      <c r="Q37" s="370">
        <f t="shared" si="7"/>
        <v>8.25</v>
      </c>
      <c r="R37" s="371" t="str">
        <f t="shared" si="8"/>
        <v>-</v>
      </c>
      <c r="S37" s="385" t="str" cm="1">
        <f t="array" aca="1" ref="S37" ca="1">IF($F37&gt;CDS.Tenor,"-",flatInterpolation(Q37,INDIRECT(HazardRateTimes),INDIRECT(HazardRateValues)))</f>
        <v>-</v>
      </c>
      <c r="T37" s="348" t="str">
        <f t="shared" si="9"/>
        <v>-</v>
      </c>
      <c r="U37" s="348" t="str">
        <f t="shared" si="10"/>
        <v>-</v>
      </c>
      <c r="V37" s="372" t="str" cm="1">
        <f t="array" ref="V37">IF($Q37&gt;CDS.Tenor,"-",cubicInterpolation(CurveResults.Times,CurveResults.DFs,$F37))</f>
        <v>-</v>
      </c>
      <c r="W37" s="373" t="str">
        <f t="shared" si="11"/>
        <v>-</v>
      </c>
    </row>
    <row r="38" spans="6:23" x14ac:dyDescent="0.3">
      <c r="F38" s="370">
        <f t="shared" si="0"/>
        <v>8.5</v>
      </c>
      <c r="G38" s="371" t="str">
        <f t="shared" si="1"/>
        <v>-</v>
      </c>
      <c r="H38" s="385" t="str" cm="1">
        <f t="array" aca="1" ref="H38" ca="1">IF($F38&gt;CDS.Tenor,"-",flatInterpolation(F38,INDIRECT(HazardRateTimes),INDIRECT(HazardRateValues)))</f>
        <v>-</v>
      </c>
      <c r="I38" s="348" t="str">
        <f t="shared" si="2"/>
        <v>-</v>
      </c>
      <c r="J38" s="348" t="str">
        <f t="shared" si="3"/>
        <v>-</v>
      </c>
      <c r="K38" s="372" t="str" cm="1">
        <f t="array" ref="K38">IF($F38&gt;CDS.Tenor,"-",cubicInterpolation(CurveResults.Times,CurveResults.DFs,$F38))</f>
        <v>-</v>
      </c>
      <c r="L38" s="371" t="str">
        <f t="shared" si="4"/>
        <v>-</v>
      </c>
      <c r="M38" s="371" t="str">
        <f t="shared" si="5"/>
        <v>-</v>
      </c>
      <c r="N38" s="373" t="str">
        <f t="shared" si="6"/>
        <v>-</v>
      </c>
      <c r="Q38" s="370">
        <f t="shared" si="7"/>
        <v>8.5</v>
      </c>
      <c r="R38" s="371" t="str">
        <f t="shared" si="8"/>
        <v>-</v>
      </c>
      <c r="S38" s="385" t="str" cm="1">
        <f t="array" aca="1" ref="S38" ca="1">IF($F38&gt;CDS.Tenor,"-",flatInterpolation(Q38,INDIRECT(HazardRateTimes),INDIRECT(HazardRateValues)))</f>
        <v>-</v>
      </c>
      <c r="T38" s="348" t="str">
        <f t="shared" si="9"/>
        <v>-</v>
      </c>
      <c r="U38" s="348" t="str">
        <f t="shared" si="10"/>
        <v>-</v>
      </c>
      <c r="V38" s="372" t="str" cm="1">
        <f t="array" ref="V38">IF($Q38&gt;CDS.Tenor,"-",cubicInterpolation(CurveResults.Times,CurveResults.DFs,$F38))</f>
        <v>-</v>
      </c>
      <c r="W38" s="373" t="str">
        <f t="shared" si="11"/>
        <v>-</v>
      </c>
    </row>
    <row r="39" spans="6:23" x14ac:dyDescent="0.3">
      <c r="F39" s="370">
        <f t="shared" si="0"/>
        <v>8.75</v>
      </c>
      <c r="G39" s="371" t="str">
        <f t="shared" si="1"/>
        <v>-</v>
      </c>
      <c r="H39" s="385" t="str" cm="1">
        <f t="array" aca="1" ref="H39" ca="1">IF($F39&gt;CDS.Tenor,"-",flatInterpolation(F39,INDIRECT(HazardRateTimes),INDIRECT(HazardRateValues)))</f>
        <v>-</v>
      </c>
      <c r="I39" s="348" t="str">
        <f t="shared" si="2"/>
        <v>-</v>
      </c>
      <c r="J39" s="348" t="str">
        <f t="shared" si="3"/>
        <v>-</v>
      </c>
      <c r="K39" s="372" t="str" cm="1">
        <f t="array" ref="K39">IF($F39&gt;CDS.Tenor,"-",cubicInterpolation(CurveResults.Times,CurveResults.DFs,$F39))</f>
        <v>-</v>
      </c>
      <c r="L39" s="371" t="str">
        <f t="shared" si="4"/>
        <v>-</v>
      </c>
      <c r="M39" s="371" t="str">
        <f t="shared" si="5"/>
        <v>-</v>
      </c>
      <c r="N39" s="373" t="str">
        <f t="shared" si="6"/>
        <v>-</v>
      </c>
      <c r="Q39" s="370">
        <f t="shared" si="7"/>
        <v>8.75</v>
      </c>
      <c r="R39" s="371" t="str">
        <f t="shared" si="8"/>
        <v>-</v>
      </c>
      <c r="S39" s="385" t="str" cm="1">
        <f t="array" aca="1" ref="S39" ca="1">IF($F39&gt;CDS.Tenor,"-",flatInterpolation(Q39,INDIRECT(HazardRateTimes),INDIRECT(HazardRateValues)))</f>
        <v>-</v>
      </c>
      <c r="T39" s="348" t="str">
        <f t="shared" si="9"/>
        <v>-</v>
      </c>
      <c r="U39" s="348" t="str">
        <f t="shared" si="10"/>
        <v>-</v>
      </c>
      <c r="V39" s="372" t="str" cm="1">
        <f t="array" ref="V39">IF($Q39&gt;CDS.Tenor,"-",cubicInterpolation(CurveResults.Times,CurveResults.DFs,$F39))</f>
        <v>-</v>
      </c>
      <c r="W39" s="373" t="str">
        <f t="shared" si="11"/>
        <v>-</v>
      </c>
    </row>
    <row r="40" spans="6:23" x14ac:dyDescent="0.3">
      <c r="F40" s="370">
        <f t="shared" si="0"/>
        <v>9</v>
      </c>
      <c r="G40" s="371" t="str">
        <f t="shared" si="1"/>
        <v>-</v>
      </c>
      <c r="H40" s="385" t="str" cm="1">
        <f t="array" aca="1" ref="H40" ca="1">IF($F40&gt;CDS.Tenor,"-",flatInterpolation(F40,INDIRECT(HazardRateTimes),INDIRECT(HazardRateValues)))</f>
        <v>-</v>
      </c>
      <c r="I40" s="348" t="str">
        <f t="shared" si="2"/>
        <v>-</v>
      </c>
      <c r="J40" s="348" t="str">
        <f t="shared" si="3"/>
        <v>-</v>
      </c>
      <c r="K40" s="372" t="str" cm="1">
        <f t="array" ref="K40">IF($F40&gt;CDS.Tenor,"-",cubicInterpolation(CurveResults.Times,CurveResults.DFs,$F40))</f>
        <v>-</v>
      </c>
      <c r="L40" s="371" t="str">
        <f t="shared" si="4"/>
        <v>-</v>
      </c>
      <c r="M40" s="371" t="str">
        <f t="shared" si="5"/>
        <v>-</v>
      </c>
      <c r="N40" s="373" t="str">
        <f t="shared" si="6"/>
        <v>-</v>
      </c>
      <c r="Q40" s="370">
        <f t="shared" si="7"/>
        <v>9</v>
      </c>
      <c r="R40" s="371" t="str">
        <f t="shared" si="8"/>
        <v>-</v>
      </c>
      <c r="S40" s="385" t="str" cm="1">
        <f t="array" aca="1" ref="S40" ca="1">IF($F40&gt;CDS.Tenor,"-",flatInterpolation(Q40,INDIRECT(HazardRateTimes),INDIRECT(HazardRateValues)))</f>
        <v>-</v>
      </c>
      <c r="T40" s="348" t="str">
        <f t="shared" si="9"/>
        <v>-</v>
      </c>
      <c r="U40" s="348" t="str">
        <f t="shared" si="10"/>
        <v>-</v>
      </c>
      <c r="V40" s="372" t="str" cm="1">
        <f t="array" ref="V40">IF($Q40&gt;CDS.Tenor,"-",cubicInterpolation(CurveResults.Times,CurveResults.DFs,$F40))</f>
        <v>-</v>
      </c>
      <c r="W40" s="373" t="str">
        <f t="shared" si="11"/>
        <v>-</v>
      </c>
    </row>
    <row r="41" spans="6:23" x14ac:dyDescent="0.3">
      <c r="F41" s="370">
        <f t="shared" si="0"/>
        <v>9.25</v>
      </c>
      <c r="G41" s="371" t="str">
        <f t="shared" si="1"/>
        <v>-</v>
      </c>
      <c r="H41" s="385" t="str" cm="1">
        <f t="array" aca="1" ref="H41" ca="1">IF($F41&gt;CDS.Tenor,"-",flatInterpolation(F41,INDIRECT(HazardRateTimes),INDIRECT(HazardRateValues)))</f>
        <v>-</v>
      </c>
      <c r="I41" s="348" t="str">
        <f t="shared" si="2"/>
        <v>-</v>
      </c>
      <c r="J41" s="348" t="str">
        <f t="shared" si="3"/>
        <v>-</v>
      </c>
      <c r="K41" s="372" t="str" cm="1">
        <f t="array" ref="K41">IF($F41&gt;CDS.Tenor,"-",cubicInterpolation(CurveResults.Times,CurveResults.DFs,$F41))</f>
        <v>-</v>
      </c>
      <c r="L41" s="371" t="str">
        <f t="shared" si="4"/>
        <v>-</v>
      </c>
      <c r="M41" s="371" t="str">
        <f t="shared" si="5"/>
        <v>-</v>
      </c>
      <c r="N41" s="373" t="str">
        <f t="shared" si="6"/>
        <v>-</v>
      </c>
      <c r="Q41" s="370">
        <f t="shared" si="7"/>
        <v>9.25</v>
      </c>
      <c r="R41" s="371" t="str">
        <f t="shared" si="8"/>
        <v>-</v>
      </c>
      <c r="S41" s="385" t="str" cm="1">
        <f t="array" aca="1" ref="S41" ca="1">IF($F41&gt;CDS.Tenor,"-",flatInterpolation(Q41,INDIRECT(HazardRateTimes),INDIRECT(HazardRateValues)))</f>
        <v>-</v>
      </c>
      <c r="T41" s="348" t="str">
        <f t="shared" si="9"/>
        <v>-</v>
      </c>
      <c r="U41" s="348" t="str">
        <f t="shared" si="10"/>
        <v>-</v>
      </c>
      <c r="V41" s="372" t="str" cm="1">
        <f t="array" ref="V41">IF($Q41&gt;CDS.Tenor,"-",cubicInterpolation(CurveResults.Times,CurveResults.DFs,$F41))</f>
        <v>-</v>
      </c>
      <c r="W41" s="373" t="str">
        <f t="shared" si="11"/>
        <v>-</v>
      </c>
    </row>
    <row r="42" spans="6:23" x14ac:dyDescent="0.3">
      <c r="F42" s="370">
        <f t="shared" si="0"/>
        <v>9.5</v>
      </c>
      <c r="G42" s="371" t="str">
        <f t="shared" si="1"/>
        <v>-</v>
      </c>
      <c r="H42" s="385" t="str" cm="1">
        <f t="array" aca="1" ref="H42" ca="1">IF($F42&gt;CDS.Tenor,"-",flatInterpolation(F42,INDIRECT(HazardRateTimes),INDIRECT(HazardRateValues)))</f>
        <v>-</v>
      </c>
      <c r="I42" s="348" t="str">
        <f t="shared" si="2"/>
        <v>-</v>
      </c>
      <c r="J42" s="348" t="str">
        <f t="shared" si="3"/>
        <v>-</v>
      </c>
      <c r="K42" s="372" t="str" cm="1">
        <f t="array" ref="K42">IF($F42&gt;CDS.Tenor,"-",cubicInterpolation(CurveResults.Times,CurveResults.DFs,$F42))</f>
        <v>-</v>
      </c>
      <c r="L42" s="371" t="str">
        <f t="shared" si="4"/>
        <v>-</v>
      </c>
      <c r="M42" s="371" t="str">
        <f t="shared" si="5"/>
        <v>-</v>
      </c>
      <c r="N42" s="373" t="str">
        <f t="shared" si="6"/>
        <v>-</v>
      </c>
      <c r="Q42" s="370">
        <f t="shared" si="7"/>
        <v>9.5</v>
      </c>
      <c r="R42" s="371" t="str">
        <f t="shared" si="8"/>
        <v>-</v>
      </c>
      <c r="S42" s="385" t="str" cm="1">
        <f t="array" aca="1" ref="S42" ca="1">IF($F42&gt;CDS.Tenor,"-",flatInterpolation(Q42,INDIRECT(HazardRateTimes),INDIRECT(HazardRateValues)))</f>
        <v>-</v>
      </c>
      <c r="T42" s="348" t="str">
        <f t="shared" si="9"/>
        <v>-</v>
      </c>
      <c r="U42" s="348" t="str">
        <f t="shared" si="10"/>
        <v>-</v>
      </c>
      <c r="V42" s="372" t="str" cm="1">
        <f t="array" ref="V42">IF($Q42&gt;CDS.Tenor,"-",cubicInterpolation(CurveResults.Times,CurveResults.DFs,$F42))</f>
        <v>-</v>
      </c>
      <c r="W42" s="373" t="str">
        <f t="shared" si="11"/>
        <v>-</v>
      </c>
    </row>
    <row r="43" spans="6:23" x14ac:dyDescent="0.3">
      <c r="F43" s="370">
        <f t="shared" si="0"/>
        <v>9.75</v>
      </c>
      <c r="G43" s="371" t="str">
        <f t="shared" si="1"/>
        <v>-</v>
      </c>
      <c r="H43" s="385" t="str" cm="1">
        <f t="array" aca="1" ref="H43" ca="1">IF($F43&gt;CDS.Tenor,"-",flatInterpolation(F43,INDIRECT(HazardRateTimes),INDIRECT(HazardRateValues)))</f>
        <v>-</v>
      </c>
      <c r="I43" s="348" t="str">
        <f t="shared" si="2"/>
        <v>-</v>
      </c>
      <c r="J43" s="348" t="str">
        <f t="shared" si="3"/>
        <v>-</v>
      </c>
      <c r="K43" s="372" t="str" cm="1">
        <f t="array" ref="K43">IF($F43&gt;CDS.Tenor,"-",cubicInterpolation(CurveResults.Times,CurveResults.DFs,$F43))</f>
        <v>-</v>
      </c>
      <c r="L43" s="371" t="str">
        <f t="shared" si="4"/>
        <v>-</v>
      </c>
      <c r="M43" s="371" t="str">
        <f t="shared" si="5"/>
        <v>-</v>
      </c>
      <c r="N43" s="373" t="str">
        <f t="shared" si="6"/>
        <v>-</v>
      </c>
      <c r="Q43" s="370">
        <f t="shared" si="7"/>
        <v>9.75</v>
      </c>
      <c r="R43" s="371" t="str">
        <f t="shared" si="8"/>
        <v>-</v>
      </c>
      <c r="S43" s="385" t="str" cm="1">
        <f t="array" aca="1" ref="S43" ca="1">IF($F43&gt;CDS.Tenor,"-",flatInterpolation(Q43,INDIRECT(HazardRateTimes),INDIRECT(HazardRateValues)))</f>
        <v>-</v>
      </c>
      <c r="T43" s="348" t="str">
        <f t="shared" si="9"/>
        <v>-</v>
      </c>
      <c r="U43" s="348" t="str">
        <f t="shared" si="10"/>
        <v>-</v>
      </c>
      <c r="V43" s="372" t="str" cm="1">
        <f t="array" ref="V43">IF($Q43&gt;CDS.Tenor,"-",cubicInterpolation(CurveResults.Times,CurveResults.DFs,$F43))</f>
        <v>-</v>
      </c>
      <c r="W43" s="373" t="str">
        <f t="shared" si="11"/>
        <v>-</v>
      </c>
    </row>
    <row r="44" spans="6:23" x14ac:dyDescent="0.3">
      <c r="F44" s="374">
        <f t="shared" si="0"/>
        <v>10</v>
      </c>
      <c r="G44" s="375" t="str">
        <f t="shared" si="1"/>
        <v>-</v>
      </c>
      <c r="H44" s="386" t="str" cm="1">
        <f t="array" aca="1" ref="H44" ca="1">IF($F44&gt;CDS.Tenor,"-",flatInterpolation(F44,INDIRECT(HazardRateTimes),INDIRECT(HazardRateValues)))</f>
        <v>-</v>
      </c>
      <c r="I44" s="349" t="str">
        <f t="shared" si="2"/>
        <v>-</v>
      </c>
      <c r="J44" s="349" t="str">
        <f t="shared" si="3"/>
        <v>-</v>
      </c>
      <c r="K44" s="376" t="str" cm="1">
        <f t="array" ref="K44">IF($F44&gt;CDS.Tenor,"-",cubicInterpolation(CurveResults.Times,CurveResults.DFs,$F44))</f>
        <v>-</v>
      </c>
      <c r="L44" s="375" t="str">
        <f t="shared" si="4"/>
        <v>-</v>
      </c>
      <c r="M44" s="375" t="str">
        <f t="shared" si="5"/>
        <v>-</v>
      </c>
      <c r="N44" s="377" t="str">
        <f t="shared" si="6"/>
        <v>-</v>
      </c>
      <c r="Q44" s="374">
        <f t="shared" si="7"/>
        <v>10</v>
      </c>
      <c r="R44" s="375" t="str">
        <f t="shared" si="8"/>
        <v>-</v>
      </c>
      <c r="S44" s="386" t="str" cm="1">
        <f t="array" aca="1" ref="S44" ca="1">IF($F44&gt;CDS.Tenor,"-",flatInterpolation(Q44,INDIRECT(HazardRateTimes),INDIRECT(HazardRateValues)))</f>
        <v>-</v>
      </c>
      <c r="T44" s="349" t="str">
        <f t="shared" si="9"/>
        <v>-</v>
      </c>
      <c r="U44" s="349" t="str">
        <f t="shared" si="10"/>
        <v>-</v>
      </c>
      <c r="V44" s="376" t="str" cm="1">
        <f t="array" ref="V44">IF($Q44&gt;CDS.Tenor,"-",cubicInterpolation(CurveResults.Times,CurveResults.DFs,$F44))</f>
        <v>-</v>
      </c>
      <c r="W44" s="377" t="str">
        <f t="shared" si="11"/>
        <v>-</v>
      </c>
    </row>
  </sheetData>
  <dataValidations count="2">
    <dataValidation type="list" allowBlank="1" showInputMessage="1" showErrorMessage="1" sqref="D6" xr:uid="{81AFAF33-EA2B-4038-A6BA-61682DDB7E32}">
      <formula1>"BUY,SELL"</formula1>
    </dataValidation>
    <dataValidation type="list" allowBlank="1" showInputMessage="1" showErrorMessage="1" sqref="D7" xr:uid="{A4BD40D2-A820-42FF-975B-D2BEFDE01C93}">
      <formula1>"AAPL,MSFT,NVDA"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33075-52D5-48B7-842A-11830B3A7245}">
  <sheetPr codeName="Sheet5">
    <tabColor theme="9" tint="0.39997558519241921"/>
  </sheetPr>
  <dimension ref="B1:IJ52"/>
  <sheetViews>
    <sheetView showGridLines="0" tabSelected="1" zoomScaleNormal="100" workbookViewId="0"/>
  </sheetViews>
  <sheetFormatPr defaultRowHeight="14.4" outlineLevelCol="2" x14ac:dyDescent="0.3"/>
  <cols>
    <col min="1" max="1" width="4.77734375" customWidth="1"/>
    <col min="2" max="3" width="12.6640625" customWidth="1"/>
    <col min="4" max="4" width="15.6640625" customWidth="1"/>
    <col min="5" max="5" width="9.21875" customWidth="1"/>
    <col min="6" max="7" width="12.6640625" customWidth="1"/>
    <col min="8" max="8" width="11.77734375" customWidth="1"/>
    <col min="9" max="9" width="4.77734375" customWidth="1"/>
    <col min="10" max="10" width="11.77734375" hidden="1" customWidth="1" outlineLevel="1"/>
    <col min="11" max="18" width="9.21875" hidden="1" customWidth="1" outlineLevel="1"/>
    <col min="19" max="19" width="10.77734375" hidden="1" customWidth="1" outlineLevel="1"/>
    <col min="20" max="20" width="10.77734375" customWidth="1" collapsed="1"/>
    <col min="21" max="21" width="2.77734375" customWidth="1"/>
    <col min="22" max="23" width="12.6640625" hidden="1" customWidth="1" outlineLevel="1"/>
    <col min="24" max="24" width="15.109375" hidden="1" customWidth="1" outlineLevel="1"/>
    <col min="25" max="25" width="12.6640625" hidden="1" customWidth="1" outlineLevel="1"/>
    <col min="26" max="26" width="14.44140625" hidden="1" customWidth="1" outlineLevel="1"/>
    <col min="27" max="29" width="12.6640625" hidden="1" customWidth="1" outlineLevel="1"/>
    <col min="30" max="30" width="13.33203125" customWidth="1" collapsed="1"/>
    <col min="31" max="31" width="2.77734375" customWidth="1"/>
    <col min="32" max="33" width="12.6640625" hidden="1" customWidth="1" outlineLevel="1"/>
    <col min="34" max="34" width="15.109375" hidden="1" customWidth="1" outlineLevel="1"/>
    <col min="35" max="35" width="12.6640625" hidden="1" customWidth="1" outlineLevel="1"/>
    <col min="36" max="36" width="14.44140625" hidden="1" customWidth="1" outlineLevel="1"/>
    <col min="37" max="37" width="12.6640625" hidden="1" customWidth="1" outlineLevel="1"/>
    <col min="38" max="38" width="13.33203125" customWidth="1" collapsed="1"/>
    <col min="39" max="39" width="2.77734375" customWidth="1"/>
    <col min="40" max="40" width="9.33203125" hidden="1" customWidth="1" outlineLevel="1"/>
    <col min="41" max="41" width="12.6640625" hidden="1" customWidth="1" outlineLevel="1"/>
    <col min="42" max="42" width="15.109375" hidden="1" customWidth="1" outlineLevel="1"/>
    <col min="43" max="44" width="12.6640625" hidden="1" customWidth="1" outlineLevel="1"/>
    <col min="45" max="45" width="9.33203125" hidden="1" customWidth="1" outlineLevel="1"/>
    <col min="46" max="46" width="8.88671875" hidden="1" customWidth="1" outlineLevel="1"/>
    <col min="47" max="47" width="12" hidden="1" customWidth="1" outlineLevel="1"/>
    <col min="48" max="90" width="8.88671875" hidden="1" customWidth="1" outlineLevel="1"/>
    <col min="91" max="91" width="10.77734375" customWidth="1" collapsed="1"/>
    <col min="92" max="92" width="2.77734375" customWidth="1"/>
    <col min="93" max="93" width="12.6640625" hidden="1" customWidth="1" outlineLevel="1"/>
    <col min="94" max="94" width="15.109375" hidden="1" customWidth="1" outlineLevel="1"/>
    <col min="95" max="96" width="12.6640625" hidden="1" customWidth="1" outlineLevel="1"/>
    <col min="97" max="142" width="9.33203125" hidden="1" customWidth="1" outlineLevel="1"/>
    <col min="143" max="143" width="10.77734375" customWidth="1" collapsed="1"/>
    <col min="144" max="144" width="4.77734375" customWidth="1"/>
    <col min="145" max="145" width="12.6640625" hidden="1" customWidth="1" outlineLevel="1"/>
    <col min="146" max="146" width="15.109375" hidden="1" customWidth="1" outlineLevel="1"/>
    <col min="147" max="148" width="12.6640625" hidden="1" customWidth="1" outlineLevel="1"/>
    <col min="149" max="172" width="9.33203125" hidden="1" customWidth="1" outlineLevel="1"/>
    <col min="173" max="194" width="9.33203125" hidden="1" customWidth="1" outlineLevel="2"/>
    <col min="195" max="195" width="10.77734375" customWidth="1" collapsed="1"/>
    <col min="196" max="196" width="2.77734375" customWidth="1"/>
    <col min="197" max="218" width="9.33203125" hidden="1" customWidth="1" outlineLevel="1"/>
    <col min="219" max="219" width="10.77734375" customWidth="1" collapsed="1"/>
    <col min="220" max="220" width="2.77734375" customWidth="1"/>
    <col min="221" max="223" width="12.6640625" hidden="1" customWidth="1" outlineLevel="1"/>
    <col min="224" max="224" width="10.77734375" customWidth="1" collapsed="1"/>
    <col min="225" max="225" width="9.33203125" customWidth="1"/>
  </cols>
  <sheetData>
    <row r="1" spans="2:244" x14ac:dyDescent="0.3">
      <c r="T1" s="39" t="s">
        <v>379</v>
      </c>
      <c r="AD1" s="124" t="s">
        <v>111</v>
      </c>
      <c r="AE1" s="124"/>
      <c r="AL1" s="124" t="s">
        <v>130</v>
      </c>
      <c r="AT1" s="43"/>
      <c r="AU1" s="43"/>
      <c r="BQ1" s="43"/>
      <c r="CM1" s="39" t="str">
        <f>CreditRef1</f>
        <v>AAPL</v>
      </c>
      <c r="CN1" s="39"/>
      <c r="CU1" s="43"/>
      <c r="DQ1" s="43"/>
      <c r="EM1" s="39" t="str">
        <f>CreditRef2</f>
        <v>MSFT</v>
      </c>
      <c r="EN1" s="39"/>
      <c r="EU1" s="43"/>
      <c r="FQ1" s="43"/>
      <c r="GM1" s="39" t="str">
        <f>CreditRef3</f>
        <v>NVDA</v>
      </c>
      <c r="GN1" s="39"/>
      <c r="GO1" s="43"/>
      <c r="HK1" s="39" t="s">
        <v>348</v>
      </c>
      <c r="HL1" s="39"/>
      <c r="HN1" s="332" t="s">
        <v>358</v>
      </c>
      <c r="HP1" s="39" t="s">
        <v>357</v>
      </c>
      <c r="HQ1" s="39"/>
    </row>
    <row r="2" spans="2:244" x14ac:dyDescent="0.3">
      <c r="B2" s="332" t="s">
        <v>322</v>
      </c>
      <c r="F2" s="1" t="s">
        <v>352</v>
      </c>
      <c r="J2" s="1" t="s">
        <v>375</v>
      </c>
      <c r="N2" s="410" t="s">
        <v>374</v>
      </c>
      <c r="V2" s="1" t="s">
        <v>111</v>
      </c>
      <c r="AF2" s="1" t="s">
        <v>130</v>
      </c>
      <c r="AN2" s="124" t="str">
        <f>CreditRef1</f>
        <v>AAPL</v>
      </c>
      <c r="AP2" s="39"/>
      <c r="AQ2" s="39"/>
      <c r="AR2" s="39"/>
      <c r="AT2" s="124" t="str">
        <f>CreditRef1</f>
        <v>AAPL</v>
      </c>
      <c r="AU2" s="1" t="s">
        <v>355</v>
      </c>
      <c r="BQ2" s="124" t="str">
        <f>CreditRef1</f>
        <v>AAPL</v>
      </c>
      <c r="BR2" s="1" t="s">
        <v>356</v>
      </c>
      <c r="CM2" s="39"/>
      <c r="CN2" s="39"/>
      <c r="CO2" s="124" t="str">
        <f>CreditRef2</f>
        <v>MSFT</v>
      </c>
      <c r="CP2" s="39"/>
      <c r="CQ2" s="39"/>
      <c r="CR2" s="39"/>
      <c r="CT2" s="124" t="str">
        <f>CreditRef2</f>
        <v>MSFT</v>
      </c>
      <c r="CU2" s="1" t="s">
        <v>355</v>
      </c>
      <c r="DQ2" s="124" t="str">
        <f>CreditRef2</f>
        <v>MSFT</v>
      </c>
      <c r="DR2" s="1" t="s">
        <v>356</v>
      </c>
      <c r="EM2" s="39"/>
      <c r="EN2" s="39"/>
      <c r="EO2" s="124" t="str">
        <f>CreditRef3</f>
        <v>NVDA</v>
      </c>
      <c r="EP2" s="39"/>
      <c r="EQ2" s="39"/>
      <c r="ER2" s="39"/>
      <c r="ET2" s="124" t="str">
        <f>CreditRef3</f>
        <v>NVDA</v>
      </c>
      <c r="EU2" s="1" t="s">
        <v>355</v>
      </c>
      <c r="FQ2" s="124" t="str">
        <f>CreditRef3</f>
        <v>NVDA</v>
      </c>
      <c r="FR2" s="1" t="s">
        <v>356</v>
      </c>
      <c r="GO2" s="124" t="s">
        <v>348</v>
      </c>
      <c r="GP2" s="1" t="s">
        <v>356</v>
      </c>
      <c r="HM2" s="124" t="s">
        <v>357</v>
      </c>
      <c r="IJ2" s="1"/>
    </row>
    <row r="3" spans="2:244" x14ac:dyDescent="0.3">
      <c r="F3" s="412" t="s">
        <v>364</v>
      </c>
      <c r="G3" s="388">
        <v>0.5</v>
      </c>
      <c r="J3" s="172"/>
      <c r="N3" s="411" t="b">
        <f>IF(OR(K17&gt;K18,K9&gt;0.9999,K10&gt;0.9999,K11&gt;0.9999,K9&lt;0,K10&lt;0,K11&lt;0),FALSE, TRUE)</f>
        <v>1</v>
      </c>
      <c r="V3" s="41" t="s">
        <v>6</v>
      </c>
      <c r="W3" s="2" t="s">
        <v>2</v>
      </c>
      <c r="X3" s="41" t="s">
        <v>8</v>
      </c>
      <c r="Y3" s="41" t="s">
        <v>24</v>
      </c>
      <c r="Z3" s="41" t="s">
        <v>134</v>
      </c>
      <c r="AA3" s="41" t="s">
        <v>128</v>
      </c>
      <c r="AB3" s="41" t="s">
        <v>129</v>
      </c>
      <c r="AC3" s="41" t="s">
        <v>28</v>
      </c>
      <c r="AF3" s="41" t="s">
        <v>6</v>
      </c>
      <c r="AG3" s="2" t="s">
        <v>131</v>
      </c>
      <c r="AH3" s="41" t="s">
        <v>8</v>
      </c>
      <c r="AI3" s="41" t="s">
        <v>24</v>
      </c>
      <c r="AJ3" s="41" t="s">
        <v>134</v>
      </c>
      <c r="AK3" s="41" t="s">
        <v>28</v>
      </c>
      <c r="AN3" s="41" t="s">
        <v>6</v>
      </c>
      <c r="AO3" s="2" t="s">
        <v>127</v>
      </c>
      <c r="AP3" s="41" t="s">
        <v>8</v>
      </c>
      <c r="AQ3" s="41" t="s">
        <v>341</v>
      </c>
      <c r="AR3" s="41" t="s">
        <v>343</v>
      </c>
      <c r="AT3" s="41" t="s">
        <v>345</v>
      </c>
      <c r="AU3" s="345">
        <v>-5</v>
      </c>
      <c r="AV3" s="345">
        <f t="shared" ref="AV3:BO3" si="0">AU3+dm</f>
        <v>-4.5</v>
      </c>
      <c r="AW3" s="345">
        <f t="shared" si="0"/>
        <v>-4</v>
      </c>
      <c r="AX3" s="345">
        <f t="shared" si="0"/>
        <v>-3.5</v>
      </c>
      <c r="AY3" s="345">
        <f t="shared" si="0"/>
        <v>-3</v>
      </c>
      <c r="AZ3" s="345">
        <f t="shared" si="0"/>
        <v>-2.5</v>
      </c>
      <c r="BA3" s="345">
        <f t="shared" si="0"/>
        <v>-2</v>
      </c>
      <c r="BB3" s="345">
        <f t="shared" si="0"/>
        <v>-1.5</v>
      </c>
      <c r="BC3" s="345">
        <f t="shared" si="0"/>
        <v>-1</v>
      </c>
      <c r="BD3" s="345">
        <f t="shared" si="0"/>
        <v>-0.5</v>
      </c>
      <c r="BE3" s="345">
        <f t="shared" si="0"/>
        <v>0</v>
      </c>
      <c r="BF3" s="345">
        <f t="shared" si="0"/>
        <v>0.5</v>
      </c>
      <c r="BG3" s="345">
        <f t="shared" si="0"/>
        <v>1</v>
      </c>
      <c r="BH3" s="345">
        <f t="shared" si="0"/>
        <v>1.5</v>
      </c>
      <c r="BI3" s="345">
        <f t="shared" si="0"/>
        <v>2</v>
      </c>
      <c r="BJ3" s="345">
        <f t="shared" si="0"/>
        <v>2.5</v>
      </c>
      <c r="BK3" s="345">
        <f t="shared" si="0"/>
        <v>3</v>
      </c>
      <c r="BL3" s="345">
        <f t="shared" si="0"/>
        <v>3.5</v>
      </c>
      <c r="BM3" s="345">
        <f t="shared" si="0"/>
        <v>4</v>
      </c>
      <c r="BN3" s="345">
        <f t="shared" si="0"/>
        <v>4.5</v>
      </c>
      <c r="BO3" s="345">
        <f t="shared" si="0"/>
        <v>5</v>
      </c>
      <c r="BP3" s="345"/>
      <c r="BQ3" s="41" t="s">
        <v>345</v>
      </c>
      <c r="BR3" s="345">
        <f t="shared" ref="BR3:CA4" si="1">AU3</f>
        <v>-5</v>
      </c>
      <c r="BS3" s="345">
        <f t="shared" si="1"/>
        <v>-4.5</v>
      </c>
      <c r="BT3" s="345">
        <f t="shared" si="1"/>
        <v>-4</v>
      </c>
      <c r="BU3" s="345">
        <f t="shared" si="1"/>
        <v>-3.5</v>
      </c>
      <c r="BV3" s="345">
        <f t="shared" si="1"/>
        <v>-3</v>
      </c>
      <c r="BW3" s="345">
        <f t="shared" si="1"/>
        <v>-2.5</v>
      </c>
      <c r="BX3" s="345">
        <f t="shared" si="1"/>
        <v>-2</v>
      </c>
      <c r="BY3" s="345">
        <f t="shared" si="1"/>
        <v>-1.5</v>
      </c>
      <c r="BZ3" s="345">
        <f t="shared" si="1"/>
        <v>-1</v>
      </c>
      <c r="CA3" s="345">
        <f t="shared" si="1"/>
        <v>-0.5</v>
      </c>
      <c r="CB3" s="345">
        <f t="shared" ref="CB3:CK4" si="2">BE3</f>
        <v>0</v>
      </c>
      <c r="CC3" s="345">
        <f t="shared" si="2"/>
        <v>0.5</v>
      </c>
      <c r="CD3" s="345">
        <f t="shared" si="2"/>
        <v>1</v>
      </c>
      <c r="CE3" s="345">
        <f t="shared" si="2"/>
        <v>1.5</v>
      </c>
      <c r="CF3" s="345">
        <f t="shared" si="2"/>
        <v>2</v>
      </c>
      <c r="CG3" s="345">
        <f t="shared" si="2"/>
        <v>2.5</v>
      </c>
      <c r="CH3" s="345">
        <f t="shared" si="2"/>
        <v>3</v>
      </c>
      <c r="CI3" s="345">
        <f t="shared" si="2"/>
        <v>3.5</v>
      </c>
      <c r="CJ3" s="345">
        <f t="shared" si="2"/>
        <v>4</v>
      </c>
      <c r="CK3" s="345">
        <f t="shared" si="2"/>
        <v>4.5</v>
      </c>
      <c r="CL3" s="345">
        <f>BO3</f>
        <v>5</v>
      </c>
      <c r="CM3" s="41"/>
      <c r="CN3" s="41"/>
      <c r="CO3" s="2" t="s">
        <v>127</v>
      </c>
      <c r="CP3" s="41" t="s">
        <v>8</v>
      </c>
      <c r="CQ3" s="41" t="s">
        <v>341</v>
      </c>
      <c r="CR3" s="41" t="s">
        <v>343</v>
      </c>
      <c r="CT3" s="41" t="s">
        <v>345</v>
      </c>
      <c r="CU3" s="345">
        <v>-5</v>
      </c>
      <c r="CV3" s="345">
        <f t="shared" ref="CV3:DO3" si="3">CU3+dm</f>
        <v>-4.5</v>
      </c>
      <c r="CW3" s="345">
        <f t="shared" si="3"/>
        <v>-4</v>
      </c>
      <c r="CX3" s="345">
        <f t="shared" si="3"/>
        <v>-3.5</v>
      </c>
      <c r="CY3" s="345">
        <f t="shared" si="3"/>
        <v>-3</v>
      </c>
      <c r="CZ3" s="345">
        <f t="shared" si="3"/>
        <v>-2.5</v>
      </c>
      <c r="DA3" s="345">
        <f t="shared" si="3"/>
        <v>-2</v>
      </c>
      <c r="DB3" s="345">
        <f t="shared" si="3"/>
        <v>-1.5</v>
      </c>
      <c r="DC3" s="345">
        <f t="shared" si="3"/>
        <v>-1</v>
      </c>
      <c r="DD3" s="345">
        <f t="shared" si="3"/>
        <v>-0.5</v>
      </c>
      <c r="DE3" s="345">
        <f t="shared" si="3"/>
        <v>0</v>
      </c>
      <c r="DF3" s="345">
        <f t="shared" si="3"/>
        <v>0.5</v>
      </c>
      <c r="DG3" s="345">
        <f t="shared" si="3"/>
        <v>1</v>
      </c>
      <c r="DH3" s="345">
        <f t="shared" si="3"/>
        <v>1.5</v>
      </c>
      <c r="DI3" s="345">
        <f t="shared" si="3"/>
        <v>2</v>
      </c>
      <c r="DJ3" s="345">
        <f t="shared" si="3"/>
        <v>2.5</v>
      </c>
      <c r="DK3" s="345">
        <f t="shared" si="3"/>
        <v>3</v>
      </c>
      <c r="DL3" s="345">
        <f t="shared" si="3"/>
        <v>3.5</v>
      </c>
      <c r="DM3" s="345">
        <f t="shared" si="3"/>
        <v>4</v>
      </c>
      <c r="DN3" s="345">
        <f t="shared" si="3"/>
        <v>4.5</v>
      </c>
      <c r="DO3" s="345">
        <f t="shared" si="3"/>
        <v>5</v>
      </c>
      <c r="DP3" s="345"/>
      <c r="DQ3" s="41" t="s">
        <v>345</v>
      </c>
      <c r="DR3" s="345">
        <f t="shared" ref="DR3:DR4" si="4">CU3</f>
        <v>-5</v>
      </c>
      <c r="DS3" s="345">
        <f t="shared" ref="DS3:DS4" si="5">CV3</f>
        <v>-4.5</v>
      </c>
      <c r="DT3" s="345">
        <f t="shared" ref="DT3:DT4" si="6">CW3</f>
        <v>-4</v>
      </c>
      <c r="DU3" s="345">
        <f t="shared" ref="DU3:DU4" si="7">CX3</f>
        <v>-3.5</v>
      </c>
      <c r="DV3" s="345">
        <f t="shared" ref="DV3:DV4" si="8">CY3</f>
        <v>-3</v>
      </c>
      <c r="DW3" s="345">
        <f t="shared" ref="DW3:DW4" si="9">CZ3</f>
        <v>-2.5</v>
      </c>
      <c r="DX3" s="345">
        <f t="shared" ref="DX3:DX4" si="10">DA3</f>
        <v>-2</v>
      </c>
      <c r="DY3" s="345">
        <f t="shared" ref="DY3:DY4" si="11">DB3</f>
        <v>-1.5</v>
      </c>
      <c r="DZ3" s="345">
        <f t="shared" ref="DZ3:DZ4" si="12">DC3</f>
        <v>-1</v>
      </c>
      <c r="EA3" s="345">
        <f t="shared" ref="EA3:EA4" si="13">DD3</f>
        <v>-0.5</v>
      </c>
      <c r="EB3" s="345">
        <f t="shared" ref="EB3:EB4" si="14">DE3</f>
        <v>0</v>
      </c>
      <c r="EC3" s="345">
        <f t="shared" ref="EC3:EC4" si="15">DF3</f>
        <v>0.5</v>
      </c>
      <c r="ED3" s="345">
        <f t="shared" ref="ED3:ED4" si="16">DG3</f>
        <v>1</v>
      </c>
      <c r="EE3" s="345">
        <f t="shared" ref="EE3:EE4" si="17">DH3</f>
        <v>1.5</v>
      </c>
      <c r="EF3" s="345">
        <f t="shared" ref="EF3:EF4" si="18">DI3</f>
        <v>2</v>
      </c>
      <c r="EG3" s="345">
        <f t="shared" ref="EG3:EG4" si="19">DJ3</f>
        <v>2.5</v>
      </c>
      <c r="EH3" s="345">
        <f t="shared" ref="EH3:EH4" si="20">DK3</f>
        <v>3</v>
      </c>
      <c r="EI3" s="345">
        <f t="shared" ref="EI3:EI4" si="21">DL3</f>
        <v>3.5</v>
      </c>
      <c r="EJ3" s="345">
        <f t="shared" ref="EJ3:EJ4" si="22">DM3</f>
        <v>4</v>
      </c>
      <c r="EK3" s="345">
        <f t="shared" ref="EK3:EK4" si="23">DN3</f>
        <v>4.5</v>
      </c>
      <c r="EL3" s="345">
        <f>DO3</f>
        <v>5</v>
      </c>
      <c r="EM3" s="41"/>
      <c r="EN3" s="41"/>
      <c r="EO3" s="2" t="s">
        <v>127</v>
      </c>
      <c r="EP3" s="41" t="s">
        <v>8</v>
      </c>
      <c r="EQ3" s="41" t="s">
        <v>341</v>
      </c>
      <c r="ER3" s="41" t="s">
        <v>342</v>
      </c>
      <c r="ET3" s="41" t="s">
        <v>345</v>
      </c>
      <c r="EU3" s="345">
        <v>-5</v>
      </c>
      <c r="EV3" s="345">
        <f t="shared" ref="EV3:FO3" si="24">EU3+dm</f>
        <v>-4.5</v>
      </c>
      <c r="EW3" s="345">
        <f t="shared" si="24"/>
        <v>-4</v>
      </c>
      <c r="EX3" s="345">
        <f t="shared" si="24"/>
        <v>-3.5</v>
      </c>
      <c r="EY3" s="345">
        <f t="shared" si="24"/>
        <v>-3</v>
      </c>
      <c r="EZ3" s="345">
        <f t="shared" si="24"/>
        <v>-2.5</v>
      </c>
      <c r="FA3" s="345">
        <f t="shared" si="24"/>
        <v>-2</v>
      </c>
      <c r="FB3" s="345">
        <f t="shared" si="24"/>
        <v>-1.5</v>
      </c>
      <c r="FC3" s="345">
        <f t="shared" si="24"/>
        <v>-1</v>
      </c>
      <c r="FD3" s="345">
        <f t="shared" si="24"/>
        <v>-0.5</v>
      </c>
      <c r="FE3" s="345">
        <f t="shared" si="24"/>
        <v>0</v>
      </c>
      <c r="FF3" s="345">
        <f t="shared" si="24"/>
        <v>0.5</v>
      </c>
      <c r="FG3" s="345">
        <f t="shared" si="24"/>
        <v>1</v>
      </c>
      <c r="FH3" s="345">
        <f t="shared" si="24"/>
        <v>1.5</v>
      </c>
      <c r="FI3" s="345">
        <f t="shared" si="24"/>
        <v>2</v>
      </c>
      <c r="FJ3" s="345">
        <f t="shared" si="24"/>
        <v>2.5</v>
      </c>
      <c r="FK3" s="345">
        <f t="shared" si="24"/>
        <v>3</v>
      </c>
      <c r="FL3" s="345">
        <f t="shared" si="24"/>
        <v>3.5</v>
      </c>
      <c r="FM3" s="345">
        <f t="shared" si="24"/>
        <v>4</v>
      </c>
      <c r="FN3" s="345">
        <f t="shared" si="24"/>
        <v>4.5</v>
      </c>
      <c r="FO3" s="345">
        <f t="shared" si="24"/>
        <v>5</v>
      </c>
      <c r="FP3" s="345"/>
      <c r="FQ3" s="41" t="s">
        <v>345</v>
      </c>
      <c r="FR3" s="345">
        <f t="shared" ref="FR3:FR4" si="25">EU3</f>
        <v>-5</v>
      </c>
      <c r="FS3" s="345">
        <f t="shared" ref="FS3:FS4" si="26">EV3</f>
        <v>-4.5</v>
      </c>
      <c r="FT3" s="345">
        <f t="shared" ref="FT3:FT4" si="27">EW3</f>
        <v>-4</v>
      </c>
      <c r="FU3" s="345">
        <f t="shared" ref="FU3:FU4" si="28">EX3</f>
        <v>-3.5</v>
      </c>
      <c r="FV3" s="345">
        <f t="shared" ref="FV3:FV4" si="29">EY3</f>
        <v>-3</v>
      </c>
      <c r="FW3" s="345">
        <f t="shared" ref="FW3:FW4" si="30">EZ3</f>
        <v>-2.5</v>
      </c>
      <c r="FX3" s="345">
        <f t="shared" ref="FX3:FX4" si="31">FA3</f>
        <v>-2</v>
      </c>
      <c r="FY3" s="345">
        <f t="shared" ref="FY3:FY4" si="32">FB3</f>
        <v>-1.5</v>
      </c>
      <c r="FZ3" s="345">
        <f t="shared" ref="FZ3:FZ4" si="33">FC3</f>
        <v>-1</v>
      </c>
      <c r="GA3" s="345">
        <f t="shared" ref="GA3:GA4" si="34">FD3</f>
        <v>-0.5</v>
      </c>
      <c r="GB3" s="345">
        <f t="shared" ref="GB3:GB4" si="35">FE3</f>
        <v>0</v>
      </c>
      <c r="GC3" s="345">
        <f t="shared" ref="GC3:GC4" si="36">FF3</f>
        <v>0.5</v>
      </c>
      <c r="GD3" s="345">
        <f t="shared" ref="GD3:GD4" si="37">FG3</f>
        <v>1</v>
      </c>
      <c r="GE3" s="345">
        <f t="shared" ref="GE3:GE4" si="38">FH3</f>
        <v>1.5</v>
      </c>
      <c r="GF3" s="345">
        <f t="shared" ref="GF3:GF4" si="39">FI3</f>
        <v>2</v>
      </c>
      <c r="GG3" s="345">
        <f t="shared" ref="GG3:GG4" si="40">FJ3</f>
        <v>2.5</v>
      </c>
      <c r="GH3" s="345">
        <f t="shared" ref="GH3:GH4" si="41">FK3</f>
        <v>3</v>
      </c>
      <c r="GI3" s="345">
        <f t="shared" ref="GI3:GI4" si="42">FL3</f>
        <v>3.5</v>
      </c>
      <c r="GJ3" s="345">
        <f t="shared" ref="GJ3:GJ4" si="43">FM3</f>
        <v>4</v>
      </c>
      <c r="GK3" s="345">
        <f t="shared" ref="GK3:GK4" si="44">FN3</f>
        <v>4.5</v>
      </c>
      <c r="GL3" s="345">
        <f>FO3</f>
        <v>5</v>
      </c>
      <c r="GO3" s="41" t="s">
        <v>345</v>
      </c>
      <c r="GP3" s="345">
        <f t="shared" ref="GP3:GY4" si="45">FR3</f>
        <v>-5</v>
      </c>
      <c r="GQ3" s="345">
        <f t="shared" si="45"/>
        <v>-4.5</v>
      </c>
      <c r="GR3" s="345">
        <f t="shared" si="45"/>
        <v>-4</v>
      </c>
      <c r="GS3" s="345">
        <f t="shared" si="45"/>
        <v>-3.5</v>
      </c>
      <c r="GT3" s="345">
        <f t="shared" si="45"/>
        <v>-3</v>
      </c>
      <c r="GU3" s="345">
        <f t="shared" si="45"/>
        <v>-2.5</v>
      </c>
      <c r="GV3" s="345">
        <f t="shared" si="45"/>
        <v>-2</v>
      </c>
      <c r="GW3" s="345">
        <f t="shared" si="45"/>
        <v>-1.5</v>
      </c>
      <c r="GX3" s="345">
        <f t="shared" si="45"/>
        <v>-1</v>
      </c>
      <c r="GY3" s="345">
        <f t="shared" si="45"/>
        <v>-0.5</v>
      </c>
      <c r="GZ3" s="345">
        <f t="shared" ref="GZ3:HI4" si="46">GB3</f>
        <v>0</v>
      </c>
      <c r="HA3" s="345">
        <f t="shared" si="46"/>
        <v>0.5</v>
      </c>
      <c r="HB3" s="345">
        <f t="shared" si="46"/>
        <v>1</v>
      </c>
      <c r="HC3" s="345">
        <f t="shared" si="46"/>
        <v>1.5</v>
      </c>
      <c r="HD3" s="345">
        <f t="shared" si="46"/>
        <v>2</v>
      </c>
      <c r="HE3" s="345">
        <f t="shared" si="46"/>
        <v>2.5</v>
      </c>
      <c r="HF3" s="345">
        <f t="shared" si="46"/>
        <v>3</v>
      </c>
      <c r="HG3" s="345">
        <f t="shared" si="46"/>
        <v>3.5</v>
      </c>
      <c r="HH3" s="345">
        <f t="shared" si="46"/>
        <v>4</v>
      </c>
      <c r="HI3" s="345">
        <f t="shared" si="46"/>
        <v>4.5</v>
      </c>
      <c r="HJ3" s="345">
        <f t="shared" ref="HJ3:HS4" si="47">GL3</f>
        <v>5</v>
      </c>
      <c r="HK3" s="345"/>
      <c r="HL3" s="345"/>
      <c r="HN3" s="42" t="s">
        <v>346</v>
      </c>
      <c r="HO3" s="42" t="s">
        <v>347</v>
      </c>
    </row>
    <row r="4" spans="2:244" x14ac:dyDescent="0.3">
      <c r="T4" s="339"/>
      <c r="V4" s="17">
        <v>0</v>
      </c>
      <c r="W4" s="117" t="s">
        <v>121</v>
      </c>
      <c r="X4" s="10">
        <v>1</v>
      </c>
      <c r="Y4" s="10">
        <v>0</v>
      </c>
      <c r="Z4" s="94">
        <v>1</v>
      </c>
      <c r="AA4" s="158" t="s">
        <v>121</v>
      </c>
      <c r="AB4" s="158" t="s">
        <v>121</v>
      </c>
      <c r="AC4" s="117" t="s">
        <v>121</v>
      </c>
      <c r="AF4" s="17">
        <v>0</v>
      </c>
      <c r="AG4" s="117" t="str">
        <f>"-"</f>
        <v>-</v>
      </c>
      <c r="AH4" s="10">
        <v>1</v>
      </c>
      <c r="AI4" s="10">
        <v>0</v>
      </c>
      <c r="AJ4" s="94">
        <v>1</v>
      </c>
      <c r="AK4" s="2" t="str">
        <f>"-"</f>
        <v>-</v>
      </c>
      <c r="AN4" s="17">
        <v>0</v>
      </c>
      <c r="AO4" s="117" t="s">
        <v>121</v>
      </c>
      <c r="AP4" s="10">
        <v>1</v>
      </c>
      <c r="AQ4" s="10">
        <v>0</v>
      </c>
      <c r="AR4" s="41" t="s">
        <v>342</v>
      </c>
      <c r="AT4" s="346" t="s">
        <v>344</v>
      </c>
      <c r="AU4" s="42">
        <f>_xlfn.NORM.S.DIST(AU3,FALSE)</f>
        <v>1.4867195147342977E-6</v>
      </c>
      <c r="AV4" s="42">
        <f t="shared" ref="AV4:BO4" si="48">_xlfn.NORM.S.DIST(AV3,FALSE)</f>
        <v>1.5983741106905475E-5</v>
      </c>
      <c r="AW4" s="42">
        <f t="shared" si="48"/>
        <v>1.3383022576488537E-4</v>
      </c>
      <c r="AX4" s="42">
        <f t="shared" si="48"/>
        <v>8.7268269504576015E-4</v>
      </c>
      <c r="AY4" s="42">
        <f t="shared" si="48"/>
        <v>4.4318484119380075E-3</v>
      </c>
      <c r="AZ4" s="42">
        <f t="shared" si="48"/>
        <v>1.752830049356854E-2</v>
      </c>
      <c r="BA4" s="42">
        <f t="shared" si="48"/>
        <v>5.3990966513188063E-2</v>
      </c>
      <c r="BB4" s="42">
        <f t="shared" si="48"/>
        <v>0.12951759566589174</v>
      </c>
      <c r="BC4" s="42">
        <f t="shared" si="48"/>
        <v>0.24197072451914337</v>
      </c>
      <c r="BD4" s="42">
        <f t="shared" si="48"/>
        <v>0.35206532676429952</v>
      </c>
      <c r="BE4" s="42">
        <f t="shared" si="48"/>
        <v>0.3989422804014327</v>
      </c>
      <c r="BF4" s="42">
        <f t="shared" si="48"/>
        <v>0.35206532676429952</v>
      </c>
      <c r="BG4" s="42">
        <f t="shared" si="48"/>
        <v>0.24197072451914337</v>
      </c>
      <c r="BH4" s="42">
        <f t="shared" si="48"/>
        <v>0.12951759566589174</v>
      </c>
      <c r="BI4" s="42">
        <f t="shared" si="48"/>
        <v>5.3990966513188063E-2</v>
      </c>
      <c r="BJ4" s="42">
        <f t="shared" si="48"/>
        <v>1.752830049356854E-2</v>
      </c>
      <c r="BK4" s="42">
        <f t="shared" si="48"/>
        <v>4.4318484119380075E-3</v>
      </c>
      <c r="BL4" s="42">
        <f t="shared" si="48"/>
        <v>8.7268269504576015E-4</v>
      </c>
      <c r="BM4" s="42">
        <f t="shared" si="48"/>
        <v>1.3383022576488537E-4</v>
      </c>
      <c r="BN4" s="42">
        <f t="shared" si="48"/>
        <v>1.5983741106905475E-5</v>
      </c>
      <c r="BO4" s="42">
        <f t="shared" si="48"/>
        <v>1.4867195147342977E-6</v>
      </c>
      <c r="BQ4" s="346" t="s">
        <v>344</v>
      </c>
      <c r="BR4" s="42">
        <f t="shared" si="1"/>
        <v>1.4867195147342977E-6</v>
      </c>
      <c r="BS4" s="42">
        <f t="shared" si="1"/>
        <v>1.5983741106905475E-5</v>
      </c>
      <c r="BT4" s="42">
        <f t="shared" si="1"/>
        <v>1.3383022576488537E-4</v>
      </c>
      <c r="BU4" s="42">
        <f t="shared" si="1"/>
        <v>8.7268269504576015E-4</v>
      </c>
      <c r="BV4" s="42">
        <f t="shared" si="1"/>
        <v>4.4318484119380075E-3</v>
      </c>
      <c r="BW4" s="42">
        <f t="shared" si="1"/>
        <v>1.752830049356854E-2</v>
      </c>
      <c r="BX4" s="42">
        <f t="shared" si="1"/>
        <v>5.3990966513188063E-2</v>
      </c>
      <c r="BY4" s="42">
        <f t="shared" si="1"/>
        <v>0.12951759566589174</v>
      </c>
      <c r="BZ4" s="42">
        <f t="shared" si="1"/>
        <v>0.24197072451914337</v>
      </c>
      <c r="CA4" s="42">
        <f t="shared" si="1"/>
        <v>0.35206532676429952</v>
      </c>
      <c r="CB4" s="42">
        <f t="shared" si="2"/>
        <v>0.3989422804014327</v>
      </c>
      <c r="CC4" s="42">
        <f t="shared" si="2"/>
        <v>0.35206532676429952</v>
      </c>
      <c r="CD4" s="42">
        <f t="shared" si="2"/>
        <v>0.24197072451914337</v>
      </c>
      <c r="CE4" s="42">
        <f t="shared" si="2"/>
        <v>0.12951759566589174</v>
      </c>
      <c r="CF4" s="42">
        <f t="shared" si="2"/>
        <v>5.3990966513188063E-2</v>
      </c>
      <c r="CG4" s="42">
        <f t="shared" si="2"/>
        <v>1.752830049356854E-2</v>
      </c>
      <c r="CH4" s="42">
        <f t="shared" si="2"/>
        <v>4.4318484119380075E-3</v>
      </c>
      <c r="CI4" s="42">
        <f t="shared" si="2"/>
        <v>8.7268269504576015E-4</v>
      </c>
      <c r="CJ4" s="42">
        <f t="shared" si="2"/>
        <v>1.3383022576488537E-4</v>
      </c>
      <c r="CK4" s="42">
        <f t="shared" si="2"/>
        <v>1.5983741106905475E-5</v>
      </c>
      <c r="CL4" s="42">
        <f>BO4</f>
        <v>1.4867195147342977E-6</v>
      </c>
      <c r="CM4" s="41"/>
      <c r="CN4" s="41"/>
      <c r="CO4" s="117" t="s">
        <v>121</v>
      </c>
      <c r="CP4" s="10">
        <v>1</v>
      </c>
      <c r="CQ4" s="10">
        <v>0</v>
      </c>
      <c r="CR4" s="41" t="s">
        <v>342</v>
      </c>
      <c r="CT4" s="346" t="s">
        <v>344</v>
      </c>
      <c r="CU4" s="42">
        <f>_xlfn.NORM.S.DIST(CU3,FALSE)</f>
        <v>1.4867195147342977E-6</v>
      </c>
      <c r="CV4" s="42">
        <f t="shared" ref="CV4" si="49">_xlfn.NORM.S.DIST(CV3,FALSE)</f>
        <v>1.5983741106905475E-5</v>
      </c>
      <c r="CW4" s="42">
        <f t="shared" ref="CW4" si="50">_xlfn.NORM.S.DIST(CW3,FALSE)</f>
        <v>1.3383022576488537E-4</v>
      </c>
      <c r="CX4" s="42">
        <f t="shared" ref="CX4" si="51">_xlfn.NORM.S.DIST(CX3,FALSE)</f>
        <v>8.7268269504576015E-4</v>
      </c>
      <c r="CY4" s="42">
        <f t="shared" ref="CY4" si="52">_xlfn.NORM.S.DIST(CY3,FALSE)</f>
        <v>4.4318484119380075E-3</v>
      </c>
      <c r="CZ4" s="42">
        <f t="shared" ref="CZ4" si="53">_xlfn.NORM.S.DIST(CZ3,FALSE)</f>
        <v>1.752830049356854E-2</v>
      </c>
      <c r="DA4" s="42">
        <f t="shared" ref="DA4" si="54">_xlfn.NORM.S.DIST(DA3,FALSE)</f>
        <v>5.3990966513188063E-2</v>
      </c>
      <c r="DB4" s="42">
        <f t="shared" ref="DB4" si="55">_xlfn.NORM.S.DIST(DB3,FALSE)</f>
        <v>0.12951759566589174</v>
      </c>
      <c r="DC4" s="42">
        <f t="shared" ref="DC4" si="56">_xlfn.NORM.S.DIST(DC3,FALSE)</f>
        <v>0.24197072451914337</v>
      </c>
      <c r="DD4" s="42">
        <f t="shared" ref="DD4" si="57">_xlfn.NORM.S.DIST(DD3,FALSE)</f>
        <v>0.35206532676429952</v>
      </c>
      <c r="DE4" s="42">
        <f t="shared" ref="DE4" si="58">_xlfn.NORM.S.DIST(DE3,FALSE)</f>
        <v>0.3989422804014327</v>
      </c>
      <c r="DF4" s="42">
        <f t="shared" ref="DF4" si="59">_xlfn.NORM.S.DIST(DF3,FALSE)</f>
        <v>0.35206532676429952</v>
      </c>
      <c r="DG4" s="42">
        <f t="shared" ref="DG4" si="60">_xlfn.NORM.S.DIST(DG3,FALSE)</f>
        <v>0.24197072451914337</v>
      </c>
      <c r="DH4" s="42">
        <f t="shared" ref="DH4" si="61">_xlfn.NORM.S.DIST(DH3,FALSE)</f>
        <v>0.12951759566589174</v>
      </c>
      <c r="DI4" s="42">
        <f t="shared" ref="DI4" si="62">_xlfn.NORM.S.DIST(DI3,FALSE)</f>
        <v>5.3990966513188063E-2</v>
      </c>
      <c r="DJ4" s="42">
        <f t="shared" ref="DJ4" si="63">_xlfn.NORM.S.DIST(DJ3,FALSE)</f>
        <v>1.752830049356854E-2</v>
      </c>
      <c r="DK4" s="42">
        <f t="shared" ref="DK4" si="64">_xlfn.NORM.S.DIST(DK3,FALSE)</f>
        <v>4.4318484119380075E-3</v>
      </c>
      <c r="DL4" s="42">
        <f t="shared" ref="DL4" si="65">_xlfn.NORM.S.DIST(DL3,FALSE)</f>
        <v>8.7268269504576015E-4</v>
      </c>
      <c r="DM4" s="42">
        <f t="shared" ref="DM4" si="66">_xlfn.NORM.S.DIST(DM3,FALSE)</f>
        <v>1.3383022576488537E-4</v>
      </c>
      <c r="DN4" s="42">
        <f t="shared" ref="DN4" si="67">_xlfn.NORM.S.DIST(DN3,FALSE)</f>
        <v>1.5983741106905475E-5</v>
      </c>
      <c r="DO4" s="42">
        <f t="shared" ref="DO4" si="68">_xlfn.NORM.S.DIST(DO3,FALSE)</f>
        <v>1.4867195147342977E-6</v>
      </c>
      <c r="DQ4" s="346" t="s">
        <v>344</v>
      </c>
      <c r="DR4" s="42">
        <f t="shared" si="4"/>
        <v>1.4867195147342977E-6</v>
      </c>
      <c r="DS4" s="42">
        <f t="shared" si="5"/>
        <v>1.5983741106905475E-5</v>
      </c>
      <c r="DT4" s="42">
        <f t="shared" si="6"/>
        <v>1.3383022576488537E-4</v>
      </c>
      <c r="DU4" s="42">
        <f t="shared" si="7"/>
        <v>8.7268269504576015E-4</v>
      </c>
      <c r="DV4" s="42">
        <f t="shared" si="8"/>
        <v>4.4318484119380075E-3</v>
      </c>
      <c r="DW4" s="42">
        <f t="shared" si="9"/>
        <v>1.752830049356854E-2</v>
      </c>
      <c r="DX4" s="42">
        <f t="shared" si="10"/>
        <v>5.3990966513188063E-2</v>
      </c>
      <c r="DY4" s="42">
        <f t="shared" si="11"/>
        <v>0.12951759566589174</v>
      </c>
      <c r="DZ4" s="42">
        <f t="shared" si="12"/>
        <v>0.24197072451914337</v>
      </c>
      <c r="EA4" s="42">
        <f t="shared" si="13"/>
        <v>0.35206532676429952</v>
      </c>
      <c r="EB4" s="42">
        <f t="shared" si="14"/>
        <v>0.3989422804014327</v>
      </c>
      <c r="EC4" s="42">
        <f t="shared" si="15"/>
        <v>0.35206532676429952</v>
      </c>
      <c r="ED4" s="42">
        <f t="shared" si="16"/>
        <v>0.24197072451914337</v>
      </c>
      <c r="EE4" s="42">
        <f t="shared" si="17"/>
        <v>0.12951759566589174</v>
      </c>
      <c r="EF4" s="42">
        <f t="shared" si="18"/>
        <v>5.3990966513188063E-2</v>
      </c>
      <c r="EG4" s="42">
        <f t="shared" si="19"/>
        <v>1.752830049356854E-2</v>
      </c>
      <c r="EH4" s="42">
        <f t="shared" si="20"/>
        <v>4.4318484119380075E-3</v>
      </c>
      <c r="EI4" s="42">
        <f t="shared" si="21"/>
        <v>8.7268269504576015E-4</v>
      </c>
      <c r="EJ4" s="42">
        <f t="shared" si="22"/>
        <v>1.3383022576488537E-4</v>
      </c>
      <c r="EK4" s="42">
        <f t="shared" si="23"/>
        <v>1.5983741106905475E-5</v>
      </c>
      <c r="EL4" s="42">
        <f>DO4</f>
        <v>1.4867195147342977E-6</v>
      </c>
      <c r="EM4" s="41"/>
      <c r="EN4" s="41"/>
      <c r="EO4" s="117" t="s">
        <v>121</v>
      </c>
      <c r="EP4" s="10">
        <v>1</v>
      </c>
      <c r="EQ4" s="10">
        <v>0</v>
      </c>
      <c r="ER4" s="10"/>
      <c r="ET4" s="346" t="s">
        <v>344</v>
      </c>
      <c r="EU4" s="42">
        <f>_xlfn.NORM.S.DIST(EU3,FALSE)</f>
        <v>1.4867195147342977E-6</v>
      </c>
      <c r="EV4" s="42">
        <f t="shared" ref="EV4" si="69">_xlfn.NORM.S.DIST(EV3,FALSE)</f>
        <v>1.5983741106905475E-5</v>
      </c>
      <c r="EW4" s="42">
        <f t="shared" ref="EW4" si="70">_xlfn.NORM.S.DIST(EW3,FALSE)</f>
        <v>1.3383022576488537E-4</v>
      </c>
      <c r="EX4" s="42">
        <f t="shared" ref="EX4" si="71">_xlfn.NORM.S.DIST(EX3,FALSE)</f>
        <v>8.7268269504576015E-4</v>
      </c>
      <c r="EY4" s="42">
        <f t="shared" ref="EY4" si="72">_xlfn.NORM.S.DIST(EY3,FALSE)</f>
        <v>4.4318484119380075E-3</v>
      </c>
      <c r="EZ4" s="42">
        <f t="shared" ref="EZ4" si="73">_xlfn.NORM.S.DIST(EZ3,FALSE)</f>
        <v>1.752830049356854E-2</v>
      </c>
      <c r="FA4" s="42">
        <f t="shared" ref="FA4" si="74">_xlfn.NORM.S.DIST(FA3,FALSE)</f>
        <v>5.3990966513188063E-2</v>
      </c>
      <c r="FB4" s="42">
        <f t="shared" ref="FB4" si="75">_xlfn.NORM.S.DIST(FB3,FALSE)</f>
        <v>0.12951759566589174</v>
      </c>
      <c r="FC4" s="42">
        <f t="shared" ref="FC4" si="76">_xlfn.NORM.S.DIST(FC3,FALSE)</f>
        <v>0.24197072451914337</v>
      </c>
      <c r="FD4" s="42">
        <f t="shared" ref="FD4" si="77">_xlfn.NORM.S.DIST(FD3,FALSE)</f>
        <v>0.35206532676429952</v>
      </c>
      <c r="FE4" s="42">
        <f t="shared" ref="FE4" si="78">_xlfn.NORM.S.DIST(FE3,FALSE)</f>
        <v>0.3989422804014327</v>
      </c>
      <c r="FF4" s="42">
        <f t="shared" ref="FF4" si="79">_xlfn.NORM.S.DIST(FF3,FALSE)</f>
        <v>0.35206532676429952</v>
      </c>
      <c r="FG4" s="42">
        <f t="shared" ref="FG4" si="80">_xlfn.NORM.S.DIST(FG3,FALSE)</f>
        <v>0.24197072451914337</v>
      </c>
      <c r="FH4" s="42">
        <f t="shared" ref="FH4" si="81">_xlfn.NORM.S.DIST(FH3,FALSE)</f>
        <v>0.12951759566589174</v>
      </c>
      <c r="FI4" s="42">
        <f t="shared" ref="FI4" si="82">_xlfn.NORM.S.DIST(FI3,FALSE)</f>
        <v>5.3990966513188063E-2</v>
      </c>
      <c r="FJ4" s="42">
        <f t="shared" ref="FJ4" si="83">_xlfn.NORM.S.DIST(FJ3,FALSE)</f>
        <v>1.752830049356854E-2</v>
      </c>
      <c r="FK4" s="42">
        <f t="shared" ref="FK4" si="84">_xlfn.NORM.S.DIST(FK3,FALSE)</f>
        <v>4.4318484119380075E-3</v>
      </c>
      <c r="FL4" s="42">
        <f t="shared" ref="FL4" si="85">_xlfn.NORM.S.DIST(FL3,FALSE)</f>
        <v>8.7268269504576015E-4</v>
      </c>
      <c r="FM4" s="42">
        <f t="shared" ref="FM4" si="86">_xlfn.NORM.S.DIST(FM3,FALSE)</f>
        <v>1.3383022576488537E-4</v>
      </c>
      <c r="FN4" s="42">
        <f t="shared" ref="FN4" si="87">_xlfn.NORM.S.DIST(FN3,FALSE)</f>
        <v>1.5983741106905475E-5</v>
      </c>
      <c r="FO4" s="42">
        <f t="shared" ref="FO4" si="88">_xlfn.NORM.S.DIST(FO3,FALSE)</f>
        <v>1.4867195147342977E-6</v>
      </c>
      <c r="FQ4" s="346" t="s">
        <v>344</v>
      </c>
      <c r="FR4" s="42">
        <f t="shared" si="25"/>
        <v>1.4867195147342977E-6</v>
      </c>
      <c r="FS4" s="42">
        <f t="shared" si="26"/>
        <v>1.5983741106905475E-5</v>
      </c>
      <c r="FT4" s="42">
        <f t="shared" si="27"/>
        <v>1.3383022576488537E-4</v>
      </c>
      <c r="FU4" s="42">
        <f t="shared" si="28"/>
        <v>8.7268269504576015E-4</v>
      </c>
      <c r="FV4" s="42">
        <f t="shared" si="29"/>
        <v>4.4318484119380075E-3</v>
      </c>
      <c r="FW4" s="42">
        <f t="shared" si="30"/>
        <v>1.752830049356854E-2</v>
      </c>
      <c r="FX4" s="42">
        <f t="shared" si="31"/>
        <v>5.3990966513188063E-2</v>
      </c>
      <c r="FY4" s="42">
        <f t="shared" si="32"/>
        <v>0.12951759566589174</v>
      </c>
      <c r="FZ4" s="42">
        <f t="shared" si="33"/>
        <v>0.24197072451914337</v>
      </c>
      <c r="GA4" s="42">
        <f t="shared" si="34"/>
        <v>0.35206532676429952</v>
      </c>
      <c r="GB4" s="42">
        <f t="shared" si="35"/>
        <v>0.3989422804014327</v>
      </c>
      <c r="GC4" s="42">
        <f t="shared" si="36"/>
        <v>0.35206532676429952</v>
      </c>
      <c r="GD4" s="42">
        <f t="shared" si="37"/>
        <v>0.24197072451914337</v>
      </c>
      <c r="GE4" s="42">
        <f t="shared" si="38"/>
        <v>0.12951759566589174</v>
      </c>
      <c r="GF4" s="42">
        <f t="shared" si="39"/>
        <v>5.3990966513188063E-2</v>
      </c>
      <c r="GG4" s="42">
        <f t="shared" si="40"/>
        <v>1.752830049356854E-2</v>
      </c>
      <c r="GH4" s="42">
        <f t="shared" si="41"/>
        <v>4.4318484119380075E-3</v>
      </c>
      <c r="GI4" s="42">
        <f t="shared" si="42"/>
        <v>8.7268269504576015E-4</v>
      </c>
      <c r="GJ4" s="42">
        <f t="shared" si="43"/>
        <v>1.3383022576488537E-4</v>
      </c>
      <c r="GK4" s="42">
        <f t="shared" si="44"/>
        <v>1.5983741106905475E-5</v>
      </c>
      <c r="GL4" s="42">
        <f>FO4</f>
        <v>1.4867195147342977E-6</v>
      </c>
      <c r="GO4" s="346" t="s">
        <v>344</v>
      </c>
      <c r="GP4" s="42">
        <f t="shared" si="45"/>
        <v>1.4867195147342977E-6</v>
      </c>
      <c r="GQ4" s="42">
        <f t="shared" si="45"/>
        <v>1.5983741106905475E-5</v>
      </c>
      <c r="GR4" s="42">
        <f t="shared" si="45"/>
        <v>1.3383022576488537E-4</v>
      </c>
      <c r="GS4" s="42">
        <f t="shared" si="45"/>
        <v>8.7268269504576015E-4</v>
      </c>
      <c r="GT4" s="42">
        <f t="shared" si="45"/>
        <v>4.4318484119380075E-3</v>
      </c>
      <c r="GU4" s="42">
        <f t="shared" si="45"/>
        <v>1.752830049356854E-2</v>
      </c>
      <c r="GV4" s="42">
        <f t="shared" si="45"/>
        <v>5.3990966513188063E-2</v>
      </c>
      <c r="GW4" s="42">
        <f t="shared" si="45"/>
        <v>0.12951759566589174</v>
      </c>
      <c r="GX4" s="42">
        <f t="shared" si="45"/>
        <v>0.24197072451914337</v>
      </c>
      <c r="GY4" s="42">
        <f t="shared" si="45"/>
        <v>0.35206532676429952</v>
      </c>
      <c r="GZ4" s="42">
        <f t="shared" si="46"/>
        <v>0.3989422804014327</v>
      </c>
      <c r="HA4" s="42">
        <f t="shared" si="46"/>
        <v>0.35206532676429952</v>
      </c>
      <c r="HB4" s="42">
        <f t="shared" si="46"/>
        <v>0.24197072451914337</v>
      </c>
      <c r="HC4" s="42">
        <f t="shared" si="46"/>
        <v>0.12951759566589174</v>
      </c>
      <c r="HD4" s="42">
        <f t="shared" si="46"/>
        <v>5.3990966513188063E-2</v>
      </c>
      <c r="HE4" s="42">
        <f t="shared" si="46"/>
        <v>1.752830049356854E-2</v>
      </c>
      <c r="HF4" s="42">
        <f t="shared" si="46"/>
        <v>4.4318484119380075E-3</v>
      </c>
      <c r="HG4" s="42">
        <f t="shared" si="46"/>
        <v>8.7268269504576015E-4</v>
      </c>
      <c r="HH4" s="42">
        <f t="shared" si="46"/>
        <v>1.3383022576488537E-4</v>
      </c>
      <c r="HI4" s="42">
        <f t="shared" si="46"/>
        <v>1.5983741106905475E-5</v>
      </c>
      <c r="HJ4" s="42">
        <f t="shared" si="47"/>
        <v>1.4867195147342977E-6</v>
      </c>
      <c r="HK4" s="42"/>
      <c r="HL4" s="42"/>
      <c r="HM4" s="346" t="s">
        <v>156</v>
      </c>
      <c r="HN4" s="10">
        <v>1</v>
      </c>
      <c r="HO4" s="10">
        <v>0</v>
      </c>
    </row>
    <row r="5" spans="2:244" x14ac:dyDescent="0.3">
      <c r="B5" s="1" t="s">
        <v>132</v>
      </c>
      <c r="F5" s="1" t="s">
        <v>362</v>
      </c>
      <c r="J5" s="1" t="s">
        <v>376</v>
      </c>
      <c r="N5" s="1" t="s">
        <v>372</v>
      </c>
      <c r="S5" s="339"/>
      <c r="T5" s="339"/>
      <c r="V5" s="366">
        <f t="shared" ref="V5:V44" si="89">V4+YearFraction</f>
        <v>0.25</v>
      </c>
      <c r="W5" s="367">
        <f t="shared" ref="W5:W44" si="90">IF($V5&gt;CDS.Tenor,"-",CDS.PremiumSign*CDS.Notional*CDS.YearFraction*CDS.CreditSpread)</f>
        <v>-25000</v>
      </c>
      <c r="X5" s="347">
        <f t="shared" ref="X5:X44" ca="1" si="91">HN5</f>
        <v>0.99550875774013869</v>
      </c>
      <c r="Y5" s="347">
        <f t="shared" ref="Y5:Y44" ca="1" si="92">IF($V5&gt;CDS.Tenor,"-",X4-X5)</f>
        <v>4.4912422598613055E-3</v>
      </c>
      <c r="Z5" s="368" cm="1">
        <f t="array" ref="Z5">IF($V5&gt;CDS.Tenor,"-",cubicInterpolation(CurveResults.Times,CurveResults.DFs,$V5))</f>
        <v>0.98868042001719347</v>
      </c>
      <c r="AA5" s="367">
        <f t="shared" ref="AA5:AA44" ca="1" si="93">IF($V5&gt;CDS.Tenor,"-",W5*X5*Z5)</f>
        <v>-24606.000418332871</v>
      </c>
      <c r="AB5" s="367">
        <f t="shared" ref="AB5:AB44" ca="1" si="94">IF($V5&gt;CDS.Tenor,"-",0.5*W5*Y5*Z5)</f>
        <v>-55.505041048483058</v>
      </c>
      <c r="AC5" s="369">
        <f t="shared" ref="AC5:AC44" ca="1" si="95">IF($V5&gt;CDS.Tenor,"-",AA5+AB5)</f>
        <v>-24661.505459381355</v>
      </c>
      <c r="AF5" s="366">
        <f t="shared" ref="AF5:AF44" si="96">AF4+YearFraction</f>
        <v>0.25</v>
      </c>
      <c r="AG5" s="367">
        <f t="shared" ref="AG5:AG44" si="97">IF($V5&gt;CDS.Tenor,"-",CDS.ProtectionSign*CDS.Notional*(1-CDS.RecoveryRate))</f>
        <v>6000000</v>
      </c>
      <c r="AH5" s="347">
        <f t="shared" ref="AH5:AH44" ca="1" si="98">IF($V5&gt;CDS.Tenor,"-",HN5)</f>
        <v>0.99550875774013869</v>
      </c>
      <c r="AI5" s="347">
        <f t="shared" ref="AI5:AI44" ca="1" si="99">IF($V5&gt;CDS.Tenor,"-",AH4-AH5)</f>
        <v>4.4912422598613055E-3</v>
      </c>
      <c r="AJ5" s="368" cm="1">
        <f t="array" ref="AJ5">IF($AF5&gt;CDS.Tenor,"-",cubicInterpolation(CurveResults.Times,CurveResults.DFs,$V5))</f>
        <v>0.98868042001719347</v>
      </c>
      <c r="AK5" s="369">
        <f t="shared" ref="AK5:AK44" ca="1" si="100">IF($V5&gt;CDS.Tenor,"-",AG5*AI5*AJ5)</f>
        <v>26642.419703271869</v>
      </c>
      <c r="AN5" s="357">
        <f t="shared" ref="AN5:AN44" si="101">AN4+YearFraction</f>
        <v>0.25</v>
      </c>
      <c r="AO5" s="342" cm="1">
        <f t="array" aca="1" ref="AO5" ca="1">IF($AN5&gt;CDS.Tenor,"-",flatInterpolation(AM5,INDIRECT(HazardRateTimes1),INDIRECT(HazardRateValues1)))</f>
        <v>5.0000000000000001E-3</v>
      </c>
      <c r="AP5" s="132">
        <f t="shared" ref="AP5:AP44" ca="1" si="102">IF($AN5&gt;CDS.Tenor,"-",EXP(-AO5*YearFraction)*AP4)</f>
        <v>0.99875078092458092</v>
      </c>
      <c r="AQ5" s="132">
        <f t="shared" ref="AQ5:AQ44" ca="1" si="103">IF($AN5&gt;CDS.Tenor,"-",1-AP5)</f>
        <v>1.2492190754190835E-3</v>
      </c>
      <c r="AR5" s="80">
        <f t="shared" ref="AR5:AR44" ca="1" si="104">IF($AN5&gt;CDS.Tenor,"-",NORMSINV(AQ5))</f>
        <v>-3.023530533768839</v>
      </c>
      <c r="AS5" s="17"/>
      <c r="AT5" s="357">
        <f t="shared" ref="AT5:AT44" si="105">$AN5</f>
        <v>0.25</v>
      </c>
      <c r="AU5" s="351">
        <f ca="1">IF($AN5&gt;CDS.Tenor,"-",_xlfn.NORM.S.DIST(($AR5-SQRT(Correlation1)*AU$3)/SQRT(1-Correlation1),TRUE))</f>
        <v>0.37347522080771323</v>
      </c>
      <c r="AV5" s="351">
        <f ca="1">IF($AN5&gt;CDS.Tenor,"-",_xlfn.NORM.S.DIST(($AR5-SQRT(Correlation1)*AV$3)/SQRT(1-Correlation1),TRUE))</f>
        <v>0.25698549828648343</v>
      </c>
      <c r="AW5" s="351">
        <f ca="1">IF($AN5&gt;CDS.Tenor,"-",_xlfn.NORM.S.DIST(($AR5-SQRT(Correlation1)*AW$3)/SQRT(1-Correlation1),TRUE))</f>
        <v>0.16288471680453476</v>
      </c>
      <c r="AX5" s="351">
        <f ca="1">IF($AN5&gt;CDS.Tenor,"-",_xlfn.NORM.S.DIST(($AR5-SQRT(Correlation1)*AX$3)/SQRT(1-Correlation1),TRUE))</f>
        <v>9.4646269878616601E-2</v>
      </c>
      <c r="AY5" s="351">
        <f ca="1">IF($AN5&gt;CDS.Tenor,"-",_xlfn.NORM.S.DIST(($AR5-SQRT(Correlation1)*AY$3)/SQRT(1-Correlation1),TRUE))</f>
        <v>5.0224706875999739E-2</v>
      </c>
      <c r="AZ5" s="351">
        <f ca="1">IF($AN5&gt;CDS.Tenor,"-",_xlfn.NORM.S.DIST(($AR5-SQRT(Correlation1)*AZ$3)/SQRT(1-Correlation1),TRUE))</f>
        <v>2.4265862107666371E-2</v>
      </c>
      <c r="BA5" s="351">
        <f ca="1">IF($AN5&gt;CDS.Tenor,"-",_xlfn.NORM.S.DIST(($AR5-SQRT(Correlation1)*BA$3)/SQRT(1-Correlation1),TRUE))</f>
        <v>1.0648240475675873E-2</v>
      </c>
      <c r="BB5" s="351">
        <f ca="1">IF($AN5&gt;CDS.Tenor,"-",_xlfn.NORM.S.DIST(($AR5-SQRT(Correlation1)*BB$3)/SQRT(1-Correlation1),TRUE))</f>
        <v>4.2355743452604649E-3</v>
      </c>
      <c r="BC5" s="351">
        <f ca="1">IF($AN5&gt;CDS.Tenor,"-",_xlfn.NORM.S.DIST(($AR5-SQRT(Correlation1)*BC$3)/SQRT(1-Correlation1),TRUE))</f>
        <v>1.5247954070851503E-3</v>
      </c>
      <c r="BD5" s="351">
        <f ca="1">IF($AN5&gt;CDS.Tenor,"-",_xlfn.NORM.S.DIST(($AR5-SQRT(Correlation1)*BD$3)/SQRT(1-Correlation1),TRUE))</f>
        <v>4.9615425093603189E-4</v>
      </c>
      <c r="BE5" s="351">
        <f ca="1">IF($AN5&gt;CDS.Tenor,"-",_xlfn.NORM.S.DIST(($AR5-SQRT(Correlation1)*BE$3)/SQRT(1-Correlation1),TRUE))</f>
        <v>1.457706145360685E-4</v>
      </c>
      <c r="BF5" s="351">
        <f ca="1">IF($AN5&gt;CDS.Tenor,"-",_xlfn.NORM.S.DIST(($AR5-SQRT(Correlation1)*BF$3)/SQRT(1-Correlation1),TRUE))</f>
        <v>3.8636131896040043E-5</v>
      </c>
      <c r="BG5" s="351">
        <f ca="1">IF($AN5&gt;CDS.Tenor,"-",_xlfn.NORM.S.DIST(($AR5-SQRT(Correlation1)*BG$3)/SQRT(1-Correlation1),TRUE))</f>
        <v>9.2315280770964522E-6</v>
      </c>
      <c r="BH5" s="351">
        <f ca="1">IF($AN5&gt;CDS.Tenor,"-",_xlfn.NORM.S.DIST(($AR5-SQRT(Correlation1)*BH$3)/SQRT(1-Correlation1),TRUE))</f>
        <v>1.9872236167104069E-6</v>
      </c>
      <c r="BI5" s="351">
        <f ca="1">IF($AN5&gt;CDS.Tenor,"-",_xlfn.NORM.S.DIST(($AR5-SQRT(Correlation1)*BI$3)/SQRT(1-Correlation1),TRUE))</f>
        <v>3.8520425924200888E-7</v>
      </c>
      <c r="BJ5" s="351">
        <f ca="1">IF($AN5&gt;CDS.Tenor,"-",_xlfn.NORM.S.DIST(($AR5-SQRT(Correlation1)*BJ$3)/SQRT(1-Correlation1),TRUE))</f>
        <v>6.720754331954515E-8</v>
      </c>
      <c r="BK5" s="351">
        <f ca="1">IF($AN5&gt;CDS.Tenor,"-",_xlfn.NORM.S.DIST(($AR5-SQRT(Correlation1)*BK$3)/SQRT(1-Correlation1),TRUE))</f>
        <v>1.0550335853053366E-8</v>
      </c>
      <c r="BL5" s="351">
        <f ca="1">IF($AN5&gt;CDS.Tenor,"-",_xlfn.NORM.S.DIST(($AR5-SQRT(Correlation1)*BL$3)/SQRT(1-Correlation1),TRUE))</f>
        <v>1.4896941195547012E-9</v>
      </c>
      <c r="BM5" s="351">
        <f ca="1">IF($AN5&gt;CDS.Tenor,"-",_xlfn.NORM.S.DIST(($AR5-SQRT(Correlation1)*BM$3)/SQRT(1-Correlation1),TRUE))</f>
        <v>1.8914304196491714E-10</v>
      </c>
      <c r="BN5" s="351">
        <f ca="1">IF($AN5&gt;CDS.Tenor,"-",_xlfn.NORM.S.DIST(($AR5-SQRT(Correlation1)*BN$3)/SQRT(1-Correlation1),TRUE))</f>
        <v>2.158944875911913E-11</v>
      </c>
      <c r="BO5" s="352">
        <f ca="1">IF($AN5&gt;CDS.Tenor,"-",_xlfn.NORM.S.DIST(($AR5-SQRT(Correlation1)*BO$3)/SQRT(1-Correlation1),TRUE))</f>
        <v>2.2149259391121102E-12</v>
      </c>
      <c r="BP5" s="17"/>
      <c r="BQ5" s="357">
        <f t="shared" ref="BQ5:BQ44" si="106">$AN5</f>
        <v>0.25</v>
      </c>
      <c r="BR5" s="351">
        <f t="shared" ref="BR5:BR44" ca="1" si="107">IF($AN5&gt;CDS.Tenor,"-",1-AU5)</f>
        <v>0.62652477919228677</v>
      </c>
      <c r="BS5" s="351">
        <f t="shared" ref="BS5:BS44" ca="1" si="108">IF($AN5&gt;CDS.Tenor,"-",1-AV5)</f>
        <v>0.74301450171351657</v>
      </c>
      <c r="BT5" s="351">
        <f t="shared" ref="BT5:BT44" ca="1" si="109">IF($AN5&gt;CDS.Tenor,"-",1-AW5)</f>
        <v>0.83711528319546524</v>
      </c>
      <c r="BU5" s="351">
        <f t="shared" ref="BU5:BU44" ca="1" si="110">IF($AN5&gt;CDS.Tenor,"-",1-AX5)</f>
        <v>0.90535373012138343</v>
      </c>
      <c r="BV5" s="351">
        <f t="shared" ref="BV5:BV44" ca="1" si="111">IF($AN5&gt;CDS.Tenor,"-",1-AY5)</f>
        <v>0.94977529312400022</v>
      </c>
      <c r="BW5" s="351">
        <f t="shared" ref="BW5:BW44" ca="1" si="112">IF($AN5&gt;CDS.Tenor,"-",1-AZ5)</f>
        <v>0.97573413789233365</v>
      </c>
      <c r="BX5" s="351">
        <f t="shared" ref="BX5:BX44" ca="1" si="113">IF($AN5&gt;CDS.Tenor,"-",1-BA5)</f>
        <v>0.98935175952432408</v>
      </c>
      <c r="BY5" s="351">
        <f t="shared" ref="BY5:BY44" ca="1" si="114">IF($AN5&gt;CDS.Tenor,"-",1-BB5)</f>
        <v>0.99576442565473955</v>
      </c>
      <c r="BZ5" s="351">
        <f t="shared" ref="BZ5:BZ44" ca="1" si="115">IF($AN5&gt;CDS.Tenor,"-",1-BC5)</f>
        <v>0.99847520459291483</v>
      </c>
      <c r="CA5" s="351">
        <f t="shared" ref="CA5:CA44" ca="1" si="116">IF($AN5&gt;CDS.Tenor,"-",1-BD5)</f>
        <v>0.99950384574906392</v>
      </c>
      <c r="CB5" s="351">
        <f t="shared" ref="CB5:CB44" ca="1" si="117">IF($AN5&gt;CDS.Tenor,"-",1-BE5)</f>
        <v>0.99985422938546398</v>
      </c>
      <c r="CC5" s="351">
        <f t="shared" ref="CC5:CC44" ca="1" si="118">IF($AN5&gt;CDS.Tenor,"-",1-BF5)</f>
        <v>0.99996136386810397</v>
      </c>
      <c r="CD5" s="351">
        <f t="shared" ref="CD5:CD44" ca="1" si="119">IF($AN5&gt;CDS.Tenor,"-",1-BG5)</f>
        <v>0.99999076847192292</v>
      </c>
      <c r="CE5" s="351">
        <f t="shared" ref="CE5:CE44" ca="1" si="120">IF($AN5&gt;CDS.Tenor,"-",1-BH5)</f>
        <v>0.99999801277638334</v>
      </c>
      <c r="CF5" s="351">
        <f t="shared" ref="CF5:CF44" ca="1" si="121">IF($AN5&gt;CDS.Tenor,"-",1-BI5)</f>
        <v>0.99999961479574073</v>
      </c>
      <c r="CG5" s="351">
        <f t="shared" ref="CG5:CG44" ca="1" si="122">IF($AN5&gt;CDS.Tenor,"-",1-BJ5)</f>
        <v>0.99999993279245669</v>
      </c>
      <c r="CH5" s="351">
        <f t="shared" ref="CH5:CH44" ca="1" si="123">IF($AN5&gt;CDS.Tenor,"-",1-BK5)</f>
        <v>0.99999998944966417</v>
      </c>
      <c r="CI5" s="351">
        <f t="shared" ref="CI5:CI44" ca="1" si="124">IF($AN5&gt;CDS.Tenor,"-",1-BL5)</f>
        <v>0.99999999851030585</v>
      </c>
      <c r="CJ5" s="351">
        <f t="shared" ref="CJ5:CJ44" ca="1" si="125">IF($AN5&gt;CDS.Tenor,"-",1-BM5)</f>
        <v>0.99999999981085697</v>
      </c>
      <c r="CK5" s="351">
        <f t="shared" ref="CK5:CK44" ca="1" si="126">IF($AN5&gt;CDS.Tenor,"-",1-BN5)</f>
        <v>0.9999999999784106</v>
      </c>
      <c r="CL5" s="352">
        <f t="shared" ref="CL5:CL44" ca="1" si="127">IF($AN5&gt;CDS.Tenor,"-",1-BO5)</f>
        <v>0.99999999999778511</v>
      </c>
      <c r="CM5" s="17"/>
      <c r="CN5" s="17"/>
      <c r="CO5" s="342" cm="1">
        <f t="array" aca="1" ref="CO5" ca="1">IF($AN5&gt;CDS.Tenor,"-",flatInterpolation(AN5,INDIRECT(HazardRateTimes2),INDIRECT(HazardRateValues2)))</f>
        <v>5.8333333333333336E-3</v>
      </c>
      <c r="CP5" s="132">
        <f t="shared" ref="CP5:CP44" ca="1" si="128">IF($AN5&gt;CDS.Tenor,"-",EXP(-CO5*YearFraction)*CP4)</f>
        <v>0.99854272951799561</v>
      </c>
      <c r="CQ5" s="132">
        <f t="shared" ref="CQ5:CQ44" ca="1" si="129">IF($AN5&gt;CDS.Tenor,"-",1-CP5)</f>
        <v>1.4572704820043914E-3</v>
      </c>
      <c r="CR5" s="80">
        <f t="shared" ref="CR5:CR44" ca="1" si="130">IF($AN5&gt;CDS.Tenor,"-",NORMSINV(CQ5))</f>
        <v>-2.9766104306213141</v>
      </c>
      <c r="CS5" s="17"/>
      <c r="CT5" s="357">
        <f t="shared" ref="CT5:CT44" si="131">$AN5</f>
        <v>0.25</v>
      </c>
      <c r="CU5" s="351">
        <f ca="1">IF($AN5&gt;CDS.Tenor,"-",_xlfn.NORM.S.DIST(($CR5-SQRT(Correlation2)*CU$3)/SQRT(1-Correlation2),TRUE))</f>
        <v>0.20700451687609842</v>
      </c>
      <c r="CV5" s="351">
        <f ca="1">IF($AN5&gt;CDS.Tenor,"-",_xlfn.NORM.S.DIST(($CR5-SQRT(Correlation2)*CV$3)/SQRT(1-Correlation2),TRUE))</f>
        <v>0.14267636282299462</v>
      </c>
      <c r="CW5" s="351">
        <f ca="1">IF($AN5&gt;CDS.Tenor,"-",_xlfn.NORM.S.DIST(($CR5-SQRT(Correlation2)*CW$3)/SQRT(1-Correlation2),TRUE))</f>
        <v>9.3436689206477672E-2</v>
      </c>
      <c r="CX5" s="351">
        <f ca="1">IF($AN5&gt;CDS.Tenor,"-",_xlfn.NORM.S.DIST(($CR5-SQRT(Correlation2)*CX$3)/SQRT(1-Correlation2),TRUE))</f>
        <v>5.8045092958129686E-2</v>
      </c>
      <c r="CY5" s="351">
        <f ca="1">IF($AN5&gt;CDS.Tenor,"-",_xlfn.NORM.S.DIST(($CR5-SQRT(Correlation2)*CY$3)/SQRT(1-Correlation2),TRUE))</f>
        <v>3.4158415497959227E-2</v>
      </c>
      <c r="CZ5" s="351">
        <f ca="1">IF($AN5&gt;CDS.Tenor,"-",_xlfn.NORM.S.DIST(($CR5-SQRT(Correlation2)*CZ$3)/SQRT(1-Correlation2),TRUE))</f>
        <v>1.9019959121356903E-2</v>
      </c>
      <c r="DA5" s="351">
        <f ca="1">IF($AN5&gt;CDS.Tenor,"-",_xlfn.NORM.S.DIST(($CR5-SQRT(Correlation2)*DA$3)/SQRT(1-Correlation2),TRUE))</f>
        <v>1.00109446334447E-2</v>
      </c>
      <c r="DB5" s="351">
        <f ca="1">IF($AN5&gt;CDS.Tenor,"-",_xlfn.NORM.S.DIST(($CR5-SQRT(Correlation2)*DB$3)/SQRT(1-Correlation2),TRUE))</f>
        <v>4.9766068066821887E-3</v>
      </c>
      <c r="DC5" s="351">
        <f ca="1">IF($AN5&gt;CDS.Tenor,"-",_xlfn.NORM.S.DIST(($CR5-SQRT(Correlation2)*DC$3)/SQRT(1-Correlation2),TRUE))</f>
        <v>2.3349506690072195E-3</v>
      </c>
      <c r="DD5" s="351">
        <f ca="1">IF($AN5&gt;CDS.Tenor,"-",_xlfn.NORM.S.DIST(($CR5-SQRT(Correlation2)*DD$3)/SQRT(1-Correlation2),TRUE))</f>
        <v>1.0333477797914675E-3</v>
      </c>
      <c r="DE5" s="351">
        <f ca="1">IF($AN5&gt;CDS.Tenor,"-",_xlfn.NORM.S.DIST(($CR5-SQRT(Correlation2)*DE$3)/SQRT(1-Correlation2),TRUE))</f>
        <v>4.3113718885687095E-4</v>
      </c>
      <c r="DF5" s="351">
        <f ca="1">IF($AN5&gt;CDS.Tenor,"-",_xlfn.NORM.S.DIST(($CR5-SQRT(Correlation2)*DF$3)/SQRT(1-Correlation2),TRUE))</f>
        <v>1.6950855850810239E-4</v>
      </c>
      <c r="DG5" s="351">
        <f ca="1">IF($AN5&gt;CDS.Tenor,"-",_xlfn.NORM.S.DIST(($CR5-SQRT(Correlation2)*DG$3)/SQRT(1-Correlation2),TRUE))</f>
        <v>6.2778089582249253E-5</v>
      </c>
      <c r="DH5" s="351">
        <f ca="1">IF($AN5&gt;CDS.Tenor,"-",_xlfn.NORM.S.DIST(($CR5-SQRT(Correlation2)*DH$3)/SQRT(1-Correlation2),TRUE))</f>
        <v>2.1893742294047442E-5</v>
      </c>
      <c r="DI5" s="351">
        <f ca="1">IF($AN5&gt;CDS.Tenor,"-",_xlfn.NORM.S.DIST(($CR5-SQRT(Correlation2)*DI$3)/SQRT(1-Correlation2),TRUE))</f>
        <v>7.1878830582784854E-6</v>
      </c>
      <c r="DJ5" s="351">
        <f ca="1">IF($AN5&gt;CDS.Tenor,"-",_xlfn.NORM.S.DIST(($CR5-SQRT(Correlation2)*DJ$3)/SQRT(1-Correlation2),TRUE))</f>
        <v>2.2209585016383873E-6</v>
      </c>
      <c r="DK5" s="351">
        <f ca="1">IF($AN5&gt;CDS.Tenor,"-",_xlfn.NORM.S.DIST(($CR5-SQRT(Correlation2)*DK$3)/SQRT(1-Correlation2),TRUE))</f>
        <v>6.4571520571036493E-7</v>
      </c>
      <c r="DL5" s="351">
        <f ca="1">IF($AN5&gt;CDS.Tenor,"-",_xlfn.NORM.S.DIST(($CR5-SQRT(Correlation2)*DL$3)/SQRT(1-Correlation2),TRUE))</f>
        <v>1.7661061115794095E-7</v>
      </c>
      <c r="DM5" s="351">
        <f ca="1">IF($AN5&gt;CDS.Tenor,"-",_xlfn.NORM.S.DIST(($CR5-SQRT(Correlation2)*DM$3)/SQRT(1-Correlation2),TRUE))</f>
        <v>4.5435115096169378E-8</v>
      </c>
      <c r="DN5" s="351">
        <f ca="1">IF($AN5&gt;CDS.Tenor,"-",_xlfn.NORM.S.DIST(($CR5-SQRT(Correlation2)*DN$3)/SQRT(1-Correlation2),TRUE))</f>
        <v>1.0992533261214014E-8</v>
      </c>
      <c r="DO5" s="352">
        <f ca="1">IF($AN5&gt;CDS.Tenor,"-",_xlfn.NORM.S.DIST(($CR5-SQRT(Correlation2)*DO$3)/SQRT(1-Correlation2),TRUE))</f>
        <v>2.5007759557036226E-9</v>
      </c>
      <c r="DP5" s="17"/>
      <c r="DQ5" s="357">
        <f t="shared" ref="DQ5:DQ44" si="132">$AN5</f>
        <v>0.25</v>
      </c>
      <c r="DR5" s="351">
        <f t="shared" ref="DR5:DR44" ca="1" si="133">IF($AN5&gt;CDS.Tenor,"-",1-CU5)</f>
        <v>0.79299548312390156</v>
      </c>
      <c r="DS5" s="351">
        <f t="shared" ref="DS5:DS44" ca="1" si="134">IF($AN5&gt;CDS.Tenor,"-",1-CV5)</f>
        <v>0.85732363717700544</v>
      </c>
      <c r="DT5" s="351">
        <f t="shared" ref="DT5:DT44" ca="1" si="135">IF($AN5&gt;CDS.Tenor,"-",1-CW5)</f>
        <v>0.90656331079352237</v>
      </c>
      <c r="DU5" s="351">
        <f t="shared" ref="DU5:DU44" ca="1" si="136">IF($AN5&gt;CDS.Tenor,"-",1-CX5)</f>
        <v>0.94195490704187035</v>
      </c>
      <c r="DV5" s="351">
        <f t="shared" ref="DV5:DV44" ca="1" si="137">IF($AN5&gt;CDS.Tenor,"-",1-CY5)</f>
        <v>0.96584158450204072</v>
      </c>
      <c r="DW5" s="351">
        <f t="shared" ref="DW5:DW44" ca="1" si="138">IF($AN5&gt;CDS.Tenor,"-",1-CZ5)</f>
        <v>0.9809800408786431</v>
      </c>
      <c r="DX5" s="351">
        <f t="shared" ref="DX5:DX44" ca="1" si="139">IF($AN5&gt;CDS.Tenor,"-",1-DA5)</f>
        <v>0.98998905536655535</v>
      </c>
      <c r="DY5" s="351">
        <f t="shared" ref="DY5:DY44" ca="1" si="140">IF($AN5&gt;CDS.Tenor,"-",1-DB5)</f>
        <v>0.99502339319331778</v>
      </c>
      <c r="DZ5" s="351">
        <f t="shared" ref="DZ5:DZ44" ca="1" si="141">IF($AN5&gt;CDS.Tenor,"-",1-DC5)</f>
        <v>0.99766504933099276</v>
      </c>
      <c r="EA5" s="351">
        <f t="shared" ref="EA5:EA44" ca="1" si="142">IF($AN5&gt;CDS.Tenor,"-",1-DD5)</f>
        <v>0.99896665222020853</v>
      </c>
      <c r="EB5" s="351">
        <f t="shared" ref="EB5:EB44" ca="1" si="143">IF($AN5&gt;CDS.Tenor,"-",1-DE5)</f>
        <v>0.9995688628111431</v>
      </c>
      <c r="EC5" s="351">
        <f t="shared" ref="EC5:EC44" ca="1" si="144">IF($AN5&gt;CDS.Tenor,"-",1-DF5)</f>
        <v>0.99983049144149194</v>
      </c>
      <c r="ED5" s="351">
        <f t="shared" ref="ED5:ED44" ca="1" si="145">IF($AN5&gt;CDS.Tenor,"-",1-DG5)</f>
        <v>0.99993722191041778</v>
      </c>
      <c r="EE5" s="351">
        <f t="shared" ref="EE5:EE44" ca="1" si="146">IF($AN5&gt;CDS.Tenor,"-",1-DH5)</f>
        <v>0.999978106257706</v>
      </c>
      <c r="EF5" s="351">
        <f t="shared" ref="EF5:EF44" ca="1" si="147">IF($AN5&gt;CDS.Tenor,"-",1-DI5)</f>
        <v>0.99999281211694169</v>
      </c>
      <c r="EG5" s="351">
        <f t="shared" ref="EG5:EG44" ca="1" si="148">IF($AN5&gt;CDS.Tenor,"-",1-DJ5)</f>
        <v>0.99999777904149834</v>
      </c>
      <c r="EH5" s="351">
        <f t="shared" ref="EH5:EH44" ca="1" si="149">IF($AN5&gt;CDS.Tenor,"-",1-DK5)</f>
        <v>0.99999935428479425</v>
      </c>
      <c r="EI5" s="351">
        <f t="shared" ref="EI5:EI44" ca="1" si="150">IF($AN5&gt;CDS.Tenor,"-",1-DL5)</f>
        <v>0.99999982338938886</v>
      </c>
      <c r="EJ5" s="351">
        <f t="shared" ref="EJ5:EJ44" ca="1" si="151">IF($AN5&gt;CDS.Tenor,"-",1-DM5)</f>
        <v>0.99999995456488489</v>
      </c>
      <c r="EK5" s="351">
        <f t="shared" ref="EK5:EK44" ca="1" si="152">IF($AN5&gt;CDS.Tenor,"-",1-DN5)</f>
        <v>0.99999998900746678</v>
      </c>
      <c r="EL5" s="352">
        <f t="shared" ref="EL5:EL44" ca="1" si="153">IF($AN5&gt;CDS.Tenor,"-",1-DO5)</f>
        <v>0.99999999749922408</v>
      </c>
      <c r="EM5" s="17"/>
      <c r="EN5" s="17"/>
      <c r="EO5" s="342" cm="1">
        <f t="array" aca="1" ref="EO5" ca="1">IF($AN5&gt;CDS.Tenor,"-",flatInterpolation(CP5,INDIRECT(HazardRateTimes3),INDIRECT(HazardRateValues3)))</f>
        <v>7.4999999999999997E-3</v>
      </c>
      <c r="EP5" s="132">
        <f t="shared" ref="EP5:EP44" ca="1" si="154">IF($AN5&gt;CDS.Tenor,"-",EXP(-EO5*YearFraction)*EP4)</f>
        <v>0.998126756714382</v>
      </c>
      <c r="EQ5" s="132">
        <f t="shared" ref="EQ5:EQ44" ca="1" si="155">IF($AN5&gt;CDS.Tenor,"-",1-EP5)</f>
        <v>1.8732432856179981E-3</v>
      </c>
      <c r="ER5" s="80">
        <f t="shared" ref="ER5:ER44" ca="1" si="156">IF($AN5&gt;CDS.Tenor,"-",NORMSINV(EQ5))</f>
        <v>-2.8987540476096902</v>
      </c>
      <c r="ES5" s="17"/>
      <c r="ET5" s="357">
        <f t="shared" ref="ET5:ET44" si="157">$AN5</f>
        <v>0.25</v>
      </c>
      <c r="EU5" s="351">
        <f ca="1">IF($AN5&gt;CDS.Tenor,"-",_xlfn.NORM.S.DIST(($ER5-SQRT(Correlation3)*EU$3)/SQRT(1-Correlation3),TRUE))</f>
        <v>0.68392888959030163</v>
      </c>
      <c r="EV5" s="351">
        <f ca="1">IF($AN5&gt;CDS.Tenor,"-",_xlfn.NORM.S.DIST(($ER5-SQRT(Correlation3)*EV$3)/SQRT(1-Correlation3),TRUE))</f>
        <v>0.51929859461063077</v>
      </c>
      <c r="EW5" s="351">
        <f ca="1">IF($AN5&gt;CDS.Tenor,"-",_xlfn.NORM.S.DIST(($ER5-SQRT(Correlation3)*EW$3)/SQRT(1-Correlation3),TRUE))</f>
        <v>0.35125765737158177</v>
      </c>
      <c r="EX5" s="351">
        <f ca="1">IF($AN5&gt;CDS.Tenor,"-",_xlfn.NORM.S.DIST(($ER5-SQRT(Correlation3)*EX$3)/SQRT(1-Correlation3),TRUE))</f>
        <v>0.2083247229926975</v>
      </c>
      <c r="EY5" s="351">
        <f ca="1">IF($AN5&gt;CDS.Tenor,"-",_xlfn.NORM.S.DIST(($ER5-SQRT(Correlation3)*EY$3)/SQRT(1-Correlation3),TRUE))</f>
        <v>0.10701346574510269</v>
      </c>
      <c r="EZ5" s="351">
        <f ca="1">IF($AN5&gt;CDS.Tenor,"-",_xlfn.NORM.S.DIST(($ER5-SQRT(Correlation3)*EZ$3)/SQRT(1-Correlation3),TRUE))</f>
        <v>4.7174582510967074E-2</v>
      </c>
      <c r="FA5" s="351">
        <f ca="1">IF($AN5&gt;CDS.Tenor,"-",_xlfn.NORM.S.DIST(($ER5-SQRT(Correlation3)*FA$3)/SQRT(1-Correlation3),TRUE))</f>
        <v>1.7723731253267719E-2</v>
      </c>
      <c r="FB5" s="351">
        <f ca="1">IF($AN5&gt;CDS.Tenor,"-",_xlfn.NORM.S.DIST(($ER5-SQRT(Correlation3)*FB$3)/SQRT(1-Correlation3),TRUE))</f>
        <v>5.6460032873680548E-3</v>
      </c>
      <c r="FC5" s="351">
        <f ca="1">IF($AN5&gt;CDS.Tenor,"-",_xlfn.NORM.S.DIST(($ER5-SQRT(Correlation3)*FC$3)/SQRT(1-Correlation3),TRUE))</f>
        <v>1.5190788626323168E-3</v>
      </c>
      <c r="FD5" s="351">
        <f ca="1">IF($AN5&gt;CDS.Tenor,"-",_xlfn.NORM.S.DIST(($ER5-SQRT(Correlation3)*FD$3)/SQRT(1-Correlation3),TRUE))</f>
        <v>3.4418331473408474E-4</v>
      </c>
      <c r="FE5" s="351">
        <f ca="1">IF($AN5&gt;CDS.Tenor,"-",_xlfn.NORM.S.DIST(($ER5-SQRT(Correlation3)*FE$3)/SQRT(1-Correlation3),TRUE))</f>
        <v>6.5521085247647373E-5</v>
      </c>
      <c r="FF5" s="351">
        <f ca="1">IF($AN5&gt;CDS.Tenor,"-",_xlfn.NORM.S.DIST(($ER5-SQRT(Correlation3)*FF$3)/SQRT(1-Correlation3),TRUE))</f>
        <v>1.0461225765212074E-5</v>
      </c>
      <c r="FG5" s="351">
        <f ca="1">IF($AN5&gt;CDS.Tenor,"-",_xlfn.NORM.S.DIST(($ER5-SQRT(Correlation3)*FG$3)/SQRT(1-Correlation3),TRUE))</f>
        <v>1.3988924511461287E-6</v>
      </c>
      <c r="FH5" s="351">
        <f ca="1">IF($AN5&gt;CDS.Tenor,"-",_xlfn.NORM.S.DIST(($ER5-SQRT(Correlation3)*FH$3)/SQRT(1-Correlation3),TRUE))</f>
        <v>1.5649416010179086E-7</v>
      </c>
      <c r="FI5" s="351">
        <f ca="1">IF($AN5&gt;CDS.Tenor,"-",_xlfn.NORM.S.DIST(($ER5-SQRT(Correlation3)*FI$3)/SQRT(1-Correlation3),TRUE))</f>
        <v>1.4632841360670121E-8</v>
      </c>
      <c r="FJ5" s="351">
        <f ca="1">IF($AN5&gt;CDS.Tenor,"-",_xlfn.NORM.S.DIST(($ER5-SQRT(Correlation3)*FJ$3)/SQRT(1-Correlation3),TRUE))</f>
        <v>1.1427526940495481E-9</v>
      </c>
      <c r="FK5" s="351">
        <f ca="1">IF($AN5&gt;CDS.Tenor,"-",_xlfn.NORM.S.DIST(($ER5-SQRT(Correlation3)*FK$3)/SQRT(1-Correlation3),TRUE))</f>
        <v>7.4490556260860212E-11</v>
      </c>
      <c r="FL5" s="351">
        <f ca="1">IF($AN5&gt;CDS.Tenor,"-",_xlfn.NORM.S.DIST(($ER5-SQRT(Correlation3)*FL$3)/SQRT(1-Correlation3),TRUE))</f>
        <v>4.0509050425153698E-12</v>
      </c>
      <c r="FM5" s="351">
        <f ca="1">IF($AN5&gt;CDS.Tenor,"-",_xlfn.NORM.S.DIST(($ER5-SQRT(Correlation3)*FM$3)/SQRT(1-Correlation3),TRUE))</f>
        <v>1.8370313262343309E-13</v>
      </c>
      <c r="FN5" s="351">
        <f ca="1">IF($AN5&gt;CDS.Tenor,"-",_xlfn.NORM.S.DIST(($ER5-SQRT(Correlation3)*FN$3)/SQRT(1-Correlation3),TRUE))</f>
        <v>6.9444028022011602E-15</v>
      </c>
      <c r="FO5" s="352">
        <f ca="1">IF($AN5&gt;CDS.Tenor,"-",_xlfn.NORM.S.DIST(($ER5-SQRT(Correlation3)*FO$3)/SQRT(1-Correlation3),TRUE))</f>
        <v>2.1876124592024411E-16</v>
      </c>
      <c r="FP5" s="17"/>
      <c r="FQ5" s="357">
        <f t="shared" ref="FQ5:FQ44" si="158">$AN5</f>
        <v>0.25</v>
      </c>
      <c r="FR5" s="351">
        <f t="shared" ref="FR5:FR44" ca="1" si="159">IF($AN5&gt;CDS.Tenor,"-",1-EU5)</f>
        <v>0.31607111040969837</v>
      </c>
      <c r="FS5" s="351">
        <f t="shared" ref="FS5:FS44" ca="1" si="160">IF($AN5&gt;CDS.Tenor,"-",1-EV5)</f>
        <v>0.48070140538936923</v>
      </c>
      <c r="FT5" s="351">
        <f t="shared" ref="FT5:FT44" ca="1" si="161">IF($AN5&gt;CDS.Tenor,"-",1-EW5)</f>
        <v>0.64874234262841823</v>
      </c>
      <c r="FU5" s="351">
        <f t="shared" ref="FU5:FU44" ca="1" si="162">IF($AN5&gt;CDS.Tenor,"-",1-EX5)</f>
        <v>0.79167527700730256</v>
      </c>
      <c r="FV5" s="351">
        <f t="shared" ref="FV5:FV44" ca="1" si="163">IF($AN5&gt;CDS.Tenor,"-",1-EY5)</f>
        <v>0.89298653425489727</v>
      </c>
      <c r="FW5" s="351">
        <f t="shared" ref="FW5:FW44" ca="1" si="164">IF($AN5&gt;CDS.Tenor,"-",1-EZ5)</f>
        <v>0.95282541748903293</v>
      </c>
      <c r="FX5" s="351">
        <f t="shared" ref="FX5:FX44" ca="1" si="165">IF($AN5&gt;CDS.Tenor,"-",1-FA5)</f>
        <v>0.98227626874673224</v>
      </c>
      <c r="FY5" s="351">
        <f t="shared" ref="FY5:FY44" ca="1" si="166">IF($AN5&gt;CDS.Tenor,"-",1-FB5)</f>
        <v>0.99435399671263192</v>
      </c>
      <c r="FZ5" s="351">
        <f t="shared" ref="FZ5:FZ44" ca="1" si="167">IF($AN5&gt;CDS.Tenor,"-",1-FC5)</f>
        <v>0.99848092113736764</v>
      </c>
      <c r="GA5" s="351">
        <f t="shared" ref="GA5:GA44" ca="1" si="168">IF($AN5&gt;CDS.Tenor,"-",1-FD5)</f>
        <v>0.99965581668526593</v>
      </c>
      <c r="GB5" s="351">
        <f t="shared" ref="GB5:GB44" ca="1" si="169">IF($AN5&gt;CDS.Tenor,"-",1-FE5)</f>
        <v>0.9999344789147524</v>
      </c>
      <c r="GC5" s="351">
        <f t="shared" ref="GC5:GC44" ca="1" si="170">IF($AN5&gt;CDS.Tenor,"-",1-FF5)</f>
        <v>0.9999895387742348</v>
      </c>
      <c r="GD5" s="351">
        <f t="shared" ref="GD5:GD44" ca="1" si="171">IF($AN5&gt;CDS.Tenor,"-",1-FG5)</f>
        <v>0.9999986011075489</v>
      </c>
      <c r="GE5" s="351">
        <f t="shared" ref="GE5:GE44" ca="1" si="172">IF($AN5&gt;CDS.Tenor,"-",1-FH5)</f>
        <v>0.99999984350583992</v>
      </c>
      <c r="GF5" s="351">
        <f t="shared" ref="GF5:GF44" ca="1" si="173">IF($AN5&gt;CDS.Tenor,"-",1-FI5)</f>
        <v>0.99999998536715862</v>
      </c>
      <c r="GG5" s="351">
        <f t="shared" ref="GG5:GG44" ca="1" si="174">IF($AN5&gt;CDS.Tenor,"-",1-FJ5)</f>
        <v>0.99999999885724733</v>
      </c>
      <c r="GH5" s="351">
        <f t="shared" ref="GH5:GH44" ca="1" si="175">IF($AN5&gt;CDS.Tenor,"-",1-FK5)</f>
        <v>0.99999999992550948</v>
      </c>
      <c r="GI5" s="351">
        <f t="shared" ref="GI5:GI44" ca="1" si="176">IF($AN5&gt;CDS.Tenor,"-",1-FL5)</f>
        <v>0.99999999999594913</v>
      </c>
      <c r="GJ5" s="351">
        <f t="shared" ref="GJ5:GJ44" ca="1" si="177">IF($AN5&gt;CDS.Tenor,"-",1-FM5)</f>
        <v>0.99999999999981626</v>
      </c>
      <c r="GK5" s="351">
        <f t="shared" ref="GK5:GK44" ca="1" si="178">IF($AN5&gt;CDS.Tenor,"-",1-FN5)</f>
        <v>0.99999999999999301</v>
      </c>
      <c r="GL5" s="352">
        <f t="shared" ref="GL5:GL44" ca="1" si="179">IF($AN5&gt;CDS.Tenor,"-",1-FO5)</f>
        <v>0.99999999999999978</v>
      </c>
      <c r="GO5" s="357">
        <f t="shared" ref="GO5:GO44" si="180">$AN5</f>
        <v>0.25</v>
      </c>
      <c r="GP5" s="351">
        <f t="shared" ref="GP5:GP44" ca="1" si="181">IF($GO5&gt;CDS.Tenor,"-",BR5*DR5*FR5)</f>
        <v>0.15703402698755356</v>
      </c>
      <c r="GQ5" s="351">
        <f t="shared" ref="GQ5:GQ44" ca="1" si="182">IF($GO5&gt;CDS.Tenor,"-",BS5*DS5*FS5)</f>
        <v>0.30620866760552162</v>
      </c>
      <c r="GR5" s="351">
        <f t="shared" ref="GR5:GR44" ca="1" si="183">IF($GO5&gt;CDS.Tenor,"-",BT5*DT5*FT5)</f>
        <v>0.49232926805488891</v>
      </c>
      <c r="GS5" s="351">
        <f t="shared" ref="GS5:GS44" ca="1" si="184">IF($GO5&gt;CDS.Tenor,"-",BU5*DU5*FU5)</f>
        <v>0.67514256730378963</v>
      </c>
      <c r="GT5" s="351">
        <f t="shared" ref="GT5:GT44" ca="1" si="185">IF($GO5&gt;CDS.Tenor,"-",BV5*DV5*FV5)</f>
        <v>0.81916554674510489</v>
      </c>
      <c r="GU5" s="351">
        <f t="shared" ref="GU5:GU44" ca="1" si="186">IF($GO5&gt;CDS.Tenor,"-",BW5*DW5*FW5)</f>
        <v>0.91202134975625249</v>
      </c>
      <c r="GV5" s="351">
        <f t="shared" ref="GV5:GV44" ca="1" si="187">IF($GO5&gt;CDS.Tenor,"-",BX5*DX5*FX5)</f>
        <v>0.96208795109717482</v>
      </c>
      <c r="GW5" s="351">
        <f t="shared" ref="GW5:GW44" ca="1" si="188">IF($GO5&gt;CDS.Tenor,"-",BY5*DY5*FY5)</f>
        <v>0.98521478734296686</v>
      </c>
      <c r="GX5" s="351">
        <f t="shared" ref="GX5:GX44" ca="1" si="189">IF($GO5&gt;CDS.Tenor,"-",BZ5*DZ5*FZ5)</f>
        <v>0.99463059323360037</v>
      </c>
      <c r="GY5" s="351">
        <f t="shared" ref="GY5:GY44" ca="1" si="190">IF($GO5&gt;CDS.Tenor,"-",CA5*EA5*GA5)</f>
        <v>0.99812735360704807</v>
      </c>
      <c r="GZ5" s="351">
        <f t="shared" ref="GZ5:GZ44" ca="1" si="191">IF($GO5&gt;CDS.Tenor,"-",CB5*EB5*GB5)</f>
        <v>0.99935767175399992</v>
      </c>
      <c r="HA5" s="351">
        <f t="shared" ref="HA5:HA44" ca="1" si="192">IF($GO5&gt;CDS.Tenor,"-",CC5*EC5*GC5)</f>
        <v>0.99978140281036576</v>
      </c>
      <c r="HB5" s="351">
        <f t="shared" ref="HB5:HB44" ca="1" si="193">IF($GO5&gt;CDS.Tenor,"-",CD5*ED5*GD5)</f>
        <v>0.99992659217016022</v>
      </c>
      <c r="HC5" s="351">
        <f t="shared" ref="HC5:HC44" ca="1" si="194">IF($GO5&gt;CDS.Tenor,"-",CE5*EE5*GE5)</f>
        <v>0.99997596258717425</v>
      </c>
      <c r="HD5" s="351">
        <f t="shared" ref="HD5:HD44" ca="1" si="195">IF($GO5&gt;CDS.Tenor,"-",CF5*EF5*GF5)</f>
        <v>0.99999241228272062</v>
      </c>
      <c r="HE5" s="351">
        <f t="shared" ref="HE5:HE44" ca="1" si="196">IF($GO5&gt;CDS.Tenor,"-",CG5*EG5*GG5)</f>
        <v>0.99999771069135424</v>
      </c>
      <c r="HF5" s="351">
        <f t="shared" ref="HF5:HF44" ca="1" si="197">IF($GO5&gt;CDS.Tenor,"-",CH5*EH5*GH5)</f>
        <v>0.99999934365997467</v>
      </c>
      <c r="HG5" s="351">
        <f t="shared" ref="HG5:HG44" ca="1" si="198">IF($GO5&gt;CDS.Tenor,"-",CI5*EI5*GI5)</f>
        <v>0.99999982189564407</v>
      </c>
      <c r="HH5" s="351">
        <f t="shared" ref="HH5:HH44" ca="1" si="199">IF($GO5&gt;CDS.Tenor,"-",CJ5*EJ5*GJ5)</f>
        <v>0.99999995437555811</v>
      </c>
      <c r="HI5" s="351">
        <f t="shared" ref="HI5:HI44" ca="1" si="200">IF($GO5&gt;CDS.Tenor,"-",CK5*EK5*GK5)</f>
        <v>0.99999998898587039</v>
      </c>
      <c r="HJ5" s="352">
        <f t="shared" ref="HJ5:HJ44" ca="1" si="201">IF($GO5&gt;CDS.Tenor,"-",CL5*EL5*GL5)</f>
        <v>0.99999999749700896</v>
      </c>
      <c r="HK5" s="42"/>
      <c r="HL5" s="42"/>
      <c r="HM5" s="357">
        <f t="shared" ref="HM5:HM44" si="202">$AN5</f>
        <v>0.25</v>
      </c>
      <c r="HN5" s="360">
        <f t="shared" ref="HN5:HN44" ca="1" si="203">IF($HM5&gt;CDS.Tenor,"-",SUMPRODUCT($GP5:$HJ5,$GP$4:$HJ$4)*dm)</f>
        <v>0.99550875774013869</v>
      </c>
      <c r="HO5" s="361">
        <f t="shared" ref="HO5:HO44" ca="1" si="204">IF($HM5&gt;CDS.Tenor,"-",HN4-HN5)</f>
        <v>4.4912422598613055E-3</v>
      </c>
    </row>
    <row r="6" spans="2:244" x14ac:dyDescent="0.3">
      <c r="B6" s="114" t="s">
        <v>113</v>
      </c>
      <c r="C6" s="115"/>
      <c r="D6" s="154" t="s">
        <v>114</v>
      </c>
      <c r="F6" s="387">
        <v>0.3</v>
      </c>
      <c r="G6" s="419" t="s">
        <v>382</v>
      </c>
      <c r="H6" s="350"/>
      <c r="J6" t="s">
        <v>381</v>
      </c>
      <c r="N6" t="s">
        <v>378</v>
      </c>
      <c r="T6" s="340"/>
      <c r="U6" s="340"/>
      <c r="V6" s="370">
        <f t="shared" si="89"/>
        <v>0.5</v>
      </c>
      <c r="W6" s="371">
        <f t="shared" si="90"/>
        <v>-25000</v>
      </c>
      <c r="X6" s="348">
        <f t="shared" ca="1" si="91"/>
        <v>0.99110586872973583</v>
      </c>
      <c r="Y6" s="348">
        <f t="shared" ca="1" si="92"/>
        <v>4.4028890104028662E-3</v>
      </c>
      <c r="Z6" s="372" cm="1">
        <f t="array" ref="Z6">IF($V6&gt;CDS.Tenor,"-",cubicInterpolation(CurveResults.Times,CurveResults.DFs,$V6))</f>
        <v>0.97728436827331244</v>
      </c>
      <c r="AA6" s="371">
        <f t="shared" ca="1" si="93"/>
        <v>-24214.80682033781</v>
      </c>
      <c r="AB6" s="371">
        <f t="shared" ca="1" si="94"/>
        <v>-53.78593256386344</v>
      </c>
      <c r="AC6" s="373">
        <f t="shared" ca="1" si="95"/>
        <v>-24268.592752901674</v>
      </c>
      <c r="AF6" s="370">
        <f t="shared" si="96"/>
        <v>0.5</v>
      </c>
      <c r="AG6" s="371">
        <f t="shared" si="97"/>
        <v>6000000</v>
      </c>
      <c r="AH6" s="348">
        <f t="shared" ca="1" si="98"/>
        <v>0.99110586872973583</v>
      </c>
      <c r="AI6" s="348">
        <f t="shared" ca="1" si="99"/>
        <v>4.4028890104028662E-3</v>
      </c>
      <c r="AJ6" s="372" cm="1">
        <f t="array" ref="AJ6">IF($AF6&gt;CDS.Tenor,"-",cubicInterpolation(CurveResults.Times,CurveResults.DFs,$V6))</f>
        <v>0.97728436827331244</v>
      </c>
      <c r="AK6" s="373">
        <f t="shared" ca="1" si="100"/>
        <v>25817.247630654449</v>
      </c>
      <c r="AN6" s="358">
        <f t="shared" si="101"/>
        <v>0.5</v>
      </c>
      <c r="AO6" s="343" cm="1">
        <f t="array" aca="1" ref="AO6" ca="1">IF($AN6&gt;CDS.Tenor,"-",flatInterpolation(AM6,INDIRECT(HazardRateTimes1),INDIRECT(HazardRateValues1)))</f>
        <v>5.0000000000000001E-3</v>
      </c>
      <c r="AP6" s="10">
        <f t="shared" ca="1" si="102"/>
        <v>0.9975031223974602</v>
      </c>
      <c r="AQ6" s="10">
        <f t="shared" ca="1" si="103"/>
        <v>2.4968776025398043E-3</v>
      </c>
      <c r="AR6" s="81">
        <f t="shared" ca="1" si="104"/>
        <v>-2.8074363201932657</v>
      </c>
      <c r="AT6" s="358">
        <f t="shared" si="105"/>
        <v>0.5</v>
      </c>
      <c r="AU6" s="353">
        <f ca="1">IF($AN6&gt;CDS.Tenor,"-",_xlfn.NORM.S.DIST(($AR6-SQRT(Correlation1)*AU$3)/SQRT(1-Correlation1),TRUE))</f>
        <v>0.4745864255929495</v>
      </c>
      <c r="AV6" s="353">
        <f ca="1">IF($AN6&gt;CDS.Tenor,"-",_xlfn.NORM.S.DIST(($AR6-SQRT(Correlation1)*AV$3)/SQRT(1-Correlation1),TRUE))</f>
        <v>0.34688301052498516</v>
      </c>
      <c r="AW6" s="353">
        <f ca="1">IF($AN6&gt;CDS.Tenor,"-",_xlfn.NORM.S.DIST(($AR6-SQRT(Correlation1)*AW$3)/SQRT(1-Correlation1),TRUE))</f>
        <v>0.2346085742221774</v>
      </c>
      <c r="AX6" s="353">
        <f ca="1">IF($AN6&gt;CDS.Tenor,"-",_xlfn.NORM.S.DIST(($AR6-SQRT(Correlation1)*AX$3)/SQRT(1-Correlation1),TRUE))</f>
        <v>0.14599701877250973</v>
      </c>
      <c r="AY6" s="353">
        <f ca="1">IF($AN6&gt;CDS.Tenor,"-",_xlfn.NORM.S.DIST(($AR6-SQRT(Correlation1)*AY$3)/SQRT(1-Correlation1),TRUE))</f>
        <v>8.3215785523792676E-2</v>
      </c>
      <c r="AZ6" s="353">
        <f ca="1">IF($AN6&gt;CDS.Tenor,"-",_xlfn.NORM.S.DIST(($AR6-SQRT(Correlation1)*AZ$3)/SQRT(1-Correlation1),TRUE))</f>
        <v>4.3285930031356938E-2</v>
      </c>
      <c r="BA6" s="353">
        <f ca="1">IF($AN6&gt;CDS.Tenor,"-",_xlfn.NORM.S.DIST(($AR6-SQRT(Correlation1)*BA$3)/SQRT(1-Correlation1),TRUE))</f>
        <v>2.0488180856934653E-2</v>
      </c>
      <c r="BB6" s="353">
        <f ca="1">IF($AN6&gt;CDS.Tenor,"-",_xlfn.NORM.S.DIST(($AR6-SQRT(Correlation1)*BB$3)/SQRT(1-Correlation1),TRUE))</f>
        <v>8.8036846748014777E-3</v>
      </c>
      <c r="BC6" s="353">
        <f ca="1">IF($AN6&gt;CDS.Tenor,"-",_xlfn.NORM.S.DIST(($AR6-SQRT(Correlation1)*BC$3)/SQRT(1-Correlation1),TRUE))</f>
        <v>3.4278142862877148E-3</v>
      </c>
      <c r="BD6" s="353">
        <f ca="1">IF($AN6&gt;CDS.Tenor,"-",_xlfn.NORM.S.DIST(($AR6-SQRT(Correlation1)*BD$3)/SQRT(1-Correlation1),TRUE))</f>
        <v>1.2075487652766876E-3</v>
      </c>
      <c r="BE6" s="353">
        <f ca="1">IF($AN6&gt;CDS.Tenor,"-",_xlfn.NORM.S.DIST(($AR6-SQRT(Correlation1)*BE$3)/SQRT(1-Correlation1),TRUE))</f>
        <v>3.8440727880268653E-4</v>
      </c>
      <c r="BF6" s="353">
        <f ca="1">IF($AN6&gt;CDS.Tenor,"-",_xlfn.NORM.S.DIST(($AR6-SQRT(Correlation1)*BF$3)/SQRT(1-Correlation1),TRUE))</f>
        <v>1.1046867579325579E-4</v>
      </c>
      <c r="BG6" s="353">
        <f ca="1">IF($AN6&gt;CDS.Tenor,"-",_xlfn.NORM.S.DIST(($AR6-SQRT(Correlation1)*BG$3)/SQRT(1-Correlation1),TRUE))</f>
        <v>2.8634165300090375E-5</v>
      </c>
      <c r="BH6" s="353">
        <f ca="1">IF($AN6&gt;CDS.Tenor,"-",_xlfn.NORM.S.DIST(($AR6-SQRT(Correlation1)*BH$3)/SQRT(1-Correlation1),TRUE))</f>
        <v>6.6899919927351747E-6</v>
      </c>
      <c r="BI6" s="353">
        <f ca="1">IF($AN6&gt;CDS.Tenor,"-",_xlfn.NORM.S.DIST(($AR6-SQRT(Correlation1)*BI$3)/SQRT(1-Correlation1),TRUE))</f>
        <v>1.4080201076007154E-6</v>
      </c>
      <c r="BJ6" s="353">
        <f ca="1">IF($AN6&gt;CDS.Tenor,"-",_xlfn.NORM.S.DIST(($AR6-SQRT(Correlation1)*BJ$3)/SQRT(1-Correlation1),TRUE))</f>
        <v>2.6682105308371519E-7</v>
      </c>
      <c r="BK6" s="353">
        <f ca="1">IF($AN6&gt;CDS.Tenor,"-",_xlfn.NORM.S.DIST(($AR6-SQRT(Correlation1)*BK$3)/SQRT(1-Correlation1),TRUE))</f>
        <v>4.5506880231630199E-8</v>
      </c>
      <c r="BL6" s="353">
        <f ca="1">IF($AN6&gt;CDS.Tenor,"-",_xlfn.NORM.S.DIST(($AR6-SQRT(Correlation1)*BL$3)/SQRT(1-Correlation1),TRUE))</f>
        <v>6.9827051939030121E-9</v>
      </c>
      <c r="BM6" s="353">
        <f ca="1">IF($AN6&gt;CDS.Tenor,"-",_xlfn.NORM.S.DIST(($AR6-SQRT(Correlation1)*BM$3)/SQRT(1-Correlation1),TRUE))</f>
        <v>9.6366385807175823E-10</v>
      </c>
      <c r="BN6" s="353">
        <f ca="1">IF($AN6&gt;CDS.Tenor,"-",_xlfn.NORM.S.DIST(($AR6-SQRT(Correlation1)*BN$3)/SQRT(1-Correlation1),TRUE))</f>
        <v>1.195820911061574E-10</v>
      </c>
      <c r="BO6" s="354">
        <f ca="1">IF($AN6&gt;CDS.Tenor,"-",_xlfn.NORM.S.DIST(($AR6-SQRT(Correlation1)*BO$3)/SQRT(1-Correlation1),TRUE))</f>
        <v>1.3339633748587497E-11</v>
      </c>
      <c r="BQ6" s="358">
        <f t="shared" si="106"/>
        <v>0.5</v>
      </c>
      <c r="BR6" s="353">
        <f t="shared" ca="1" si="107"/>
        <v>0.5254135744070505</v>
      </c>
      <c r="BS6" s="353">
        <f t="shared" ca="1" si="108"/>
        <v>0.65311698947501484</v>
      </c>
      <c r="BT6" s="353">
        <f t="shared" ca="1" si="109"/>
        <v>0.7653914257778226</v>
      </c>
      <c r="BU6" s="353">
        <f t="shared" ca="1" si="110"/>
        <v>0.8540029812274903</v>
      </c>
      <c r="BV6" s="353">
        <f t="shared" ca="1" si="111"/>
        <v>0.91678421447620728</v>
      </c>
      <c r="BW6" s="353">
        <f t="shared" ca="1" si="112"/>
        <v>0.95671406996864305</v>
      </c>
      <c r="BX6" s="353">
        <f t="shared" ca="1" si="113"/>
        <v>0.9795118191430654</v>
      </c>
      <c r="BY6" s="353">
        <f t="shared" ca="1" si="114"/>
        <v>0.99119631532519847</v>
      </c>
      <c r="BZ6" s="353">
        <f t="shared" ca="1" si="115"/>
        <v>0.99657218571371231</v>
      </c>
      <c r="CA6" s="353">
        <f t="shared" ca="1" si="116"/>
        <v>0.99879245123472327</v>
      </c>
      <c r="CB6" s="353">
        <f t="shared" ca="1" si="117"/>
        <v>0.99961559272119727</v>
      </c>
      <c r="CC6" s="353">
        <f t="shared" ca="1" si="118"/>
        <v>0.99988953132420677</v>
      </c>
      <c r="CD6" s="353">
        <f t="shared" ca="1" si="119"/>
        <v>0.99997136583469992</v>
      </c>
      <c r="CE6" s="353">
        <f t="shared" ca="1" si="120"/>
        <v>0.99999331000800729</v>
      </c>
      <c r="CF6" s="353">
        <f t="shared" ca="1" si="121"/>
        <v>0.99999859197989238</v>
      </c>
      <c r="CG6" s="353">
        <f t="shared" ca="1" si="122"/>
        <v>0.99999973317894697</v>
      </c>
      <c r="CH6" s="353">
        <f t="shared" ca="1" si="123"/>
        <v>0.99999995449311974</v>
      </c>
      <c r="CI6" s="353">
        <f t="shared" ca="1" si="124"/>
        <v>0.99999999301729481</v>
      </c>
      <c r="CJ6" s="353">
        <f t="shared" ca="1" si="125"/>
        <v>0.99999999903633618</v>
      </c>
      <c r="CK6" s="353">
        <f t="shared" ca="1" si="126"/>
        <v>0.99999999988041788</v>
      </c>
      <c r="CL6" s="354">
        <f t="shared" ca="1" si="127"/>
        <v>0.99999999998666034</v>
      </c>
      <c r="CM6" s="17"/>
      <c r="CN6" s="17"/>
      <c r="CO6" s="343" cm="1">
        <f t="array" aca="1" ref="CO6" ca="1">IF($AN6&gt;CDS.Tenor,"-",flatInterpolation(AN6,INDIRECT(HazardRateTimes2),INDIRECT(HazardRateValues2)))</f>
        <v>5.8333333333333336E-3</v>
      </c>
      <c r="CP6" s="10">
        <f t="shared" ca="1" si="128"/>
        <v>0.99708758267324893</v>
      </c>
      <c r="CQ6" s="10">
        <f t="shared" ca="1" si="129"/>
        <v>2.9124173267510711E-3</v>
      </c>
      <c r="CR6" s="81">
        <f t="shared" ca="1" si="130"/>
        <v>-2.7574824132146483</v>
      </c>
      <c r="CT6" s="358">
        <f t="shared" si="131"/>
        <v>0.5</v>
      </c>
      <c r="CU6" s="353">
        <f ca="1">IF($AN6&gt;CDS.Tenor,"-",_xlfn.NORM.S.DIST(($CR6-SQRT(Correlation2)*CU$3)/SQRT(1-Correlation2),TRUE))</f>
        <v>0.28380696148073253</v>
      </c>
      <c r="CV6" s="353">
        <f ca="1">IF($AN6&gt;CDS.Tenor,"-",_xlfn.NORM.S.DIST(($CR6-SQRT(Correlation2)*CV$3)/SQRT(1-Correlation2),TRUE))</f>
        <v>0.20523062687411325</v>
      </c>
      <c r="CW6" s="353">
        <f ca="1">IF($AN6&gt;CDS.Tenor,"-",_xlfn.NORM.S.DIST(($CR6-SQRT(Correlation2)*CW$3)/SQRT(1-Correlation2),TRUE))</f>
        <v>0.14127798494396845</v>
      </c>
      <c r="CX6" s="353">
        <f ca="1">IF($AN6&gt;CDS.Tenor,"-",_xlfn.NORM.S.DIST(($CR6-SQRT(Correlation2)*CX$3)/SQRT(1-Correlation2),TRUE))</f>
        <v>9.2401905615640531E-2</v>
      </c>
      <c r="CY6" s="353">
        <f ca="1">IF($AN6&gt;CDS.Tenor,"-",_xlfn.NORM.S.DIST(($CR6-SQRT(Correlation2)*CY$3)/SQRT(1-Correlation2),TRUE))</f>
        <v>5.7326303581224293E-2</v>
      </c>
      <c r="CZ6" s="353">
        <f ca="1">IF($AN6&gt;CDS.Tenor,"-",_xlfn.NORM.S.DIST(($CR6-SQRT(Correlation2)*CZ$3)/SQRT(1-Correlation2),TRUE))</f>
        <v>3.3689730669481201E-2</v>
      </c>
      <c r="DA6" s="353">
        <f ca="1">IF($AN6&gt;CDS.Tenor,"-",_xlfn.NORM.S.DIST(($CR6-SQRT(Correlation2)*DA$3)/SQRT(1-Correlation2),TRUE))</f>
        <v>1.8733087710270692E-2</v>
      </c>
      <c r="DB6" s="353">
        <f ca="1">IF($AN6&gt;CDS.Tenor,"-",_xlfn.NORM.S.DIST(($CR6-SQRT(Correlation2)*DB$3)/SQRT(1-Correlation2),TRUE))</f>
        <v>9.8461205108321403E-3</v>
      </c>
      <c r="DC6" s="353">
        <f ca="1">IF($AN6&gt;CDS.Tenor,"-",_xlfn.NORM.S.DIST(($CR6-SQRT(Correlation2)*DC$3)/SQRT(1-Correlation2),TRUE))</f>
        <v>4.8877109735984484E-3</v>
      </c>
      <c r="DD6" s="353">
        <f ca="1">IF($AN6&gt;CDS.Tenor,"-",_xlfn.NORM.S.DIST(($CR6-SQRT(Correlation2)*DD$3)/SQRT(1-Correlation2),TRUE))</f>
        <v>2.2899447986673661E-3</v>
      </c>
      <c r="DE6" s="353">
        <f ca="1">IF($AN6&gt;CDS.Tenor,"-",_xlfn.NORM.S.DIST(($CR6-SQRT(Correlation2)*DE$3)/SQRT(1-Correlation2),TRUE))</f>
        <v>1.0119590963032152E-3</v>
      </c>
      <c r="DF6" s="353">
        <f ca="1">IF($AN6&gt;CDS.Tenor,"-",_xlfn.NORM.S.DIST(($CR6-SQRT(Correlation2)*DF$3)/SQRT(1-Correlation2),TRUE))</f>
        <v>4.2159548196163692E-4</v>
      </c>
      <c r="DG6" s="353">
        <f ca="1">IF($AN6&gt;CDS.Tenor,"-",_xlfn.NORM.S.DIST(($CR6-SQRT(Correlation2)*DG$3)/SQRT(1-Correlation2),TRUE))</f>
        <v>1.6551283693668235E-4</v>
      </c>
      <c r="DH6" s="353">
        <f ca="1">IF($AN6&gt;CDS.Tenor,"-",_xlfn.NORM.S.DIST(($CR6-SQRT(Correlation2)*DH$3)/SQRT(1-Correlation2),TRUE))</f>
        <v>6.1207395912052774E-5</v>
      </c>
      <c r="DI6" s="353">
        <f ca="1">IF($AN6&gt;CDS.Tenor,"-",_xlfn.NORM.S.DIST(($CR6-SQRT(Correlation2)*DI$3)/SQRT(1-Correlation2),TRUE))</f>
        <v>2.1314160282803888E-5</v>
      </c>
      <c r="DJ6" s="353">
        <f ca="1">IF($AN6&gt;CDS.Tenor,"-",_xlfn.NORM.S.DIST(($CR6-SQRT(Correlation2)*DJ$3)/SQRT(1-Correlation2),TRUE))</f>
        <v>6.9871284929038672E-6</v>
      </c>
      <c r="DK6" s="353">
        <f ca="1">IF($AN6&gt;CDS.Tenor,"-",_xlfn.NORM.S.DIST(($CR6-SQRT(Correlation2)*DK$3)/SQRT(1-Correlation2),TRUE))</f>
        <v>2.1556840710674665E-6</v>
      </c>
      <c r="DL6" s="353">
        <f ca="1">IF($AN6&gt;CDS.Tenor,"-",_xlfn.NORM.S.DIST(($CR6-SQRT(Correlation2)*DL$3)/SQRT(1-Correlation2),TRUE))</f>
        <v>6.2579252007737728E-7</v>
      </c>
      <c r="DM6" s="353">
        <f ca="1">IF($AN6&gt;CDS.Tenor,"-",_xlfn.NORM.S.DIST(($CR6-SQRT(Correlation2)*DM$3)/SQRT(1-Correlation2),TRUE))</f>
        <v>1.7090266587725186E-7</v>
      </c>
      <c r="DN6" s="353">
        <f ca="1">IF($AN6&gt;CDS.Tenor,"-",_xlfn.NORM.S.DIST(($CR6-SQRT(Correlation2)*DN$3)/SQRT(1-Correlation2),TRUE))</f>
        <v>4.390000740079215E-8</v>
      </c>
      <c r="DO6" s="354">
        <f ca="1">IF($AN6&gt;CDS.Tenor,"-",_xlfn.NORM.S.DIST(($CR6-SQRT(Correlation2)*DO$3)/SQRT(1-Correlation2),TRUE))</f>
        <v>1.0604985684897158E-8</v>
      </c>
      <c r="DQ6" s="358">
        <f t="shared" si="132"/>
        <v>0.5</v>
      </c>
      <c r="DR6" s="353">
        <f t="shared" ca="1" si="133"/>
        <v>0.71619303851926741</v>
      </c>
      <c r="DS6" s="353">
        <f t="shared" ca="1" si="134"/>
        <v>0.79476937312588669</v>
      </c>
      <c r="DT6" s="353">
        <f t="shared" ca="1" si="135"/>
        <v>0.85872201505603152</v>
      </c>
      <c r="DU6" s="353">
        <f t="shared" ca="1" si="136"/>
        <v>0.90759809438435946</v>
      </c>
      <c r="DV6" s="353">
        <f t="shared" ca="1" si="137"/>
        <v>0.94267369641877574</v>
      </c>
      <c r="DW6" s="353">
        <f t="shared" ca="1" si="138"/>
        <v>0.96631026933051878</v>
      </c>
      <c r="DX6" s="353">
        <f t="shared" ca="1" si="139"/>
        <v>0.98126691228972929</v>
      </c>
      <c r="DY6" s="353">
        <f t="shared" ca="1" si="140"/>
        <v>0.99015387948916789</v>
      </c>
      <c r="DZ6" s="353">
        <f t="shared" ca="1" si="141"/>
        <v>0.99511228902640159</v>
      </c>
      <c r="EA6" s="353">
        <f t="shared" ca="1" si="142"/>
        <v>0.9977100552013326</v>
      </c>
      <c r="EB6" s="353">
        <f t="shared" ca="1" si="143"/>
        <v>0.99898804090369675</v>
      </c>
      <c r="EC6" s="353">
        <f t="shared" ca="1" si="144"/>
        <v>0.99957840451803837</v>
      </c>
      <c r="ED6" s="353">
        <f t="shared" ca="1" si="145"/>
        <v>0.99983448716306333</v>
      </c>
      <c r="EE6" s="353">
        <f t="shared" ca="1" si="146"/>
        <v>0.99993879260408791</v>
      </c>
      <c r="EF6" s="353">
        <f t="shared" ca="1" si="147"/>
        <v>0.99997868583971716</v>
      </c>
      <c r="EG6" s="353">
        <f t="shared" ca="1" si="148"/>
        <v>0.9999930128715071</v>
      </c>
      <c r="EH6" s="353">
        <f t="shared" ca="1" si="149"/>
        <v>0.99999784431592897</v>
      </c>
      <c r="EI6" s="353">
        <f t="shared" ca="1" si="150"/>
        <v>0.99999937420747997</v>
      </c>
      <c r="EJ6" s="353">
        <f t="shared" ca="1" si="151"/>
        <v>0.99999982909733409</v>
      </c>
      <c r="EK6" s="353">
        <f t="shared" ca="1" si="152"/>
        <v>0.99999995609999259</v>
      </c>
      <c r="EL6" s="354">
        <f t="shared" ca="1" si="153"/>
        <v>0.99999998939501433</v>
      </c>
      <c r="EM6" s="17"/>
      <c r="EN6" s="17"/>
      <c r="EO6" s="343" cm="1">
        <f t="array" aca="1" ref="EO6" ca="1">IF($AN6&gt;CDS.Tenor,"-",flatInterpolation(CP6,INDIRECT(HazardRateTimes3),INDIRECT(HazardRateValues3)))</f>
        <v>7.4999999999999997E-3</v>
      </c>
      <c r="EP6" s="10">
        <f t="shared" ca="1" si="154"/>
        <v>0.99625702246917114</v>
      </c>
      <c r="EQ6" s="10">
        <f t="shared" ca="1" si="155"/>
        <v>3.7429775308288615E-3</v>
      </c>
      <c r="ER6" s="81">
        <f t="shared" ca="1" si="156"/>
        <v>-2.674415895292356</v>
      </c>
      <c r="ET6" s="358">
        <f t="shared" si="157"/>
        <v>0.5</v>
      </c>
      <c r="EU6" s="353">
        <f ca="1">IF($AN6&gt;CDS.Tenor,"-",_xlfn.NORM.S.DIST(($ER6-SQRT(Correlation3)*EU$3)/SQRT(1-Correlation3),TRUE))</f>
        <v>0.78074033260100917</v>
      </c>
      <c r="EV6" s="353">
        <f ca="1">IF($AN6&gt;CDS.Tenor,"-",_xlfn.NORM.S.DIST(($ER6-SQRT(Correlation3)*EV$3)/SQRT(1-Correlation3),TRUE))</f>
        <v>0.63471801230004177</v>
      </c>
      <c r="EW6" s="353">
        <f ca="1">IF($AN6&gt;CDS.Tenor,"-",_xlfn.NORM.S.DIST(($ER6-SQRT(Correlation3)*EW$3)/SQRT(1-Correlation3),TRUE))</f>
        <v>0.46575501514617246</v>
      </c>
      <c r="EX6" s="353">
        <f ca="1">IF($AN6&gt;CDS.Tenor,"-",_xlfn.NORM.S.DIST(($ER6-SQRT(Correlation3)*EX$3)/SQRT(1-Correlation3),TRUE))</f>
        <v>0.30283442846244291</v>
      </c>
      <c r="EY6" s="353">
        <f ca="1">IF($AN6&gt;CDS.Tenor,"-",_xlfn.NORM.S.DIST(($ER6-SQRT(Correlation3)*EY$3)/SQRT(1-Correlation3),TRUE))</f>
        <v>0.17192482906204387</v>
      </c>
      <c r="EZ6" s="353">
        <f ca="1">IF($AN6&gt;CDS.Tenor,"-",_xlfn.NORM.S.DIST(($ER6-SQRT(Correlation3)*EZ$3)/SQRT(1-Correlation3),TRUE))</f>
        <v>8.4270533508622736E-2</v>
      </c>
      <c r="FA6" s="353">
        <f ca="1">IF($AN6&gt;CDS.Tenor,"-",_xlfn.NORM.S.DIST(($ER6-SQRT(Correlation3)*FA$3)/SQRT(1-Correlation3),TRUE))</f>
        <v>3.5363419578141327E-2</v>
      </c>
      <c r="FB6" s="353">
        <f ca="1">IF($AN6&gt;CDS.Tenor,"-",_xlfn.NORM.S.DIST(($ER6-SQRT(Correlation3)*FB$3)/SQRT(1-Correlation3),TRUE))</f>
        <v>1.2625276314794379E-2</v>
      </c>
      <c r="FC6" s="353">
        <f ca="1">IF($AN6&gt;CDS.Tenor,"-",_xlfn.NORM.S.DIST(($ER6-SQRT(Correlation3)*FC$3)/SQRT(1-Correlation3),TRUE))</f>
        <v>3.8167070162257693E-3</v>
      </c>
      <c r="FD6" s="353">
        <f ca="1">IF($AN6&gt;CDS.Tenor,"-",_xlfn.NORM.S.DIST(($ER6-SQRT(Correlation3)*FD$3)/SQRT(1-Correlation3),TRUE))</f>
        <v>9.7353606018516642E-4</v>
      </c>
      <c r="FE6" s="353">
        <f ca="1">IF($AN6&gt;CDS.Tenor,"-",_xlfn.NORM.S.DIST(($ER6-SQRT(Correlation3)*FE$3)/SQRT(1-Correlation3),TRUE))</f>
        <v>2.0895343309079923E-4</v>
      </c>
      <c r="FF6" s="353">
        <f ca="1">IF($AN6&gt;CDS.Tenor,"-",_xlfn.NORM.S.DIST(($ER6-SQRT(Correlation3)*FF$3)/SQRT(1-Correlation3),TRUE))</f>
        <v>3.7658894436662665E-5</v>
      </c>
      <c r="FG6" s="353">
        <f ca="1">IF($AN6&gt;CDS.Tenor,"-",_xlfn.NORM.S.DIST(($ER6-SQRT(Correlation3)*FG$3)/SQRT(1-Correlation3),TRUE))</f>
        <v>5.6897109697796314E-6</v>
      </c>
      <c r="FH6" s="353">
        <f ca="1">IF($AN6&gt;CDS.Tenor,"-",_xlfn.NORM.S.DIST(($ER6-SQRT(Correlation3)*FH$3)/SQRT(1-Correlation3),TRUE))</f>
        <v>7.1969612171598581E-7</v>
      </c>
      <c r="FI6" s="353">
        <f ca="1">IF($AN6&gt;CDS.Tenor,"-",_xlfn.NORM.S.DIST(($ER6-SQRT(Correlation3)*FI$3)/SQRT(1-Correlation3),TRUE))</f>
        <v>7.6135624256055691E-8</v>
      </c>
      <c r="FJ6" s="353">
        <f ca="1">IF($AN6&gt;CDS.Tenor,"-",_xlfn.NORM.S.DIST(($ER6-SQRT(Correlation3)*FJ$3)/SQRT(1-Correlation3),TRUE))</f>
        <v>6.7303163285962472E-9</v>
      </c>
      <c r="FK6" s="353">
        <f ca="1">IF($AN6&gt;CDS.Tenor,"-",_xlfn.NORM.S.DIST(($ER6-SQRT(Correlation3)*FK$3)/SQRT(1-Correlation3),TRUE))</f>
        <v>4.9680635719482487E-10</v>
      </c>
      <c r="FL6" s="353">
        <f ca="1">IF($AN6&gt;CDS.Tenor,"-",_xlfn.NORM.S.DIST(($ER6-SQRT(Correlation3)*FL$3)/SQRT(1-Correlation3),TRUE))</f>
        <v>3.0604841797950272E-11</v>
      </c>
      <c r="FM6" s="353">
        <f ca="1">IF($AN6&gt;CDS.Tenor,"-",_xlfn.NORM.S.DIST(($ER6-SQRT(Correlation3)*FM$3)/SQRT(1-Correlation3),TRUE))</f>
        <v>1.5726526999525435E-12</v>
      </c>
      <c r="FN6" s="353">
        <f ca="1">IF($AN6&gt;CDS.Tenor,"-",_xlfn.NORM.S.DIST(($ER6-SQRT(Correlation3)*FN$3)/SQRT(1-Correlation3),TRUE))</f>
        <v>6.7380852119847495E-14</v>
      </c>
      <c r="FO6" s="354">
        <f ca="1">IF($AN6&gt;CDS.Tenor,"-",_xlfn.NORM.S.DIST(($ER6-SQRT(Correlation3)*FO$3)/SQRT(1-Correlation3),TRUE))</f>
        <v>2.406296135042731E-15</v>
      </c>
      <c r="FQ6" s="358">
        <f t="shared" si="158"/>
        <v>0.5</v>
      </c>
      <c r="FR6" s="353">
        <f t="shared" ca="1" si="159"/>
        <v>0.21925966739899083</v>
      </c>
      <c r="FS6" s="353">
        <f t="shared" ca="1" si="160"/>
        <v>0.36528198769995823</v>
      </c>
      <c r="FT6" s="353">
        <f t="shared" ca="1" si="161"/>
        <v>0.53424498485382754</v>
      </c>
      <c r="FU6" s="353">
        <f t="shared" ca="1" si="162"/>
        <v>0.69716557153755709</v>
      </c>
      <c r="FV6" s="353">
        <f t="shared" ca="1" si="163"/>
        <v>0.82807517093795613</v>
      </c>
      <c r="FW6" s="353">
        <f t="shared" ca="1" si="164"/>
        <v>0.91572946649137732</v>
      </c>
      <c r="FX6" s="353">
        <f t="shared" ca="1" si="165"/>
        <v>0.96463658042185862</v>
      </c>
      <c r="FY6" s="353">
        <f t="shared" ca="1" si="166"/>
        <v>0.98737472368520562</v>
      </c>
      <c r="FZ6" s="353">
        <f t="shared" ca="1" si="167"/>
        <v>0.99618329298377428</v>
      </c>
      <c r="GA6" s="353">
        <f t="shared" ca="1" si="168"/>
        <v>0.99902646393981487</v>
      </c>
      <c r="GB6" s="353">
        <f t="shared" ca="1" si="169"/>
        <v>0.9997910465669092</v>
      </c>
      <c r="GC6" s="353">
        <f t="shared" ca="1" si="170"/>
        <v>0.99996234110556337</v>
      </c>
      <c r="GD6" s="353">
        <f t="shared" ca="1" si="171"/>
        <v>0.99999431028903019</v>
      </c>
      <c r="GE6" s="353">
        <f t="shared" ca="1" si="172"/>
        <v>0.9999992803038783</v>
      </c>
      <c r="GF6" s="353">
        <f t="shared" ca="1" si="173"/>
        <v>0.99999992386437575</v>
      </c>
      <c r="GG6" s="353">
        <f t="shared" ca="1" si="174"/>
        <v>0.9999999932696837</v>
      </c>
      <c r="GH6" s="353">
        <f t="shared" ca="1" si="175"/>
        <v>0.99999999950319363</v>
      </c>
      <c r="GI6" s="353">
        <f t="shared" ca="1" si="176"/>
        <v>0.99999999996939515</v>
      </c>
      <c r="GJ6" s="353">
        <f t="shared" ca="1" si="177"/>
        <v>0.99999999999842737</v>
      </c>
      <c r="GK6" s="353">
        <f t="shared" ca="1" si="178"/>
        <v>0.99999999999993261</v>
      </c>
      <c r="GL6" s="354">
        <f t="shared" ca="1" si="179"/>
        <v>0.99999999999999756</v>
      </c>
      <c r="GO6" s="358">
        <f t="shared" si="180"/>
        <v>0.5</v>
      </c>
      <c r="GP6" s="353">
        <f t="shared" ca="1" si="181"/>
        <v>8.2506874413697986E-2</v>
      </c>
      <c r="GQ6" s="353">
        <f t="shared" ca="1" si="182"/>
        <v>0.18960961724713915</v>
      </c>
      <c r="GR6" s="353">
        <f t="shared" ca="1" si="183"/>
        <v>0.35113703998816409</v>
      </c>
      <c r="GS6" s="353">
        <f t="shared" ca="1" si="184"/>
        <v>0.54036709350518008</v>
      </c>
      <c r="GT6" s="353">
        <f t="shared" ca="1" si="185"/>
        <v>0.71564605047948993</v>
      </c>
      <c r="GU6" s="353">
        <f t="shared" ca="1" si="186"/>
        <v>0.84657598612158247</v>
      </c>
      <c r="GV6" s="353">
        <f t="shared" ca="1" si="187"/>
        <v>0.92717254419634587</v>
      </c>
      <c r="GW6" s="353">
        <f t="shared" ca="1" si="188"/>
        <v>0.96904596519753294</v>
      </c>
      <c r="GX6" s="353">
        <f t="shared" ca="1" si="189"/>
        <v>0.98791619586725266</v>
      </c>
      <c r="GY6" s="353">
        <f t="shared" ca="1" si="190"/>
        <v>0.99553513783994829</v>
      </c>
      <c r="GZ6" s="353">
        <f t="shared" ca="1" si="191"/>
        <v>0.99839536089050973</v>
      </c>
      <c r="HA6" s="353">
        <f t="shared" ca="1" si="192"/>
        <v>0.99943034355609717</v>
      </c>
      <c r="HB6" s="353">
        <f t="shared" ca="1" si="193"/>
        <v>0.99980016913072878</v>
      </c>
      <c r="HC6" s="353">
        <f t="shared" ca="1" si="194"/>
        <v>0.99993138337431575</v>
      </c>
      <c r="HD6" s="353">
        <f t="shared" ca="1" si="195"/>
        <v>0.99997720171572602</v>
      </c>
      <c r="HE6" s="353">
        <f t="shared" ca="1" si="196"/>
        <v>0.99999273932205091</v>
      </c>
      <c r="HF6" s="353">
        <f t="shared" ca="1" si="197"/>
        <v>0.99999779831234159</v>
      </c>
      <c r="HG6" s="353">
        <f t="shared" ca="1" si="198"/>
        <v>0.99999936719417426</v>
      </c>
      <c r="HH6" s="353">
        <f t="shared" ca="1" si="199"/>
        <v>0.99999982813209776</v>
      </c>
      <c r="HI6" s="353">
        <f t="shared" ca="1" si="200"/>
        <v>0.99999995598034308</v>
      </c>
      <c r="HJ6" s="354">
        <f t="shared" ca="1" si="201"/>
        <v>0.99999998938167223</v>
      </c>
      <c r="HK6" s="42"/>
      <c r="HL6" s="42"/>
      <c r="HM6" s="358">
        <f t="shared" si="202"/>
        <v>0.5</v>
      </c>
      <c r="HN6" s="362">
        <f t="shared" ca="1" si="203"/>
        <v>0.99110586872973583</v>
      </c>
      <c r="HO6" s="363">
        <f t="shared" ca="1" si="204"/>
        <v>4.4028890104028662E-3</v>
      </c>
    </row>
    <row r="7" spans="2:244" x14ac:dyDescent="0.3">
      <c r="B7" s="116" t="s">
        <v>339</v>
      </c>
      <c r="D7" s="50" t="s">
        <v>335</v>
      </c>
      <c r="K7" s="17"/>
      <c r="L7" s="340"/>
      <c r="M7" s="340"/>
      <c r="N7" s="418"/>
      <c r="O7" s="340"/>
      <c r="P7" s="340"/>
      <c r="Q7" s="340"/>
      <c r="R7" s="340"/>
      <c r="T7" s="28"/>
      <c r="U7" s="340"/>
      <c r="V7" s="370">
        <f t="shared" si="89"/>
        <v>0.75</v>
      </c>
      <c r="W7" s="371">
        <f t="shared" si="90"/>
        <v>-25000</v>
      </c>
      <c r="X7" s="348">
        <f t="shared" ca="1" si="91"/>
        <v>0.98676524878319727</v>
      </c>
      <c r="Y7" s="348">
        <f t="shared" ca="1" si="92"/>
        <v>4.3406199465385598E-3</v>
      </c>
      <c r="Z7" s="372" cm="1">
        <f t="array" ref="Z7">IF($V7&gt;CDS.Tenor,"-",cubicInterpolation(CurveResults.Times,CurveResults.DFs,$V7))</f>
        <v>0.96604126005158042</v>
      </c>
      <c r="AA7" s="371">
        <f t="shared" ca="1" si="93"/>
        <v>-23831.398607740779</v>
      </c>
      <c r="AB7" s="371">
        <f t="shared" ca="1" si="94"/>
        <v>-52.415224531989175</v>
      </c>
      <c r="AC7" s="373">
        <f t="shared" ca="1" si="95"/>
        <v>-23883.813832272768</v>
      </c>
      <c r="AF7" s="370">
        <f t="shared" si="96"/>
        <v>0.75</v>
      </c>
      <c r="AG7" s="371">
        <f t="shared" si="97"/>
        <v>6000000</v>
      </c>
      <c r="AH7" s="348">
        <f t="shared" ca="1" si="98"/>
        <v>0.98676524878319727</v>
      </c>
      <c r="AI7" s="348">
        <f t="shared" ca="1" si="99"/>
        <v>4.3406199465385598E-3</v>
      </c>
      <c r="AJ7" s="372" cm="1">
        <f t="array" ref="AJ7">IF($AF7&gt;CDS.Tenor,"-",cubicInterpolation(CurveResults.Times,CurveResults.DFs,$V7))</f>
        <v>0.96604126005158042</v>
      </c>
      <c r="AK7" s="373">
        <f t="shared" ca="1" si="100"/>
        <v>25159.307775354802</v>
      </c>
      <c r="AN7" s="358">
        <f t="shared" si="101"/>
        <v>0.75</v>
      </c>
      <c r="AO7" s="343" cm="1">
        <f t="array" aca="1" ref="AO7" ca="1">IF($AN7&gt;CDS.Tenor,"-",flatInterpolation(AM7,INDIRECT(HazardRateTimes1),INDIRECT(HazardRateValues1)))</f>
        <v>5.0000000000000001E-3</v>
      </c>
      <c r="AP7" s="10">
        <f t="shared" ca="1" si="102"/>
        <v>0.99625702246917114</v>
      </c>
      <c r="AQ7" s="10">
        <f t="shared" ca="1" si="103"/>
        <v>3.7429775308288615E-3</v>
      </c>
      <c r="AR7" s="81">
        <f t="shared" ca="1" si="104"/>
        <v>-2.674415895292356</v>
      </c>
      <c r="AT7" s="358">
        <f t="shared" si="105"/>
        <v>0.75</v>
      </c>
      <c r="AU7" s="353">
        <f ca="1">IF($AN7&gt;CDS.Tenor,"-",_xlfn.NORM.S.DIST(($AR7-SQRT(Correlation1)*AU$3)/SQRT(1-Correlation1),TRUE))</f>
        <v>0.53809496491042497</v>
      </c>
      <c r="AV7" s="353">
        <f ca="1">IF($AN7&gt;CDS.Tenor,"-",_xlfn.NORM.S.DIST(($AR7-SQRT(Correlation1)*AV$3)/SQRT(1-Correlation1),TRUE))</f>
        <v>0.40734948203486621</v>
      </c>
      <c r="AW7" s="353">
        <f ca="1">IF($AN7&gt;CDS.Tenor,"-",_xlfn.NORM.S.DIST(($AR7-SQRT(Correlation1)*AW$3)/SQRT(1-Correlation1),TRUE))</f>
        <v>0.28625037187240487</v>
      </c>
      <c r="AX7" s="353">
        <f ca="1">IF($AN7&gt;CDS.Tenor,"-",_xlfn.NORM.S.DIST(($AR7-SQRT(Correlation1)*AX$3)/SQRT(1-Correlation1),TRUE))</f>
        <v>0.18556029607696509</v>
      </c>
      <c r="AY7" s="353">
        <f ca="1">IF($AN7&gt;CDS.Tenor,"-",_xlfn.NORM.S.DIST(($AR7-SQRT(Correlation1)*AY$3)/SQRT(1-Correlation1),TRUE))</f>
        <v>0.11040441298145137</v>
      </c>
      <c r="AZ7" s="353">
        <f ca="1">IF($AN7&gt;CDS.Tenor,"-",_xlfn.NORM.S.DIST(($AR7-SQRT(Correlation1)*AZ$3)/SQRT(1-Correlation1),TRUE))</f>
        <v>6.0046405250562325E-2</v>
      </c>
      <c r="BA7" s="353">
        <f ca="1">IF($AN7&gt;CDS.Tenor,"-",_xlfn.NORM.S.DIST(($AR7-SQRT(Correlation1)*BA$3)/SQRT(1-Correlation1),TRUE))</f>
        <v>2.9756250113969037E-2</v>
      </c>
      <c r="BB7" s="353">
        <f ca="1">IF($AN7&gt;CDS.Tenor,"-",_xlfn.NORM.S.DIST(($AR7-SQRT(Correlation1)*BB$3)/SQRT(1-Correlation1),TRUE))</f>
        <v>1.340091180452185E-2</v>
      </c>
      <c r="BC7" s="353">
        <f ca="1">IF($AN7&gt;CDS.Tenor,"-",_xlfn.NORM.S.DIST(($AR7-SQRT(Correlation1)*BC$3)/SQRT(1-Correlation1),TRUE))</f>
        <v>5.4733460281592185E-3</v>
      </c>
      <c r="BD7" s="353">
        <f ca="1">IF($AN7&gt;CDS.Tenor,"-",_xlfn.NORM.S.DIST(($AR7-SQRT(Correlation1)*BD$3)/SQRT(1-Correlation1),TRUE))</f>
        <v>2.0239804552546446E-3</v>
      </c>
      <c r="BE7" s="353">
        <f ca="1">IF($AN7&gt;CDS.Tenor,"-",_xlfn.NORM.S.DIST(($AR7-SQRT(Correlation1)*BE$3)/SQRT(1-Correlation1),TRUE))</f>
        <v>6.7671253344597153E-4</v>
      </c>
      <c r="BF7" s="353">
        <f ca="1">IF($AN7&gt;CDS.Tenor,"-",_xlfn.NORM.S.DIST(($AR7-SQRT(Correlation1)*BF$3)/SQRT(1-Correlation1),TRUE))</f>
        <v>2.043450427416508E-4</v>
      </c>
      <c r="BG7" s="353">
        <f ca="1">IF($AN7&gt;CDS.Tenor,"-",_xlfn.NORM.S.DIST(($AR7-SQRT(Correlation1)*BG$3)/SQRT(1-Correlation1),TRUE))</f>
        <v>5.5678638467404249E-5</v>
      </c>
      <c r="BH7" s="353">
        <f ca="1">IF($AN7&gt;CDS.Tenor,"-",_xlfn.NORM.S.DIST(($AR7-SQRT(Correlation1)*BH$3)/SQRT(1-Correlation1),TRUE))</f>
        <v>1.367879936637932E-5</v>
      </c>
      <c r="BI7" s="353">
        <f ca="1">IF($AN7&gt;CDS.Tenor,"-",_xlfn.NORM.S.DIST(($AR7-SQRT(Correlation1)*BI$3)/SQRT(1-Correlation1),TRUE))</f>
        <v>3.0280744251859955E-6</v>
      </c>
      <c r="BJ7" s="353">
        <f ca="1">IF($AN7&gt;CDS.Tenor,"-",_xlfn.NORM.S.DIST(($AR7-SQRT(Correlation1)*BJ$3)/SQRT(1-Correlation1),TRUE))</f>
        <v>6.0368744466357093E-7</v>
      </c>
      <c r="BK7" s="353">
        <f ca="1">IF($AN7&gt;CDS.Tenor,"-",_xlfn.NORM.S.DIST(($AR7-SQRT(Correlation1)*BK$3)/SQRT(1-Correlation1),TRUE))</f>
        <v>1.0833976724500634E-7</v>
      </c>
      <c r="BL7" s="353">
        <f ca="1">IF($AN7&gt;CDS.Tenor,"-",_xlfn.NORM.S.DIST(($AR7-SQRT(Correlation1)*BL$3)/SQRT(1-Correlation1),TRUE))</f>
        <v>1.7495475165755022E-8</v>
      </c>
      <c r="BM7" s="353">
        <f ca="1">IF($AN7&gt;CDS.Tenor,"-",_xlfn.NORM.S.DIST(($AR7-SQRT(Correlation1)*BM$3)/SQRT(1-Correlation1),TRUE))</f>
        <v>2.5414483993093961E-9</v>
      </c>
      <c r="BN7" s="353">
        <f ca="1">IF($AN7&gt;CDS.Tenor,"-",_xlfn.NORM.S.DIST(($AR7-SQRT(Correlation1)*BN$3)/SQRT(1-Correlation1),TRUE))</f>
        <v>3.3199366070508609E-10</v>
      </c>
      <c r="BO7" s="354">
        <f ca="1">IF($AN7&gt;CDS.Tenor,"-",_xlfn.NORM.S.DIST(($AR7-SQRT(Correlation1)*BO$3)/SQRT(1-Correlation1),TRUE))</f>
        <v>3.8990858317729996E-11</v>
      </c>
      <c r="BQ7" s="358">
        <f t="shared" si="106"/>
        <v>0.75</v>
      </c>
      <c r="BR7" s="353">
        <f t="shared" ca="1" si="107"/>
        <v>0.46190503508957503</v>
      </c>
      <c r="BS7" s="353">
        <f t="shared" ca="1" si="108"/>
        <v>0.59265051796513379</v>
      </c>
      <c r="BT7" s="353">
        <f t="shared" ca="1" si="109"/>
        <v>0.71374962812759513</v>
      </c>
      <c r="BU7" s="353">
        <f t="shared" ca="1" si="110"/>
        <v>0.81443970392303489</v>
      </c>
      <c r="BV7" s="353">
        <f t="shared" ca="1" si="111"/>
        <v>0.88959558701854857</v>
      </c>
      <c r="BW7" s="353">
        <f t="shared" ca="1" si="112"/>
        <v>0.93995359474943763</v>
      </c>
      <c r="BX7" s="353">
        <f t="shared" ca="1" si="113"/>
        <v>0.97024374988603101</v>
      </c>
      <c r="BY7" s="353">
        <f t="shared" ca="1" si="114"/>
        <v>0.98659908819547815</v>
      </c>
      <c r="BZ7" s="353">
        <f t="shared" ca="1" si="115"/>
        <v>0.99452665397184081</v>
      </c>
      <c r="CA7" s="353">
        <f t="shared" ca="1" si="116"/>
        <v>0.99797601954474535</v>
      </c>
      <c r="CB7" s="353">
        <f t="shared" ca="1" si="117"/>
        <v>0.99932328746655408</v>
      </c>
      <c r="CC7" s="353">
        <f t="shared" ca="1" si="118"/>
        <v>0.99979565495725831</v>
      </c>
      <c r="CD7" s="353">
        <f t="shared" ca="1" si="119"/>
        <v>0.99994432136153255</v>
      </c>
      <c r="CE7" s="353">
        <f t="shared" ca="1" si="120"/>
        <v>0.99998632120063358</v>
      </c>
      <c r="CF7" s="353">
        <f t="shared" ca="1" si="121"/>
        <v>0.9999969719255748</v>
      </c>
      <c r="CG7" s="353">
        <f t="shared" ca="1" si="122"/>
        <v>0.9999993963125553</v>
      </c>
      <c r="CH7" s="353">
        <f t="shared" ca="1" si="123"/>
        <v>0.99999989166023273</v>
      </c>
      <c r="CI7" s="353">
        <f t="shared" ca="1" si="124"/>
        <v>0.99999998250452482</v>
      </c>
      <c r="CJ7" s="353">
        <f t="shared" ca="1" si="125"/>
        <v>0.99999999745855161</v>
      </c>
      <c r="CK7" s="353">
        <f t="shared" ca="1" si="126"/>
        <v>0.99999999966800635</v>
      </c>
      <c r="CL7" s="354">
        <f t="shared" ca="1" si="127"/>
        <v>0.99999999996100919</v>
      </c>
      <c r="CM7" s="17"/>
      <c r="CN7" s="17"/>
      <c r="CO7" s="343" cm="1">
        <f t="array" aca="1" ref="CO7" ca="1">IF($AN7&gt;CDS.Tenor,"-",flatInterpolation(AN7,INDIRECT(HazardRateTimes2),INDIRECT(HazardRateValues2)))</f>
        <v>5.8333333333333336E-3</v>
      </c>
      <c r="CP7" s="10">
        <f t="shared" ca="1" si="128"/>
        <v>0.99563455637104614</v>
      </c>
      <c r="CQ7" s="10">
        <f t="shared" ca="1" si="129"/>
        <v>4.3654436289538578E-3</v>
      </c>
      <c r="CR7" s="81">
        <f t="shared" ca="1" si="130"/>
        <v>-2.6224156678707979</v>
      </c>
      <c r="CT7" s="358">
        <f t="shared" si="131"/>
        <v>0.75</v>
      </c>
      <c r="CU7" s="353">
        <f ca="1">IF($AN7&gt;CDS.Tenor,"-",_xlfn.NORM.S.DIST(($CR7-SQRT(Correlation2)*CU$3)/SQRT(1-Correlation2),TRUE))</f>
        <v>0.33710515352900439</v>
      </c>
      <c r="CV7" s="353">
        <f ca="1">IF($AN7&gt;CDS.Tenor,"-",_xlfn.NORM.S.DIST(($CR7-SQRT(Correlation2)*CV$3)/SQRT(1-Correlation2),TRUE))</f>
        <v>0.25082694337037237</v>
      </c>
      <c r="CW7" s="353">
        <f ca="1">IF($AN7&gt;CDS.Tenor,"-",_xlfn.NORM.S.DIST(($CR7-SQRT(Correlation2)*CW$3)/SQRT(1-Correlation2),TRUE))</f>
        <v>0.17789865968863702</v>
      </c>
      <c r="CX7" s="353">
        <f ca="1">IF($AN7&gt;CDS.Tenor,"-",_xlfn.NORM.S.DIST(($CR7-SQRT(Correlation2)*CX$3)/SQRT(1-Correlation2),TRUE))</f>
        <v>0.12001418116113852</v>
      </c>
      <c r="CY7" s="353">
        <f ca="1">IF($AN7&gt;CDS.Tenor,"-",_xlfn.NORM.S.DIST(($CR7-SQRT(Correlation2)*CY$3)/SQRT(1-Correlation2),TRUE))</f>
        <v>7.6872276630639655E-2</v>
      </c>
      <c r="CZ7" s="353">
        <f ca="1">IF($AN7&gt;CDS.Tenor,"-",_xlfn.NORM.S.DIST(($CR7-SQRT(Correlation2)*CZ$3)/SQRT(1-Correlation2),TRUE))</f>
        <v>4.667920547450196E-2</v>
      </c>
      <c r="DA7" s="353">
        <f ca="1">IF($AN7&gt;CDS.Tenor,"-",_xlfn.NORM.S.DIST(($CR7-SQRT(Correlation2)*DA$3)/SQRT(1-Correlation2),TRUE))</f>
        <v>2.6837192327487734E-2</v>
      </c>
      <c r="DB7" s="353">
        <f ca="1">IF($AN7&gt;CDS.Tenor,"-",_xlfn.NORM.S.DIST(($CR7-SQRT(Correlation2)*DB$3)/SQRT(1-Correlation2),TRUE))</f>
        <v>1.4592883857741254E-2</v>
      </c>
      <c r="DC7" s="353">
        <f ca="1">IF($AN7&gt;CDS.Tenor,"-",_xlfn.NORM.S.DIST(($CR7-SQRT(Correlation2)*DC$3)/SQRT(1-Correlation2),TRUE))</f>
        <v>7.4978831311107198E-3</v>
      </c>
      <c r="DD7" s="353">
        <f ca="1">IF($AN7&gt;CDS.Tenor,"-",_xlfn.NORM.S.DIST(($CR7-SQRT(Correlation2)*DD$3)/SQRT(1-Correlation2),TRUE))</f>
        <v>3.6374166007205619E-3</v>
      </c>
      <c r="DE7" s="353">
        <f ca="1">IF($AN7&gt;CDS.Tenor,"-",_xlfn.NORM.S.DIST(($CR7-SQRT(Correlation2)*DE$3)/SQRT(1-Correlation2),TRUE))</f>
        <v>1.6650131067021433E-3</v>
      </c>
      <c r="DF7" s="353">
        <f ca="1">IF($AN7&gt;CDS.Tenor,"-",_xlfn.NORM.S.DIST(($CR7-SQRT(Correlation2)*DF$3)/SQRT(1-Correlation2),TRUE))</f>
        <v>7.1873287782651311E-4</v>
      </c>
      <c r="DG7" s="353">
        <f ca="1">IF($AN7&gt;CDS.Tenor,"-",_xlfn.NORM.S.DIST(($CR7-SQRT(Correlation2)*DG$3)/SQRT(1-Correlation2),TRUE))</f>
        <v>2.9243697689635616E-4</v>
      </c>
      <c r="DH7" s="353">
        <f ca="1">IF($AN7&gt;CDS.Tenor,"-",_xlfn.NORM.S.DIST(($CR7-SQRT(Correlation2)*DH$3)/SQRT(1-Correlation2),TRUE))</f>
        <v>1.1210645457936341E-4</v>
      </c>
      <c r="DI7" s="353">
        <f ca="1">IF($AN7&gt;CDS.Tenor,"-",_xlfn.NORM.S.DIST(($CR7-SQRT(Correlation2)*DI$3)/SQRT(1-Correlation2),TRUE))</f>
        <v>4.0476730966753099E-5</v>
      </c>
      <c r="DJ7" s="353">
        <f ca="1">IF($AN7&gt;CDS.Tenor,"-",_xlfn.NORM.S.DIST(($CR7-SQRT(Correlation2)*DJ$3)/SQRT(1-Correlation2),TRUE))</f>
        <v>1.3760052043462222E-5</v>
      </c>
      <c r="DK7" s="353">
        <f ca="1">IF($AN7&gt;CDS.Tenor,"-",_xlfn.NORM.S.DIST(($CR7-SQRT(Correlation2)*DK$3)/SQRT(1-Correlation2),TRUE))</f>
        <v>4.4030657756845528E-6</v>
      </c>
      <c r="DL7" s="353">
        <f ca="1">IF($AN7&gt;CDS.Tenor,"-",_xlfn.NORM.S.DIST(($CR7-SQRT(Correlation2)*DL$3)/SQRT(1-Correlation2),TRUE))</f>
        <v>1.3258853744879799E-6</v>
      </c>
      <c r="DM7" s="353">
        <f ca="1">IF($AN7&gt;CDS.Tenor,"-",_xlfn.NORM.S.DIST(($CR7-SQRT(Correlation2)*DM$3)/SQRT(1-Correlation2),TRUE))</f>
        <v>3.7564726343137861E-7</v>
      </c>
      <c r="DN7" s="353">
        <f ca="1">IF($AN7&gt;CDS.Tenor,"-",_xlfn.NORM.S.DIST(($CR7-SQRT(Correlation2)*DN$3)/SQRT(1-Correlation2),TRUE))</f>
        <v>1.0011434775180562E-7</v>
      </c>
      <c r="DO7" s="354">
        <f ca="1">IF($AN7&gt;CDS.Tenor,"-",_xlfn.NORM.S.DIST(($CR7-SQRT(Correlation2)*DO$3)/SQRT(1-Correlation2),TRUE))</f>
        <v>2.509468924412196E-8</v>
      </c>
      <c r="DQ7" s="358">
        <f t="shared" si="132"/>
        <v>0.75</v>
      </c>
      <c r="DR7" s="353">
        <f t="shared" ca="1" si="133"/>
        <v>0.66289484647099561</v>
      </c>
      <c r="DS7" s="353">
        <f t="shared" ca="1" si="134"/>
        <v>0.74917305662962763</v>
      </c>
      <c r="DT7" s="353">
        <f t="shared" ca="1" si="135"/>
        <v>0.82210134031136295</v>
      </c>
      <c r="DU7" s="353">
        <f t="shared" ca="1" si="136"/>
        <v>0.87998581883886151</v>
      </c>
      <c r="DV7" s="353">
        <f t="shared" ca="1" si="137"/>
        <v>0.92312772336936033</v>
      </c>
      <c r="DW7" s="353">
        <f t="shared" ca="1" si="138"/>
        <v>0.95332079452549801</v>
      </c>
      <c r="DX7" s="353">
        <f t="shared" ca="1" si="139"/>
        <v>0.97316280767251229</v>
      </c>
      <c r="DY7" s="353">
        <f t="shared" ca="1" si="140"/>
        <v>0.98540711614225873</v>
      </c>
      <c r="DZ7" s="353">
        <f t="shared" ca="1" si="141"/>
        <v>0.99250211686888923</v>
      </c>
      <c r="EA7" s="353">
        <f t="shared" ca="1" si="142"/>
        <v>0.99636258339927941</v>
      </c>
      <c r="EB7" s="353">
        <f t="shared" ca="1" si="143"/>
        <v>0.9983349868932978</v>
      </c>
      <c r="EC7" s="353">
        <f t="shared" ca="1" si="144"/>
        <v>0.99928126712217347</v>
      </c>
      <c r="ED7" s="353">
        <f t="shared" ca="1" si="145"/>
        <v>0.9997075630231036</v>
      </c>
      <c r="EE7" s="353">
        <f t="shared" ca="1" si="146"/>
        <v>0.99988789354542063</v>
      </c>
      <c r="EF7" s="353">
        <f t="shared" ca="1" si="147"/>
        <v>0.99995952326903326</v>
      </c>
      <c r="EG7" s="353">
        <f t="shared" ca="1" si="148"/>
        <v>0.99998623994795655</v>
      </c>
      <c r="EH7" s="353">
        <f t="shared" ca="1" si="149"/>
        <v>0.99999559693422435</v>
      </c>
      <c r="EI7" s="353">
        <f t="shared" ca="1" si="150"/>
        <v>0.99999867411462551</v>
      </c>
      <c r="EJ7" s="353">
        <f t="shared" ca="1" si="151"/>
        <v>0.99999962435273659</v>
      </c>
      <c r="EK7" s="353">
        <f t="shared" ca="1" si="152"/>
        <v>0.9999998998856523</v>
      </c>
      <c r="EL7" s="354">
        <f t="shared" ca="1" si="153"/>
        <v>0.99999997490531078</v>
      </c>
      <c r="EM7" s="17"/>
      <c r="EN7" s="17"/>
      <c r="EO7" s="343" cm="1">
        <f t="array" aca="1" ref="EO7" ca="1">IF($AN7&gt;CDS.Tenor,"-",flatInterpolation(CP7,INDIRECT(HazardRateTimes3),INDIRECT(HazardRateValues3)))</f>
        <v>7.4999999999999997E-3</v>
      </c>
      <c r="EP7" s="10">
        <f t="shared" ca="1" si="154"/>
        <v>0.99439079069108094</v>
      </c>
      <c r="EQ7" s="10">
        <f t="shared" ca="1" si="155"/>
        <v>5.6092093089190609E-3</v>
      </c>
      <c r="ER7" s="81">
        <f t="shared" ca="1" si="156"/>
        <v>-2.5358206071736928</v>
      </c>
      <c r="ET7" s="358">
        <f t="shared" si="157"/>
        <v>0.75</v>
      </c>
      <c r="EU7" s="353">
        <f ca="1">IF($AN7&gt;CDS.Tenor,"-",_xlfn.NORM.S.DIST(($ER7-SQRT(Correlation3)*EU$3)/SQRT(1-Correlation3),TRUE))</f>
        <v>0.83085580523493652</v>
      </c>
      <c r="EV7" s="353">
        <f ca="1">IF($AN7&gt;CDS.Tenor,"-",_xlfn.NORM.S.DIST(($ER7-SQRT(Correlation3)*EV$3)/SQRT(1-Correlation3),TRUE))</f>
        <v>0.70098378657838523</v>
      </c>
      <c r="EW7" s="353">
        <f ca="1">IF($AN7&gt;CDS.Tenor,"-",_xlfn.NORM.S.DIST(($ER7-SQRT(Correlation3)*EW$3)/SQRT(1-Correlation3),TRUE))</f>
        <v>0.53860167707988971</v>
      </c>
      <c r="EX7" s="353">
        <f ca="1">IF($AN7&gt;CDS.Tenor,"-",_xlfn.NORM.S.DIST(($ER7-SQRT(Correlation3)*EX$3)/SQRT(1-Correlation3),TRUE))</f>
        <v>0.3694127800598242</v>
      </c>
      <c r="EY7" s="353">
        <f ca="1">IF($AN7&gt;CDS.Tenor,"-",_xlfn.NORM.S.DIST(($ER7-SQRT(Correlation3)*EY$3)/SQRT(1-Correlation3),TRUE))</f>
        <v>0.22251420907416367</v>
      </c>
      <c r="EZ7" s="353">
        <f ca="1">IF($AN7&gt;CDS.Tenor,"-",_xlfn.NORM.S.DIST(($ER7-SQRT(Correlation3)*EZ$3)/SQRT(1-Correlation3),TRUE))</f>
        <v>0.11622918211077453</v>
      </c>
      <c r="FA7" s="353">
        <f ca="1">IF($AN7&gt;CDS.Tenor,"-",_xlfn.NORM.S.DIST(($ER7-SQRT(Correlation3)*FA$3)/SQRT(1-Correlation3),TRUE))</f>
        <v>5.2148361543215185E-2</v>
      </c>
      <c r="FB7" s="353">
        <f ca="1">IF($AN7&gt;CDS.Tenor,"-",_xlfn.NORM.S.DIST(($ER7-SQRT(Correlation3)*FB$3)/SQRT(1-Correlation3),TRUE))</f>
        <v>1.9954419226894182E-2</v>
      </c>
      <c r="FC7" s="353">
        <f ca="1">IF($AN7&gt;CDS.Tenor,"-",_xlfn.NORM.S.DIST(($ER7-SQRT(Correlation3)*FC$3)/SQRT(1-Correlation3),TRUE))</f>
        <v>6.4773575214923627E-3</v>
      </c>
      <c r="FD7" s="353">
        <f ca="1">IF($AN7&gt;CDS.Tenor,"-",_xlfn.NORM.S.DIST(($ER7-SQRT(Correlation3)*FD$3)/SQRT(1-Correlation3),TRUE))</f>
        <v>1.7765498775484776E-3</v>
      </c>
      <c r="FE7" s="353">
        <f ca="1">IF($AN7&gt;CDS.Tenor,"-",_xlfn.NORM.S.DIST(($ER7-SQRT(Correlation3)*FE$3)/SQRT(1-Correlation3),TRUE))</f>
        <v>4.1044546382736156E-4</v>
      </c>
      <c r="FF7" s="353">
        <f ca="1">IF($AN7&gt;CDS.Tenor,"-",_xlfn.NORM.S.DIST(($ER7-SQRT(Correlation3)*FF$3)/SQRT(1-Correlation3),TRUE))</f>
        <v>7.9691991505258315E-5</v>
      </c>
      <c r="FG7" s="353">
        <f ca="1">IF($AN7&gt;CDS.Tenor,"-",_xlfn.NORM.S.DIST(($ER7-SQRT(Correlation3)*FG$3)/SQRT(1-Correlation3),TRUE))</f>
        <v>1.2979625486574929E-5</v>
      </c>
      <c r="FH7" s="353">
        <f ca="1">IF($AN7&gt;CDS.Tenor,"-",_xlfn.NORM.S.DIST(($ER7-SQRT(Correlation3)*FH$3)/SQRT(1-Correlation3),TRUE))</f>
        <v>1.770809959314262E-6</v>
      </c>
      <c r="FI7" s="353">
        <f ca="1">IF($AN7&gt;CDS.Tenor,"-",_xlfn.NORM.S.DIST(($ER7-SQRT(Correlation3)*FI$3)/SQRT(1-Correlation3),TRUE))</f>
        <v>2.021360375426852E-7</v>
      </c>
      <c r="FJ7" s="353">
        <f ca="1">IF($AN7&gt;CDS.Tenor,"-",_xlfn.NORM.S.DIST(($ER7-SQRT(Correlation3)*FJ$3)/SQRT(1-Correlation3),TRUE))</f>
        <v>1.9287365488963467E-8</v>
      </c>
      <c r="FK7" s="353">
        <f ca="1">IF($AN7&gt;CDS.Tenor,"-",_xlfn.NORM.S.DIST(($ER7-SQRT(Correlation3)*FK$3)/SQRT(1-Correlation3),TRUE))</f>
        <v>1.5371936216867349E-9</v>
      </c>
      <c r="FL7" s="353">
        <f ca="1">IF($AN7&gt;CDS.Tenor,"-",_xlfn.NORM.S.DIST(($ER7-SQRT(Correlation3)*FL$3)/SQRT(1-Correlation3),TRUE))</f>
        <v>1.0226744171981221E-10</v>
      </c>
      <c r="FM7" s="353">
        <f ca="1">IF($AN7&gt;CDS.Tenor,"-",_xlfn.NORM.S.DIST(($ER7-SQRT(Correlation3)*FM$3)/SQRT(1-Correlation3),TRUE))</f>
        <v>5.6763789615493933E-12</v>
      </c>
      <c r="FN7" s="353">
        <f ca="1">IF($AN7&gt;CDS.Tenor,"-",_xlfn.NORM.S.DIST(($ER7-SQRT(Correlation3)*FN$3)/SQRT(1-Correlation3),TRUE))</f>
        <v>2.6274757387538023E-13</v>
      </c>
      <c r="FO7" s="354">
        <f ca="1">IF($AN7&gt;CDS.Tenor,"-",_xlfn.NORM.S.DIST(($ER7-SQRT(Correlation3)*FO$3)/SQRT(1-Correlation3),TRUE))</f>
        <v>1.0138569090300258E-14</v>
      </c>
      <c r="FQ7" s="358">
        <f t="shared" si="158"/>
        <v>0.75</v>
      </c>
      <c r="FR7" s="353">
        <f t="shared" ca="1" si="159"/>
        <v>0.16914419476506348</v>
      </c>
      <c r="FS7" s="353">
        <f t="shared" ca="1" si="160"/>
        <v>0.29901621342161477</v>
      </c>
      <c r="FT7" s="353">
        <f t="shared" ca="1" si="161"/>
        <v>0.46139832292011029</v>
      </c>
      <c r="FU7" s="353">
        <f t="shared" ca="1" si="162"/>
        <v>0.63058721994017586</v>
      </c>
      <c r="FV7" s="353">
        <f t="shared" ca="1" si="163"/>
        <v>0.77748579092583636</v>
      </c>
      <c r="FW7" s="353">
        <f t="shared" ca="1" si="164"/>
        <v>0.88377081788922551</v>
      </c>
      <c r="FX7" s="353">
        <f t="shared" ca="1" si="165"/>
        <v>0.94785163845678477</v>
      </c>
      <c r="FY7" s="353">
        <f t="shared" ca="1" si="166"/>
        <v>0.98004558077310577</v>
      </c>
      <c r="FZ7" s="353">
        <f t="shared" ca="1" si="167"/>
        <v>0.99352264247850763</v>
      </c>
      <c r="GA7" s="353">
        <f t="shared" ca="1" si="168"/>
        <v>0.99822345012245151</v>
      </c>
      <c r="GB7" s="353">
        <f t="shared" ca="1" si="169"/>
        <v>0.9995895545361726</v>
      </c>
      <c r="GC7" s="353">
        <f t="shared" ca="1" si="170"/>
        <v>0.99992030800849474</v>
      </c>
      <c r="GD7" s="353">
        <f t="shared" ca="1" si="171"/>
        <v>0.99998702037451348</v>
      </c>
      <c r="GE7" s="353">
        <f t="shared" ca="1" si="172"/>
        <v>0.99999822919004067</v>
      </c>
      <c r="GF7" s="353">
        <f t="shared" ca="1" si="173"/>
        <v>0.99999979786396243</v>
      </c>
      <c r="GG7" s="353">
        <f t="shared" ca="1" si="174"/>
        <v>0.99999998071263452</v>
      </c>
      <c r="GH7" s="353">
        <f t="shared" ca="1" si="175"/>
        <v>0.99999999846280641</v>
      </c>
      <c r="GI7" s="353">
        <f t="shared" ca="1" si="176"/>
        <v>0.99999999989773258</v>
      </c>
      <c r="GJ7" s="353">
        <f t="shared" ca="1" si="177"/>
        <v>0.99999999999432365</v>
      </c>
      <c r="GK7" s="353">
        <f t="shared" ca="1" si="178"/>
        <v>0.99999999999973721</v>
      </c>
      <c r="GL7" s="354">
        <f t="shared" ca="1" si="179"/>
        <v>0.9999999999999899</v>
      </c>
      <c r="GO7" s="358">
        <f t="shared" si="180"/>
        <v>0.75</v>
      </c>
      <c r="GP7" s="353">
        <f t="shared" ca="1" si="181"/>
        <v>5.1791016616339274E-2</v>
      </c>
      <c r="GQ7" s="353">
        <f t="shared" ca="1" si="182"/>
        <v>0.1327625409405927</v>
      </c>
      <c r="GR7" s="353">
        <f t="shared" ca="1" si="183"/>
        <v>0.27073678219654451</v>
      </c>
      <c r="GS7" s="353">
        <f t="shared" ca="1" si="184"/>
        <v>0.45193895336739703</v>
      </c>
      <c r="GT7" s="353">
        <f t="shared" ca="1" si="185"/>
        <v>0.63847937768065066</v>
      </c>
      <c r="GU7" s="353">
        <f t="shared" ca="1" si="186"/>
        <v>0.79192697517424016</v>
      </c>
      <c r="GV7" s="353">
        <f t="shared" ca="1" si="187"/>
        <v>0.89496638118351479</v>
      </c>
      <c r="GW7" s="353">
        <f t="shared" ca="1" si="188"/>
        <v>0.95280204074948216</v>
      </c>
      <c r="GX7" s="353">
        <f t="shared" ca="1" si="189"/>
        <v>0.98067620529575672</v>
      </c>
      <c r="GY7" s="353">
        <f t="shared" ca="1" si="190"/>
        <v>0.99257945980176321</v>
      </c>
      <c r="GZ7" s="353">
        <f t="shared" ca="1" si="191"/>
        <v>0.99724991631946536</v>
      </c>
      <c r="HA7" s="353">
        <f t="shared" ca="1" si="192"/>
        <v>0.99899745050764066</v>
      </c>
      <c r="HB7" s="353">
        <f t="shared" ca="1" si="193"/>
        <v>0.99963892555984124</v>
      </c>
      <c r="HC7" s="353">
        <f t="shared" ca="1" si="194"/>
        <v>0.99987244569231559</v>
      </c>
      <c r="HD7" s="353">
        <f t="shared" ca="1" si="195"/>
        <v>0.99995629318993084</v>
      </c>
      <c r="HE7" s="353">
        <f t="shared" ca="1" si="196"/>
        <v>0.99998561698173016</v>
      </c>
      <c r="HF7" s="353">
        <f t="shared" ca="1" si="197"/>
        <v>0.99999548705774743</v>
      </c>
      <c r="HG7" s="353">
        <f t="shared" ca="1" si="198"/>
        <v>0.99999865651690623</v>
      </c>
      <c r="HH7" s="353">
        <f t="shared" ca="1" si="199"/>
        <v>0.99999962180561286</v>
      </c>
      <c r="HI7" s="353">
        <f t="shared" ca="1" si="200"/>
        <v>0.99999989955339585</v>
      </c>
      <c r="HJ7" s="354">
        <f t="shared" ca="1" si="201"/>
        <v>0.99999997486630987</v>
      </c>
      <c r="HK7" s="42"/>
      <c r="HL7" s="42"/>
      <c r="HM7" s="358">
        <f t="shared" si="202"/>
        <v>0.75</v>
      </c>
      <c r="HN7" s="362">
        <f t="shared" ca="1" si="203"/>
        <v>0.98676524878319727</v>
      </c>
      <c r="HO7" s="363">
        <f t="shared" ca="1" si="204"/>
        <v>4.3406199465385598E-3</v>
      </c>
    </row>
    <row r="8" spans="2:244" x14ac:dyDescent="0.3">
      <c r="B8" s="116" t="s">
        <v>18</v>
      </c>
      <c r="D8" s="50">
        <v>10000000</v>
      </c>
      <c r="F8" s="39" t="s">
        <v>349</v>
      </c>
      <c r="G8" s="405" t="s">
        <v>383</v>
      </c>
      <c r="J8" s="2" t="s">
        <v>367</v>
      </c>
      <c r="K8" s="409" t="s">
        <v>371</v>
      </c>
      <c r="N8" s="2" t="s">
        <v>372</v>
      </c>
      <c r="O8" s="2" t="s">
        <v>373</v>
      </c>
      <c r="P8" s="2"/>
      <c r="Q8" s="2"/>
      <c r="S8" s="2"/>
      <c r="T8" s="17"/>
      <c r="U8" s="340"/>
      <c r="V8" s="370">
        <f t="shared" si="89"/>
        <v>1</v>
      </c>
      <c r="W8" s="371">
        <f t="shared" si="90"/>
        <v>-25000</v>
      </c>
      <c r="X8" s="348">
        <f t="shared" ca="1" si="91"/>
        <v>0.98247712470069726</v>
      </c>
      <c r="Y8" s="348">
        <f t="shared" ca="1" si="92"/>
        <v>4.2881240825000111E-3</v>
      </c>
      <c r="Z8" s="372" cm="1">
        <f t="array" ref="Z8">IF($V8&gt;CDS.Tenor,"-",cubicInterpolation(CurveResults.Times,CurveResults.DFs,$V8))</f>
        <v>0.95518051063522103</v>
      </c>
      <c r="AA8" s="371">
        <f t="shared" ca="1" si="93"/>
        <v>-23461.075041475895</v>
      </c>
      <c r="AB8" s="371">
        <f t="shared" ca="1" si="94"/>
        <v>-51.199156884869367</v>
      </c>
      <c r="AC8" s="373">
        <f t="shared" ca="1" si="95"/>
        <v>-23512.274198360763</v>
      </c>
      <c r="AF8" s="370">
        <f t="shared" si="96"/>
        <v>1</v>
      </c>
      <c r="AG8" s="371">
        <f t="shared" si="97"/>
        <v>6000000</v>
      </c>
      <c r="AH8" s="348">
        <f t="shared" ca="1" si="98"/>
        <v>0.98247712470069726</v>
      </c>
      <c r="AI8" s="348">
        <f t="shared" ca="1" si="99"/>
        <v>4.2881240825000111E-3</v>
      </c>
      <c r="AJ8" s="372" cm="1">
        <f t="array" ref="AJ8">IF($AF8&gt;CDS.Tenor,"-",cubicInterpolation(CurveResults.Times,CurveResults.DFs,$V8))</f>
        <v>0.95518051063522103</v>
      </c>
      <c r="AK8" s="373">
        <f t="shared" ca="1" si="100"/>
        <v>24575.595304737297</v>
      </c>
      <c r="AN8" s="358">
        <f t="shared" si="101"/>
        <v>1</v>
      </c>
      <c r="AO8" s="343" cm="1">
        <f t="array" aca="1" ref="AO8" ca="1">IF($AN8&gt;CDS.Tenor,"-",flatInterpolation(AM8,INDIRECT(HazardRateTimes1),INDIRECT(HazardRateValues1)))</f>
        <v>5.0000000000000001E-3</v>
      </c>
      <c r="AP8" s="10">
        <f t="shared" ca="1" si="102"/>
        <v>0.99501247919268243</v>
      </c>
      <c r="AQ8" s="10">
        <f t="shared" ca="1" si="103"/>
        <v>4.9875208073175692E-3</v>
      </c>
      <c r="AR8" s="81">
        <f t="shared" ca="1" si="104"/>
        <v>-2.5766932943916676</v>
      </c>
      <c r="AT8" s="358">
        <f t="shared" si="105"/>
        <v>1</v>
      </c>
      <c r="AU8" s="353">
        <f ca="1">IF($AN8&gt;CDS.Tenor,"-",_xlfn.NORM.S.DIST(($AR8-SQRT(Correlation1)*AU$3)/SQRT(1-Correlation1),TRUE))</f>
        <v>0.58422877886313795</v>
      </c>
      <c r="AV8" s="353">
        <f ca="1">IF($AN8&gt;CDS.Tenor,"-",_xlfn.NORM.S.DIST(($AR8-SQRT(Correlation1)*AV$3)/SQRT(1-Correlation1),TRUE))</f>
        <v>0.45331901432619287</v>
      </c>
      <c r="AW8" s="353">
        <f ca="1">IF($AN8&gt;CDS.Tenor,"-",_xlfn.NORM.S.DIST(($AR8-SQRT(Correlation1)*AW$3)/SQRT(1-Correlation1),TRUE))</f>
        <v>0.32733496800621986</v>
      </c>
      <c r="AX8" s="353">
        <f ca="1">IF($AN8&gt;CDS.Tenor,"-",_xlfn.NORM.S.DIST(($AR8-SQRT(Correlation1)*AX$3)/SQRT(1-Correlation1),TRUE))</f>
        <v>0.21849442359319055</v>
      </c>
      <c r="AY8" s="353">
        <f ca="1">IF($AN8&gt;CDS.Tenor,"-",_xlfn.NORM.S.DIST(($AR8-SQRT(Correlation1)*AY$3)/SQRT(1-Correlation1),TRUE))</f>
        <v>0.13408385641014001</v>
      </c>
      <c r="AZ8" s="353">
        <f ca="1">IF($AN8&gt;CDS.Tenor,"-",_xlfn.NORM.S.DIST(($AR8-SQRT(Correlation1)*AZ$3)/SQRT(1-Correlation1),TRUE))</f>
        <v>7.5316965846406542E-2</v>
      </c>
      <c r="BA8" s="353">
        <f ca="1">IF($AN8&gt;CDS.Tenor,"-",_xlfn.NORM.S.DIST(($AR8-SQRT(Correlation1)*BA$3)/SQRT(1-Correlation1),TRUE))</f>
        <v>3.8589013595544217E-2</v>
      </c>
      <c r="BB8" s="353">
        <f ca="1">IF($AN8&gt;CDS.Tenor,"-",_xlfn.NORM.S.DIST(($AR8-SQRT(Correlation1)*BB$3)/SQRT(1-Correlation1),TRUE))</f>
        <v>1.7983346787854369E-2</v>
      </c>
      <c r="BC8" s="353">
        <f ca="1">IF($AN8&gt;CDS.Tenor,"-",_xlfn.NORM.S.DIST(($AR8-SQRT(Correlation1)*BC$3)/SQRT(1-Correlation1),TRUE))</f>
        <v>7.6056742933383117E-3</v>
      </c>
      <c r="BD8" s="353">
        <f ca="1">IF($AN8&gt;CDS.Tenor,"-",_xlfn.NORM.S.DIST(($AR8-SQRT(Correlation1)*BD$3)/SQRT(1-Correlation1),TRUE))</f>
        <v>2.9139390484775405E-3</v>
      </c>
      <c r="BE8" s="353">
        <f ca="1">IF($AN8&gt;CDS.Tenor,"-",_xlfn.NORM.S.DIST(($AR8-SQRT(Correlation1)*BE$3)/SQRT(1-Correlation1),TRUE))</f>
        <v>1.0098653266929934E-3</v>
      </c>
      <c r="BF8" s="353">
        <f ca="1">IF($AN8&gt;CDS.Tenor,"-",_xlfn.NORM.S.DIST(($AR8-SQRT(Correlation1)*BF$3)/SQRT(1-Correlation1),TRUE))</f>
        <v>3.162050815656458E-4</v>
      </c>
      <c r="BG8" s="353">
        <f ca="1">IF($AN8&gt;CDS.Tenor,"-",_xlfn.NORM.S.DIST(($AR8-SQRT(Correlation1)*BG$3)/SQRT(1-Correlation1),TRUE))</f>
        <v>8.9365786233796461E-5</v>
      </c>
      <c r="BH8" s="353">
        <f ca="1">IF($AN8&gt;CDS.Tenor,"-",_xlfn.NORM.S.DIST(($AR8-SQRT(Correlation1)*BH$3)/SQRT(1-Correlation1),TRUE))</f>
        <v>2.2778166726866926E-5</v>
      </c>
      <c r="BI8" s="353">
        <f ca="1">IF($AN8&gt;CDS.Tenor,"-",_xlfn.NORM.S.DIST(($AR8-SQRT(Correlation1)*BI$3)/SQRT(1-Correlation1),TRUE))</f>
        <v>5.232603048534004E-6</v>
      </c>
      <c r="BJ8" s="353">
        <f ca="1">IF($AN8&gt;CDS.Tenor,"-",_xlfn.NORM.S.DIST(($AR8-SQRT(Correlation1)*BJ$3)/SQRT(1-Correlation1),TRUE))</f>
        <v>1.082734051632377E-6</v>
      </c>
      <c r="BK8" s="353">
        <f ca="1">IF($AN8&gt;CDS.Tenor,"-",_xlfn.NORM.S.DIST(($AR8-SQRT(Correlation1)*BK$3)/SQRT(1-Correlation1),TRUE))</f>
        <v>2.01707576236033E-7</v>
      </c>
      <c r="BL8" s="353">
        <f ca="1">IF($AN8&gt;CDS.Tenor,"-",_xlfn.NORM.S.DIST(($AR8-SQRT(Correlation1)*BL$3)/SQRT(1-Correlation1),TRUE))</f>
        <v>3.3817492002025437E-8</v>
      </c>
      <c r="BM8" s="353">
        <f ca="1">IF($AN8&gt;CDS.Tenor,"-",_xlfn.NORM.S.DIST(($AR8-SQRT(Correlation1)*BM$3)/SQRT(1-Correlation1),TRUE))</f>
        <v>5.1006683040340819E-9</v>
      </c>
      <c r="BN8" s="353">
        <f ca="1">IF($AN8&gt;CDS.Tenor,"-",_xlfn.NORM.S.DIST(($AR8-SQRT(Correlation1)*BN$3)/SQRT(1-Correlation1),TRUE))</f>
        <v>6.919073664042037E-10</v>
      </c>
      <c r="BO8" s="354">
        <f ca="1">IF($AN8&gt;CDS.Tenor,"-",_xlfn.NORM.S.DIST(($AR8-SQRT(Correlation1)*BO$3)/SQRT(1-Correlation1),TRUE))</f>
        <v>8.438983068022864E-11</v>
      </c>
      <c r="BQ8" s="358">
        <f t="shared" si="106"/>
        <v>1</v>
      </c>
      <c r="BR8" s="353">
        <f t="shared" ca="1" si="107"/>
        <v>0.41577122113686205</v>
      </c>
      <c r="BS8" s="353">
        <f t="shared" ca="1" si="108"/>
        <v>0.54668098567380707</v>
      </c>
      <c r="BT8" s="353">
        <f t="shared" ca="1" si="109"/>
        <v>0.67266503199378014</v>
      </c>
      <c r="BU8" s="353">
        <f t="shared" ca="1" si="110"/>
        <v>0.78150557640680951</v>
      </c>
      <c r="BV8" s="353">
        <f t="shared" ca="1" si="111"/>
        <v>0.86591614358986002</v>
      </c>
      <c r="BW8" s="353">
        <f t="shared" ca="1" si="112"/>
        <v>0.92468303415359343</v>
      </c>
      <c r="BX8" s="353">
        <f t="shared" ca="1" si="113"/>
        <v>0.96141098640445577</v>
      </c>
      <c r="BY8" s="353">
        <f t="shared" ca="1" si="114"/>
        <v>0.9820166532121456</v>
      </c>
      <c r="BZ8" s="353">
        <f t="shared" ca="1" si="115"/>
        <v>0.99239432570666164</v>
      </c>
      <c r="CA8" s="353">
        <f t="shared" ca="1" si="116"/>
        <v>0.99708606095152241</v>
      </c>
      <c r="CB8" s="353">
        <f t="shared" ca="1" si="117"/>
        <v>0.998990134673307</v>
      </c>
      <c r="CC8" s="353">
        <f t="shared" ca="1" si="118"/>
        <v>0.9996837949184344</v>
      </c>
      <c r="CD8" s="353">
        <f t="shared" ca="1" si="119"/>
        <v>0.99991063421376625</v>
      </c>
      <c r="CE8" s="353">
        <f t="shared" ca="1" si="120"/>
        <v>0.99997722183327309</v>
      </c>
      <c r="CF8" s="353">
        <f t="shared" ca="1" si="121"/>
        <v>0.99999476739695148</v>
      </c>
      <c r="CG8" s="353">
        <f t="shared" ca="1" si="122"/>
        <v>0.99999891726594836</v>
      </c>
      <c r="CH8" s="353">
        <f t="shared" ca="1" si="123"/>
        <v>0.9999997982924238</v>
      </c>
      <c r="CI8" s="353">
        <f t="shared" ca="1" si="124"/>
        <v>0.99999996618250797</v>
      </c>
      <c r="CJ8" s="353">
        <f t="shared" ca="1" si="125"/>
        <v>0.99999999489933167</v>
      </c>
      <c r="CK8" s="353">
        <f t="shared" ca="1" si="126"/>
        <v>0.99999999930809258</v>
      </c>
      <c r="CL8" s="354">
        <f t="shared" ca="1" si="127"/>
        <v>0.99999999991561017</v>
      </c>
      <c r="CM8" s="17"/>
      <c r="CN8" s="17"/>
      <c r="CO8" s="343" cm="1">
        <f t="array" aca="1" ref="CO8" ca="1">IF($AN8&gt;CDS.Tenor,"-",flatInterpolation(AN8,INDIRECT(HazardRateTimes2),INDIRECT(HazardRateValues2)))</f>
        <v>5.8333333333333336E-3</v>
      </c>
      <c r="CP8" s="10">
        <f t="shared" ca="1" si="128"/>
        <v>0.99418364752118304</v>
      </c>
      <c r="CQ8" s="10">
        <f t="shared" ca="1" si="129"/>
        <v>5.8163524788169552E-3</v>
      </c>
      <c r="CR8" s="81">
        <f t="shared" ca="1" si="130"/>
        <v>-2.5230947602990956</v>
      </c>
      <c r="CT8" s="358">
        <f t="shared" si="131"/>
        <v>1</v>
      </c>
      <c r="CU8" s="353">
        <f ca="1">IF($AN8&gt;CDS.Tenor,"-",_xlfn.NORM.S.DIST(($CR8-SQRT(Correlation2)*CU$3)/SQRT(1-Correlation2),TRUE))</f>
        <v>0.37858554058410182</v>
      </c>
      <c r="CV8" s="353">
        <f ca="1">IF($AN8&gt;CDS.Tenor,"-",_xlfn.NORM.S.DIST(($CR8-SQRT(Correlation2)*CV$3)/SQRT(1-Correlation2),TRUE))</f>
        <v>0.28749733165368818</v>
      </c>
      <c r="CW8" s="353">
        <f ca="1">IF($AN8&gt;CDS.Tenor,"-",_xlfn.NORM.S.DIST(($CR8-SQRT(Correlation2)*CW$3)/SQRT(1-Correlation2),TRUE))</f>
        <v>0.20833157358716753</v>
      </c>
      <c r="CX8" s="353">
        <f ca="1">IF($AN8&gt;CDS.Tenor,"-",_xlfn.NORM.S.DIST(($CR8-SQRT(Correlation2)*CX$3)/SQRT(1-Correlation2),TRUE))</f>
        <v>0.14372392599048114</v>
      </c>
      <c r="CY8" s="353">
        <f ca="1">IF($AN8&gt;CDS.Tenor,"-",_xlfn.NORM.S.DIST(($CR8-SQRT(Correlation2)*CY$3)/SQRT(1-Correlation2),TRUE))</f>
        <v>9.4212932832262591E-2</v>
      </c>
      <c r="CZ8" s="353">
        <f ca="1">IF($AN8&gt;CDS.Tenor,"-",_xlfn.NORM.S.DIST(($CR8-SQRT(Correlation2)*CZ$3)/SQRT(1-Correlation2),TRUE))</f>
        <v>5.8585029801236616E-2</v>
      </c>
      <c r="DA8" s="353">
        <f ca="1">IF($AN8&gt;CDS.Tenor,"-",_xlfn.NORM.S.DIST(($CR8-SQRT(Correlation2)*DA$3)/SQRT(1-Correlation2),TRUE))</f>
        <v>3.4510960829676508E-2</v>
      </c>
      <c r="DB8" s="353">
        <f ca="1">IF($AN8&gt;CDS.Tenor,"-",_xlfn.NORM.S.DIST(($CR8-SQRT(Correlation2)*DB$3)/SQRT(1-Correlation2),TRUE))</f>
        <v>1.9236038868425596E-2</v>
      </c>
      <c r="DC8" s="353">
        <f ca="1">IF($AN8&gt;CDS.Tenor,"-",_xlfn.NORM.S.DIST(($CR8-SQRT(Correlation2)*DC$3)/SQRT(1-Correlation2),TRUE))</f>
        <v>1.0135264417364898E-2</v>
      </c>
      <c r="DD8" s="353">
        <f ca="1">IF($AN8&gt;CDS.Tenor,"-",_xlfn.NORM.S.DIST(($CR8-SQRT(Correlation2)*DD$3)/SQRT(1-Correlation2),TRUE))</f>
        <v>5.0437486901067649E-3</v>
      </c>
      <c r="DE8" s="353">
        <f ca="1">IF($AN8&gt;CDS.Tenor,"-",_xlfn.NORM.S.DIST(($CR8-SQRT(Correlation2)*DE$3)/SQRT(1-Correlation2),TRUE))</f>
        <v>2.3689894408569973E-3</v>
      </c>
      <c r="DF8" s="353">
        <f ca="1">IF($AN8&gt;CDS.Tenor,"-",_xlfn.NORM.S.DIST(($CR8-SQRT(Correlation2)*DF$3)/SQRT(1-Correlation2),TRUE))</f>
        <v>1.0495465234738547E-3</v>
      </c>
      <c r="DG8" s="353">
        <f ca="1">IF($AN8&gt;CDS.Tenor,"-",_xlfn.NORM.S.DIST(($CR8-SQRT(Correlation2)*DG$3)/SQRT(1-Correlation2),TRUE))</f>
        <v>4.3837347737496647E-4</v>
      </c>
      <c r="DH8" s="353">
        <f ca="1">IF($AN8&gt;CDS.Tenor,"-",_xlfn.NORM.S.DIST(($CR8-SQRT(Correlation2)*DH$3)/SQRT(1-Correlation2),TRUE))</f>
        <v>1.7254299116982604E-4</v>
      </c>
      <c r="DI8" s="353">
        <f ca="1">IF($AN8&gt;CDS.Tenor,"-",_xlfn.NORM.S.DIST(($CR8-SQRT(Correlation2)*DI$3)/SQRT(1-Correlation2),TRUE))</f>
        <v>6.3972534766028067E-5</v>
      </c>
      <c r="DJ8" s="353">
        <f ca="1">IF($AN8&gt;CDS.Tenor,"-",_xlfn.NORM.S.DIST(($CR8-SQRT(Correlation2)*DJ$3)/SQRT(1-Correlation2),TRUE))</f>
        <v>2.2335091177451211E-5</v>
      </c>
      <c r="DK8" s="353">
        <f ca="1">IF($AN8&gt;CDS.Tenor,"-",_xlfn.NORM.S.DIST(($CR8-SQRT(Correlation2)*DK$3)/SQRT(1-Correlation2),TRUE))</f>
        <v>7.3409653411016796E-6</v>
      </c>
      <c r="DL8" s="353">
        <f ca="1">IF($AN8&gt;CDS.Tenor,"-",_xlfn.NORM.S.DIST(($CR8-SQRT(Correlation2)*DL$3)/SQRT(1-Correlation2),TRUE))</f>
        <v>2.2708004392251358E-6</v>
      </c>
      <c r="DM8" s="353">
        <f ca="1">IF($AN8&gt;CDS.Tenor,"-",_xlfn.NORM.S.DIST(($CR8-SQRT(Correlation2)*DM$3)/SQRT(1-Correlation2),TRUE))</f>
        <v>6.6094843549813556E-7</v>
      </c>
      <c r="DN8" s="353">
        <f ca="1">IF($AN8&gt;CDS.Tenor,"-",_xlfn.NORM.S.DIST(($CR8-SQRT(Correlation2)*DN$3)/SQRT(1-Correlation2),TRUE))</f>
        <v>1.8098096055380005E-7</v>
      </c>
      <c r="DO8" s="354">
        <f ca="1">IF($AN8&gt;CDS.Tenor,"-",_xlfn.NORM.S.DIST(($CR8-SQRT(Correlation2)*DO$3)/SQRT(1-Correlation2),TRUE))</f>
        <v>4.6612090571809129E-8</v>
      </c>
      <c r="DQ8" s="358">
        <f t="shared" si="132"/>
        <v>1</v>
      </c>
      <c r="DR8" s="353">
        <f t="shared" ca="1" si="133"/>
        <v>0.62141445941589812</v>
      </c>
      <c r="DS8" s="353">
        <f t="shared" ca="1" si="134"/>
        <v>0.71250266834631182</v>
      </c>
      <c r="DT8" s="353">
        <f t="shared" ca="1" si="135"/>
        <v>0.79166842641283242</v>
      </c>
      <c r="DU8" s="353">
        <f t="shared" ca="1" si="136"/>
        <v>0.85627607400951888</v>
      </c>
      <c r="DV8" s="353">
        <f t="shared" ca="1" si="137"/>
        <v>0.90578706716773738</v>
      </c>
      <c r="DW8" s="353">
        <f t="shared" ca="1" si="138"/>
        <v>0.94141497019876341</v>
      </c>
      <c r="DX8" s="353">
        <f t="shared" ca="1" si="139"/>
        <v>0.96548903917032347</v>
      </c>
      <c r="DY8" s="353">
        <f t="shared" ca="1" si="140"/>
        <v>0.98076396113157438</v>
      </c>
      <c r="DZ8" s="353">
        <f t="shared" ca="1" si="141"/>
        <v>0.9898647355826351</v>
      </c>
      <c r="EA8" s="353">
        <f t="shared" ca="1" si="142"/>
        <v>0.99495625130989318</v>
      </c>
      <c r="EB8" s="353">
        <f t="shared" ca="1" si="143"/>
        <v>0.99763101055914305</v>
      </c>
      <c r="EC8" s="353">
        <f t="shared" ca="1" si="144"/>
        <v>0.99895045347652611</v>
      </c>
      <c r="ED8" s="353">
        <f t="shared" ca="1" si="145"/>
        <v>0.99956162652262504</v>
      </c>
      <c r="EE8" s="353">
        <f t="shared" ca="1" si="146"/>
        <v>0.99982745700883013</v>
      </c>
      <c r="EF8" s="353">
        <f t="shared" ca="1" si="147"/>
        <v>0.99993602746523402</v>
      </c>
      <c r="EG8" s="353">
        <f t="shared" ca="1" si="148"/>
        <v>0.99997766490882256</v>
      </c>
      <c r="EH8" s="353">
        <f t="shared" ca="1" si="149"/>
        <v>0.99999265903465895</v>
      </c>
      <c r="EI8" s="353">
        <f t="shared" ca="1" si="150"/>
        <v>0.99999772919956076</v>
      </c>
      <c r="EJ8" s="353">
        <f t="shared" ca="1" si="151"/>
        <v>0.99999933905156446</v>
      </c>
      <c r="EK8" s="353">
        <f t="shared" ca="1" si="152"/>
        <v>0.99999981901903945</v>
      </c>
      <c r="EL8" s="354">
        <f t="shared" ca="1" si="153"/>
        <v>0.99999995338790948</v>
      </c>
      <c r="EM8" s="17"/>
      <c r="EN8" s="17"/>
      <c r="EO8" s="343" cm="1">
        <f t="array" aca="1" ref="EO8" ca="1">IF($AN8&gt;CDS.Tenor,"-",flatInterpolation(CP8,INDIRECT(HazardRateTimes3),INDIRECT(HazardRateValues3)))</f>
        <v>7.4999999999999997E-3</v>
      </c>
      <c r="EP8" s="10">
        <f t="shared" ca="1" si="154"/>
        <v>0.99252805481913853</v>
      </c>
      <c r="EQ8" s="10">
        <f t="shared" ca="1" si="155"/>
        <v>7.4719451808614723E-3</v>
      </c>
      <c r="ER8" s="81">
        <f t="shared" ca="1" si="156"/>
        <v>-2.4337359926085269</v>
      </c>
      <c r="ET8" s="358">
        <f t="shared" si="157"/>
        <v>1</v>
      </c>
      <c r="EU8" s="353">
        <f ca="1">IF($AN8&gt;CDS.Tenor,"-",_xlfn.NORM.S.DIST(($ER8-SQRT(Correlation3)*EU$3)/SQRT(1-Correlation3),TRUE))</f>
        <v>0.86263590202505636</v>
      </c>
      <c r="EV8" s="353">
        <f ca="1">IF($AN8&gt;CDS.Tenor,"-",_xlfn.NORM.S.DIST(($ER8-SQRT(Correlation3)*EV$3)/SQRT(1-Correlation3),TRUE))</f>
        <v>0.74598816013877833</v>
      </c>
      <c r="EW8" s="353">
        <f ca="1">IF($AN8&gt;CDS.Tenor,"-",_xlfn.NORM.S.DIST(($ER8-SQRT(Correlation3)*EW$3)/SQRT(1-Correlation3),TRUE))</f>
        <v>0.59157471306703768</v>
      </c>
      <c r="EX8" s="353">
        <f ca="1">IF($AN8&gt;CDS.Tenor,"-",_xlfn.NORM.S.DIST(($ER8-SQRT(Correlation3)*EX$3)/SQRT(1-Correlation3),TRUE))</f>
        <v>0.42123973352117361</v>
      </c>
      <c r="EY8" s="353">
        <f ca="1">IF($AN8&gt;CDS.Tenor,"-",_xlfn.NORM.S.DIST(($ER8-SQRT(Correlation3)*EY$3)/SQRT(1-Correlation3),TRUE))</f>
        <v>0.26466028700592575</v>
      </c>
      <c r="EZ8" s="353">
        <f ca="1">IF($AN8&gt;CDS.Tenor,"-",_xlfn.NORM.S.DIST(($ER8-SQRT(Correlation3)*EZ$3)/SQRT(1-Correlation3),TRUE))</f>
        <v>0.14471700590573347</v>
      </c>
      <c r="FA8" s="353">
        <f ca="1">IF($AN8&gt;CDS.Tenor,"-",_xlfn.NORM.S.DIST(($ER8-SQRT(Correlation3)*FA$3)/SQRT(1-Correlation3),TRUE))</f>
        <v>6.8153591562410049E-2</v>
      </c>
      <c r="FB8" s="353">
        <f ca="1">IF($AN8&gt;CDS.Tenor,"-",_xlfn.NORM.S.DIST(($ER8-SQRT(Correlation3)*FB$3)/SQRT(1-Correlation3),TRUE))</f>
        <v>2.7428623717020678E-2</v>
      </c>
      <c r="FC8" s="353">
        <f ca="1">IF($AN8&gt;CDS.Tenor,"-",_xlfn.NORM.S.DIST(($ER8-SQRT(Correlation3)*FC$3)/SQRT(1-Correlation3),TRUE))</f>
        <v>9.3784947663919736E-3</v>
      </c>
      <c r="FD8" s="353">
        <f ca="1">IF($AN8&gt;CDS.Tenor,"-",_xlfn.NORM.S.DIST(($ER8-SQRT(Correlation3)*FD$3)/SQRT(1-Correlation3),TRUE))</f>
        <v>2.7125407407788031E-3</v>
      </c>
      <c r="FE8" s="353">
        <f ca="1">IF($AN8&gt;CDS.Tenor,"-",_xlfn.NORM.S.DIST(($ER8-SQRT(Correlation3)*FE$3)/SQRT(1-Correlation3),TRUE))</f>
        <v>6.6144604851669261E-4</v>
      </c>
      <c r="FF8" s="353">
        <f ca="1">IF($AN8&gt;CDS.Tenor,"-",_xlfn.NORM.S.DIST(($ER8-SQRT(Correlation3)*FF$3)/SQRT(1-Correlation3),TRUE))</f>
        <v>1.3563906313451959E-4</v>
      </c>
      <c r="FG8" s="353">
        <f ca="1">IF($AN8&gt;CDS.Tenor,"-",_xlfn.NORM.S.DIST(($ER8-SQRT(Correlation3)*FG$3)/SQRT(1-Correlation3),TRUE))</f>
        <v>2.3344860749879543E-5</v>
      </c>
      <c r="FH8" s="353">
        <f ca="1">IF($AN8&gt;CDS.Tenor,"-",_xlfn.NORM.S.DIST(($ER8-SQRT(Correlation3)*FH$3)/SQRT(1-Correlation3),TRUE))</f>
        <v>3.3669823046149881E-6</v>
      </c>
      <c r="FI8" s="353">
        <f ca="1">IF($AN8&gt;CDS.Tenor,"-",_xlfn.NORM.S.DIST(($ER8-SQRT(Correlation3)*FI$3)/SQRT(1-Correlation3),TRUE))</f>
        <v>4.0644095178310206E-7</v>
      </c>
      <c r="FJ8" s="353">
        <f ca="1">IF($AN8&gt;CDS.Tenor,"-",_xlfn.NORM.S.DIST(($ER8-SQRT(Correlation3)*FJ$3)/SQRT(1-Correlation3),TRUE))</f>
        <v>4.1023174937751994E-8</v>
      </c>
      <c r="FK8" s="353">
        <f ca="1">IF($AN8&gt;CDS.Tenor,"-",_xlfn.NORM.S.DIST(($ER8-SQRT(Correlation3)*FK$3)/SQRT(1-Correlation3),TRUE))</f>
        <v>3.4592685871365376E-9</v>
      </c>
      <c r="FL8" s="353">
        <f ca="1">IF($AN8&gt;CDS.Tenor,"-",_xlfn.NORM.S.DIST(($ER8-SQRT(Correlation3)*FL$3)/SQRT(1-Correlation3),TRUE))</f>
        <v>2.4354130265318137E-10</v>
      </c>
      <c r="FM8" s="353">
        <f ca="1">IF($AN8&gt;CDS.Tenor,"-",_xlfn.NORM.S.DIST(($ER8-SQRT(Correlation3)*FM$3)/SQRT(1-Correlation3),TRUE))</f>
        <v>1.4307153042431564E-11</v>
      </c>
      <c r="FN8" s="353">
        <f ca="1">IF($AN8&gt;CDS.Tenor,"-",_xlfn.NORM.S.DIST(($ER8-SQRT(Correlation3)*FN$3)/SQRT(1-Correlation3),TRUE))</f>
        <v>7.010093000792127E-13</v>
      </c>
      <c r="FO8" s="354">
        <f ca="1">IF($AN8&gt;CDS.Tenor,"-",_xlfn.NORM.S.DIST(($ER8-SQRT(Correlation3)*FO$3)/SQRT(1-Correlation3),TRUE))</f>
        <v>2.8636050083711385E-14</v>
      </c>
      <c r="FQ8" s="358">
        <f t="shared" si="158"/>
        <v>1</v>
      </c>
      <c r="FR8" s="353">
        <f t="shared" ca="1" si="159"/>
        <v>0.13736409797494364</v>
      </c>
      <c r="FS8" s="353">
        <f t="shared" ca="1" si="160"/>
        <v>0.25401183986122167</v>
      </c>
      <c r="FT8" s="353">
        <f t="shared" ca="1" si="161"/>
        <v>0.40842528693296232</v>
      </c>
      <c r="FU8" s="353">
        <f t="shared" ca="1" si="162"/>
        <v>0.57876026647882639</v>
      </c>
      <c r="FV8" s="353">
        <f t="shared" ca="1" si="163"/>
        <v>0.73533971299407419</v>
      </c>
      <c r="FW8" s="353">
        <f t="shared" ca="1" si="164"/>
        <v>0.85528299409426656</v>
      </c>
      <c r="FX8" s="353">
        <f t="shared" ca="1" si="165"/>
        <v>0.93184640843758992</v>
      </c>
      <c r="FY8" s="353">
        <f t="shared" ca="1" si="166"/>
        <v>0.97257137628297929</v>
      </c>
      <c r="FZ8" s="353">
        <f t="shared" ca="1" si="167"/>
        <v>0.99062150523360804</v>
      </c>
      <c r="GA8" s="353">
        <f t="shared" ca="1" si="168"/>
        <v>0.99728745925922124</v>
      </c>
      <c r="GB8" s="353">
        <f t="shared" ca="1" si="169"/>
        <v>0.9993385539514833</v>
      </c>
      <c r="GC8" s="353">
        <f t="shared" ca="1" si="170"/>
        <v>0.99986436093686548</v>
      </c>
      <c r="GD8" s="353">
        <f t="shared" ca="1" si="171"/>
        <v>0.99997665513925016</v>
      </c>
      <c r="GE8" s="353">
        <f t="shared" ca="1" si="172"/>
        <v>0.99999663301769537</v>
      </c>
      <c r="GF8" s="353">
        <f t="shared" ca="1" si="173"/>
        <v>0.99999959355904822</v>
      </c>
      <c r="GG8" s="353">
        <f t="shared" ca="1" si="174"/>
        <v>0.99999995897682503</v>
      </c>
      <c r="GH8" s="353">
        <f t="shared" ca="1" si="175"/>
        <v>0.99999999654073146</v>
      </c>
      <c r="GI8" s="353">
        <f t="shared" ca="1" si="176"/>
        <v>0.9999999997564587</v>
      </c>
      <c r="GJ8" s="353">
        <f t="shared" ca="1" si="177"/>
        <v>0.99999999998569289</v>
      </c>
      <c r="GK8" s="353">
        <f t="shared" ca="1" si="178"/>
        <v>0.99999999999929901</v>
      </c>
      <c r="GL8" s="354">
        <f t="shared" ca="1" si="179"/>
        <v>0.99999999999997136</v>
      </c>
      <c r="GO8" s="358">
        <f t="shared" si="180"/>
        <v>1</v>
      </c>
      <c r="GP8" s="353">
        <f t="shared" ca="1" si="181"/>
        <v>3.5490246689330367E-2</v>
      </c>
      <c r="GQ8" s="353">
        <f t="shared" ca="1" si="182"/>
        <v>9.894057366481275E-2</v>
      </c>
      <c r="GR8" s="353">
        <f t="shared" ca="1" si="183"/>
        <v>0.21749776535001128</v>
      </c>
      <c r="GS8" s="353">
        <f t="shared" ca="1" si="184"/>
        <v>0.38729741504395537</v>
      </c>
      <c r="GT8" s="353">
        <f t="shared" ca="1" si="185"/>
        <v>0.57675314743488215</v>
      </c>
      <c r="GU8" s="353">
        <f t="shared" ca="1" si="186"/>
        <v>0.74453278495670316</v>
      </c>
      <c r="GV8" s="353">
        <f t="shared" ca="1" si="187"/>
        <v>0.86496944061689574</v>
      </c>
      <c r="GW8" s="353">
        <f t="shared" ca="1" si="188"/>
        <v>0.93670930716988055</v>
      </c>
      <c r="GX8" s="353">
        <f t="shared" ca="1" si="189"/>
        <v>0.97312331239764316</v>
      </c>
      <c r="GY8" s="353">
        <f t="shared" ca="1" si="190"/>
        <v>0.98936601438239957</v>
      </c>
      <c r="GZ8" s="353">
        <f t="shared" ca="1" si="191"/>
        <v>0.9959643248919462</v>
      </c>
      <c r="HA8" s="353">
        <f t="shared" ca="1" si="192"/>
        <v>0.99849912640802341</v>
      </c>
      <c r="HB8" s="353">
        <f t="shared" ca="1" si="193"/>
        <v>0.99944896737031697</v>
      </c>
      <c r="HC8" s="353">
        <f t="shared" ca="1" si="194"/>
        <v>0.99980131644764125</v>
      </c>
      <c r="HD8" s="353">
        <f t="shared" ca="1" si="195"/>
        <v>0.99993038878410423</v>
      </c>
      <c r="HE8" s="353">
        <f t="shared" ca="1" si="196"/>
        <v>0.99997654117673962</v>
      </c>
      <c r="HF8" s="353">
        <f t="shared" ca="1" si="197"/>
        <v>0.99999245386932101</v>
      </c>
      <c r="HG8" s="353">
        <f t="shared" ca="1" si="198"/>
        <v>0.99999769513860481</v>
      </c>
      <c r="HH8" s="353">
        <f t="shared" ca="1" si="199"/>
        <v>0.99999933393659235</v>
      </c>
      <c r="HI8" s="353">
        <f t="shared" ca="1" si="200"/>
        <v>0.99999981832643114</v>
      </c>
      <c r="HJ8" s="354">
        <f t="shared" ca="1" si="201"/>
        <v>0.99999995330349101</v>
      </c>
      <c r="HK8" s="42"/>
      <c r="HL8" s="42"/>
      <c r="HM8" s="358">
        <f t="shared" si="202"/>
        <v>1</v>
      </c>
      <c r="HN8" s="362">
        <f t="shared" ca="1" si="203"/>
        <v>0.98247712470069726</v>
      </c>
      <c r="HO8" s="363">
        <f t="shared" ca="1" si="204"/>
        <v>4.2881240825000111E-3</v>
      </c>
    </row>
    <row r="9" spans="2:244" x14ac:dyDescent="0.3">
      <c r="B9" s="116" t="s">
        <v>112</v>
      </c>
      <c r="D9" s="149">
        <v>100</v>
      </c>
      <c r="F9" s="398" t="s">
        <v>335</v>
      </c>
      <c r="G9" s="404">
        <v>1.2</v>
      </c>
      <c r="J9" s="408">
        <f>1-(1-G9)*(1-ImpliedCorrelation)</f>
        <v>1.1399999999999999</v>
      </c>
      <c r="K9" s="408">
        <f>(J9*$K$19)^2</f>
        <v>0.3034321737100163</v>
      </c>
      <c r="N9" s="408">
        <f>IF($N$3,J9,1)</f>
        <v>1.1399999999999999</v>
      </c>
      <c r="O9" s="408">
        <f>IF($N$3,K9,ImpliedCorrelation)</f>
        <v>0.3034321737100163</v>
      </c>
      <c r="P9" s="2"/>
      <c r="Q9" s="2"/>
      <c r="U9" s="28"/>
      <c r="V9" s="370">
        <f t="shared" si="89"/>
        <v>1.25</v>
      </c>
      <c r="W9" s="371">
        <f t="shared" si="90"/>
        <v>-25000</v>
      </c>
      <c r="X9" s="348">
        <f t="shared" ca="1" si="91"/>
        <v>0.97823568912913983</v>
      </c>
      <c r="Y9" s="348">
        <f t="shared" ca="1" si="92"/>
        <v>4.2414355715574281E-3</v>
      </c>
      <c r="Z9" s="372" cm="1">
        <f t="array" ref="Z9">IF($V9&gt;CDS.Tenor,"-",cubicInterpolation(CurveResults.Times,CurveResults.DFs,$V9))</f>
        <v>0.94476174559314918</v>
      </c>
      <c r="AA9" s="371">
        <f t="shared" ca="1" si="93"/>
        <v>-23104.991431579085</v>
      </c>
      <c r="AB9" s="371">
        <f t="shared" ca="1" si="94"/>
        <v>-50.089325930068405</v>
      </c>
      <c r="AC9" s="373">
        <f t="shared" ca="1" si="95"/>
        <v>-23155.080757509153</v>
      </c>
      <c r="AF9" s="370">
        <f t="shared" si="96"/>
        <v>1.25</v>
      </c>
      <c r="AG9" s="371">
        <f t="shared" si="97"/>
        <v>6000000</v>
      </c>
      <c r="AH9" s="348">
        <f t="shared" ca="1" si="98"/>
        <v>0.97823568912913983</v>
      </c>
      <c r="AI9" s="348">
        <f t="shared" ca="1" si="99"/>
        <v>4.2414355715574281E-3</v>
      </c>
      <c r="AJ9" s="372" cm="1">
        <f t="array" ref="AJ9">IF($AF9&gt;CDS.Tenor,"-",cubicInterpolation(CurveResults.Times,CurveResults.DFs,$V9))</f>
        <v>0.94476174559314918</v>
      </c>
      <c r="AK9" s="373">
        <f t="shared" ca="1" si="100"/>
        <v>24042.876446432834</v>
      </c>
      <c r="AN9" s="358">
        <f t="shared" si="101"/>
        <v>1.25</v>
      </c>
      <c r="AO9" s="343" cm="1">
        <f t="array" aca="1" ref="AO9" ca="1">IF($AN9&gt;CDS.Tenor,"-",flatInterpolation(AM9,INDIRECT(HazardRateTimes1),INDIRECT(HazardRateValues1)))</f>
        <v>5.0000000000000001E-3</v>
      </c>
      <c r="AP9" s="10">
        <f t="shared" ca="1" si="102"/>
        <v>0.99376949062339492</v>
      </c>
      <c r="AQ9" s="10">
        <f t="shared" ca="1" si="103"/>
        <v>6.2305093766050756E-3</v>
      </c>
      <c r="AR9" s="81">
        <f t="shared" ca="1" si="104"/>
        <v>-2.4988125983342369</v>
      </c>
      <c r="AT9" s="358">
        <f t="shared" si="105"/>
        <v>1.25</v>
      </c>
      <c r="AU9" s="353">
        <f ca="1">IF($AN9&gt;CDS.Tenor,"-",_xlfn.NORM.S.DIST(($AR9-SQRT(Correlation1)*AU$3)/SQRT(1-Correlation1),TRUE))</f>
        <v>0.62021215495860615</v>
      </c>
      <c r="AV9" s="353">
        <f ca="1">IF($AN9&gt;CDS.Tenor,"-",_xlfn.NORM.S.DIST(($AR9-SQRT(Correlation1)*AV$3)/SQRT(1-Correlation1),TRUE))</f>
        <v>0.490439904149854</v>
      </c>
      <c r="AW9" s="353">
        <f ca="1">IF($AN9&gt;CDS.Tenor,"-",_xlfn.NORM.S.DIST(($AR9-SQRT(Correlation1)*AW$3)/SQRT(1-Correlation1),TRUE))</f>
        <v>0.36168074623367658</v>
      </c>
      <c r="AX9" s="353">
        <f ca="1">IF($AN9&gt;CDS.Tenor,"-",_xlfn.NORM.S.DIST(($AR9-SQRT(Correlation1)*AX$3)/SQRT(1-Correlation1),TRUE))</f>
        <v>0.24699586704430465</v>
      </c>
      <c r="AY9" s="353">
        <f ca="1">IF($AN9&gt;CDS.Tenor,"-",_xlfn.NORM.S.DIST(($AR9-SQRT(Correlation1)*AY$3)/SQRT(1-Correlation1),TRUE))</f>
        <v>0.15529669828194967</v>
      </c>
      <c r="AZ9" s="353">
        <f ca="1">IF($AN9&gt;CDS.Tenor,"-",_xlfn.NORM.S.DIST(($AR9-SQRT(Correlation1)*AZ$3)/SQRT(1-Correlation1),TRUE))</f>
        <v>8.9477164634740994E-2</v>
      </c>
      <c r="BA9" s="353">
        <f ca="1">IF($AN9&gt;CDS.Tenor,"-",_xlfn.NORM.S.DIST(($AR9-SQRT(Correlation1)*BA$3)/SQRT(1-Correlation1),TRUE))</f>
        <v>4.706671918087299E-2</v>
      </c>
      <c r="BB9" s="353">
        <f ca="1">IF($AN9&gt;CDS.Tenor,"-",_xlfn.NORM.S.DIST(($AR9-SQRT(Correlation1)*BB$3)/SQRT(1-Correlation1),TRUE))</f>
        <v>2.2535593378659225E-2</v>
      </c>
      <c r="BC9" s="353">
        <f ca="1">IF($AN9&gt;CDS.Tenor,"-",_xlfn.NORM.S.DIST(($AR9-SQRT(Correlation1)*BC$3)/SQRT(1-Correlation1),TRUE))</f>
        <v>9.7980333303206279E-3</v>
      </c>
      <c r="BD9" s="353">
        <f ca="1">IF($AN9&gt;CDS.Tenor,"-",_xlfn.NORM.S.DIST(($AR9-SQRT(Correlation1)*BD$3)/SQRT(1-Correlation1),TRUE))</f>
        <v>3.8609085829324069E-3</v>
      </c>
      <c r="BE9" s="353">
        <f ca="1">IF($AN9&gt;CDS.Tenor,"-",_xlfn.NORM.S.DIST(($AR9-SQRT(Correlation1)*BE$3)/SQRT(1-Correlation1),TRUE))</f>
        <v>1.3767239562813669E-3</v>
      </c>
      <c r="BF9" s="353">
        <f ca="1">IF($AN9&gt;CDS.Tenor,"-",_xlfn.NORM.S.DIST(($AR9-SQRT(Correlation1)*BF$3)/SQRT(1-Correlation1),TRUE))</f>
        <v>4.4367269280977124E-4</v>
      </c>
      <c r="BG9" s="353">
        <f ca="1">IF($AN9&gt;CDS.Tenor,"-",_xlfn.NORM.S.DIST(($AR9-SQRT(Correlation1)*BG$3)/SQRT(1-Correlation1),TRUE))</f>
        <v>1.2908853551746077E-4</v>
      </c>
      <c r="BH9" s="353">
        <f ca="1">IF($AN9&gt;CDS.Tenor,"-",_xlfn.NORM.S.DIST(($AR9-SQRT(Correlation1)*BH$3)/SQRT(1-Correlation1),TRUE))</f>
        <v>3.3880571603404021E-5</v>
      </c>
      <c r="BI9" s="353">
        <f ca="1">IF($AN9&gt;CDS.Tenor,"-",_xlfn.NORM.S.DIST(($AR9-SQRT(Correlation1)*BI$3)/SQRT(1-Correlation1),TRUE))</f>
        <v>8.0157304976626772E-6</v>
      </c>
      <c r="BJ9" s="353">
        <f ca="1">IF($AN9&gt;CDS.Tenor,"-",_xlfn.NORM.S.DIST(($AR9-SQRT(Correlation1)*BJ$3)/SQRT(1-Correlation1),TRUE))</f>
        <v>1.7084646024289927E-6</v>
      </c>
      <c r="BK9" s="353">
        <f ca="1">IF($AN9&gt;CDS.Tenor,"-",_xlfn.NORM.S.DIST(($AR9-SQRT(Correlation1)*BK$3)/SQRT(1-Correlation1),TRUE))</f>
        <v>3.2788446419591262E-7</v>
      </c>
      <c r="BL9" s="353">
        <f ca="1">IF($AN9&gt;CDS.Tenor,"-",_xlfn.NORM.S.DIST(($AR9-SQRT(Correlation1)*BL$3)/SQRT(1-Correlation1),TRUE))</f>
        <v>5.6637216873573218E-8</v>
      </c>
      <c r="BM9" s="353">
        <f ca="1">IF($AN9&gt;CDS.Tenor,"-",_xlfn.NORM.S.DIST(($AR9-SQRT(Correlation1)*BM$3)/SQRT(1-Correlation1),TRUE))</f>
        <v>8.8021796613103534E-9</v>
      </c>
      <c r="BN9" s="353">
        <f ca="1">IF($AN9&gt;CDS.Tenor,"-",_xlfn.NORM.S.DIST(($AR9-SQRT(Correlation1)*BN$3)/SQRT(1-Correlation1),TRUE))</f>
        <v>1.2304074874827644E-9</v>
      </c>
      <c r="BO9" s="354">
        <f ca="1">IF($AN9&gt;CDS.Tenor,"-",_xlfn.NORM.S.DIST(($AR9-SQRT(Correlation1)*BO$3)/SQRT(1-Correlation1),TRUE))</f>
        <v>1.546534480615662E-10</v>
      </c>
      <c r="BQ9" s="358">
        <f t="shared" si="106"/>
        <v>1.25</v>
      </c>
      <c r="BR9" s="353">
        <f t="shared" ca="1" si="107"/>
        <v>0.37978784504139385</v>
      </c>
      <c r="BS9" s="353">
        <f t="shared" ca="1" si="108"/>
        <v>0.50956009585014606</v>
      </c>
      <c r="BT9" s="353">
        <f t="shared" ca="1" si="109"/>
        <v>0.63831925376632337</v>
      </c>
      <c r="BU9" s="353">
        <f t="shared" ca="1" si="110"/>
        <v>0.75300413295569535</v>
      </c>
      <c r="BV9" s="353">
        <f t="shared" ca="1" si="111"/>
        <v>0.8447033017180503</v>
      </c>
      <c r="BW9" s="353">
        <f t="shared" ca="1" si="112"/>
        <v>0.91052283536525902</v>
      </c>
      <c r="BX9" s="353">
        <f t="shared" ca="1" si="113"/>
        <v>0.95293328081912698</v>
      </c>
      <c r="BY9" s="353">
        <f t="shared" ca="1" si="114"/>
        <v>0.97746440662134082</v>
      </c>
      <c r="BZ9" s="353">
        <f t="shared" ca="1" si="115"/>
        <v>0.99020196666967941</v>
      </c>
      <c r="CA9" s="353">
        <f t="shared" ca="1" si="116"/>
        <v>0.99613909141706758</v>
      </c>
      <c r="CB9" s="353">
        <f t="shared" ca="1" si="117"/>
        <v>0.99862327604371859</v>
      </c>
      <c r="CC9" s="353">
        <f t="shared" ca="1" si="118"/>
        <v>0.99955632730719024</v>
      </c>
      <c r="CD9" s="353">
        <f t="shared" ca="1" si="119"/>
        <v>0.99987091146448259</v>
      </c>
      <c r="CE9" s="353">
        <f t="shared" ca="1" si="120"/>
        <v>0.99996611942839664</v>
      </c>
      <c r="CF9" s="353">
        <f t="shared" ca="1" si="121"/>
        <v>0.99999198426950231</v>
      </c>
      <c r="CG9" s="353">
        <f t="shared" ca="1" si="122"/>
        <v>0.99999829153539754</v>
      </c>
      <c r="CH9" s="353">
        <f t="shared" ca="1" si="123"/>
        <v>0.99999967211553575</v>
      </c>
      <c r="CI9" s="353">
        <f t="shared" ca="1" si="124"/>
        <v>0.99999994336278308</v>
      </c>
      <c r="CJ9" s="353">
        <f t="shared" ca="1" si="125"/>
        <v>0.99999999119782035</v>
      </c>
      <c r="CK9" s="353">
        <f t="shared" ca="1" si="126"/>
        <v>0.99999999876959256</v>
      </c>
      <c r="CL9" s="354">
        <f t="shared" ca="1" si="127"/>
        <v>0.9999999998453466</v>
      </c>
      <c r="CM9" s="17"/>
      <c r="CN9" s="17"/>
      <c r="CO9" s="343" cm="1">
        <f t="array" aca="1" ref="CO9" ca="1">IF($AN9&gt;CDS.Tenor,"-",flatInterpolation(AN9,INDIRECT(HazardRateTimes2),INDIRECT(HazardRateValues2)))</f>
        <v>5.8333333333333336E-3</v>
      </c>
      <c r="CP9" s="10">
        <f t="shared" ca="1" si="128"/>
        <v>0.99273485303795894</v>
      </c>
      <c r="CQ9" s="10">
        <f t="shared" ca="1" si="129"/>
        <v>7.265146962041058E-3</v>
      </c>
      <c r="CR9" s="81">
        <f t="shared" ca="1" si="130"/>
        <v>-2.4438791235978874</v>
      </c>
      <c r="CT9" s="358">
        <f t="shared" si="131"/>
        <v>1.25</v>
      </c>
      <c r="CU9" s="353">
        <f ca="1">IF($AN9&gt;CDS.Tenor,"-",_xlfn.NORM.S.DIST(($CR9-SQRT(Correlation2)*CU$3)/SQRT(1-Correlation2),TRUE))</f>
        <v>0.41273133020573738</v>
      </c>
      <c r="CV9" s="353">
        <f ca="1">IF($AN9&gt;CDS.Tenor,"-",_xlfn.NORM.S.DIST(($CR9-SQRT(Correlation2)*CV$3)/SQRT(1-Correlation2),TRUE))</f>
        <v>0.31844996824724114</v>
      </c>
      <c r="CW9" s="353">
        <f ca="1">IF($AN9&gt;CDS.Tenor,"-",_xlfn.NORM.S.DIST(($CR9-SQRT(Correlation2)*CW$3)/SQRT(1-Correlation2),TRUE))</f>
        <v>0.23467080950862448</v>
      </c>
      <c r="CX9" s="353">
        <f ca="1">IF($AN9&gt;CDS.Tenor,"-",_xlfn.NORM.S.DIST(($CR9-SQRT(Correlation2)*CX$3)/SQRT(1-Correlation2),TRUE))</f>
        <v>0.16476431322318216</v>
      </c>
      <c r="CY9" s="353">
        <f ca="1">IF($AN9&gt;CDS.Tenor,"-",_xlfn.NORM.S.DIST(($CR9-SQRT(Correlation2)*CY$3)/SQRT(1-Correlation2),TRUE))</f>
        <v>0.10999083700354417</v>
      </c>
      <c r="CZ9" s="353">
        <f ca="1">IF($AN9&gt;CDS.Tenor,"-",_xlfn.NORM.S.DIST(($CR9-SQRT(Correlation2)*CZ$3)/SQRT(1-Correlation2),TRUE))</f>
        <v>6.9691854694298228E-2</v>
      </c>
      <c r="DA9" s="353">
        <f ca="1">IF($AN9&gt;CDS.Tenor,"-",_xlfn.NORM.S.DIST(($CR9-SQRT(Correlation2)*DA$3)/SQRT(1-Correlation2),TRUE))</f>
        <v>4.1850614307547815E-2</v>
      </c>
      <c r="DB9" s="353">
        <f ca="1">IF($AN9&gt;CDS.Tenor,"-",_xlfn.NORM.S.DIST(($CR9-SQRT(Correlation2)*DB$3)/SQRT(1-Correlation2),TRUE))</f>
        <v>2.3789128525563513E-2</v>
      </c>
      <c r="DC9" s="353">
        <f ca="1">IF($AN9&gt;CDS.Tenor,"-",_xlfn.NORM.S.DIST(($CR9-SQRT(Correlation2)*DC$3)/SQRT(1-Correlation2),TRUE))</f>
        <v>1.2786704736394336E-2</v>
      </c>
      <c r="DD9" s="353">
        <f ca="1">IF($AN9&gt;CDS.Tenor,"-",_xlfn.NORM.S.DIST(($CR9-SQRT(Correlation2)*DD$3)/SQRT(1-Correlation2),TRUE))</f>
        <v>6.4931962586189367E-3</v>
      </c>
      <c r="DE9" s="353">
        <f ca="1">IF($AN9&gt;CDS.Tenor,"-",_xlfn.NORM.S.DIST(($CR9-SQRT(Correlation2)*DE$3)/SQRT(1-Correlation2),TRUE))</f>
        <v>3.1128099617297807E-3</v>
      </c>
      <c r="DF9" s="353">
        <f ca="1">IF($AN9&gt;CDS.Tenor,"-",_xlfn.NORM.S.DIST(($CR9-SQRT(Correlation2)*DF$3)/SQRT(1-Correlation2),TRUE))</f>
        <v>1.4078729047339324E-3</v>
      </c>
      <c r="DG9" s="353">
        <f ca="1">IF($AN9&gt;CDS.Tenor,"-",_xlfn.NORM.S.DIST(($CR9-SQRT(Correlation2)*DG$3)/SQRT(1-Correlation2),TRUE))</f>
        <v>6.0041801038652619E-4</v>
      </c>
      <c r="DH9" s="353">
        <f ca="1">IF($AN9&gt;CDS.Tenor,"-",_xlfn.NORM.S.DIST(($CR9-SQRT(Correlation2)*DH$3)/SQRT(1-Correlation2),TRUE))</f>
        <v>2.4133451730393133E-4</v>
      </c>
      <c r="DI9" s="353">
        <f ca="1">IF($AN9&gt;CDS.Tenor,"-",_xlfn.NORM.S.DIST(($CR9-SQRT(Correlation2)*DI$3)/SQRT(1-Correlation2),TRUE))</f>
        <v>9.1387042625237769E-5</v>
      </c>
      <c r="DJ9" s="353">
        <f ca="1">IF($AN9&gt;CDS.Tenor,"-",_xlfn.NORM.S.DIST(($CR9-SQRT(Correlation2)*DJ$3)/SQRT(1-Correlation2),TRUE))</f>
        <v>3.2590923207317436E-5</v>
      </c>
      <c r="DK9" s="353">
        <f ca="1">IF($AN9&gt;CDS.Tenor,"-",_xlfn.NORM.S.DIST(($CR9-SQRT(Correlation2)*DK$3)/SQRT(1-Correlation2),TRUE))</f>
        <v>1.0942654817319352E-5</v>
      </c>
      <c r="DL9" s="353">
        <f ca="1">IF($AN9&gt;CDS.Tenor,"-",_xlfn.NORM.S.DIST(($CR9-SQRT(Correlation2)*DL$3)/SQRT(1-Correlation2),TRUE))</f>
        <v>3.4581717242768863E-6</v>
      </c>
      <c r="DM9" s="353">
        <f ca="1">IF($AN9&gt;CDS.Tenor,"-",_xlfn.NORM.S.DIST(($CR9-SQRT(Correlation2)*DM$3)/SQRT(1-Correlation2),TRUE))</f>
        <v>1.0284098215379836E-6</v>
      </c>
      <c r="DN9" s="353">
        <f ca="1">IF($AN9&gt;CDS.Tenor,"-",_xlfn.NORM.S.DIST(($CR9-SQRT(Correlation2)*DN$3)/SQRT(1-Correlation2),TRUE))</f>
        <v>2.877343692842693E-7</v>
      </c>
      <c r="DO9" s="354">
        <f ca="1">IF($AN9&gt;CDS.Tenor,"-",_xlfn.NORM.S.DIST(($CR9-SQRT(Correlation2)*DO$3)/SQRT(1-Correlation2),TRUE))</f>
        <v>7.5725740267887361E-8</v>
      </c>
      <c r="DQ9" s="358">
        <f t="shared" si="132"/>
        <v>1.25</v>
      </c>
      <c r="DR9" s="353">
        <f t="shared" ca="1" si="133"/>
        <v>0.58726866979426262</v>
      </c>
      <c r="DS9" s="353">
        <f t="shared" ca="1" si="134"/>
        <v>0.68155003175275886</v>
      </c>
      <c r="DT9" s="353">
        <f t="shared" ca="1" si="135"/>
        <v>0.76532919049137549</v>
      </c>
      <c r="DU9" s="353">
        <f t="shared" ca="1" si="136"/>
        <v>0.83523568677681781</v>
      </c>
      <c r="DV9" s="353">
        <f t="shared" ca="1" si="137"/>
        <v>0.89000916299645583</v>
      </c>
      <c r="DW9" s="353">
        <f t="shared" ca="1" si="138"/>
        <v>0.93030814530570183</v>
      </c>
      <c r="DX9" s="353">
        <f t="shared" ca="1" si="139"/>
        <v>0.95814938569245223</v>
      </c>
      <c r="DY9" s="353">
        <f t="shared" ca="1" si="140"/>
        <v>0.97621087147443653</v>
      </c>
      <c r="DZ9" s="353">
        <f t="shared" ca="1" si="141"/>
        <v>0.98721329526360568</v>
      </c>
      <c r="EA9" s="353">
        <f t="shared" ca="1" si="142"/>
        <v>0.99350680374138112</v>
      </c>
      <c r="EB9" s="353">
        <f t="shared" ca="1" si="143"/>
        <v>0.9968871900382702</v>
      </c>
      <c r="EC9" s="353">
        <f t="shared" ca="1" si="144"/>
        <v>0.99859212709526601</v>
      </c>
      <c r="ED9" s="353">
        <f t="shared" ca="1" si="145"/>
        <v>0.99939958198961343</v>
      </c>
      <c r="EE9" s="353">
        <f t="shared" ca="1" si="146"/>
        <v>0.9997586654826961</v>
      </c>
      <c r="EF9" s="353">
        <f t="shared" ca="1" si="147"/>
        <v>0.99990861295737476</v>
      </c>
      <c r="EG9" s="353">
        <f t="shared" ca="1" si="148"/>
        <v>0.99996740907679271</v>
      </c>
      <c r="EH9" s="353">
        <f t="shared" ca="1" si="149"/>
        <v>0.99998905734518273</v>
      </c>
      <c r="EI9" s="353">
        <f t="shared" ca="1" si="150"/>
        <v>0.99999654182827569</v>
      </c>
      <c r="EJ9" s="353">
        <f t="shared" ca="1" si="151"/>
        <v>0.99999897159017848</v>
      </c>
      <c r="EK9" s="353">
        <f t="shared" ca="1" si="152"/>
        <v>0.99999971226563067</v>
      </c>
      <c r="EL9" s="354">
        <f t="shared" ca="1" si="153"/>
        <v>0.99999992427425977</v>
      </c>
      <c r="EM9" s="17"/>
      <c r="EN9" s="17"/>
      <c r="EO9" s="343" cm="1">
        <f t="array" aca="1" ref="EO9" ca="1">IF($AN9&gt;CDS.Tenor,"-",flatInterpolation(CP9,INDIRECT(HazardRateTimes3),INDIRECT(HazardRateValues3)))</f>
        <v>7.4999999999999997E-3</v>
      </c>
      <c r="EP9" s="10">
        <f t="shared" ca="1" si="154"/>
        <v>0.99066880830466109</v>
      </c>
      <c r="EQ9" s="10">
        <f t="shared" ca="1" si="155"/>
        <v>9.331191695338914E-3</v>
      </c>
      <c r="ER9" s="81">
        <f t="shared" ca="1" si="156"/>
        <v>-2.3522070539735651</v>
      </c>
      <c r="ET9" s="358">
        <f t="shared" si="157"/>
        <v>1.25</v>
      </c>
      <c r="EU9" s="353">
        <f ca="1">IF($AN9&gt;CDS.Tenor,"-",_xlfn.NORM.S.DIST(($ER9-SQRT(Correlation3)*EU$3)/SQRT(1-Correlation3),TRUE))</f>
        <v>0.88489235872628291</v>
      </c>
      <c r="EV9" s="353">
        <f ca="1">IF($AN9&gt;CDS.Tenor,"-",_xlfn.NORM.S.DIST(($ER9-SQRT(Correlation3)*EV$3)/SQRT(1-Correlation3),TRUE))</f>
        <v>0.77919696007370687</v>
      </c>
      <c r="EW9" s="353">
        <f ca="1">IF($AN9&gt;CDS.Tenor,"-",_xlfn.NORM.S.DIST(($ER9-SQRT(Correlation3)*EW$3)/SQRT(1-Correlation3),TRUE))</f>
        <v>0.63275667268554803</v>
      </c>
      <c r="EX9" s="353">
        <f ca="1">IF($AN9&gt;CDS.Tenor,"-",_xlfn.NORM.S.DIST(($ER9-SQRT(Correlation3)*EX$3)/SQRT(1-Correlation3),TRUE))</f>
        <v>0.4636838525293091</v>
      </c>
      <c r="EY9" s="353">
        <f ca="1">IF($AN9&gt;CDS.Tenor,"-",_xlfn.NORM.S.DIST(($ER9-SQRT(Correlation3)*EY$3)/SQRT(1-Correlation3),TRUE))</f>
        <v>0.30101700989285779</v>
      </c>
      <c r="EZ9" s="353">
        <f ca="1">IF($AN9&gt;CDS.Tenor,"-",_xlfn.NORM.S.DIST(($ER9-SQRT(Correlation3)*EZ$3)/SQRT(1-Correlation3),TRUE))</f>
        <v>0.17059964840718986</v>
      </c>
      <c r="FA9" s="353">
        <f ca="1">IF($AN9&gt;CDS.Tenor,"-",_xlfn.NORM.S.DIST(($ER9-SQRT(Correlation3)*FA$3)/SQRT(1-Correlation3),TRUE))</f>
        <v>8.3467609253711647E-2</v>
      </c>
      <c r="FB9" s="353">
        <f ca="1">IF($AN9&gt;CDS.Tenor,"-",_xlfn.NORM.S.DIST(($ER9-SQRT(Correlation3)*FB$3)/SQRT(1-Correlation3),TRUE))</f>
        <v>3.4959166410921345E-2</v>
      </c>
      <c r="FC9" s="353">
        <f ca="1">IF($AN9&gt;CDS.Tenor,"-",_xlfn.NORM.S.DIST(($ER9-SQRT(Correlation3)*FC$3)/SQRT(1-Correlation3),TRUE))</f>
        <v>1.2456149819719329E-2</v>
      </c>
      <c r="FD9" s="353">
        <f ca="1">IF($AN9&gt;CDS.Tenor,"-",_xlfn.NORM.S.DIST(($ER9-SQRT(Correlation3)*FD$3)/SQRT(1-Correlation3),TRUE))</f>
        <v>3.7579108200629791E-3</v>
      </c>
      <c r="FE9" s="353">
        <f ca="1">IF($AN9&gt;CDS.Tenor,"-",_xlfn.NORM.S.DIST(($ER9-SQRT(Correlation3)*FE$3)/SQRT(1-Correlation3),TRUE))</f>
        <v>9.565510357744184E-4</v>
      </c>
      <c r="FF9" s="353">
        <f ca="1">IF($AN9&gt;CDS.Tenor,"-",_xlfn.NORM.S.DIST(($ER9-SQRT(Correlation3)*FF$3)/SQRT(1-Correlation3),TRUE))</f>
        <v>2.0487622868943403E-4</v>
      </c>
      <c r="FG9" s="353">
        <f ca="1">IF($AN9&gt;CDS.Tenor,"-",_xlfn.NORM.S.DIST(($ER9-SQRT(Correlation3)*FG$3)/SQRT(1-Correlation3),TRUE))</f>
        <v>3.6845618060612317E-5</v>
      </c>
      <c r="FH9" s="353">
        <f ca="1">IF($AN9&gt;CDS.Tenor,"-",_xlfn.NORM.S.DIST(($ER9-SQRT(Correlation3)*FH$3)/SQRT(1-Correlation3),TRUE))</f>
        <v>5.5549099450168627E-6</v>
      </c>
      <c r="FI9" s="353">
        <f ca="1">IF($AN9&gt;CDS.Tenor,"-",_xlfn.NORM.S.DIST(($ER9-SQRT(Correlation3)*FI$3)/SQRT(1-Correlation3),TRUE))</f>
        <v>7.0112972636180588E-7</v>
      </c>
      <c r="FJ9" s="353">
        <f ca="1">IF($AN9&gt;CDS.Tenor,"-",_xlfn.NORM.S.DIST(($ER9-SQRT(Correlation3)*FJ$3)/SQRT(1-Correlation3),TRUE))</f>
        <v>7.4010710254057507E-8</v>
      </c>
      <c r="FK9" s="353">
        <f ca="1">IF($AN9&gt;CDS.Tenor,"-",_xlfn.NORM.S.DIST(($ER9-SQRT(Correlation3)*FK$3)/SQRT(1-Correlation3),TRUE))</f>
        <v>6.5282311389492904E-9</v>
      </c>
      <c r="FL9" s="353">
        <f ca="1">IF($AN9&gt;CDS.Tenor,"-",_xlfn.NORM.S.DIST(($ER9-SQRT(Correlation3)*FL$3)/SQRT(1-Correlation3),TRUE))</f>
        <v>4.8083628137508658E-10</v>
      </c>
      <c r="FM9" s="353">
        <f ca="1">IF($AN9&gt;CDS.Tenor,"-",_xlfn.NORM.S.DIST(($ER9-SQRT(Correlation3)*FM$3)/SQRT(1-Correlation3),TRUE))</f>
        <v>2.9556123529106735E-11</v>
      </c>
      <c r="FN9" s="353">
        <f ca="1">IF($AN9&gt;CDS.Tenor,"-",_xlfn.NORM.S.DIST(($ER9-SQRT(Correlation3)*FN$3)/SQRT(1-Correlation3),TRUE))</f>
        <v>1.5154271397439931E-12</v>
      </c>
      <c r="FO9" s="354">
        <f ca="1">IF($AN9&gt;CDS.Tenor,"-",_xlfn.NORM.S.DIST(($ER9-SQRT(Correlation3)*FO$3)/SQRT(1-Correlation3),TRUE))</f>
        <v>6.4786071557133268E-14</v>
      </c>
      <c r="FQ9" s="358">
        <f t="shared" si="158"/>
        <v>1.25</v>
      </c>
      <c r="FR9" s="353">
        <f t="shared" ca="1" si="159"/>
        <v>0.11510764127371709</v>
      </c>
      <c r="FS9" s="353">
        <f t="shared" ca="1" si="160"/>
        <v>0.22080303992629313</v>
      </c>
      <c r="FT9" s="353">
        <f t="shared" ca="1" si="161"/>
        <v>0.36724332731445197</v>
      </c>
      <c r="FU9" s="353">
        <f t="shared" ca="1" si="162"/>
        <v>0.5363161474706909</v>
      </c>
      <c r="FV9" s="353">
        <f t="shared" ca="1" si="163"/>
        <v>0.69898299010714227</v>
      </c>
      <c r="FW9" s="353">
        <f t="shared" ca="1" si="164"/>
        <v>0.82940035159281011</v>
      </c>
      <c r="FX9" s="353">
        <f t="shared" ca="1" si="165"/>
        <v>0.91653239074628834</v>
      </c>
      <c r="FY9" s="353">
        <f t="shared" ca="1" si="166"/>
        <v>0.96504083358907866</v>
      </c>
      <c r="FZ9" s="353">
        <f t="shared" ca="1" si="167"/>
        <v>0.98754385018028068</v>
      </c>
      <c r="GA9" s="353">
        <f t="shared" ca="1" si="168"/>
        <v>0.99624208917993706</v>
      </c>
      <c r="GB9" s="353">
        <f t="shared" ca="1" si="169"/>
        <v>0.99904344896422559</v>
      </c>
      <c r="GC9" s="353">
        <f t="shared" ca="1" si="170"/>
        <v>0.99979512377131052</v>
      </c>
      <c r="GD9" s="353">
        <f t="shared" ca="1" si="171"/>
        <v>0.99996315438193939</v>
      </c>
      <c r="GE9" s="353">
        <f t="shared" ca="1" si="172"/>
        <v>0.99999444509005497</v>
      </c>
      <c r="GF9" s="353">
        <f t="shared" ca="1" si="173"/>
        <v>0.99999929887027361</v>
      </c>
      <c r="GG9" s="353">
        <f t="shared" ca="1" si="174"/>
        <v>0.99999992598928977</v>
      </c>
      <c r="GH9" s="353">
        <f t="shared" ca="1" si="175"/>
        <v>0.99999999347176882</v>
      </c>
      <c r="GI9" s="353">
        <f t="shared" ca="1" si="176"/>
        <v>0.99999999951916374</v>
      </c>
      <c r="GJ9" s="353">
        <f t="shared" ca="1" si="177"/>
        <v>0.99999999997044386</v>
      </c>
      <c r="GK9" s="353">
        <f t="shared" ca="1" si="178"/>
        <v>0.99999999999848455</v>
      </c>
      <c r="GL9" s="354">
        <f t="shared" ca="1" si="179"/>
        <v>0.99999999999993516</v>
      </c>
      <c r="GO9" s="358">
        <f t="shared" si="180"/>
        <v>1.25</v>
      </c>
      <c r="GP9" s="353">
        <f t="shared" ca="1" si="181"/>
        <v>2.5673320835433621E-2</v>
      </c>
      <c r="GQ9" s="353">
        <f t="shared" ca="1" si="182"/>
        <v>7.6682842189187375E-2</v>
      </c>
      <c r="GR9" s="353">
        <f t="shared" ca="1" si="183"/>
        <v>0.17940731061795251</v>
      </c>
      <c r="GS9" s="353">
        <f t="shared" ca="1" si="184"/>
        <v>0.33730849183801931</v>
      </c>
      <c r="GT9" s="353">
        <f t="shared" ca="1" si="185"/>
        <v>0.52549099337123173</v>
      </c>
      <c r="GU9" s="353">
        <f t="shared" ca="1" si="186"/>
        <v>0.70255751022499258</v>
      </c>
      <c r="GV9" s="353">
        <f t="shared" ca="1" si="187"/>
        <v>0.83684213353109582</v>
      </c>
      <c r="GW9" s="353">
        <f t="shared" ca="1" si="188"/>
        <v>0.92085294579064914</v>
      </c>
      <c r="GX9" s="353">
        <f t="shared" ca="1" si="189"/>
        <v>0.96536415499051664</v>
      </c>
      <c r="GY9" s="353">
        <f t="shared" ca="1" si="190"/>
        <v>0.98595186956870662</v>
      </c>
      <c r="GZ9" s="353">
        <f t="shared" ca="1" si="191"/>
        <v>0.99456249089529913</v>
      </c>
      <c r="HA9" s="353">
        <f t="shared" ca="1" si="192"/>
        <v>0.99794458201823599</v>
      </c>
      <c r="HB9" s="353">
        <f t="shared" ca="1" si="193"/>
        <v>0.99923375221938082</v>
      </c>
      <c r="HC9" s="353">
        <f t="shared" ca="1" si="194"/>
        <v>0.99971923970644871</v>
      </c>
      <c r="HD9" s="353">
        <f t="shared" ca="1" si="195"/>
        <v>0.9998998968993783</v>
      </c>
      <c r="HE9" s="353">
        <f t="shared" ca="1" si="196"/>
        <v>0.99996562665969901</v>
      </c>
      <c r="HF9" s="353">
        <f t="shared" ca="1" si="197"/>
        <v>0.99998872293614882</v>
      </c>
      <c r="HG9" s="353">
        <f t="shared" ca="1" si="198"/>
        <v>0.99999648471042002</v>
      </c>
      <c r="HH9" s="353">
        <f t="shared" ca="1" si="199"/>
        <v>0.99999896275845179</v>
      </c>
      <c r="HI9" s="353">
        <f t="shared" ca="1" si="200"/>
        <v>0.99999971103370811</v>
      </c>
      <c r="HJ9" s="354">
        <f t="shared" ca="1" si="201"/>
        <v>0.99999992411954153</v>
      </c>
      <c r="HK9" s="42"/>
      <c r="HL9" s="42"/>
      <c r="HM9" s="358">
        <f t="shared" si="202"/>
        <v>1.25</v>
      </c>
      <c r="HN9" s="362">
        <f t="shared" ca="1" si="203"/>
        <v>0.97823568912913983</v>
      </c>
      <c r="HO9" s="363">
        <f t="shared" ca="1" si="204"/>
        <v>4.2414355715574281E-3</v>
      </c>
    </row>
    <row r="10" spans="2:244" x14ac:dyDescent="0.3">
      <c r="B10" s="116" t="s">
        <v>133</v>
      </c>
      <c r="C10" s="160"/>
      <c r="D10" s="162">
        <v>5</v>
      </c>
      <c r="F10" s="399" t="s">
        <v>336</v>
      </c>
      <c r="G10" s="404">
        <v>0.9</v>
      </c>
      <c r="J10" s="408">
        <f>1-(1-G10)*(1-ImpliedCorrelation)</f>
        <v>0.93</v>
      </c>
      <c r="K10" s="408">
        <f>(J10*$K$19)^2</f>
        <v>0.2019378939995331</v>
      </c>
      <c r="N10" s="408">
        <f>IF($N$3,J10,1)</f>
        <v>0.93</v>
      </c>
      <c r="O10" s="408">
        <f>IF($N$3,K10,ImpliedCorrelation)</f>
        <v>0.2019378939995331</v>
      </c>
      <c r="P10" s="2"/>
      <c r="Q10" s="2"/>
      <c r="U10" s="17"/>
      <c r="V10" s="370">
        <f t="shared" si="89"/>
        <v>1.5</v>
      </c>
      <c r="W10" s="371">
        <f t="shared" si="90"/>
        <v>-25000</v>
      </c>
      <c r="X10" s="348">
        <f t="shared" ca="1" si="91"/>
        <v>0.97403693668666758</v>
      </c>
      <c r="Y10" s="348">
        <f t="shared" ca="1" si="92"/>
        <v>4.1987524424722533E-3</v>
      </c>
      <c r="Z10" s="372" cm="1">
        <f t="array" ref="Z10">IF($V10&gt;CDS.Tenor,"-",cubicInterpolation(CurveResults.Times,CurveResults.DFs,$V10))</f>
        <v>0.93466312738762736</v>
      </c>
      <c r="AA10" s="371">
        <f t="shared" ca="1" si="93"/>
        <v>-22759.910235865627</v>
      </c>
      <c r="AB10" s="371">
        <f t="shared" ca="1" si="94"/>
        <v>-49.055238612594444</v>
      </c>
      <c r="AC10" s="373">
        <f t="shared" ca="1" si="95"/>
        <v>-22808.96547447822</v>
      </c>
      <c r="AF10" s="370">
        <f t="shared" si="96"/>
        <v>1.5</v>
      </c>
      <c r="AG10" s="371">
        <f t="shared" si="97"/>
        <v>6000000</v>
      </c>
      <c r="AH10" s="348">
        <f t="shared" ca="1" si="98"/>
        <v>0.97403693668666758</v>
      </c>
      <c r="AI10" s="348">
        <f t="shared" ca="1" si="99"/>
        <v>4.1987524424722533E-3</v>
      </c>
      <c r="AJ10" s="372" cm="1">
        <f t="array" ref="AJ10">IF($AF10&gt;CDS.Tenor,"-",cubicInterpolation(CurveResults.Times,CurveResults.DFs,$V10))</f>
        <v>0.93466312738762736</v>
      </c>
      <c r="AK10" s="373">
        <f t="shared" ca="1" si="100"/>
        <v>23546.514534045331</v>
      </c>
      <c r="AN10" s="358">
        <f t="shared" si="101"/>
        <v>1.5</v>
      </c>
      <c r="AO10" s="343" cm="1">
        <f t="array" aca="1" ref="AO10" ca="1">IF($AN10&gt;CDS.Tenor,"-",flatInterpolation(AM10,INDIRECT(HazardRateTimes1),INDIRECT(HazardRateValues1)))</f>
        <v>5.0000000000000001E-3</v>
      </c>
      <c r="AP10" s="10">
        <f t="shared" ca="1" si="102"/>
        <v>0.99252805481913864</v>
      </c>
      <c r="AQ10" s="10">
        <f t="shared" ca="1" si="103"/>
        <v>7.4719451808613613E-3</v>
      </c>
      <c r="AR10" s="81">
        <f t="shared" ca="1" si="104"/>
        <v>-2.4337359926085322</v>
      </c>
      <c r="AT10" s="358">
        <f t="shared" si="105"/>
        <v>1.5</v>
      </c>
      <c r="AU10" s="353">
        <f ca="1">IF($AN10&gt;CDS.Tenor,"-",_xlfn.NORM.S.DIST(($AR10-SQRT(Correlation1)*AU$3)/SQRT(1-Correlation1),TRUE))</f>
        <v>0.64951479361384368</v>
      </c>
      <c r="AV10" s="353">
        <f ca="1">IF($AN10&gt;CDS.Tenor,"-",_xlfn.NORM.S.DIST(($AR10-SQRT(Correlation1)*AV$3)/SQRT(1-Correlation1),TRUE))</f>
        <v>0.52153517044850628</v>
      </c>
      <c r="AW10" s="353">
        <f ca="1">IF($AN10&gt;CDS.Tenor,"-",_xlfn.NORM.S.DIST(($AR10-SQRT(Correlation1)*AW$3)/SQRT(1-Correlation1),TRUE))</f>
        <v>0.39127517712102478</v>
      </c>
      <c r="AX10" s="353">
        <f ca="1">IF($AN10&gt;CDS.Tenor,"-",_xlfn.NORM.S.DIST(($AR10-SQRT(Correlation1)*AX$3)/SQRT(1-Correlation1),TRUE))</f>
        <v>0.27225706055724347</v>
      </c>
      <c r="AY10" s="353">
        <f ca="1">IF($AN10&gt;CDS.Tenor,"-",_xlfn.NORM.S.DIST(($AR10-SQRT(Correlation1)*AY$3)/SQRT(1-Correlation1),TRUE))</f>
        <v>0.17463533687558369</v>
      </c>
      <c r="AZ10" s="353">
        <f ca="1">IF($AN10&gt;CDS.Tenor,"-",_xlfn.NORM.S.DIST(($AR10-SQRT(Correlation1)*AZ$3)/SQRT(1-Correlation1),TRUE))</f>
        <v>0.10275496342979389</v>
      </c>
      <c r="BA10" s="353">
        <f ca="1">IF($AN10&gt;CDS.Tenor,"-",_xlfn.NORM.S.DIST(($AR10-SQRT(Correlation1)*BA$3)/SQRT(1-Correlation1),TRUE))</f>
        <v>5.5242974005350748E-2</v>
      </c>
      <c r="BB10" s="353">
        <f ca="1">IF($AN10&gt;CDS.Tenor,"-",_xlfn.NORM.S.DIST(($AR10-SQRT(Correlation1)*BB$3)/SQRT(1-Correlation1),TRUE))</f>
        <v>2.7051145874269007E-2</v>
      </c>
      <c r="BC10" s="353">
        <f ca="1">IF($AN10&gt;CDS.Tenor,"-",_xlfn.NORM.S.DIST(($AR10-SQRT(Correlation1)*BC$3)/SQRT(1-Correlation1),TRUE))</f>
        <v>1.2034670335702047E-2</v>
      </c>
      <c r="BD10" s="353">
        <f ca="1">IF($AN10&gt;CDS.Tenor,"-",_xlfn.NORM.S.DIST(($AR10-SQRT(Correlation1)*BD$3)/SQRT(1-Correlation1),TRUE))</f>
        <v>4.8545009345493609E-3</v>
      </c>
      <c r="BE10" s="353">
        <f ca="1">IF($AN10&gt;CDS.Tenor,"-",_xlfn.NORM.S.DIST(($AR10-SQRT(Correlation1)*BE$3)/SQRT(1-Correlation1),TRUE))</f>
        <v>1.7725907602847352E-3</v>
      </c>
      <c r="BF10" s="353">
        <f ca="1">IF($AN10&gt;CDS.Tenor,"-",_xlfn.NORM.S.DIST(($AR10-SQRT(Correlation1)*BF$3)/SQRT(1-Correlation1),TRUE))</f>
        <v>5.8512760322869102E-4</v>
      </c>
      <c r="BG10" s="353">
        <f ca="1">IF($AN10&gt;CDS.Tenor,"-",_xlfn.NORM.S.DIST(($AR10-SQRT(Correlation1)*BG$3)/SQRT(1-Correlation1),TRUE))</f>
        <v>1.7442159751757664E-4</v>
      </c>
      <c r="BH10" s="353">
        <f ca="1">IF($AN10&gt;CDS.Tenor,"-",_xlfn.NORM.S.DIST(($AR10-SQRT(Correlation1)*BH$3)/SQRT(1-Correlation1),TRUE))</f>
        <v>4.6910443535810242E-5</v>
      </c>
      <c r="BI10" s="353">
        <f ca="1">IF($AN10&gt;CDS.Tenor,"-",_xlfn.NORM.S.DIST(($AR10-SQRT(Correlation1)*BI$3)/SQRT(1-Correlation1),TRUE))</f>
        <v>1.1374601218391298E-5</v>
      </c>
      <c r="BJ10" s="353">
        <f ca="1">IF($AN10&gt;CDS.Tenor,"-",_xlfn.NORM.S.DIST(($AR10-SQRT(Correlation1)*BJ$3)/SQRT(1-Correlation1),TRUE))</f>
        <v>2.48502360561317E-6</v>
      </c>
      <c r="BK10" s="353">
        <f ca="1">IF($AN10&gt;CDS.Tenor,"-",_xlfn.NORM.S.DIST(($AR10-SQRT(Correlation1)*BK$3)/SQRT(1-Correlation1),TRUE))</f>
        <v>4.8890587874011508E-7</v>
      </c>
      <c r="BL10" s="353">
        <f ca="1">IF($AN10&gt;CDS.Tenor,"-",_xlfn.NORM.S.DIST(($AR10-SQRT(Correlation1)*BL$3)/SQRT(1-Correlation1),TRUE))</f>
        <v>8.6581974421973377E-8</v>
      </c>
      <c r="BM10" s="353">
        <f ca="1">IF($AN10&gt;CDS.Tenor,"-",_xlfn.NORM.S.DIST(($AR10-SQRT(Correlation1)*BM$3)/SQRT(1-Correlation1),TRUE))</f>
        <v>1.3796609605097552E-8</v>
      </c>
      <c r="BN10" s="353">
        <f ca="1">IF($AN10&gt;CDS.Tenor,"-",_xlfn.NORM.S.DIST(($AR10-SQRT(Correlation1)*BN$3)/SQRT(1-Correlation1),TRUE))</f>
        <v>1.9775079161714776E-9</v>
      </c>
      <c r="BO10" s="354">
        <f ca="1">IF($AN10&gt;CDS.Tenor,"-",_xlfn.NORM.S.DIST(($AR10-SQRT(Correlation1)*BO$3)/SQRT(1-Correlation1),TRUE))</f>
        <v>2.5488396115026099E-10</v>
      </c>
      <c r="BQ10" s="358">
        <f t="shared" si="106"/>
        <v>1.5</v>
      </c>
      <c r="BR10" s="353">
        <f t="shared" ca="1" si="107"/>
        <v>0.35048520638615632</v>
      </c>
      <c r="BS10" s="353">
        <f t="shared" ca="1" si="108"/>
        <v>0.47846482955149372</v>
      </c>
      <c r="BT10" s="353">
        <f t="shared" ca="1" si="109"/>
        <v>0.60872482287897522</v>
      </c>
      <c r="BU10" s="353">
        <f t="shared" ca="1" si="110"/>
        <v>0.72774293944275659</v>
      </c>
      <c r="BV10" s="353">
        <f t="shared" ca="1" si="111"/>
        <v>0.82536466312441625</v>
      </c>
      <c r="BW10" s="353">
        <f t="shared" ca="1" si="112"/>
        <v>0.89724503657020616</v>
      </c>
      <c r="BX10" s="353">
        <f t="shared" ca="1" si="113"/>
        <v>0.94475702599464928</v>
      </c>
      <c r="BY10" s="353">
        <f t="shared" ca="1" si="114"/>
        <v>0.97294885412573096</v>
      </c>
      <c r="BZ10" s="353">
        <f t="shared" ca="1" si="115"/>
        <v>0.98796532966429795</v>
      </c>
      <c r="CA10" s="353">
        <f t="shared" ca="1" si="116"/>
        <v>0.99514549906545069</v>
      </c>
      <c r="CB10" s="353">
        <f t="shared" ca="1" si="117"/>
        <v>0.99822740923971531</v>
      </c>
      <c r="CC10" s="353">
        <f t="shared" ca="1" si="118"/>
        <v>0.99941487239677129</v>
      </c>
      <c r="CD10" s="353">
        <f t="shared" ca="1" si="119"/>
        <v>0.99982557840248243</v>
      </c>
      <c r="CE10" s="353">
        <f t="shared" ca="1" si="120"/>
        <v>0.99995308955646423</v>
      </c>
      <c r="CF10" s="353">
        <f t="shared" ca="1" si="121"/>
        <v>0.99998862539878164</v>
      </c>
      <c r="CG10" s="353">
        <f t="shared" ca="1" si="122"/>
        <v>0.99999751497639444</v>
      </c>
      <c r="CH10" s="353">
        <f t="shared" ca="1" si="123"/>
        <v>0.99999951109412122</v>
      </c>
      <c r="CI10" s="353">
        <f t="shared" ca="1" si="124"/>
        <v>0.99999991341802563</v>
      </c>
      <c r="CJ10" s="353">
        <f t="shared" ca="1" si="125"/>
        <v>0.99999998620339037</v>
      </c>
      <c r="CK10" s="353">
        <f t="shared" ca="1" si="126"/>
        <v>0.99999999802249206</v>
      </c>
      <c r="CL10" s="354">
        <f t="shared" ca="1" si="127"/>
        <v>0.999999999745116</v>
      </c>
      <c r="CM10" s="17"/>
      <c r="CN10" s="17"/>
      <c r="CO10" s="343" cm="1">
        <f t="array" aca="1" ref="CO10" ca="1">IF($AN10&gt;CDS.Tenor,"-",flatInterpolation(AN10,INDIRECT(HazardRateTimes2),INDIRECT(HazardRateValues2)))</f>
        <v>5.8333333333333336E-3</v>
      </c>
      <c r="CP10" s="10">
        <f t="shared" ca="1" si="128"/>
        <v>0.99128816984016976</v>
      </c>
      <c r="CQ10" s="10">
        <f t="shared" ca="1" si="129"/>
        <v>8.7118301598302361E-3</v>
      </c>
      <c r="CR10" s="81">
        <f t="shared" ca="1" si="130"/>
        <v>-2.377643535749058</v>
      </c>
      <c r="CT10" s="358">
        <f t="shared" si="131"/>
        <v>1.5</v>
      </c>
      <c r="CU10" s="353">
        <f ca="1">IF($AN10&gt;CDS.Tenor,"-",_xlfn.NORM.S.DIST(($CR10-SQRT(Correlation2)*CU$3)/SQRT(1-Correlation2),TRUE))</f>
        <v>0.44181029363720203</v>
      </c>
      <c r="CV10" s="353">
        <f ca="1">IF($AN10&gt;CDS.Tenor,"-",_xlfn.NORM.S.DIST(($CR10-SQRT(Correlation2)*CV$3)/SQRT(1-Correlation2),TRUE))</f>
        <v>0.34535411517127668</v>
      </c>
      <c r="CW10" s="353">
        <f ca="1">IF($AN10&gt;CDS.Tenor,"-",_xlfn.NORM.S.DIST(($CR10-SQRT(Correlation2)*CW$3)/SQRT(1-Correlation2),TRUE))</f>
        <v>0.25803760476754972</v>
      </c>
      <c r="CX10" s="353">
        <f ca="1">IF($AN10&gt;CDS.Tenor,"-",_xlfn.NORM.S.DIST(($CR10-SQRT(Correlation2)*CX$3)/SQRT(1-Correlation2),TRUE))</f>
        <v>0.18381535380385414</v>
      </c>
      <c r="CY10" s="353">
        <f ca="1">IF($AN10&gt;CDS.Tenor,"-",_xlfn.NORM.S.DIST(($CR10-SQRT(Correlation2)*CY$3)/SQRT(1-Correlation2),TRUE))</f>
        <v>0.12457152010824134</v>
      </c>
      <c r="CZ10" s="353">
        <f ca="1">IF($AN10&gt;CDS.Tenor,"-",_xlfn.NORM.S.DIST(($CR10-SQRT(Correlation2)*CZ$3)/SQRT(1-Correlation2),TRUE))</f>
        <v>8.0167400458976953E-2</v>
      </c>
      <c r="DA10" s="353">
        <f ca="1">IF($AN10&gt;CDS.Tenor,"-",_xlfn.NORM.S.DIST(($CR10-SQRT(Correlation2)*DA$3)/SQRT(1-Correlation2),TRUE))</f>
        <v>4.8915661414584484E-2</v>
      </c>
      <c r="DB10" s="353">
        <f ca="1">IF($AN10&gt;CDS.Tenor,"-",_xlfn.NORM.S.DIST(($CR10-SQRT(Correlation2)*DB$3)/SQRT(1-Correlation2),TRUE))</f>
        <v>2.8262068587750336E-2</v>
      </c>
      <c r="DC10" s="353">
        <f ca="1">IF($AN10&gt;CDS.Tenor,"-",_xlfn.NORM.S.DIST(($CR10-SQRT(Correlation2)*DC$3)/SQRT(1-Correlation2),TRUE))</f>
        <v>1.5445045834275114E-2</v>
      </c>
      <c r="DD10" s="353">
        <f ca="1">IF($AN10&gt;CDS.Tenor,"-",_xlfn.NORM.S.DIST(($CR10-SQRT(Correlation2)*DD$3)/SQRT(1-Correlation2),TRUE))</f>
        <v>7.9762877351045747E-3</v>
      </c>
      <c r="DE10" s="353">
        <f ca="1">IF($AN10&gt;CDS.Tenor,"-",_xlfn.NORM.S.DIST(($CR10-SQRT(Correlation2)*DE$3)/SQRT(1-Correlation2),TRUE))</f>
        <v>3.889530474805255E-3</v>
      </c>
      <c r="DF10" s="353">
        <f ca="1">IF($AN10&gt;CDS.Tenor,"-",_xlfn.NORM.S.DIST(($CR10-SQRT(Correlation2)*DF$3)/SQRT(1-Correlation2),TRUE))</f>
        <v>1.7897303028353128E-3</v>
      </c>
      <c r="DG10" s="353">
        <f ca="1">IF($AN10&gt;CDS.Tenor,"-",_xlfn.NORM.S.DIST(($CR10-SQRT(Correlation2)*DG$3)/SQRT(1-Correlation2),TRUE))</f>
        <v>7.7664695335176719E-4</v>
      </c>
      <c r="DH10" s="353">
        <f ca="1">IF($AN10&gt;CDS.Tenor,"-",_xlfn.NORM.S.DIST(($CR10-SQRT(Correlation2)*DH$3)/SQRT(1-Correlation2),TRUE))</f>
        <v>3.1768167112160105E-4</v>
      </c>
      <c r="DI10" s="353">
        <f ca="1">IF($AN10&gt;CDS.Tenor,"-",_xlfn.NORM.S.DIST(($CR10-SQRT(Correlation2)*DI$3)/SQRT(1-Correlation2),TRUE))</f>
        <v>1.2243607345973365E-4</v>
      </c>
      <c r="DJ10" s="353">
        <f ca="1">IF($AN10&gt;CDS.Tenor,"-",_xlfn.NORM.S.DIST(($CR10-SQRT(Correlation2)*DJ$3)/SQRT(1-Correlation2),TRUE))</f>
        <v>4.4444319975739904E-5</v>
      </c>
      <c r="DK10" s="353">
        <f ca="1">IF($AN10&gt;CDS.Tenor,"-",_xlfn.NORM.S.DIST(($CR10-SQRT(Correlation2)*DK$3)/SQRT(1-Correlation2),TRUE))</f>
        <v>1.5190582984623452E-5</v>
      </c>
      <c r="DL10" s="353">
        <f ca="1">IF($AN10&gt;CDS.Tenor,"-",_xlfn.NORM.S.DIST(($CR10-SQRT(Correlation2)*DL$3)/SQRT(1-Correlation2),TRUE))</f>
        <v>4.8872337168590001E-6</v>
      </c>
      <c r="DM10" s="353">
        <f ca="1">IF($AN10&gt;CDS.Tenor,"-",_xlfn.NORM.S.DIST(($CR10-SQRT(Correlation2)*DM$3)/SQRT(1-Correlation2),TRUE))</f>
        <v>1.4797089847749023E-6</v>
      </c>
      <c r="DN10" s="353">
        <f ca="1">IF($AN10&gt;CDS.Tenor,"-",_xlfn.NORM.S.DIST(($CR10-SQRT(Correlation2)*DN$3)/SQRT(1-Correlation2),TRUE))</f>
        <v>4.2152248421360253E-7</v>
      </c>
      <c r="DO10" s="354">
        <f ca="1">IF($AN10&gt;CDS.Tenor,"-",_xlfn.NORM.S.DIST(($CR10-SQRT(Correlation2)*DO$3)/SQRT(1-Correlation2),TRUE))</f>
        <v>1.1295720132925554E-7</v>
      </c>
      <c r="DQ10" s="358">
        <f t="shared" si="132"/>
        <v>1.5</v>
      </c>
      <c r="DR10" s="353">
        <f t="shared" ca="1" si="133"/>
        <v>0.55818970636279797</v>
      </c>
      <c r="DS10" s="353">
        <f t="shared" ca="1" si="134"/>
        <v>0.65464588482872332</v>
      </c>
      <c r="DT10" s="353">
        <f t="shared" ca="1" si="135"/>
        <v>0.74196239523245033</v>
      </c>
      <c r="DU10" s="353">
        <f t="shared" ca="1" si="136"/>
        <v>0.81618464619614584</v>
      </c>
      <c r="DV10" s="353">
        <f t="shared" ca="1" si="137"/>
        <v>0.87542847989175865</v>
      </c>
      <c r="DW10" s="353">
        <f t="shared" ca="1" si="138"/>
        <v>0.91983259954102303</v>
      </c>
      <c r="DX10" s="353">
        <f t="shared" ca="1" si="139"/>
        <v>0.95108433858541552</v>
      </c>
      <c r="DY10" s="353">
        <f t="shared" ca="1" si="140"/>
        <v>0.97173793141224962</v>
      </c>
      <c r="DZ10" s="353">
        <f t="shared" ca="1" si="141"/>
        <v>0.98455495416572492</v>
      </c>
      <c r="EA10" s="353">
        <f t="shared" ca="1" si="142"/>
        <v>0.99202371226489539</v>
      </c>
      <c r="EB10" s="353">
        <f t="shared" ca="1" si="143"/>
        <v>0.99611046952519477</v>
      </c>
      <c r="EC10" s="353">
        <f t="shared" ca="1" si="144"/>
        <v>0.99821026969716464</v>
      </c>
      <c r="ED10" s="353">
        <f t="shared" ca="1" si="145"/>
        <v>0.99922335304664822</v>
      </c>
      <c r="EE10" s="353">
        <f t="shared" ca="1" si="146"/>
        <v>0.99968231832887844</v>
      </c>
      <c r="EF10" s="353">
        <f t="shared" ca="1" si="147"/>
        <v>0.99987756392654026</v>
      </c>
      <c r="EG10" s="353">
        <f t="shared" ca="1" si="148"/>
        <v>0.99995555568002426</v>
      </c>
      <c r="EH10" s="353">
        <f t="shared" ca="1" si="149"/>
        <v>0.9999848094170154</v>
      </c>
      <c r="EI10" s="353">
        <f t="shared" ca="1" si="150"/>
        <v>0.99999511276628317</v>
      </c>
      <c r="EJ10" s="353">
        <f t="shared" ca="1" si="151"/>
        <v>0.99999852029101521</v>
      </c>
      <c r="EK10" s="353">
        <f t="shared" ca="1" si="152"/>
        <v>0.99999957847751575</v>
      </c>
      <c r="EL10" s="354">
        <f t="shared" ca="1" si="153"/>
        <v>0.99999988704279863</v>
      </c>
      <c r="EM10" s="17"/>
      <c r="EN10" s="17"/>
      <c r="EO10" s="343" cm="1">
        <f t="array" aca="1" ref="EO10" ca="1">IF($AN10&gt;CDS.Tenor,"-",flatInterpolation(CP10,INDIRECT(HazardRateTimes3),INDIRECT(HazardRateValues3)))</f>
        <v>7.4999999999999997E-3</v>
      </c>
      <c r="EP10" s="10">
        <f t="shared" ca="1" si="154"/>
        <v>0.98881304461123321</v>
      </c>
      <c r="EQ10" s="10">
        <f t="shared" ca="1" si="155"/>
        <v>1.1186955388766795E-2</v>
      </c>
      <c r="ER10" s="81">
        <f t="shared" ca="1" si="156"/>
        <v>-2.2839595080434103</v>
      </c>
      <c r="ET10" s="358">
        <f t="shared" si="157"/>
        <v>1.5</v>
      </c>
      <c r="EU10" s="353">
        <f ca="1">IF($AN10&gt;CDS.Tenor,"-",_xlfn.NORM.S.DIST(($ER10-SQRT(Correlation3)*EU$3)/SQRT(1-Correlation3),TRUE))</f>
        <v>0.90144817081078765</v>
      </c>
      <c r="EV10" s="353">
        <f ca="1">IF($AN10&gt;CDS.Tenor,"-",_xlfn.NORM.S.DIST(($ER10-SQRT(Correlation3)*EV$3)/SQRT(1-Correlation3),TRUE))</f>
        <v>0.80497503369747947</v>
      </c>
      <c r="EW10" s="353">
        <f ca="1">IF($AN10&gt;CDS.Tenor,"-",_xlfn.NORM.S.DIST(($ER10-SQRT(Correlation3)*EW$3)/SQRT(1-Correlation3),TRUE))</f>
        <v>0.6661134371761408</v>
      </c>
      <c r="EX10" s="353">
        <f ca="1">IF($AN10&gt;CDS.Tenor,"-",_xlfn.NORM.S.DIST(($ER10-SQRT(Correlation3)*EX$3)/SQRT(1-Correlation3),TRUE))</f>
        <v>0.49955546313760052</v>
      </c>
      <c r="EY10" s="353">
        <f ca="1">IF($AN10&gt;CDS.Tenor,"-",_xlfn.NORM.S.DIST(($ER10-SQRT(Correlation3)*EY$3)/SQRT(1-Correlation3),TRUE))</f>
        <v>0.33307611066576626</v>
      </c>
      <c r="EZ10" s="353">
        <f ca="1">IF($AN10&gt;CDS.Tenor,"-",_xlfn.NORM.S.DIST(($ER10-SQRT(Correlation3)*EZ$3)/SQRT(1-Correlation3),TRUE))</f>
        <v>0.19441106832077912</v>
      </c>
      <c r="FA10" s="353">
        <f ca="1">IF($AN10&gt;CDS.Tenor,"-",_xlfn.NORM.S.DIST(($ER10-SQRT(Correlation3)*FA$3)/SQRT(1-Correlation3),TRUE))</f>
        <v>9.8165422849539247E-2</v>
      </c>
      <c r="FB10" s="353">
        <f ca="1">IF($AN10&gt;CDS.Tenor,"-",_xlfn.NORM.S.DIST(($ER10-SQRT(Correlation3)*FB$3)/SQRT(1-Correlation3),TRUE))</f>
        <v>4.2498859005044423E-2</v>
      </c>
      <c r="FC10" s="353">
        <f ca="1">IF($AN10&gt;CDS.Tenor,"-",_xlfn.NORM.S.DIST(($ER10-SQRT(Correlation3)*FC$3)/SQRT(1-Correlation3),TRUE))</f>
        <v>1.5670461429843414E-2</v>
      </c>
      <c r="FD10" s="353">
        <f ca="1">IF($AN10&gt;CDS.Tenor,"-",_xlfn.NORM.S.DIST(($ER10-SQRT(Correlation3)*FD$3)/SQRT(1-Correlation3),TRUE))</f>
        <v>4.8967324590127237E-3</v>
      </c>
      <c r="FE10" s="353">
        <f ca="1">IF($AN10&gt;CDS.Tenor,"-",_xlfn.NORM.S.DIST(($ER10-SQRT(Correlation3)*FE$3)/SQRT(1-Correlation3),TRUE))</f>
        <v>1.2918689799558841E-3</v>
      </c>
      <c r="FF10" s="353">
        <f ca="1">IF($AN10&gt;CDS.Tenor,"-",_xlfn.NORM.S.DIST(($ER10-SQRT(Correlation3)*FF$3)/SQRT(1-Correlation3),TRUE))</f>
        <v>2.8692860742883216E-4</v>
      </c>
      <c r="FG10" s="353">
        <f ca="1">IF($AN10&gt;CDS.Tenor,"-",_xlfn.NORM.S.DIST(($ER10-SQRT(Correlation3)*FG$3)/SQRT(1-Correlation3),TRUE))</f>
        <v>5.353186984338829E-5</v>
      </c>
      <c r="FH10" s="353">
        <f ca="1">IF($AN10&gt;CDS.Tenor,"-",_xlfn.NORM.S.DIST(($ER10-SQRT(Correlation3)*FH$3)/SQRT(1-Correlation3),TRUE))</f>
        <v>8.3749779075134907E-6</v>
      </c>
      <c r="FI10" s="353">
        <f ca="1">IF($AN10&gt;CDS.Tenor,"-",_xlfn.NORM.S.DIST(($ER10-SQRT(Correlation3)*FI$3)/SQRT(1-Correlation3),TRUE))</f>
        <v>1.0972193318410749E-6</v>
      </c>
      <c r="FJ10" s="353">
        <f ca="1">IF($AN10&gt;CDS.Tenor,"-",_xlfn.NORM.S.DIST(($ER10-SQRT(Correlation3)*FJ$3)/SQRT(1-Correlation3),TRUE))</f>
        <v>1.2024458787887798E-7</v>
      </c>
      <c r="FK10" s="353">
        <f ca="1">IF($AN10&gt;CDS.Tenor,"-",_xlfn.NORM.S.DIST(($ER10-SQRT(Correlation3)*FK$3)/SQRT(1-Correlation3),TRUE))</f>
        <v>1.1013206926447972E-8</v>
      </c>
      <c r="FL10" s="353">
        <f ca="1">IF($AN10&gt;CDS.Tenor,"-",_xlfn.NORM.S.DIST(($ER10-SQRT(Correlation3)*FL$3)/SQRT(1-Correlation3),TRUE))</f>
        <v>8.4240653642939928E-10</v>
      </c>
      <c r="FM10" s="353">
        <f ca="1">IF($AN10&gt;CDS.Tenor,"-",_xlfn.NORM.S.DIST(($ER10-SQRT(Correlation3)*FM$3)/SQRT(1-Correlation3),TRUE))</f>
        <v>5.3780800188905903E-11</v>
      </c>
      <c r="FN10" s="353">
        <f ca="1">IF($AN10&gt;CDS.Tenor,"-",_xlfn.NORM.S.DIST(($ER10-SQRT(Correlation3)*FN$3)/SQRT(1-Correlation3),TRUE))</f>
        <v>2.8642529474657849E-12</v>
      </c>
      <c r="FO10" s="354">
        <f ca="1">IF($AN10&gt;CDS.Tenor,"-",_xlfn.NORM.S.DIST(($ER10-SQRT(Correlation3)*FO$3)/SQRT(1-Correlation3),TRUE))</f>
        <v>1.2720067360142809E-13</v>
      </c>
      <c r="FQ10" s="358">
        <f t="shared" si="158"/>
        <v>1.5</v>
      </c>
      <c r="FR10" s="353">
        <f t="shared" ca="1" si="159"/>
        <v>9.8551829189212348E-2</v>
      </c>
      <c r="FS10" s="353">
        <f t="shared" ca="1" si="160"/>
        <v>0.19502496630252053</v>
      </c>
      <c r="FT10" s="353">
        <f t="shared" ca="1" si="161"/>
        <v>0.3338865628238592</v>
      </c>
      <c r="FU10" s="353">
        <f t="shared" ca="1" si="162"/>
        <v>0.50044453686239954</v>
      </c>
      <c r="FV10" s="353">
        <f t="shared" ca="1" si="163"/>
        <v>0.66692388933423374</v>
      </c>
      <c r="FW10" s="353">
        <f t="shared" ca="1" si="164"/>
        <v>0.80558893167922085</v>
      </c>
      <c r="FX10" s="353">
        <f t="shared" ca="1" si="165"/>
        <v>0.90183457715046078</v>
      </c>
      <c r="FY10" s="353">
        <f t="shared" ca="1" si="166"/>
        <v>0.95750114099495554</v>
      </c>
      <c r="FZ10" s="353">
        <f t="shared" ca="1" si="167"/>
        <v>0.98432953857015659</v>
      </c>
      <c r="GA10" s="353">
        <f t="shared" ca="1" si="168"/>
        <v>0.99510326754098732</v>
      </c>
      <c r="GB10" s="353">
        <f t="shared" ca="1" si="169"/>
        <v>0.99870813102004408</v>
      </c>
      <c r="GC10" s="353">
        <f t="shared" ca="1" si="170"/>
        <v>0.99971307139257115</v>
      </c>
      <c r="GD10" s="353">
        <f t="shared" ca="1" si="171"/>
        <v>0.99994646813015664</v>
      </c>
      <c r="GE10" s="353">
        <f t="shared" ca="1" si="172"/>
        <v>0.99999162502209249</v>
      </c>
      <c r="GF10" s="353">
        <f t="shared" ca="1" si="173"/>
        <v>0.99999890278066816</v>
      </c>
      <c r="GG10" s="353">
        <f t="shared" ca="1" si="174"/>
        <v>0.99999987975541216</v>
      </c>
      <c r="GH10" s="353">
        <f t="shared" ca="1" si="175"/>
        <v>0.9999999889867931</v>
      </c>
      <c r="GI10" s="353">
        <f t="shared" ca="1" si="176"/>
        <v>0.99999999915759341</v>
      </c>
      <c r="GJ10" s="353">
        <f t="shared" ca="1" si="177"/>
        <v>0.99999999994621924</v>
      </c>
      <c r="GK10" s="353">
        <f t="shared" ca="1" si="178"/>
        <v>0.99999999999713574</v>
      </c>
      <c r="GL10" s="354">
        <f t="shared" ca="1" si="179"/>
        <v>0.99999999999987277</v>
      </c>
      <c r="GO10" s="358">
        <f t="shared" si="180"/>
        <v>1.5</v>
      </c>
      <c r="GP10" s="353">
        <f t="shared" ca="1" si="181"/>
        <v>1.9280407311304159E-2</v>
      </c>
      <c r="GQ10" s="353">
        <f t="shared" ca="1" si="182"/>
        <v>6.1086701252625025E-2</v>
      </c>
      <c r="GR10" s="353">
        <f t="shared" ca="1" si="183"/>
        <v>0.15080017581949434</v>
      </c>
      <c r="GS10" s="353">
        <f t="shared" ca="1" si="184"/>
        <v>0.29725034949739387</v>
      </c>
      <c r="GT10" s="353">
        <f t="shared" ca="1" si="185"/>
        <v>0.48188434391875873</v>
      </c>
      <c r="GU10" s="353">
        <f t="shared" ca="1" si="186"/>
        <v>0.6648648179898804</v>
      </c>
      <c r="GV10" s="353">
        <f t="shared" ca="1" si="187"/>
        <v>0.81033769765062613</v>
      </c>
      <c r="GW10" s="353">
        <f t="shared" ca="1" si="188"/>
        <v>0.9052707050909109</v>
      </c>
      <c r="GX10" s="353">
        <f t="shared" ca="1" si="189"/>
        <v>0.95746340550422326</v>
      </c>
      <c r="GY10" s="353">
        <f t="shared" ca="1" si="190"/>
        <v>0.98237383910108156</v>
      </c>
      <c r="GZ10" s="353">
        <f t="shared" ca="1" si="191"/>
        <v>0.99306021014267021</v>
      </c>
      <c r="HA10" s="353">
        <f t="shared" ca="1" si="192"/>
        <v>0.99733994182130392</v>
      </c>
      <c r="HB10" s="353">
        <f t="shared" ca="1" si="193"/>
        <v>0.9989955859485159</v>
      </c>
      <c r="HC10" s="353">
        <f t="shared" ca="1" si="194"/>
        <v>0.99962705086334935</v>
      </c>
      <c r="HD10" s="353">
        <f t="shared" ca="1" si="195"/>
        <v>0.99986509364546972</v>
      </c>
      <c r="HE10" s="353">
        <f t="shared" ca="1" si="196"/>
        <v>0.9999529505279191</v>
      </c>
      <c r="HF10" s="353">
        <f t="shared" ca="1" si="197"/>
        <v>0.99998430950552908</v>
      </c>
      <c r="HG10" s="353">
        <f t="shared" ca="1" si="198"/>
        <v>0.99999502534232954</v>
      </c>
      <c r="HH10" s="353">
        <f t="shared" ca="1" si="199"/>
        <v>0.99999850644064536</v>
      </c>
      <c r="HI10" s="353">
        <f t="shared" ca="1" si="200"/>
        <v>0.99999957649714444</v>
      </c>
      <c r="HJ10" s="354">
        <f t="shared" ca="1" si="201"/>
        <v>0.9999998867877874</v>
      </c>
      <c r="HK10" s="42"/>
      <c r="HL10" s="42"/>
      <c r="HM10" s="358">
        <f t="shared" si="202"/>
        <v>1.5</v>
      </c>
      <c r="HN10" s="362">
        <f t="shared" ca="1" si="203"/>
        <v>0.97403693668666758</v>
      </c>
      <c r="HO10" s="363">
        <f t="shared" ca="1" si="204"/>
        <v>4.1987524424722533E-3</v>
      </c>
    </row>
    <row r="11" spans="2:244" x14ac:dyDescent="0.3">
      <c r="B11" s="112" t="s">
        <v>115</v>
      </c>
      <c r="C11" s="161"/>
      <c r="D11" s="163">
        <v>0.4</v>
      </c>
      <c r="F11" s="400" t="s">
        <v>337</v>
      </c>
      <c r="G11" s="404">
        <v>1.5</v>
      </c>
      <c r="J11" s="408">
        <f>1-(1-G11)*(1-ImpliedCorrelation)</f>
        <v>1.35</v>
      </c>
      <c r="K11" s="408">
        <f>(J11*$K$19)^2</f>
        <v>0.42551949568059788</v>
      </c>
      <c r="N11" s="408">
        <f>IF($N$3,J11,1)</f>
        <v>1.35</v>
      </c>
      <c r="O11" s="408">
        <f>IF($N$3,K11,ImpliedCorrelation)</f>
        <v>0.42551949568059788</v>
      </c>
      <c r="P11" s="2"/>
      <c r="Q11" s="2"/>
      <c r="U11" s="18"/>
      <c r="V11" s="370">
        <f t="shared" si="89"/>
        <v>1.75</v>
      </c>
      <c r="W11" s="371">
        <f t="shared" si="90"/>
        <v>-25000</v>
      </c>
      <c r="X11" s="348">
        <f t="shared" ca="1" si="91"/>
        <v>0.96987787080498478</v>
      </c>
      <c r="Y11" s="348">
        <f t="shared" ca="1" si="92"/>
        <v>4.1590658816827997E-3</v>
      </c>
      <c r="Z11" s="372" cm="1">
        <f t="array" ref="Z11">IF($V11&gt;CDS.Tenor,"-",cubicInterpolation(CurveResults.Times,CurveResults.DFs,$V11))</f>
        <v>0.92484187664189998</v>
      </c>
      <c r="AA11" s="371">
        <f t="shared" ca="1" si="93"/>
        <v>-22424.591753718309</v>
      </c>
      <c r="AB11" s="371">
        <f t="shared" ca="1" si="94"/>
        <v>-48.080978688660238</v>
      </c>
      <c r="AC11" s="373">
        <f t="shared" ca="1" si="95"/>
        <v>-22472.672732406969</v>
      </c>
      <c r="AF11" s="370">
        <f t="shared" si="96"/>
        <v>1.75</v>
      </c>
      <c r="AG11" s="371">
        <f t="shared" si="97"/>
        <v>6000000</v>
      </c>
      <c r="AH11" s="348">
        <f t="shared" ca="1" si="98"/>
        <v>0.96987787080498478</v>
      </c>
      <c r="AI11" s="348">
        <f t="shared" ca="1" si="99"/>
        <v>4.1590658816827997E-3</v>
      </c>
      <c r="AJ11" s="372" cm="1">
        <f t="array" ref="AJ11">IF($AF11&gt;CDS.Tenor,"-",cubicInterpolation(CurveResults.Times,CurveResults.DFs,$V11))</f>
        <v>0.92484187664189998</v>
      </c>
      <c r="AK11" s="373">
        <f t="shared" ca="1" si="100"/>
        <v>23078.869770556914</v>
      </c>
      <c r="AN11" s="358">
        <f t="shared" si="101"/>
        <v>1.75</v>
      </c>
      <c r="AO11" s="343" cm="1">
        <f t="array" aca="1" ref="AO11" ca="1">IF($AN11&gt;CDS.Tenor,"-",flatInterpolation(AM11,INDIRECT(HazardRateTimes1),INDIRECT(HazardRateValues1)))</f>
        <v>5.0000000000000001E-3</v>
      </c>
      <c r="AP11" s="10">
        <f t="shared" ca="1" si="102"/>
        <v>0.99128816984016999</v>
      </c>
      <c r="AQ11" s="10">
        <f t="shared" ca="1" si="103"/>
        <v>8.7118301598300141E-3</v>
      </c>
      <c r="AR11" s="81">
        <f t="shared" ca="1" si="104"/>
        <v>-2.377643535749066</v>
      </c>
      <c r="AT11" s="358">
        <f t="shared" si="105"/>
        <v>1.75</v>
      </c>
      <c r="AU11" s="353">
        <f ca="1">IF($AN11&gt;CDS.Tenor,"-",_xlfn.NORM.S.DIST(($AR11-SQRT(Correlation1)*AU$3)/SQRT(1-Correlation1),TRUE))</f>
        <v>0.6740841835586795</v>
      </c>
      <c r="AV11" s="353">
        <f ca="1">IF($AN11&gt;CDS.Tenor,"-",_xlfn.NORM.S.DIST(($AR11-SQRT(Correlation1)*AV$3)/SQRT(1-Correlation1),TRUE))</f>
        <v>0.54823970195252736</v>
      </c>
      <c r="AW11" s="353">
        <f ca="1">IF($AN11&gt;CDS.Tenor,"-",_xlfn.NORM.S.DIST(($AR11-SQRT(Correlation1)*AW$3)/SQRT(1-Correlation1),TRUE))</f>
        <v>0.41730657903323265</v>
      </c>
      <c r="AX11" s="353">
        <f ca="1">IF($AN11&gt;CDS.Tenor,"-",_xlfn.NORM.S.DIST(($AR11-SQRT(Correlation1)*AX$3)/SQRT(1-Correlation1),TRUE))</f>
        <v>0.29501495903665159</v>
      </c>
      <c r="AY11" s="353">
        <f ca="1">IF($AN11&gt;CDS.Tenor,"-",_xlfn.NORM.S.DIST(($AR11-SQRT(Correlation1)*AY$3)/SQRT(1-Correlation1),TRUE))</f>
        <v>0.19247919480781436</v>
      </c>
      <c r="AZ11" s="353">
        <f ca="1">IF($AN11&gt;CDS.Tenor,"-",_xlfn.NORM.S.DIST(($AR11-SQRT(Correlation1)*AZ$3)/SQRT(1-Correlation1),TRUE))</f>
        <v>0.11530275681450246</v>
      </c>
      <c r="BA11" s="353">
        <f ca="1">IF($AN11&gt;CDS.Tenor,"-",_xlfn.NORM.S.DIST(($AR11-SQRT(Correlation1)*BA$3)/SQRT(1-Correlation1),TRUE))</f>
        <v>6.3156462203170879E-2</v>
      </c>
      <c r="BB11" s="353">
        <f ca="1">IF($AN11&gt;CDS.Tenor,"-",_xlfn.NORM.S.DIST(($AR11-SQRT(Correlation1)*BB$3)/SQRT(1-Correlation1),TRUE))</f>
        <v>3.1527150776296045E-2</v>
      </c>
      <c r="BC11" s="353">
        <f ca="1">IF($AN11&gt;CDS.Tenor,"-",_xlfn.NORM.S.DIST(($AR11-SQRT(Correlation1)*BC$3)/SQRT(1-Correlation1),TRUE))</f>
        <v>1.4305241602858263E-2</v>
      </c>
      <c r="BD11" s="353">
        <f ca="1">IF($AN11&gt;CDS.Tenor,"-",_xlfn.NORM.S.DIST(($AR11-SQRT(Correlation1)*BD$3)/SQRT(1-Correlation1),TRUE))</f>
        <v>5.8875042287266513E-3</v>
      </c>
      <c r="BE11" s="353">
        <f ca="1">IF($AN11&gt;CDS.Tenor,"-",_xlfn.NORM.S.DIST(($AR11-SQRT(Correlation1)*BE$3)/SQRT(1-Correlation1),TRUE))</f>
        <v>2.1940836503664802E-3</v>
      </c>
      <c r="BF11" s="353">
        <f ca="1">IF($AN11&gt;CDS.Tenor,"-",_xlfn.NORM.S.DIST(($AR11-SQRT(Correlation1)*BF$3)/SQRT(1-Correlation1),TRUE))</f>
        <v>7.3936893652631105E-4</v>
      </c>
      <c r="BG11" s="353">
        <f ca="1">IF($AN11&gt;CDS.Tenor,"-",_xlfn.NORM.S.DIST(($AR11-SQRT(Correlation1)*BG$3)/SQRT(1-Correlation1),TRUE))</f>
        <v>2.250428925091895E-4</v>
      </c>
      <c r="BH11" s="353">
        <f ca="1">IF($AN11&gt;CDS.Tenor,"-",_xlfn.NORM.S.DIST(($AR11-SQRT(Correlation1)*BH$3)/SQRT(1-Correlation1),TRUE))</f>
        <v>6.1810492146753085E-5</v>
      </c>
      <c r="BI11" s="353">
        <f ca="1">IF($AN11&gt;CDS.Tenor,"-",_xlfn.NORM.S.DIST(($AR11-SQRT(Correlation1)*BI$3)/SQRT(1-Correlation1),TRUE))</f>
        <v>1.5307964539091281E-5</v>
      </c>
      <c r="BJ11" s="353">
        <f ca="1">IF($AN11&gt;CDS.Tenor,"-",_xlfn.NORM.S.DIST(($AR11-SQRT(Correlation1)*BJ$3)/SQRT(1-Correlation1),TRUE))</f>
        <v>3.4162652206180662E-6</v>
      </c>
      <c r="BK11" s="353">
        <f ca="1">IF($AN11&gt;CDS.Tenor,"-",_xlfn.NORM.S.DIST(($AR11-SQRT(Correlation1)*BK$3)/SQRT(1-Correlation1),TRUE))</f>
        <v>6.8664045111867441E-7</v>
      </c>
      <c r="BL11" s="353">
        <f ca="1">IF($AN11&gt;CDS.Tenor,"-",_xlfn.NORM.S.DIST(($AR11-SQRT(Correlation1)*BL$3)/SQRT(1-Correlation1),TRUE))</f>
        <v>1.2423715652988935E-7</v>
      </c>
      <c r="BM11" s="353">
        <f ca="1">IF($AN11&gt;CDS.Tenor,"-",_xlfn.NORM.S.DIST(($AR11-SQRT(Correlation1)*BM$3)/SQRT(1-Correlation1),TRUE))</f>
        <v>2.0227761866485331E-8</v>
      </c>
      <c r="BN11" s="353">
        <f ca="1">IF($AN11&gt;CDS.Tenor,"-",_xlfn.NORM.S.DIST(($AR11-SQRT(Correlation1)*BN$3)/SQRT(1-Correlation1),TRUE))</f>
        <v>2.9625952019255753E-9</v>
      </c>
      <c r="BO11" s="354">
        <f ca="1">IF($AN11&gt;CDS.Tenor,"-",_xlfn.NORM.S.DIST(($AR11-SQRT(Correlation1)*BO$3)/SQRT(1-Correlation1),TRUE))</f>
        <v>3.9021035315834504E-10</v>
      </c>
      <c r="BQ11" s="358">
        <f t="shared" si="106"/>
        <v>1.75</v>
      </c>
      <c r="BR11" s="353">
        <f t="shared" ca="1" si="107"/>
        <v>0.3259158164413205</v>
      </c>
      <c r="BS11" s="353">
        <f t="shared" ca="1" si="108"/>
        <v>0.45176029804747264</v>
      </c>
      <c r="BT11" s="353">
        <f t="shared" ca="1" si="109"/>
        <v>0.58269342096676735</v>
      </c>
      <c r="BU11" s="353">
        <f t="shared" ca="1" si="110"/>
        <v>0.70498504096334846</v>
      </c>
      <c r="BV11" s="353">
        <f t="shared" ca="1" si="111"/>
        <v>0.80752080519218561</v>
      </c>
      <c r="BW11" s="353">
        <f t="shared" ca="1" si="112"/>
        <v>0.88469724318549758</v>
      </c>
      <c r="BX11" s="353">
        <f t="shared" ca="1" si="113"/>
        <v>0.93684353779682916</v>
      </c>
      <c r="BY11" s="353">
        <f t="shared" ca="1" si="114"/>
        <v>0.96847284922370391</v>
      </c>
      <c r="BZ11" s="353">
        <f t="shared" ca="1" si="115"/>
        <v>0.98569475839714171</v>
      </c>
      <c r="CA11" s="353">
        <f t="shared" ca="1" si="116"/>
        <v>0.99411249577127336</v>
      </c>
      <c r="CB11" s="353">
        <f t="shared" ca="1" si="117"/>
        <v>0.99780591634963356</v>
      </c>
      <c r="CC11" s="353">
        <f t="shared" ca="1" si="118"/>
        <v>0.99926063106347374</v>
      </c>
      <c r="CD11" s="353">
        <f t="shared" ca="1" si="119"/>
        <v>0.99977495710749076</v>
      </c>
      <c r="CE11" s="353">
        <f t="shared" ca="1" si="120"/>
        <v>0.99993818950785329</v>
      </c>
      <c r="CF11" s="353">
        <f t="shared" ca="1" si="121"/>
        <v>0.99998469203546092</v>
      </c>
      <c r="CG11" s="353">
        <f t="shared" ca="1" si="122"/>
        <v>0.9999965837347794</v>
      </c>
      <c r="CH11" s="353">
        <f t="shared" ca="1" si="123"/>
        <v>0.99999931335954884</v>
      </c>
      <c r="CI11" s="353">
        <f t="shared" ca="1" si="124"/>
        <v>0.99999987576284344</v>
      </c>
      <c r="CJ11" s="353">
        <f t="shared" ca="1" si="125"/>
        <v>0.99999997977223809</v>
      </c>
      <c r="CK11" s="353">
        <f t="shared" ca="1" si="126"/>
        <v>0.99999999703740483</v>
      </c>
      <c r="CL11" s="354">
        <f t="shared" ca="1" si="127"/>
        <v>0.99999999960978969</v>
      </c>
      <c r="CM11" s="17"/>
      <c r="CN11" s="17"/>
      <c r="CO11" s="343" cm="1">
        <f t="array" aca="1" ref="CO11" ca="1">IF($AN11&gt;CDS.Tenor,"-",flatInterpolation(AN11,INDIRECT(HazardRateTimes2),INDIRECT(HazardRateValues2)))</f>
        <v>5.8333333333333336E-3</v>
      </c>
      <c r="CP11" s="10">
        <f t="shared" ca="1" si="128"/>
        <v>0.98984359485110152</v>
      </c>
      <c r="CQ11" s="10">
        <f t="shared" ca="1" si="129"/>
        <v>1.0156405148898484E-2</v>
      </c>
      <c r="CR11" s="81">
        <f t="shared" ca="1" si="130"/>
        <v>-2.3205191482409826</v>
      </c>
      <c r="CT11" s="358">
        <f t="shared" si="131"/>
        <v>1.75</v>
      </c>
      <c r="CU11" s="353">
        <f ca="1">IF($AN11&gt;CDS.Tenor,"-",_xlfn.NORM.S.DIST(($CR11-SQRT(Correlation2)*CU$3)/SQRT(1-Correlation2),TRUE))</f>
        <v>0.46714978765158005</v>
      </c>
      <c r="CV11" s="353">
        <f ca="1">IF($AN11&gt;CDS.Tenor,"-",_xlfn.NORM.S.DIST(($CR11-SQRT(Correlation2)*CV$3)/SQRT(1-Correlation2),TRUE))</f>
        <v>0.36920878656334782</v>
      </c>
      <c r="CW11" s="353">
        <f ca="1">IF($AN11&gt;CDS.Tenor,"-",_xlfn.NORM.S.DIST(($CR11-SQRT(Correlation2)*CW$3)/SQRT(1-Correlation2),TRUE))</f>
        <v>0.27911831981610657</v>
      </c>
      <c r="CX11" s="353">
        <f ca="1">IF($AN11&gt;CDS.Tenor,"-",_xlfn.NORM.S.DIST(($CR11-SQRT(Correlation2)*CX$3)/SQRT(1-Correlation2),TRUE))</f>
        <v>0.20130309174425037</v>
      </c>
      <c r="CY11" s="353">
        <f ca="1">IF($AN11&gt;CDS.Tenor,"-",_xlfn.NORM.S.DIST(($CR11-SQRT(Correlation2)*CY$3)/SQRT(1-Correlation2),TRUE))</f>
        <v>0.13818967701788085</v>
      </c>
      <c r="CZ11" s="353">
        <f ca="1">IF($AN11&gt;CDS.Tenor,"-",_xlfn.NORM.S.DIST(($CR11-SQRT(Correlation2)*CZ$3)/SQRT(1-Correlation2),TRUE))</f>
        <v>9.0122358380333986E-2</v>
      </c>
      <c r="DA11" s="353">
        <f ca="1">IF($AN11&gt;CDS.Tenor,"-",_xlfn.NORM.S.DIST(($CR11-SQRT(Correlation2)*DA$3)/SQRT(1-Correlation2),TRUE))</f>
        <v>5.5746860144342165E-2</v>
      </c>
      <c r="DB11" s="353">
        <f ca="1">IF($AN11&gt;CDS.Tenor,"-",_xlfn.NORM.S.DIST(($CR11-SQRT(Correlation2)*DB$3)/SQRT(1-Correlation2),TRUE))</f>
        <v>3.2662454907565155E-2</v>
      </c>
      <c r="DC11" s="353">
        <f ca="1">IF($AN11&gt;CDS.Tenor,"-",_xlfn.NORM.S.DIST(($CR11-SQRT(Correlation2)*DC$3)/SQRT(1-Correlation2),TRUE))</f>
        <v>1.810590007625994E-2</v>
      </c>
      <c r="DD11" s="353">
        <f ca="1">IF($AN11&gt;CDS.Tenor,"-",_xlfn.NORM.S.DIST(($CR11-SQRT(Correlation2)*DD$3)/SQRT(1-Correlation2),TRUE))</f>
        <v>9.4866730544921549E-3</v>
      </c>
      <c r="DE11" s="353">
        <f ca="1">IF($AN11&gt;CDS.Tenor,"-",_xlfn.NORM.S.DIST(($CR11-SQRT(Correlation2)*DE$3)/SQRT(1-Correlation2),TRUE))</f>
        <v>4.694335752047695E-3</v>
      </c>
      <c r="DF11" s="353">
        <f ca="1">IF($AN11&gt;CDS.Tenor,"-",_xlfn.NORM.S.DIST(($CR11-SQRT(Correlation2)*DF$3)/SQRT(1-Correlation2),TRUE))</f>
        <v>2.1922899714639284E-3</v>
      </c>
      <c r="DG11" s="353">
        <f ca="1">IF($AN11&gt;CDS.Tenor,"-",_xlfn.NORM.S.DIST(($CR11-SQRT(Correlation2)*DG$3)/SQRT(1-Correlation2),TRUE))</f>
        <v>9.6566622810889278E-4</v>
      </c>
      <c r="DH11" s="353">
        <f ca="1">IF($AN11&gt;CDS.Tenor,"-",_xlfn.NORM.S.DIST(($CR11-SQRT(Correlation2)*DH$3)/SQRT(1-Correlation2),TRUE))</f>
        <v>4.009957321894006E-4</v>
      </c>
      <c r="DI11" s="353">
        <f ca="1">IF($AN11&gt;CDS.Tenor,"-",_xlfn.NORM.S.DIST(($CR11-SQRT(Correlation2)*DI$3)/SQRT(1-Correlation2),TRUE))</f>
        <v>1.5690810624544184E-4</v>
      </c>
      <c r="DJ11" s="353">
        <f ca="1">IF($AN11&gt;CDS.Tenor,"-",_xlfn.NORM.S.DIST(($CR11-SQRT(Correlation2)*DJ$3)/SQRT(1-Correlation2),TRUE))</f>
        <v>5.7833434573247369E-5</v>
      </c>
      <c r="DK11" s="353">
        <f ca="1">IF($AN11&gt;CDS.Tenor,"-",_xlfn.NORM.S.DIST(($CR11-SQRT(Correlation2)*DK$3)/SQRT(1-Correlation2),TRUE))</f>
        <v>2.0072306675542332E-5</v>
      </c>
      <c r="DL11" s="353">
        <f ca="1">IF($AN11&gt;CDS.Tenor,"-",_xlfn.NORM.S.DIST(($CR11-SQRT(Correlation2)*DL$3)/SQRT(1-Correlation2),TRUE))</f>
        <v>6.5580584572304246E-6</v>
      </c>
      <c r="DM11" s="353">
        <f ca="1">IF($AN11&gt;CDS.Tenor,"-",_xlfn.NORM.S.DIST(($CR11-SQRT(Correlation2)*DM$3)/SQRT(1-Correlation2),TRUE))</f>
        <v>2.0165243814014355E-6</v>
      </c>
      <c r="DN11" s="353">
        <f ca="1">IF($AN11&gt;CDS.Tenor,"-",_xlfn.NORM.S.DIST(($CR11-SQRT(Correlation2)*DN$3)/SQRT(1-Correlation2),TRUE))</f>
        <v>5.8342566778618531E-7</v>
      </c>
      <c r="DO11" s="354">
        <f ca="1">IF($AN11&gt;CDS.Tenor,"-",_xlfn.NORM.S.DIST(($CR11-SQRT(Correlation2)*DO$3)/SQRT(1-Correlation2),TRUE))</f>
        <v>1.5879483272740827E-7</v>
      </c>
      <c r="DQ11" s="358">
        <f t="shared" si="132"/>
        <v>1.75</v>
      </c>
      <c r="DR11" s="353">
        <f t="shared" ca="1" si="133"/>
        <v>0.53285021234842</v>
      </c>
      <c r="DS11" s="353">
        <f t="shared" ca="1" si="134"/>
        <v>0.63079121343665223</v>
      </c>
      <c r="DT11" s="353">
        <f t="shared" ca="1" si="135"/>
        <v>0.72088168018389343</v>
      </c>
      <c r="DU11" s="353">
        <f t="shared" ca="1" si="136"/>
        <v>0.79869690825574957</v>
      </c>
      <c r="DV11" s="353">
        <f t="shared" ca="1" si="137"/>
        <v>0.86181032298211913</v>
      </c>
      <c r="DW11" s="353">
        <f t="shared" ca="1" si="138"/>
        <v>0.909877641619666</v>
      </c>
      <c r="DX11" s="353">
        <f t="shared" ca="1" si="139"/>
        <v>0.94425313985565784</v>
      </c>
      <c r="DY11" s="353">
        <f t="shared" ca="1" si="140"/>
        <v>0.96733754509243486</v>
      </c>
      <c r="DZ11" s="353">
        <f t="shared" ca="1" si="141"/>
        <v>0.9818940999237401</v>
      </c>
      <c r="EA11" s="353">
        <f t="shared" ca="1" si="142"/>
        <v>0.99051332694550787</v>
      </c>
      <c r="EB11" s="353">
        <f t="shared" ca="1" si="143"/>
        <v>0.9953056642479523</v>
      </c>
      <c r="EC11" s="353">
        <f t="shared" ca="1" si="144"/>
        <v>0.99780771002853608</v>
      </c>
      <c r="ED11" s="353">
        <f t="shared" ca="1" si="145"/>
        <v>0.9990343337718911</v>
      </c>
      <c r="EE11" s="353">
        <f t="shared" ca="1" si="146"/>
        <v>0.99959900426781056</v>
      </c>
      <c r="EF11" s="353">
        <f t="shared" ca="1" si="147"/>
        <v>0.99984309189375453</v>
      </c>
      <c r="EG11" s="353">
        <f t="shared" ca="1" si="148"/>
        <v>0.99994216656542678</v>
      </c>
      <c r="EH11" s="353">
        <f t="shared" ca="1" si="149"/>
        <v>0.99997992769332444</v>
      </c>
      <c r="EI11" s="353">
        <f t="shared" ca="1" si="150"/>
        <v>0.99999344194154272</v>
      </c>
      <c r="EJ11" s="353">
        <f t="shared" ca="1" si="151"/>
        <v>0.99999798347561863</v>
      </c>
      <c r="EK11" s="353">
        <f t="shared" ca="1" si="152"/>
        <v>0.99999941657433222</v>
      </c>
      <c r="EL11" s="354">
        <f t="shared" ca="1" si="153"/>
        <v>0.99999984120516727</v>
      </c>
      <c r="EM11" s="17"/>
      <c r="EN11" s="17"/>
      <c r="EO11" s="343" cm="1">
        <f t="array" aca="1" ref="EO11" ca="1">IF($AN11&gt;CDS.Tenor,"-",flatInterpolation(CP11,INDIRECT(HazardRateTimes3),INDIRECT(HazardRateValues3)))</f>
        <v>7.4999999999999997E-3</v>
      </c>
      <c r="EP11" s="10">
        <f t="shared" ca="1" si="154"/>
        <v>0.98696075721468368</v>
      </c>
      <c r="EQ11" s="10">
        <f t="shared" ca="1" si="155"/>
        <v>1.3039242785316318E-2</v>
      </c>
      <c r="ER11" s="81">
        <f t="shared" ca="1" si="156"/>
        <v>-2.2250410047056901</v>
      </c>
      <c r="ET11" s="358">
        <f t="shared" si="157"/>
        <v>1.75</v>
      </c>
      <c r="EU11" s="353">
        <f ca="1">IF($AN11&gt;CDS.Tenor,"-",_xlfn.NORM.S.DIST(($ER11-SQRT(Correlation3)*EU$3)/SQRT(1-Correlation3),TRUE))</f>
        <v>0.91427850912317521</v>
      </c>
      <c r="EV11" s="353">
        <f ca="1">IF($AN11&gt;CDS.Tenor,"-",_xlfn.NORM.S.DIST(($ER11-SQRT(Correlation3)*EV$3)/SQRT(1-Correlation3),TRUE))</f>
        <v>0.82568793295392329</v>
      </c>
      <c r="EW11" s="353">
        <f ca="1">IF($AN11&gt;CDS.Tenor,"-",_xlfn.NORM.S.DIST(($ER11-SQRT(Correlation3)*EW$3)/SQRT(1-Correlation3),TRUE))</f>
        <v>0.69390182409674128</v>
      </c>
      <c r="EX11" s="353">
        <f ca="1">IF($AN11&gt;CDS.Tenor,"-",_xlfn.NORM.S.DIST(($ER11-SQRT(Correlation3)*EX$3)/SQRT(1-Correlation3),TRUE))</f>
        <v>0.53053717770861619</v>
      </c>
      <c r="EY11" s="353">
        <f ca="1">IF($AN11&gt;CDS.Tenor,"-",_xlfn.NORM.S.DIST(($ER11-SQRT(Correlation3)*EY$3)/SQRT(1-Correlation3),TRUE))</f>
        <v>0.36178175035376725</v>
      </c>
      <c r="EZ11" s="353">
        <f ca="1">IF($AN11&gt;CDS.Tenor,"-",_xlfn.NORM.S.DIST(($ER11-SQRT(Correlation3)*EZ$3)/SQRT(1-Correlation3),TRUE))</f>
        <v>0.21651393874510916</v>
      </c>
      <c r="FA11" s="353">
        <f ca="1">IF($AN11&gt;CDS.Tenor,"-",_xlfn.NORM.S.DIST(($ER11-SQRT(Correlation3)*FA$3)/SQRT(1-Correlation3),TRUE))</f>
        <v>0.11230869138475098</v>
      </c>
      <c r="FB11" s="353">
        <f ca="1">IF($AN11&gt;CDS.Tenor,"-",_xlfn.NORM.S.DIST(($ER11-SQRT(Correlation3)*FB$3)/SQRT(1-Correlation3),TRUE))</f>
        <v>5.0019771699289457E-2</v>
      </c>
      <c r="FC11" s="353">
        <f ca="1">IF($AN11&gt;CDS.Tenor,"-",_xlfn.NORM.S.DIST(($ER11-SQRT(Correlation3)*FC$3)/SQRT(1-Correlation3),TRUE))</f>
        <v>1.8994078203150608E-2</v>
      </c>
      <c r="FD11" s="353">
        <f ca="1">IF($AN11&gt;CDS.Tenor,"-",_xlfn.NORM.S.DIST(($ER11-SQRT(Correlation3)*FD$3)/SQRT(1-Correlation3),TRUE))</f>
        <v>6.1173256749172721E-3</v>
      </c>
      <c r="FE11" s="353">
        <f ca="1">IF($AN11&gt;CDS.Tenor,"-",_xlfn.NORM.S.DIST(($ER11-SQRT(Correlation3)*FE$3)/SQRT(1-Correlation3),TRUE))</f>
        <v>1.6643898014813434E-3</v>
      </c>
      <c r="FF11" s="353">
        <f ca="1">IF($AN11&gt;CDS.Tenor,"-",_xlfn.NORM.S.DIST(($ER11-SQRT(Correlation3)*FF$3)/SQRT(1-Correlation3),TRUE))</f>
        <v>3.814107457835895E-4</v>
      </c>
      <c r="FG11" s="353">
        <f ca="1">IF($AN11&gt;CDS.Tenor,"-",_xlfn.NORM.S.DIST(($ER11-SQRT(Correlation3)*FG$3)/SQRT(1-Correlation3),TRUE))</f>
        <v>7.3446323844996488E-5</v>
      </c>
      <c r="FH11" s="353">
        <f ca="1">IF($AN11&gt;CDS.Tenor,"-",_xlfn.NORM.S.DIST(($ER11-SQRT(Correlation3)*FH$3)/SQRT(1-Correlation3),TRUE))</f>
        <v>1.1863219723812234E-5</v>
      </c>
      <c r="FI11" s="353">
        <f ca="1">IF($AN11&gt;CDS.Tenor,"-",_xlfn.NORM.S.DIST(($ER11-SQRT(Correlation3)*FI$3)/SQRT(1-Correlation3),TRUE))</f>
        <v>1.6049860276160476E-6</v>
      </c>
      <c r="FJ11" s="353">
        <f ca="1">IF($AN11&gt;CDS.Tenor,"-",_xlfn.NORM.S.DIST(($ER11-SQRT(Correlation3)*FJ$3)/SQRT(1-Correlation3),TRUE))</f>
        <v>1.8166903297925373E-7</v>
      </c>
      <c r="FK11" s="353">
        <f ca="1">IF($AN11&gt;CDS.Tenor,"-",_xlfn.NORM.S.DIST(($ER11-SQRT(Correlation3)*FK$3)/SQRT(1-Correlation3),TRUE))</f>
        <v>1.7188216305784503E-8</v>
      </c>
      <c r="FL11" s="353">
        <f ca="1">IF($AN11&gt;CDS.Tenor,"-",_xlfn.NORM.S.DIST(($ER11-SQRT(Correlation3)*FL$3)/SQRT(1-Correlation3),TRUE))</f>
        <v>1.3582920065111343E-9</v>
      </c>
      <c r="FM11" s="353">
        <f ca="1">IF($AN11&gt;CDS.Tenor,"-",_xlfn.NORM.S.DIST(($ER11-SQRT(Correlation3)*FM$3)/SQRT(1-Correlation3),TRUE))</f>
        <v>8.9597717615467728E-11</v>
      </c>
      <c r="FN11" s="353">
        <f ca="1">IF($AN11&gt;CDS.Tenor,"-",_xlfn.NORM.S.DIST(($ER11-SQRT(Correlation3)*FN$3)/SQRT(1-Correlation3),TRUE))</f>
        <v>4.9307856682629327E-12</v>
      </c>
      <c r="FO11" s="354">
        <f ca="1">IF($AN11&gt;CDS.Tenor,"-",_xlfn.NORM.S.DIST(($ER11-SQRT(Correlation3)*FO$3)/SQRT(1-Correlation3),TRUE))</f>
        <v>2.2628739741057458E-13</v>
      </c>
      <c r="FQ11" s="358">
        <f t="shared" si="158"/>
        <v>1.75</v>
      </c>
      <c r="FR11" s="353">
        <f t="shared" ca="1" si="159"/>
        <v>8.5721490876824791E-2</v>
      </c>
      <c r="FS11" s="353">
        <f t="shared" ca="1" si="160"/>
        <v>0.17431206704607671</v>
      </c>
      <c r="FT11" s="353">
        <f t="shared" ca="1" si="161"/>
        <v>0.30609817590325872</v>
      </c>
      <c r="FU11" s="353">
        <f t="shared" ca="1" si="162"/>
        <v>0.46946282229138381</v>
      </c>
      <c r="FV11" s="353">
        <f t="shared" ca="1" si="163"/>
        <v>0.63821824964623275</v>
      </c>
      <c r="FW11" s="353">
        <f t="shared" ca="1" si="164"/>
        <v>0.78348606125489084</v>
      </c>
      <c r="FX11" s="353">
        <f t="shared" ca="1" si="165"/>
        <v>0.88769130861524903</v>
      </c>
      <c r="FY11" s="353">
        <f t="shared" ca="1" si="166"/>
        <v>0.94998022830071049</v>
      </c>
      <c r="FZ11" s="353">
        <f t="shared" ca="1" si="167"/>
        <v>0.98100592179684942</v>
      </c>
      <c r="GA11" s="353">
        <f t="shared" ca="1" si="168"/>
        <v>0.9938826743250827</v>
      </c>
      <c r="GB11" s="353">
        <f t="shared" ca="1" si="169"/>
        <v>0.99833561019851869</v>
      </c>
      <c r="GC11" s="353">
        <f t="shared" ca="1" si="170"/>
        <v>0.99961858925421643</v>
      </c>
      <c r="GD11" s="353">
        <f t="shared" ca="1" si="171"/>
        <v>0.99992655367615502</v>
      </c>
      <c r="GE11" s="353">
        <f t="shared" ca="1" si="172"/>
        <v>0.9999881367802762</v>
      </c>
      <c r="GF11" s="353">
        <f t="shared" ca="1" si="173"/>
        <v>0.99999839501397236</v>
      </c>
      <c r="GG11" s="353">
        <f t="shared" ca="1" si="174"/>
        <v>0.99999981833096707</v>
      </c>
      <c r="GH11" s="353">
        <f t="shared" ca="1" si="175"/>
        <v>0.99999998281178371</v>
      </c>
      <c r="GI11" s="353">
        <f t="shared" ca="1" si="176"/>
        <v>0.99999999864170797</v>
      </c>
      <c r="GJ11" s="353">
        <f t="shared" ca="1" si="177"/>
        <v>0.99999999991040234</v>
      </c>
      <c r="GK11" s="353">
        <f t="shared" ca="1" si="178"/>
        <v>0.99999999999506917</v>
      </c>
      <c r="GL11" s="354">
        <f t="shared" ca="1" si="179"/>
        <v>0.99999999999977374</v>
      </c>
      <c r="GO11" s="358">
        <f t="shared" si="180"/>
        <v>1.75</v>
      </c>
      <c r="GP11" s="353">
        <f t="shared" ca="1" si="181"/>
        <v>1.4886763736606582E-2</v>
      </c>
      <c r="GQ11" s="353">
        <f t="shared" ca="1" si="182"/>
        <v>4.9673086857265507E-2</v>
      </c>
      <c r="GR11" s="353">
        <f t="shared" ca="1" si="183"/>
        <v>0.12857746085952182</v>
      </c>
      <c r="GS11" s="353">
        <f t="shared" ca="1" si="184"/>
        <v>0.26434013679911367</v>
      </c>
      <c r="GT11" s="353">
        <f t="shared" ca="1" si="185"/>
        <v>0.44415507709331714</v>
      </c>
      <c r="GU11" s="353">
        <f t="shared" ca="1" si="186"/>
        <v>0.63067982974295411</v>
      </c>
      <c r="GV11" s="353">
        <f t="shared" ca="1" si="187"/>
        <v>0.78526722369463786</v>
      </c>
      <c r="GW11" s="353">
        <f t="shared" ca="1" si="188"/>
        <v>0.88997961811219928</v>
      </c>
      <c r="GX11" s="353">
        <f t="shared" ca="1" si="189"/>
        <v>0.9494644895100407</v>
      </c>
      <c r="GY11" s="353">
        <f t="shared" ca="1" si="190"/>
        <v>0.97865805704907716</v>
      </c>
      <c r="GZ11" s="353">
        <f t="shared" ca="1" si="191"/>
        <v>0.99146893843360473</v>
      </c>
      <c r="HA11" s="353">
        <f t="shared" ca="1" si="192"/>
        <v>0.99668966880530863</v>
      </c>
      <c r="HB11" s="353">
        <f t="shared" ca="1" si="193"/>
        <v>0.99873614930910459</v>
      </c>
      <c r="HC11" s="353">
        <f t="shared" ca="1" si="194"/>
        <v>0.99952536083176147</v>
      </c>
      <c r="HD11" s="353">
        <f t="shared" ca="1" si="195"/>
        <v>0.99982618162153214</v>
      </c>
      <c r="HE11" s="353">
        <f t="shared" ca="1" si="196"/>
        <v>0.99993856883987475</v>
      </c>
      <c r="HF11" s="353">
        <f t="shared" ca="1" si="197"/>
        <v>0.99997922387879623</v>
      </c>
      <c r="HG11" s="353">
        <f t="shared" ca="1" si="198"/>
        <v>0.99999331634691802</v>
      </c>
      <c r="HH11" s="353">
        <f t="shared" ca="1" si="199"/>
        <v>0.99999796315830003</v>
      </c>
      <c r="HI11" s="353">
        <f t="shared" ca="1" si="200"/>
        <v>0.999999413606808</v>
      </c>
      <c r="HJ11" s="354">
        <f t="shared" ca="1" si="201"/>
        <v>0.99999984081473081</v>
      </c>
      <c r="HK11" s="42"/>
      <c r="HL11" s="42"/>
      <c r="HM11" s="358">
        <f t="shared" si="202"/>
        <v>1.75</v>
      </c>
      <c r="HN11" s="362">
        <f t="shared" ca="1" si="203"/>
        <v>0.96987787080498478</v>
      </c>
      <c r="HO11" s="363">
        <f t="shared" ca="1" si="204"/>
        <v>4.1590658816827997E-3</v>
      </c>
    </row>
    <row r="12" spans="2:244" x14ac:dyDescent="0.3">
      <c r="U12" s="341"/>
      <c r="V12" s="370">
        <f t="shared" si="89"/>
        <v>2</v>
      </c>
      <c r="W12" s="371">
        <f t="shared" si="90"/>
        <v>-25000</v>
      </c>
      <c r="X12" s="348">
        <f t="shared" ca="1" si="91"/>
        <v>0.96575613006529715</v>
      </c>
      <c r="Y12" s="348">
        <f t="shared" ca="1" si="92"/>
        <v>4.1217407396876293E-3</v>
      </c>
      <c r="Z12" s="372" cm="1">
        <f t="array" ref="Z12">IF($V12&gt;CDS.Tenor,"-",cubicInterpolation(CurveResults.Times,CurveResults.DFs,$V12))</f>
        <v>0.91525521397921195</v>
      </c>
      <c r="AA12" s="371">
        <f t="shared" ca="1" si="93"/>
        <v>-22097.833336866232</v>
      </c>
      <c r="AB12" s="371">
        <f t="shared" ca="1" si="94"/>
        <v>-47.155558783370452</v>
      </c>
      <c r="AC12" s="373">
        <f t="shared" ca="1" si="95"/>
        <v>-22144.988895649603</v>
      </c>
      <c r="AF12" s="370">
        <f t="shared" si="96"/>
        <v>2</v>
      </c>
      <c r="AG12" s="371">
        <f t="shared" si="97"/>
        <v>6000000</v>
      </c>
      <c r="AH12" s="348">
        <f t="shared" ca="1" si="98"/>
        <v>0.96575613006529715</v>
      </c>
      <c r="AI12" s="348">
        <f t="shared" ca="1" si="99"/>
        <v>4.1217407396876293E-3</v>
      </c>
      <c r="AJ12" s="372" cm="1">
        <f t="array" ref="AJ12">IF($AF12&gt;CDS.Tenor,"-",cubicInterpolation(CurveResults.Times,CurveResults.DFs,$V12))</f>
        <v>0.91525521397921195</v>
      </c>
      <c r="AK12" s="373">
        <f t="shared" ca="1" si="100"/>
        <v>22634.668216017817</v>
      </c>
      <c r="AM12" s="340"/>
      <c r="AN12" s="358">
        <f t="shared" si="101"/>
        <v>2</v>
      </c>
      <c r="AO12" s="343" cm="1">
        <f t="array" aca="1" ref="AO12" ca="1">IF($AN12&gt;CDS.Tenor,"-",flatInterpolation(AM12,INDIRECT(HazardRateTimes1),INDIRECT(HazardRateValues1)))</f>
        <v>5.0000000000000001E-3</v>
      </c>
      <c r="AP12" s="10">
        <f t="shared" ca="1" si="102"/>
        <v>0.99004983374916833</v>
      </c>
      <c r="AQ12" s="10">
        <f t="shared" ca="1" si="103"/>
        <v>9.9501662508316713E-3</v>
      </c>
      <c r="AR12" s="81">
        <f t="shared" ca="1" si="104"/>
        <v>-2.3282217375371861</v>
      </c>
      <c r="AS12" s="340"/>
      <c r="AT12" s="358">
        <f t="shared" si="105"/>
        <v>2</v>
      </c>
      <c r="AU12" s="353">
        <f ca="1">IF($AN12&gt;CDS.Tenor,"-",_xlfn.NORM.S.DIST(($AR12-SQRT(Correlation1)*AU$3)/SQRT(1-Correlation1),TRUE))</f>
        <v>0.69512656359654668</v>
      </c>
      <c r="AV12" s="353">
        <f ca="1">IF($AN12&gt;CDS.Tenor,"-",_xlfn.NORM.S.DIST(($AR12-SQRT(Correlation1)*AV$3)/SQRT(1-Correlation1),TRUE))</f>
        <v>0.57159284407236799</v>
      </c>
      <c r="AW12" s="353">
        <f ca="1">IF($AN12&gt;CDS.Tenor,"-",_xlfn.NORM.S.DIST(($AR12-SQRT(Correlation1)*AW$3)/SQRT(1-Correlation1),TRUE))</f>
        <v>0.4405507364193284</v>
      </c>
      <c r="AX12" s="353">
        <f ca="1">IF($AN12&gt;CDS.Tenor,"-",_xlfn.NORM.S.DIST(($AR12-SQRT(Correlation1)*AX$3)/SQRT(1-Correlation1),TRUE))</f>
        <v>0.3157641092677469</v>
      </c>
      <c r="AY12" s="353">
        <f ca="1">IF($AN12&gt;CDS.Tenor,"-",_xlfn.NORM.S.DIST(($AR12-SQRT(Correlation1)*AY$3)/SQRT(1-Correlation1),TRUE))</f>
        <v>0.20909054160111351</v>
      </c>
      <c r="AZ12" s="353">
        <f ca="1">IF($AN12&gt;CDS.Tenor,"-",_xlfn.NORM.S.DIST(($AR12-SQRT(Correlation1)*AZ$3)/SQRT(1-Correlation1),TRUE))</f>
        <v>0.12722965181743362</v>
      </c>
      <c r="BA12" s="353">
        <f ca="1">IF($AN12&gt;CDS.Tenor,"-",_xlfn.NORM.S.DIST(($AR12-SQRT(Correlation1)*BA$3)/SQRT(1-Correlation1),TRUE))</f>
        <v>7.0836581506391716E-2</v>
      </c>
      <c r="BB12" s="353">
        <f ca="1">IF($AN12&gt;CDS.Tenor,"-",_xlfn.NORM.S.DIST(($AR12-SQRT(Correlation1)*BB$3)/SQRT(1-Correlation1),TRUE))</f>
        <v>3.5962487069108859E-2</v>
      </c>
      <c r="BC12" s="353">
        <f ca="1">IF($AN12&gt;CDS.Tenor,"-",_xlfn.NORM.S.DIST(($AR12-SQRT(Correlation1)*BC$3)/SQRT(1-Correlation1),TRUE))</f>
        <v>1.6602464606877591E-2</v>
      </c>
      <c r="BD12" s="353">
        <f ca="1">IF($AN12&gt;CDS.Tenor,"-",_xlfn.NORM.S.DIST(($AR12-SQRT(Correlation1)*BD$3)/SQRT(1-Correlation1),TRUE))</f>
        <v>6.9545861706897623E-3</v>
      </c>
      <c r="BE12" s="353">
        <f ca="1">IF($AN12&gt;CDS.Tenor,"-",_xlfn.NORM.S.DIST(($AR12-SQRT(Correlation1)*BE$3)/SQRT(1-Correlation1),TRUE))</f>
        <v>2.6386231866596392E-3</v>
      </c>
      <c r="BF12" s="353">
        <f ca="1">IF($AN12&gt;CDS.Tenor,"-",_xlfn.NORM.S.DIST(($AR12-SQRT(Correlation1)*BF$3)/SQRT(1-Correlation1),TRUE))</f>
        <v>9.0545799277284757E-4</v>
      </c>
      <c r="BG12" s="353">
        <f ca="1">IF($AN12&gt;CDS.Tenor,"-",_xlfn.NORM.S.DIST(($AR12-SQRT(Correlation1)*BG$3)/SQRT(1-Correlation1),TRUE))</f>
        <v>2.8069602849653758E-4</v>
      </c>
      <c r="BH12" s="353">
        <f ca="1">IF($AN12&gt;CDS.Tenor,"-",_xlfn.NORM.S.DIST(($AR12-SQRT(Correlation1)*BH$3)/SQRT(1-Correlation1),TRUE))</f>
        <v>7.8535112141434464E-5</v>
      </c>
      <c r="BI12" s="353">
        <f ca="1">IF($AN12&gt;CDS.Tenor,"-",_xlfn.NORM.S.DIST(($AR12-SQRT(Correlation1)*BI$3)/SQRT(1-Correlation1),TRUE))</f>
        <v>1.9815517768515849E-5</v>
      </c>
      <c r="BJ12" s="353">
        <f ca="1">IF($AN12&gt;CDS.Tenor,"-",_xlfn.NORM.S.DIST(($AR12-SQRT(Correlation1)*BJ$3)/SQRT(1-Correlation1),TRUE))</f>
        <v>4.5058059017551276E-6</v>
      </c>
      <c r="BK12" s="353">
        <f ca="1">IF($AN12&gt;CDS.Tenor,"-",_xlfn.NORM.S.DIST(($AR12-SQRT(Correlation1)*BK$3)/SQRT(1-Correlation1),TRUE))</f>
        <v>9.2283181368698054E-7</v>
      </c>
      <c r="BL12" s="353">
        <f ca="1">IF($AN12&gt;CDS.Tenor,"-",_xlfn.NORM.S.DIST(($AR12-SQRT(Correlation1)*BL$3)/SQRT(1-Correlation1),TRUE))</f>
        <v>1.7015722635739354E-7</v>
      </c>
      <c r="BM12" s="353">
        <f ca="1">IF($AN12&gt;CDS.Tenor,"-",_xlfn.NORM.S.DIST(($AR12-SQRT(Correlation1)*BM$3)/SQRT(1-Correlation1),TRUE))</f>
        <v>2.8234562728937404E-8</v>
      </c>
      <c r="BN12" s="353">
        <f ca="1">IF($AN12&gt;CDS.Tenor,"-",_xlfn.NORM.S.DIST(($AR12-SQRT(Correlation1)*BN$3)/SQRT(1-Correlation1),TRUE))</f>
        <v>4.2146792012970104E-9</v>
      </c>
      <c r="BO12" s="354">
        <f ca="1">IF($AN12&gt;CDS.Tenor,"-",_xlfn.NORM.S.DIST(($AR12-SQRT(Correlation1)*BO$3)/SQRT(1-Correlation1),TRUE))</f>
        <v>5.6581089270532187E-10</v>
      </c>
      <c r="BP12" s="340"/>
      <c r="BQ12" s="358">
        <f t="shared" si="106"/>
        <v>2</v>
      </c>
      <c r="BR12" s="353">
        <f t="shared" ca="1" si="107"/>
        <v>0.30487343640345332</v>
      </c>
      <c r="BS12" s="353">
        <f t="shared" ca="1" si="108"/>
        <v>0.42840715592763201</v>
      </c>
      <c r="BT12" s="353">
        <f t="shared" ca="1" si="109"/>
        <v>0.5594492635806716</v>
      </c>
      <c r="BU12" s="353">
        <f t="shared" ca="1" si="110"/>
        <v>0.6842358907322531</v>
      </c>
      <c r="BV12" s="353">
        <f t="shared" ca="1" si="111"/>
        <v>0.79090945839888649</v>
      </c>
      <c r="BW12" s="353">
        <f t="shared" ca="1" si="112"/>
        <v>0.87277034818256638</v>
      </c>
      <c r="BX12" s="353">
        <f t="shared" ca="1" si="113"/>
        <v>0.92916341849360828</v>
      </c>
      <c r="BY12" s="353">
        <f t="shared" ca="1" si="114"/>
        <v>0.96403751293089113</v>
      </c>
      <c r="BZ12" s="353">
        <f t="shared" ca="1" si="115"/>
        <v>0.98339753539312236</v>
      </c>
      <c r="CA12" s="353">
        <f t="shared" ca="1" si="116"/>
        <v>0.99304541382931022</v>
      </c>
      <c r="CB12" s="353">
        <f t="shared" ca="1" si="117"/>
        <v>0.99736137681334036</v>
      </c>
      <c r="CC12" s="353">
        <f t="shared" ca="1" si="118"/>
        <v>0.99909454200722714</v>
      </c>
      <c r="CD12" s="353">
        <f t="shared" ca="1" si="119"/>
        <v>0.99971930397150344</v>
      </c>
      <c r="CE12" s="353">
        <f t="shared" ca="1" si="120"/>
        <v>0.9999214648878586</v>
      </c>
      <c r="CF12" s="353">
        <f t="shared" ca="1" si="121"/>
        <v>0.99998018448223147</v>
      </c>
      <c r="CG12" s="353">
        <f t="shared" ca="1" si="122"/>
        <v>0.99999549419409828</v>
      </c>
      <c r="CH12" s="353">
        <f t="shared" ca="1" si="123"/>
        <v>0.99999907716818637</v>
      </c>
      <c r="CI12" s="353">
        <f t="shared" ca="1" si="124"/>
        <v>0.99999982984277369</v>
      </c>
      <c r="CJ12" s="353">
        <f t="shared" ca="1" si="125"/>
        <v>0.99999997176543731</v>
      </c>
      <c r="CK12" s="353">
        <f t="shared" ca="1" si="126"/>
        <v>0.99999999578532084</v>
      </c>
      <c r="CL12" s="354">
        <f t="shared" ca="1" si="127"/>
        <v>0.99999999943418916</v>
      </c>
      <c r="CM12" s="17"/>
      <c r="CN12" s="17"/>
      <c r="CO12" s="343" cm="1">
        <f t="array" aca="1" ref="CO12" ca="1">IF($AN12&gt;CDS.Tenor,"-",flatInterpolation(AN12,INDIRECT(HazardRateTimes2),INDIRECT(HazardRateValues2)))</f>
        <v>5.8333333333333336E-3</v>
      </c>
      <c r="CP12" s="10">
        <f t="shared" ca="1" si="128"/>
        <v>0.98840112499852384</v>
      </c>
      <c r="CQ12" s="10">
        <f t="shared" ca="1" si="129"/>
        <v>1.1598875001476161E-2</v>
      </c>
      <c r="CR12" s="81">
        <f t="shared" ca="1" si="130"/>
        <v>-2.2701620935371136</v>
      </c>
      <c r="CS12" s="340"/>
      <c r="CT12" s="358">
        <f t="shared" si="131"/>
        <v>2</v>
      </c>
      <c r="CU12" s="353">
        <f ca="1">IF($AN12&gt;CDS.Tenor,"-",_xlfn.NORM.S.DIST(($CR12-SQRT(Correlation2)*CU$3)/SQRT(1-Correlation2),TRUE))</f>
        <v>0.48960181652342555</v>
      </c>
      <c r="CV12" s="353">
        <f ca="1">IF($AN12&gt;CDS.Tenor,"-",_xlfn.NORM.S.DIST(($CR12-SQRT(Correlation2)*CV$3)/SQRT(1-Correlation2),TRUE))</f>
        <v>0.39066723606055648</v>
      </c>
      <c r="CW12" s="353">
        <f ca="1">IF($AN12&gt;CDS.Tenor,"-",_xlfn.NORM.S.DIST(($CR12-SQRT(Correlation2)*CW$3)/SQRT(1-Correlation2),TRUE))</f>
        <v>0.2983702996662797</v>
      </c>
      <c r="CX12" s="353">
        <f ca="1">IF($AN12&gt;CDS.Tenor,"-",_xlfn.NORM.S.DIST(($CR12-SQRT(Correlation2)*CX$3)/SQRT(1-Correlation2),TRUE))</f>
        <v>0.2175169649350065</v>
      </c>
      <c r="CY12" s="353">
        <f ca="1">IF($AN12&gt;CDS.Tenor,"-",_xlfn.NORM.S.DIST(($CR12-SQRT(Correlation2)*CY$3)/SQRT(1-Correlation2),TRUE))</f>
        <v>0.15100803685035238</v>
      </c>
      <c r="CZ12" s="353">
        <f ca="1">IF($AN12&gt;CDS.Tenor,"-",_xlfn.NORM.S.DIST(($CR12-SQRT(Correlation2)*CZ$3)/SQRT(1-Correlation2),TRUE))</f>
        <v>9.9635248011253091E-2</v>
      </c>
      <c r="DA12" s="353">
        <f ca="1">IF($AN12&gt;CDS.Tenor,"-",_xlfn.NORM.S.DIST(($CR12-SQRT(Correlation2)*DA$3)/SQRT(1-Correlation2),TRUE))</f>
        <v>6.2374009665774569E-2</v>
      </c>
      <c r="DB12" s="353">
        <f ca="1">IF($AN12&gt;CDS.Tenor,"-",_xlfn.NORM.S.DIST(($CR12-SQRT(Correlation2)*DB$3)/SQRT(1-Correlation2),TRUE))</f>
        <v>3.6996320032633388E-2</v>
      </c>
      <c r="DC12" s="353">
        <f ca="1">IF($AN12&gt;CDS.Tenor,"-",_xlfn.NORM.S.DIST(($CR12-SQRT(Correlation2)*DC$3)/SQRT(1-Correlation2),TRUE))</f>
        <v>2.076636981665857E-2</v>
      </c>
      <c r="DD12" s="353">
        <f ca="1">IF($AN12&gt;CDS.Tenor,"-",_xlfn.NORM.S.DIST(($CR12-SQRT(Correlation2)*DD$3)/SQRT(1-Correlation2),TRUE))</f>
        <v>1.1019790992015308E-2</v>
      </c>
      <c r="DE12" s="353">
        <f ca="1">IF($AN12&gt;CDS.Tenor,"-",_xlfn.NORM.S.DIST(($CR12-SQRT(Correlation2)*DE$3)/SQRT(1-Correlation2),TRUE))</f>
        <v>5.5236652518586239E-3</v>
      </c>
      <c r="DF12" s="353">
        <f ca="1">IF($AN12&gt;CDS.Tenor,"-",_xlfn.NORM.S.DIST(($CR12-SQRT(Correlation2)*DF$3)/SQRT(1-Correlation2),TRUE))</f>
        <v>2.6134168574284116E-3</v>
      </c>
      <c r="DG12" s="353">
        <f ca="1">IF($AN12&gt;CDS.Tenor,"-",_xlfn.NORM.S.DIST(($CR12-SQRT(Correlation2)*DG$3)/SQRT(1-Correlation2),TRUE))</f>
        <v>1.1664058624548327E-3</v>
      </c>
      <c r="DH12" s="353">
        <f ca="1">IF($AN12&gt;CDS.Tenor,"-",_xlfn.NORM.S.DIST(($CR12-SQRT(Correlation2)*DH$3)/SQRT(1-Correlation2),TRUE))</f>
        <v>4.9081873953853335E-4</v>
      </c>
      <c r="DI12" s="353">
        <f ca="1">IF($AN12&gt;CDS.Tenor,"-",_xlfn.NORM.S.DIST(($CR12-SQRT(Correlation2)*DI$3)/SQRT(1-Correlation2),TRUE))</f>
        <v>1.9463719841474332E-4</v>
      </c>
      <c r="DJ12" s="353">
        <f ca="1">IF($AN12&gt;CDS.Tenor,"-",_xlfn.NORM.S.DIST(($CR12-SQRT(Correlation2)*DJ$3)/SQRT(1-Correlation2),TRUE))</f>
        <v>7.2709888392766603E-5</v>
      </c>
      <c r="DK12" s="353">
        <f ca="1">IF($AN12&gt;CDS.Tenor,"-",_xlfn.NORM.S.DIST(($CR12-SQRT(Correlation2)*DK$3)/SQRT(1-Correlation2),TRUE))</f>
        <v>2.5578567486245459E-5</v>
      </c>
      <c r="DL12" s="353">
        <f ca="1">IF($AN12&gt;CDS.Tenor,"-",_xlfn.NORM.S.DIST(($CR12-SQRT(Correlation2)*DL$3)/SQRT(1-Correlation2),TRUE))</f>
        <v>8.4712058626322514E-6</v>
      </c>
      <c r="DM12" s="353">
        <f ca="1">IF($AN12&gt;CDS.Tenor,"-",_xlfn.NORM.S.DIST(($CR12-SQRT(Correlation2)*DM$3)/SQRT(1-Correlation2),TRUE))</f>
        <v>2.6405097122521609E-6</v>
      </c>
      <c r="DN12" s="353">
        <f ca="1">IF($AN12&gt;CDS.Tenor,"-",_xlfn.NORM.S.DIST(($CR12-SQRT(Correlation2)*DN$3)/SQRT(1-Correlation2),TRUE))</f>
        <v>7.7447020184577697E-7</v>
      </c>
      <c r="DO12" s="354">
        <f ca="1">IF($AN12&gt;CDS.Tenor,"-",_xlfn.NORM.S.DIST(($CR12-SQRT(Correlation2)*DO$3)/SQRT(1-Correlation2),TRUE))</f>
        <v>2.1370201286495538E-7</v>
      </c>
      <c r="DP12" s="340"/>
      <c r="DQ12" s="358">
        <f t="shared" si="132"/>
        <v>2</v>
      </c>
      <c r="DR12" s="353">
        <f t="shared" ca="1" si="133"/>
        <v>0.51039818347657451</v>
      </c>
      <c r="DS12" s="353">
        <f t="shared" ca="1" si="134"/>
        <v>0.60933276393944347</v>
      </c>
      <c r="DT12" s="353">
        <f t="shared" ca="1" si="135"/>
        <v>0.7016297003337203</v>
      </c>
      <c r="DU12" s="353">
        <f t="shared" ca="1" si="136"/>
        <v>0.7824830350649935</v>
      </c>
      <c r="DV12" s="353">
        <f t="shared" ca="1" si="137"/>
        <v>0.84899196314964764</v>
      </c>
      <c r="DW12" s="353">
        <f t="shared" ca="1" si="138"/>
        <v>0.90036475198874688</v>
      </c>
      <c r="DX12" s="353">
        <f t="shared" ca="1" si="139"/>
        <v>0.93762599033422545</v>
      </c>
      <c r="DY12" s="353">
        <f t="shared" ca="1" si="140"/>
        <v>0.96300367996736658</v>
      </c>
      <c r="DZ12" s="353">
        <f t="shared" ca="1" si="141"/>
        <v>0.97923363018334142</v>
      </c>
      <c r="EA12" s="353">
        <f t="shared" ca="1" si="142"/>
        <v>0.98898020900798467</v>
      </c>
      <c r="EB12" s="353">
        <f t="shared" ca="1" si="143"/>
        <v>0.99447633474814134</v>
      </c>
      <c r="EC12" s="353">
        <f t="shared" ca="1" si="144"/>
        <v>0.99738658314257156</v>
      </c>
      <c r="ED12" s="353">
        <f t="shared" ca="1" si="145"/>
        <v>0.99883359413754513</v>
      </c>
      <c r="EE12" s="353">
        <f t="shared" ca="1" si="146"/>
        <v>0.99950918126046151</v>
      </c>
      <c r="EF12" s="353">
        <f t="shared" ca="1" si="147"/>
        <v>0.99980536280158527</v>
      </c>
      <c r="EG12" s="353">
        <f t="shared" ca="1" si="148"/>
        <v>0.99992729011160719</v>
      </c>
      <c r="EH12" s="353">
        <f t="shared" ca="1" si="149"/>
        <v>0.9999744214325138</v>
      </c>
      <c r="EI12" s="353">
        <f t="shared" ca="1" si="150"/>
        <v>0.99999152879413733</v>
      </c>
      <c r="EJ12" s="353">
        <f t="shared" ca="1" si="151"/>
        <v>0.99999735949028778</v>
      </c>
      <c r="EK12" s="353">
        <f t="shared" ca="1" si="152"/>
        <v>0.99999922552979814</v>
      </c>
      <c r="EL12" s="354">
        <f t="shared" ca="1" si="153"/>
        <v>0.99999978629798714</v>
      </c>
      <c r="EM12" s="17"/>
      <c r="EN12" s="17"/>
      <c r="EO12" s="343" cm="1">
        <f t="array" aca="1" ref="EO12" ca="1">IF($AN12&gt;CDS.Tenor,"-",flatInterpolation(CP12,INDIRECT(HazardRateTimes3),INDIRECT(HazardRateValues3)))</f>
        <v>7.4999999999999997E-3</v>
      </c>
      <c r="EP12" s="10">
        <f t="shared" ca="1" si="154"/>
        <v>0.98511193960306287</v>
      </c>
      <c r="EQ12" s="10">
        <f t="shared" ca="1" si="155"/>
        <v>1.4888060396937131E-2</v>
      </c>
      <c r="ER12" s="81">
        <f t="shared" ca="1" si="156"/>
        <v>-2.1730557604645462</v>
      </c>
      <c r="ES12" s="340"/>
      <c r="ET12" s="358">
        <f t="shared" si="157"/>
        <v>2</v>
      </c>
      <c r="EU12" s="353">
        <f ca="1">IF($AN12&gt;CDS.Tenor,"-",_xlfn.NORM.S.DIST(($ER12-SQRT(Correlation3)*EU$3)/SQRT(1-Correlation3),TRUE))</f>
        <v>0.92452287268396205</v>
      </c>
      <c r="EV12" s="353">
        <f ca="1">IF($AN12&gt;CDS.Tenor,"-",_xlfn.NORM.S.DIST(($ER12-SQRT(Correlation3)*EV$3)/SQRT(1-Correlation3),TRUE))</f>
        <v>0.84275576381241168</v>
      </c>
      <c r="EW12" s="353">
        <f ca="1">IF($AN12&gt;CDS.Tenor,"-",_xlfn.NORM.S.DIST(($ER12-SQRT(Correlation3)*EW$3)/SQRT(1-Correlation3),TRUE))</f>
        <v>0.71753283898804443</v>
      </c>
      <c r="EX12" s="353">
        <f ca="1">IF($AN12&gt;CDS.Tenor,"-",_xlfn.NORM.S.DIST(($ER12-SQRT(Correlation3)*EX$3)/SQRT(1-Correlation3),TRUE))</f>
        <v>0.55772642082269641</v>
      </c>
      <c r="EY12" s="353">
        <f ca="1">IF($AN12&gt;CDS.Tenor,"-",_xlfn.NORM.S.DIST(($ER12-SQRT(Correlation3)*EY$3)/SQRT(1-Correlation3),TRUE))</f>
        <v>0.38777871028755828</v>
      </c>
      <c r="EZ12" s="353">
        <f ca="1">IF($AN12&gt;CDS.Tenor,"-",_xlfn.NORM.S.DIST(($ER12-SQRT(Correlation3)*EZ$3)/SQRT(1-Correlation3),TRUE))</f>
        <v>0.23717053274987507</v>
      </c>
      <c r="FA12" s="353">
        <f ca="1">IF($AN12&gt;CDS.Tenor,"-",_xlfn.NORM.S.DIST(($ER12-SQRT(Correlation3)*FA$3)/SQRT(1-Correlation3),TRUE))</f>
        <v>0.12594841472035942</v>
      </c>
      <c r="FB12" s="353">
        <f ca="1">IF($AN12&gt;CDS.Tenor,"-",_xlfn.NORM.S.DIST(($ER12-SQRT(Correlation3)*FB$3)/SQRT(1-Correlation3),TRUE))</f>
        <v>5.7504277017876929E-2</v>
      </c>
      <c r="FC12" s="353">
        <f ca="1">IF($AN12&gt;CDS.Tenor,"-",_xlfn.NORM.S.DIST(($ER12-SQRT(Correlation3)*FC$3)/SQRT(1-Correlation3),TRUE))</f>
        <v>2.2407039198133725E-2</v>
      </c>
      <c r="FD12" s="353">
        <f ca="1">IF($AN12&gt;CDS.Tenor,"-",_xlfn.NORM.S.DIST(($ER12-SQRT(Correlation3)*FD$3)/SQRT(1-Correlation3),TRUE))</f>
        <v>7.4106582628604787E-3</v>
      </c>
      <c r="FE12" s="353">
        <f ca="1">IF($AN12&gt;CDS.Tenor,"-",_xlfn.NORM.S.DIST(($ER12-SQRT(Correlation3)*FE$3)/SQRT(1-Correlation3),TRUE))</f>
        <v>2.0716760751612771E-3</v>
      </c>
      <c r="FF12" s="353">
        <f ca="1">IF($AN12&gt;CDS.Tenor,"-",_xlfn.NORM.S.DIST(($ER12-SQRT(Correlation3)*FF$3)/SQRT(1-Correlation3),TRUE))</f>
        <v>4.8799669752456272E-4</v>
      </c>
      <c r="FG12" s="353">
        <f ca="1">IF($AN12&gt;CDS.Tenor,"-",_xlfn.NORM.S.DIST(($ER12-SQRT(Correlation3)*FG$3)/SQRT(1-Correlation3),TRUE))</f>
        <v>9.6626182421508027E-5</v>
      </c>
      <c r="FH12" s="353">
        <f ca="1">IF($AN12&gt;CDS.Tenor,"-",_xlfn.NORM.S.DIST(($ER12-SQRT(Correlation3)*FH$3)/SQRT(1-Correlation3),TRUE))</f>
        <v>1.6052430331626461E-5</v>
      </c>
      <c r="FI12" s="353">
        <f ca="1">IF($AN12&gt;CDS.Tenor,"-",_xlfn.NORM.S.DIST(($ER12-SQRT(Correlation3)*FI$3)/SQRT(1-Correlation3),TRUE))</f>
        <v>2.2341504844109288E-6</v>
      </c>
      <c r="FJ12" s="353">
        <f ca="1">IF($AN12&gt;CDS.Tenor,"-",_xlfn.NORM.S.DIST(($ER12-SQRT(Correlation3)*FJ$3)/SQRT(1-Correlation3),TRUE))</f>
        <v>2.6019380981636702E-7</v>
      </c>
      <c r="FK12" s="353">
        <f ca="1">IF($AN12&gt;CDS.Tenor,"-",_xlfn.NORM.S.DIST(($ER12-SQRT(Correlation3)*FK$3)/SQRT(1-Correlation3),TRUE))</f>
        <v>2.533262869646843E-8</v>
      </c>
      <c r="FL12" s="353">
        <f ca="1">IF($AN12&gt;CDS.Tenor,"-",_xlfn.NORM.S.DIST(($ER12-SQRT(Correlation3)*FL$3)/SQRT(1-Correlation3),TRUE))</f>
        <v>2.0602696521369759E-9</v>
      </c>
      <c r="FM12" s="353">
        <f ca="1">IF($AN12&gt;CDS.Tenor,"-",_xlfn.NORM.S.DIST(($ER12-SQRT(Correlation3)*FM$3)/SQRT(1-Correlation3),TRUE))</f>
        <v>1.3987794742005684E-10</v>
      </c>
      <c r="FN12" s="353">
        <f ca="1">IF($AN12&gt;CDS.Tenor,"-",_xlfn.NORM.S.DIST(($ER12-SQRT(Correlation3)*FN$3)/SQRT(1-Correlation3),TRUE))</f>
        <v>7.9236128000240238E-12</v>
      </c>
      <c r="FO12" s="354">
        <f ca="1">IF($AN12&gt;CDS.Tenor,"-",_xlfn.NORM.S.DIST(($ER12-SQRT(Correlation3)*FO$3)/SQRT(1-Correlation3),TRUE))</f>
        <v>3.7432647701618485E-13</v>
      </c>
      <c r="FP12" s="340"/>
      <c r="FQ12" s="358">
        <f t="shared" si="158"/>
        <v>2</v>
      </c>
      <c r="FR12" s="353">
        <f t="shared" ca="1" si="159"/>
        <v>7.5477127316037951E-2</v>
      </c>
      <c r="FS12" s="353">
        <f t="shared" ca="1" si="160"/>
        <v>0.15724423618758832</v>
      </c>
      <c r="FT12" s="353">
        <f t="shared" ca="1" si="161"/>
        <v>0.28246716101195557</v>
      </c>
      <c r="FU12" s="353">
        <f t="shared" ca="1" si="162"/>
        <v>0.44227357917730359</v>
      </c>
      <c r="FV12" s="353">
        <f t="shared" ca="1" si="163"/>
        <v>0.61222128971244172</v>
      </c>
      <c r="FW12" s="353">
        <f t="shared" ca="1" si="164"/>
        <v>0.7628294672501249</v>
      </c>
      <c r="FX12" s="353">
        <f t="shared" ca="1" si="165"/>
        <v>0.87405158527964055</v>
      </c>
      <c r="FY12" s="353">
        <f t="shared" ca="1" si="166"/>
        <v>0.94249572298212303</v>
      </c>
      <c r="FZ12" s="353">
        <f t="shared" ca="1" si="167"/>
        <v>0.97759296080186631</v>
      </c>
      <c r="GA12" s="353">
        <f t="shared" ca="1" si="168"/>
        <v>0.99258934173713953</v>
      </c>
      <c r="GB12" s="353">
        <f t="shared" ca="1" si="169"/>
        <v>0.99792832392483877</v>
      </c>
      <c r="GC12" s="353">
        <f t="shared" ca="1" si="170"/>
        <v>0.99951200330247547</v>
      </c>
      <c r="GD12" s="353">
        <f t="shared" ca="1" si="171"/>
        <v>0.99990337381757854</v>
      </c>
      <c r="GE12" s="353">
        <f t="shared" ca="1" si="172"/>
        <v>0.99998394756966835</v>
      </c>
      <c r="GF12" s="353">
        <f t="shared" ca="1" si="173"/>
        <v>0.99999776584951561</v>
      </c>
      <c r="GG12" s="353">
        <f t="shared" ca="1" si="174"/>
        <v>0.99999973980619017</v>
      </c>
      <c r="GH12" s="353">
        <f t="shared" ca="1" si="175"/>
        <v>0.99999997466737134</v>
      </c>
      <c r="GI12" s="353">
        <f t="shared" ca="1" si="176"/>
        <v>0.99999999793973038</v>
      </c>
      <c r="GJ12" s="353">
        <f t="shared" ca="1" si="177"/>
        <v>0.999999999860122</v>
      </c>
      <c r="GK12" s="353">
        <f t="shared" ca="1" si="178"/>
        <v>0.99999999999207634</v>
      </c>
      <c r="GL12" s="354">
        <f t="shared" ca="1" si="179"/>
        <v>0.99999999999962563</v>
      </c>
      <c r="GO12" s="358">
        <f t="shared" si="180"/>
        <v>2</v>
      </c>
      <c r="GP12" s="353">
        <f t="shared" ca="1" si="181"/>
        <v>1.1744757887599435E-2</v>
      </c>
      <c r="GQ12" s="353">
        <f t="shared" ca="1" si="182"/>
        <v>4.1047431105819897E-2</v>
      </c>
      <c r="GR12" s="353">
        <f t="shared" ca="1" si="183"/>
        <v>0.1108757667483246</v>
      </c>
      <c r="GS12" s="353">
        <f t="shared" ca="1" si="184"/>
        <v>0.23679459071024456</v>
      </c>
      <c r="GT12" s="353">
        <f t="shared" ca="1" si="185"/>
        <v>0.41109176422182037</v>
      </c>
      <c r="GU12" s="353">
        <f t="shared" ca="1" si="186"/>
        <v>0.5994402884955583</v>
      </c>
      <c r="GV12" s="353">
        <f t="shared" ca="1" si="187"/>
        <v>0.76148053286749451</v>
      </c>
      <c r="GW12" s="353">
        <f t="shared" ca="1" si="188"/>
        <v>0.87498633074350118</v>
      </c>
      <c r="GX12" s="353">
        <f t="shared" ca="1" si="189"/>
        <v>0.94139849889561078</v>
      </c>
      <c r="GY12" s="353">
        <f t="shared" ca="1" si="190"/>
        <v>0.97482423668844642</v>
      </c>
      <c r="GZ12" s="353">
        <f t="shared" ca="1" si="191"/>
        <v>0.98979748978079407</v>
      </c>
      <c r="HA12" s="353">
        <f t="shared" ca="1" si="192"/>
        <v>0.99599721083599646</v>
      </c>
      <c r="HB12" s="353">
        <f t="shared" ca="1" si="193"/>
        <v>0.99845673912841559</v>
      </c>
      <c r="HC12" s="353">
        <f t="shared" ca="1" si="194"/>
        <v>0.99941464140338754</v>
      </c>
      <c r="HD12" s="353">
        <f t="shared" ca="1" si="195"/>
        <v>0.99978331746928017</v>
      </c>
      <c r="HE12" s="353">
        <f t="shared" ca="1" si="196"/>
        <v>0.99992252445960317</v>
      </c>
      <c r="HF12" s="353">
        <f t="shared" ca="1" si="197"/>
        <v>0.99997347329234754</v>
      </c>
      <c r="HG12" s="353">
        <f t="shared" ca="1" si="198"/>
        <v>0.99999135657810057</v>
      </c>
      <c r="HH12" s="353">
        <f t="shared" ca="1" si="199"/>
        <v>0.99999733111592204</v>
      </c>
      <c r="HI12" s="353">
        <f t="shared" ca="1" si="200"/>
        <v>0.99999922130719854</v>
      </c>
      <c r="HJ12" s="354">
        <f t="shared" ca="1" si="201"/>
        <v>0.99999978573180204</v>
      </c>
      <c r="HK12" s="42"/>
      <c r="HL12" s="42"/>
      <c r="HM12" s="358">
        <f t="shared" si="202"/>
        <v>2</v>
      </c>
      <c r="HN12" s="362">
        <f t="shared" ca="1" si="203"/>
        <v>0.96575613006529715</v>
      </c>
      <c r="HO12" s="363">
        <f t="shared" ca="1" si="204"/>
        <v>4.1217407396876293E-3</v>
      </c>
    </row>
    <row r="13" spans="2:244" x14ac:dyDescent="0.3">
      <c r="B13" s="1" t="s">
        <v>116</v>
      </c>
      <c r="I13" s="2"/>
      <c r="V13" s="370">
        <f t="shared" si="89"/>
        <v>2.25</v>
      </c>
      <c r="W13" s="371">
        <f t="shared" si="90"/>
        <v>-25000</v>
      </c>
      <c r="X13" s="348">
        <f t="shared" ca="1" si="91"/>
        <v>0.96166978485001642</v>
      </c>
      <c r="Y13" s="348">
        <f t="shared" ca="1" si="92"/>
        <v>4.0863452152807289E-3</v>
      </c>
      <c r="Z13" s="372" cm="1">
        <f t="array" ref="Z13">IF($V13&gt;CDS.Tenor,"-",cubicInterpolation(CurveResults.Times,CurveResults.DFs,$V13))</f>
        <v>0.90592386234408706</v>
      </c>
      <c r="AA13" s="371">
        <f t="shared" ca="1" si="93"/>
        <v>-21779.990144773354</v>
      </c>
      <c r="AB13" s="371">
        <f t="shared" ca="1" si="94"/>
        <v>-46.27397050372997</v>
      </c>
      <c r="AC13" s="373">
        <f t="shared" ca="1" si="95"/>
        <v>-21826.264115277085</v>
      </c>
      <c r="AF13" s="370">
        <f t="shared" si="96"/>
        <v>2.25</v>
      </c>
      <c r="AG13" s="371">
        <f t="shared" si="97"/>
        <v>6000000</v>
      </c>
      <c r="AH13" s="348">
        <f t="shared" ca="1" si="98"/>
        <v>0.96166978485001642</v>
      </c>
      <c r="AI13" s="348">
        <f t="shared" ca="1" si="99"/>
        <v>4.0863452152807289E-3</v>
      </c>
      <c r="AJ13" s="372" cm="1">
        <f t="array" ref="AJ13">IF($AF13&gt;CDS.Tenor,"-",cubicInterpolation(CurveResults.Times,CurveResults.DFs,$V13))</f>
        <v>0.90592386234408706</v>
      </c>
      <c r="AK13" s="373">
        <f t="shared" ca="1" si="100"/>
        <v>22211.505841790386</v>
      </c>
      <c r="AM13" s="340"/>
      <c r="AN13" s="358">
        <f t="shared" si="101"/>
        <v>2.25</v>
      </c>
      <c r="AO13" s="343" cm="1">
        <f t="array" aca="1" ref="AO13" ca="1">IF($AN13&gt;CDS.Tenor,"-",flatInterpolation(AM13,INDIRECT(HazardRateTimes1),INDIRECT(HazardRateValues1)))</f>
        <v>5.0000000000000001E-3</v>
      </c>
      <c r="AP13" s="10">
        <f t="shared" ca="1" si="102"/>
        <v>0.98881304461123343</v>
      </c>
      <c r="AQ13" s="10">
        <f t="shared" ca="1" si="103"/>
        <v>1.1186955388766573E-2</v>
      </c>
      <c r="AR13" s="81">
        <f t="shared" ca="1" si="104"/>
        <v>-2.2839595080434183</v>
      </c>
      <c r="AS13" s="340"/>
      <c r="AT13" s="358">
        <f t="shared" si="105"/>
        <v>2.25</v>
      </c>
      <c r="AU13" s="353">
        <f ca="1">IF($AN13&gt;CDS.Tenor,"-",_xlfn.NORM.S.DIST(($AR13-SQRT(Correlation1)*AU$3)/SQRT(1-Correlation1),TRUE))</f>
        <v>0.71344203792540128</v>
      </c>
      <c r="AV13" s="353">
        <f ca="1">IF($AN13&gt;CDS.Tenor,"-",_xlfn.NORM.S.DIST(($AR13-SQRT(Correlation1)*AV$3)/SQRT(1-Correlation1),TRUE))</f>
        <v>0.592299648930672</v>
      </c>
      <c r="AW13" s="353">
        <f ca="1">IF($AN13&gt;CDS.Tenor,"-",_xlfn.NORM.S.DIST(($AR13-SQRT(Correlation1)*AW$3)/SQRT(1-Correlation1),TRUE))</f>
        <v>0.46154609514339656</v>
      </c>
      <c r="AX13" s="353">
        <f ca="1">IF($AN13&gt;CDS.Tenor,"-",_xlfn.NORM.S.DIST(($AR13-SQRT(Correlation1)*AX$3)/SQRT(1-Correlation1),TRUE))</f>
        <v>0.33485599367762819</v>
      </c>
      <c r="AY13" s="353">
        <f ca="1">IF($AN13&gt;CDS.Tenor,"-",_xlfn.NORM.S.DIST(($AR13-SQRT(Correlation1)*AY$3)/SQRT(1-Correlation1),TRUE))</f>
        <v>0.22466057633189077</v>
      </c>
      <c r="AZ13" s="353">
        <f ca="1">IF($AN13&gt;CDS.Tenor,"-",_xlfn.NORM.S.DIST(($AR13-SQRT(Correlation1)*AZ$3)/SQRT(1-Correlation1),TRUE))</f>
        <v>0.13861760449378488</v>
      </c>
      <c r="BA13" s="353">
        <f ca="1">IF($AN13&gt;CDS.Tenor,"-",_xlfn.NORM.S.DIST(($AR13-SQRT(Correlation1)*BA$3)/SQRT(1-Correlation1),TRUE))</f>
        <v>7.8306519770630606E-2</v>
      </c>
      <c r="BB13" s="353">
        <f ca="1">IF($AN13&gt;CDS.Tenor,"-",_xlfn.NORM.S.DIST(($AR13-SQRT(Correlation1)*BB$3)/SQRT(1-Correlation1),TRUE))</f>
        <v>4.0356928256867583E-2</v>
      </c>
      <c r="BC13" s="353">
        <f ca="1">IF($AN13&gt;CDS.Tenor,"-",_xlfn.NORM.S.DIST(($AR13-SQRT(Correlation1)*BC$3)/SQRT(1-Correlation1),TRUE))</f>
        <v>1.8920956512273868E-2</v>
      </c>
      <c r="BD13" s="353">
        <f ca="1">IF($AN13&gt;CDS.Tenor,"-",_xlfn.NORM.S.DIST(($AR13-SQRT(Correlation1)*BD$3)/SQRT(1-Correlation1),TRUE))</f>
        <v>8.0516270039612068E-3</v>
      </c>
      <c r="BE13" s="353">
        <f ca="1">IF($AN13&gt;CDS.Tenor,"-",_xlfn.NORM.S.DIST(($AR13-SQRT(Correlation1)*BE$3)/SQRT(1-Correlation1),TRUE))</f>
        <v>3.1041613414899446E-3</v>
      </c>
      <c r="BF13" s="353">
        <f ca="1">IF($AN13&gt;CDS.Tenor,"-",_xlfn.NORM.S.DIST(($AR13-SQRT(Correlation1)*BF$3)/SQRT(1-Correlation1),TRUE))</f>
        <v>1.0826332391837754E-3</v>
      </c>
      <c r="BG13" s="353">
        <f ca="1">IF($AN13&gt;CDS.Tenor,"-",_xlfn.NORM.S.DIST(($AR13-SQRT(Correlation1)*BG$3)/SQRT(1-Correlation1),TRUE))</f>
        <v>3.4116966476367249E-4</v>
      </c>
      <c r="BH13" s="353">
        <f ca="1">IF($AN13&gt;CDS.Tenor,"-",_xlfn.NORM.S.DIST(($AR13-SQRT(Correlation1)*BH$3)/SQRT(1-Correlation1),TRUE))</f>
        <v>9.7046730644670016E-5</v>
      </c>
      <c r="BI13" s="353">
        <f ca="1">IF($AN13&gt;CDS.Tenor,"-",_xlfn.NORM.S.DIST(($AR13-SQRT(Correlation1)*BI$3)/SQRT(1-Correlation1),TRUE))</f>
        <v>2.4897556447391158E-5</v>
      </c>
      <c r="BJ13" s="353">
        <f ca="1">IF($AN13&gt;CDS.Tenor,"-",_xlfn.NORM.S.DIST(($AR13-SQRT(Correlation1)*BJ$3)/SQRT(1-Correlation1),TRUE))</f>
        <v>5.757063717066287E-6</v>
      </c>
      <c r="BK13" s="353">
        <f ca="1">IF($AN13&gt;CDS.Tenor,"-",_xlfn.NORM.S.DIST(($AR13-SQRT(Correlation1)*BK$3)/SQRT(1-Correlation1),TRUE))</f>
        <v>1.1991254601338917E-6</v>
      </c>
      <c r="BL13" s="353">
        <f ca="1">IF($AN13&gt;CDS.Tenor,"-",_xlfn.NORM.S.DIST(($AR13-SQRT(Correlation1)*BL$3)/SQRT(1-Correlation1),TRUE))</f>
        <v>2.2487271052845307E-7</v>
      </c>
      <c r="BM13" s="353">
        <f ca="1">IF($AN13&gt;CDS.Tenor,"-",_xlfn.NORM.S.DIST(($AR13-SQRT(Correlation1)*BM$3)/SQRT(1-Correlation1),TRUE))</f>
        <v>3.795229306627324E-8</v>
      </c>
      <c r="BN13" s="353">
        <f ca="1">IF($AN13&gt;CDS.Tenor,"-",_xlfn.NORM.S.DIST(($AR13-SQRT(Correlation1)*BN$3)/SQRT(1-Correlation1),TRUE))</f>
        <v>5.7625499148048998E-9</v>
      </c>
      <c r="BO13" s="354">
        <f ca="1">IF($AN13&gt;CDS.Tenor,"-",_xlfn.NORM.S.DIST(($AR13-SQRT(Correlation1)*BO$3)/SQRT(1-Correlation1),TRUE))</f>
        <v>7.8692668449413264E-10</v>
      </c>
      <c r="BP13" s="340"/>
      <c r="BQ13" s="358">
        <f t="shared" si="106"/>
        <v>2.25</v>
      </c>
      <c r="BR13" s="353">
        <f t="shared" ca="1" si="107"/>
        <v>0.28655796207459872</v>
      </c>
      <c r="BS13" s="353">
        <f t="shared" ca="1" si="108"/>
        <v>0.407700351069328</v>
      </c>
      <c r="BT13" s="353">
        <f t="shared" ca="1" si="109"/>
        <v>0.53845390485660349</v>
      </c>
      <c r="BU13" s="353">
        <f t="shared" ca="1" si="110"/>
        <v>0.66514400632237181</v>
      </c>
      <c r="BV13" s="353">
        <f t="shared" ca="1" si="111"/>
        <v>0.77533942366810926</v>
      </c>
      <c r="BW13" s="353">
        <f t="shared" ca="1" si="112"/>
        <v>0.86138239550621509</v>
      </c>
      <c r="BX13" s="353">
        <f t="shared" ca="1" si="113"/>
        <v>0.92169348022936937</v>
      </c>
      <c r="BY13" s="353">
        <f t="shared" ca="1" si="114"/>
        <v>0.95964307174313246</v>
      </c>
      <c r="BZ13" s="353">
        <f t="shared" ca="1" si="115"/>
        <v>0.98107904348772612</v>
      </c>
      <c r="CA13" s="353">
        <f t="shared" ca="1" si="116"/>
        <v>0.99194837299603877</v>
      </c>
      <c r="CB13" s="353">
        <f t="shared" ca="1" si="117"/>
        <v>0.99689583865851006</v>
      </c>
      <c r="CC13" s="353">
        <f t="shared" ca="1" si="118"/>
        <v>0.99891736676081622</v>
      </c>
      <c r="CD13" s="353">
        <f t="shared" ca="1" si="119"/>
        <v>0.99965883033523628</v>
      </c>
      <c r="CE13" s="353">
        <f t="shared" ca="1" si="120"/>
        <v>0.9999029532693553</v>
      </c>
      <c r="CF13" s="353">
        <f t="shared" ca="1" si="121"/>
        <v>0.99997510244355259</v>
      </c>
      <c r="CG13" s="353">
        <f t="shared" ca="1" si="122"/>
        <v>0.99999424293628292</v>
      </c>
      <c r="CH13" s="353">
        <f t="shared" ca="1" si="123"/>
        <v>0.99999880087453985</v>
      </c>
      <c r="CI13" s="353">
        <f t="shared" ca="1" si="124"/>
        <v>0.99999977512728944</v>
      </c>
      <c r="CJ13" s="353">
        <f t="shared" ca="1" si="125"/>
        <v>0.99999996204770691</v>
      </c>
      <c r="CK13" s="353">
        <f t="shared" ca="1" si="126"/>
        <v>0.99999999423745012</v>
      </c>
      <c r="CL13" s="354">
        <f t="shared" ca="1" si="127"/>
        <v>0.99999999921307337</v>
      </c>
      <c r="CM13" s="17"/>
      <c r="CN13" s="17"/>
      <c r="CO13" s="343" cm="1">
        <f t="array" aca="1" ref="CO13" ca="1">IF($AN13&gt;CDS.Tenor,"-",flatInterpolation(AN13,INDIRECT(HazardRateTimes2),INDIRECT(HazardRateValues2)))</f>
        <v>5.8333333333333336E-3</v>
      </c>
      <c r="CP13" s="10">
        <f t="shared" ca="1" si="128"/>
        <v>0.98696075721468357</v>
      </c>
      <c r="CQ13" s="10">
        <f t="shared" ca="1" si="129"/>
        <v>1.3039242785316429E-2</v>
      </c>
      <c r="CR13" s="81">
        <f t="shared" ca="1" si="130"/>
        <v>-2.2250410047056879</v>
      </c>
      <c r="CS13" s="340"/>
      <c r="CT13" s="358">
        <f t="shared" si="131"/>
        <v>2.25</v>
      </c>
      <c r="CU13" s="353">
        <f ca="1">IF($AN13&gt;CDS.Tenor,"-",_xlfn.NORM.S.DIST(($CR13-SQRT(Correlation2)*CU$3)/SQRT(1-Correlation2),TRUE))</f>
        <v>0.50974949387072588</v>
      </c>
      <c r="CV13" s="353">
        <f ca="1">IF($AN13&gt;CDS.Tenor,"-",_xlfn.NORM.S.DIST(($CR13-SQRT(Correlation2)*CV$3)/SQRT(1-Correlation2),TRUE))</f>
        <v>0.41018376644021787</v>
      </c>
      <c r="CW13" s="353">
        <f ca="1">IF($AN13&gt;CDS.Tenor,"-",_xlfn.NORM.S.DIST(($CR13-SQRT(Correlation2)*CW$3)/SQRT(1-Correlation2),TRUE))</f>
        <v>0.31611681614124731</v>
      </c>
      <c r="CX13" s="353">
        <f ca="1">IF($AN13&gt;CDS.Tenor,"-",_xlfn.NORM.S.DIST(($CR13-SQRT(Correlation2)*CX$3)/SQRT(1-Correlation2),TRUE))</f>
        <v>0.23266500695137612</v>
      </c>
      <c r="CY13" s="353">
        <f ca="1">IF($AN13&gt;CDS.Tenor,"-",_xlfn.NORM.S.DIST(($CR13-SQRT(Correlation2)*CY$3)/SQRT(1-Correlation2),TRUE))</f>
        <v>0.16314563528796755</v>
      </c>
      <c r="CZ13" s="353">
        <f ca="1">IF($AN13&gt;CDS.Tenor,"-",_xlfn.NORM.S.DIST(($CR13-SQRT(Correlation2)*CZ$3)/SQRT(1-Correlation2),TRUE))</f>
        <v>0.10876464112794013</v>
      </c>
      <c r="DA13" s="353">
        <f ca="1">IF($AN13&gt;CDS.Tenor,"-",_xlfn.NORM.S.DIST(($CR13-SQRT(Correlation2)*DA$3)/SQRT(1-Correlation2),TRUE))</f>
        <v>6.881991511138362E-2</v>
      </c>
      <c r="DB13" s="353">
        <f ca="1">IF($AN13&gt;CDS.Tenor,"-",_xlfn.NORM.S.DIST(($CR13-SQRT(Correlation2)*DB$3)/SQRT(1-Correlation2),TRUE))</f>
        <v>4.126859140526476E-2</v>
      </c>
      <c r="DC13" s="353">
        <f ca="1">IF($AN13&gt;CDS.Tenor,"-",_xlfn.NORM.S.DIST(($CR13-SQRT(Correlation2)*DC$3)/SQRT(1-Correlation2),TRUE))</f>
        <v>2.3424441012588292E-2</v>
      </c>
      <c r="DD13" s="353">
        <f ca="1">IF($AN13&gt;CDS.Tenor,"-",_xlfn.NORM.S.DIST(($CR13-SQRT(Correlation2)*DD$3)/SQRT(1-Correlation2),TRUE))</f>
        <v>1.2572203968956095E-2</v>
      </c>
      <c r="DE13" s="353">
        <f ca="1">IF($AN13&gt;CDS.Tenor,"-",_xlfn.NORM.S.DIST(($CR13-SQRT(Correlation2)*DE$3)/SQRT(1-Correlation2),TRUE))</f>
        <v>6.3747656542060332E-3</v>
      </c>
      <c r="DF13" s="353">
        <f ca="1">IF($AN13&gt;CDS.Tenor,"-",_xlfn.NORM.S.DIST(($CR13-SQRT(Correlation2)*DF$3)/SQRT(1-Correlation2),TRUE))</f>
        <v>3.0514300613384824E-3</v>
      </c>
      <c r="DG13" s="353">
        <f ca="1">IF($AN13&gt;CDS.Tenor,"-",_xlfn.NORM.S.DIST(($CR13-SQRT(Correlation2)*DG$3)/SQRT(1-Correlation2),TRUE))</f>
        <v>1.3780111343906457E-3</v>
      </c>
      <c r="DH13" s="353">
        <f ca="1">IF($AN13&gt;CDS.Tenor,"-",_xlfn.NORM.S.DIST(($CR13-SQRT(Correlation2)*DH$3)/SQRT(1-Correlation2),TRUE))</f>
        <v>5.8678059524671831E-4</v>
      </c>
      <c r="DI13" s="353">
        <f ca="1">IF($AN13&gt;CDS.Tenor,"-",_xlfn.NORM.S.DIST(($CR13-SQRT(Correlation2)*DI$3)/SQRT(1-Correlation2),TRUE))</f>
        <v>2.3548828983170256E-4</v>
      </c>
      <c r="DJ13" s="353">
        <f ca="1">IF($AN13&gt;CDS.Tenor,"-",_xlfn.NORM.S.DIST(($CR13-SQRT(Correlation2)*DJ$3)/SQRT(1-Correlation2),TRUE))</f>
        <v>8.9034451275179919E-5</v>
      </c>
      <c r="DK13" s="353">
        <f ca="1">IF($AN13&gt;CDS.Tenor,"-",_xlfn.NORM.S.DIST(($CR13-SQRT(Correlation2)*DK$3)/SQRT(1-Correlation2),TRUE))</f>
        <v>3.1702245224487095E-5</v>
      </c>
      <c r="DL13" s="353">
        <f ca="1">IF($AN13&gt;CDS.Tenor,"-",_xlfn.NORM.S.DIST(($CR13-SQRT(Correlation2)*DL$3)/SQRT(1-Correlation2),TRUE))</f>
        <v>1.0627539522250659E-5</v>
      </c>
      <c r="DM13" s="353">
        <f ca="1">IF($AN13&gt;CDS.Tenor,"-",_xlfn.NORM.S.DIST(($CR13-SQRT(Correlation2)*DM$3)/SQRT(1-Correlation2),TRUE))</f>
        <v>3.3532847192566526E-6</v>
      </c>
      <c r="DN13" s="353">
        <f ca="1">IF($AN13&gt;CDS.Tenor,"-",_xlfn.NORM.S.DIST(($CR13-SQRT(Correlation2)*DN$3)/SQRT(1-Correlation2),TRUE))</f>
        <v>9.9563796659188219E-7</v>
      </c>
      <c r="DO13" s="354">
        <f ca="1">IF($AN13&gt;CDS.Tenor,"-",_xlfn.NORM.S.DIST(($CR13-SQRT(Correlation2)*DO$3)/SQRT(1-Correlation2),TRUE))</f>
        <v>2.7812250784683108E-7</v>
      </c>
      <c r="DP13" s="340"/>
      <c r="DQ13" s="358">
        <f t="shared" si="132"/>
        <v>2.25</v>
      </c>
      <c r="DR13" s="353">
        <f t="shared" ca="1" si="133"/>
        <v>0.49025050612927412</v>
      </c>
      <c r="DS13" s="353">
        <f t="shared" ca="1" si="134"/>
        <v>0.58981623355978208</v>
      </c>
      <c r="DT13" s="353">
        <f t="shared" ca="1" si="135"/>
        <v>0.68388318385875269</v>
      </c>
      <c r="DU13" s="353">
        <f t="shared" ca="1" si="136"/>
        <v>0.76733499304862385</v>
      </c>
      <c r="DV13" s="353">
        <f t="shared" ca="1" si="137"/>
        <v>0.83685436471203245</v>
      </c>
      <c r="DW13" s="353">
        <f t="shared" ca="1" si="138"/>
        <v>0.89123535887205985</v>
      </c>
      <c r="DX13" s="353">
        <f t="shared" ca="1" si="139"/>
        <v>0.93118008488861637</v>
      </c>
      <c r="DY13" s="353">
        <f t="shared" ca="1" si="140"/>
        <v>0.95873140859473527</v>
      </c>
      <c r="DZ13" s="353">
        <f t="shared" ca="1" si="141"/>
        <v>0.97657555898741166</v>
      </c>
      <c r="EA13" s="353">
        <f t="shared" ca="1" si="142"/>
        <v>0.98742779603104391</v>
      </c>
      <c r="EB13" s="353">
        <f t="shared" ca="1" si="143"/>
        <v>0.99362523434579397</v>
      </c>
      <c r="EC13" s="353">
        <f t="shared" ca="1" si="144"/>
        <v>0.99694856993866154</v>
      </c>
      <c r="ED13" s="353">
        <f t="shared" ca="1" si="145"/>
        <v>0.99862198886560938</v>
      </c>
      <c r="EE13" s="353">
        <f t="shared" ca="1" si="146"/>
        <v>0.99941321940475325</v>
      </c>
      <c r="EF13" s="353">
        <f t="shared" ca="1" si="147"/>
        <v>0.99976451171016834</v>
      </c>
      <c r="EG13" s="353">
        <f t="shared" ca="1" si="148"/>
        <v>0.99991096554872483</v>
      </c>
      <c r="EH13" s="353">
        <f t="shared" ca="1" si="149"/>
        <v>0.99996829775477547</v>
      </c>
      <c r="EI13" s="353">
        <f t="shared" ca="1" si="150"/>
        <v>0.9999893724604777</v>
      </c>
      <c r="EJ13" s="353">
        <f t="shared" ca="1" si="151"/>
        <v>0.99999664671528077</v>
      </c>
      <c r="EK13" s="353">
        <f t="shared" ca="1" si="152"/>
        <v>0.99999900436203337</v>
      </c>
      <c r="EL13" s="354">
        <f t="shared" ca="1" si="153"/>
        <v>0.9999997218774922</v>
      </c>
      <c r="EM13" s="17"/>
      <c r="EN13" s="17"/>
      <c r="EO13" s="343" cm="1">
        <f t="array" aca="1" ref="EO13" ca="1">IF($AN13&gt;CDS.Tenor,"-",flatInterpolation(CP13,INDIRECT(HazardRateTimes3),INDIRECT(HazardRateValues3)))</f>
        <v>7.4999999999999997E-3</v>
      </c>
      <c r="EP13" s="10">
        <f t="shared" ca="1" si="154"/>
        <v>0.98326658527661925</v>
      </c>
      <c r="EQ13" s="10">
        <f t="shared" ca="1" si="155"/>
        <v>1.6733414723380746E-2</v>
      </c>
      <c r="ER13" s="81">
        <f t="shared" ca="1" si="156"/>
        <v>-2.1264377244801667</v>
      </c>
      <c r="ES13" s="340"/>
      <c r="ET13" s="358">
        <f t="shared" si="157"/>
        <v>2.25</v>
      </c>
      <c r="EU13" s="353">
        <f ca="1">IF($AN13&gt;CDS.Tenor,"-",_xlfn.NORM.S.DIST(($ER13-SQRT(Correlation3)*EU$3)/SQRT(1-Correlation3),TRUE))</f>
        <v>0.9328911250174341</v>
      </c>
      <c r="EV13" s="353">
        <f ca="1">IF($AN13&gt;CDS.Tenor,"-",_xlfn.NORM.S.DIST(($ER13-SQRT(Correlation3)*EV$3)/SQRT(1-Correlation3),TRUE))</f>
        <v>0.85709406060168891</v>
      </c>
      <c r="EW13" s="353">
        <f ca="1">IF($AN13&gt;CDS.Tenor,"-",_xlfn.NORM.S.DIST(($ER13-SQRT(Correlation3)*EW$3)/SQRT(1-Correlation3),TRUE))</f>
        <v>0.7379485678681077</v>
      </c>
      <c r="EX13" s="353">
        <f ca="1">IF($AN13&gt;CDS.Tenor,"-",_xlfn.NORM.S.DIST(($ER13-SQRT(Correlation3)*EX$3)/SQRT(1-Correlation3),TRUE))</f>
        <v>0.58188307281571283</v>
      </c>
      <c r="EY13" s="353">
        <f ca="1">IF($AN13&gt;CDS.Tenor,"-",_xlfn.NORM.S.DIST(($ER13-SQRT(Correlation3)*EY$3)/SQRT(1-Correlation3),TRUE))</f>
        <v>0.41153141811048988</v>
      </c>
      <c r="EZ13" s="353">
        <f ca="1">IF($AN13&gt;CDS.Tenor,"-",_xlfn.NORM.S.DIST(($ER13-SQRT(Correlation3)*EZ$3)/SQRT(1-Correlation3),TRUE))</f>
        <v>0.25657912521549819</v>
      </c>
      <c r="FA13" s="353">
        <f ca="1">IF($AN13&gt;CDS.Tenor,"-",_xlfn.NORM.S.DIST(($ER13-SQRT(Correlation3)*FA$3)/SQRT(1-Correlation3),TRUE))</f>
        <v>0.13912732447082046</v>
      </c>
      <c r="FB13" s="353">
        <f ca="1">IF($AN13&gt;CDS.Tenor,"-",_xlfn.NORM.S.DIST(($ER13-SQRT(Correlation3)*FB$3)/SQRT(1-Correlation3),TRUE))</f>
        <v>6.4940791906639705E-2</v>
      </c>
      <c r="FC13" s="353">
        <f ca="1">IF($AN13&gt;CDS.Tenor,"-",_xlfn.NORM.S.DIST(($ER13-SQRT(Correlation3)*FC$3)/SQRT(1-Correlation3),TRUE))</f>
        <v>2.5894135481886994E-2</v>
      </c>
      <c r="FD13" s="353">
        <f ca="1">IF($AN13&gt;CDS.Tenor,"-",_xlfn.NORM.S.DIST(($ER13-SQRT(Correlation3)*FD$3)/SQRT(1-Correlation3),TRUE))</f>
        <v>8.7694814165862056E-3</v>
      </c>
      <c r="FE13" s="353">
        <f ca="1">IF($AN13&gt;CDS.Tenor,"-",_xlfn.NORM.S.DIST(($ER13-SQRT(Correlation3)*FE$3)/SQRT(1-Correlation3),TRUE))</f>
        <v>2.5116900206928841E-3</v>
      </c>
      <c r="FF13" s="353">
        <f ca="1">IF($AN13&gt;CDS.Tenor,"-",_xlfn.NORM.S.DIST(($ER13-SQRT(Correlation3)*FF$3)/SQRT(1-Correlation3),TRUE))</f>
        <v>6.0640289541490241E-4</v>
      </c>
      <c r="FG13" s="353">
        <f ca="1">IF($AN13&gt;CDS.Tenor,"-",_xlfn.NORM.S.DIST(($ER13-SQRT(Correlation3)*FG$3)/SQRT(1-Correlation3),TRUE))</f>
        <v>1.2310428805659056E-4</v>
      </c>
      <c r="FH13" s="353">
        <f ca="1">IF($AN13&gt;CDS.Tenor,"-",_xlfn.NORM.S.DIST(($ER13-SQRT(Correlation3)*FH$3)/SQRT(1-Correlation3),TRUE))</f>
        <v>2.0972869314147744E-5</v>
      </c>
      <c r="FI13" s="353">
        <f ca="1">IF($AN13&gt;CDS.Tenor,"-",_xlfn.NORM.S.DIST(($ER13-SQRT(Correlation3)*FI$3)/SQRT(1-Correlation3),TRUE))</f>
        <v>2.9939958869003517E-6</v>
      </c>
      <c r="FJ13" s="353">
        <f ca="1">IF($AN13&gt;CDS.Tenor,"-",_xlfn.NORM.S.DIST(($ER13-SQRT(Correlation3)*FJ$3)/SQRT(1-Correlation3),TRUE))</f>
        <v>3.5770423747797E-7</v>
      </c>
      <c r="FK13" s="353">
        <f ca="1">IF($AN13&gt;CDS.Tenor,"-",_xlfn.NORM.S.DIST(($ER13-SQRT(Correlation3)*FK$3)/SQRT(1-Correlation3),TRUE))</f>
        <v>3.5731382455612034E-8</v>
      </c>
      <c r="FL13" s="353">
        <f ca="1">IF($AN13&gt;CDS.Tenor,"-",_xlfn.NORM.S.DIST(($ER13-SQRT(Correlation3)*FL$3)/SQRT(1-Correlation3),TRUE))</f>
        <v>2.9818133175489497E-9</v>
      </c>
      <c r="FM13" s="353">
        <f ca="1">IF($AN13&gt;CDS.Tenor,"-",_xlfn.NORM.S.DIST(($ER13-SQRT(Correlation3)*FM$3)/SQRT(1-Correlation3),TRUE))</f>
        <v>2.0774436262321723E-10</v>
      </c>
      <c r="FN13" s="353">
        <f ca="1">IF($AN13&gt;CDS.Tenor,"-",_xlfn.NORM.S.DIST(($ER13-SQRT(Correlation3)*FN$3)/SQRT(1-Correlation3),TRUE))</f>
        <v>1.207696006477535E-11</v>
      </c>
      <c r="FO13" s="354">
        <f ca="1">IF($AN13&gt;CDS.Tenor,"-",_xlfn.NORM.S.DIST(($ER13-SQRT(Correlation3)*FO$3)/SQRT(1-Correlation3),TRUE))</f>
        <v>5.8555175748333E-13</v>
      </c>
      <c r="FP13" s="340"/>
      <c r="FQ13" s="358">
        <f t="shared" si="158"/>
        <v>2.25</v>
      </c>
      <c r="FR13" s="353">
        <f t="shared" ca="1" si="159"/>
        <v>6.7108874982565903E-2</v>
      </c>
      <c r="FS13" s="353">
        <f t="shared" ca="1" si="160"/>
        <v>0.14290593939831109</v>
      </c>
      <c r="FT13" s="353">
        <f t="shared" ca="1" si="161"/>
        <v>0.2620514321318923</v>
      </c>
      <c r="FU13" s="353">
        <f t="shared" ca="1" si="162"/>
        <v>0.41811692718428717</v>
      </c>
      <c r="FV13" s="353">
        <f t="shared" ca="1" si="163"/>
        <v>0.58846858188951012</v>
      </c>
      <c r="FW13" s="353">
        <f t="shared" ca="1" si="164"/>
        <v>0.74342087478450181</v>
      </c>
      <c r="FX13" s="353">
        <f t="shared" ca="1" si="165"/>
        <v>0.86087267552917957</v>
      </c>
      <c r="FY13" s="353">
        <f t="shared" ca="1" si="166"/>
        <v>0.93505920809336029</v>
      </c>
      <c r="FZ13" s="353">
        <f t="shared" ca="1" si="167"/>
        <v>0.97410586451811298</v>
      </c>
      <c r="GA13" s="353">
        <f t="shared" ca="1" si="168"/>
        <v>0.99123051858341382</v>
      </c>
      <c r="GB13" s="353">
        <f t="shared" ca="1" si="169"/>
        <v>0.99748830997930715</v>
      </c>
      <c r="GC13" s="353">
        <f t="shared" ca="1" si="170"/>
        <v>0.99939359710458509</v>
      </c>
      <c r="GD13" s="353">
        <f t="shared" ca="1" si="171"/>
        <v>0.99987689571194338</v>
      </c>
      <c r="GE13" s="353">
        <f t="shared" ca="1" si="172"/>
        <v>0.99997902713068587</v>
      </c>
      <c r="GF13" s="353">
        <f t="shared" ca="1" si="173"/>
        <v>0.99999700600411312</v>
      </c>
      <c r="GG13" s="353">
        <f t="shared" ca="1" si="174"/>
        <v>0.99999964229576255</v>
      </c>
      <c r="GH13" s="353">
        <f t="shared" ca="1" si="175"/>
        <v>0.99999996426861759</v>
      </c>
      <c r="GI13" s="353">
        <f t="shared" ca="1" si="176"/>
        <v>0.99999999701818665</v>
      </c>
      <c r="GJ13" s="353">
        <f t="shared" ca="1" si="177"/>
        <v>0.99999999979225562</v>
      </c>
      <c r="GK13" s="353">
        <f t="shared" ca="1" si="178"/>
        <v>0.99999999998792299</v>
      </c>
      <c r="GL13" s="354">
        <f t="shared" ca="1" si="179"/>
        <v>0.99999999999941447</v>
      </c>
      <c r="GO13" s="358">
        <f t="shared" si="180"/>
        <v>2.25</v>
      </c>
      <c r="GP13" s="353">
        <f t="shared" ca="1" si="181"/>
        <v>9.4278027803140901E-3</v>
      </c>
      <c r="GQ13" s="353">
        <f t="shared" ca="1" si="182"/>
        <v>3.4364346233265633E-2</v>
      </c>
      <c r="GR13" s="353">
        <f t="shared" ca="1" si="183"/>
        <v>9.6497706899576222E-2</v>
      </c>
      <c r="GS13" s="353">
        <f t="shared" ca="1" si="184"/>
        <v>0.21340197573697914</v>
      </c>
      <c r="GT13" s="353">
        <f t="shared" ca="1" si="185"/>
        <v>0.38182559189743648</v>
      </c>
      <c r="GU13" s="353">
        <f t="shared" ca="1" si="186"/>
        <v>0.570720078385624</v>
      </c>
      <c r="GV13" s="353">
        <f t="shared" ca="1" si="187"/>
        <v>0.73885483209880631</v>
      </c>
      <c r="GW13" s="353">
        <f t="shared" ca="1" si="188"/>
        <v>0.86029183072712823</v>
      </c>
      <c r="GX13" s="353">
        <f t="shared" ca="1" si="189"/>
        <v>0.93328870067045722</v>
      </c>
      <c r="GY13" s="353">
        <f t="shared" ca="1" si="190"/>
        <v>0.97088788690429007</v>
      </c>
      <c r="GZ13" s="353">
        <f t="shared" ca="1" si="191"/>
        <v>0.98805292970897962</v>
      </c>
      <c r="HA13" s="353">
        <f t="shared" ca="1" si="192"/>
        <v>0.9952653422883293</v>
      </c>
      <c r="HB13" s="353">
        <f t="shared" ca="1" si="193"/>
        <v>0.99815839662903849</v>
      </c>
      <c r="HC13" s="353">
        <f t="shared" ca="1" si="194"/>
        <v>0.9992952710905596</v>
      </c>
      <c r="HD13" s="353">
        <f t="shared" ca="1" si="195"/>
        <v>0.99973662680049369</v>
      </c>
      <c r="HE13" s="353">
        <f t="shared" ca="1" si="196"/>
        <v>0.99990485132725437</v>
      </c>
      <c r="HF13" s="353">
        <f t="shared" ca="1" si="197"/>
        <v>0.99996706293712345</v>
      </c>
      <c r="HG13" s="353">
        <f t="shared" ca="1" si="198"/>
        <v>0.99998914460837596</v>
      </c>
      <c r="HH13" s="353">
        <f t="shared" ca="1" si="199"/>
        <v>0.9999966085553712</v>
      </c>
      <c r="HI13" s="353">
        <f t="shared" ca="1" si="200"/>
        <v>0.99999899858741226</v>
      </c>
      <c r="HJ13" s="354">
        <f t="shared" ca="1" si="201"/>
        <v>0.99999972108998025</v>
      </c>
      <c r="HK13" s="42"/>
      <c r="HL13" s="42"/>
      <c r="HM13" s="358">
        <f t="shared" si="202"/>
        <v>2.25</v>
      </c>
      <c r="HN13" s="362">
        <f t="shared" ca="1" si="203"/>
        <v>0.96166978485001642</v>
      </c>
      <c r="HO13" s="363">
        <f t="shared" ca="1" si="204"/>
        <v>4.0863452152807289E-3</v>
      </c>
    </row>
    <row r="14" spans="2:244" x14ac:dyDescent="0.3">
      <c r="B14" s="114" t="s">
        <v>119</v>
      </c>
      <c r="C14" s="115"/>
      <c r="D14" s="150">
        <f>IF(D6="BUY",-1,1)</f>
        <v>-1</v>
      </c>
      <c r="E14" s="413"/>
      <c r="F14" s="232" t="str" cm="1">
        <f t="array" ref="F14:H14">TRANSPOSE(F9:F11)</f>
        <v>AAPL</v>
      </c>
      <c r="G14" s="232" t="str">
        <v>MSFT</v>
      </c>
      <c r="H14" s="232" t="str">
        <v>NVDA</v>
      </c>
      <c r="J14" s="410" t="s">
        <v>368</v>
      </c>
      <c r="N14" s="410" t="s">
        <v>350</v>
      </c>
      <c r="V14" s="370">
        <f t="shared" si="89"/>
        <v>2.5</v>
      </c>
      <c r="W14" s="371">
        <f t="shared" si="90"/>
        <v>-25000</v>
      </c>
      <c r="X14" s="348">
        <f t="shared" ca="1" si="91"/>
        <v>0.95761721554839307</v>
      </c>
      <c r="Y14" s="348">
        <f t="shared" ca="1" si="92"/>
        <v>4.0525693016233433E-3</v>
      </c>
      <c r="Z14" s="372" cm="1">
        <f t="array" ref="Z14">IF($V14&gt;CDS.Tenor,"-",cubicInterpolation(CurveResults.Times,CurveResults.DFs,$V14))</f>
        <v>0.89685992714468643</v>
      </c>
      <c r="AA14" s="371">
        <f t="shared" ca="1" si="93"/>
        <v>-21471.212654230734</v>
      </c>
      <c r="AB14" s="371">
        <f t="shared" ca="1" si="94"/>
        <v>-45.43233760753381</v>
      </c>
      <c r="AC14" s="373">
        <f t="shared" ca="1" si="95"/>
        <v>-21516.644991838268</v>
      </c>
      <c r="AF14" s="370">
        <f t="shared" si="96"/>
        <v>2.5</v>
      </c>
      <c r="AG14" s="371">
        <f t="shared" si="97"/>
        <v>6000000</v>
      </c>
      <c r="AH14" s="348">
        <f t="shared" ca="1" si="98"/>
        <v>0.95761721554839307</v>
      </c>
      <c r="AI14" s="348">
        <f t="shared" ca="1" si="99"/>
        <v>4.0525693016233433E-3</v>
      </c>
      <c r="AJ14" s="372" cm="1">
        <f t="array" ref="AJ14">IF($AF14&gt;CDS.Tenor,"-",cubicInterpolation(CurveResults.Times,CurveResults.DFs,$V14))</f>
        <v>0.89685992714468643</v>
      </c>
      <c r="AK14" s="373">
        <f t="shared" ca="1" si="100"/>
        <v>21807.52205161623</v>
      </c>
      <c r="AM14" s="340"/>
      <c r="AN14" s="358">
        <f t="shared" si="101"/>
        <v>2.5</v>
      </c>
      <c r="AO14" s="343" cm="1">
        <f t="array" aca="1" ref="AO14" ca="1">IF($AN14&gt;CDS.Tenor,"-",flatInterpolation(AM14,INDIRECT(HazardRateTimes1),INDIRECT(HazardRateValues1)))</f>
        <v>5.0000000000000001E-3</v>
      </c>
      <c r="AP14" s="10">
        <f t="shared" ca="1" si="102"/>
        <v>0.98757780049388189</v>
      </c>
      <c r="AQ14" s="10">
        <f t="shared" ca="1" si="103"/>
        <v>1.2422199506118115E-2</v>
      </c>
      <c r="AR14" s="81">
        <f t="shared" ca="1" si="104"/>
        <v>-2.2438135687533376</v>
      </c>
      <c r="AS14" s="340"/>
      <c r="AT14" s="358">
        <f t="shared" si="105"/>
        <v>2.5</v>
      </c>
      <c r="AU14" s="353">
        <f ca="1">IF($AN14&gt;CDS.Tenor,"-",_xlfn.NORM.S.DIST(($AR14-SQRT(Correlation1)*AU$3)/SQRT(1-Correlation1),TRUE))</f>
        <v>0.72958889189823961</v>
      </c>
      <c r="AV14" s="353">
        <f ca="1">IF($AN14&gt;CDS.Tenor,"-",_xlfn.NORM.S.DIST(($AR14-SQRT(Correlation1)*AV$3)/SQRT(1-Correlation1),TRUE))</f>
        <v>0.61086191337688323</v>
      </c>
      <c r="AW14" s="353">
        <f ca="1">IF($AN14&gt;CDS.Tenor,"-",_xlfn.NORM.S.DIST(($AR14-SQRT(Correlation1)*AW$3)/SQRT(1-Correlation1),TRUE))</f>
        <v>0.48068368822775548</v>
      </c>
      <c r="AX14" s="353">
        <f ca="1">IF($AN14&gt;CDS.Tenor,"-",_xlfn.NORM.S.DIST(($AR14-SQRT(Correlation1)*AX$3)/SQRT(1-Correlation1),TRUE))</f>
        <v>0.35255125576550095</v>
      </c>
      <c r="AY14" s="353">
        <f ca="1">IF($AN14&gt;CDS.Tenor,"-",_xlfn.NORM.S.DIST(($AR14-SQRT(Correlation1)*AY$3)/SQRT(1-Correlation1),TRUE))</f>
        <v>0.23933428881947366</v>
      </c>
      <c r="AZ14" s="353">
        <f ca="1">IF($AN14&gt;CDS.Tenor,"-",_xlfn.NORM.S.DIST(($AR14-SQRT(Correlation1)*AZ$3)/SQRT(1-Correlation1),TRUE))</f>
        <v>0.14953040795189282</v>
      </c>
      <c r="BA14" s="353">
        <f ca="1">IF($AN14&gt;CDS.Tenor,"-",_xlfn.NORM.S.DIST(($AR14-SQRT(Correlation1)*BA$3)/SQRT(1-Correlation1),TRUE))</f>
        <v>8.5585088433050682E-2</v>
      </c>
      <c r="BB14" s="353">
        <f ca="1">IF($AN14&gt;CDS.Tenor,"-",_xlfn.NORM.S.DIST(($AR14-SQRT(Correlation1)*BB$3)/SQRT(1-Correlation1),TRUE))</f>
        <v>4.4710733056053373E-2</v>
      </c>
      <c r="BC14" s="353">
        <f ca="1">IF($AN14&gt;CDS.Tenor,"-",_xlfn.NORM.S.DIST(($AR14-SQRT(Correlation1)*BC$3)/SQRT(1-Correlation1),TRUE))</f>
        <v>2.1256592960267787E-2</v>
      </c>
      <c r="BD14" s="353">
        <f ca="1">IF($AN14&gt;CDS.Tenor,"-",_xlfn.NORM.S.DIST(($AR14-SQRT(Correlation1)*BD$3)/SQRT(1-Correlation1),TRUE))</f>
        <v>9.1753385735406194E-3</v>
      </c>
      <c r="BE14" s="353">
        <f ca="1">IF($AN14&gt;CDS.Tenor,"-",_xlfn.NORM.S.DIST(($AR14-SQRT(Correlation1)*BE$3)/SQRT(1-Correlation1),TRUE))</f>
        <v>3.5890229272931076E-3</v>
      </c>
      <c r="BF14" s="353">
        <f ca="1">IF($AN14&gt;CDS.Tenor,"-",_xlfn.NORM.S.DIST(($AR14-SQRT(Correlation1)*BF$3)/SQRT(1-Correlation1),TRUE))</f>
        <v>1.2702596703000198E-3</v>
      </c>
      <c r="BG14" s="353">
        <f ca="1">IF($AN14&gt;CDS.Tenor,"-",_xlfn.NORM.S.DIST(($AR14-SQRT(Correlation1)*BG$3)/SQRT(1-Correlation1),TRUE))</f>
        <v>4.0628504352923197E-4</v>
      </c>
      <c r="BH14" s="353">
        <f ca="1">IF($AN14&gt;CDS.Tenor,"-",_xlfn.NORM.S.DIST(($AR14-SQRT(Correlation1)*BH$3)/SQRT(1-Correlation1),TRUE))</f>
        <v>1.1731358913860741E-4</v>
      </c>
      <c r="BI14" s="353">
        <f ca="1">IF($AN14&gt;CDS.Tenor,"-",_xlfn.NORM.S.DIST(($AR14-SQRT(Correlation1)*BI$3)/SQRT(1-Correlation1),TRUE))</f>
        <v>3.0554770449421525E-5</v>
      </c>
      <c r="BJ14" s="353">
        <f ca="1">IF($AN14&gt;CDS.Tenor,"-",_xlfn.NORM.S.DIST(($AR14-SQRT(Correlation1)*BJ$3)/SQRT(1-Correlation1),TRUE))</f>
        <v>7.1732881599284975E-6</v>
      </c>
      <c r="BK14" s="353">
        <f ca="1">IF($AN14&gt;CDS.Tenor,"-",_xlfn.NORM.S.DIST(($AR14-SQRT(Correlation1)*BK$3)/SQRT(1-Correlation1),TRUE))</f>
        <v>1.5170872012669917E-6</v>
      </c>
      <c r="BL14" s="353">
        <f ca="1">IF($AN14&gt;CDS.Tenor,"-",_xlfn.NORM.S.DIST(($AR14-SQRT(Correlation1)*BL$3)/SQRT(1-Correlation1),TRUE))</f>
        <v>2.8889496258392581E-7</v>
      </c>
      <c r="BM14" s="353">
        <f ca="1">IF($AN14&gt;CDS.Tenor,"-",_xlfn.NORM.S.DIST(($AR14-SQRT(Correlation1)*BM$3)/SQRT(1-Correlation1),TRUE))</f>
        <v>4.9513424100127842E-8</v>
      </c>
      <c r="BN14" s="353">
        <f ca="1">IF($AN14&gt;CDS.Tenor,"-",_xlfn.NORM.S.DIST(($AR14-SQRT(Correlation1)*BN$3)/SQRT(1-Correlation1),TRUE))</f>
        <v>7.6348824877166053E-9</v>
      </c>
      <c r="BO14" s="354">
        <f ca="1">IF($AN14&gt;CDS.Tenor,"-",_xlfn.NORM.S.DIST(($AR14-SQRT(Correlation1)*BO$3)/SQRT(1-Correlation1),TRUE))</f>
        <v>1.0588703523706026E-9</v>
      </c>
      <c r="BP14" s="340"/>
      <c r="BQ14" s="358">
        <f t="shared" si="106"/>
        <v>2.5</v>
      </c>
      <c r="BR14" s="353">
        <f t="shared" ca="1" si="107"/>
        <v>0.27041110810176039</v>
      </c>
      <c r="BS14" s="353">
        <f t="shared" ca="1" si="108"/>
        <v>0.38913808662311677</v>
      </c>
      <c r="BT14" s="353">
        <f t="shared" ca="1" si="109"/>
        <v>0.51931631177224458</v>
      </c>
      <c r="BU14" s="353">
        <f t="shared" ca="1" si="110"/>
        <v>0.64744874423449905</v>
      </c>
      <c r="BV14" s="353">
        <f t="shared" ca="1" si="111"/>
        <v>0.76066571118052639</v>
      </c>
      <c r="BW14" s="353">
        <f t="shared" ca="1" si="112"/>
        <v>0.85046959204810713</v>
      </c>
      <c r="BX14" s="353">
        <f t="shared" ca="1" si="113"/>
        <v>0.91441491156694932</v>
      </c>
      <c r="BY14" s="353">
        <f t="shared" ca="1" si="114"/>
        <v>0.95528926694394667</v>
      </c>
      <c r="BZ14" s="353">
        <f t="shared" ca="1" si="115"/>
        <v>0.97874340703973217</v>
      </c>
      <c r="CA14" s="353">
        <f t="shared" ca="1" si="116"/>
        <v>0.99082466142645942</v>
      </c>
      <c r="CB14" s="353">
        <f t="shared" ca="1" si="117"/>
        <v>0.99641097707270687</v>
      </c>
      <c r="CC14" s="353">
        <f t="shared" ca="1" si="118"/>
        <v>0.99872974032969997</v>
      </c>
      <c r="CD14" s="353">
        <f t="shared" ca="1" si="119"/>
        <v>0.99959371495647076</v>
      </c>
      <c r="CE14" s="353">
        <f t="shared" ca="1" si="120"/>
        <v>0.99988268641086142</v>
      </c>
      <c r="CF14" s="353">
        <f t="shared" ca="1" si="121"/>
        <v>0.99996944522955056</v>
      </c>
      <c r="CG14" s="353">
        <f t="shared" ca="1" si="122"/>
        <v>0.99999282671184009</v>
      </c>
      <c r="CH14" s="353">
        <f t="shared" ca="1" si="123"/>
        <v>0.99999848291279869</v>
      </c>
      <c r="CI14" s="353">
        <f t="shared" ca="1" si="124"/>
        <v>0.99999971110503738</v>
      </c>
      <c r="CJ14" s="353">
        <f t="shared" ca="1" si="125"/>
        <v>0.99999995048657586</v>
      </c>
      <c r="CK14" s="353">
        <f t="shared" ca="1" si="126"/>
        <v>0.9999999923651175</v>
      </c>
      <c r="CL14" s="354">
        <f t="shared" ca="1" si="127"/>
        <v>0.99999999894112968</v>
      </c>
      <c r="CM14" s="17"/>
      <c r="CN14" s="17"/>
      <c r="CO14" s="343" cm="1">
        <f t="array" aca="1" ref="CO14" ca="1">IF($AN14&gt;CDS.Tenor,"-",flatInterpolation(AN14,INDIRECT(HazardRateTimes2),INDIRECT(HazardRateValues2)))</f>
        <v>5.8333333333333336E-3</v>
      </c>
      <c r="CP14" s="10">
        <f t="shared" ca="1" si="128"/>
        <v>0.98552248843629786</v>
      </c>
      <c r="CQ14" s="10">
        <f t="shared" ca="1" si="129"/>
        <v>1.4477511563702139E-2</v>
      </c>
      <c r="CR14" s="81">
        <f t="shared" ca="1" si="130"/>
        <v>-2.1840983334930759</v>
      </c>
      <c r="CS14" s="340"/>
      <c r="CT14" s="358">
        <f t="shared" si="131"/>
        <v>2.5</v>
      </c>
      <c r="CU14" s="353">
        <f ca="1">IF($AN14&gt;CDS.Tenor,"-",_xlfn.NORM.S.DIST(($CR14-SQRT(Correlation2)*CU$3)/SQRT(1-Correlation2),TRUE))</f>
        <v>0.52801126919512564</v>
      </c>
      <c r="CV14" s="353">
        <f ca="1">IF($AN14&gt;CDS.Tenor,"-",_xlfn.NORM.S.DIST(($CR14-SQRT(Correlation2)*CV$3)/SQRT(1-Correlation2),TRUE))</f>
        <v>0.42808903206885968</v>
      </c>
      <c r="CW14" s="353">
        <f ca="1">IF($AN14&gt;CDS.Tenor,"-",_xlfn.NORM.S.DIST(($CR14-SQRT(Correlation2)*CW$3)/SQRT(1-Correlation2),TRUE))</f>
        <v>0.33259655743668964</v>
      </c>
      <c r="CX14" s="353">
        <f ca="1">IF($AN14&gt;CDS.Tenor,"-",_xlfn.NORM.S.DIST(($CR14-SQRT(Correlation2)*CX$3)/SQRT(1-Correlation2),TRUE))</f>
        <v>0.24690310107602664</v>
      </c>
      <c r="CY14" s="353">
        <f ca="1">IF($AN14&gt;CDS.Tenor,"-",_xlfn.NORM.S.DIST(($CR14-SQRT(Correlation2)*CY$3)/SQRT(1-Correlation2),TRUE))</f>
        <v>0.17469306102301188</v>
      </c>
      <c r="CZ14" s="353">
        <f ca="1">IF($AN14&gt;CDS.Tenor,"-",_xlfn.NORM.S.DIST(($CR14-SQRT(Correlation2)*CZ$3)/SQRT(1-Correlation2),TRUE))</f>
        <v>0.11755588533339416</v>
      </c>
      <c r="DA14" s="353">
        <f ca="1">IF($AN14&gt;CDS.Tenor,"-",_xlfn.NORM.S.DIST(($CR14-SQRT(Correlation2)*DA$3)/SQRT(1-Correlation2),TRUE))</f>
        <v>7.5102630094704317E-2</v>
      </c>
      <c r="DB14" s="353">
        <f ca="1">IF($AN14&gt;CDS.Tenor,"-",_xlfn.NORM.S.DIST(($CR14-SQRT(Correlation2)*DB$3)/SQRT(1-Correlation2),TRUE))</f>
        <v>4.5483384112406988E-2</v>
      </c>
      <c r="DC14" s="353">
        <f ca="1">IF($AN14&gt;CDS.Tenor,"-",_xlfn.NORM.S.DIST(($CR14-SQRT(Correlation2)*DC$3)/SQRT(1-Correlation2),TRUE))</f>
        <v>2.6078661081535576E-2</v>
      </c>
      <c r="DD14" s="353">
        <f ca="1">IF($AN14&gt;CDS.Tenor,"-",_xlfn.NORM.S.DIST(($CR14-SQRT(Correlation2)*DD$3)/SQRT(1-Correlation2),TRUE))</f>
        <v>1.4141227597757575E-2</v>
      </c>
      <c r="DE14" s="353">
        <f ca="1">IF($AN14&gt;CDS.Tenor,"-",_xlfn.NORM.S.DIST(($CR14-SQRT(Correlation2)*DE$3)/SQRT(1-Correlation2),TRUE))</f>
        <v>7.2454362651347016E-3</v>
      </c>
      <c r="DF14" s="353">
        <f ca="1">IF($AN14&gt;CDS.Tenor,"-",_xlfn.NORM.S.DIST(($CR14-SQRT(Correlation2)*DF$3)/SQRT(1-Correlation2),TRUE))</f>
        <v>3.5049643557093246E-3</v>
      </c>
      <c r="DG14" s="353">
        <f ca="1">IF($AN14&gt;CDS.Tenor,"-",_xlfn.NORM.S.DIST(($CR14-SQRT(Correlation2)*DG$3)/SQRT(1-Correlation2),TRUE))</f>
        <v>1.5997787994287461E-3</v>
      </c>
      <c r="DH14" s="353">
        <f ca="1">IF($AN14&gt;CDS.Tenor,"-",_xlfn.NORM.S.DIST(($CR14-SQRT(Correlation2)*DH$3)/SQRT(1-Correlation2),TRUE))</f>
        <v>6.8857365285462035E-4</v>
      </c>
      <c r="DI14" s="353">
        <f ca="1">IF($AN14&gt;CDS.Tenor,"-",_xlfn.NORM.S.DIST(($CR14-SQRT(Correlation2)*DI$3)/SQRT(1-Correlation2),TRUE))</f>
        <v>2.7934842227806967E-4</v>
      </c>
      <c r="DJ14" s="353">
        <f ca="1">IF($AN14&gt;CDS.Tenor,"-",_xlfn.NORM.S.DIST(($CR14-SQRT(Correlation2)*DJ$3)/SQRT(1-Correlation2),TRUE))</f>
        <v>1.0677444902457614E-4</v>
      </c>
      <c r="DK14" s="353">
        <f ca="1">IF($AN14&gt;CDS.Tenor,"-",_xlfn.NORM.S.DIST(($CR14-SQRT(Correlation2)*DK$3)/SQRT(1-Correlation2),TRUE))</f>
        <v>3.8437732554883939E-5</v>
      </c>
      <c r="DL14" s="353">
        <f ca="1">IF($AN14&gt;CDS.Tenor,"-",_xlfn.NORM.S.DIST(($CR14-SQRT(Correlation2)*DL$3)/SQRT(1-Correlation2),TRUE))</f>
        <v>1.3028120316911854E-5</v>
      </c>
      <c r="DM14" s="353">
        <f ca="1">IF($AN14&gt;CDS.Tenor,"-",_xlfn.NORM.S.DIST(($CR14-SQRT(Correlation2)*DM$3)/SQRT(1-Correlation2),TRUE))</f>
        <v>4.1564325128072198E-6</v>
      </c>
      <c r="DN14" s="353">
        <f ca="1">IF($AN14&gt;CDS.Tenor,"-",_xlfn.NORM.S.DIST(($CR14-SQRT(Correlation2)*DN$3)/SQRT(1-Correlation2),TRUE))</f>
        <v>1.2478736074442792E-6</v>
      </c>
      <c r="DO14" s="354">
        <f ca="1">IF($AN14&gt;CDS.Tenor,"-",_xlfn.NORM.S.DIST(($CR14-SQRT(Correlation2)*DO$3)/SQRT(1-Correlation2),TRUE))</f>
        <v>3.5248420127052441E-7</v>
      </c>
      <c r="DP14" s="340"/>
      <c r="DQ14" s="358">
        <f t="shared" si="132"/>
        <v>2.5</v>
      </c>
      <c r="DR14" s="353">
        <f t="shared" ca="1" si="133"/>
        <v>0.47198873080487436</v>
      </c>
      <c r="DS14" s="353">
        <f t="shared" ca="1" si="134"/>
        <v>0.57191096793114027</v>
      </c>
      <c r="DT14" s="353">
        <f t="shared" ca="1" si="135"/>
        <v>0.66740344256331041</v>
      </c>
      <c r="DU14" s="353">
        <f t="shared" ca="1" si="136"/>
        <v>0.75309689892397336</v>
      </c>
      <c r="DV14" s="353">
        <f t="shared" ca="1" si="137"/>
        <v>0.82530693897698815</v>
      </c>
      <c r="DW14" s="353">
        <f t="shared" ca="1" si="138"/>
        <v>0.88244411466660588</v>
      </c>
      <c r="DX14" s="353">
        <f t="shared" ca="1" si="139"/>
        <v>0.9248973699052957</v>
      </c>
      <c r="DY14" s="353">
        <f t="shared" ca="1" si="140"/>
        <v>0.95451661588759307</v>
      </c>
      <c r="DZ14" s="353">
        <f t="shared" ca="1" si="141"/>
        <v>0.97392133891846444</v>
      </c>
      <c r="EA14" s="353">
        <f t="shared" ca="1" si="142"/>
        <v>0.9858587724022424</v>
      </c>
      <c r="EB14" s="353">
        <f t="shared" ca="1" si="143"/>
        <v>0.99275456373486526</v>
      </c>
      <c r="EC14" s="353">
        <f t="shared" ca="1" si="144"/>
        <v>0.99649503564429065</v>
      </c>
      <c r="ED14" s="353">
        <f t="shared" ca="1" si="145"/>
        <v>0.99840022120057126</v>
      </c>
      <c r="EE14" s="353">
        <f t="shared" ca="1" si="146"/>
        <v>0.99931142634714543</v>
      </c>
      <c r="EF14" s="353">
        <f t="shared" ca="1" si="147"/>
        <v>0.99972065157772194</v>
      </c>
      <c r="EG14" s="353">
        <f t="shared" ca="1" si="148"/>
        <v>0.99989322555097537</v>
      </c>
      <c r="EH14" s="353">
        <f t="shared" ca="1" si="149"/>
        <v>0.99996156226744515</v>
      </c>
      <c r="EI14" s="353">
        <f t="shared" ca="1" si="150"/>
        <v>0.99998697187968311</v>
      </c>
      <c r="EJ14" s="353">
        <f t="shared" ca="1" si="151"/>
        <v>0.99999584356748716</v>
      </c>
      <c r="EK14" s="353">
        <f t="shared" ca="1" si="152"/>
        <v>0.99999875212639255</v>
      </c>
      <c r="EL14" s="354">
        <f t="shared" ca="1" si="153"/>
        <v>0.99999964751579873</v>
      </c>
      <c r="EM14" s="17"/>
      <c r="EN14" s="17"/>
      <c r="EO14" s="343" cm="1">
        <f t="array" aca="1" ref="EO14" ca="1">IF($AN14&gt;CDS.Tenor,"-",flatInterpolation(CP14,INDIRECT(HazardRateTimes3),INDIRECT(HazardRateValues3)))</f>
        <v>7.4999999999999997E-3</v>
      </c>
      <c r="EP14" s="10">
        <f t="shared" ca="1" si="154"/>
        <v>0.98142468774777725</v>
      </c>
      <c r="EQ14" s="10">
        <f t="shared" ca="1" si="155"/>
        <v>1.8575312252222753E-2</v>
      </c>
      <c r="ER14" s="81">
        <f t="shared" ca="1" si="156"/>
        <v>-2.0841049213945411</v>
      </c>
      <c r="ES14" s="340"/>
      <c r="ET14" s="358">
        <f t="shared" si="157"/>
        <v>2.5</v>
      </c>
      <c r="EU14" s="353">
        <f ca="1">IF($AN14&gt;CDS.Tenor,"-",_xlfn.NORM.S.DIST(($ER14-SQRT(Correlation3)*EU$3)/SQRT(1-Correlation3),TRUE))</f>
        <v>0.93985134971520035</v>
      </c>
      <c r="EV14" s="353">
        <f ca="1">IF($AN14&gt;CDS.Tenor,"-",_xlfn.NORM.S.DIST(($ER14-SQRT(Correlation3)*EV$3)/SQRT(1-Correlation3),TRUE))</f>
        <v>0.86932507296638906</v>
      </c>
      <c r="EW14" s="353">
        <f ca="1">IF($AN14&gt;CDS.Tenor,"-",_xlfn.NORM.S.DIST(($ER14-SQRT(Correlation3)*EW$3)/SQRT(1-Correlation3),TRUE))</f>
        <v>0.75580939764890054</v>
      </c>
      <c r="EX14" s="353">
        <f ca="1">IF($AN14&gt;CDS.Tenor,"-",_xlfn.NORM.S.DIST(($ER14-SQRT(Correlation3)*EX$3)/SQRT(1-Correlation3),TRUE))</f>
        <v>0.60355716627077949</v>
      </c>
      <c r="EY14" s="353">
        <f ca="1">IF($AN14&gt;CDS.Tenor,"-",_xlfn.NORM.S.DIST(($ER14-SQRT(Correlation3)*EY$3)/SQRT(1-Correlation3),TRUE))</f>
        <v>0.43338790399667171</v>
      </c>
      <c r="EZ14" s="353">
        <f ca="1">IF($AN14&gt;CDS.Tenor,"-",_xlfn.NORM.S.DIST(($ER14-SQRT(Correlation3)*EZ$3)/SQRT(1-Correlation3),TRUE))</f>
        <v>0.27489466899038145</v>
      </c>
      <c r="FA14" s="353">
        <f ca="1">IF($AN14&gt;CDS.Tenor,"-",_xlfn.NORM.S.DIST(($ER14-SQRT(Correlation3)*FA$3)/SQRT(1-Correlation3),TRUE))</f>
        <v>0.15188170532892697</v>
      </c>
      <c r="FB14" s="353">
        <f ca="1">IF($AN14&gt;CDS.Tenor,"-",_xlfn.NORM.S.DIST(($ER14-SQRT(Correlation3)*FB$3)/SQRT(1-Correlation3),TRUE))</f>
        <v>7.2321516956914009E-2</v>
      </c>
      <c r="FC14" s="353">
        <f ca="1">IF($AN14&gt;CDS.Tenor,"-",_xlfn.NORM.S.DIST(($ER14-SQRT(Correlation3)*FC$3)/SQRT(1-Correlation3),TRUE))</f>
        <v>2.9443403134097344E-2</v>
      </c>
      <c r="FD14" s="353">
        <f ca="1">IF($AN14&gt;CDS.Tenor,"-",_xlfn.NORM.S.DIST(($ER14-SQRT(Correlation3)*FD$3)/SQRT(1-Correlation3),TRUE))</f>
        <v>1.0187815528410754E-2</v>
      </c>
      <c r="FE14" s="353">
        <f ca="1">IF($AN14&gt;CDS.Tenor,"-",_xlfn.NORM.S.DIST(($ER14-SQRT(Correlation3)*FE$3)/SQRT(1-Correlation3),TRUE))</f>
        <v>2.9826873151978625E-3</v>
      </c>
      <c r="FF14" s="353">
        <f ca="1">IF($AN14&gt;CDS.Tenor,"-",_xlfn.NORM.S.DIST(($ER14-SQRT(Correlation3)*FF$3)/SQRT(1-Correlation3),TRUE))</f>
        <v>7.3637744974927968E-4</v>
      </c>
      <c r="FG14" s="353">
        <f ca="1">IF($AN14&gt;CDS.Tenor,"-",_xlfn.NORM.S.DIST(($ER14-SQRT(Correlation3)*FG$3)/SQRT(1-Correlation3),TRUE))</f>
        <v>1.5290991855615012E-4</v>
      </c>
      <c r="FH14" s="353">
        <f ca="1">IF($AN14&gt;CDS.Tenor,"-",_xlfn.NORM.S.DIST(($ER14-SQRT(Correlation3)*FH$3)/SQRT(1-Correlation3),TRUE))</f>
        <v>2.6652738474879901E-5</v>
      </c>
      <c r="FI14" s="353">
        <f ca="1">IF($AN14&gt;CDS.Tenor,"-",_xlfn.NORM.S.DIST(($ER14-SQRT(Correlation3)*FI$3)/SQRT(1-Correlation3),TRUE))</f>
        <v>3.8934486936656639E-6</v>
      </c>
      <c r="FJ14" s="353">
        <f ca="1">IF($AN14&gt;CDS.Tenor,"-",_xlfn.NORM.S.DIST(($ER14-SQRT(Correlation3)*FJ$3)/SQRT(1-Correlation3),TRUE))</f>
        <v>4.7606791512475954E-7</v>
      </c>
      <c r="FK14" s="353">
        <f ca="1">IF($AN14&gt;CDS.Tenor,"-",_xlfn.NORM.S.DIST(($ER14-SQRT(Correlation3)*FK$3)/SQRT(1-Correlation3),TRUE))</f>
        <v>4.867508506037508E-8</v>
      </c>
      <c r="FL14" s="353">
        <f ca="1">IF($AN14&gt;CDS.Tenor,"-",_xlfn.NORM.S.DIST(($ER14-SQRT(Correlation3)*FL$3)/SQRT(1-Correlation3),TRUE))</f>
        <v>4.1580604925785241E-9</v>
      </c>
      <c r="FM14" s="353">
        <f ca="1">IF($AN14&gt;CDS.Tenor,"-",_xlfn.NORM.S.DIST(($ER14-SQRT(Correlation3)*FM$3)/SQRT(1-Correlation3),TRUE))</f>
        <v>2.9657006232171844E-10</v>
      </c>
      <c r="FN14" s="353">
        <f ca="1">IF($AN14&gt;CDS.Tenor,"-",_xlfn.NORM.S.DIST(($ER14-SQRT(Correlation3)*FN$3)/SQRT(1-Correlation3),TRUE))</f>
        <v>1.7651109928092087E-11</v>
      </c>
      <c r="FO14" s="354">
        <f ca="1">IF($AN14&gt;CDS.Tenor,"-",_xlfn.NORM.S.DIST(($ER14-SQRT(Correlation3)*FO$3)/SQRT(1-Correlation3),TRUE))</f>
        <v>8.7623405629764661E-13</v>
      </c>
      <c r="FP14" s="340"/>
      <c r="FQ14" s="358">
        <f t="shared" si="158"/>
        <v>2.5</v>
      </c>
      <c r="FR14" s="353">
        <f t="shared" ca="1" si="159"/>
        <v>6.0148650284799654E-2</v>
      </c>
      <c r="FS14" s="353">
        <f t="shared" ca="1" si="160"/>
        <v>0.13067492703361094</v>
      </c>
      <c r="FT14" s="353">
        <f t="shared" ca="1" si="161"/>
        <v>0.24419060235109946</v>
      </c>
      <c r="FU14" s="353">
        <f t="shared" ca="1" si="162"/>
        <v>0.39644283372922051</v>
      </c>
      <c r="FV14" s="353">
        <f t="shared" ca="1" si="163"/>
        <v>0.56661209600332829</v>
      </c>
      <c r="FW14" s="353">
        <f t="shared" ca="1" si="164"/>
        <v>0.72510533100961849</v>
      </c>
      <c r="FX14" s="353">
        <f t="shared" ca="1" si="165"/>
        <v>0.84811829467107303</v>
      </c>
      <c r="FY14" s="353">
        <f t="shared" ca="1" si="166"/>
        <v>0.92767848304308598</v>
      </c>
      <c r="FZ14" s="353">
        <f t="shared" ca="1" si="167"/>
        <v>0.97055659686590268</v>
      </c>
      <c r="GA14" s="353">
        <f t="shared" ca="1" si="168"/>
        <v>0.98981218447158925</v>
      </c>
      <c r="GB14" s="353">
        <f t="shared" ca="1" si="169"/>
        <v>0.99701731268480209</v>
      </c>
      <c r="GC14" s="353">
        <f t="shared" ca="1" si="170"/>
        <v>0.9992636225502507</v>
      </c>
      <c r="GD14" s="353">
        <f t="shared" ca="1" si="171"/>
        <v>0.9998470900814439</v>
      </c>
      <c r="GE14" s="353">
        <f t="shared" ca="1" si="172"/>
        <v>0.99997334726152509</v>
      </c>
      <c r="GF14" s="353">
        <f t="shared" ca="1" si="173"/>
        <v>0.99999610655130633</v>
      </c>
      <c r="GG14" s="353">
        <f t="shared" ca="1" si="174"/>
        <v>0.99999952393208491</v>
      </c>
      <c r="GH14" s="353">
        <f t="shared" ca="1" si="175"/>
        <v>0.99999995132491493</v>
      </c>
      <c r="GI14" s="353">
        <f t="shared" ca="1" si="176"/>
        <v>0.99999999584193955</v>
      </c>
      <c r="GJ14" s="353">
        <f t="shared" ca="1" si="177"/>
        <v>0.9999999997034299</v>
      </c>
      <c r="GK14" s="353">
        <f t="shared" ca="1" si="178"/>
        <v>0.9999999999823489</v>
      </c>
      <c r="GL14" s="354">
        <f t="shared" ca="1" si="179"/>
        <v>0.99999999999912381</v>
      </c>
      <c r="GO14" s="358">
        <f t="shared" si="180"/>
        <v>2.5</v>
      </c>
      <c r="GP14" s="353">
        <f t="shared" ca="1" si="181"/>
        <v>7.6768321263707045E-3</v>
      </c>
      <c r="GQ14" s="353">
        <f t="shared" ca="1" si="182"/>
        <v>2.9082010761845373E-2</v>
      </c>
      <c r="GR14" s="353">
        <f t="shared" ca="1" si="183"/>
        <v>8.4634874133363874E-2</v>
      </c>
      <c r="GS14" s="353">
        <f t="shared" ca="1" si="184"/>
        <v>0.19330221205704798</v>
      </c>
      <c r="GT14" s="353">
        <f t="shared" ca="1" si="185"/>
        <v>0.35570926563371241</v>
      </c>
      <c r="GU14" s="353">
        <f t="shared" ca="1" si="186"/>
        <v>0.5441856675672615</v>
      </c>
      <c r="GV14" s="353">
        <f t="shared" ca="1" si="187"/>
        <v>0.7172875213392752</v>
      </c>
      <c r="GW14" s="353">
        <f t="shared" ca="1" si="188"/>
        <v>0.84589386398687627</v>
      </c>
      <c r="GX14" s="353">
        <f t="shared" ca="1" si="189"/>
        <v>0.92515307551620485</v>
      </c>
      <c r="GY14" s="353">
        <f t="shared" ca="1" si="190"/>
        <v>0.96686159185157627</v>
      </c>
      <c r="GZ14" s="353">
        <f t="shared" ca="1" si="191"/>
        <v>0.98624109577133734</v>
      </c>
      <c r="HA14" s="353">
        <f t="shared" ca="1" si="192"/>
        <v>0.99449636382788786</v>
      </c>
      <c r="HB14" s="353">
        <f t="shared" ca="1" si="193"/>
        <v>0.9978419828523577</v>
      </c>
      <c r="HC14" s="353">
        <f t="shared" ca="1" si="194"/>
        <v>0.99916756227552739</v>
      </c>
      <c r="HD14" s="353">
        <f t="shared" ca="1" si="195"/>
        <v>0.99968621310056471</v>
      </c>
      <c r="HE14" s="353">
        <f t="shared" ca="1" si="196"/>
        <v>0.99988557701507075</v>
      </c>
      <c r="HF14" s="353">
        <f t="shared" ca="1" si="197"/>
        <v>0.9999599965654169</v>
      </c>
      <c r="HG14" s="353">
        <f t="shared" ca="1" si="198"/>
        <v>0.9999866788304792</v>
      </c>
      <c r="HH14" s="353">
        <f t="shared" ca="1" si="199"/>
        <v>0.99999579375769998</v>
      </c>
      <c r="HI14" s="353">
        <f t="shared" ca="1" si="200"/>
        <v>0.99999874447386849</v>
      </c>
      <c r="HJ14" s="354">
        <f t="shared" ca="1" si="201"/>
        <v>0.99999964645605255</v>
      </c>
      <c r="HK14" s="42"/>
      <c r="HL14" s="42"/>
      <c r="HM14" s="358">
        <f t="shared" si="202"/>
        <v>2.5</v>
      </c>
      <c r="HN14" s="362">
        <f t="shared" ca="1" si="203"/>
        <v>0.95761721554839307</v>
      </c>
      <c r="HO14" s="363">
        <f t="shared" ca="1" si="204"/>
        <v>4.0525693016233433E-3</v>
      </c>
    </row>
    <row r="15" spans="2:244" x14ac:dyDescent="0.3">
      <c r="B15" s="116" t="s">
        <v>120</v>
      </c>
      <c r="D15" s="151">
        <f>-D14</f>
        <v>1</v>
      </c>
      <c r="E15" s="414" t="str" cm="1">
        <f t="array" ref="E15:E17">F9:F11</f>
        <v>AAPL</v>
      </c>
      <c r="F15" s="403">
        <v>1</v>
      </c>
      <c r="G15" s="403">
        <f>$F$16</f>
        <v>0.24753677328975021</v>
      </c>
      <c r="H15" s="403">
        <f>$F$17</f>
        <v>0.35932757413028255</v>
      </c>
      <c r="J15" s="411">
        <f>(J9*J10+J9*J11+J10*J11)/3</f>
        <v>1.2848999999999999</v>
      </c>
      <c r="N15" s="417">
        <f>AVERAGE(F16,F17,G17)</f>
        <v>0.3000000000000001</v>
      </c>
      <c r="U15" s="17"/>
      <c r="V15" s="370">
        <f t="shared" si="89"/>
        <v>2.75</v>
      </c>
      <c r="W15" s="371">
        <f t="shared" si="90"/>
        <v>-25000</v>
      </c>
      <c r="X15" s="348">
        <f t="shared" ca="1" si="91"/>
        <v>0.95359703440065358</v>
      </c>
      <c r="Y15" s="348">
        <f t="shared" ca="1" si="92"/>
        <v>4.0201811477394989E-3</v>
      </c>
      <c r="Z15" s="372" cm="1">
        <f t="array" ref="Z15">IF($V15&gt;CDS.Tenor,"-",cubicInterpolation(CurveResults.Times,CurveResults.DFs,$V15))</f>
        <v>0.8880077026997103</v>
      </c>
      <c r="AA15" s="371">
        <f t="shared" ca="1" si="93"/>
        <v>-21170.037795484528</v>
      </c>
      <c r="AB15" s="371">
        <f t="shared" ca="1" si="94"/>
        <v>-44.624397818010465</v>
      </c>
      <c r="AC15" s="373">
        <f t="shared" ca="1" si="95"/>
        <v>-21214.662193302538</v>
      </c>
      <c r="AF15" s="370">
        <f t="shared" si="96"/>
        <v>2.75</v>
      </c>
      <c r="AG15" s="371">
        <f t="shared" si="97"/>
        <v>6000000</v>
      </c>
      <c r="AH15" s="348">
        <f t="shared" ca="1" si="98"/>
        <v>0.95359703440065358</v>
      </c>
      <c r="AI15" s="348">
        <f t="shared" ca="1" si="99"/>
        <v>4.0201811477394989E-3</v>
      </c>
      <c r="AJ15" s="372" cm="1">
        <f t="array" ref="AJ15">IF($AF15&gt;CDS.Tenor,"-",cubicInterpolation(CurveResults.Times,CurveResults.DFs,$V15))</f>
        <v>0.8880077026997103</v>
      </c>
      <c r="AK15" s="373">
        <f t="shared" ca="1" si="100"/>
        <v>21419.710952645022</v>
      </c>
      <c r="AM15" s="28"/>
      <c r="AN15" s="358">
        <f t="shared" si="101"/>
        <v>2.75</v>
      </c>
      <c r="AO15" s="343" cm="1">
        <f t="array" aca="1" ref="AO15" ca="1">IF($AN15&gt;CDS.Tenor,"-",flatInterpolation(AM15,INDIRECT(HazardRateTimes1),INDIRECT(HazardRateValues1)))</f>
        <v>5.0000000000000001E-3</v>
      </c>
      <c r="AP15" s="10">
        <f t="shared" ca="1" si="102"/>
        <v>0.98634409946704449</v>
      </c>
      <c r="AQ15" s="10">
        <f t="shared" ca="1" si="103"/>
        <v>1.3655900532955512E-2</v>
      </c>
      <c r="AR15" s="81">
        <f t="shared" ca="1" si="104"/>
        <v>-2.2070323254021287</v>
      </c>
      <c r="AS15" s="28"/>
      <c r="AT15" s="358">
        <f t="shared" si="105"/>
        <v>2.75</v>
      </c>
      <c r="AU15" s="353">
        <f ca="1">IF($AN15&gt;CDS.Tenor,"-",_xlfn.NORM.S.DIST(($AR15-SQRT(Correlation1)*AU$3)/SQRT(1-Correlation1),TRUE))</f>
        <v>0.74397219943214377</v>
      </c>
      <c r="AV15" s="353">
        <f ca="1">IF($AN15&gt;CDS.Tenor,"-",_xlfn.NORM.S.DIST(($AR15-SQRT(Correlation1)*AV$3)/SQRT(1-Correlation1),TRUE))</f>
        <v>0.62765024698869398</v>
      </c>
      <c r="AW15" s="353">
        <f ca="1">IF($AN15&gt;CDS.Tenor,"-",_xlfn.NORM.S.DIST(($AR15-SQRT(Correlation1)*AW$3)/SQRT(1-Correlation1),TRUE))</f>
        <v>0.49825759319507662</v>
      </c>
      <c r="AX15" s="353">
        <f ca="1">IF($AN15&gt;CDS.Tenor,"-",_xlfn.NORM.S.DIST(($AR15-SQRT(Correlation1)*AX$3)/SQRT(1-Correlation1),TRUE))</f>
        <v>0.3690496172471085</v>
      </c>
      <c r="AY15" s="353">
        <f ca="1">IF($AN15&gt;CDS.Tenor,"-",_xlfn.NORM.S.DIST(($AR15-SQRT(Correlation1)*AY$3)/SQRT(1-Correlation1),TRUE))</f>
        <v>0.25322502344438103</v>
      </c>
      <c r="AZ15" s="353">
        <f ca="1">IF($AN15&gt;CDS.Tenor,"-",_xlfn.NORM.S.DIST(($AR15-SQRT(Correlation1)*AZ$3)/SQRT(1-Correlation1),TRUE))</f>
        <v>0.16001910332236283</v>
      </c>
      <c r="BA15" s="353">
        <f ca="1">IF($AN15&gt;CDS.Tenor,"-",_xlfn.NORM.S.DIST(($AR15-SQRT(Correlation1)*BA$3)/SQRT(1-Correlation1),TRUE))</f>
        <v>9.2687888456944839E-2</v>
      </c>
      <c r="BB15" s="353">
        <f ca="1">IF($AN15&gt;CDS.Tenor,"-",_xlfn.NORM.S.DIST(($AR15-SQRT(Correlation1)*BB$3)/SQRT(1-Correlation1),TRUE))</f>
        <v>4.9024429296616399E-2</v>
      </c>
      <c r="BC15" s="353">
        <f ca="1">IF($AN15&gt;CDS.Tenor,"-",_xlfn.NORM.S.DIST(($AR15-SQRT(Correlation1)*BC$3)/SQRT(1-Correlation1),TRUE))</f>
        <v>2.3606125092140665E-2</v>
      </c>
      <c r="BD15" s="353">
        <f ca="1">IF($AN15&gt;CDS.Tenor,"-",_xlfn.NORM.S.DIST(($AR15-SQRT(Correlation1)*BD$3)/SQRT(1-Correlation1),TRUE))</f>
        <v>1.0323029829938215E-2</v>
      </c>
      <c r="BE15" s="353">
        <f ca="1">IF($AN15&gt;CDS.Tenor,"-",_xlfn.NORM.S.DIST(($AR15-SQRT(Correlation1)*BE$3)/SQRT(1-Correlation1),TRUE))</f>
        <v>4.0918059581795145E-3</v>
      </c>
      <c r="BF15" s="353">
        <f ca="1">IF($AN15&gt;CDS.Tenor,"-",_xlfn.NORM.S.DIST(($AR15-SQRT(Correlation1)*BF$3)/SQRT(1-Correlation1),TRUE))</f>
        <v>1.4677964654517227E-3</v>
      </c>
      <c r="BG15" s="353">
        <f ca="1">IF($AN15&gt;CDS.Tenor,"-",_xlfn.NORM.S.DIST(($AR15-SQRT(Correlation1)*BG$3)/SQRT(1-Correlation1),TRUE))</f>
        <v>4.7588792946058855E-4</v>
      </c>
      <c r="BH15" s="353">
        <f ca="1">IF($AN15&gt;CDS.Tenor,"-",_xlfn.NORM.S.DIST(($AR15-SQRT(Correlation1)*BH$3)/SQRT(1-Correlation1),TRUE))</f>
        <v>1.393083042374964E-4</v>
      </c>
      <c r="BI15" s="353">
        <f ca="1">IF($AN15&gt;CDS.Tenor,"-",_xlfn.NORM.S.DIST(($AR15-SQRT(Correlation1)*BI$3)/SQRT(1-Correlation1),TRUE))</f>
        <v>3.6788117150512863E-5</v>
      </c>
      <c r="BJ15" s="353">
        <f ca="1">IF($AN15&gt;CDS.Tenor,"-",_xlfn.NORM.S.DIST(($AR15-SQRT(Correlation1)*BJ$3)/SQRT(1-Correlation1),TRUE))</f>
        <v>8.7575832349650922E-6</v>
      </c>
      <c r="BK15" s="353">
        <f ca="1">IF($AN15&gt;CDS.Tenor,"-",_xlfn.NORM.S.DIST(($AR15-SQRT(Correlation1)*BK$3)/SQRT(1-Correlation1),TRUE))</f>
        <v>1.8782164843638798E-6</v>
      </c>
      <c r="BL15" s="353">
        <f ca="1">IF($AN15&gt;CDS.Tenor,"-",_xlfn.NORM.S.DIST(($AR15-SQRT(Correlation1)*BL$3)/SQRT(1-Correlation1),TRUE))</f>
        <v>3.6271957605012403E-7</v>
      </c>
      <c r="BM15" s="353">
        <f ca="1">IF($AN15&gt;CDS.Tenor,"-",_xlfn.NORM.S.DIST(($AR15-SQRT(Correlation1)*BM$3)/SQRT(1-Correlation1),TRUE))</f>
        <v>6.304821335197242E-8</v>
      </c>
      <c r="BN15" s="353">
        <f ca="1">IF($AN15&gt;CDS.Tenor,"-",_xlfn.NORM.S.DIST(($AR15-SQRT(Correlation1)*BN$3)/SQRT(1-Correlation1),TRUE))</f>
        <v>9.860311018020191E-9</v>
      </c>
      <c r="BO15" s="354">
        <f ca="1">IF($AN15&gt;CDS.Tenor,"-",_xlfn.NORM.S.DIST(($AR15-SQRT(Correlation1)*BO$3)/SQRT(1-Correlation1),TRUE))</f>
        <v>1.3870318613139484E-9</v>
      </c>
      <c r="BP15" s="28"/>
      <c r="BQ15" s="358">
        <f t="shared" si="106"/>
        <v>2.75</v>
      </c>
      <c r="BR15" s="353">
        <f t="shared" ca="1" si="107"/>
        <v>0.25602780056785623</v>
      </c>
      <c r="BS15" s="353">
        <f t="shared" ca="1" si="108"/>
        <v>0.37234975301130602</v>
      </c>
      <c r="BT15" s="353">
        <f t="shared" ca="1" si="109"/>
        <v>0.50174240680492344</v>
      </c>
      <c r="BU15" s="353">
        <f t="shared" ca="1" si="110"/>
        <v>0.6309503827528915</v>
      </c>
      <c r="BV15" s="353">
        <f t="shared" ca="1" si="111"/>
        <v>0.74677497655561897</v>
      </c>
      <c r="BW15" s="353">
        <f t="shared" ca="1" si="112"/>
        <v>0.8399808966776372</v>
      </c>
      <c r="BX15" s="353">
        <f t="shared" ca="1" si="113"/>
        <v>0.90731211154305513</v>
      </c>
      <c r="BY15" s="353">
        <f t="shared" ca="1" si="114"/>
        <v>0.95097557070338357</v>
      </c>
      <c r="BZ15" s="353">
        <f t="shared" ca="1" si="115"/>
        <v>0.97639387490785934</v>
      </c>
      <c r="CA15" s="353">
        <f t="shared" ca="1" si="116"/>
        <v>0.98967697017006173</v>
      </c>
      <c r="CB15" s="353">
        <f t="shared" ca="1" si="117"/>
        <v>0.99590819404182052</v>
      </c>
      <c r="CC15" s="353">
        <f t="shared" ca="1" si="118"/>
        <v>0.9985322035345483</v>
      </c>
      <c r="CD15" s="353">
        <f t="shared" ca="1" si="119"/>
        <v>0.99952411207053937</v>
      </c>
      <c r="CE15" s="353">
        <f t="shared" ca="1" si="120"/>
        <v>0.99986069169576253</v>
      </c>
      <c r="CF15" s="353">
        <f t="shared" ca="1" si="121"/>
        <v>0.99996321188284953</v>
      </c>
      <c r="CG15" s="353">
        <f t="shared" ca="1" si="122"/>
        <v>0.99999124241676507</v>
      </c>
      <c r="CH15" s="353">
        <f t="shared" ca="1" si="123"/>
        <v>0.99999812178351566</v>
      </c>
      <c r="CI15" s="353">
        <f t="shared" ca="1" si="124"/>
        <v>0.99999963728042396</v>
      </c>
      <c r="CJ15" s="353">
        <f t="shared" ca="1" si="125"/>
        <v>0.99999993695178668</v>
      </c>
      <c r="CK15" s="353">
        <f t="shared" ca="1" si="126"/>
        <v>0.99999999013968899</v>
      </c>
      <c r="CL15" s="354">
        <f t="shared" ca="1" si="127"/>
        <v>0.99999999861296818</v>
      </c>
      <c r="CM15" s="17"/>
      <c r="CN15" s="17"/>
      <c r="CO15" s="343" cm="1">
        <f t="array" aca="1" ref="CO15" ca="1">IF($AN15&gt;CDS.Tenor,"-",flatInterpolation(AN15,INDIRECT(HazardRateTimes2),INDIRECT(HazardRateValues2)))</f>
        <v>5.8333333333333336E-3</v>
      </c>
      <c r="CP15" s="10">
        <f t="shared" ca="1" si="128"/>
        <v>0.98408631560454818</v>
      </c>
      <c r="CQ15" s="10">
        <f t="shared" ca="1" si="129"/>
        <v>1.5913684395451821E-2</v>
      </c>
      <c r="CR15" s="81">
        <f t="shared" ca="1" si="130"/>
        <v>-2.146572028052919</v>
      </c>
      <c r="CS15" s="28"/>
      <c r="CT15" s="358">
        <f t="shared" si="131"/>
        <v>2.75</v>
      </c>
      <c r="CU15" s="353">
        <f ca="1">IF($AN15&gt;CDS.Tenor,"-",_xlfn.NORM.S.DIST(($CR15-SQRT(Correlation2)*CU$3)/SQRT(1-Correlation2),TRUE))</f>
        <v>0.54469859665011211</v>
      </c>
      <c r="CV15" s="353">
        <f ca="1">IF($AN15&gt;CDS.Tenor,"-",_xlfn.NORM.S.DIST(($CR15-SQRT(Correlation2)*CV$3)/SQRT(1-Correlation2),TRUE))</f>
        <v>0.44463228425104195</v>
      </c>
      <c r="CW15" s="353">
        <f ca="1">IF($AN15&gt;CDS.Tenor,"-",_xlfn.NORM.S.DIST(($CR15-SQRT(Correlation2)*CW$3)/SQRT(1-Correlation2),TRUE))</f>
        <v>0.34799178354133398</v>
      </c>
      <c r="CX15" s="353">
        <f ca="1">IF($AN15&gt;CDS.Tenor,"-",_xlfn.NORM.S.DIST(($CR15-SQRT(Correlation2)*CX$3)/SQRT(1-Correlation2),TRUE))</f>
        <v>0.26035186384032438</v>
      </c>
      <c r="CY15" s="353">
        <f ca="1">IF($AN15&gt;CDS.Tenor,"-",_xlfn.NORM.S.DIST(($CR15-SQRT(Correlation2)*CY$3)/SQRT(1-Correlation2),TRUE))</f>
        <v>0.18572138899832547</v>
      </c>
      <c r="CZ15" s="353">
        <f ca="1">IF($AN15&gt;CDS.Tenor,"-",_xlfn.NORM.S.DIST(($CR15-SQRT(Correlation2)*CZ$3)/SQRT(1-Correlation2),TRUE))</f>
        <v>0.12604511128677648</v>
      </c>
      <c r="DA15" s="353">
        <f ca="1">IF($AN15&gt;CDS.Tenor,"-",_xlfn.NORM.S.DIST(($CR15-SQRT(Correlation2)*DA$3)/SQRT(1-Correlation2),TRUE))</f>
        <v>8.1236825299122351E-2</v>
      </c>
      <c r="DB15" s="353">
        <f ca="1">IF($AN15&gt;CDS.Tenor,"-",_xlfn.NORM.S.DIST(($CR15-SQRT(Correlation2)*DB$3)/SQRT(1-Correlation2),TRUE))</f>
        <v>4.9644196847602191E-2</v>
      </c>
      <c r="DC15" s="353">
        <f ca="1">IF($AN15&gt;CDS.Tenor,"-",_xlfn.NORM.S.DIST(($CR15-SQRT(Correlation2)*DC$3)/SQRT(1-Correlation2),TRUE))</f>
        <v>2.8727953072406689E-2</v>
      </c>
      <c r="DD15" s="353">
        <f ca="1">IF($AN15&gt;CDS.Tenor,"-",_xlfn.NORM.S.DIST(($CR15-SQRT(Correlation2)*DD$3)/SQRT(1-Correlation2),TRUE))</f>
        <v>1.5724707521077758E-2</v>
      </c>
      <c r="DE15" s="353">
        <f ca="1">IF($AN15&gt;CDS.Tenor,"-",_xlfn.NORM.S.DIST(($CR15-SQRT(Correlation2)*DE$3)/SQRT(1-Correlation2),TRUE))</f>
        <v>8.1338727275416002E-3</v>
      </c>
      <c r="DF15" s="353">
        <f ca="1">IF($AN15&gt;CDS.Tenor,"-",_xlfn.NORM.S.DIST(($CR15-SQRT(Correlation2)*DF$3)/SQRT(1-Correlation2),TRUE))</f>
        <v>3.9728839851862997E-3</v>
      </c>
      <c r="DG15" s="353">
        <f ca="1">IF($AN15&gt;CDS.Tenor,"-",_xlfn.NORM.S.DIST(($CR15-SQRT(Correlation2)*DG$3)/SQRT(1-Correlation2),TRUE))</f>
        <v>1.8311169353627706E-3</v>
      </c>
      <c r="DH15" s="353">
        <f ca="1">IF($AN15&gt;CDS.Tenor,"-",_xlfn.NORM.S.DIST(($CR15-SQRT(Correlation2)*DH$3)/SQRT(1-Correlation2),TRUE))</f>
        <v>7.9593656322677914E-4</v>
      </c>
      <c r="DI15" s="353">
        <f ca="1">IF($AN15&gt;CDS.Tenor,"-",_xlfn.NORM.S.DIST(($CR15-SQRT(Correlation2)*DI$3)/SQRT(1-Correlation2),TRUE))</f>
        <v>3.2612111743117044E-4</v>
      </c>
      <c r="DJ15" s="353">
        <f ca="1">IF($AN15&gt;CDS.Tenor,"-",_xlfn.NORM.S.DIST(($CR15-SQRT(Correlation2)*DJ$3)/SQRT(1-Correlation2),TRUE))</f>
        <v>1.2590209790914883E-4</v>
      </c>
      <c r="DK15" s="353">
        <f ca="1">IF($AN15&gt;CDS.Tenor,"-",_xlfn.NORM.S.DIST(($CR15-SQRT(Correlation2)*DK$3)/SQRT(1-Correlation2),TRUE))</f>
        <v>4.5780535294083309E-5</v>
      </c>
      <c r="DL15" s="353">
        <f ca="1">IF($AN15&gt;CDS.Tenor,"-",_xlfn.NORM.S.DIST(($CR15-SQRT(Correlation2)*DL$3)/SQRT(1-Correlation2),TRUE))</f>
        <v>1.5674140822925616E-5</v>
      </c>
      <c r="DM15" s="353">
        <f ca="1">IF($AN15&gt;CDS.Tenor,"-",_xlfn.NORM.S.DIST(($CR15-SQRT(Correlation2)*DM$3)/SQRT(1-Correlation2),TRUE))</f>
        <v>5.0514996729079485E-6</v>
      </c>
      <c r="DN15" s="353">
        <f ca="1">IF($AN15&gt;CDS.Tenor,"-",_xlfn.NORM.S.DIST(($CR15-SQRT(Correlation2)*DN$3)/SQRT(1-Correlation2),TRUE))</f>
        <v>1.5320899938985367E-6</v>
      </c>
      <c r="DO15" s="354">
        <f ca="1">IF($AN15&gt;CDS.Tenor,"-",_xlfn.NORM.S.DIST(($CR15-SQRT(Correlation2)*DO$3)/SQRT(1-Correlation2),TRUE))</f>
        <v>4.3720180743848716E-7</v>
      </c>
      <c r="DP15" s="28"/>
      <c r="DQ15" s="358">
        <f t="shared" si="132"/>
        <v>2.75</v>
      </c>
      <c r="DR15" s="353">
        <f t="shared" ca="1" si="133"/>
        <v>0.45530140334988789</v>
      </c>
      <c r="DS15" s="353">
        <f t="shared" ca="1" si="134"/>
        <v>0.55536771574895805</v>
      </c>
      <c r="DT15" s="353">
        <f t="shared" ca="1" si="135"/>
        <v>0.65200821645866602</v>
      </c>
      <c r="DU15" s="353">
        <f t="shared" ca="1" si="136"/>
        <v>0.73964813615967562</v>
      </c>
      <c r="DV15" s="353">
        <f t="shared" ca="1" si="137"/>
        <v>0.81427861100167453</v>
      </c>
      <c r="DW15" s="353">
        <f t="shared" ca="1" si="138"/>
        <v>0.87395488871322358</v>
      </c>
      <c r="DX15" s="353">
        <f t="shared" ca="1" si="139"/>
        <v>0.91876317470087765</v>
      </c>
      <c r="DY15" s="353">
        <f t="shared" ca="1" si="140"/>
        <v>0.95035580315239776</v>
      </c>
      <c r="DZ15" s="353">
        <f t="shared" ca="1" si="141"/>
        <v>0.97127204692759328</v>
      </c>
      <c r="EA15" s="353">
        <f t="shared" ca="1" si="142"/>
        <v>0.9842752924789222</v>
      </c>
      <c r="EB15" s="353">
        <f t="shared" ca="1" si="143"/>
        <v>0.99186612727245838</v>
      </c>
      <c r="EC15" s="353">
        <f t="shared" ca="1" si="144"/>
        <v>0.99602711601481375</v>
      </c>
      <c r="ED15" s="353">
        <f t="shared" ca="1" si="145"/>
        <v>0.99816888306463725</v>
      </c>
      <c r="EE15" s="353">
        <f t="shared" ca="1" si="146"/>
        <v>0.99920406343677326</v>
      </c>
      <c r="EF15" s="353">
        <f t="shared" ca="1" si="147"/>
        <v>0.99967387888256887</v>
      </c>
      <c r="EG15" s="353">
        <f t="shared" ca="1" si="148"/>
        <v>0.99987409790209081</v>
      </c>
      <c r="EH15" s="353">
        <f t="shared" ca="1" si="149"/>
        <v>0.99995421946470586</v>
      </c>
      <c r="EI15" s="353">
        <f t="shared" ca="1" si="150"/>
        <v>0.99998432585917707</v>
      </c>
      <c r="EJ15" s="353">
        <f t="shared" ca="1" si="151"/>
        <v>0.99999494850032711</v>
      </c>
      <c r="EK15" s="353">
        <f t="shared" ca="1" si="152"/>
        <v>0.99999846791000613</v>
      </c>
      <c r="EL15" s="354">
        <f t="shared" ca="1" si="153"/>
        <v>0.99999956279819258</v>
      </c>
      <c r="EM15" s="17"/>
      <c r="EN15" s="17"/>
      <c r="EO15" s="343" cm="1">
        <f t="array" aca="1" ref="EO15" ca="1">IF($AN15&gt;CDS.Tenor,"-",flatInterpolation(CP15,INDIRECT(HazardRateTimes3),INDIRECT(HazardRateValues3)))</f>
        <v>7.4999999999999997E-3</v>
      </c>
      <c r="EP15" s="10">
        <f t="shared" ca="1" si="154"/>
        <v>0.97958624054111398</v>
      </c>
      <c r="EQ15" s="10">
        <f t="shared" ca="1" si="155"/>
        <v>2.0413759458886016E-2</v>
      </c>
      <c r="ER15" s="81">
        <f t="shared" ca="1" si="156"/>
        <v>-2.0452773855968811</v>
      </c>
      <c r="ES15" s="28"/>
      <c r="ET15" s="358">
        <f t="shared" si="157"/>
        <v>2.75</v>
      </c>
      <c r="EU15" s="353">
        <f ca="1">IF($AN15&gt;CDS.Tenor,"-",_xlfn.NORM.S.DIST(($ER15-SQRT(Correlation3)*EU$3)/SQRT(1-Correlation3),TRUE))</f>
        <v>0.94572605822511813</v>
      </c>
      <c r="EV15" s="353">
        <f ca="1">IF($AN15&gt;CDS.Tenor,"-",_xlfn.NORM.S.DIST(($ER15-SQRT(Correlation3)*EV$3)/SQRT(1-Correlation3),TRUE))</f>
        <v>0.87988933589013496</v>
      </c>
      <c r="EW15" s="353">
        <f ca="1">IF($AN15&gt;CDS.Tenor,"-",_xlfn.NORM.S.DIST(($ER15-SQRT(Correlation3)*EW$3)/SQRT(1-Correlation3),TRUE))</f>
        <v>0.77159600634289038</v>
      </c>
      <c r="EX15" s="353">
        <f ca="1">IF($AN15&gt;CDS.Tenor,"-",_xlfn.NORM.S.DIST(($ER15-SQRT(Correlation3)*EX$3)/SQRT(1-Correlation3),TRUE))</f>
        <v>0.62316074010960798</v>
      </c>
      <c r="EY15" s="353">
        <f ca="1">IF($AN15&gt;CDS.Tenor,"-",_xlfn.NORM.S.DIST(($ER15-SQRT(Correlation3)*EY$3)/SQRT(1-Correlation3),TRUE))</f>
        <v>0.45361709096843938</v>
      </c>
      <c r="EZ15" s="353">
        <f ca="1">IF($AN15&gt;CDS.Tenor,"-",_xlfn.NORM.S.DIST(($ER15-SQRT(Correlation3)*EZ$3)/SQRT(1-Correlation3),TRUE))</f>
        <v>0.29224142904171202</v>
      </c>
      <c r="FA15" s="353">
        <f ca="1">IF($AN15&gt;CDS.Tenor,"-",_xlfn.NORM.S.DIST(($ER15-SQRT(Correlation3)*FA$3)/SQRT(1-Correlation3),TRUE))</f>
        <v>0.16424274727696117</v>
      </c>
      <c r="FB15" s="353">
        <f ca="1">IF($AN15&gt;CDS.Tenor,"-",_xlfn.NORM.S.DIST(($ER15-SQRT(Correlation3)*FB$3)/SQRT(1-Correlation3),TRUE))</f>
        <v>7.9641137276961205E-2</v>
      </c>
      <c r="FC15" s="353">
        <f ca="1">IF($AN15&gt;CDS.Tenor,"-",_xlfn.NORM.S.DIST(($ER15-SQRT(Correlation3)*FC$3)/SQRT(1-Correlation3),TRUE))</f>
        <v>3.3045196471621324E-2</v>
      </c>
      <c r="FD15" s="353">
        <f ca="1">IF($AN15&gt;CDS.Tenor,"-",_xlfn.NORM.S.DIST(($ER15-SQRT(Correlation3)*FD$3)/SQRT(1-Correlation3),TRUE))</f>
        <v>1.166062234584497E-2</v>
      </c>
      <c r="FE15" s="353">
        <f ca="1">IF($AN15&gt;CDS.Tenor,"-",_xlfn.NORM.S.DIST(($ER15-SQRT(Correlation3)*FE$3)/SQRT(1-Correlation3),TRUE))</f>
        <v>3.4831475048869073E-3</v>
      </c>
      <c r="FF15" s="353">
        <f ca="1">IF($AN15&gt;CDS.Tenor,"-",_xlfn.NORM.S.DIST(($ER15-SQRT(Correlation3)*FF$3)/SQRT(1-Correlation3),TRUE))</f>
        <v>8.7769302691276859E-4</v>
      </c>
      <c r="FG15" s="353">
        <f ca="1">IF($AN15&gt;CDS.Tenor,"-",_xlfn.NORM.S.DIST(($ER15-SQRT(Correlation3)*FG$3)/SQRT(1-Correlation3),TRUE))</f>
        <v>1.8606936570964255E-4</v>
      </c>
      <c r="FH15" s="353">
        <f ca="1">IF($AN15&gt;CDS.Tenor,"-",_xlfn.NORM.S.DIST(($ER15-SQRT(Correlation3)*FH$3)/SQRT(1-Correlation3),TRUE))</f>
        <v>3.3118523534199578E-5</v>
      </c>
      <c r="FI15" s="353">
        <f ca="1">IF($AN15&gt;CDS.Tenor,"-",_xlfn.NORM.S.DIST(($ER15-SQRT(Correlation3)*FI$3)/SQRT(1-Correlation3),TRUE))</f>
        <v>4.9411367078429505E-6</v>
      </c>
      <c r="FJ15" s="353">
        <f ca="1">IF($AN15&gt;CDS.Tenor,"-",_xlfn.NORM.S.DIST(($ER15-SQRT(Correlation3)*FJ$3)/SQRT(1-Correlation3),TRUE))</f>
        <v>6.1713945575750978E-7</v>
      </c>
      <c r="FK15" s="353">
        <f ca="1">IF($AN15&gt;CDS.Tenor,"-",_xlfn.NORM.S.DIST(($ER15-SQRT(Correlation3)*FK$3)/SQRT(1-Correlation3),TRUE))</f>
        <v>6.4460047595924956E-8</v>
      </c>
      <c r="FL15" s="353">
        <f ca="1">IF($AN15&gt;CDS.Tenor,"-",_xlfn.NORM.S.DIST(($ER15-SQRT(Correlation3)*FL$3)/SQRT(1-Correlation3),TRUE))</f>
        <v>5.6257845203515202E-9</v>
      </c>
      <c r="FM15" s="353">
        <f ca="1">IF($AN15&gt;CDS.Tenor,"-",_xlfn.NORM.S.DIST(($ER15-SQRT(Correlation3)*FM$3)/SQRT(1-Correlation3),TRUE))</f>
        <v>4.099776060023968E-10</v>
      </c>
      <c r="FN15" s="353">
        <f ca="1">IF($AN15&gt;CDS.Tenor,"-",_xlfn.NORM.S.DIST(($ER15-SQRT(Correlation3)*FN$3)/SQRT(1-Correlation3),TRUE))</f>
        <v>2.4932866624202098E-11</v>
      </c>
      <c r="FO15" s="354">
        <f ca="1">IF($AN15&gt;CDS.Tenor,"-",_xlfn.NORM.S.DIST(($ER15-SQRT(Correlation3)*FO$3)/SQRT(1-Correlation3),TRUE))</f>
        <v>1.2647662863439189E-12</v>
      </c>
      <c r="FP15" s="28"/>
      <c r="FQ15" s="358">
        <f t="shared" si="158"/>
        <v>2.75</v>
      </c>
      <c r="FR15" s="353">
        <f t="shared" ca="1" si="159"/>
        <v>5.4273941774881873E-2</v>
      </c>
      <c r="FS15" s="353">
        <f t="shared" ca="1" si="160"/>
        <v>0.12011066410986504</v>
      </c>
      <c r="FT15" s="353">
        <f t="shared" ca="1" si="161"/>
        <v>0.22840399365710962</v>
      </c>
      <c r="FU15" s="353">
        <f t="shared" ca="1" si="162"/>
        <v>0.37683925989039202</v>
      </c>
      <c r="FV15" s="353">
        <f t="shared" ca="1" si="163"/>
        <v>0.54638290903156062</v>
      </c>
      <c r="FW15" s="353">
        <f t="shared" ca="1" si="164"/>
        <v>0.70775857095828798</v>
      </c>
      <c r="FX15" s="353">
        <f t="shared" ca="1" si="165"/>
        <v>0.8357572527230388</v>
      </c>
      <c r="FY15" s="353">
        <f t="shared" ca="1" si="166"/>
        <v>0.9203588627230388</v>
      </c>
      <c r="FZ15" s="353">
        <f t="shared" ca="1" si="167"/>
        <v>0.9669548035283787</v>
      </c>
      <c r="GA15" s="353">
        <f t="shared" ca="1" si="168"/>
        <v>0.98833937765415503</v>
      </c>
      <c r="GB15" s="353">
        <f t="shared" ca="1" si="169"/>
        <v>0.99651685249511313</v>
      </c>
      <c r="GC15" s="353">
        <f t="shared" ca="1" si="170"/>
        <v>0.99912230697308724</v>
      </c>
      <c r="GD15" s="353">
        <f t="shared" ca="1" si="171"/>
        <v>0.99981393063429036</v>
      </c>
      <c r="GE15" s="353">
        <f t="shared" ca="1" si="172"/>
        <v>0.99996688147646584</v>
      </c>
      <c r="GF15" s="353">
        <f t="shared" ca="1" si="173"/>
        <v>0.99999505886329221</v>
      </c>
      <c r="GG15" s="353">
        <f t="shared" ca="1" si="174"/>
        <v>0.99999938286054424</v>
      </c>
      <c r="GH15" s="353">
        <f t="shared" ca="1" si="175"/>
        <v>0.99999993553995237</v>
      </c>
      <c r="GI15" s="353">
        <f t="shared" ca="1" si="176"/>
        <v>0.9999999943742155</v>
      </c>
      <c r="GJ15" s="353">
        <f t="shared" ca="1" si="177"/>
        <v>0.99999999959002239</v>
      </c>
      <c r="GK15" s="353">
        <f t="shared" ca="1" si="178"/>
        <v>0.99999999997506717</v>
      </c>
      <c r="GL15" s="354">
        <f t="shared" ca="1" si="179"/>
        <v>0.99999999999873523</v>
      </c>
      <c r="GO15" s="358">
        <f t="shared" si="180"/>
        <v>2.75</v>
      </c>
      <c r="GP15" s="353">
        <f t="shared" ca="1" si="181"/>
        <v>6.3267034548749358E-3</v>
      </c>
      <c r="GQ15" s="353">
        <f t="shared" ca="1" si="182"/>
        <v>2.4837808160210393E-2</v>
      </c>
      <c r="GR15" s="353">
        <f t="shared" ca="1" si="183"/>
        <v>7.4720121720808816E-2</v>
      </c>
      <c r="GS15" s="353">
        <f t="shared" ca="1" si="184"/>
        <v>0.17586382612964543</v>
      </c>
      <c r="GT15" s="353">
        <f t="shared" ca="1" si="185"/>
        <v>0.33224609872048627</v>
      </c>
      <c r="GU15" s="353">
        <f t="shared" ca="1" si="186"/>
        <v>0.51956939667670188</v>
      </c>
      <c r="GV15" s="353">
        <f t="shared" ca="1" si="187"/>
        <v>0.69669138792119256</v>
      </c>
      <c r="GW15" s="353">
        <f t="shared" ca="1" si="188"/>
        <v>0.83178826771572667</v>
      </c>
      <c r="GX15" s="353">
        <f t="shared" ca="1" si="189"/>
        <v>0.91700586112598792</v>
      </c>
      <c r="GY15" s="353">
        <f t="shared" ca="1" si="190"/>
        <v>0.96275580692669149</v>
      </c>
      <c r="GZ15" s="353">
        <f t="shared" ca="1" si="191"/>
        <v>0.98436692395357883</v>
      </c>
      <c r="HA15" s="353">
        <f t="shared" ca="1" si="192"/>
        <v>0.99369222803664758</v>
      </c>
      <c r="HB15" s="353">
        <f t="shared" ca="1" si="193"/>
        <v>0.99750822627670377</v>
      </c>
      <c r="HC15" s="353">
        <f t="shared" ca="1" si="194"/>
        <v>0.99903177845983149</v>
      </c>
      <c r="HD15" s="353">
        <f t="shared" ca="1" si="195"/>
        <v>0.99963216341921735</v>
      </c>
      <c r="HE15" s="353">
        <f t="shared" ca="1" si="196"/>
        <v>0.99986472436510132</v>
      </c>
      <c r="HF15" s="353">
        <f t="shared" ca="1" si="197"/>
        <v>0.99995227687723176</v>
      </c>
      <c r="HG15" s="353">
        <f t="shared" ca="1" si="198"/>
        <v>0.99998395751959213</v>
      </c>
      <c r="HH15" s="353">
        <f t="shared" ca="1" si="199"/>
        <v>0.99999488504245682</v>
      </c>
      <c r="HI15" s="353">
        <f t="shared" ca="1" si="200"/>
        <v>0.99999845802477738</v>
      </c>
      <c r="HJ15" s="354">
        <f t="shared" ca="1" si="201"/>
        <v>0.99999956140989654</v>
      </c>
      <c r="HK15" s="42"/>
      <c r="HL15" s="42"/>
      <c r="HM15" s="358">
        <f t="shared" si="202"/>
        <v>2.75</v>
      </c>
      <c r="HN15" s="362">
        <f t="shared" ca="1" si="203"/>
        <v>0.95359703440065358</v>
      </c>
      <c r="HO15" s="363">
        <f t="shared" ca="1" si="204"/>
        <v>4.0201811477394989E-3</v>
      </c>
    </row>
    <row r="16" spans="2:244" x14ac:dyDescent="0.3">
      <c r="B16" s="116" t="s">
        <v>117</v>
      </c>
      <c r="D16" s="152">
        <f>D9/10000</f>
        <v>0.01</v>
      </c>
      <c r="E16" s="415" t="str">
        <v>MSFT</v>
      </c>
      <c r="F16" s="401">
        <f>SQRT($O$9)*SQRT($O$10)</f>
        <v>0.24753677328975021</v>
      </c>
      <c r="G16" s="403">
        <v>1</v>
      </c>
      <c r="H16" s="403">
        <f>$G$17</f>
        <v>0.29313565257996743</v>
      </c>
      <c r="I16" s="335"/>
      <c r="S16" s="410"/>
      <c r="U16" s="17"/>
      <c r="V16" s="370">
        <f t="shared" si="89"/>
        <v>3</v>
      </c>
      <c r="W16" s="371">
        <f t="shared" si="90"/>
        <v>-25000</v>
      </c>
      <c r="X16" s="348">
        <f t="shared" ca="1" si="91"/>
        <v>0.94960803265596527</v>
      </c>
      <c r="Y16" s="348">
        <f t="shared" ca="1" si="92"/>
        <v>3.989001744688303E-3</v>
      </c>
      <c r="Z16" s="372" cm="1">
        <f t="array" ref="Z16">IF($V16&gt;CDS.Tenor,"-",cubicInterpolation(CurveResults.Times,CurveResults.DFs,$V16))</f>
        <v>0.87931148332785924</v>
      </c>
      <c r="AA16" s="371">
        <f t="shared" ca="1" si="93"/>
        <v>-20875.031194369174</v>
      </c>
      <c r="AB16" s="371">
        <f t="shared" ca="1" si="94"/>
        <v>-43.844688013991124</v>
      </c>
      <c r="AC16" s="373">
        <f t="shared" ca="1" si="95"/>
        <v>-20918.875882383167</v>
      </c>
      <c r="AF16" s="370">
        <f t="shared" si="96"/>
        <v>3</v>
      </c>
      <c r="AG16" s="371">
        <f t="shared" si="97"/>
        <v>6000000</v>
      </c>
      <c r="AH16" s="348">
        <f t="shared" ca="1" si="98"/>
        <v>0.94960803265596527</v>
      </c>
      <c r="AI16" s="348">
        <f t="shared" ca="1" si="99"/>
        <v>3.989001744688303E-3</v>
      </c>
      <c r="AJ16" s="372" cm="1">
        <f t="array" ref="AJ16">IF($AF16&gt;CDS.Tenor,"-",cubicInterpolation(CurveResults.Times,CurveResults.DFs,$V16))</f>
        <v>0.87931148332785924</v>
      </c>
      <c r="AK16" s="373">
        <f t="shared" ca="1" si="100"/>
        <v>21045.45024671574</v>
      </c>
      <c r="AM16" s="17"/>
      <c r="AN16" s="358">
        <f t="shared" si="101"/>
        <v>3</v>
      </c>
      <c r="AO16" s="343" cm="1">
        <f t="array" aca="1" ref="AO16" ca="1">IF($AN16&gt;CDS.Tenor,"-",flatInterpolation(AM16,INDIRECT(HazardRateTimes1),INDIRECT(HazardRateValues1)))</f>
        <v>5.0000000000000001E-3</v>
      </c>
      <c r="AP16" s="10">
        <f t="shared" ca="1" si="102"/>
        <v>0.9851119396030632</v>
      </c>
      <c r="AQ16" s="10">
        <f t="shared" ca="1" si="103"/>
        <v>1.4888060396936798E-2</v>
      </c>
      <c r="AR16" s="81">
        <f t="shared" ca="1" si="104"/>
        <v>-2.1730557604645537</v>
      </c>
      <c r="AS16" s="17"/>
      <c r="AT16" s="358">
        <f t="shared" si="105"/>
        <v>3</v>
      </c>
      <c r="AU16" s="353">
        <f ca="1">IF($AN16&gt;CDS.Tenor,"-",_xlfn.NORM.S.DIST(($AR16-SQRT(Correlation1)*AU$3)/SQRT(1-Correlation1),TRUE))</f>
        <v>0.7568951563916636</v>
      </c>
      <c r="AV16" s="353">
        <f ca="1">IF($AN16&gt;CDS.Tenor,"-",_xlfn.NORM.S.DIST(($AR16-SQRT(Correlation1)*AV$3)/SQRT(1-Correlation1),TRUE))</f>
        <v>0.64294655974331394</v>
      </c>
      <c r="AW16" s="353">
        <f ca="1">IF($AN16&gt;CDS.Tenor,"-",_xlfn.NORM.S.DIST(($AR16-SQRT(Correlation1)*AW$3)/SQRT(1-Correlation1),TRUE))</f>
        <v>0.5144952122107157</v>
      </c>
      <c r="AX16" s="353">
        <f ca="1">IF($AN16&gt;CDS.Tenor,"-",_xlfn.NORM.S.DIST(($AR16-SQRT(Correlation1)*AX$3)/SQRT(1-Correlation1),TRUE))</f>
        <v>0.38450816441803271</v>
      </c>
      <c r="AY16" s="353">
        <f ca="1">IF($AN16&gt;CDS.Tenor,"-",_xlfn.NORM.S.DIST(($AR16-SQRT(Correlation1)*AY$3)/SQRT(1-Correlation1),TRUE))</f>
        <v>0.26642355877757401</v>
      </c>
      <c r="AZ16" s="353">
        <f ca="1">IF($AN16&gt;CDS.Tenor,"-",_xlfn.NORM.S.DIST(($AR16-SQRT(Correlation1)*AZ$3)/SQRT(1-Correlation1),TRUE))</f>
        <v>0.17012543480360395</v>
      </c>
      <c r="BA16" s="353">
        <f ca="1">IF($AN16&gt;CDS.Tenor,"-",_xlfn.NORM.S.DIST(($AR16-SQRT(Correlation1)*BA$3)/SQRT(1-Correlation1),TRUE))</f>
        <v>9.9628089851485996E-2</v>
      </c>
      <c r="BB16" s="353">
        <f ca="1">IF($AN16&gt;CDS.Tenor,"-",_xlfn.NORM.S.DIST(($AR16-SQRT(Correlation1)*BB$3)/SQRT(1-Correlation1),TRUE))</f>
        <v>5.3298693293225785E-2</v>
      </c>
      <c r="BC16" s="353">
        <f ca="1">IF($AN16&gt;CDS.Tenor,"-",_xlfn.NORM.S.DIST(($AR16-SQRT(Correlation1)*BC$3)/SQRT(1-Correlation1),TRUE))</f>
        <v>2.5966936777085038E-2</v>
      </c>
      <c r="BD16" s="353">
        <f ca="1">IF($AN16&gt;CDS.Tenor,"-",_xlfn.NORM.S.DIST(($AR16-SQRT(Correlation1)*BD$3)/SQRT(1-Correlation1),TRUE))</f>
        <v>1.1492454047019186E-2</v>
      </c>
      <c r="BE16" s="353">
        <f ca="1">IF($AN16&gt;CDS.Tenor,"-",_xlfn.NORM.S.DIST(($AR16-SQRT(Correlation1)*BE$3)/SQRT(1-Correlation1),TRUE))</f>
        <v>4.6113155293724482E-3</v>
      </c>
      <c r="BF16" s="353">
        <f ca="1">IF($AN16&gt;CDS.Tenor,"-",_xlfn.NORM.S.DIST(($AR16-SQRT(Correlation1)*BF$3)/SQRT(1-Correlation1),TRUE))</f>
        <v>1.6747752132430498E-3</v>
      </c>
      <c r="BG16" s="353">
        <f ca="1">IF($AN16&gt;CDS.Tenor,"-",_xlfn.NORM.S.DIST(($AR16-SQRT(Correlation1)*BG$3)/SQRT(1-Correlation1),TRUE))</f>
        <v>5.4984312472991005E-4</v>
      </c>
      <c r="BH16" s="353">
        <f ca="1">IF($AN16&gt;CDS.Tenor,"-",_xlfn.NORM.S.DIST(($AR16-SQRT(Correlation1)*BH$3)/SQRT(1-Correlation1),TRUE))</f>
        <v>1.6300688569423382E-4</v>
      </c>
      <c r="BI16" s="353">
        <f ca="1">IF($AN16&gt;CDS.Tenor,"-",_xlfn.NORM.S.DIST(($AR16-SQRT(Correlation1)*BI$3)/SQRT(1-Correlation1),TRUE))</f>
        <v>4.3598738607963723E-5</v>
      </c>
      <c r="BJ16" s="353">
        <f ca="1">IF($AN16&gt;CDS.Tenor,"-",_xlfn.NORM.S.DIST(($AR16-SQRT(Correlation1)*BJ$3)/SQRT(1-Correlation1),TRUE))</f>
        <v>1.051292570689733E-5</v>
      </c>
      <c r="BK16" s="353">
        <f ca="1">IF($AN16&gt;CDS.Tenor,"-",_xlfn.NORM.S.DIST(($AR16-SQRT(Correlation1)*BK$3)/SQRT(1-Correlation1),TRUE))</f>
        <v>2.2839563729447058E-6</v>
      </c>
      <c r="BL16" s="353">
        <f ca="1">IF($AN16&gt;CDS.Tenor,"-",_xlfn.NORM.S.DIST(($AR16-SQRT(Correlation1)*BL$3)/SQRT(1-Correlation1),TRUE))</f>
        <v>4.4682892559372399E-7</v>
      </c>
      <c r="BM16" s="353">
        <f ca="1">IF($AN16&gt;CDS.Tenor,"-",_xlfn.NORM.S.DIST(($AR16-SQRT(Correlation1)*BM$3)/SQRT(1-Correlation1),TRUE))</f>
        <v>7.8685146005499116E-8</v>
      </c>
      <c r="BN16" s="353">
        <f ca="1">IF($AN16&gt;CDS.Tenor,"-",_xlfn.NORM.S.DIST(($AR16-SQRT(Correlation1)*BN$3)/SQRT(1-Correlation1),TRUE))</f>
        <v>1.2467482384272391E-8</v>
      </c>
      <c r="BO16" s="354">
        <f ca="1">IF($AN16&gt;CDS.Tenor,"-",_xlfn.NORM.S.DIST(($AR16-SQRT(Correlation1)*BO$3)/SQRT(1-Correlation1),TRUE))</f>
        <v>1.7768825525606796E-9</v>
      </c>
      <c r="BP16" s="17"/>
      <c r="BQ16" s="358">
        <f t="shared" si="106"/>
        <v>3</v>
      </c>
      <c r="BR16" s="353">
        <f t="shared" ca="1" si="107"/>
        <v>0.2431048436083364</v>
      </c>
      <c r="BS16" s="353">
        <f t="shared" ca="1" si="108"/>
        <v>0.35705344025668606</v>
      </c>
      <c r="BT16" s="353">
        <f t="shared" ca="1" si="109"/>
        <v>0.4855047877892843</v>
      </c>
      <c r="BU16" s="353">
        <f t="shared" ca="1" si="110"/>
        <v>0.61549183558196729</v>
      </c>
      <c r="BV16" s="353">
        <f t="shared" ca="1" si="111"/>
        <v>0.73357644122242593</v>
      </c>
      <c r="BW16" s="353">
        <f t="shared" ca="1" si="112"/>
        <v>0.82987456519639602</v>
      </c>
      <c r="BX16" s="353">
        <f t="shared" ca="1" si="113"/>
        <v>0.90037191014851403</v>
      </c>
      <c r="BY16" s="353">
        <f t="shared" ca="1" si="114"/>
        <v>0.94670130670677421</v>
      </c>
      <c r="BZ16" s="353">
        <f t="shared" ca="1" si="115"/>
        <v>0.97403306322291494</v>
      </c>
      <c r="CA16" s="353">
        <f t="shared" ca="1" si="116"/>
        <v>0.98850754595298085</v>
      </c>
      <c r="CB16" s="353">
        <f t="shared" ca="1" si="117"/>
        <v>0.99538868447062756</v>
      </c>
      <c r="CC16" s="353">
        <f t="shared" ca="1" si="118"/>
        <v>0.998325224786757</v>
      </c>
      <c r="CD16" s="353">
        <f t="shared" ca="1" si="119"/>
        <v>0.99945015687527006</v>
      </c>
      <c r="CE16" s="353">
        <f t="shared" ca="1" si="120"/>
        <v>0.99983699311430574</v>
      </c>
      <c r="CF16" s="353">
        <f t="shared" ca="1" si="121"/>
        <v>0.99995640126139207</v>
      </c>
      <c r="CG16" s="353">
        <f t="shared" ca="1" si="122"/>
        <v>0.99998948707429314</v>
      </c>
      <c r="CH16" s="353">
        <f t="shared" ca="1" si="123"/>
        <v>0.99999771604362708</v>
      </c>
      <c r="CI16" s="353">
        <f t="shared" ca="1" si="124"/>
        <v>0.99999955317107436</v>
      </c>
      <c r="CJ16" s="353">
        <f t="shared" ca="1" si="125"/>
        <v>0.99999992131485405</v>
      </c>
      <c r="CK16" s="353">
        <f t="shared" ca="1" si="126"/>
        <v>0.99999998753251762</v>
      </c>
      <c r="CL16" s="354">
        <f t="shared" ca="1" si="127"/>
        <v>0.99999999822311747</v>
      </c>
      <c r="CM16" s="17"/>
      <c r="CN16" s="17"/>
      <c r="CO16" s="343" cm="1">
        <f t="array" aca="1" ref="CO16" ca="1">IF($AN16&gt;CDS.Tenor,"-",flatInterpolation(AN16,INDIRECT(HazardRateTimes2),INDIRECT(HazardRateValues2)))</f>
        <v>5.8333333333333336E-3</v>
      </c>
      <c r="CP16" s="10">
        <f t="shared" ca="1" si="128"/>
        <v>0.9826522356650732</v>
      </c>
      <c r="CQ16" s="10">
        <f t="shared" ca="1" si="129"/>
        <v>1.7347764334926796E-2</v>
      </c>
      <c r="CR16" s="81">
        <f t="shared" ca="1" si="130"/>
        <v>-2.111894157010922</v>
      </c>
      <c r="CS16" s="17"/>
      <c r="CT16" s="358">
        <f t="shared" si="131"/>
        <v>3</v>
      </c>
      <c r="CU16" s="353">
        <f ca="1">IF($AN16&gt;CDS.Tenor,"-",_xlfn.NORM.S.DIST(($CR16-SQRT(Correlation2)*CU$3)/SQRT(1-Correlation2),TRUE))</f>
        <v>0.56005012742872862</v>
      </c>
      <c r="CV16" s="353">
        <f ca="1">IF($AN16&gt;CDS.Tenor,"-",_xlfn.NORM.S.DIST(($CR16-SQRT(Correlation2)*CV$3)/SQRT(1-Correlation2),TRUE))</f>
        <v>0.46000672843356211</v>
      </c>
      <c r="CW16" s="353">
        <f ca="1">IF($AN16&gt;CDS.Tenor,"-",_xlfn.NORM.S.DIST(($CR16-SQRT(Correlation2)*CW$3)/SQRT(1-Correlation2),TRUE))</f>
        <v>0.36244543741144131</v>
      </c>
      <c r="CX16" s="353">
        <f ca="1">IF($AN16&gt;CDS.Tenor,"-",_xlfn.NORM.S.DIST(($CR16-SQRT(Correlation2)*CX$3)/SQRT(1-Correlation2),TRUE))</f>
        <v>0.27310703720988577</v>
      </c>
      <c r="CY16" s="353">
        <f ca="1">IF($AN16&gt;CDS.Tenor,"-",_xlfn.NORM.S.DIST(($CR16-SQRT(Correlation2)*CY$3)/SQRT(1-Correlation2),TRUE))</f>
        <v>0.19628775308821392</v>
      </c>
      <c r="CZ16" s="353">
        <f ca="1">IF($AN16&gt;CDS.Tenor,"-",_xlfn.NORM.S.DIST(($CR16-SQRT(Correlation2)*CZ$3)/SQRT(1-Correlation2),TRUE))</f>
        <v>0.13426177033262329</v>
      </c>
      <c r="DA16" s="353">
        <f ca="1">IF($AN16&gt;CDS.Tenor,"-",_xlfn.NORM.S.DIST(($CR16-SQRT(Correlation2)*DA$3)/SQRT(1-Correlation2),TRUE))</f>
        <v>8.7234673226741985E-2</v>
      </c>
      <c r="DB16" s="353">
        <f ca="1">IF($AN16&gt;CDS.Tenor,"-",_xlfn.NORM.S.DIST(($CR16-SQRT(Correlation2)*DB$3)/SQRT(1-Correlation2),TRUE))</f>
        <v>5.3754048287576676E-2</v>
      </c>
      <c r="DC16" s="353">
        <f ca="1">IF($AN16&gt;CDS.Tenor,"-",_xlfn.NORM.S.DIST(($CR16-SQRT(Correlation2)*DC$3)/SQRT(1-Correlation2),TRUE))</f>
        <v>3.1371501592467536E-2</v>
      </c>
      <c r="DD16" s="353">
        <f ca="1">IF($AN16&gt;CDS.Tenor,"-",_xlfn.NORM.S.DIST(($CR16-SQRT(Correlation2)*DD$3)/SQRT(1-Correlation2),TRUE))</f>
        <v>1.7320876760344255E-2</v>
      </c>
      <c r="DE16" s="353">
        <f ca="1">IF($AN16&gt;CDS.Tenor,"-",_xlfn.NORM.S.DIST(($CR16-SQRT(Correlation2)*DE$3)/SQRT(1-Correlation2),TRUE))</f>
        <v>9.0385654079535669E-3</v>
      </c>
      <c r="DF16" s="353">
        <f ca="1">IF($AN16&gt;CDS.Tenor,"-",_xlfn.NORM.S.DIST(($CR16-SQRT(Correlation2)*DF$3)/SQRT(1-Correlation2),TRUE))</f>
        <v>4.4542259255865172E-3</v>
      </c>
      <c r="DG16" s="353">
        <f ca="1">IF($AN16&gt;CDS.Tenor,"-",_xlfn.NORM.S.DIST(($CR16-SQRT(Correlation2)*DG$3)/SQRT(1-Correlation2),TRUE))</f>
        <v>2.0715182399011546E-3</v>
      </c>
      <c r="DH16" s="353">
        <f ca="1">IF($AN16&gt;CDS.Tenor,"-",_xlfn.NORM.S.DIST(($CR16-SQRT(Correlation2)*DH$3)/SQRT(1-Correlation2),TRUE))</f>
        <v>9.0864344208193648E-4</v>
      </c>
      <c r="DI16" s="353">
        <f ca="1">IF($AN16&gt;CDS.Tenor,"-",_xlfn.NORM.S.DIST(($CR16-SQRT(Correlation2)*DI$3)/SQRT(1-Correlation2),TRUE))</f>
        <v>3.7572258354584299E-4</v>
      </c>
      <c r="DJ16" s="353">
        <f ca="1">IF($AN16&gt;CDS.Tenor,"-",_xlfn.NORM.S.DIST(($CR16-SQRT(Correlation2)*DJ$3)/SQRT(1-Correlation2),TRUE))</f>
        <v>1.463933780406329E-4</v>
      </c>
      <c r="DK16" s="353">
        <f ca="1">IF($AN16&gt;CDS.Tenor,"-",_xlfn.NORM.S.DIST(($CR16-SQRT(Correlation2)*DK$3)/SQRT(1-Correlation2),TRUE))</f>
        <v>5.3727003566227197E-5</v>
      </c>
      <c r="DL16" s="353">
        <f ca="1">IF($AN16&gt;CDS.Tenor,"-",_xlfn.NORM.S.DIST(($CR16-SQRT(Correlation2)*DL$3)/SQRT(1-Correlation2),TRUE))</f>
        <v>1.8566882832876856E-5</v>
      </c>
      <c r="DM16" s="353">
        <f ca="1">IF($AN16&gt;CDS.Tenor,"-",_xlfn.NORM.S.DIST(($CR16-SQRT(Correlation2)*DM$3)/SQRT(1-Correlation2),TRUE))</f>
        <v>6.0399975407304344E-6</v>
      </c>
      <c r="DN16" s="353">
        <f ca="1">IF($AN16&gt;CDS.Tenor,"-",_xlfn.NORM.S.DIST(($CR16-SQRT(Correlation2)*DN$3)/SQRT(1-Correlation2),TRUE))</f>
        <v>1.8491724807973489E-6</v>
      </c>
      <c r="DO16" s="354">
        <f ca="1">IF($AN16&gt;CDS.Tenor,"-",_xlfn.NORM.S.DIST(($CR16-SQRT(Correlation2)*DO$3)/SQRT(1-Correlation2),TRUE))</f>
        <v>5.3267891607573974E-7</v>
      </c>
      <c r="DP16" s="17"/>
      <c r="DQ16" s="358">
        <f t="shared" si="132"/>
        <v>3</v>
      </c>
      <c r="DR16" s="353">
        <f t="shared" ca="1" si="133"/>
        <v>0.43994987257127138</v>
      </c>
      <c r="DS16" s="353">
        <f t="shared" ca="1" si="134"/>
        <v>0.53999327156643795</v>
      </c>
      <c r="DT16" s="353">
        <f t="shared" ca="1" si="135"/>
        <v>0.63755456258855869</v>
      </c>
      <c r="DU16" s="353">
        <f t="shared" ca="1" si="136"/>
        <v>0.72689296279011417</v>
      </c>
      <c r="DV16" s="353">
        <f t="shared" ca="1" si="137"/>
        <v>0.80371224691178611</v>
      </c>
      <c r="DW16" s="353">
        <f t="shared" ca="1" si="138"/>
        <v>0.86573822966737668</v>
      </c>
      <c r="DX16" s="353">
        <f t="shared" ca="1" si="139"/>
        <v>0.91276532677325806</v>
      </c>
      <c r="DY16" s="353">
        <f t="shared" ca="1" si="140"/>
        <v>0.94624595171242332</v>
      </c>
      <c r="DZ16" s="353">
        <f t="shared" ca="1" si="141"/>
        <v>0.96862849840753251</v>
      </c>
      <c r="EA16" s="353">
        <f t="shared" ca="1" si="142"/>
        <v>0.98267912323965578</v>
      </c>
      <c r="EB16" s="353">
        <f t="shared" ca="1" si="143"/>
        <v>0.99096143459204644</v>
      </c>
      <c r="EC16" s="353">
        <f t="shared" ca="1" si="144"/>
        <v>0.99554577407441347</v>
      </c>
      <c r="ED16" s="353">
        <f t="shared" ca="1" si="145"/>
        <v>0.99792848176009885</v>
      </c>
      <c r="EE16" s="353">
        <f t="shared" ca="1" si="146"/>
        <v>0.99909135655791803</v>
      </c>
      <c r="EF16" s="353">
        <f t="shared" ca="1" si="147"/>
        <v>0.99962427741645421</v>
      </c>
      <c r="EG16" s="353">
        <f t="shared" ca="1" si="148"/>
        <v>0.99985360662195932</v>
      </c>
      <c r="EH16" s="353">
        <f t="shared" ca="1" si="149"/>
        <v>0.99994627299643379</v>
      </c>
      <c r="EI16" s="353">
        <f t="shared" ca="1" si="150"/>
        <v>0.99998143311716714</v>
      </c>
      <c r="EJ16" s="353">
        <f t="shared" ca="1" si="151"/>
        <v>0.99999396000245921</v>
      </c>
      <c r="EK16" s="353">
        <f t="shared" ca="1" si="152"/>
        <v>0.99999815082751919</v>
      </c>
      <c r="EL16" s="354">
        <f t="shared" ca="1" si="153"/>
        <v>0.99999946732108391</v>
      </c>
      <c r="EM16" s="17"/>
      <c r="EN16" s="17"/>
      <c r="EO16" s="343" cm="1">
        <f t="array" aca="1" ref="EO16" ca="1">IF($AN16&gt;CDS.Tenor,"-",flatInterpolation(CP16,INDIRECT(HazardRateTimes3),INDIRECT(HazardRateValues3)))</f>
        <v>7.4999999999999997E-3</v>
      </c>
      <c r="EP16" s="10">
        <f t="shared" ca="1" si="154"/>
        <v>0.97775123719333656</v>
      </c>
      <c r="EQ16" s="10">
        <f t="shared" ca="1" si="155"/>
        <v>2.2248762806663436E-2</v>
      </c>
      <c r="ER16" s="81">
        <f t="shared" ca="1" si="156"/>
        <v>-2.0093736207925081</v>
      </c>
      <c r="ES16" s="17"/>
      <c r="ET16" s="358">
        <f t="shared" si="157"/>
        <v>3</v>
      </c>
      <c r="EU16" s="353">
        <f ca="1">IF($AN16&gt;CDS.Tenor,"-",_xlfn.NORM.S.DIST(($ER16-SQRT(Correlation3)*EU$3)/SQRT(1-Correlation3),TRUE))</f>
        <v>0.9507453828449498</v>
      </c>
      <c r="EV16" s="353">
        <f ca="1">IF($AN16&gt;CDS.Tenor,"-",_xlfn.NORM.S.DIST(($ER16-SQRT(Correlation3)*EV$3)/SQRT(1-Correlation3),TRUE))</f>
        <v>0.8891090559395155</v>
      </c>
      <c r="EW16" s="353">
        <f ca="1">IF($AN16&gt;CDS.Tenor,"-",_xlfn.NORM.S.DIST(($ER16-SQRT(Correlation3)*EW$3)/SQRT(1-Correlation3),TRUE))</f>
        <v>0.78566893222722234</v>
      </c>
      <c r="EX16" s="353">
        <f ca="1">IF($AN16&gt;CDS.Tenor,"-",_xlfn.NORM.S.DIST(($ER16-SQRT(Correlation3)*EX$3)/SQRT(1-Correlation3),TRUE))</f>
        <v>0.64101103044555408</v>
      </c>
      <c r="EY16" s="353">
        <f ca="1">IF($AN16&gt;CDS.Tenor,"-",_xlfn.NORM.S.DIST(($ER16-SQRT(Correlation3)*EY$3)/SQRT(1-Correlation3),TRUE))</f>
        <v>0.47243192478160145</v>
      </c>
      <c r="EZ16" s="353">
        <f ca="1">IF($AN16&gt;CDS.Tenor,"-",_xlfn.NORM.S.DIST(($ER16-SQRT(Correlation3)*EZ$3)/SQRT(1-Correlation3),TRUE))</f>
        <v>0.30872114445369303</v>
      </c>
      <c r="FA16" s="353">
        <f ca="1">IF($AN16&gt;CDS.Tenor,"-",_xlfn.NORM.S.DIST(($ER16-SQRT(Correlation3)*FA$3)/SQRT(1-Correlation3),TRUE))</f>
        <v>0.17623755378755515</v>
      </c>
      <c r="FB16" s="353">
        <f ca="1">IF($AN16&gt;CDS.Tenor,"-",_xlfn.NORM.S.DIST(($ER16-SQRT(Correlation3)*FB$3)/SQRT(1-Correlation3),TRUE))</f>
        <v>8.6896030132783963E-2</v>
      </c>
      <c r="FC16" s="353">
        <f ca="1">IF($AN16&gt;CDS.Tenor,"-",_xlfn.NORM.S.DIST(($ER16-SQRT(Correlation3)*FC$3)/SQRT(1-Correlation3),TRUE))</f>
        <v>3.6691585277088941E-2</v>
      </c>
      <c r="FD16" s="353">
        <f ca="1">IF($AN16&gt;CDS.Tenor,"-",_xlfn.NORM.S.DIST(($ER16-SQRT(Correlation3)*FD$3)/SQRT(1-Correlation3),TRUE))</f>
        <v>1.3183584668505138E-2</v>
      </c>
      <c r="FE16" s="353">
        <f ca="1">IF($AN16&gt;CDS.Tenor,"-",_xlfn.NORM.S.DIST(($ER16-SQRT(Correlation3)*FE$3)/SQRT(1-Correlation3),TRUE))</f>
        <v>4.011726077793292E-3</v>
      </c>
      <c r="FF16" s="353">
        <f ca="1">IF($AN16&gt;CDS.Tenor,"-",_xlfn.NORM.S.DIST(($ER16-SQRT(Correlation3)*FF$3)/SQRT(1-Correlation3),TRUE))</f>
        <v>1.0301418779204185E-3</v>
      </c>
      <c r="FG16" s="353">
        <f ca="1">IF($AN16&gt;CDS.Tenor,"-",_xlfn.NORM.S.DIST(($ER16-SQRT(Correlation3)*FG$3)/SQRT(1-Correlation3),TRUE))</f>
        <v>2.2260637194155349E-4</v>
      </c>
      <c r="FH16" s="353">
        <f ca="1">IF($AN16&gt;CDS.Tenor,"-",_xlfn.NORM.S.DIST(($ER16-SQRT(Correlation3)*FH$3)/SQRT(1-Correlation3),TRUE))</f>
        <v>4.0395248502922079E-5</v>
      </c>
      <c r="FI16" s="353">
        <f ca="1">IF($AN16&gt;CDS.Tenor,"-",_xlfn.NORM.S.DIST(($ER16-SQRT(Correlation3)*FI$3)/SQRT(1-Correlation3),TRUE))</f>
        <v>6.1454324589830117E-6</v>
      </c>
      <c r="FJ16" s="353">
        <f ca="1">IF($AN16&gt;CDS.Tenor,"-",_xlfn.NORM.S.DIST(($ER16-SQRT(Correlation3)*FJ$3)/SQRT(1-Correlation3),TRUE))</f>
        <v>7.8276393803029169E-7</v>
      </c>
      <c r="FK16" s="353">
        <f ca="1">IF($AN16&gt;CDS.Tenor,"-",_xlfn.NORM.S.DIST(($ER16-SQRT(Correlation3)*FK$3)/SQRT(1-Correlation3),TRUE))</f>
        <v>8.3388281441327716E-8</v>
      </c>
      <c r="FL16" s="353">
        <f ca="1">IF($AN16&gt;CDS.Tenor,"-",_xlfn.NORM.S.DIST(($ER16-SQRT(Correlation3)*FL$3)/SQRT(1-Correlation3),TRUE))</f>
        <v>7.4233711281061866E-9</v>
      </c>
      <c r="FM16" s="353">
        <f ca="1">IF($AN16&gt;CDS.Tenor,"-",_xlfn.NORM.S.DIST(($ER16-SQRT(Correlation3)*FM$3)/SQRT(1-Correlation3),TRUE))</f>
        <v>5.5183883541415745E-10</v>
      </c>
      <c r="FN16" s="353">
        <f ca="1">IF($AN16&gt;CDS.Tenor,"-",_xlfn.NORM.S.DIST(($ER16-SQRT(Correlation3)*FN$3)/SQRT(1-Correlation3),TRUE))</f>
        <v>3.4236054046438061E-11</v>
      </c>
      <c r="FO16" s="354">
        <f ca="1">IF($AN16&gt;CDS.Tenor,"-",_xlfn.NORM.S.DIST(($ER16-SQRT(Correlation3)*FO$3)/SQRT(1-Correlation3),TRUE))</f>
        <v>1.7717499530224725E-12</v>
      </c>
      <c r="FP16" s="17"/>
      <c r="FQ16" s="358">
        <f t="shared" si="158"/>
        <v>3</v>
      </c>
      <c r="FR16" s="353">
        <f t="shared" ca="1" si="159"/>
        <v>4.9254617155050195E-2</v>
      </c>
      <c r="FS16" s="353">
        <f t="shared" ca="1" si="160"/>
        <v>0.1108909440604845</v>
      </c>
      <c r="FT16" s="353">
        <f t="shared" ca="1" si="161"/>
        <v>0.21433106777277766</v>
      </c>
      <c r="FU16" s="353">
        <f t="shared" ca="1" si="162"/>
        <v>0.35898896955444592</v>
      </c>
      <c r="FV16" s="353">
        <f t="shared" ca="1" si="163"/>
        <v>0.52756807521839855</v>
      </c>
      <c r="FW16" s="353">
        <f t="shared" ca="1" si="164"/>
        <v>0.69127885554630697</v>
      </c>
      <c r="FX16" s="353">
        <f t="shared" ca="1" si="165"/>
        <v>0.82376244621244488</v>
      </c>
      <c r="FY16" s="353">
        <f t="shared" ca="1" si="166"/>
        <v>0.91310396986721609</v>
      </c>
      <c r="FZ16" s="353">
        <f t="shared" ca="1" si="167"/>
        <v>0.96330841472291107</v>
      </c>
      <c r="GA16" s="353">
        <f t="shared" ca="1" si="168"/>
        <v>0.98681641533149489</v>
      </c>
      <c r="GB16" s="353">
        <f t="shared" ca="1" si="169"/>
        <v>0.99598827392220668</v>
      </c>
      <c r="GC16" s="353">
        <f t="shared" ca="1" si="170"/>
        <v>0.99896985812207961</v>
      </c>
      <c r="GD16" s="353">
        <f t="shared" ca="1" si="171"/>
        <v>0.9997773936280584</v>
      </c>
      <c r="GE16" s="353">
        <f t="shared" ca="1" si="172"/>
        <v>0.99995960475149703</v>
      </c>
      <c r="GF16" s="353">
        <f t="shared" ca="1" si="173"/>
        <v>0.99999385456754097</v>
      </c>
      <c r="GG16" s="353">
        <f t="shared" ca="1" si="174"/>
        <v>0.999999217236062</v>
      </c>
      <c r="GH16" s="353">
        <f t="shared" ca="1" si="175"/>
        <v>0.99999991661171861</v>
      </c>
      <c r="GI16" s="353">
        <f t="shared" ca="1" si="176"/>
        <v>0.99999999257662886</v>
      </c>
      <c r="GJ16" s="353">
        <f t="shared" ca="1" si="177"/>
        <v>0.9999999994481612</v>
      </c>
      <c r="GK16" s="353">
        <f t="shared" ca="1" si="178"/>
        <v>0.99999999996576394</v>
      </c>
      <c r="GL16" s="354">
        <f t="shared" ca="1" si="179"/>
        <v>0.9999999999982282</v>
      </c>
      <c r="GO16" s="358">
        <f t="shared" si="180"/>
        <v>3</v>
      </c>
      <c r="GP16" s="353">
        <f t="shared" ca="1" si="181"/>
        <v>5.267975612569256E-3</v>
      </c>
      <c r="GQ16" s="353">
        <f t="shared" ca="1" si="182"/>
        <v>2.1380489852306339E-2</v>
      </c>
      <c r="GR16" s="353">
        <f t="shared" ca="1" si="183"/>
        <v>6.6343136944776282E-2</v>
      </c>
      <c r="GS16" s="353">
        <f t="shared" ca="1" si="184"/>
        <v>0.16061047454944616</v>
      </c>
      <c r="GT16" s="353">
        <f t="shared" ca="1" si="185"/>
        <v>0.31104589118400794</v>
      </c>
      <c r="GU16" s="353">
        <f t="shared" ca="1" si="186"/>
        <v>0.49665215353195336</v>
      </c>
      <c r="GV16" s="353">
        <f t="shared" ca="1" si="187"/>
        <v>0.67699125847008768</v>
      </c>
      <c r="GW16" s="353">
        <f t="shared" ca="1" si="188"/>
        <v>0.81796974816700274</v>
      </c>
      <c r="GX16" s="353">
        <f t="shared" ca="1" si="189"/>
        <v>0.90885854658771736</v>
      </c>
      <c r="GY16" s="353">
        <f t="shared" ca="1" si="190"/>
        <v>0.9585793825744412</v>
      </c>
      <c r="GZ16" s="353">
        <f t="shared" ca="1" si="191"/>
        <v>0.98243466503777743</v>
      </c>
      <c r="HA16" s="353">
        <f t="shared" ca="1" si="192"/>
        <v>0.99285462286648696</v>
      </c>
      <c r="HB16" s="353">
        <f t="shared" ca="1" si="193"/>
        <v>0.99715775455168132</v>
      </c>
      <c r="HC16" s="353">
        <f t="shared" ca="1" si="194"/>
        <v>0.99888814582245666</v>
      </c>
      <c r="HD16" s="353">
        <f t="shared" ca="1" si="195"/>
        <v>0.99957455220322822</v>
      </c>
      <c r="HE16" s="353">
        <f t="shared" ca="1" si="196"/>
        <v>0.99984231259415657</v>
      </c>
      <c r="HF16" s="353">
        <f t="shared" ca="1" si="197"/>
        <v>0.99994390577916026</v>
      </c>
      <c r="HG16" s="353">
        <f t="shared" ca="1" si="198"/>
        <v>0.99998097887330772</v>
      </c>
      <c r="HH16" s="353">
        <f t="shared" ca="1" si="199"/>
        <v>0.99999388076595308</v>
      </c>
      <c r="HI16" s="353">
        <f t="shared" ca="1" si="200"/>
        <v>0.99999813832582396</v>
      </c>
      <c r="HJ16" s="354">
        <f t="shared" ca="1" si="201"/>
        <v>0.99999946554243058</v>
      </c>
      <c r="HK16" s="42"/>
      <c r="HL16" s="42"/>
      <c r="HM16" s="358">
        <f t="shared" si="202"/>
        <v>3</v>
      </c>
      <c r="HN16" s="362">
        <f t="shared" ca="1" si="203"/>
        <v>0.94960803265596527</v>
      </c>
      <c r="HO16" s="363">
        <f t="shared" ca="1" si="204"/>
        <v>3.989001744688303E-3</v>
      </c>
    </row>
    <row r="17" spans="2:223" x14ac:dyDescent="0.3">
      <c r="B17" s="112" t="s">
        <v>118</v>
      </c>
      <c r="C17" s="113"/>
      <c r="D17" s="153">
        <v>0.25</v>
      </c>
      <c r="E17" s="415" t="str">
        <v>NVDA</v>
      </c>
      <c r="F17" s="401">
        <f>SQRT($O$9)*SQRT($O$11)</f>
        <v>0.35932757413028255</v>
      </c>
      <c r="G17" s="401">
        <f>SQRT($O$10)*SQRT($O$11)</f>
        <v>0.29313565257996743</v>
      </c>
      <c r="H17" s="403">
        <v>1</v>
      </c>
      <c r="J17" s="410" t="s">
        <v>363</v>
      </c>
      <c r="K17" s="411">
        <f>SQRT(F6/J15)</f>
        <v>0.48319892876849035</v>
      </c>
      <c r="N17" s="402" t="s">
        <v>377</v>
      </c>
      <c r="U17" s="17"/>
      <c r="V17" s="370">
        <f t="shared" si="89"/>
        <v>3.25</v>
      </c>
      <c r="W17" s="371">
        <f t="shared" si="90"/>
        <v>-25000</v>
      </c>
      <c r="X17" s="348">
        <f t="shared" ca="1" si="91"/>
        <v>0.94564914334865424</v>
      </c>
      <c r="Y17" s="348">
        <f t="shared" ca="1" si="92"/>
        <v>3.9588893073110309E-3</v>
      </c>
      <c r="Z17" s="372" cm="1">
        <f t="array" ref="Z17">IF($V17&gt;CDS.Tenor,"-",cubicInterpolation(CurveResults.Times,CurveResults.DFs,$V17))</f>
        <v>0.87078171535403615</v>
      </c>
      <c r="AA17" s="371">
        <f t="shared" ca="1" si="93"/>
        <v>-20586.349579205398</v>
      </c>
      <c r="AB17" s="371">
        <f t="shared" ca="1" si="94"/>
        <v>-43.09160527396314</v>
      </c>
      <c r="AC17" s="373">
        <f t="shared" ca="1" si="95"/>
        <v>-20629.441184479361</v>
      </c>
      <c r="AF17" s="370">
        <f t="shared" si="96"/>
        <v>3.25</v>
      </c>
      <c r="AG17" s="371">
        <f t="shared" si="97"/>
        <v>6000000</v>
      </c>
      <c r="AH17" s="348">
        <f t="shared" ca="1" si="98"/>
        <v>0.94564914334865424</v>
      </c>
      <c r="AI17" s="348">
        <f t="shared" ca="1" si="99"/>
        <v>3.9588893073110309E-3</v>
      </c>
      <c r="AJ17" s="372" cm="1">
        <f t="array" ref="AJ17">IF($AF17&gt;CDS.Tenor,"-",cubicInterpolation(CurveResults.Times,CurveResults.DFs,$V17))</f>
        <v>0.87078171535403615</v>
      </c>
      <c r="AK17" s="373">
        <f t="shared" ca="1" si="100"/>
        <v>20683.970531502309</v>
      </c>
      <c r="AM17" s="18"/>
      <c r="AN17" s="358">
        <f t="shared" si="101"/>
        <v>3.25</v>
      </c>
      <c r="AO17" s="343" cm="1">
        <f t="array" aca="1" ref="AO17" ca="1">IF($AN17&gt;CDS.Tenor,"-",flatInterpolation(AM17,INDIRECT(HazardRateTimes1),INDIRECT(HazardRateValues1)))</f>
        <v>5.0000000000000001E-3</v>
      </c>
      <c r="AP17" s="10">
        <f t="shared" ca="1" si="102"/>
        <v>0.98388131897668796</v>
      </c>
      <c r="AQ17" s="10">
        <f t="shared" ca="1" si="103"/>
        <v>1.6118681023312043E-2</v>
      </c>
      <c r="AR17" s="81">
        <f t="shared" ca="1" si="104"/>
        <v>-2.1414550202456542</v>
      </c>
      <c r="AS17" s="18"/>
      <c r="AT17" s="358">
        <f t="shared" si="105"/>
        <v>3.25</v>
      </c>
      <c r="AU17" s="353">
        <f ca="1">IF($AN17&gt;CDS.Tenor,"-",_xlfn.NORM.S.DIST(($AR17-SQRT(Correlation1)*AU$3)/SQRT(1-Correlation1),TRUE))</f>
        <v>0.76859053867787075</v>
      </c>
      <c r="AV17" s="353">
        <f ca="1">IF($AN17&gt;CDS.Tenor,"-",_xlfn.NORM.S.DIST(($AR17-SQRT(Correlation1)*AV$3)/SQRT(1-Correlation1),TRUE))</f>
        <v>0.6569705128075457</v>
      </c>
      <c r="AW17" s="353">
        <f ca="1">IF($AN17&gt;CDS.Tenor,"-",_xlfn.NORM.S.DIST(($AR17-SQRT(Correlation1)*AW$3)/SQRT(1-Correlation1),TRUE))</f>
        <v>0.52957642720544273</v>
      </c>
      <c r="AX17" s="353">
        <f ca="1">IF($AN17&gt;CDS.Tenor,"-",_xlfn.NORM.S.DIST(($AR17-SQRT(Correlation1)*AX$3)/SQRT(1-Correlation1),TRUE))</f>
        <v>0.39905310887275869</v>
      </c>
      <c r="AY17" s="353">
        <f ca="1">IF($AN17&gt;CDS.Tenor,"-",_xlfn.NORM.S.DIST(($AR17-SQRT(Correlation1)*AY$3)/SQRT(1-Correlation1),TRUE))</f>
        <v>0.27900405168264852</v>
      </c>
      <c r="AZ17" s="353">
        <f ca="1">IF($AN17&gt;CDS.Tenor,"-",_xlfn.NORM.S.DIST(($AR17-SQRT(Correlation1)*AZ$3)/SQRT(1-Correlation1),TRUE))</f>
        <v>0.17988416028720505</v>
      </c>
      <c r="BA17" s="353">
        <f ca="1">IF($AN17&gt;CDS.Tenor,"-",_xlfn.NORM.S.DIST(($AR17-SQRT(Correlation1)*BA$3)/SQRT(1-Correlation1),TRUE))</f>
        <v>0.10641697402839539</v>
      </c>
      <c r="BB17" s="353">
        <f ca="1">IF($AN17&gt;CDS.Tenor,"-",_xlfn.NORM.S.DIST(($AR17-SQRT(Correlation1)*BB$3)/SQRT(1-Correlation1),TRUE))</f>
        <v>5.7534279750338875E-2</v>
      </c>
      <c r="BC17" s="353">
        <f ca="1">IF($AN17&gt;CDS.Tenor,"-",_xlfn.NORM.S.DIST(($AR17-SQRT(Correlation1)*BC$3)/SQRT(1-Correlation1),TRUE))</f>
        <v>2.8336883351701085E-2</v>
      </c>
      <c r="BD17" s="353">
        <f ca="1">IF($AN17&gt;CDS.Tenor,"-",_xlfn.NORM.S.DIST(($AR17-SQRT(Correlation1)*BD$3)/SQRT(1-Correlation1),TRUE))</f>
        <v>1.2681704740881167E-2</v>
      </c>
      <c r="BE17" s="353">
        <f ca="1">IF($AN17&gt;CDS.Tenor,"-",_xlfn.NORM.S.DIST(($AR17-SQRT(Correlation1)*BE$3)/SQRT(1-Correlation1),TRUE))</f>
        <v>5.146518016865425E-3</v>
      </c>
      <c r="BF17" s="353">
        <f ca="1">IF($AN17&gt;CDS.Tenor,"-",_xlfn.NORM.S.DIST(($AR17-SQRT(Correlation1)*BF$3)/SQRT(1-Correlation1),TRUE))</f>
        <v>1.8907846301477822E-3</v>
      </c>
      <c r="BG17" s="353">
        <f ca="1">IF($AN17&gt;CDS.Tenor,"-",_xlfn.NORM.S.DIST(($AR17-SQRT(Correlation1)*BG$3)/SQRT(1-Correlation1),TRUE))</f>
        <v>6.2803058326149522E-4</v>
      </c>
      <c r="BH17" s="353">
        <f ca="1">IF($AN17&gt;CDS.Tenor,"-",_xlfn.NORM.S.DIST(($AR17-SQRT(Correlation1)*BH$3)/SQRT(1-Correlation1),TRUE))</f>
        <v>1.8838803937920224E-4</v>
      </c>
      <c r="BI17" s="353">
        <f ca="1">IF($AN17&gt;CDS.Tenor,"-",_xlfn.NORM.S.DIST(($AR17-SQRT(Correlation1)*BI$3)/SQRT(1-Correlation1),TRUE))</f>
        <v>5.0987905403125186E-5</v>
      </c>
      <c r="BJ17" s="353">
        <f ca="1">IF($AN17&gt;CDS.Tenor,"-",_xlfn.NORM.S.DIST(($AR17-SQRT(Correlation1)*BJ$3)/SQRT(1-Correlation1),TRUE))</f>
        <v>1.2442179795063034E-5</v>
      </c>
      <c r="BK17" s="353">
        <f ca="1">IF($AN17&gt;CDS.Tenor,"-",_xlfn.NORM.S.DIST(($AR17-SQRT(Correlation1)*BK$3)/SQRT(1-Correlation1),TRUE))</f>
        <v>2.7357012491959159E-6</v>
      </c>
      <c r="BL17" s="353">
        <f ca="1">IF($AN17&gt;CDS.Tenor,"-",_xlfn.NORM.S.DIST(($AR17-SQRT(Correlation1)*BL$3)/SQRT(1-Correlation1),TRUE))</f>
        <v>5.4169411703541104E-7</v>
      </c>
      <c r="BM17" s="353">
        <f ca="1">IF($AN17&gt;CDS.Tenor,"-",_xlfn.NORM.S.DIST(($AR17-SQRT(Correlation1)*BM$3)/SQRT(1-Correlation1),TRUE))</f>
        <v>9.6551271658354035E-8</v>
      </c>
      <c r="BN17" s="353">
        <f ca="1">IF($AN17&gt;CDS.Tenor,"-",_xlfn.NORM.S.DIST(($AR17-SQRT(Correlation1)*BN$3)/SQRT(1-Correlation1),TRUE))</f>
        <v>1.5485096647753422E-8</v>
      </c>
      <c r="BO17" s="354">
        <f ca="1">IF($AN17&gt;CDS.Tenor,"-",_xlfn.NORM.S.DIST(($AR17-SQRT(Correlation1)*BO$3)/SQRT(1-Correlation1),TRUE))</f>
        <v>2.2339780100808335E-9</v>
      </c>
      <c r="BP17" s="18"/>
      <c r="BQ17" s="358">
        <f t="shared" si="106"/>
        <v>3.25</v>
      </c>
      <c r="BR17" s="353">
        <f t="shared" ca="1" si="107"/>
        <v>0.23140946132212925</v>
      </c>
      <c r="BS17" s="353">
        <f t="shared" ca="1" si="108"/>
        <v>0.3430294871924543</v>
      </c>
      <c r="BT17" s="353">
        <f t="shared" ca="1" si="109"/>
        <v>0.47042357279455727</v>
      </c>
      <c r="BU17" s="353">
        <f t="shared" ca="1" si="110"/>
        <v>0.60094689112724131</v>
      </c>
      <c r="BV17" s="353">
        <f t="shared" ca="1" si="111"/>
        <v>0.72099594831735148</v>
      </c>
      <c r="BW17" s="353">
        <f t="shared" ca="1" si="112"/>
        <v>0.820115839712795</v>
      </c>
      <c r="BX17" s="353">
        <f t="shared" ca="1" si="113"/>
        <v>0.89358302597160466</v>
      </c>
      <c r="BY17" s="353">
        <f t="shared" ca="1" si="114"/>
        <v>0.94246572024966113</v>
      </c>
      <c r="BZ17" s="353">
        <f t="shared" ca="1" si="115"/>
        <v>0.97166311664829896</v>
      </c>
      <c r="CA17" s="353">
        <f t="shared" ca="1" si="116"/>
        <v>0.98731829525911885</v>
      </c>
      <c r="CB17" s="353">
        <f t="shared" ca="1" si="117"/>
        <v>0.99485348198313461</v>
      </c>
      <c r="CC17" s="353">
        <f t="shared" ca="1" si="118"/>
        <v>0.9981092153698522</v>
      </c>
      <c r="CD17" s="353">
        <f t="shared" ca="1" si="119"/>
        <v>0.99937196941673856</v>
      </c>
      <c r="CE17" s="353">
        <f t="shared" ca="1" si="120"/>
        <v>0.99981161196062085</v>
      </c>
      <c r="CF17" s="353">
        <f t="shared" ca="1" si="121"/>
        <v>0.99994901209459686</v>
      </c>
      <c r="CG17" s="353">
        <f t="shared" ca="1" si="122"/>
        <v>0.99998755782020499</v>
      </c>
      <c r="CH17" s="353">
        <f t="shared" ca="1" si="123"/>
        <v>0.9999972642987508</v>
      </c>
      <c r="CI17" s="353">
        <f t="shared" ca="1" si="124"/>
        <v>0.99999945830588299</v>
      </c>
      <c r="CJ17" s="353">
        <f t="shared" ca="1" si="125"/>
        <v>0.99999990344872836</v>
      </c>
      <c r="CK17" s="353">
        <f t="shared" ca="1" si="126"/>
        <v>0.99999998451490335</v>
      </c>
      <c r="CL17" s="354">
        <f t="shared" ca="1" si="127"/>
        <v>0.999999997766022</v>
      </c>
      <c r="CM17" s="17"/>
      <c r="CN17" s="17"/>
      <c r="CO17" s="343" cm="1">
        <f t="array" aca="1" ref="CO17" ca="1">IF($AN17&gt;CDS.Tenor,"-",flatInterpolation(AN17,INDIRECT(HazardRateTimes2),INDIRECT(HazardRateValues2)))</f>
        <v>5.8333333333333336E-3</v>
      </c>
      <c r="CP17" s="10">
        <f t="shared" ca="1" si="128"/>
        <v>0.98122024556796283</v>
      </c>
      <c r="CQ17" s="10">
        <f t="shared" ca="1" si="129"/>
        <v>1.8779754432037166E-2</v>
      </c>
      <c r="CR17" s="81">
        <f t="shared" ca="1" si="130"/>
        <v>-2.0796297196277695</v>
      </c>
      <c r="CS17" s="18"/>
      <c r="CT17" s="358">
        <f t="shared" si="131"/>
        <v>3.25</v>
      </c>
      <c r="CU17" s="353">
        <f ca="1">IF($AN17&gt;CDS.Tenor,"-",_xlfn.NORM.S.DIST(($CR17-SQRT(Correlation2)*CU$3)/SQRT(1-Correlation2),TRUE))</f>
        <v>0.5742531114192968</v>
      </c>
      <c r="CV17" s="353">
        <f ca="1">IF($AN17&gt;CDS.Tenor,"-",_xlfn.NORM.S.DIST(($CR17-SQRT(Correlation2)*CV$3)/SQRT(1-Correlation2),TRUE))</f>
        <v>0.47436557254265416</v>
      </c>
      <c r="CW17" s="353">
        <f ca="1">IF($AN17&gt;CDS.Tenor,"-",_xlfn.NORM.S.DIST(($CR17-SQRT(Correlation2)*CW$3)/SQRT(1-Correlation2),TRUE))</f>
        <v>0.37607209646305373</v>
      </c>
      <c r="CX17" s="353">
        <f ca="1">IF($AN17&gt;CDS.Tenor,"-",_xlfn.NORM.S.DIST(($CR17-SQRT(Correlation2)*CX$3)/SQRT(1-Correlation2),TRUE))</f>
        <v>0.28524621648206366</v>
      </c>
      <c r="CY17" s="353">
        <f ca="1">IF($AN17&gt;CDS.Tenor,"-",_xlfn.NORM.S.DIST(($CR17-SQRT(Correlation2)*CY$3)/SQRT(1-Correlation2),TRUE))</f>
        <v>0.20643899755533127</v>
      </c>
      <c r="CZ17" s="353">
        <f ca="1">IF($AN17&gt;CDS.Tenor,"-",_xlfn.NORM.S.DIST(($CR17-SQRT(Correlation2)*CZ$3)/SQRT(1-Correlation2),TRUE))</f>
        <v>0.14223031982798021</v>
      </c>
      <c r="DA17" s="353">
        <f ca="1">IF($AN17&gt;CDS.Tenor,"-",_xlfn.NORM.S.DIST(($CR17-SQRT(Correlation2)*DA$3)/SQRT(1-Correlation2),TRUE))</f>
        <v>9.3106446641646121E-2</v>
      </c>
      <c r="DB17" s="353">
        <f ca="1">IF($AN17&gt;CDS.Tenor,"-",_xlfn.NORM.S.DIST(($CR17-SQRT(Correlation2)*DB$3)/SQRT(1-Correlation2),TRUE))</f>
        <v>5.781557513143689E-2</v>
      </c>
      <c r="DC17" s="353">
        <f ca="1">IF($AN17&gt;CDS.Tenor,"-",_xlfn.NORM.S.DIST(($CR17-SQRT(Correlation2)*DC$3)/SQRT(1-Correlation2),TRUE))</f>
        <v>3.4008679284552867E-2</v>
      </c>
      <c r="DD17" s="353">
        <f ca="1">IF($AN17&gt;CDS.Tenor,"-",_xlfn.NORM.S.DIST(($CR17-SQRT(Correlation2)*DD$3)/SQRT(1-Correlation2),TRUE))</f>
        <v>1.8928260180660732E-2</v>
      </c>
      <c r="DE17" s="353">
        <f ca="1">IF($AN17&gt;CDS.Tenor,"-",_xlfn.NORM.S.DIST(($CR17-SQRT(Correlation2)*DE$3)/SQRT(1-Correlation2),TRUE))</f>
        <v>9.9582302853321956E-3</v>
      </c>
      <c r="DF17" s="353">
        <f ca="1">IF($AN17&gt;CDS.Tenor,"-",_xlfn.NORM.S.DIST(($CR17-SQRT(Correlation2)*DF$3)/SQRT(1-Correlation2),TRUE))</f>
        <v>4.948160858751066E-3</v>
      </c>
      <c r="DG17" s="353">
        <f ca="1">IF($AN17&gt;CDS.Tenor,"-",_xlfn.NORM.S.DIST(($CR17-SQRT(Correlation2)*DG$3)/SQRT(1-Correlation2),TRUE))</f>
        <v>2.3205414968469917E-3</v>
      </c>
      <c r="DH17" s="353">
        <f ca="1">IF($AN17&gt;CDS.Tenor,"-",_xlfn.NORM.S.DIST(($CR17-SQRT(Correlation2)*DH$3)/SQRT(1-Correlation2),TRUE))</f>
        <v>1.0264962949857743E-3</v>
      </c>
      <c r="DI17" s="353">
        <f ca="1">IF($AN17&gt;CDS.Tenor,"-",_xlfn.NORM.S.DIST(($CR17-SQRT(Correlation2)*DI$3)/SQRT(1-Correlation2),TRUE))</f>
        <v>4.2807904848146498E-4</v>
      </c>
      <c r="DJ17" s="353">
        <f ca="1">IF($AN17&gt;CDS.Tenor,"-",_xlfn.NORM.S.DIST(($CR17-SQRT(Correlation2)*DJ$3)/SQRT(1-Correlation2),TRUE))</f>
        <v>1.6822723975236839E-4</v>
      </c>
      <c r="DK17" s="353">
        <f ca="1">IF($AN17&gt;CDS.Tenor,"-",_xlfn.NORM.S.DIST(($CR17-SQRT(Correlation2)*DK$3)/SQRT(1-Correlation2),TRUE))</f>
        <v>6.2274143586097297E-5</v>
      </c>
      <c r="DL17" s="353">
        <f ca="1">IF($AN17&gt;CDS.Tenor,"-",_xlfn.NORM.S.DIST(($CR17-SQRT(Correlation2)*DL$3)/SQRT(1-Correlation2),TRUE))</f>
        <v>2.1707688785651173E-5</v>
      </c>
      <c r="DM17" s="353">
        <f ca="1">IF($AN17&gt;CDS.Tenor,"-",_xlfn.NORM.S.DIST(($CR17-SQRT(Correlation2)*DM$3)/SQRT(1-Correlation2),TRUE))</f>
        <v>7.1234039863699206E-6</v>
      </c>
      <c r="DN17" s="353">
        <f ca="1">IF($AN17&gt;CDS.Tenor,"-",_xlfn.NORM.S.DIST(($CR17-SQRT(Correlation2)*DN$3)/SQRT(1-Correlation2),TRUE))</f>
        <v>2.1999823052392523E-6</v>
      </c>
      <c r="DO17" s="354">
        <f ca="1">IF($AN17&gt;CDS.Tenor,"-",_xlfn.NORM.S.DIST(($CR17-SQRT(Correlation2)*DO$3)/SQRT(1-Correlation2),TRUE))</f>
        <v>6.3930957713929761E-7</v>
      </c>
      <c r="DP17" s="18"/>
      <c r="DQ17" s="358">
        <f t="shared" si="132"/>
        <v>3.25</v>
      </c>
      <c r="DR17" s="353">
        <f t="shared" ca="1" si="133"/>
        <v>0.4257468885807032</v>
      </c>
      <c r="DS17" s="353">
        <f t="shared" ca="1" si="134"/>
        <v>0.5256344274573459</v>
      </c>
      <c r="DT17" s="353">
        <f t="shared" ca="1" si="135"/>
        <v>0.62392790353694627</v>
      </c>
      <c r="DU17" s="353">
        <f t="shared" ca="1" si="136"/>
        <v>0.71475378351793628</v>
      </c>
      <c r="DV17" s="353">
        <f t="shared" ca="1" si="137"/>
        <v>0.79356100244466876</v>
      </c>
      <c r="DW17" s="353">
        <f t="shared" ca="1" si="138"/>
        <v>0.85776968017201982</v>
      </c>
      <c r="DX17" s="353">
        <f t="shared" ca="1" si="139"/>
        <v>0.90689355335835387</v>
      </c>
      <c r="DY17" s="353">
        <f t="shared" ca="1" si="140"/>
        <v>0.94218442486856313</v>
      </c>
      <c r="DZ17" s="353">
        <f t="shared" ca="1" si="141"/>
        <v>0.96599132071544713</v>
      </c>
      <c r="EA17" s="353">
        <f t="shared" ca="1" si="142"/>
        <v>0.98107173981933926</v>
      </c>
      <c r="EB17" s="353">
        <f t="shared" ca="1" si="143"/>
        <v>0.99004176971466784</v>
      </c>
      <c r="EC17" s="353">
        <f t="shared" ca="1" si="144"/>
        <v>0.99505183914124895</v>
      </c>
      <c r="ED17" s="353">
        <f t="shared" ca="1" si="145"/>
        <v>0.99767945850315298</v>
      </c>
      <c r="EE17" s="353">
        <f t="shared" ca="1" si="146"/>
        <v>0.99897350370501425</v>
      </c>
      <c r="EF17" s="353">
        <f t="shared" ca="1" si="147"/>
        <v>0.99957192095151859</v>
      </c>
      <c r="EG17" s="353">
        <f t="shared" ca="1" si="148"/>
        <v>0.99983177276024759</v>
      </c>
      <c r="EH17" s="353">
        <f t="shared" ca="1" si="149"/>
        <v>0.99993772585641394</v>
      </c>
      <c r="EI17" s="353">
        <f t="shared" ca="1" si="150"/>
        <v>0.99997829231121438</v>
      </c>
      <c r="EJ17" s="353">
        <f t="shared" ca="1" si="151"/>
        <v>0.99999287659601366</v>
      </c>
      <c r="EK17" s="353">
        <f t="shared" ca="1" si="152"/>
        <v>0.99999780001769478</v>
      </c>
      <c r="EL17" s="354">
        <f t="shared" ca="1" si="153"/>
        <v>0.99999936069042283</v>
      </c>
      <c r="EM17" s="17"/>
      <c r="EN17" s="17"/>
      <c r="EO17" s="343" cm="1">
        <f t="array" aca="1" ref="EO17" ca="1">IF($AN17&gt;CDS.Tenor,"-",flatInterpolation(CP17,INDIRECT(HazardRateTimes3),INDIRECT(HazardRateValues3)))</f>
        <v>7.4999999999999997E-3</v>
      </c>
      <c r="EP17" s="10">
        <f t="shared" ca="1" si="154"/>
        <v>0.9759196712532594</v>
      </c>
      <c r="EQ17" s="10">
        <f t="shared" ca="1" si="155"/>
        <v>2.4080328746740598E-2</v>
      </c>
      <c r="ER17" s="81">
        <f t="shared" ca="1" si="156"/>
        <v>-1.9759480836236822</v>
      </c>
      <c r="ES17" s="18"/>
      <c r="ET17" s="358">
        <f t="shared" si="157"/>
        <v>3.25</v>
      </c>
      <c r="EU17" s="353">
        <f ca="1">IF($AN17&gt;CDS.Tenor,"-",_xlfn.NORM.S.DIST(($ER17-SQRT(Correlation3)*EU$3)/SQRT(1-Correlation3),TRUE))</f>
        <v>0.95507830630876323</v>
      </c>
      <c r="EV17" s="353">
        <f ca="1">IF($AN17&gt;CDS.Tenor,"-",_xlfn.NORM.S.DIST(($ER17-SQRT(Correlation3)*EV$3)/SQRT(1-Correlation3),TRUE))</f>
        <v>0.89722624941505402</v>
      </c>
      <c r="EW17" s="353">
        <f ca="1">IF($AN17&gt;CDS.Tenor,"-",_xlfn.NORM.S.DIST(($ER17-SQRT(Correlation3)*EW$3)/SQRT(1-Correlation3),TRUE))</f>
        <v>0.79830532132261101</v>
      </c>
      <c r="EX17" s="353">
        <f ca="1">IF($AN17&gt;CDS.Tenor,"-",_xlfn.NORM.S.DIST(($ER17-SQRT(Correlation3)*EX$3)/SQRT(1-Correlation3),TRUE))</f>
        <v>0.65735781340077204</v>
      </c>
      <c r="EY17" s="353">
        <f ca="1">IF($AN17&gt;CDS.Tenor,"-",_xlfn.NORM.S.DIST(($ER17-SQRT(Correlation3)*EY$3)/SQRT(1-Correlation3),TRUE))</f>
        <v>0.49000443550181894</v>
      </c>
      <c r="EZ17" s="353">
        <f ca="1">IF($AN17&gt;CDS.Tenor,"-",_xlfn.NORM.S.DIST(($ER17-SQRT(Correlation3)*EZ$3)/SQRT(1-Correlation3),TRUE))</f>
        <v>0.32441853820329986</v>
      </c>
      <c r="FA17" s="353">
        <f ca="1">IF($AN17&gt;CDS.Tenor,"-",_xlfn.NORM.S.DIST(($ER17-SQRT(Correlation3)*FA$3)/SQRT(1-Correlation3),TRUE))</f>
        <v>0.18788990326889496</v>
      </c>
      <c r="FB17" s="353">
        <f ca="1">IF($AN17&gt;CDS.Tenor,"-",_xlfn.NORM.S.DIST(($ER17-SQRT(Correlation3)*FB$3)/SQRT(1-Correlation3),TRUE))</f>
        <v>9.4083758640396989E-2</v>
      </c>
      <c r="FC17" s="353">
        <f ca="1">IF($AN17&gt;CDS.Tenor,"-",_xlfn.NORM.S.DIST(($ER17-SQRT(Correlation3)*FC$3)/SQRT(1-Correlation3),TRUE))</f>
        <v>4.0375945119810498E-2</v>
      </c>
      <c r="FD17" s="353">
        <f ca="1">IF($AN17&gt;CDS.Tenor,"-",_xlfn.NORM.S.DIST(($ER17-SQRT(Correlation3)*FD$3)/SQRT(1-Correlation3),TRUE))</f>
        <v>1.4752952065724191E-2</v>
      </c>
      <c r="FE17" s="353">
        <f ca="1">IF($AN17&gt;CDS.Tenor,"-",_xlfn.NORM.S.DIST(($ER17-SQRT(Correlation3)*FE$3)/SQRT(1-Correlation3),TRUE))</f>
        <v>4.5672201394559254E-3</v>
      </c>
      <c r="FF17" s="353">
        <f ca="1">IF($AN17&gt;CDS.Tenor,"-",_xlfn.NORM.S.DIST(($ER17-SQRT(Correlation3)*FF$3)/SQRT(1-Correlation3),TRUE))</f>
        <v>1.1935322346362431E-3</v>
      </c>
      <c r="FG17" s="353">
        <f ca="1">IF($AN17&gt;CDS.Tenor,"-",_xlfn.NORM.S.DIST(($ER17-SQRT(Correlation3)*FG$3)/SQRT(1-Correlation3),TRUE))</f>
        <v>2.6254246944497806E-4</v>
      </c>
      <c r="FH17" s="353">
        <f ca="1">IF($AN17&gt;CDS.Tenor,"-",_xlfn.NORM.S.DIST(($ER17-SQRT(Correlation3)*FH$3)/SQRT(1-Correlation3),TRUE))</f>
        <v>4.8506671061217139E-5</v>
      </c>
      <c r="FI17" s="353">
        <f ca="1">IF($AN17&gt;CDS.Tenor,"-",_xlfn.NORM.S.DIST(($ER17-SQRT(Correlation3)*FI$3)/SQRT(1-Correlation3),TRUE))</f>
        <v>7.5144866012362745E-6</v>
      </c>
      <c r="FJ17" s="353">
        <f ca="1">IF($AN17&gt;CDS.Tenor,"-",_xlfn.NORM.S.DIST(($ER17-SQRT(Correlation3)*FJ$3)/SQRT(1-Correlation3),TRUE))</f>
        <v>9.7477949290087704E-7</v>
      </c>
      <c r="FK17" s="353">
        <f ca="1">IF($AN17&gt;CDS.Tenor,"-",_xlfn.NORM.S.DIST(($ER17-SQRT(Correlation3)*FK$3)/SQRT(1-Correlation3),TRUE))</f>
        <v>1.0576747256741931E-7</v>
      </c>
      <c r="FL17" s="353">
        <f ca="1">IF($AN17&gt;CDS.Tenor,"-",_xlfn.NORM.S.DIST(($ER17-SQRT(Correlation3)*FL$3)/SQRT(1-Correlation3),TRUE))</f>
        <v>9.5907984282542E-9</v>
      </c>
      <c r="FM17" s="353">
        <f ca="1">IF($AN17&gt;CDS.Tenor,"-",_xlfn.NORM.S.DIST(($ER17-SQRT(Correlation3)*FM$3)/SQRT(1-Correlation3),TRUE))</f>
        <v>7.2627513597949397E-10</v>
      </c>
      <c r="FN17" s="353">
        <f ca="1">IF($AN17&gt;CDS.Tenor,"-",_xlfn.NORM.S.DIST(($ER17-SQRT(Correlation3)*FN$3)/SQRT(1-Correlation3),TRUE))</f>
        <v>4.5902037710236471E-11</v>
      </c>
      <c r="FO17" s="354">
        <f ca="1">IF($AN17&gt;CDS.Tenor,"-",_xlfn.NORM.S.DIST(($ER17-SQRT(Correlation3)*FO$3)/SQRT(1-Correlation3),TRUE))</f>
        <v>2.4200827945031307E-12</v>
      </c>
      <c r="FP17" s="18"/>
      <c r="FQ17" s="358">
        <f t="shared" si="158"/>
        <v>3.25</v>
      </c>
      <c r="FR17" s="353">
        <f t="shared" ca="1" si="159"/>
        <v>4.4921693691236775E-2</v>
      </c>
      <c r="FS17" s="353">
        <f t="shared" ca="1" si="160"/>
        <v>0.10277375058494598</v>
      </c>
      <c r="FT17" s="353">
        <f t="shared" ca="1" si="161"/>
        <v>0.20169467867738899</v>
      </c>
      <c r="FU17" s="353">
        <f t="shared" ca="1" si="162"/>
        <v>0.34264218659922796</v>
      </c>
      <c r="FV17" s="353">
        <f t="shared" ca="1" si="163"/>
        <v>0.50999556449818106</v>
      </c>
      <c r="FW17" s="353">
        <f t="shared" ca="1" si="164"/>
        <v>0.6755814617967002</v>
      </c>
      <c r="FX17" s="353">
        <f t="shared" ca="1" si="165"/>
        <v>0.81211009673110501</v>
      </c>
      <c r="FY17" s="353">
        <f t="shared" ca="1" si="166"/>
        <v>0.90591624135960302</v>
      </c>
      <c r="FZ17" s="353">
        <f t="shared" ca="1" si="167"/>
        <v>0.95962405488018954</v>
      </c>
      <c r="GA17" s="353">
        <f t="shared" ca="1" si="168"/>
        <v>0.98524704793427575</v>
      </c>
      <c r="GB17" s="353">
        <f t="shared" ca="1" si="169"/>
        <v>0.99543277986054413</v>
      </c>
      <c r="GC17" s="353">
        <f t="shared" ca="1" si="170"/>
        <v>0.99880646776536375</v>
      </c>
      <c r="GD17" s="353">
        <f t="shared" ca="1" si="171"/>
        <v>0.99973745753055498</v>
      </c>
      <c r="GE17" s="353">
        <f t="shared" ca="1" si="172"/>
        <v>0.99995149332893873</v>
      </c>
      <c r="GF17" s="353">
        <f t="shared" ca="1" si="173"/>
        <v>0.99999248551339881</v>
      </c>
      <c r="GG17" s="353">
        <f t="shared" ca="1" si="174"/>
        <v>0.9999990252205071</v>
      </c>
      <c r="GH17" s="353">
        <f t="shared" ca="1" si="175"/>
        <v>0.99999989423252744</v>
      </c>
      <c r="GI17" s="353">
        <f t="shared" ca="1" si="176"/>
        <v>0.99999999040920162</v>
      </c>
      <c r="GJ17" s="353">
        <f t="shared" ca="1" si="177"/>
        <v>0.99999999927372485</v>
      </c>
      <c r="GK17" s="353">
        <f t="shared" ca="1" si="178"/>
        <v>0.99999999995409794</v>
      </c>
      <c r="GL17" s="354">
        <f t="shared" ca="1" si="179"/>
        <v>0.99999999999757994</v>
      </c>
      <c r="GO17" s="358">
        <f t="shared" si="180"/>
        <v>3.25</v>
      </c>
      <c r="GP17" s="353">
        <f t="shared" ca="1" si="181"/>
        <v>4.4257687335275799E-3</v>
      </c>
      <c r="GQ17" s="353">
        <f t="shared" ca="1" si="182"/>
        <v>1.8530940530456012E-2</v>
      </c>
      <c r="GR17" s="353">
        <f t="shared" ca="1" si="183"/>
        <v>5.9199484515151592E-2</v>
      </c>
      <c r="GS17" s="353">
        <f t="shared" ca="1" si="184"/>
        <v>0.14717477774023666</v>
      </c>
      <c r="GT17" s="353">
        <f t="shared" ca="1" si="185"/>
        <v>0.29179613863638937</v>
      </c>
      <c r="GU17" s="353">
        <f t="shared" ca="1" si="186"/>
        <v>0.47525162975750268</v>
      </c>
      <c r="GV17" s="353">
        <f t="shared" ca="1" si="187"/>
        <v>0.65812158544783517</v>
      </c>
      <c r="GW17" s="353">
        <f t="shared" ca="1" si="188"/>
        <v>0.80443235376190059</v>
      </c>
      <c r="GX17" s="353">
        <f t="shared" ca="1" si="189"/>
        <v>0.90072054293981563</v>
      </c>
      <c r="GY17" s="353">
        <f t="shared" ca="1" si="190"/>
        <v>0.95433992457981742</v>
      </c>
      <c r="GZ17" s="353">
        <f t="shared" ca="1" si="191"/>
        <v>0.98044803440957495</v>
      </c>
      <c r="HA17" s="353">
        <f t="shared" ca="1" si="192"/>
        <v>0.99198502951828005</v>
      </c>
      <c r="HB17" s="353">
        <f t="shared" ca="1" si="193"/>
        <v>0.99679111656424968</v>
      </c>
      <c r="HC17" s="353">
        <f t="shared" ca="1" si="194"/>
        <v>0.99873686129481287</v>
      </c>
      <c r="HD17" s="353">
        <f t="shared" ca="1" si="195"/>
        <v>0.99951344398614639</v>
      </c>
      <c r="HE17" s="353">
        <f t="shared" ca="1" si="196"/>
        <v>0.99981835807018404</v>
      </c>
      <c r="HF17" s="353">
        <f t="shared" ca="1" si="197"/>
        <v>0.99993488456493163</v>
      </c>
      <c r="HG17" s="353">
        <f t="shared" ca="1" si="198"/>
        <v>0.99997774103827131</v>
      </c>
      <c r="HH17" s="353">
        <f t="shared" ca="1" si="199"/>
        <v>0.99999277931915986</v>
      </c>
      <c r="HI17" s="353">
        <f t="shared" ca="1" si="200"/>
        <v>0.99999778448673027</v>
      </c>
      <c r="HJ17" s="354">
        <f t="shared" ca="1" si="201"/>
        <v>0.99999935845402621</v>
      </c>
      <c r="HK17" s="42"/>
      <c r="HL17" s="42"/>
      <c r="HM17" s="358">
        <f t="shared" si="202"/>
        <v>3.25</v>
      </c>
      <c r="HN17" s="362">
        <f t="shared" ca="1" si="203"/>
        <v>0.94564914334865424</v>
      </c>
      <c r="HO17" s="363">
        <f t="shared" ca="1" si="204"/>
        <v>3.9588893073110309E-3</v>
      </c>
    </row>
    <row r="18" spans="2:223" x14ac:dyDescent="0.3">
      <c r="E18" s="415"/>
      <c r="J18" s="416" t="s">
        <v>369</v>
      </c>
      <c r="K18" s="411">
        <f>1/MAX(J9:J11)</f>
        <v>0.7407407407407407</v>
      </c>
      <c r="N18" s="402">
        <f>N15-ImpliedCorrelation</f>
        <v>0</v>
      </c>
      <c r="U18" s="17"/>
      <c r="V18" s="370">
        <f t="shared" si="89"/>
        <v>3.5</v>
      </c>
      <c r="W18" s="371">
        <f t="shared" si="90"/>
        <v>-25000</v>
      </c>
      <c r="X18" s="348">
        <f t="shared" ca="1" si="91"/>
        <v>0.94171941419267546</v>
      </c>
      <c r="Y18" s="348">
        <f t="shared" ca="1" si="92"/>
        <v>3.9297291559787784E-3</v>
      </c>
      <c r="Z18" s="372" cm="1">
        <f t="array" ref="Z18">IF($V18&gt;CDS.Tenor,"-",cubicInterpolation(CurveResults.Times,CurveResults.DFs,$V18))</f>
        <v>0.86243967475051753</v>
      </c>
      <c r="AA18" s="371">
        <f t="shared" ca="1" si="93"/>
        <v>-20304.404632064474</v>
      </c>
      <c r="AB18" s="371">
        <f t="shared" ca="1" si="94"/>
        <v>-42.364429189249542</v>
      </c>
      <c r="AC18" s="373">
        <f t="shared" ca="1" si="95"/>
        <v>-20346.769061253723</v>
      </c>
      <c r="AF18" s="370">
        <f t="shared" si="96"/>
        <v>3.5</v>
      </c>
      <c r="AG18" s="371">
        <f t="shared" si="97"/>
        <v>6000000</v>
      </c>
      <c r="AH18" s="348">
        <f t="shared" ca="1" si="98"/>
        <v>0.94171941419267546</v>
      </c>
      <c r="AI18" s="348">
        <f t="shared" ca="1" si="99"/>
        <v>3.9297291559787784E-3</v>
      </c>
      <c r="AJ18" s="372" cm="1">
        <f t="array" ref="AJ18">IF($AF18&gt;CDS.Tenor,"-",cubicInterpolation(CurveResults.Times,CurveResults.DFs,$V18))</f>
        <v>0.86243967475051753</v>
      </c>
      <c r="AK18" s="373">
        <f t="shared" ca="1" si="100"/>
        <v>20334.926010839779</v>
      </c>
      <c r="AM18" s="341"/>
      <c r="AN18" s="358">
        <f t="shared" si="101"/>
        <v>3.5</v>
      </c>
      <c r="AO18" s="343" cm="1">
        <f t="array" aca="1" ref="AO18" ca="1">IF($AN18&gt;CDS.Tenor,"-",flatInterpolation(AM18,INDIRECT(HazardRateTimes1),INDIRECT(HazardRateValues1)))</f>
        <v>5.0000000000000001E-3</v>
      </c>
      <c r="AP18" s="10">
        <f t="shared" ca="1" si="102"/>
        <v>0.98265223566507376</v>
      </c>
      <c r="AQ18" s="10">
        <f t="shared" ca="1" si="103"/>
        <v>1.7347764334926241E-2</v>
      </c>
      <c r="AR18" s="81">
        <f t="shared" ca="1" si="104"/>
        <v>-2.1118941570109349</v>
      </c>
      <c r="AS18" s="341"/>
      <c r="AT18" s="358">
        <f t="shared" si="105"/>
        <v>3.5</v>
      </c>
      <c r="AU18" s="353">
        <f ca="1">IF($AN18&gt;CDS.Tenor,"-",_xlfn.NORM.S.DIST(($AR18-SQRT(Correlation1)*AU$3)/SQRT(1-Correlation1),TRUE))</f>
        <v>0.77924087418829557</v>
      </c>
      <c r="AV18" s="353">
        <f ca="1">IF($AN18&gt;CDS.Tenor,"-",_xlfn.NORM.S.DIST(($AR18-SQRT(Correlation1)*AV$3)/SQRT(1-Correlation1),TRUE))</f>
        <v>0.66989672527741961</v>
      </c>
      <c r="AW18" s="353">
        <f ca="1">IF($AN18&gt;CDS.Tenor,"-",_xlfn.NORM.S.DIST(($AR18-SQRT(Correlation1)*AW$3)/SQRT(1-Correlation1),TRUE))</f>
        <v>0.54364624390263294</v>
      </c>
      <c r="AX18" s="353">
        <f ca="1">IF($AN18&gt;CDS.Tenor,"-",_xlfn.NORM.S.DIST(($AR18-SQRT(Correlation1)*AX$3)/SQRT(1-Correlation1),TRUE))</f>
        <v>0.41278766843411441</v>
      </c>
      <c r="AY18" s="353">
        <f ca="1">IF($AN18&gt;CDS.Tenor,"-",_xlfn.NORM.S.DIST(($AR18-SQRT(Correlation1)*AY$3)/SQRT(1-Correlation1),TRUE))</f>
        <v>0.29102808533430113</v>
      </c>
      <c r="AZ18" s="353">
        <f ca="1">IF($AN18&gt;CDS.Tenor,"-",_xlfn.NORM.S.DIST(($AR18-SQRT(Correlation1)*AZ$3)/SQRT(1-Correlation1),TRUE))</f>
        <v>0.18932465552059469</v>
      </c>
      <c r="BA18" s="353">
        <f ca="1">IF($AN18&gt;CDS.Tenor,"-",_xlfn.NORM.S.DIST(($AR18-SQRT(Correlation1)*BA$3)/SQRT(1-Correlation1),TRUE))</f>
        <v>0.11306432362405781</v>
      </c>
      <c r="BB18" s="353">
        <f ca="1">IF($AN18&gt;CDS.Tenor,"-",_xlfn.NORM.S.DIST(($AR18-SQRT(Correlation1)*BB$3)/SQRT(1-Correlation1),TRUE))</f>
        <v>6.1731979872539082E-2</v>
      </c>
      <c r="BC18" s="353">
        <f ca="1">IF($AN18&gt;CDS.Tenor,"-",_xlfn.NORM.S.DIST(($AR18-SQRT(Correlation1)*BC$3)/SQRT(1-Correlation1),TRUE))</f>
        <v>3.0714180382200817E-2</v>
      </c>
      <c r="BD18" s="353">
        <f ca="1">IF($AN18&gt;CDS.Tenor,"-",_xlfn.NORM.S.DIST(($AR18-SQRT(Correlation1)*BD$3)/SQRT(1-Correlation1),TRUE))</f>
        <v>1.3889142166476142E-2</v>
      </c>
      <c r="BE18" s="353">
        <f ca="1">IF($AN18&gt;CDS.Tenor,"-",_xlfn.NORM.S.DIST(($AR18-SQRT(Correlation1)*BE$3)/SQRT(1-Correlation1),TRUE))</f>
        <v>5.6965082346212151E-3</v>
      </c>
      <c r="BF18" s="353">
        <f ca="1">IF($AN18&gt;CDS.Tenor,"-",_xlfn.NORM.S.DIST(($AR18-SQRT(Correlation1)*BF$3)/SQRT(1-Correlation1),TRUE))</f>
        <v>2.1154594714033028E-3</v>
      </c>
      <c r="BG18" s="353">
        <f ca="1">IF($AN18&gt;CDS.Tenor,"-",_xlfn.NORM.S.DIST(($AR18-SQRT(Correlation1)*BG$3)/SQRT(1-Correlation1),TRUE))</f>
        <v>7.1034256686887474E-4</v>
      </c>
      <c r="BH18" s="353">
        <f ca="1">IF($AN18&gt;CDS.Tenor,"-",_xlfn.NORM.S.DIST(($AR18-SQRT(Correlation1)*BH$3)/SQRT(1-Correlation1),TRUE))</f>
        <v>2.154326564842006E-4</v>
      </c>
      <c r="BI18" s="353">
        <f ca="1">IF($AN18&gt;CDS.Tenor,"-",_xlfn.NORM.S.DIST(($AR18-SQRT(Correlation1)*BI$3)/SQRT(1-Correlation1),TRUE))</f>
        <v>5.8956977409695934E-5</v>
      </c>
      <c r="BJ18" s="353">
        <f ca="1">IF($AN18&gt;CDS.Tenor,"-",_xlfn.NORM.S.DIST(($AR18-SQRT(Correlation1)*BJ$3)/SQRT(1-Correlation1),TRUE))</f>
        <v>1.4548109200025577E-5</v>
      </c>
      <c r="BK18" s="353">
        <f ca="1">IF($AN18&gt;CDS.Tenor,"-",_xlfn.NORM.S.DIST(($AR18-SQRT(Correlation1)*BK$3)/SQRT(1-Correlation1),TRUE))</f>
        <v>3.2348029033260725E-6</v>
      </c>
      <c r="BL18" s="353">
        <f ca="1">IF($AN18&gt;CDS.Tenor,"-",_xlfn.NORM.S.DIST(($AR18-SQRT(Correlation1)*BL$3)/SQRT(1-Correlation1),TRUE))</f>
        <v>6.477765207426711E-7</v>
      </c>
      <c r="BM18" s="353">
        <f ca="1">IF($AN18&gt;CDS.Tenor,"-",_xlfn.NORM.S.DIST(($AR18-SQRT(Correlation1)*BM$3)/SQRT(1-Correlation1),TRUE))</f>
        <v>1.1677246750498881E-7</v>
      </c>
      <c r="BN18" s="353">
        <f ca="1">IF($AN18&gt;CDS.Tenor,"-",_xlfn.NORM.S.DIST(($AR18-SQRT(Correlation1)*BN$3)/SQRT(1-Correlation1),TRUE))</f>
        <v>1.8941938084170506E-8</v>
      </c>
      <c r="BO18" s="354">
        <f ca="1">IF($AN18&gt;CDS.Tenor,"-",_xlfn.NORM.S.DIST(($AR18-SQRT(Correlation1)*BO$3)/SQRT(1-Correlation1),TRUE))</f>
        <v>2.7639601346033081E-9</v>
      </c>
      <c r="BP18" s="341"/>
      <c r="BQ18" s="358">
        <f t="shared" si="106"/>
        <v>3.5</v>
      </c>
      <c r="BR18" s="353">
        <f t="shared" ca="1" si="107"/>
        <v>0.22075912581170443</v>
      </c>
      <c r="BS18" s="353">
        <f t="shared" ca="1" si="108"/>
        <v>0.33010327472258039</v>
      </c>
      <c r="BT18" s="353">
        <f t="shared" ca="1" si="109"/>
        <v>0.45635375609736706</v>
      </c>
      <c r="BU18" s="353">
        <f t="shared" ca="1" si="110"/>
        <v>0.58721233156588559</v>
      </c>
      <c r="BV18" s="353">
        <f t="shared" ca="1" si="111"/>
        <v>0.70897191466569887</v>
      </c>
      <c r="BW18" s="353">
        <f t="shared" ca="1" si="112"/>
        <v>0.81067534447940526</v>
      </c>
      <c r="BX18" s="353">
        <f t="shared" ca="1" si="113"/>
        <v>0.88693567637594217</v>
      </c>
      <c r="BY18" s="353">
        <f t="shared" ca="1" si="114"/>
        <v>0.93826802012746091</v>
      </c>
      <c r="BZ18" s="353">
        <f t="shared" ca="1" si="115"/>
        <v>0.96928581961779914</v>
      </c>
      <c r="CA18" s="353">
        <f t="shared" ca="1" si="116"/>
        <v>0.98611085783352381</v>
      </c>
      <c r="CB18" s="353">
        <f t="shared" ca="1" si="117"/>
        <v>0.9943034917653788</v>
      </c>
      <c r="CC18" s="353">
        <f t="shared" ca="1" si="118"/>
        <v>0.99788454052859665</v>
      </c>
      <c r="CD18" s="353">
        <f t="shared" ca="1" si="119"/>
        <v>0.99928965743313114</v>
      </c>
      <c r="CE18" s="353">
        <f t="shared" ca="1" si="120"/>
        <v>0.99978456734351584</v>
      </c>
      <c r="CF18" s="353">
        <f t="shared" ca="1" si="121"/>
        <v>0.99994104302259035</v>
      </c>
      <c r="CG18" s="353">
        <f t="shared" ca="1" si="122"/>
        <v>0.99998545189080001</v>
      </c>
      <c r="CH18" s="353">
        <f t="shared" ca="1" si="123"/>
        <v>0.99999676519709668</v>
      </c>
      <c r="CI18" s="353">
        <f t="shared" ca="1" si="124"/>
        <v>0.99999935222347924</v>
      </c>
      <c r="CJ18" s="353">
        <f t="shared" ca="1" si="125"/>
        <v>0.99999988322753253</v>
      </c>
      <c r="CK18" s="353">
        <f t="shared" ca="1" si="126"/>
        <v>0.99999998105806187</v>
      </c>
      <c r="CL18" s="354">
        <f t="shared" ca="1" si="127"/>
        <v>0.99999999723603983</v>
      </c>
      <c r="CM18" s="17"/>
      <c r="CN18" s="17"/>
      <c r="CO18" s="343" cm="1">
        <f t="array" aca="1" ref="CO18" ca="1">IF($AN18&gt;CDS.Tenor,"-",flatInterpolation(AN18,INDIRECT(HazardRateTimes2),INDIRECT(HazardRateValues2)))</f>
        <v>5.8333333333333336E-3</v>
      </c>
      <c r="CP18" s="10">
        <f t="shared" ca="1" si="128"/>
        <v>0.97979034226775152</v>
      </c>
      <c r="CQ18" s="10">
        <f t="shared" ca="1" si="129"/>
        <v>2.0209657732248476E-2</v>
      </c>
      <c r="CR18" s="81">
        <f t="shared" ca="1" si="130"/>
        <v>-2.0494378892172169</v>
      </c>
      <c r="CS18" s="341"/>
      <c r="CT18" s="358">
        <f t="shared" si="131"/>
        <v>3.5</v>
      </c>
      <c r="CU18" s="353">
        <f ca="1">IF($AN18&gt;CDS.Tenor,"-",_xlfn.NORM.S.DIST(($CR18-SQRT(Correlation2)*CU$3)/SQRT(1-Correlation2),TRUE))</f>
        <v>0.58745739116849705</v>
      </c>
      <c r="CV18" s="353">
        <f ca="1">IF($AN18&gt;CDS.Tenor,"-",_xlfn.NORM.S.DIST(($CR18-SQRT(Correlation2)*CV$3)/SQRT(1-Correlation2),TRUE))</f>
        <v>0.48783262719593762</v>
      </c>
      <c r="CW18" s="353">
        <f ca="1">IF($AN18&gt;CDS.Tenor,"-",_xlfn.NORM.S.DIST(($CR18-SQRT(Correlation2)*CW$3)/SQRT(1-Correlation2),TRUE))</f>
        <v>0.38896528054540863</v>
      </c>
      <c r="CX18" s="353">
        <f ca="1">IF($AN18&gt;CDS.Tenor,"-",_xlfn.NORM.S.DIST(($CR18-SQRT(Correlation2)*CX$3)/SQRT(1-Correlation2),TRUE))</f>
        <v>0.29683338702288964</v>
      </c>
      <c r="CY18" s="353">
        <f ca="1">IF($AN18&gt;CDS.Tenor,"-",_xlfn.NORM.S.DIST(($CR18-SQRT(Correlation2)*CY$3)/SQRT(1-Correlation2),TRUE))</f>
        <v>0.21621416644281979</v>
      </c>
      <c r="CZ18" s="353">
        <f ca="1">IF($AN18&gt;CDS.Tenor,"-",_xlfn.NORM.S.DIST(($CR18-SQRT(Correlation2)*CZ$3)/SQRT(1-Correlation2),TRUE))</f>
        <v>0.14997138626724693</v>
      </c>
      <c r="DA18" s="353">
        <f ca="1">IF($AN18&gt;CDS.Tenor,"-",_xlfn.NORM.S.DIST(($CR18-SQRT(Correlation2)*DA$3)/SQRT(1-Correlation2),TRUE))</f>
        <v>9.8860938434873424E-2</v>
      </c>
      <c r="DB18" s="353">
        <f ca="1">IF($AN18&gt;CDS.Tenor,"-",_xlfn.NORM.S.DIST(($CR18-SQRT(Correlation2)*DB$3)/SQRT(1-Correlation2),TRUE))</f>
        <v>6.1831104530264955E-2</v>
      </c>
      <c r="DC18" s="353">
        <f ca="1">IF($AN18&gt;CDS.Tenor,"-",_xlfn.NORM.S.DIST(($CR18-SQRT(Correlation2)*DC$3)/SQRT(1-Correlation2),TRUE))</f>
        <v>3.663899754054941E-2</v>
      </c>
      <c r="DD18" s="353">
        <f ca="1">IF($AN18&gt;CDS.Tenor,"-",_xlfn.NORM.S.DIST(($CR18-SQRT(Correlation2)*DD$3)/SQRT(1-Correlation2),TRUE))</f>
        <v>2.0545608058677424E-2</v>
      </c>
      <c r="DE18" s="353">
        <f ca="1">IF($AN18&gt;CDS.Tenor,"-",_xlfn.NORM.S.DIST(($CR18-SQRT(Correlation2)*DE$3)/SQRT(1-Correlation2),TRUE))</f>
        <v>1.0891760204011783E-2</v>
      </c>
      <c r="DF18" s="353">
        <f ca="1">IF($AN18&gt;CDS.Tenor,"-",_xlfn.NORM.S.DIST(($CR18-SQRT(Correlation2)*DF$3)/SQRT(1-Correlation2),TRUE))</f>
        <v>5.4539653641674851E-3</v>
      </c>
      <c r="DG18" s="353">
        <f ca="1">IF($AN18&gt;CDS.Tenor,"-",_xlfn.NORM.S.DIST(($CR18-SQRT(Correlation2)*DG$3)/SQRT(1-Correlation2),TRUE))</f>
        <v>2.5777982592433421E-3</v>
      </c>
      <c r="DH18" s="353">
        <f ca="1">IF($AN18&gt;CDS.Tenor,"-",_xlfn.NORM.S.DIST(($CR18-SQRT(Correlation2)*DH$3)/SQRT(1-Correlation2),TRUE))</f>
        <v>1.149319537829354E-3</v>
      </c>
      <c r="DI18" s="353">
        <f ca="1">IF($AN18&gt;CDS.Tenor,"-",_xlfn.NORM.S.DIST(($CR18-SQRT(Correlation2)*DI$3)/SQRT(1-Correlation2),TRUE))</f>
        <v>4.8312482127031237E-4</v>
      </c>
      <c r="DJ18" s="353">
        <f ca="1">IF($AN18&gt;CDS.Tenor,"-",_xlfn.NORM.S.DIST(($CR18-SQRT(Correlation2)*DJ$3)/SQRT(1-Correlation2),TRUE))</f>
        <v>1.9138502594693584E-4</v>
      </c>
      <c r="DK18" s="353">
        <f ca="1">IF($AN18&gt;CDS.Tenor,"-",_xlfn.NORM.S.DIST(($CR18-SQRT(Correlation2)*DK$3)/SQRT(1-Correlation2),TRUE))</f>
        <v>7.1419481559094387E-5</v>
      </c>
      <c r="DL18" s="353">
        <f ca="1">IF($AN18&gt;CDS.Tenor,"-",_xlfn.NORM.S.DIST(($CR18-SQRT(Correlation2)*DL$3)/SQRT(1-Correlation2),TRUE))</f>
        <v>2.5097941968612317E-5</v>
      </c>
      <c r="DM18" s="353">
        <f ca="1">IF($AN18&gt;CDS.Tenor,"-",_xlfn.NORM.S.DIST(($CR18-SQRT(Correlation2)*DM$3)/SQRT(1-Correlation2),TRUE))</f>
        <v>8.3031653179476739E-6</v>
      </c>
      <c r="DN18" s="353">
        <f ca="1">IF($AN18&gt;CDS.Tenor,"-",_xlfn.NORM.S.DIST(($CR18-SQRT(Correlation2)*DN$3)/SQRT(1-Correlation2),TRUE))</f>
        <v>2.5853593433977305E-6</v>
      </c>
      <c r="DO18" s="354">
        <f ca="1">IF($AN18&gt;CDS.Tenor,"-",_xlfn.NORM.S.DIST(($CR18-SQRT(Correlation2)*DO$3)/SQRT(1-Correlation2),TRUE))</f>
        <v>7.574795575704893E-7</v>
      </c>
      <c r="DP18" s="341"/>
      <c r="DQ18" s="358">
        <f t="shared" si="132"/>
        <v>3.5</v>
      </c>
      <c r="DR18" s="353">
        <f t="shared" ca="1" si="133"/>
        <v>0.41254260883150295</v>
      </c>
      <c r="DS18" s="353">
        <f t="shared" ca="1" si="134"/>
        <v>0.51216737280406233</v>
      </c>
      <c r="DT18" s="353">
        <f t="shared" ca="1" si="135"/>
        <v>0.61103471945459131</v>
      </c>
      <c r="DU18" s="353">
        <f t="shared" ca="1" si="136"/>
        <v>0.70316661297711036</v>
      </c>
      <c r="DV18" s="353">
        <f t="shared" ca="1" si="137"/>
        <v>0.78378583355718023</v>
      </c>
      <c r="DW18" s="353">
        <f t="shared" ca="1" si="138"/>
        <v>0.85002861373275307</v>
      </c>
      <c r="DX18" s="353">
        <f t="shared" ca="1" si="139"/>
        <v>0.90113906156512658</v>
      </c>
      <c r="DY18" s="353">
        <f t="shared" ca="1" si="140"/>
        <v>0.93816889546973503</v>
      </c>
      <c r="DZ18" s="353">
        <f t="shared" ca="1" si="141"/>
        <v>0.96336100245945055</v>
      </c>
      <c r="EA18" s="353">
        <f t="shared" ca="1" si="142"/>
        <v>0.97945439194132256</v>
      </c>
      <c r="EB18" s="353">
        <f t="shared" ca="1" si="143"/>
        <v>0.98910823979598816</v>
      </c>
      <c r="EC18" s="353">
        <f t="shared" ca="1" si="144"/>
        <v>0.99454603463583247</v>
      </c>
      <c r="ED18" s="353">
        <f t="shared" ca="1" si="145"/>
        <v>0.99742220174075669</v>
      </c>
      <c r="EE18" s="353">
        <f t="shared" ca="1" si="146"/>
        <v>0.99885068046217063</v>
      </c>
      <c r="EF18" s="353">
        <f t="shared" ca="1" si="147"/>
        <v>0.99951687517872967</v>
      </c>
      <c r="EG18" s="353">
        <f t="shared" ca="1" si="148"/>
        <v>0.99980861497405304</v>
      </c>
      <c r="EH18" s="353">
        <f t="shared" ca="1" si="149"/>
        <v>0.99992858051844091</v>
      </c>
      <c r="EI18" s="353">
        <f t="shared" ca="1" si="150"/>
        <v>0.99997490205803141</v>
      </c>
      <c r="EJ18" s="353">
        <f t="shared" ca="1" si="151"/>
        <v>0.99999169683468203</v>
      </c>
      <c r="EK18" s="353">
        <f t="shared" ca="1" si="152"/>
        <v>0.99999741464065661</v>
      </c>
      <c r="EL18" s="354">
        <f t="shared" ca="1" si="153"/>
        <v>0.99999924252044248</v>
      </c>
      <c r="EM18" s="17"/>
      <c r="EN18" s="17"/>
      <c r="EO18" s="343" cm="1">
        <f t="array" aca="1" ref="EO18" ca="1">IF($AN18&gt;CDS.Tenor,"-",flatInterpolation(CP18,INDIRECT(HazardRateTimes3),INDIRECT(HazardRateValues3)))</f>
        <v>7.4999999999999997E-3</v>
      </c>
      <c r="EP18" s="10">
        <f t="shared" ca="1" si="154"/>
        <v>0.97409153628178169</v>
      </c>
      <c r="EQ18" s="10">
        <f t="shared" ca="1" si="155"/>
        <v>2.5908463718218311E-2</v>
      </c>
      <c r="ER18" s="81">
        <f t="shared" ca="1" si="156"/>
        <v>-1.9446515751293809</v>
      </c>
      <c r="ES18" s="341"/>
      <c r="ET18" s="358">
        <f t="shared" si="157"/>
        <v>3.5</v>
      </c>
      <c r="EU18" s="353">
        <f ca="1">IF($AN18&gt;CDS.Tenor,"-",_xlfn.NORM.S.DIST(($ER18-SQRT(Correlation3)*EU$3)/SQRT(1-Correlation3),TRUE))</f>
        <v>0.95885190654605768</v>
      </c>
      <c r="EV18" s="353">
        <f ca="1">IF($AN18&gt;CDS.Tenor,"-",_xlfn.NORM.S.DIST(($ER18-SQRT(Correlation3)*EV$3)/SQRT(1-Correlation3),TRUE))</f>
        <v>0.90442677695768736</v>
      </c>
      <c r="EW18" s="353">
        <f ca="1">IF($AN18&gt;CDS.Tenor,"-",_xlfn.NORM.S.DIST(($ER18-SQRT(Correlation3)*EW$3)/SQRT(1-Correlation3),TRUE))</f>
        <v>0.8097226195966325</v>
      </c>
      <c r="EX18" s="353">
        <f ca="1">IF($AN18&gt;CDS.Tenor,"-",_xlfn.NORM.S.DIST(($ER18-SQRT(Correlation3)*EX$3)/SQRT(1-Correlation3),TRUE))</f>
        <v>0.6724014552259171</v>
      </c>
      <c r="EY18" s="353">
        <f ca="1">IF($AN18&gt;CDS.Tenor,"-",_xlfn.NORM.S.DIST(($ER18-SQRT(Correlation3)*EY$3)/SQRT(1-Correlation3),TRUE))</f>
        <v>0.50647593849689421</v>
      </c>
      <c r="EZ18" s="353">
        <f ca="1">IF($AN18&gt;CDS.Tenor,"-",_xlfn.NORM.S.DIST(($ER18-SQRT(Correlation3)*EZ$3)/SQRT(1-Correlation3),TRUE))</f>
        <v>0.33940517153105609</v>
      </c>
      <c r="FA18" s="353">
        <f ca="1">IF($AN18&gt;CDS.Tenor,"-",_xlfn.NORM.S.DIST(($ER18-SQRT(Correlation3)*FA$3)/SQRT(1-Correlation3),TRUE))</f>
        <v>0.19922083286252615</v>
      </c>
      <c r="FB18" s="353">
        <f ca="1">IF($AN18&gt;CDS.Tenor,"-",_xlfn.NORM.S.DIST(($ER18-SQRT(Correlation3)*FB$3)/SQRT(1-Correlation3),TRUE))</f>
        <v>0.10120273591993731</v>
      </c>
      <c r="FC18" s="353">
        <f ca="1">IF($AN18&gt;CDS.Tenor,"-",_xlfn.NORM.S.DIST(($ER18-SQRT(Correlation3)*FC$3)/SQRT(1-Correlation3),TRUE))</f>
        <v>4.4092668832095921E-2</v>
      </c>
      <c r="FD18" s="353">
        <f ca="1">IF($AN18&gt;CDS.Tenor,"-",_xlfn.NORM.S.DIST(($ER18-SQRT(Correlation3)*FD$3)/SQRT(1-Correlation3),TRUE))</f>
        <v>1.6365429161202955E-2</v>
      </c>
      <c r="FE18" s="353">
        <f ca="1">IF($AN18&gt;CDS.Tenor,"-",_xlfn.NORM.S.DIST(($ER18-SQRT(Correlation3)*FE$3)/SQRT(1-Correlation3),TRUE))</f>
        <v>5.1485430417725631E-3</v>
      </c>
      <c r="FF18" s="353">
        <f ca="1">IF($AN18&gt;CDS.Tenor,"-",_xlfn.NORM.S.DIST(($ER18-SQRT(Correlation3)*FF$3)/SQRT(1-Correlation3),TRUE))</f>
        <v>1.3676856166275491E-3</v>
      </c>
      <c r="FG18" s="353">
        <f ca="1">IF($AN18&gt;CDS.Tenor,"-",_xlfn.NORM.S.DIST(($ER18-SQRT(Correlation3)*FG$3)/SQRT(1-Correlation3),TRUE))</f>
        <v>3.0589724983920316E-4</v>
      </c>
      <c r="FH18" s="353">
        <f ca="1">IF($AN18&gt;CDS.Tenor,"-",_xlfn.NORM.S.DIST(($ER18-SQRT(Correlation3)*FH$3)/SQRT(1-Correlation3),TRUE))</f>
        <v>5.7475436468805239E-5</v>
      </c>
      <c r="FI18" s="353">
        <f ca="1">IF($AN18&gt;CDS.Tenor,"-",_xlfn.NORM.S.DIST(($ER18-SQRT(Correlation3)*FI$3)/SQRT(1-Correlation3),TRUE))</f>
        <v>9.056254258587125E-6</v>
      </c>
      <c r="FJ18" s="353">
        <f ca="1">IF($AN18&gt;CDS.Tenor,"-",_xlfn.NORM.S.DIST(($ER18-SQRT(Correlation3)*FJ$3)/SQRT(1-Correlation3),TRUE))</f>
        <v>1.1950192841183979E-6</v>
      </c>
      <c r="FK18" s="353">
        <f ca="1">IF($AN18&gt;CDS.Tenor,"-",_xlfn.NORM.S.DIST(($ER18-SQRT(Correlation3)*FK$3)/SQRT(1-Correlation3),TRUE))</f>
        <v>1.3191094240481036E-7</v>
      </c>
      <c r="FL18" s="353">
        <f ca="1">IF($AN18&gt;CDS.Tenor,"-",_xlfn.NORM.S.DIST(($ER18-SQRT(Correlation3)*FL$3)/SQRT(1-Correlation3),TRUE))</f>
        <v>1.2169619739015711E-8</v>
      </c>
      <c r="FM18" s="353">
        <f ca="1">IF($AN18&gt;CDS.Tenor,"-",_xlfn.NORM.S.DIST(($ER18-SQRT(Correlation3)*FM$3)/SQRT(1-Correlation3),TRUE))</f>
        <v>9.37658035057485E-10</v>
      </c>
      <c r="FN18" s="353">
        <f ca="1">IF($AN18&gt;CDS.Tenor,"-",_xlfn.NORM.S.DIST(($ER18-SQRT(Correlation3)*FN$3)/SQRT(1-Correlation3),TRUE))</f>
        <v>6.0300264875996869E-11</v>
      </c>
      <c r="FO18" s="354">
        <f ca="1">IF($AN18&gt;CDS.Tenor,"-",_xlfn.NORM.S.DIST(($ER18-SQRT(Correlation3)*FO$3)/SQRT(1-Correlation3),TRUE))</f>
        <v>3.2350474226791369E-12</v>
      </c>
      <c r="FP18" s="341"/>
      <c r="FQ18" s="358">
        <f t="shared" si="158"/>
        <v>3.5</v>
      </c>
      <c r="FR18" s="353">
        <f t="shared" ca="1" si="159"/>
        <v>4.1148093453942325E-2</v>
      </c>
      <c r="FS18" s="353">
        <f t="shared" ca="1" si="160"/>
        <v>9.5573223042312638E-2</v>
      </c>
      <c r="FT18" s="353">
        <f t="shared" ca="1" si="161"/>
        <v>0.1902773804033675</v>
      </c>
      <c r="FU18" s="353">
        <f t="shared" ca="1" si="162"/>
        <v>0.3275985447740829</v>
      </c>
      <c r="FV18" s="353">
        <f t="shared" ca="1" si="163"/>
        <v>0.49352406150310579</v>
      </c>
      <c r="FW18" s="353">
        <f t="shared" ca="1" si="164"/>
        <v>0.66059482846894391</v>
      </c>
      <c r="FX18" s="353">
        <f t="shared" ca="1" si="165"/>
        <v>0.80077916713747388</v>
      </c>
      <c r="FY18" s="353">
        <f t="shared" ca="1" si="166"/>
        <v>0.89879726408006266</v>
      </c>
      <c r="FZ18" s="353">
        <f t="shared" ca="1" si="167"/>
        <v>0.95590733116790405</v>
      </c>
      <c r="GA18" s="353">
        <f t="shared" ca="1" si="168"/>
        <v>0.98363457083879702</v>
      </c>
      <c r="GB18" s="353">
        <f t="shared" ca="1" si="169"/>
        <v>0.99485145695822741</v>
      </c>
      <c r="GC18" s="353">
        <f t="shared" ca="1" si="170"/>
        <v>0.99863231438337241</v>
      </c>
      <c r="GD18" s="353">
        <f t="shared" ca="1" si="171"/>
        <v>0.9996941027501608</v>
      </c>
      <c r="GE18" s="353">
        <f t="shared" ca="1" si="172"/>
        <v>0.99994252456353117</v>
      </c>
      <c r="GF18" s="353">
        <f t="shared" ca="1" si="173"/>
        <v>0.99999094374574138</v>
      </c>
      <c r="GG18" s="353">
        <f t="shared" ca="1" si="174"/>
        <v>0.99999880498071592</v>
      </c>
      <c r="GH18" s="353">
        <f t="shared" ca="1" si="175"/>
        <v>0.99999986808905761</v>
      </c>
      <c r="GI18" s="353">
        <f t="shared" ca="1" si="176"/>
        <v>0.99999998783038024</v>
      </c>
      <c r="GJ18" s="353">
        <f t="shared" ca="1" si="177"/>
        <v>0.99999999906234194</v>
      </c>
      <c r="GK18" s="353">
        <f t="shared" ca="1" si="178"/>
        <v>0.99999999993969968</v>
      </c>
      <c r="GL18" s="354">
        <f t="shared" ca="1" si="179"/>
        <v>0.99999999999676492</v>
      </c>
      <c r="GO18" s="358">
        <f t="shared" si="180"/>
        <v>3.5</v>
      </c>
      <c r="GP18" s="353">
        <f t="shared" ca="1" si="181"/>
        <v>3.7474616209645425E-3</v>
      </c>
      <c r="GQ18" s="353">
        <f t="shared" ca="1" si="182"/>
        <v>1.6158385808123839E-2</v>
      </c>
      <c r="GR18" s="353">
        <f t="shared" ca="1" si="183"/>
        <v>5.3058464940268994E-2</v>
      </c>
      <c r="GS18" s="353">
        <f t="shared" ca="1" si="184"/>
        <v>0.13526809474457693</v>
      </c>
      <c r="GT18" s="353">
        <f t="shared" ca="1" si="185"/>
        <v>0.27424250816987283</v>
      </c>
      <c r="GU18" s="353">
        <f t="shared" ca="1" si="186"/>
        <v>0.45521407256417917</v>
      </c>
      <c r="GV18" s="353">
        <f t="shared" ca="1" si="187"/>
        <v>0.64002465765387995</v>
      </c>
      <c r="GW18" s="353">
        <f t="shared" ca="1" si="188"/>
        <v>0.79116977193716398</v>
      </c>
      <c r="GX18" s="353">
        <f t="shared" ca="1" si="189"/>
        <v>0.89259965229163196</v>
      </c>
      <c r="GY18" s="353">
        <f t="shared" ca="1" si="190"/>
        <v>0.95004405089723709</v>
      </c>
      <c r="GZ18" s="353">
        <f t="shared" ca="1" si="191"/>
        <v>0.97841031949396917</v>
      </c>
      <c r="HA18" s="353">
        <f t="shared" ca="1" si="192"/>
        <v>0.99108476400409373</v>
      </c>
      <c r="HB18" s="353">
        <f t="shared" ca="1" si="193"/>
        <v>0.99640879831698226</v>
      </c>
      <c r="HC18" s="353">
        <f t="shared" ca="1" si="194"/>
        <v>0.99857809839567591</v>
      </c>
      <c r="HD18" s="353">
        <f t="shared" ca="1" si="195"/>
        <v>0.99944889533961323</v>
      </c>
      <c r="HE18" s="353">
        <f t="shared" ca="1" si="196"/>
        <v>0.99979287487594992</v>
      </c>
      <c r="HF18" s="353">
        <f t="shared" ca="1" si="197"/>
        <v>0.99992521404547086</v>
      </c>
      <c r="HG18" s="353">
        <f t="shared" ca="1" si="198"/>
        <v>0.99997424212846209</v>
      </c>
      <c r="HH18" s="353">
        <f t="shared" ca="1" si="199"/>
        <v>0.99999157912553394</v>
      </c>
      <c r="HI18" s="353">
        <f t="shared" ca="1" si="200"/>
        <v>0.99999739563846723</v>
      </c>
      <c r="HJ18" s="354">
        <f t="shared" ca="1" si="201"/>
        <v>0.99999923975324934</v>
      </c>
      <c r="HK18" s="42"/>
      <c r="HL18" s="42"/>
      <c r="HM18" s="358">
        <f t="shared" si="202"/>
        <v>3.5</v>
      </c>
      <c r="HN18" s="362">
        <f t="shared" ca="1" si="203"/>
        <v>0.94171941419267546</v>
      </c>
      <c r="HO18" s="363">
        <f t="shared" ca="1" si="204"/>
        <v>3.9297291559787784E-3</v>
      </c>
    </row>
    <row r="19" spans="2:223" x14ac:dyDescent="0.3">
      <c r="B19" s="1" t="s">
        <v>351</v>
      </c>
      <c r="E19" s="2"/>
      <c r="I19" s="2"/>
      <c r="J19" s="410" t="s">
        <v>370</v>
      </c>
      <c r="K19" s="411">
        <f>MIN(K17,K18-0.0001)</f>
        <v>0.48319892876849035</v>
      </c>
      <c r="V19" s="370">
        <f t="shared" si="89"/>
        <v>3.75</v>
      </c>
      <c r="W19" s="371">
        <f t="shared" si="90"/>
        <v>-25000</v>
      </c>
      <c r="X19" s="348">
        <f t="shared" ca="1" si="91"/>
        <v>0.9378179872964294</v>
      </c>
      <c r="Y19" s="348">
        <f t="shared" ca="1" si="92"/>
        <v>3.901426896246063E-3</v>
      </c>
      <c r="Z19" s="372" cm="1">
        <f t="array" ref="Z19">IF($V19&gt;CDS.Tenor,"-",cubicInterpolation(CurveResults.Times,CurveResults.DFs,$V19))</f>
        <v>0.85424590030706427</v>
      </c>
      <c r="AA19" s="371">
        <f t="shared" ca="1" si="93"/>
        <v>-20028.179272054931</v>
      </c>
      <c r="AB19" s="371">
        <f t="shared" ca="1" si="94"/>
        <v>-41.65972414332392</v>
      </c>
      <c r="AC19" s="373">
        <f t="shared" ca="1" si="95"/>
        <v>-20069.838996198254</v>
      </c>
      <c r="AF19" s="370">
        <f t="shared" si="96"/>
        <v>3.75</v>
      </c>
      <c r="AG19" s="371">
        <f t="shared" si="97"/>
        <v>6000000</v>
      </c>
      <c r="AH19" s="348">
        <f t="shared" ca="1" si="98"/>
        <v>0.9378179872964294</v>
      </c>
      <c r="AI19" s="348">
        <f t="shared" ca="1" si="99"/>
        <v>3.901426896246063E-3</v>
      </c>
      <c r="AJ19" s="372" cm="1">
        <f t="array" ref="AJ19">IF($AF19&gt;CDS.Tenor,"-",cubicInterpolation(CurveResults.Times,CurveResults.DFs,$V19))</f>
        <v>0.85424590030706427</v>
      </c>
      <c r="AK19" s="373">
        <f t="shared" ca="1" si="100"/>
        <v>19996.667588795481</v>
      </c>
      <c r="AN19" s="358">
        <f t="shared" si="101"/>
        <v>3.75</v>
      </c>
      <c r="AO19" s="343" cm="1">
        <f t="array" aca="1" ref="AO19" ca="1">IF($AN19&gt;CDS.Tenor,"-",flatInterpolation(AM19,INDIRECT(HazardRateTimes1),INDIRECT(HazardRateValues1)))</f>
        <v>5.0000000000000001E-3</v>
      </c>
      <c r="AP19" s="10">
        <f t="shared" ca="1" si="102"/>
        <v>0.98142468774777769</v>
      </c>
      <c r="AQ19" s="10">
        <f t="shared" ca="1" si="103"/>
        <v>1.8575312252222309E-2</v>
      </c>
      <c r="AR19" s="81">
        <f t="shared" ca="1" si="104"/>
        <v>-2.0841049213945508</v>
      </c>
      <c r="AT19" s="358">
        <f t="shared" si="105"/>
        <v>3.75</v>
      </c>
      <c r="AU19" s="353">
        <f ca="1">IF($AN19&gt;CDS.Tenor,"-",_xlfn.NORM.S.DIST(($AR19-SQRT(Correlation1)*AU$3)/SQRT(1-Correlation1),TRUE))</f>
        <v>0.7889918704889991</v>
      </c>
      <c r="AV19" s="353">
        <f ca="1">IF($AN19&gt;CDS.Tenor,"-",_xlfn.NORM.S.DIST(($AR19-SQRT(Correlation1)*AV$3)/SQRT(1-Correlation1),TRUE))</f>
        <v>0.68186638072113692</v>
      </c>
      <c r="AW19" s="353">
        <f ca="1">IF($AN19&gt;CDS.Tenor,"-",_xlfn.NORM.S.DIST(($AR19-SQRT(Correlation1)*AW$3)/SQRT(1-Correlation1),TRUE))</f>
        <v>0.5568234360849923</v>
      </c>
      <c r="AX19" s="353">
        <f ca="1">IF($AN19&gt;CDS.Tenor,"-",_xlfn.NORM.S.DIST(($AR19-SQRT(Correlation1)*AX$3)/SQRT(1-Correlation1),TRUE))</f>
        <v>0.42579753026823508</v>
      </c>
      <c r="AY19" s="353">
        <f ca="1">IF($AN19&gt;CDS.Tenor,"-",_xlfn.NORM.S.DIST(($AR19-SQRT(Correlation1)*AY$3)/SQRT(1-Correlation1),TRUE))</f>
        <v>0.30254751725043194</v>
      </c>
      <c r="AZ19" s="353">
        <f ca="1">IF($AN19&gt;CDS.Tenor,"-",_xlfn.NORM.S.DIST(($AR19-SQRT(Correlation1)*AZ$3)/SQRT(1-Correlation1),TRUE))</f>
        <v>0.19847206274951729</v>
      </c>
      <c r="BA19" s="353">
        <f ca="1">IF($AN19&gt;CDS.Tenor,"-",_xlfn.NORM.S.DIST(($AR19-SQRT(Correlation1)*BA$3)/SQRT(1-Correlation1),TRUE))</f>
        <v>0.1195787103733693</v>
      </c>
      <c r="BB19" s="353">
        <f ca="1">IF($AN19&gt;CDS.Tenor,"-",_xlfn.NORM.S.DIST(($AR19-SQRT(Correlation1)*BB$3)/SQRT(1-Correlation1),TRUE))</f>
        <v>6.5892595886710148E-2</v>
      </c>
      <c r="BC19" s="353">
        <f ca="1">IF($AN19&gt;CDS.Tenor,"-",_xlfn.NORM.S.DIST(($AR19-SQRT(Correlation1)*BC$3)/SQRT(1-Correlation1),TRUE))</f>
        <v>3.3097324503617E-2</v>
      </c>
      <c r="BD19" s="353">
        <f ca="1">IF($AN19&gt;CDS.Tenor,"-",_xlfn.NORM.S.DIST(($AR19-SQRT(Correlation1)*BD$3)/SQRT(1-Correlation1),TRUE))</f>
        <v>1.5113339842877571E-2</v>
      </c>
      <c r="BE19" s="353">
        <f ca="1">IF($AN19&gt;CDS.Tenor,"-",_xlfn.NORM.S.DIST(($AR19-SQRT(Correlation1)*BE$3)/SQRT(1-Correlation1),TRUE))</f>
        <v>6.2604852006007423E-3</v>
      </c>
      <c r="BF19" s="353">
        <f ca="1">IF($AN19&gt;CDS.Tenor,"-",_xlfn.NORM.S.DIST(($AR19-SQRT(Correlation1)*BF$3)/SQRT(1-Correlation1),TRUE))</f>
        <v>2.3484722586423583E-3</v>
      </c>
      <c r="BG19" s="353">
        <f ca="1">IF($AN19&gt;CDS.Tenor,"-",_xlfn.NORM.S.DIST(($AR19-SQRT(Correlation1)*BG$3)/SQRT(1-Correlation1),TRUE))</f>
        <v>7.9668150725766809E-4</v>
      </c>
      <c r="BH19" s="353">
        <f ca="1">IF($AN19&gt;CDS.Tenor,"-",_xlfn.NORM.S.DIST(($AR19-SQRT(Correlation1)*BH$3)/SQRT(1-Correlation1),TRUE))</f>
        <v>2.4412342919929341E-4</v>
      </c>
      <c r="BI19" s="353">
        <f ca="1">IF($AN19&gt;CDS.Tenor,"-",_xlfn.NORM.S.DIST(($AR19-SQRT(Correlation1)*BI$3)/SQRT(1-Correlation1),TRUE))</f>
        <v>6.7507375719550906E-5</v>
      </c>
      <c r="BJ19" s="353">
        <f ca="1">IF($AN19&gt;CDS.Tenor,"-",_xlfn.NORM.S.DIST(($AR19-SQRT(Correlation1)*BJ$3)/SQRT(1-Correlation1),TRUE))</f>
        <v>1.6833387087986891E-5</v>
      </c>
      <c r="BK19" s="353">
        <f ca="1">IF($AN19&gt;CDS.Tenor,"-",_xlfn.NORM.S.DIST(($AR19-SQRT(Correlation1)*BK$3)/SQRT(1-Correlation1),TRUE))</f>
        <v>3.7825754444176324E-6</v>
      </c>
      <c r="BL19" s="353">
        <f ca="1">IF($AN19&gt;CDS.Tenor,"-",_xlfn.NORM.S.DIST(($AR19-SQRT(Correlation1)*BL$3)/SQRT(1-Correlation1),TRUE))</f>
        <v>7.6552900198345986E-7</v>
      </c>
      <c r="BM19" s="353">
        <f ca="1">IF($AN19&gt;CDS.Tenor,"-",_xlfn.NORM.S.DIST(($AR19-SQRT(Correlation1)*BM$3)/SQRT(1-Correlation1),TRUE))</f>
        <v>1.3947364813381182E-7</v>
      </c>
      <c r="BN19" s="353">
        <f ca="1">IF($AN19&gt;CDS.Tenor,"-",_xlfn.NORM.S.DIST(($AR19-SQRT(Correlation1)*BN$3)/SQRT(1-Correlation1),TRUE))</f>
        <v>2.2866899470254339E-8</v>
      </c>
      <c r="BO19" s="354">
        <f ca="1">IF($AN19&gt;CDS.Tenor,"-",_xlfn.NORM.S.DIST(($AR19-SQRT(Correlation1)*BO$3)/SQRT(1-Correlation1),TRUE))</f>
        <v>3.3725586644956369E-9</v>
      </c>
      <c r="BQ19" s="358">
        <f t="shared" si="106"/>
        <v>3.75</v>
      </c>
      <c r="BR19" s="353">
        <f t="shared" ca="1" si="107"/>
        <v>0.2110081295110009</v>
      </c>
      <c r="BS19" s="353">
        <f t="shared" ca="1" si="108"/>
        <v>0.31813361927886308</v>
      </c>
      <c r="BT19" s="353">
        <f t="shared" ca="1" si="109"/>
        <v>0.4431765639150077</v>
      </c>
      <c r="BU19" s="353">
        <f t="shared" ca="1" si="110"/>
        <v>0.57420246973176492</v>
      </c>
      <c r="BV19" s="353">
        <f t="shared" ca="1" si="111"/>
        <v>0.69745248274956806</v>
      </c>
      <c r="BW19" s="353">
        <f t="shared" ca="1" si="112"/>
        <v>0.80152793725048266</v>
      </c>
      <c r="BX19" s="353">
        <f t="shared" ca="1" si="113"/>
        <v>0.88042128962663069</v>
      </c>
      <c r="BY19" s="353">
        <f t="shared" ca="1" si="114"/>
        <v>0.93410740411328985</v>
      </c>
      <c r="BZ19" s="353">
        <f t="shared" ca="1" si="115"/>
        <v>0.96690267549638298</v>
      </c>
      <c r="CA19" s="353">
        <f t="shared" ca="1" si="116"/>
        <v>0.98488666015712245</v>
      </c>
      <c r="CB19" s="353">
        <f t="shared" ca="1" si="117"/>
        <v>0.99373951479939926</v>
      </c>
      <c r="CC19" s="353">
        <f t="shared" ca="1" si="118"/>
        <v>0.99765152774135768</v>
      </c>
      <c r="CD19" s="353">
        <f t="shared" ca="1" si="119"/>
        <v>0.99920331849274235</v>
      </c>
      <c r="CE19" s="353">
        <f t="shared" ca="1" si="120"/>
        <v>0.99975587657080067</v>
      </c>
      <c r="CF19" s="353">
        <f t="shared" ca="1" si="121"/>
        <v>0.99993249262428041</v>
      </c>
      <c r="CG19" s="353">
        <f t="shared" ca="1" si="122"/>
        <v>0.99998316661291198</v>
      </c>
      <c r="CH19" s="353">
        <f t="shared" ca="1" si="123"/>
        <v>0.99999621742455558</v>
      </c>
      <c r="CI19" s="353">
        <f t="shared" ca="1" si="124"/>
        <v>0.99999923447099803</v>
      </c>
      <c r="CJ19" s="353">
        <f t="shared" ca="1" si="125"/>
        <v>0.99999986052635181</v>
      </c>
      <c r="CK19" s="353">
        <f t="shared" ca="1" si="126"/>
        <v>0.99999997713310051</v>
      </c>
      <c r="CL19" s="354">
        <f t="shared" ca="1" si="127"/>
        <v>0.99999999662744132</v>
      </c>
      <c r="CM19" s="17"/>
      <c r="CN19" s="17"/>
      <c r="CO19" s="343" cm="1">
        <f t="array" aca="1" ref="CO19" ca="1">IF($AN19&gt;CDS.Tenor,"-",flatInterpolation(AN19,INDIRECT(HazardRateTimes2),INDIRECT(HazardRateValues2)))</f>
        <v>5.8333333333333336E-3</v>
      </c>
      <c r="CP19" s="10">
        <f t="shared" ca="1" si="128"/>
        <v>0.97836252272341173</v>
      </c>
      <c r="CQ19" s="10">
        <f t="shared" ca="1" si="129"/>
        <v>2.1637477276588268E-2</v>
      </c>
      <c r="CR19" s="81">
        <f t="shared" ca="1" si="130"/>
        <v>-2.0210464728440596</v>
      </c>
      <c r="CT19" s="358">
        <f t="shared" si="131"/>
        <v>3.75</v>
      </c>
      <c r="CU19" s="353">
        <f ca="1">IF($AN19&gt;CDS.Tenor,"-",_xlfn.NORM.S.DIST(($CR19-SQRT(Correlation2)*CU$3)/SQRT(1-Correlation2),TRUE))</f>
        <v>0.59978488788203987</v>
      </c>
      <c r="CV19" s="353">
        <f ca="1">IF($AN19&gt;CDS.Tenor,"-",_xlfn.NORM.S.DIST(($CR19-SQRT(Correlation2)*CV$3)/SQRT(1-Correlation2),TRUE))</f>
        <v>0.50050955845746947</v>
      </c>
      <c r="CW19" s="353">
        <f ca="1">IF($AN19&gt;CDS.Tenor,"-",_xlfn.NORM.S.DIST(($CR19-SQRT(Correlation2)*CW$3)/SQRT(1-Correlation2),TRUE))</f>
        <v>0.40120249941907982</v>
      </c>
      <c r="CX19" s="353">
        <f ca="1">IF($AN19&gt;CDS.Tenor,"-",_xlfn.NORM.S.DIST(($CR19-SQRT(Correlation2)*CX$3)/SQRT(1-Correlation2),TRUE))</f>
        <v>0.3079220880096844</v>
      </c>
      <c r="CY19" s="353">
        <f ca="1">IF($AN19&gt;CDS.Tenor,"-",_xlfn.NORM.S.DIST(($CR19-SQRT(Correlation2)*CY$3)/SQRT(1-Correlation2),TRUE))</f>
        <v>0.22564625717384351</v>
      </c>
      <c r="CZ19" s="353">
        <f ca="1">IF($AN19&gt;CDS.Tenor,"-",_xlfn.NORM.S.DIST(($CR19-SQRT(Correlation2)*CZ$3)/SQRT(1-Correlation2),TRUE))</f>
        <v>0.15750259386675194</v>
      </c>
      <c r="DA19" s="353">
        <f ca="1">IF($AN19&gt;CDS.Tenor,"-",_xlfn.NORM.S.DIST(($CR19-SQRT(Correlation2)*DA$3)/SQRT(1-Correlation2),TRUE))</f>
        <v>0.10450576523314357</v>
      </c>
      <c r="DB19" s="353">
        <f ca="1">IF($AN19&gt;CDS.Tenor,"-",_xlfn.NORM.S.DIST(($CR19-SQRT(Correlation2)*DB$3)/SQRT(1-Correlation2),TRUE))</f>
        <v>6.5802708853589215E-2</v>
      </c>
      <c r="DC19" s="353">
        <f ca="1">IF($AN19&gt;CDS.Tenor,"-",_xlfn.NORM.S.DIST(($CR19-SQRT(Correlation2)*DC$3)/SQRT(1-Correlation2),TRUE))</f>
        <v>3.9262072374376768E-2</v>
      </c>
      <c r="DD19" s="353">
        <f ca="1">IF($AN19&gt;CDS.Tenor,"-",_xlfn.NORM.S.DIST(($CR19-SQRT(Correlation2)*DD$3)/SQRT(1-Correlation2),TRUE))</f>
        <v>2.217184843219425E-2</v>
      </c>
      <c r="DE19" s="353">
        <f ca="1">IF($AN19&gt;CDS.Tenor,"-",_xlfn.NORM.S.DIST(($CR19-SQRT(Correlation2)*DE$3)/SQRT(1-Correlation2),TRUE))</f>
        <v>1.1838189442499068E-2</v>
      </c>
      <c r="DF19" s="353">
        <f ca="1">IF($AN19&gt;CDS.Tenor,"-",_xlfn.NORM.S.DIST(($CR19-SQRT(Correlation2)*DF$3)/SQRT(1-Correlation2),TRUE))</f>
        <v>5.971001515751714E-3</v>
      </c>
      <c r="DG19" s="353">
        <f ca="1">IF($AN19&gt;CDS.Tenor,"-",_xlfn.NORM.S.DIST(($CR19-SQRT(Correlation2)*DG$3)/SQRT(1-Correlation2),TRUE))</f>
        <v>2.842943003994246E-3</v>
      </c>
      <c r="DH19" s="353">
        <f ca="1">IF($AN19&gt;CDS.Tenor,"-",_xlfn.NORM.S.DIST(($CR19-SQRT(Correlation2)*DH$3)/SQRT(1-Correlation2),TRUE))</f>
        <v>1.2769559208184766E-3</v>
      </c>
      <c r="DI19" s="353">
        <f ca="1">IF($AN19&gt;CDS.Tenor,"-",_xlfn.NORM.S.DIST(($CR19-SQRT(Correlation2)*DI$3)/SQRT(1-Correlation2),TRUE))</f>
        <v>5.4080084403649469E-4</v>
      </c>
      <c r="DJ19" s="353">
        <f ca="1">IF($AN19&gt;CDS.Tenor,"-",_xlfn.NORM.S.DIST(($CR19-SQRT(Correlation2)*DJ$3)/SQRT(1-Correlation2),TRUE))</f>
        <v>2.1585004012644851E-4</v>
      </c>
      <c r="DK19" s="353">
        <f ca="1">IF($AN19&gt;CDS.Tenor,"-",_xlfn.NORM.S.DIST(($CR19-SQRT(Correlation2)*DK$3)/SQRT(1-Correlation2),TRUE))</f>
        <v>8.1160962607135362E-5</v>
      </c>
      <c r="DL19" s="353">
        <f ca="1">IF($AN19&gt;CDS.Tenor,"-",_xlfn.NORM.S.DIST(($CR19-SQRT(Correlation2)*DL$3)/SQRT(1-Correlation2),TRUE))</f>
        <v>2.8739052466460406E-5</v>
      </c>
      <c r="DM19" s="353">
        <f ca="1">IF($AN19&gt;CDS.Tenor,"-",_xlfn.NORM.S.DIST(($CR19-SQRT(Correlation2)*DM$3)/SQRT(1-Correlation2),TRUE))</f>
        <v>9.5806981734929787E-6</v>
      </c>
      <c r="DN19" s="353">
        <f ca="1">IF($AN19&gt;CDS.Tenor,"-",_xlfn.NORM.S.DIST(($CR19-SQRT(Correlation2)*DN$3)/SQRT(1-Correlation2),TRUE))</f>
        <v>3.0061243825746695E-6</v>
      </c>
      <c r="DO19" s="354">
        <f ca="1">IF($AN19&gt;CDS.Tenor,"-",_xlfn.NORM.S.DIST(($CR19-SQRT(Correlation2)*DO$3)/SQRT(1-Correlation2),TRUE))</f>
        <v>8.8756735700006516E-7</v>
      </c>
      <c r="DQ19" s="358">
        <f t="shared" si="132"/>
        <v>3.75</v>
      </c>
      <c r="DR19" s="353">
        <f t="shared" ca="1" si="133"/>
        <v>0.40021511211796013</v>
      </c>
      <c r="DS19" s="353">
        <f t="shared" ca="1" si="134"/>
        <v>0.49949044154253053</v>
      </c>
      <c r="DT19" s="353">
        <f t="shared" ca="1" si="135"/>
        <v>0.59879750058092018</v>
      </c>
      <c r="DU19" s="353">
        <f t="shared" ca="1" si="136"/>
        <v>0.69207791199031554</v>
      </c>
      <c r="DV19" s="353">
        <f t="shared" ca="1" si="137"/>
        <v>0.77435374282615643</v>
      </c>
      <c r="DW19" s="353">
        <f t="shared" ca="1" si="138"/>
        <v>0.84249740613324808</v>
      </c>
      <c r="DX19" s="353">
        <f t="shared" ca="1" si="139"/>
        <v>0.89549423476685641</v>
      </c>
      <c r="DY19" s="353">
        <f t="shared" ca="1" si="140"/>
        <v>0.93419729114641081</v>
      </c>
      <c r="DZ19" s="353">
        <f t="shared" ca="1" si="141"/>
        <v>0.96073792762562327</v>
      </c>
      <c r="EA19" s="353">
        <f t="shared" ca="1" si="142"/>
        <v>0.97782815156780578</v>
      </c>
      <c r="EB19" s="353">
        <f t="shared" ca="1" si="143"/>
        <v>0.98816181055750096</v>
      </c>
      <c r="EC19" s="353">
        <f t="shared" ca="1" si="144"/>
        <v>0.99402899848424831</v>
      </c>
      <c r="ED19" s="353">
        <f t="shared" ca="1" si="145"/>
        <v>0.99715705699600576</v>
      </c>
      <c r="EE19" s="353">
        <f t="shared" ca="1" si="146"/>
        <v>0.99872304407918155</v>
      </c>
      <c r="EF19" s="353">
        <f t="shared" ca="1" si="147"/>
        <v>0.99945919915596348</v>
      </c>
      <c r="EG19" s="353">
        <f t="shared" ca="1" si="148"/>
        <v>0.99978414995987352</v>
      </c>
      <c r="EH19" s="353">
        <f t="shared" ca="1" si="149"/>
        <v>0.99991883903739287</v>
      </c>
      <c r="EI19" s="353">
        <f t="shared" ca="1" si="150"/>
        <v>0.99997126094753352</v>
      </c>
      <c r="EJ19" s="353">
        <f t="shared" ca="1" si="151"/>
        <v>0.99999041930182653</v>
      </c>
      <c r="EK19" s="353">
        <f t="shared" ca="1" si="152"/>
        <v>0.99999699387561747</v>
      </c>
      <c r="EL19" s="354">
        <f t="shared" ca="1" si="153"/>
        <v>0.99999911243264294</v>
      </c>
      <c r="EM19" s="17"/>
      <c r="EN19" s="17"/>
      <c r="EO19" s="343" cm="1">
        <f t="array" aca="1" ref="EO19" ca="1">IF($AN19&gt;CDS.Tenor,"-",flatInterpolation(CP19,INDIRECT(HazardRateTimes3),INDIRECT(HazardRateValues3)))</f>
        <v>7.4999999999999997E-3</v>
      </c>
      <c r="EP19" s="10">
        <f t="shared" ca="1" si="154"/>
        <v>0.97226682585186452</v>
      </c>
      <c r="EQ19" s="10">
        <f t="shared" ca="1" si="155"/>
        <v>2.7733174148135475E-2</v>
      </c>
      <c r="ER19" s="81">
        <f t="shared" ca="1" si="156"/>
        <v>-1.9152051317923746</v>
      </c>
      <c r="ET19" s="358">
        <f t="shared" si="157"/>
        <v>3.75</v>
      </c>
      <c r="EU19" s="353">
        <f ca="1">IF($AN19&gt;CDS.Tenor,"-",_xlfn.NORM.S.DIST(($ER19-SQRT(Correlation3)*EU$3)/SQRT(1-Correlation3),TRUE))</f>
        <v>0.96216369963157433</v>
      </c>
      <c r="EV19" s="353">
        <f ca="1">IF($AN19&gt;CDS.Tenor,"-",_xlfn.NORM.S.DIST(($ER19-SQRT(Correlation3)*EV$3)/SQRT(1-Correlation3),TRUE))</f>
        <v>0.91085608037606891</v>
      </c>
      <c r="EW19" s="353">
        <f ca="1">IF($AN19&gt;CDS.Tenor,"-",_xlfn.NORM.S.DIST(($ER19-SQRT(Correlation3)*EW$3)/SQRT(1-Correlation3),TRUE))</f>
        <v>0.82009441506529324</v>
      </c>
      <c r="EX19" s="353">
        <f ca="1">IF($AN19&gt;CDS.Tenor,"-",_xlfn.NORM.S.DIST(($ER19-SQRT(Correlation3)*EX$3)/SQRT(1-Correlation3),TRUE))</f>
        <v>0.68630524721465047</v>
      </c>
      <c r="EY19" s="353">
        <f ca="1">IF($AN19&gt;CDS.Tenor,"-",_xlfn.NORM.S.DIST(($ER19-SQRT(Correlation3)*EY$3)/SQRT(1-Correlation3),TRUE))</f>
        <v>0.52196417158830344</v>
      </c>
      <c r="EZ19" s="353">
        <f ca="1">IF($AN19&gt;CDS.Tenor,"-",_xlfn.NORM.S.DIST(($ER19-SQRT(Correlation3)*EZ$3)/SQRT(1-Correlation3),TRUE))</f>
        <v>0.35374222109535181</v>
      </c>
      <c r="FA19" s="353">
        <f ca="1">IF($AN19&gt;CDS.Tenor,"-",_xlfn.NORM.S.DIST(($ER19-SQRT(Correlation3)*FA$3)/SQRT(1-Correlation3),TRUE))</f>
        <v>0.21024909279338846</v>
      </c>
      <c r="FB19" s="353">
        <f ca="1">IF($AN19&gt;CDS.Tenor,"-",_xlfn.NORM.S.DIST(($ER19-SQRT(Correlation3)*FB$3)/SQRT(1-Correlation3),TRUE))</f>
        <v>0.10825199539394</v>
      </c>
      <c r="FC19" s="353">
        <f ca="1">IF($AN19&gt;CDS.Tenor,"-",_xlfn.NORM.S.DIST(($ER19-SQRT(Correlation3)*FC$3)/SQRT(1-Correlation3),TRUE))</f>
        <v>4.7836957253777991E-2</v>
      </c>
      <c r="FD19" s="353">
        <f ca="1">IF($AN19&gt;CDS.Tenor,"-",_xlfn.NORM.S.DIST(($ER19-SQRT(Correlation3)*FD$3)/SQRT(1-Correlation3),TRUE))</f>
        <v>1.8018092478550754E-2</v>
      </c>
      <c r="FE19" s="353">
        <f ca="1">IF($AN19&gt;CDS.Tenor,"-",_xlfn.NORM.S.DIST(($ER19-SQRT(Correlation3)*FE$3)/SQRT(1-Correlation3),TRUE))</f>
        <v>5.7547051339773897E-3</v>
      </c>
      <c r="FF19" s="353">
        <f ca="1">IF($AN19&gt;CDS.Tenor,"-",_xlfn.NORM.S.DIST(($ER19-SQRT(Correlation3)*FF$3)/SQRT(1-Correlation3),TRUE))</f>
        <v>1.5524347672637518E-3</v>
      </c>
      <c r="FG19" s="353">
        <f ca="1">IF($AN19&gt;CDS.Tenor,"-",_xlfn.NORM.S.DIST(($ER19-SQRT(Correlation3)*FG$3)/SQRT(1-Correlation3),TRUE))</f>
        <v>3.5268858281358356E-4</v>
      </c>
      <c r="FH19" s="353">
        <f ca="1">IF($AN19&gt;CDS.Tenor,"-",_xlfn.NORM.S.DIST(($ER19-SQRT(Correlation3)*FH$3)/SQRT(1-Correlation3),TRUE))</f>
        <v>6.7323201369238767E-5</v>
      </c>
      <c r="FI19" s="353">
        <f ca="1">IF($AN19&gt;CDS.Tenor,"-",_xlfn.NORM.S.DIST(($ER19-SQRT(Correlation3)*FI$3)/SQRT(1-Correlation3),TRUE))</f>
        <v>1.0778516228360332E-5</v>
      </c>
      <c r="FJ19" s="353">
        <f ca="1">IF($AN19&gt;CDS.Tenor,"-",_xlfn.NORM.S.DIST(($ER19-SQRT(Correlation3)*FJ$3)/SQRT(1-Correlation3),TRUE))</f>
        <v>1.4453130508904695E-6</v>
      </c>
      <c r="FK19" s="353">
        <f ca="1">IF($AN19&gt;CDS.Tenor,"-",_xlfn.NORM.S.DIST(($ER19-SQRT(Correlation3)*FK$3)/SQRT(1-Correlation3),TRUE))</f>
        <v>1.6213760069069443E-7</v>
      </c>
      <c r="FL19" s="353">
        <f ca="1">IF($AN19&gt;CDS.Tenor,"-",_xlfn.NORM.S.DIST(($ER19-SQRT(Correlation3)*FL$3)/SQRT(1-Correlation3),TRUE))</f>
        <v>1.5202948722809207E-8</v>
      </c>
      <c r="FM19" s="353">
        <f ca="1">IF($AN19&gt;CDS.Tenor,"-",_xlfn.NORM.S.DIST(($ER19-SQRT(Correlation3)*FM$3)/SQRT(1-Correlation3),TRUE))</f>
        <v>1.1906100634685707E-9</v>
      </c>
      <c r="FN19" s="353">
        <f ca="1">IF($AN19&gt;CDS.Tenor,"-",_xlfn.NORM.S.DIST(($ER19-SQRT(Correlation3)*FN$3)/SQRT(1-Correlation3),TRUE))</f>
        <v>7.7828818718888486E-11</v>
      </c>
      <c r="FO19" s="354">
        <f ca="1">IF($AN19&gt;CDS.Tenor,"-",_xlfn.NORM.S.DIST(($ER19-SQRT(Correlation3)*FO$3)/SQRT(1-Correlation3),TRUE))</f>
        <v>4.2444008749573877E-12</v>
      </c>
      <c r="FQ19" s="358">
        <f t="shared" si="158"/>
        <v>3.75</v>
      </c>
      <c r="FR19" s="353">
        <f t="shared" ca="1" si="159"/>
        <v>3.7836300368425668E-2</v>
      </c>
      <c r="FS19" s="353">
        <f t="shared" ca="1" si="160"/>
        <v>8.9143919623931089E-2</v>
      </c>
      <c r="FT19" s="353">
        <f t="shared" ca="1" si="161"/>
        <v>0.17990558493470676</v>
      </c>
      <c r="FU19" s="353">
        <f t="shared" ca="1" si="162"/>
        <v>0.31369475278534953</v>
      </c>
      <c r="FV19" s="353">
        <f t="shared" ca="1" si="163"/>
        <v>0.47803582841169656</v>
      </c>
      <c r="FW19" s="353">
        <f t="shared" ca="1" si="164"/>
        <v>0.64625777890464819</v>
      </c>
      <c r="FX19" s="353">
        <f t="shared" ca="1" si="165"/>
        <v>0.78975090720661156</v>
      </c>
      <c r="FY19" s="353">
        <f t="shared" ca="1" si="166"/>
        <v>0.89174800460605996</v>
      </c>
      <c r="FZ19" s="353">
        <f t="shared" ca="1" si="167"/>
        <v>0.95216304274622199</v>
      </c>
      <c r="GA19" s="353">
        <f t="shared" ca="1" si="168"/>
        <v>0.9819819075214492</v>
      </c>
      <c r="GB19" s="353">
        <f t="shared" ca="1" si="169"/>
        <v>0.99424529486602264</v>
      </c>
      <c r="GC19" s="353">
        <f t="shared" ca="1" si="170"/>
        <v>0.99844756523273626</v>
      </c>
      <c r="GD19" s="353">
        <f t="shared" ca="1" si="171"/>
        <v>0.99964731141718643</v>
      </c>
      <c r="GE19" s="353">
        <f t="shared" ca="1" si="172"/>
        <v>0.99993267679863074</v>
      </c>
      <c r="GF19" s="353">
        <f t="shared" ca="1" si="173"/>
        <v>0.99998922148377167</v>
      </c>
      <c r="GG19" s="353">
        <f t="shared" ca="1" si="174"/>
        <v>0.99999855468694909</v>
      </c>
      <c r="GH19" s="353">
        <f t="shared" ca="1" si="175"/>
        <v>0.99999983786239932</v>
      </c>
      <c r="GI19" s="353">
        <f t="shared" ca="1" si="176"/>
        <v>0.99999998479705132</v>
      </c>
      <c r="GJ19" s="353">
        <f t="shared" ca="1" si="177"/>
        <v>0.99999999880938995</v>
      </c>
      <c r="GK19" s="353">
        <f t="shared" ca="1" si="178"/>
        <v>0.99999999992217115</v>
      </c>
      <c r="GL19" s="354">
        <f t="shared" ca="1" si="179"/>
        <v>0.99999999999575562</v>
      </c>
      <c r="GO19" s="358">
        <f t="shared" si="180"/>
        <v>3.75</v>
      </c>
      <c r="GP19" s="353">
        <f t="shared" ca="1" si="181"/>
        <v>3.1952241923650215E-3</v>
      </c>
      <c r="GQ19" s="353">
        <f t="shared" ca="1" si="182"/>
        <v>1.4165387979665328E-2</v>
      </c>
      <c r="GR19" s="353">
        <f t="shared" ca="1" si="183"/>
        <v>4.7742088171006496E-2</v>
      </c>
      <c r="GS19" s="353">
        <f t="shared" ca="1" si="184"/>
        <v>0.12466005068239701</v>
      </c>
      <c r="GT19" s="353">
        <f t="shared" ca="1" si="185"/>
        <v>0.25817517156744396</v>
      </c>
      <c r="GU19" s="353">
        <f t="shared" ca="1" si="186"/>
        <v>0.43640831869891761</v>
      </c>
      <c r="GV19" s="353">
        <f t="shared" ca="1" si="187"/>
        <v>0.62264924153654622</v>
      </c>
      <c r="GW19" s="353">
        <f t="shared" ca="1" si="188"/>
        <v>0.77817551964027865</v>
      </c>
      <c r="GX19" s="353">
        <f t="shared" ca="1" si="189"/>
        <v>0.8845024061243304</v>
      </c>
      <c r="GY19" s="353">
        <f t="shared" ca="1" si="190"/>
        <v>0.94569758020223205</v>
      </c>
      <c r="GZ19" s="353">
        <f t="shared" ca="1" si="191"/>
        <v>0.97632445907124921</v>
      </c>
      <c r="HA19" s="353">
        <f t="shared" ca="1" si="192"/>
        <v>0.9901550078607152</v>
      </c>
      <c r="HB19" s="353">
        <f t="shared" ca="1" si="193"/>
        <v>0.99601123468125141</v>
      </c>
      <c r="HC19" s="353">
        <f t="shared" ca="1" si="194"/>
        <v>0.99841201156641568</v>
      </c>
      <c r="HD19" s="353">
        <f t="shared" ca="1" si="195"/>
        <v>0.99938095632832791</v>
      </c>
      <c r="HE19" s="353">
        <f t="shared" ca="1" si="196"/>
        <v>0.99976587522951699</v>
      </c>
      <c r="HF19" s="353">
        <f t="shared" ca="1" si="197"/>
        <v>0.99991489464511774</v>
      </c>
      <c r="HG19" s="353">
        <f t="shared" ca="1" si="198"/>
        <v>0.99997048023803203</v>
      </c>
      <c r="HH19" s="353">
        <f t="shared" ca="1" si="199"/>
        <v>0.9999902786389161</v>
      </c>
      <c r="HI19" s="353">
        <f t="shared" ca="1" si="200"/>
        <v>0.99999697093095807</v>
      </c>
      <c r="HJ19" s="354">
        <f t="shared" ca="1" si="201"/>
        <v>0.99999910905584288</v>
      </c>
      <c r="HK19" s="42"/>
      <c r="HL19" s="42"/>
      <c r="HM19" s="358">
        <f t="shared" si="202"/>
        <v>3.75</v>
      </c>
      <c r="HN19" s="362">
        <f t="shared" ca="1" si="203"/>
        <v>0.9378179872964294</v>
      </c>
      <c r="HO19" s="363">
        <f t="shared" ca="1" si="204"/>
        <v>3.901426896246063E-3</v>
      </c>
    </row>
    <row r="20" spans="2:223" x14ac:dyDescent="0.3">
      <c r="B20" s="114" t="s">
        <v>123</v>
      </c>
      <c r="C20" s="159"/>
      <c r="D20" s="378">
        <f ca="1">SUM(D21:D22)</f>
        <v>8425.3003234391217</v>
      </c>
      <c r="F20" s="338" t="s">
        <v>361</v>
      </c>
      <c r="G20" s="338" t="s">
        <v>360</v>
      </c>
      <c r="V20" s="370">
        <f t="shared" si="89"/>
        <v>4</v>
      </c>
      <c r="W20" s="371">
        <f t="shared" si="90"/>
        <v>-25000</v>
      </c>
      <c r="X20" s="348">
        <f t="shared" ca="1" si="91"/>
        <v>0.9339440836287739</v>
      </c>
      <c r="Y20" s="348">
        <f t="shared" ca="1" si="92"/>
        <v>3.8739036676554983E-3</v>
      </c>
      <c r="Z20" s="372" cm="1">
        <f t="array" ref="Z20">IF($V20&gt;CDS.Tenor,"-",cubicInterpolation(CurveResults.Times,CurveResults.DFs,$V20))</f>
        <v>0.84616093081343713</v>
      </c>
      <c r="AA20" s="371">
        <f t="shared" ca="1" si="93"/>
        <v>-19756.674878275648</v>
      </c>
      <c r="AB20" s="371">
        <f t="shared" ca="1" si="94"/>
        <v>-40.974324166312059</v>
      </c>
      <c r="AC20" s="373">
        <f t="shared" ca="1" si="95"/>
        <v>-19797.64920244196</v>
      </c>
      <c r="AF20" s="370">
        <f t="shared" si="96"/>
        <v>4</v>
      </c>
      <c r="AG20" s="371">
        <f t="shared" si="97"/>
        <v>6000000</v>
      </c>
      <c r="AH20" s="348">
        <f t="shared" ca="1" si="98"/>
        <v>0.9339440836287739</v>
      </c>
      <c r="AI20" s="348">
        <f t="shared" ca="1" si="99"/>
        <v>3.8739036676554983E-3</v>
      </c>
      <c r="AJ20" s="372" cm="1">
        <f t="array" ref="AJ20">IF($AF20&gt;CDS.Tenor,"-",cubicInterpolation(CurveResults.Times,CurveResults.DFs,$V20))</f>
        <v>0.84616093081343713</v>
      </c>
      <c r="AK20" s="373">
        <f t="shared" ca="1" si="100"/>
        <v>19667.675599829785</v>
      </c>
      <c r="AN20" s="358">
        <f t="shared" si="101"/>
        <v>4</v>
      </c>
      <c r="AO20" s="343" cm="1">
        <f t="array" aca="1" ref="AO20" ca="1">IF($AN20&gt;CDS.Tenor,"-",flatInterpolation(AM20,INDIRECT(HazardRateTimes1),INDIRECT(HazardRateValues1)))</f>
        <v>5.0000000000000001E-3</v>
      </c>
      <c r="AP20" s="10">
        <f t="shared" ca="1" si="102"/>
        <v>0.98019867330675592</v>
      </c>
      <c r="AQ20" s="10">
        <f t="shared" ca="1" si="103"/>
        <v>1.9801326693244081E-2</v>
      </c>
      <c r="AR20" s="81">
        <f t="shared" ca="1" si="104"/>
        <v>-2.0578695923363179</v>
      </c>
      <c r="AT20" s="358">
        <f t="shared" si="105"/>
        <v>4</v>
      </c>
      <c r="AU20" s="353">
        <f ca="1">IF($AN20&gt;CDS.Tenor,"-",_xlfn.NORM.S.DIST(($AR20-SQRT(Correlation1)*AU$3)/SQRT(1-Correlation1),TRUE))</f>
        <v>0.79796163820407673</v>
      </c>
      <c r="AV20" s="353">
        <f ca="1">IF($AN20&gt;CDS.Tenor,"-",_xlfn.NORM.S.DIST(($AR20-SQRT(Correlation1)*AV$3)/SQRT(1-Correlation1),TRUE))</f>
        <v>0.69299529825406103</v>
      </c>
      <c r="AW20" s="353">
        <f ca="1">IF($AN20&gt;CDS.Tenor,"-",_xlfn.NORM.S.DIST(($AR20-SQRT(Correlation1)*AW$3)/SQRT(1-Correlation1),TRUE))</f>
        <v>0.56920663218543899</v>
      </c>
      <c r="AX20" s="353">
        <f ca="1">IF($AN20&gt;CDS.Tenor,"-",_xlfn.NORM.S.DIST(($AR20-SQRT(Correlation1)*AX$3)/SQRT(1-Correlation1),TRUE))</f>
        <v>0.43815474732694276</v>
      </c>
      <c r="AY20" s="353">
        <f ca="1">IF($AN20&gt;CDS.Tenor,"-",_xlfn.NORM.S.DIST(($AR20-SQRT(Correlation1)*AY$3)/SQRT(1-Correlation1),TRUE))</f>
        <v>0.31360653865510524</v>
      </c>
      <c r="AZ20" s="353">
        <f ca="1">IF($AN20&gt;CDS.Tenor,"-",_xlfn.NORM.S.DIST(($AR20-SQRT(Correlation1)*AZ$3)/SQRT(1-Correlation1),TRUE))</f>
        <v>0.20734813483290768</v>
      </c>
      <c r="BA20" s="353">
        <f ca="1">IF($AN20&gt;CDS.Tenor,"-",_xlfn.NORM.S.DIST(($AR20-SQRT(Correlation1)*BA$3)/SQRT(1-Correlation1),TRUE))</f>
        <v>0.12596771261984102</v>
      </c>
      <c r="BB20" s="353">
        <f ca="1">IF($AN20&gt;CDS.Tenor,"-",_xlfn.NORM.S.DIST(($AR20-SQRT(Correlation1)*BB$3)/SQRT(1-Correlation1),TRUE))</f>
        <v>7.0016925433321817E-2</v>
      </c>
      <c r="BC20" s="353">
        <f ca="1">IF($AN20&gt;CDS.Tenor,"-",_xlfn.NORM.S.DIST(($AR20-SQRT(Correlation1)*BC$3)/SQRT(1-Correlation1),TRUE))</f>
        <v>3.5485035591804555E-2</v>
      </c>
      <c r="BD20" s="353">
        <f ca="1">IF($AN20&gt;CDS.Tenor,"-",_xlfn.NORM.S.DIST(($AR20-SQRT(Correlation1)*BD$3)/SQRT(1-Correlation1),TRUE))</f>
        <v>1.6353044666211552E-2</v>
      </c>
      <c r="BE20" s="353">
        <f ca="1">IF($AN20&gt;CDS.Tenor,"-",_xlfn.NORM.S.DIST(($AR20-SQRT(Correlation1)*BE$3)/SQRT(1-Correlation1),TRUE))</f>
        <v>6.837733820534546E-3</v>
      </c>
      <c r="BF20" s="353">
        <f ca="1">IF($AN20&gt;CDS.Tenor,"-",_xlfn.NORM.S.DIST(($AR20-SQRT(Correlation1)*BF$3)/SQRT(1-Correlation1),TRUE))</f>
        <v>2.5895269638743449E-3</v>
      </c>
      <c r="BG20" s="353">
        <f ca="1">IF($AN20&gt;CDS.Tenor,"-",_xlfn.NORM.S.DIST(($AR20-SQRT(Correlation1)*BG$3)/SQRT(1-Correlation1),TRUE))</f>
        <v>8.8695836201251109E-4</v>
      </c>
      <c r="BH20" s="353">
        <f ca="1">IF($AN20&gt;CDS.Tenor,"-",_xlfn.NORM.S.DIST(($AR20-SQRT(Correlation1)*BH$3)/SQRT(1-Correlation1),TRUE))</f>
        <v>2.7444455507230159E-4</v>
      </c>
      <c r="BI20" s="353">
        <f ca="1">IF($AN20&gt;CDS.Tenor,"-",_xlfn.NORM.S.DIST(($AR20-SQRT(Correlation1)*BI$3)/SQRT(1-Correlation1),TRUE))</f>
        <v>7.6640562156438802E-5</v>
      </c>
      <c r="BJ20" s="353">
        <f ca="1">IF($AN20&gt;CDS.Tenor,"-",_xlfn.NORM.S.DIST(($AR20-SQRT(Correlation1)*BJ$3)/SQRT(1-Correlation1),TRUE))</f>
        <v>1.9300604484142688E-5</v>
      </c>
      <c r="BK20" s="353">
        <f ca="1">IF($AN20&gt;CDS.Tenor,"-",_xlfn.NORM.S.DIST(($AR20-SQRT(Correlation1)*BK$3)/SQRT(1-Correlation1),TRUE))</f>
        <v>4.3802993277674788E-6</v>
      </c>
      <c r="BL20" s="353">
        <f ca="1">IF($AN20&gt;CDS.Tenor,"-",_xlfn.NORM.S.DIST(($AR20-SQRT(Correlation1)*BL$3)/SQRT(1-Correlation1),TRUE))</f>
        <v>8.9539692499888107E-7</v>
      </c>
      <c r="BM20" s="353">
        <f ca="1">IF($AN20&gt;CDS.Tenor,"-",_xlfn.NORM.S.DIST(($AR20-SQRT(Correlation1)*BM$3)/SQRT(1-Correlation1),TRUE))</f>
        <v>1.647789355627599E-7</v>
      </c>
      <c r="BN20" s="353">
        <f ca="1">IF($AN20&gt;CDS.Tenor,"-",_xlfn.NORM.S.DIST(($AR20-SQRT(Correlation1)*BN$3)/SQRT(1-Correlation1),TRUE))</f>
        <v>2.7289001389119942E-8</v>
      </c>
      <c r="BO20" s="354">
        <f ca="1">IF($AN20&gt;CDS.Tenor,"-",_xlfn.NORM.S.DIST(($AR20-SQRT(Correlation1)*BO$3)/SQRT(1-Correlation1),TRUE))</f>
        <v>4.0655923013248064E-9</v>
      </c>
      <c r="BQ20" s="358">
        <f t="shared" si="106"/>
        <v>4</v>
      </c>
      <c r="BR20" s="353">
        <f t="shared" ca="1" si="107"/>
        <v>0.20203836179592327</v>
      </c>
      <c r="BS20" s="353">
        <f t="shared" ca="1" si="108"/>
        <v>0.30700470174593897</v>
      </c>
      <c r="BT20" s="353">
        <f t="shared" ca="1" si="109"/>
        <v>0.43079336781456101</v>
      </c>
      <c r="BU20" s="353">
        <f t="shared" ca="1" si="110"/>
        <v>0.56184525267305729</v>
      </c>
      <c r="BV20" s="353">
        <f t="shared" ca="1" si="111"/>
        <v>0.68639346134489476</v>
      </c>
      <c r="BW20" s="353">
        <f t="shared" ca="1" si="112"/>
        <v>0.7926518651670923</v>
      </c>
      <c r="BX20" s="353">
        <f t="shared" ca="1" si="113"/>
        <v>0.87403228738015892</v>
      </c>
      <c r="BY20" s="353">
        <f t="shared" ca="1" si="114"/>
        <v>0.92998307456667817</v>
      </c>
      <c r="BZ20" s="353">
        <f t="shared" ca="1" si="115"/>
        <v>0.9645149644081954</v>
      </c>
      <c r="CA20" s="353">
        <f t="shared" ca="1" si="116"/>
        <v>0.98364695533378843</v>
      </c>
      <c r="CB20" s="353">
        <f t="shared" ca="1" si="117"/>
        <v>0.99316226617946546</v>
      </c>
      <c r="CC20" s="353">
        <f t="shared" ca="1" si="118"/>
        <v>0.99741047303612562</v>
      </c>
      <c r="CD20" s="353">
        <f t="shared" ca="1" si="119"/>
        <v>0.99911304163798753</v>
      </c>
      <c r="CE20" s="353">
        <f t="shared" ca="1" si="120"/>
        <v>0.99972555544492769</v>
      </c>
      <c r="CF20" s="353">
        <f t="shared" ca="1" si="121"/>
        <v>0.99992335943784361</v>
      </c>
      <c r="CG20" s="353">
        <f t="shared" ca="1" si="122"/>
        <v>0.99998069939551582</v>
      </c>
      <c r="CH20" s="353">
        <f t="shared" ca="1" si="123"/>
        <v>0.99999561970067219</v>
      </c>
      <c r="CI20" s="353">
        <f t="shared" ca="1" si="124"/>
        <v>0.99999910460307495</v>
      </c>
      <c r="CJ20" s="353">
        <f t="shared" ca="1" si="125"/>
        <v>0.99999983522106439</v>
      </c>
      <c r="CK20" s="353">
        <f t="shared" ca="1" si="126"/>
        <v>0.99999997271099861</v>
      </c>
      <c r="CL20" s="354">
        <f t="shared" ca="1" si="127"/>
        <v>0.99999999593440769</v>
      </c>
      <c r="CM20" s="17"/>
      <c r="CN20" s="17"/>
      <c r="CO20" s="343" cm="1">
        <f t="array" aca="1" ref="CO20" ca="1">IF($AN20&gt;CDS.Tenor,"-",flatInterpolation(AN20,INDIRECT(HazardRateTimes2),INDIRECT(HazardRateValues2)))</f>
        <v>5.8333333333333336E-3</v>
      </c>
      <c r="CP20" s="10">
        <f t="shared" ca="1" si="128"/>
        <v>0.97693678389834759</v>
      </c>
      <c r="CQ20" s="10">
        <f t="shared" ca="1" si="129"/>
        <v>2.3063216101652406E-2</v>
      </c>
      <c r="CR20" s="81">
        <f t="shared" ca="1" si="130"/>
        <v>-1.9942345120077234</v>
      </c>
      <c r="CT20" s="358">
        <f t="shared" si="131"/>
        <v>4</v>
      </c>
      <c r="CU20" s="353">
        <f ca="1">IF($AN20&gt;CDS.Tenor,"-",_xlfn.NORM.S.DIST(($CR20-SQRT(Correlation2)*CU$3)/SQRT(1-Correlation2),TRUE))</f>
        <v>0.61133622916339969</v>
      </c>
      <c r="CV20" s="353">
        <f ca="1">IF($AN20&gt;CDS.Tenor,"-",_xlfn.NORM.S.DIST(($CR20-SQRT(Correlation2)*CV$3)/SQRT(1-Correlation2),TRUE))</f>
        <v>0.51248099925989865</v>
      </c>
      <c r="CW20" s="353">
        <f ca="1">IF($AN20&gt;CDS.Tenor,"-",_xlfn.NORM.S.DIST(($CR20-SQRT(Correlation2)*CW$3)/SQRT(1-Correlation2),TRUE))</f>
        <v>0.41284884121937115</v>
      </c>
      <c r="CX20" s="353">
        <f ca="1">IF($AN20&gt;CDS.Tenor,"-",_xlfn.NORM.S.DIST(($CR20-SQRT(Correlation2)*CX$3)/SQRT(1-Correlation2),TRUE))</f>
        <v>0.31855768184105182</v>
      </c>
      <c r="CY20" s="353">
        <f ca="1">IF($AN20&gt;CDS.Tenor,"-",_xlfn.NORM.S.DIST(($CR20-SQRT(Correlation2)*CY$3)/SQRT(1-Correlation2),TRUE))</f>
        <v>0.23476349025020785</v>
      </c>
      <c r="CZ20" s="353">
        <f ca="1">IF($AN20&gt;CDS.Tenor,"-",_xlfn.NORM.S.DIST(($CR20-SQRT(Correlation2)*CZ$3)/SQRT(1-Correlation2),TRUE))</f>
        <v>0.16483917075858706</v>
      </c>
      <c r="DA20" s="353">
        <f ca="1">IF($AN20&gt;CDS.Tenor,"-",_xlfn.NORM.S.DIST(($CR20-SQRT(Correlation2)*DA$3)/SQRT(1-Correlation2),TRUE))</f>
        <v>0.11004759258651242</v>
      </c>
      <c r="DB20" s="353">
        <f ca="1">IF($AN20&gt;CDS.Tenor,"-",_xlfn.NORM.S.DIST(($CR20-SQRT(Correlation2)*DB$3)/SQRT(1-Correlation2),TRUE))</f>
        <v>6.9732247934648425E-2</v>
      </c>
      <c r="DC20" s="353">
        <f ca="1">IF($AN20&gt;CDS.Tenor,"-",_xlfn.NORM.S.DIST(($CR20-SQRT(Correlation2)*DC$3)/SQRT(1-Correlation2),TRUE))</f>
        <v>4.1877600141191872E-2</v>
      </c>
      <c r="DD20" s="353">
        <f ca="1">IF($AN20&gt;CDS.Tenor,"-",_xlfn.NORM.S.DIST(($CR20-SQRT(Correlation2)*DD$3)/SQRT(1-Correlation2),TRUE))</f>
        <v>2.3806052019266638E-2</v>
      </c>
      <c r="DE20" s="353">
        <f ca="1">IF($AN20&gt;CDS.Tenor,"-",_xlfn.NORM.S.DIST(($CR20-SQRT(Correlation2)*DE$3)/SQRT(1-Correlation2),TRUE))</f>
        <v>1.2796667303271798E-2</v>
      </c>
      <c r="DF20" s="353">
        <f ca="1">IF($AN20&gt;CDS.Tenor,"-",_xlfn.NORM.S.DIST(($CR20-SQRT(Correlation2)*DF$3)/SQRT(1-Correlation2),TRUE))</f>
        <v>6.4987015399306765E-3</v>
      </c>
      <c r="DG20" s="353">
        <f ca="1">IF($AN20&gt;CDS.Tenor,"-",_xlfn.NORM.S.DIST(($CR20-SQRT(Correlation2)*DG$3)/SQRT(1-Correlation2),TRUE))</f>
        <v>3.1156656764610171E-3</v>
      </c>
      <c r="DH20" s="353">
        <f ca="1">IF($AN20&gt;CDS.Tenor,"-",_xlfn.NORM.S.DIST(($CR20-SQRT(Correlation2)*DH$3)/SQRT(1-Correlation2),TRUE))</f>
        <v>1.4092634245051981E-3</v>
      </c>
      <c r="DI20" s="353">
        <f ca="1">IF($AN20&gt;CDS.Tenor,"-",_xlfn.NORM.S.DIST(($CR20-SQRT(Correlation2)*DI$3)/SQRT(1-Correlation2),TRUE))</f>
        <v>6.0105358501905809E-4</v>
      </c>
      <c r="DJ20" s="353">
        <f ca="1">IF($AN20&gt;CDS.Tenor,"-",_xlfn.NORM.S.DIST(($CR20-SQRT(Correlation2)*DJ$3)/SQRT(1-Correlation2),TRUE))</f>
        <v>2.4160721595021126E-4</v>
      </c>
      <c r="DK20" s="353">
        <f ca="1">IF($AN20&gt;CDS.Tenor,"-",_xlfn.NORM.S.DIST(($CR20-SQRT(Correlation2)*DK$3)/SQRT(1-Correlation2),TRUE))</f>
        <v>9.1496874007486684E-5</v>
      </c>
      <c r="DL20" s="353">
        <f ca="1">IF($AN20&gt;CDS.Tenor,"-",_xlfn.NORM.S.DIST(($CR20-SQRT(Correlation2)*DL$3)/SQRT(1-Correlation2),TRUE))</f>
        <v>3.2632446994531953E-5</v>
      </c>
      <c r="DM20" s="353">
        <f ca="1">IF($AN20&gt;CDS.Tenor,"-",_xlfn.NORM.S.DIST(($CR20-SQRT(Correlation2)*DM$3)/SQRT(1-Correlation2),TRUE))</f>
        <v>1.0957391322621504E-5</v>
      </c>
      <c r="DN20" s="353">
        <f ca="1">IF($AN20&gt;CDS.Tenor,"-",_xlfn.NORM.S.DIST(($CR20-SQRT(Correlation2)*DN$3)/SQRT(1-Correlation2),TRUE))</f>
        <v>3.4630810188599416E-6</v>
      </c>
      <c r="DO20" s="354">
        <f ca="1">IF($AN20&gt;CDS.Tenor,"-",_xlfn.NORM.S.DIST(($CR20-SQRT(Correlation2)*DO$3)/SQRT(1-Correlation2),TRUE))</f>
        <v>1.029945041897344E-6</v>
      </c>
      <c r="DQ20" s="358">
        <f t="shared" si="132"/>
        <v>4</v>
      </c>
      <c r="DR20" s="353">
        <f t="shared" ca="1" si="133"/>
        <v>0.38866377083660031</v>
      </c>
      <c r="DS20" s="353">
        <f t="shared" ca="1" si="134"/>
        <v>0.48751900074010135</v>
      </c>
      <c r="DT20" s="353">
        <f t="shared" ca="1" si="135"/>
        <v>0.58715115878062885</v>
      </c>
      <c r="DU20" s="353">
        <f t="shared" ca="1" si="136"/>
        <v>0.68144231815894818</v>
      </c>
      <c r="DV20" s="353">
        <f t="shared" ca="1" si="137"/>
        <v>0.76523650974979218</v>
      </c>
      <c r="DW20" s="353">
        <f t="shared" ca="1" si="138"/>
        <v>0.83516082924141299</v>
      </c>
      <c r="DX20" s="353">
        <f t="shared" ca="1" si="139"/>
        <v>0.88995240741348758</v>
      </c>
      <c r="DY20" s="353">
        <f t="shared" ca="1" si="140"/>
        <v>0.93026775206535162</v>
      </c>
      <c r="DZ20" s="353">
        <f t="shared" ca="1" si="141"/>
        <v>0.95812239985880809</v>
      </c>
      <c r="EA20" s="353">
        <f t="shared" ca="1" si="142"/>
        <v>0.97619394798073333</v>
      </c>
      <c r="EB20" s="353">
        <f t="shared" ca="1" si="143"/>
        <v>0.98720333269672822</v>
      </c>
      <c r="EC20" s="353">
        <f t="shared" ca="1" si="144"/>
        <v>0.99350129846006929</v>
      </c>
      <c r="ED20" s="353">
        <f t="shared" ca="1" si="145"/>
        <v>0.99688433432353896</v>
      </c>
      <c r="EE20" s="353">
        <f t="shared" ca="1" si="146"/>
        <v>0.9985907365754948</v>
      </c>
      <c r="EF20" s="353">
        <f t="shared" ca="1" si="147"/>
        <v>0.99939894641498095</v>
      </c>
      <c r="EG20" s="353">
        <f t="shared" ca="1" si="148"/>
        <v>0.99975839278404977</v>
      </c>
      <c r="EH20" s="353">
        <f t="shared" ca="1" si="149"/>
        <v>0.99990850312599255</v>
      </c>
      <c r="EI20" s="353">
        <f t="shared" ca="1" si="150"/>
        <v>0.99996736755300542</v>
      </c>
      <c r="EJ20" s="353">
        <f t="shared" ca="1" si="151"/>
        <v>0.99998904260867738</v>
      </c>
      <c r="EK20" s="353">
        <f t="shared" ca="1" si="152"/>
        <v>0.99999653691898116</v>
      </c>
      <c r="EL20" s="354">
        <f t="shared" ca="1" si="153"/>
        <v>0.99999897005495808</v>
      </c>
      <c r="EM20" s="17"/>
      <c r="EN20" s="17"/>
      <c r="EO20" s="343" cm="1">
        <f t="array" aca="1" ref="EO20" ca="1">IF($AN20&gt;CDS.Tenor,"-",flatInterpolation(CP20,INDIRECT(HazardRateTimes3),INDIRECT(HazardRateValues3)))</f>
        <v>7.4999999999999997E-3</v>
      </c>
      <c r="EP20" s="10">
        <f t="shared" ca="1" si="154"/>
        <v>0.97044553354850838</v>
      </c>
      <c r="EQ20" s="10">
        <f t="shared" ca="1" si="155"/>
        <v>2.9554466451491623E-2</v>
      </c>
      <c r="ER20" s="81">
        <f t="shared" ca="1" si="156"/>
        <v>-1.8873822342171713</v>
      </c>
      <c r="ET20" s="358">
        <f t="shared" si="157"/>
        <v>4</v>
      </c>
      <c r="EU20" s="353">
        <f ca="1">IF($AN20&gt;CDS.Tenor,"-",_xlfn.NORM.S.DIST(($ER20-SQRT(Correlation3)*EU$3)/SQRT(1-Correlation3),TRUE))</f>
        <v>0.96508982659185427</v>
      </c>
      <c r="EV20" s="353">
        <f ca="1">IF($AN20&gt;CDS.Tenor,"-",_xlfn.NORM.S.DIST(($ER20-SQRT(Correlation3)*EV$3)/SQRT(1-Correlation3),TRUE))</f>
        <v>0.91662982288484263</v>
      </c>
      <c r="EW20" s="353">
        <f ca="1">IF($AN20&gt;CDS.Tenor,"-",_xlfn.NORM.S.DIST(($ER20-SQRT(Correlation3)*EW$3)/SQRT(1-Correlation3),TRUE))</f>
        <v>0.82956136038658579</v>
      </c>
      <c r="EX20" s="353">
        <f ca="1">IF($AN20&gt;CDS.Tenor,"-",_xlfn.NORM.S.DIST(($ER20-SQRT(Correlation3)*EX$3)/SQRT(1-Correlation3),TRUE))</f>
        <v>0.69920408369238718</v>
      </c>
      <c r="EY20" s="353">
        <f ca="1">IF($AN20&gt;CDS.Tenor,"-",_xlfn.NORM.S.DIST(($ER20-SQRT(Correlation3)*EY$3)/SQRT(1-Correlation3),TRUE))</f>
        <v>0.53656842691895223</v>
      </c>
      <c r="EZ20" s="353">
        <f ca="1">IF($AN20&gt;CDS.Tenor,"-",_xlfn.NORM.S.DIST(($ER20-SQRT(Correlation3)*EZ$3)/SQRT(1-Correlation3),TRUE))</f>
        <v>0.36748253040539142</v>
      </c>
      <c r="FA20" s="353">
        <f ca="1">IF($AN20&gt;CDS.Tenor,"-",_xlfn.NORM.S.DIST(($ER20-SQRT(Correlation3)*FA$3)/SQRT(1-Correlation3),TRUE))</f>
        <v>0.22099150500334952</v>
      </c>
      <c r="FB20" s="353">
        <f ca="1">IF($AN20&gt;CDS.Tenor,"-",_xlfn.NORM.S.DIST(($ER20-SQRT(Correlation3)*FB$3)/SQRT(1-Correlation3),TRUE))</f>
        <v>0.11523102962749419</v>
      </c>
      <c r="FC20" s="353">
        <f ca="1">IF($AN20&gt;CDS.Tenor,"-",_xlfn.NORM.S.DIST(($ER20-SQRT(Correlation3)*FC$3)/SQRT(1-Correlation3),TRUE))</f>
        <v>5.1604663673035928E-2</v>
      </c>
      <c r="FD20" s="353">
        <f ca="1">IF($AN20&gt;CDS.Tenor,"-",_xlfn.NORM.S.DIST(($ER20-SQRT(Correlation3)*FD$3)/SQRT(1-Correlation3),TRUE))</f>
        <v>1.9708327094589043E-2</v>
      </c>
      <c r="FE20" s="353">
        <f ca="1">IF($AN20&gt;CDS.Tenor,"-",_xlfn.NORM.S.DIST(($ER20-SQRT(Correlation3)*FE$3)/SQRT(1-Correlation3),TRUE))</f>
        <v>6.3847988347111593E-3</v>
      </c>
      <c r="FF20" s="353">
        <f ca="1">IF($AN20&gt;CDS.Tenor,"-",_xlfn.NORM.S.DIST(($ER20-SQRT(Correlation3)*FF$3)/SQRT(1-Correlation3),TRUE))</f>
        <v>1.7476220382257805E-3</v>
      </c>
      <c r="FG20" s="353">
        <f ca="1">IF($AN20&gt;CDS.Tenor,"-",_xlfn.NORM.S.DIST(($ER20-SQRT(Correlation3)*FG$3)/SQRT(1-Correlation3),TRUE))</f>
        <v>4.0293279635790556E-4</v>
      </c>
      <c r="FH20" s="353">
        <f ca="1">IF($AN20&gt;CDS.Tenor,"-",_xlfn.NORM.S.DIST(($ER20-SQRT(Correlation3)*FH$3)/SQRT(1-Correlation3),TRUE))</f>
        <v>7.8070735143272405E-5</v>
      </c>
      <c r="FI20" s="353">
        <f ca="1">IF($AN20&gt;CDS.Tenor,"-",_xlfn.NORM.S.DIST(($ER20-SQRT(Correlation3)*FI$3)/SQRT(1-Correlation3),TRUE))</f>
        <v>1.2688896337102346E-5</v>
      </c>
      <c r="FJ20" s="353">
        <f ca="1">IF($AN20&gt;CDS.Tenor,"-",_xlfn.NORM.S.DIST(($ER20-SQRT(Correlation3)*FJ$3)/SQRT(1-Correlation3),TRUE))</f>
        <v>1.7274883262454744E-6</v>
      </c>
      <c r="FK20" s="353">
        <f ca="1">IF($AN20&gt;CDS.Tenor,"-",_xlfn.NORM.S.DIST(($ER20-SQRT(Correlation3)*FK$3)/SQRT(1-Correlation3),TRUE))</f>
        <v>1.967718936555644E-7</v>
      </c>
      <c r="FL20" s="353">
        <f ca="1">IF($AN20&gt;CDS.Tenor,"-",_xlfn.NORM.S.DIST(($ER20-SQRT(Correlation3)*FL$3)/SQRT(1-Correlation3),TRUE))</f>
        <v>1.8735446450434537E-8</v>
      </c>
      <c r="FM20" s="353">
        <f ca="1">IF($AN20&gt;CDS.Tenor,"-",_xlfn.NORM.S.DIST(($ER20-SQRT(Correlation3)*FM$3)/SQRT(1-Correlation3),TRUE))</f>
        <v>1.4900058261101953E-9</v>
      </c>
      <c r="FN20" s="353">
        <f ca="1">IF($AN20&gt;CDS.Tenor,"-",_xlfn.NORM.S.DIST(($ER20-SQRT(Correlation3)*FN$3)/SQRT(1-Correlation3),TRUE))</f>
        <v>9.891498360406636E-11</v>
      </c>
      <c r="FO20" s="354">
        <f ca="1">IF($AN20&gt;CDS.Tenor,"-",_xlfn.NORM.S.DIST(($ER20-SQRT(Correlation3)*FO$3)/SQRT(1-Correlation3),TRUE))</f>
        <v>5.4784650194109176E-12</v>
      </c>
      <c r="FQ20" s="358">
        <f t="shared" si="158"/>
        <v>4</v>
      </c>
      <c r="FR20" s="353">
        <f t="shared" ca="1" si="159"/>
        <v>3.4910173408145728E-2</v>
      </c>
      <c r="FS20" s="353">
        <f t="shared" ca="1" si="160"/>
        <v>8.3370177115157373E-2</v>
      </c>
      <c r="FT20" s="353">
        <f t="shared" ca="1" si="161"/>
        <v>0.17043863961341421</v>
      </c>
      <c r="FU20" s="353">
        <f t="shared" ca="1" si="162"/>
        <v>0.30079591630761282</v>
      </c>
      <c r="FV20" s="353">
        <f t="shared" ca="1" si="163"/>
        <v>0.46343157308104777</v>
      </c>
      <c r="FW20" s="353">
        <f t="shared" ca="1" si="164"/>
        <v>0.63251746959460853</v>
      </c>
      <c r="FX20" s="353">
        <f t="shared" ca="1" si="165"/>
        <v>0.77900849499665048</v>
      </c>
      <c r="FY20" s="353">
        <f t="shared" ca="1" si="166"/>
        <v>0.88476897037250579</v>
      </c>
      <c r="FZ20" s="353">
        <f t="shared" ca="1" si="167"/>
        <v>0.94839533632696404</v>
      </c>
      <c r="GA20" s="353">
        <f t="shared" ca="1" si="168"/>
        <v>0.98029167290541097</v>
      </c>
      <c r="GB20" s="353">
        <f t="shared" ca="1" si="169"/>
        <v>0.99361520116528879</v>
      </c>
      <c r="GC20" s="353">
        <f t="shared" ca="1" si="170"/>
        <v>0.99825237796177424</v>
      </c>
      <c r="GD20" s="353">
        <f t="shared" ca="1" si="171"/>
        <v>0.99959706720364205</v>
      </c>
      <c r="GE20" s="353">
        <f t="shared" ca="1" si="172"/>
        <v>0.99992192926485668</v>
      </c>
      <c r="GF20" s="353">
        <f t="shared" ca="1" si="173"/>
        <v>0.9999873111036629</v>
      </c>
      <c r="GG20" s="353">
        <f t="shared" ca="1" si="174"/>
        <v>0.99999827251167372</v>
      </c>
      <c r="GH20" s="353">
        <f t="shared" ca="1" si="175"/>
        <v>0.99999980322810633</v>
      </c>
      <c r="GI20" s="353">
        <f t="shared" ca="1" si="176"/>
        <v>0.99999998126455358</v>
      </c>
      <c r="GJ20" s="353">
        <f t="shared" ca="1" si="177"/>
        <v>0.99999999850999421</v>
      </c>
      <c r="GK20" s="353">
        <f t="shared" ca="1" si="178"/>
        <v>0.99999999990108501</v>
      </c>
      <c r="GL20" s="354">
        <f t="shared" ca="1" si="179"/>
        <v>0.99999999999452149</v>
      </c>
      <c r="GO20" s="358">
        <f t="shared" si="180"/>
        <v>4</v>
      </c>
      <c r="GP20" s="353">
        <f t="shared" ca="1" si="181"/>
        <v>2.7413210718575955E-3</v>
      </c>
      <c r="GQ20" s="353">
        <f t="shared" ca="1" si="182"/>
        <v>1.2478066550009442E-2</v>
      </c>
      <c r="GR20" s="353">
        <f t="shared" ca="1" si="183"/>
        <v>4.3110890133987709E-2</v>
      </c>
      <c r="GS20" s="353">
        <f t="shared" ca="1" si="184"/>
        <v>0.1151642680301584</v>
      </c>
      <c r="GT20" s="353">
        <f t="shared" ca="1" si="185"/>
        <v>0.24341898008120044</v>
      </c>
      <c r="GU20" s="353">
        <f t="shared" ca="1" si="186"/>
        <v>0.41872137127872194</v>
      </c>
      <c r="GV20" s="353">
        <f t="shared" ca="1" si="187"/>
        <v>0.60594952855317341</v>
      </c>
      <c r="GW20" s="353">
        <f t="shared" ca="1" si="188"/>
        <v>0.76544306743306234</v>
      </c>
      <c r="GX20" s="353">
        <f t="shared" ca="1" si="189"/>
        <v>0.87643431554140272</v>
      </c>
      <c r="GY20" s="353">
        <f t="shared" ca="1" si="190"/>
        <v>0.94130567378527041</v>
      </c>
      <c r="GZ20" s="353">
        <f t="shared" ca="1" si="191"/>
        <v>0.97419310327650199</v>
      </c>
      <c r="HA20" s="353">
        <f t="shared" ca="1" si="192"/>
        <v>0.98919683139929127</v>
      </c>
      <c r="HB20" s="353">
        <f t="shared" ca="1" si="193"/>
        <v>0.99559881830589914</v>
      </c>
      <c r="HC20" s="353">
        <f t="shared" ca="1" si="194"/>
        <v>0.9982387394680774</v>
      </c>
      <c r="HD20" s="353">
        <f t="shared" ca="1" si="195"/>
        <v>0.99930967162017836</v>
      </c>
      <c r="HE20" s="353">
        <f t="shared" ca="1" si="196"/>
        <v>0.99973736980511174</v>
      </c>
      <c r="HF20" s="353">
        <f t="shared" ca="1" si="197"/>
        <v>0.99990392647442072</v>
      </c>
      <c r="HG20" s="353">
        <f t="shared" ca="1" si="198"/>
        <v>0.99996645345048107</v>
      </c>
      <c r="HH20" s="353">
        <f t="shared" ca="1" si="199"/>
        <v>0.99998887634155809</v>
      </c>
      <c r="HI20" s="353">
        <f t="shared" ca="1" si="200"/>
        <v>0.99999650953115959</v>
      </c>
      <c r="HJ20" s="354">
        <f t="shared" ca="1" si="201"/>
        <v>0.99999896598389149</v>
      </c>
      <c r="HK20" s="42"/>
      <c r="HL20" s="42"/>
      <c r="HM20" s="358">
        <f t="shared" si="202"/>
        <v>4</v>
      </c>
      <c r="HN20" s="362">
        <f t="shared" ca="1" si="203"/>
        <v>0.9339440836287739</v>
      </c>
      <c r="HO20" s="363">
        <f t="shared" ca="1" si="204"/>
        <v>3.8739036676554983E-3</v>
      </c>
    </row>
    <row r="21" spans="2:223" x14ac:dyDescent="0.3">
      <c r="B21" s="116" t="s">
        <v>124</v>
      </c>
      <c r="C21" s="160"/>
      <c r="D21" s="379">
        <f ca="1">SUM($AC$4:$AC$44)</f>
        <v>-429793.01140187477</v>
      </c>
      <c r="F21" s="406" t="str" cm="1">
        <f t="array" ref="F21:F23">F9:F11</f>
        <v>AAPL</v>
      </c>
      <c r="G21" s="406">
        <f>'Credit Curve AAPL'!$P$8</f>
        <v>30</v>
      </c>
      <c r="J21" s="339" t="s">
        <v>380</v>
      </c>
      <c r="V21" s="370">
        <f t="shared" si="89"/>
        <v>4.25</v>
      </c>
      <c r="W21" s="371">
        <f t="shared" si="90"/>
        <v>-25000</v>
      </c>
      <c r="X21" s="348">
        <f t="shared" ca="1" si="91"/>
        <v>0.93009699088805098</v>
      </c>
      <c r="Y21" s="348">
        <f t="shared" ca="1" si="92"/>
        <v>3.8470927407229238E-3</v>
      </c>
      <c r="Z21" s="372" cm="1">
        <f t="array" ref="Z21">IF($V21&gt;CDS.Tenor,"-",cubicInterpolation(CurveResults.Times,CurveResults.DFs,$V21))</f>
        <v>0.83819214507342643</v>
      </c>
      <c r="AA21" s="371">
        <f t="shared" ca="1" si="93"/>
        <v>-19489.999797969864</v>
      </c>
      <c r="AB21" s="371">
        <f t="shared" ca="1" si="94"/>
        <v>-40.307536458036935</v>
      </c>
      <c r="AC21" s="373">
        <f t="shared" ca="1" si="95"/>
        <v>-19530.3073344279</v>
      </c>
      <c r="AF21" s="370">
        <f t="shared" si="96"/>
        <v>4.25</v>
      </c>
      <c r="AG21" s="371">
        <f t="shared" si="97"/>
        <v>6000000</v>
      </c>
      <c r="AH21" s="348">
        <f t="shared" ca="1" si="98"/>
        <v>0.93009699088805098</v>
      </c>
      <c r="AI21" s="348">
        <f t="shared" ca="1" si="99"/>
        <v>3.8470927407229238E-3</v>
      </c>
      <c r="AJ21" s="372" cm="1">
        <f t="array" ref="AJ21">IF($AF21&gt;CDS.Tenor,"-",cubicInterpolation(CurveResults.Times,CurveResults.DFs,$V21))</f>
        <v>0.83819214507342643</v>
      </c>
      <c r="AK21" s="373">
        <f t="shared" ca="1" si="100"/>
        <v>19347.61749985773</v>
      </c>
      <c r="AN21" s="358">
        <f t="shared" si="101"/>
        <v>4.25</v>
      </c>
      <c r="AO21" s="343" cm="1">
        <f t="array" aca="1" ref="AO21" ca="1">IF($AN21&gt;CDS.Tenor,"-",flatInterpolation(AM21,INDIRECT(HazardRateTimes1),INDIRECT(HazardRateValues1)))</f>
        <v>5.0000000000000001E-3</v>
      </c>
      <c r="AP21" s="10">
        <f t="shared" ca="1" si="102"/>
        <v>0.97897419042636069</v>
      </c>
      <c r="AQ21" s="10">
        <f t="shared" ca="1" si="103"/>
        <v>2.1025809573639309E-2</v>
      </c>
      <c r="AR21" s="81">
        <f t="shared" ca="1" si="104"/>
        <v>-2.0330089464663921</v>
      </c>
      <c r="AT21" s="358">
        <f t="shared" si="105"/>
        <v>4.25</v>
      </c>
      <c r="AU21" s="353">
        <f ca="1">IF($AN21&gt;CDS.Tenor,"-",_xlfn.NORM.S.DIST(($AR21-SQRT(Correlation1)*AU$3)/SQRT(1-Correlation1),TRUE))</f>
        <v>0.80624719837733694</v>
      </c>
      <c r="AV21" s="353">
        <f ca="1">IF($AN21&gt;CDS.Tenor,"-",_xlfn.NORM.S.DIST(($AR21-SQRT(Correlation1)*AV$3)/SQRT(1-Correlation1),TRUE))</f>
        <v>0.70337969267242473</v>
      </c>
      <c r="AW21" s="353">
        <f ca="1">IF($AN21&gt;CDS.Tenor,"-",_xlfn.NORM.S.DIST(($AR21-SQRT(Correlation1)*AW$3)/SQRT(1-Correlation1),TRUE))</f>
        <v>0.58087871003621949</v>
      </c>
      <c r="AX21" s="353">
        <f ca="1">IF($AN21&gt;CDS.Tenor,"-",_xlfn.NORM.S.DIST(($AR21-SQRT(Correlation1)*AX$3)/SQRT(1-Correlation1),TRUE))</f>
        <v>0.44992058567313686</v>
      </c>
      <c r="AY21" s="353">
        <f ca="1">IF($AN21&gt;CDS.Tenor,"-",_xlfn.NORM.S.DIST(($AR21-SQRT(Correlation1)*AY$3)/SQRT(1-Correlation1),TRUE))</f>
        <v>0.32424319872214757</v>
      </c>
      <c r="AZ21" s="353">
        <f ca="1">IF($AN21&gt;CDS.Tenor,"-",_xlfn.NORM.S.DIST(($AR21-SQRT(Correlation1)*AZ$3)/SQRT(1-Correlation1),TRUE))</f>
        <v>0.21597186946325991</v>
      </c>
      <c r="BA21" s="353">
        <f ca="1">IF($AN21&gt;CDS.Tenor,"-",_xlfn.NORM.S.DIST(($AR21-SQRT(Correlation1)*BA$3)/SQRT(1-Correlation1),TRUE))</f>
        <v>0.13223808291750908</v>
      </c>
      <c r="BB21" s="353">
        <f ca="1">IF($AN21&gt;CDS.Tenor,"-",_xlfn.NORM.S.DIST(($AR21-SQRT(Correlation1)*BB$3)/SQRT(1-Correlation1),TRUE))</f>
        <v>7.4105752048194848E-2</v>
      </c>
      <c r="BC21" s="353">
        <f ca="1">IF($AN21&gt;CDS.Tenor,"-",_xlfn.NORM.S.DIST(($AR21-SQRT(Correlation1)*BC$3)/SQRT(1-Correlation1),TRUE))</f>
        <v>3.7876213565869128E-2</v>
      </c>
      <c r="BD21" s="353">
        <f ca="1">IF($AN21&gt;CDS.Tenor,"-",_xlfn.NORM.S.DIST(($AR21-SQRT(Correlation1)*BD$3)/SQRT(1-Correlation1),TRUE))</f>
        <v>1.7607146517776541E-2</v>
      </c>
      <c r="BE21" s="353">
        <f ca="1">IF($AN21&gt;CDS.Tenor,"-",_xlfn.NORM.S.DIST(($AR21-SQRT(Correlation1)*BE$3)/SQRT(1-Correlation1),TRUE))</f>
        <v>7.4276107581679827E-3</v>
      </c>
      <c r="BF21" s="353">
        <f ca="1">IF($AN21&gt;CDS.Tenor,"-",_xlfn.NORM.S.DIST(($AR21-SQRT(Correlation1)*BF$3)/SQRT(1-Correlation1),TRUE))</f>
        <v>2.8383540908093331E-3</v>
      </c>
      <c r="BG21" s="353">
        <f ca="1">IF($AN21&gt;CDS.Tenor,"-",_xlfn.NORM.S.DIST(($AR21-SQRT(Correlation1)*BG$3)/SQRT(1-Correlation1),TRUE))</f>
        <v>9.8109132588439208E-4</v>
      </c>
      <c r="BH21" s="353">
        <f ca="1">IF($AN21&gt;CDS.Tenor,"-",_xlfn.NORM.S.DIST(($AR21-SQRT(Correlation1)*BH$3)/SQRT(1-Correlation1),TRUE))</f>
        <v>3.0638150525316433E-4</v>
      </c>
      <c r="BI21" s="353">
        <f ca="1">IF($AN21&gt;CDS.Tenor,"-",_xlfn.NORM.S.DIST(($AR21-SQRT(Correlation1)*BI$3)/SQRT(1-Correlation1),TRUE))</f>
        <v>8.6358024086433683E-5</v>
      </c>
      <c r="BJ21" s="353">
        <f ca="1">IF($AN21&gt;CDS.Tenor,"-",_xlfn.NORM.S.DIST(($AR21-SQRT(Correlation1)*BJ$3)/SQRT(1-Correlation1),TRUE))</f>
        <v>2.1952277406768305E-5</v>
      </c>
      <c r="BK21" s="353">
        <f ca="1">IF($AN21&gt;CDS.Tenor,"-",_xlfn.NORM.S.DIST(($AR21-SQRT(Correlation1)*BK$3)/SQRT(1-Correlation1),TRUE))</f>
        <v>5.0292247052563293E-6</v>
      </c>
      <c r="BL21" s="353">
        <f ca="1">IF($AN21&gt;CDS.Tenor,"-",_xlfn.NORM.S.DIST(($AR21-SQRT(Correlation1)*BL$3)/SQRT(1-Correlation1),TRUE))</f>
        <v>1.0378189843252031E-6</v>
      </c>
      <c r="BM21" s="353">
        <f ca="1">IF($AN21&gt;CDS.Tenor,"-",_xlfn.NORM.S.DIST(($AR21-SQRT(Correlation1)*BM$3)/SQRT(1-Correlation1),TRUE))</f>
        <v>1.9281179900232101E-7</v>
      </c>
      <c r="BN21" s="353">
        <f ca="1">IF($AN21&gt;CDS.Tenor,"-",_xlfn.NORM.S.DIST(($AR21-SQRT(Correlation1)*BN$3)/SQRT(1-Correlation1),TRUE))</f>
        <v>3.2237407776740112E-8</v>
      </c>
      <c r="BO21" s="354">
        <f ca="1">IF($AN21&gt;CDS.Tenor,"-",_xlfn.NORM.S.DIST(($AR21-SQRT(Correlation1)*BO$3)/SQRT(1-Correlation1),TRUE))</f>
        <v>4.8489695473587547E-9</v>
      </c>
      <c r="BQ21" s="358">
        <f t="shared" si="106"/>
        <v>4.25</v>
      </c>
      <c r="BR21" s="353">
        <f t="shared" ca="1" si="107"/>
        <v>0.19375280162266306</v>
      </c>
      <c r="BS21" s="353">
        <f t="shared" ca="1" si="108"/>
        <v>0.29662030732757527</v>
      </c>
      <c r="BT21" s="353">
        <f t="shared" ca="1" si="109"/>
        <v>0.41912128996378051</v>
      </c>
      <c r="BU21" s="353">
        <f t="shared" ca="1" si="110"/>
        <v>0.55007941432686314</v>
      </c>
      <c r="BV21" s="353">
        <f t="shared" ca="1" si="111"/>
        <v>0.67575680127785243</v>
      </c>
      <c r="BW21" s="353">
        <f t="shared" ca="1" si="112"/>
        <v>0.78402813053674003</v>
      </c>
      <c r="BX21" s="353">
        <f t="shared" ca="1" si="113"/>
        <v>0.86776191708249095</v>
      </c>
      <c r="BY21" s="353">
        <f t="shared" ca="1" si="114"/>
        <v>0.92589424795180519</v>
      </c>
      <c r="BZ21" s="353">
        <f t="shared" ca="1" si="115"/>
        <v>0.96212378643413088</v>
      </c>
      <c r="CA21" s="353">
        <f t="shared" ca="1" si="116"/>
        <v>0.98239285348222349</v>
      </c>
      <c r="CB21" s="353">
        <f t="shared" ca="1" si="117"/>
        <v>0.992572389241832</v>
      </c>
      <c r="CC21" s="353">
        <f t="shared" ca="1" si="118"/>
        <v>0.99716164590919065</v>
      </c>
      <c r="CD21" s="353">
        <f t="shared" ca="1" si="119"/>
        <v>0.99901890867411558</v>
      </c>
      <c r="CE21" s="353">
        <f t="shared" ca="1" si="120"/>
        <v>0.99969361849474681</v>
      </c>
      <c r="CF21" s="353">
        <f t="shared" ca="1" si="121"/>
        <v>0.99991364197591359</v>
      </c>
      <c r="CG21" s="353">
        <f t="shared" ca="1" si="122"/>
        <v>0.99997804772259324</v>
      </c>
      <c r="CH21" s="353">
        <f t="shared" ca="1" si="123"/>
        <v>0.99999497077529476</v>
      </c>
      <c r="CI21" s="353">
        <f t="shared" ca="1" si="124"/>
        <v>0.99999896218101569</v>
      </c>
      <c r="CJ21" s="353">
        <f t="shared" ca="1" si="125"/>
        <v>0.99999980718820103</v>
      </c>
      <c r="CK21" s="353">
        <f t="shared" ca="1" si="126"/>
        <v>0.99999996776259226</v>
      </c>
      <c r="CL21" s="354">
        <f t="shared" ca="1" si="127"/>
        <v>0.99999999515103044</v>
      </c>
      <c r="CM21" s="17"/>
      <c r="CN21" s="17"/>
      <c r="CO21" s="343" cm="1">
        <f t="array" aca="1" ref="CO21" ca="1">IF($AN21&gt;CDS.Tenor,"-",flatInterpolation(AN21,INDIRECT(HazardRateTimes2),INDIRECT(HazardRateValues2)))</f>
        <v>5.8333333333333336E-3</v>
      </c>
      <c r="CP21" s="10">
        <f t="shared" ca="1" si="128"/>
        <v>0.97551312276038826</v>
      </c>
      <c r="CQ21" s="10">
        <f t="shared" ca="1" si="129"/>
        <v>2.4486877239611737E-2</v>
      </c>
      <c r="CR21" s="81">
        <f t="shared" ca="1" si="130"/>
        <v>-1.9688200896580532</v>
      </c>
      <c r="CT21" s="358">
        <f t="shared" si="131"/>
        <v>4.25</v>
      </c>
      <c r="CU21" s="353">
        <f ca="1">IF($AN21&gt;CDS.Tenor,"-",_xlfn.NORM.S.DIST(($CR21-SQRT(Correlation2)*CU$3)/SQRT(1-Correlation2),TRUE))</f>
        <v>0.62219550066781593</v>
      </c>
      <c r="CV21" s="353">
        <f ca="1">IF($AN21&gt;CDS.Tenor,"-",_xlfn.NORM.S.DIST(($CR21-SQRT(Correlation2)*CV$3)/SQRT(1-Correlation2),TRUE))</f>
        <v>0.52381824369391872</v>
      </c>
      <c r="CW21" s="353">
        <f ca="1">IF($AN21&gt;CDS.Tenor,"-",_xlfn.NORM.S.DIST(($CR21-SQRT(Correlation2)*CW$3)/SQRT(1-Correlation2),TRUE))</f>
        <v>0.42395958728189054</v>
      </c>
      <c r="CX21" s="353">
        <f ca="1">IF($AN21&gt;CDS.Tenor,"-",_xlfn.NORM.S.DIST(($CR21-SQRT(Correlation2)*CX$3)/SQRT(1-Correlation2),TRUE))</f>
        <v>0.32877902164270467</v>
      </c>
      <c r="CY21" s="353">
        <f ca="1">IF($AN21&gt;CDS.Tenor,"-",_xlfn.NORM.S.DIST(($CR21-SQRT(Correlation2)*CY$3)/SQRT(1-Correlation2),TRUE))</f>
        <v>0.24359025036171478</v>
      </c>
      <c r="CZ21" s="353">
        <f ca="1">IF($AN21&gt;CDS.Tenor,"-",_xlfn.NORM.S.DIST(($CR21-SQRT(Correlation2)*CZ$3)/SQRT(1-Correlation2),TRUE))</f>
        <v>0.17199440266277105</v>
      </c>
      <c r="DA21" s="353">
        <f ca="1">IF($AN21&gt;CDS.Tenor,"-",_xlfn.NORM.S.DIST(($CR21-SQRT(Correlation2)*DA$3)/SQRT(1-Correlation2),TRUE))</f>
        <v>0.11549230564637893</v>
      </c>
      <c r="DB21" s="353">
        <f ca="1">IF($AN21&gt;CDS.Tenor,"-",_xlfn.NORM.S.DIST(($CR21-SQRT(Correlation2)*DB$3)/SQRT(1-Correlation2),TRUE))</f>
        <v>7.3621402226282648E-2</v>
      </c>
      <c r="DC21" s="353">
        <f ca="1">IF($AN21&gt;CDS.Tenor,"-",_xlfn.NORM.S.DIST(($CR21-SQRT(Correlation2)*DC$3)/SQRT(1-Correlation2),TRUE))</f>
        <v>4.4485339858233275E-2</v>
      </c>
      <c r="DD21" s="353">
        <f ca="1">IF($AN21&gt;CDS.Tenor,"-",_xlfn.NORM.S.DIST(($CR21-SQRT(Correlation2)*DD$3)/SQRT(1-Correlation2),TRUE))</f>
        <v>2.5447405811234072E-2</v>
      </c>
      <c r="DE21" s="353">
        <f ca="1">IF($AN21&gt;CDS.Tenor,"-",_xlfn.NORM.S.DIST(($CR21-SQRT(Correlation2)*DE$3)/SQRT(1-Correlation2),TRUE))</f>
        <v>1.3766437999312866E-2</v>
      </c>
      <c r="DF21" s="353">
        <f ca="1">IF($AN21&gt;CDS.Tenor,"-",_xlfn.NORM.S.DIST(($CR21-SQRT(Correlation2)*DF$3)/SQRT(1-Correlation2),TRUE))</f>
        <v>7.0365560357334798E-3</v>
      </c>
      <c r="DG21" s="353">
        <f ca="1">IF($AN21&gt;CDS.Tenor,"-",_xlfn.NORM.S.DIST(($CR21-SQRT(Correlation2)*DG$3)/SQRT(1-Correlation2),TRUE))</f>
        <v>3.3956859283975956E-3</v>
      </c>
      <c r="DH21" s="353">
        <f ca="1">IF($AN21&gt;CDS.Tenor,"-",_xlfn.NORM.S.DIST(($CR21-SQRT(Correlation2)*DH$3)/SQRT(1-Correlation2),TRUE))</f>
        <v>1.54611284831977E-3</v>
      </c>
      <c r="DI21" s="353">
        <f ca="1">IF($AN21&gt;CDS.Tenor,"-",_xlfn.NORM.S.DIST(($CR21-SQRT(Correlation2)*DI$3)/SQRT(1-Correlation2),TRUE))</f>
        <v>6.6383417557649808E-4</v>
      </c>
      <c r="DJ21" s="353">
        <f ca="1">IF($AN21&gt;CDS.Tenor,"-",_xlfn.NORM.S.DIST(($CR21-SQRT(Correlation2)*DJ$3)/SQRT(1-Correlation2),TRUE))</f>
        <v>2.6864285952144158E-4</v>
      </c>
      <c r="DK21" s="353">
        <f ca="1">IF($AN21&gt;CDS.Tenor,"-",_xlfn.NORM.S.DIST(($CR21-SQRT(Correlation2)*DK$3)/SQRT(1-Correlation2),TRUE))</f>
        <v>1.0242578577476827E-4</v>
      </c>
      <c r="DL21" s="353">
        <f ca="1">IF($AN21&gt;CDS.Tenor,"-",_xlfn.NORM.S.DIST(($CR21-SQRT(Correlation2)*DL$3)/SQRT(1-Correlation2),TRUE))</f>
        <v>3.6779561427466598E-5</v>
      </c>
      <c r="DM21" s="353">
        <f ca="1">IF($AN21&gt;CDS.Tenor,"-",_xlfn.NORM.S.DIST(($CR21-SQRT(Correlation2)*DM$3)/SQRT(1-Correlation2),TRUE))</f>
        <v>1.2434607347729063E-5</v>
      </c>
      <c r="DN21" s="353">
        <f ca="1">IF($AN21&gt;CDS.Tenor,"-",_xlfn.NORM.S.DIST(($CR21-SQRT(Correlation2)*DN$3)/SQRT(1-Correlation2),TRUE))</f>
        <v>3.9570172606400417E-6</v>
      </c>
      <c r="DO21" s="354">
        <f ca="1">IF($AN21&gt;CDS.Tenor,"-",_xlfn.NORM.S.DIST(($CR21-SQRT(Correlation2)*DO$3)/SQRT(1-Correlation2),TRUE))</f>
        <v>1.184978940068642E-6</v>
      </c>
      <c r="DQ21" s="358">
        <f t="shared" si="132"/>
        <v>4.25</v>
      </c>
      <c r="DR21" s="353">
        <f t="shared" ca="1" si="133"/>
        <v>0.37780449933218407</v>
      </c>
      <c r="DS21" s="353">
        <f t="shared" ca="1" si="134"/>
        <v>0.47618175630608128</v>
      </c>
      <c r="DT21" s="353">
        <f t="shared" ca="1" si="135"/>
        <v>0.57604041271810946</v>
      </c>
      <c r="DU21" s="353">
        <f t="shared" ca="1" si="136"/>
        <v>0.67122097835729533</v>
      </c>
      <c r="DV21" s="353">
        <f t="shared" ca="1" si="137"/>
        <v>0.75640974963828522</v>
      </c>
      <c r="DW21" s="353">
        <f t="shared" ca="1" si="138"/>
        <v>0.82800559733722889</v>
      </c>
      <c r="DX21" s="353">
        <f t="shared" ca="1" si="139"/>
        <v>0.88450769435362109</v>
      </c>
      <c r="DY21" s="353">
        <f t="shared" ca="1" si="140"/>
        <v>0.92637859777371734</v>
      </c>
      <c r="DZ21" s="353">
        <f t="shared" ca="1" si="141"/>
        <v>0.95551466014176678</v>
      </c>
      <c r="EA21" s="353">
        <f t="shared" ca="1" si="142"/>
        <v>0.97455259418876594</v>
      </c>
      <c r="EB21" s="353">
        <f t="shared" ca="1" si="143"/>
        <v>0.98623356200068713</v>
      </c>
      <c r="EC21" s="353">
        <f t="shared" ca="1" si="144"/>
        <v>0.9929634439642665</v>
      </c>
      <c r="ED21" s="353">
        <f t="shared" ca="1" si="145"/>
        <v>0.99660431407160244</v>
      </c>
      <c r="EE21" s="353">
        <f t="shared" ca="1" si="146"/>
        <v>0.99845388715168026</v>
      </c>
      <c r="EF21" s="353">
        <f t="shared" ca="1" si="147"/>
        <v>0.99933616582442353</v>
      </c>
      <c r="EG21" s="353">
        <f t="shared" ca="1" si="148"/>
        <v>0.99973135714047856</v>
      </c>
      <c r="EH21" s="353">
        <f t="shared" ca="1" si="149"/>
        <v>0.9998975742142252</v>
      </c>
      <c r="EI21" s="353">
        <f t="shared" ca="1" si="150"/>
        <v>0.99996322043857255</v>
      </c>
      <c r="EJ21" s="353">
        <f t="shared" ca="1" si="151"/>
        <v>0.99998756539265232</v>
      </c>
      <c r="EK21" s="353">
        <f t="shared" ca="1" si="152"/>
        <v>0.99999604298273936</v>
      </c>
      <c r="EL21" s="354">
        <f t="shared" ca="1" si="153"/>
        <v>0.99999881502105992</v>
      </c>
      <c r="EM21" s="17"/>
      <c r="EN21" s="17"/>
      <c r="EO21" s="343" cm="1">
        <f t="array" aca="1" ref="EO21" ca="1">IF($AN21&gt;CDS.Tenor,"-",flatInterpolation(CP21,INDIRECT(HazardRateTimes3),INDIRECT(HazardRateValues3)))</f>
        <v>7.4999999999999997E-3</v>
      </c>
      <c r="EP21" s="10">
        <f t="shared" ca="1" si="154"/>
        <v>0.96862765296873066</v>
      </c>
      <c r="EQ21" s="10">
        <f t="shared" ca="1" si="155"/>
        <v>3.1372347031269343E-2</v>
      </c>
      <c r="ER21" s="81">
        <f t="shared" ca="1" si="156"/>
        <v>-1.8609963363894626</v>
      </c>
      <c r="ET21" s="358">
        <f t="shared" si="157"/>
        <v>4.25</v>
      </c>
      <c r="EU21" s="353">
        <f ca="1">IF($AN21&gt;CDS.Tenor,"-",_xlfn.NORM.S.DIST(($ER21-SQRT(Correlation3)*EU$3)/SQRT(1-Correlation3),TRUE))</f>
        <v>0.9676906413702081</v>
      </c>
      <c r="EV21" s="353">
        <f ca="1">IF($AN21&gt;CDS.Tenor,"-",_xlfn.NORM.S.DIST(($ER21-SQRT(Correlation3)*EV$3)/SQRT(1-Correlation3),TRUE))</f>
        <v>0.92184128324990677</v>
      </c>
      <c r="EW21" s="353">
        <f ca="1">IF($AN21&gt;CDS.Tenor,"-",_xlfn.NORM.S.DIST(($ER21-SQRT(Correlation3)*EW$3)/SQRT(1-Correlation3),TRUE))</f>
        <v>0.83823890302601656</v>
      </c>
      <c r="EX21" s="353">
        <f ca="1">IF($AN21&gt;CDS.Tenor,"-",_xlfn.NORM.S.DIST(($ER21-SQRT(Correlation3)*EX$3)/SQRT(1-Correlation3),TRUE))</f>
        <v>0.71121072057353429</v>
      </c>
      <c r="EY21" s="353">
        <f ca="1">IF($AN21&gt;CDS.Tenor,"-",_xlfn.NORM.S.DIST(($ER21-SQRT(Correlation3)*EY$3)/SQRT(1-Correlation3),TRUE))</f>
        <v>0.55037332801506222</v>
      </c>
      <c r="EZ21" s="353">
        <f ca="1">IF($AN21&gt;CDS.Tenor,"-",_xlfn.NORM.S.DIST(($ER21-SQRT(Correlation3)*EZ$3)/SQRT(1-Correlation3),TRUE))</f>
        <v>0.38067215776871888</v>
      </c>
      <c r="FA21" s="353">
        <f ca="1">IF($AN21&gt;CDS.Tenor,"-",_xlfn.NORM.S.DIST(($ER21-SQRT(Correlation3)*FA$3)/SQRT(1-Correlation3),TRUE))</f>
        <v>0.23146324994242268</v>
      </c>
      <c r="FB21" s="353">
        <f ca="1">IF($AN21&gt;CDS.Tenor,"-",_xlfn.NORM.S.DIST(($ER21-SQRT(Correlation3)*FB$3)/SQRT(1-Correlation3),TRUE))</f>
        <v>0.12213967480332025</v>
      </c>
      <c r="FC21" s="353">
        <f ca="1">IF($AN21&gt;CDS.Tenor,"-",_xlfn.NORM.S.DIST(($ER21-SQRT(Correlation3)*FC$3)/SQRT(1-Correlation3),TRUE))</f>
        <v>5.5392175723792653E-2</v>
      </c>
      <c r="FD21" s="353">
        <f ca="1">IF($AN21&gt;CDS.Tenor,"-",_xlfn.NORM.S.DIST(($ER21-SQRT(Correlation3)*FD$3)/SQRT(1-Correlation3),TRUE))</f>
        <v>2.1433777418893917E-2</v>
      </c>
      <c r="FE21" s="353">
        <f ca="1">IF($AN21&gt;CDS.Tenor,"-",_xlfn.NORM.S.DIST(($ER21-SQRT(Correlation3)*FE$3)/SQRT(1-Correlation3),TRUE))</f>
        <v>7.037986836704176E-3</v>
      </c>
      <c r="FF21" s="353">
        <f ca="1">IF($AN21&gt;CDS.Tenor,"-",_xlfn.NORM.S.DIST(($ER21-SQRT(Correlation3)*FF$3)/SQRT(1-Correlation3),TRUE))</f>
        <v>1.9530981019832484E-3</v>
      </c>
      <c r="FG21" s="353">
        <f ca="1">IF($AN21&gt;CDS.Tenor,"-",_xlfn.NORM.S.DIST(($ER21-SQRT(Correlation3)*FG$3)/SQRT(1-Correlation3),TRUE))</f>
        <v>4.5664482744201603E-4</v>
      </c>
      <c r="FH21" s="353">
        <f ca="1">IF($AN21&gt;CDS.Tenor,"-",_xlfn.NORM.S.DIST(($ER21-SQRT(Correlation3)*FH$3)/SQRT(1-Correlation3),TRUE))</f>
        <v>8.9738004136187975E-5</v>
      </c>
      <c r="FI21" s="353">
        <f ca="1">IF($AN21&gt;CDS.Tenor,"-",_xlfn.NORM.S.DIST(($ER21-SQRT(Correlation3)*FI$3)/SQRT(1-Correlation3),TRUE))</f>
        <v>1.4794875853002791E-5</v>
      </c>
      <c r="FJ21" s="353">
        <f ca="1">IF($AN21&gt;CDS.Tenor,"-",_xlfn.NORM.S.DIST(($ER21-SQRT(Correlation3)*FJ$3)/SQRT(1-Correlation3),TRUE))</f>
        <v>2.0433714100202001E-6</v>
      </c>
      <c r="FK21" s="353">
        <f ca="1">IF($AN21&gt;CDS.Tenor,"-",_xlfn.NORM.S.DIST(($ER21-SQRT(Correlation3)*FK$3)/SQRT(1-Correlation3),TRUE))</f>
        <v>2.3614374968324109E-7</v>
      </c>
      <c r="FL21" s="353">
        <f ca="1">IF($AN21&gt;CDS.Tenor,"-",_xlfn.NORM.S.DIST(($ER21-SQRT(Correlation3)*FL$3)/SQRT(1-Correlation3),TRUE))</f>
        <v>2.2813310080963581E-8</v>
      </c>
      <c r="FM21" s="353">
        <f ca="1">IF($AN21&gt;CDS.Tenor,"-",_xlfn.NORM.S.DIST(($ER21-SQRT(Correlation3)*FM$3)/SQRT(1-Correlation3),TRUE))</f>
        <v>1.8409732408769658E-9</v>
      </c>
      <c r="FN21" s="353">
        <f ca="1">IF($AN21&gt;CDS.Tenor,"-",_xlfn.NORM.S.DIST(($ER21-SQRT(Correlation3)*FN$3)/SQRT(1-Correlation3),TRUE))</f>
        <v>1.2401581931415035E-10</v>
      </c>
      <c r="FO21" s="354">
        <f ca="1">IF($AN21&gt;CDS.Tenor,"-",_xlfn.NORM.S.DIST(($ER21-SQRT(Correlation3)*FO$3)/SQRT(1-Correlation3),TRUE))</f>
        <v>6.9702177763641631E-12</v>
      </c>
      <c r="FQ21" s="358">
        <f t="shared" si="158"/>
        <v>4.25</v>
      </c>
      <c r="FR21" s="353">
        <f t="shared" ca="1" si="159"/>
        <v>3.2309358629791896E-2</v>
      </c>
      <c r="FS21" s="353">
        <f t="shared" ca="1" si="160"/>
        <v>7.8158716750093227E-2</v>
      </c>
      <c r="FT21" s="353">
        <f t="shared" ca="1" si="161"/>
        <v>0.16176109697398344</v>
      </c>
      <c r="FU21" s="353">
        <f t="shared" ca="1" si="162"/>
        <v>0.28878927942646571</v>
      </c>
      <c r="FV21" s="353">
        <f t="shared" ca="1" si="163"/>
        <v>0.44962667198493778</v>
      </c>
      <c r="FW21" s="353">
        <f t="shared" ca="1" si="164"/>
        <v>0.61932784223128112</v>
      </c>
      <c r="FX21" s="353">
        <f t="shared" ca="1" si="165"/>
        <v>0.76853675005757727</v>
      </c>
      <c r="FY21" s="353">
        <f t="shared" ca="1" si="166"/>
        <v>0.87786032519667978</v>
      </c>
      <c r="FZ21" s="353">
        <f t="shared" ca="1" si="167"/>
        <v>0.94460782427620738</v>
      </c>
      <c r="GA21" s="353">
        <f t="shared" ca="1" si="168"/>
        <v>0.97856622258110604</v>
      </c>
      <c r="GB21" s="353">
        <f t="shared" ca="1" si="169"/>
        <v>0.9929620131632958</v>
      </c>
      <c r="GC21" s="353">
        <f t="shared" ca="1" si="170"/>
        <v>0.9980469018980167</v>
      </c>
      <c r="GD21" s="353">
        <f t="shared" ca="1" si="171"/>
        <v>0.99954335517255799</v>
      </c>
      <c r="GE21" s="353">
        <f t="shared" ca="1" si="172"/>
        <v>0.99991026199586386</v>
      </c>
      <c r="GF21" s="353">
        <f t="shared" ca="1" si="173"/>
        <v>0.99998520512414701</v>
      </c>
      <c r="GG21" s="353">
        <f t="shared" ca="1" si="174"/>
        <v>0.99999795662859003</v>
      </c>
      <c r="GH21" s="353">
        <f t="shared" ca="1" si="175"/>
        <v>0.99999976385625033</v>
      </c>
      <c r="GI21" s="353">
        <f t="shared" ca="1" si="176"/>
        <v>0.99999997718668987</v>
      </c>
      <c r="GJ21" s="353">
        <f t="shared" ca="1" si="177"/>
        <v>0.99999999815902674</v>
      </c>
      <c r="GK21" s="353">
        <f t="shared" ca="1" si="178"/>
        <v>0.9999999998759842</v>
      </c>
      <c r="GL21" s="354">
        <f t="shared" ca="1" si="179"/>
        <v>0.9999999999930298</v>
      </c>
      <c r="GO21" s="358">
        <f t="shared" si="180"/>
        <v>4.25</v>
      </c>
      <c r="GP21" s="353">
        <f t="shared" ca="1" si="181"/>
        <v>2.3650670288902519E-3</v>
      </c>
      <c r="GQ21" s="353">
        <f t="shared" ca="1" si="182"/>
        <v>1.1039541929906195E-2</v>
      </c>
      <c r="GR21" s="353">
        <f t="shared" ca="1" si="183"/>
        <v>3.9054111188751982E-2</v>
      </c>
      <c r="GS21" s="353">
        <f t="shared" ca="1" si="184"/>
        <v>0.10662817625775185</v>
      </c>
      <c r="GT21" s="353">
        <f t="shared" ca="1" si="185"/>
        <v>0.22982623853808429</v>
      </c>
      <c r="GU21" s="353">
        <f t="shared" ca="1" si="186"/>
        <v>0.40205505077806492</v>
      </c>
      <c r="GV21" s="353">
        <f t="shared" ca="1" si="187"/>
        <v>0.58988430532271796</v>
      </c>
      <c r="GW21" s="353">
        <f t="shared" ca="1" si="188"/>
        <v>0.75296592098599702</v>
      </c>
      <c r="GX21" s="353">
        <f t="shared" ca="1" si="189"/>
        <v>0.8684000604413753</v>
      </c>
      <c r="GY21" s="353">
        <f t="shared" ca="1" si="190"/>
        <v>0.93687294460928328</v>
      </c>
      <c r="GZ21" s="353">
        <f t="shared" ca="1" si="191"/>
        <v>0.97201865993855074</v>
      </c>
      <c r="HA21" s="353">
        <f t="shared" ca="1" si="192"/>
        <v>0.98821121166956905</v>
      </c>
      <c r="HB21" s="353">
        <f t="shared" ca="1" si="193"/>
        <v>0.99517190650767762</v>
      </c>
      <c r="HC21" s="353">
        <f t="shared" ca="1" si="194"/>
        <v>0.99805840753930974</v>
      </c>
      <c r="HD21" s="353">
        <f t="shared" ca="1" si="195"/>
        <v>0.99923508135004413</v>
      </c>
      <c r="HE21" s="353">
        <f t="shared" ca="1" si="196"/>
        <v>0.99970736798276616</v>
      </c>
      <c r="HF21" s="353">
        <f t="shared" ca="1" si="197"/>
        <v>0.99989230938626728</v>
      </c>
      <c r="HG21" s="353">
        <f t="shared" ca="1" si="198"/>
        <v>0.99996215984531145</v>
      </c>
      <c r="HH21" s="353">
        <f t="shared" ca="1" si="199"/>
        <v>0.99998737074230082</v>
      </c>
      <c r="HI21" s="353">
        <f t="shared" ca="1" si="200"/>
        <v>0.99999601062144383</v>
      </c>
      <c r="HJ21" s="354">
        <f t="shared" ca="1" si="201"/>
        <v>0.99999881016512593</v>
      </c>
      <c r="HK21" s="42"/>
      <c r="HL21" s="42"/>
      <c r="HM21" s="358">
        <f t="shared" si="202"/>
        <v>4.25</v>
      </c>
      <c r="HN21" s="362">
        <f t="shared" ca="1" si="203"/>
        <v>0.93009699088805098</v>
      </c>
      <c r="HO21" s="363">
        <f t="shared" ca="1" si="204"/>
        <v>3.8470927407229238E-3</v>
      </c>
    </row>
    <row r="22" spans="2:223" x14ac:dyDescent="0.3">
      <c r="B22" s="116" t="s">
        <v>125</v>
      </c>
      <c r="C22" s="160"/>
      <c r="D22" s="379">
        <f ca="1">SUM($AK$5:$AK$44)</f>
        <v>438218.31172531389</v>
      </c>
      <c r="F22" s="407" t="str">
        <v>MSFT</v>
      </c>
      <c r="G22" s="406">
        <f>'Credit Curve MSFT'!$P$8</f>
        <v>35</v>
      </c>
      <c r="I22" s="335"/>
      <c r="V22" s="370">
        <f t="shared" si="89"/>
        <v>4.5</v>
      </c>
      <c r="W22" s="371">
        <f t="shared" si="90"/>
        <v>-25000</v>
      </c>
      <c r="X22" s="348">
        <f t="shared" ca="1" si="91"/>
        <v>0.92627605386713352</v>
      </c>
      <c r="Y22" s="348">
        <f t="shared" ca="1" si="92"/>
        <v>3.8209370209174587E-3</v>
      </c>
      <c r="Z22" s="372" cm="1">
        <f t="array" ref="Z22">IF($V22&gt;CDS.Tenor,"-",cubicInterpolation(CurveResults.Times,CurveResults.DFs,$V22))</f>
        <v>0.8303546218014306</v>
      </c>
      <c r="AA22" s="371">
        <f t="shared" ca="1" si="93"/>
        <v>-19228.440059814129</v>
      </c>
      <c r="AB22" s="371">
        <f t="shared" ca="1" si="94"/>
        <v>-39.659158936637517</v>
      </c>
      <c r="AC22" s="373">
        <f t="shared" ca="1" si="95"/>
        <v>-19268.099218750765</v>
      </c>
      <c r="AF22" s="370">
        <f t="shared" si="96"/>
        <v>4.5</v>
      </c>
      <c r="AG22" s="371">
        <f t="shared" si="97"/>
        <v>6000000</v>
      </c>
      <c r="AH22" s="348">
        <f t="shared" ca="1" si="98"/>
        <v>0.92627605386713352</v>
      </c>
      <c r="AI22" s="348">
        <f t="shared" ca="1" si="99"/>
        <v>3.8209370209174587E-3</v>
      </c>
      <c r="AJ22" s="372" cm="1">
        <f t="array" ref="AJ22">IF($AF22&gt;CDS.Tenor,"-",cubicInterpolation(CurveResults.Times,CurveResults.DFs,$V22))</f>
        <v>0.8303546218014306</v>
      </c>
      <c r="AK22" s="373">
        <f t="shared" ca="1" si="100"/>
        <v>19036.39628958601</v>
      </c>
      <c r="AN22" s="358">
        <f t="shared" si="101"/>
        <v>4.5</v>
      </c>
      <c r="AO22" s="343" cm="1">
        <f t="array" aca="1" ref="AO22" ca="1">IF($AN22&gt;CDS.Tenor,"-",flatInterpolation(AM22,INDIRECT(HazardRateTimes1),INDIRECT(HazardRateValues1)))</f>
        <v>5.0000000000000001E-3</v>
      </c>
      <c r="AP22" s="10">
        <f t="shared" ca="1" si="102"/>
        <v>0.97775123719333712</v>
      </c>
      <c r="AQ22" s="10">
        <f t="shared" ca="1" si="103"/>
        <v>2.2248762806662881E-2</v>
      </c>
      <c r="AR22" s="81">
        <f t="shared" ca="1" si="104"/>
        <v>-2.0093736207925192</v>
      </c>
      <c r="AT22" s="358">
        <f t="shared" si="105"/>
        <v>4.5</v>
      </c>
      <c r="AU22" s="353">
        <f ca="1">IF($AN22&gt;CDS.Tenor,"-",_xlfn.NORM.S.DIST(($AR22-SQRT(Correlation1)*AU$3)/SQRT(1-Correlation1),TRUE))</f>
        <v>0.8139291808946949</v>
      </c>
      <c r="AV22" s="353">
        <f ca="1">IF($AN22&gt;CDS.Tenor,"-",_xlfn.NORM.S.DIST(($AR22-SQRT(Correlation1)*AV$3)/SQRT(1-Correlation1),TRUE))</f>
        <v>0.71310037845263485</v>
      </c>
      <c r="AW22" s="353">
        <f ca="1">IF($AN22&gt;CDS.Tenor,"-",_xlfn.NORM.S.DIST(($AR22-SQRT(Correlation1)*AW$3)/SQRT(1-Correlation1),TRUE))</f>
        <v>0.59191003961793309</v>
      </c>
      <c r="AX22" s="353">
        <f ca="1">IF($AN22&gt;CDS.Tenor,"-",_xlfn.NORM.S.DIST(($AR22-SQRT(Correlation1)*AX$3)/SQRT(1-Correlation1),TRUE))</f>
        <v>0.46114764920867857</v>
      </c>
      <c r="AY22" s="353">
        <f ca="1">IF($AN22&gt;CDS.Tenor,"-",_xlfn.NORM.S.DIST(($AR22-SQRT(Correlation1)*AY$3)/SQRT(1-Correlation1),TRUE))</f>
        <v>0.3344905556995873</v>
      </c>
      <c r="AZ22" s="353">
        <f ca="1">IF($AN22&gt;CDS.Tenor,"-",_xlfn.NORM.S.DIST(($AR22-SQRT(Correlation1)*AZ$3)/SQRT(1-Correlation1),TRUE))</f>
        <v>0.2243599948877921</v>
      </c>
      <c r="BA22" s="353">
        <f ca="1">IF($AN22&gt;CDS.Tenor,"-",_xlfn.NORM.S.DIST(($AR22-SQRT(Correlation1)*BA$3)/SQRT(1-Correlation1),TRUE))</f>
        <v>0.13839587939241466</v>
      </c>
      <c r="BB22" s="353">
        <f ca="1">IF($AN22&gt;CDS.Tenor,"-",_xlfn.NORM.S.DIST(($AR22-SQRT(Correlation1)*BB$3)/SQRT(1-Correlation1),TRUE))</f>
        <v>7.8159839478646964E-2</v>
      </c>
      <c r="BC22" s="353">
        <f ca="1">IF($AN22&gt;CDS.Tenor,"-",_xlfn.NORM.S.DIST(($AR22-SQRT(Correlation1)*BC$3)/SQRT(1-Correlation1),TRUE))</f>
        <v>4.0269905491965644E-2</v>
      </c>
      <c r="BD22" s="353">
        <f ca="1">IF($AN22&gt;CDS.Tenor,"-",_xlfn.NORM.S.DIST(($AR22-SQRT(Correlation1)*BD$3)/SQRT(1-Correlation1),TRUE))</f>
        <v>1.8874654677840556E-2</v>
      </c>
      <c r="BE22" s="353">
        <f ca="1">IF($AN22&gt;CDS.Tenor,"-",_xlfn.NORM.S.DIST(($AR22-SQRT(Correlation1)*BE$3)/SQRT(1-Correlation1),TRUE))</f>
        <v>8.0295333409327353E-3</v>
      </c>
      <c r="BF22" s="353">
        <f ca="1">IF($AN22&gt;CDS.Tenor,"-",_xlfn.NORM.S.DIST(($AR22-SQRT(Correlation1)*BF$3)/SQRT(1-Correlation1),TRUE))</f>
        <v>3.0947067784426788E-3</v>
      </c>
      <c r="BG22" s="353">
        <f ca="1">IF($AN22&gt;CDS.Tenor,"-",_xlfn.NORM.S.DIST(($AR22-SQRT(Correlation1)*BG$3)/SQRT(1-Correlation1),TRUE))</f>
        <v>1.0790048036883042E-3</v>
      </c>
      <c r="BH22" s="353">
        <f ca="1">IF($AN22&gt;CDS.Tenor,"-",_xlfn.NORM.S.DIST(($AR22-SQRT(Correlation1)*BH$3)/SQRT(1-Correlation1),TRUE))</f>
        <v>3.399208398345866E-4</v>
      </c>
      <c r="BI22" s="353">
        <f ca="1">IF($AN22&gt;CDS.Tenor,"-",_xlfn.NORM.S.DIST(($AR22-SQRT(Correlation1)*BI$3)/SQRT(1-Correlation1),TRUE))</f>
        <v>9.6661263008627872E-5</v>
      </c>
      <c r="BJ22" s="353">
        <f ca="1">IF($AN22&gt;CDS.Tenor,"-",_xlfn.NORM.S.DIST(($AR22-SQRT(Correlation1)*BJ$3)/SQRT(1-Correlation1),TRUE))</f>
        <v>2.4790852990511078E-5</v>
      </c>
      <c r="BK22" s="353">
        <f ca="1">IF($AN22&gt;CDS.Tenor,"-",_xlfn.NORM.S.DIST(($AR22-SQRT(Correlation1)*BK$3)/SQRT(1-Correlation1),TRUE))</f>
        <v>5.7305742472043476E-6</v>
      </c>
      <c r="BL22" s="353">
        <f ca="1">IF($AN22&gt;CDS.Tenor,"-",_xlfn.NORM.S.DIST(($AR22-SQRT(Correlation1)*BL$3)/SQRT(1-Correlation1),TRUE))</f>
        <v>1.1932279017057974E-6</v>
      </c>
      <c r="BM22" s="353">
        <f ca="1">IF($AN22&gt;CDS.Tenor,"-",_xlfn.NORM.S.DIST(($AR22-SQRT(Correlation1)*BM$3)/SQRT(1-Correlation1),TRUE))</f>
        <v>2.2369517113266535E-7</v>
      </c>
      <c r="BN22" s="353">
        <f ca="1">IF($AN22&gt;CDS.Tenor,"-",_xlfn.NORM.S.DIST(($AR22-SQRT(Correlation1)*BN$3)/SQRT(1-Correlation1),TRUE))</f>
        <v>3.7741438579117671E-8</v>
      </c>
      <c r="BO22" s="354">
        <f ca="1">IF($AN22&gt;CDS.Tenor,"-",_xlfn.NORM.S.DIST(($AR22-SQRT(Correlation1)*BO$3)/SQRT(1-Correlation1),TRUE))</f>
        <v>5.7286893297642669E-9</v>
      </c>
      <c r="BQ22" s="358">
        <f t="shared" si="106"/>
        <v>4.5</v>
      </c>
      <c r="BR22" s="353">
        <f t="shared" ca="1" si="107"/>
        <v>0.1860708191053051</v>
      </c>
      <c r="BS22" s="353">
        <f t="shared" ca="1" si="108"/>
        <v>0.28689962154736515</v>
      </c>
      <c r="BT22" s="353">
        <f t="shared" ca="1" si="109"/>
        <v>0.40808996038206691</v>
      </c>
      <c r="BU22" s="353">
        <f t="shared" ca="1" si="110"/>
        <v>0.53885235079132143</v>
      </c>
      <c r="BV22" s="353">
        <f t="shared" ca="1" si="111"/>
        <v>0.6655094443004127</v>
      </c>
      <c r="BW22" s="353">
        <f t="shared" ca="1" si="112"/>
        <v>0.77564000511220788</v>
      </c>
      <c r="BX22" s="353">
        <f t="shared" ca="1" si="113"/>
        <v>0.86160412060758529</v>
      </c>
      <c r="BY22" s="353">
        <f t="shared" ca="1" si="114"/>
        <v>0.92184016052135309</v>
      </c>
      <c r="BZ22" s="353">
        <f t="shared" ca="1" si="115"/>
        <v>0.95973009450803437</v>
      </c>
      <c r="CA22" s="353">
        <f t="shared" ca="1" si="116"/>
        <v>0.98112534532215945</v>
      </c>
      <c r="CB22" s="353">
        <f t="shared" ca="1" si="117"/>
        <v>0.9919704666590673</v>
      </c>
      <c r="CC22" s="353">
        <f t="shared" ca="1" si="118"/>
        <v>0.9969052932215573</v>
      </c>
      <c r="CD22" s="353">
        <f t="shared" ca="1" si="119"/>
        <v>0.99892099519631172</v>
      </c>
      <c r="CE22" s="353">
        <f t="shared" ca="1" si="120"/>
        <v>0.99966007916016542</v>
      </c>
      <c r="CF22" s="353">
        <f t="shared" ca="1" si="121"/>
        <v>0.99990333873699133</v>
      </c>
      <c r="CG22" s="353">
        <f t="shared" ca="1" si="122"/>
        <v>0.99997520914700944</v>
      </c>
      <c r="CH22" s="353">
        <f t="shared" ca="1" si="123"/>
        <v>0.99999426942575276</v>
      </c>
      <c r="CI22" s="353">
        <f t="shared" ca="1" si="124"/>
        <v>0.99999880677209829</v>
      </c>
      <c r="CJ22" s="353">
        <f t="shared" ca="1" si="125"/>
        <v>0.99999977630482884</v>
      </c>
      <c r="CK22" s="353">
        <f t="shared" ca="1" si="126"/>
        <v>0.99999996225856147</v>
      </c>
      <c r="CL22" s="354">
        <f t="shared" ca="1" si="127"/>
        <v>0.9999999942713107</v>
      </c>
      <c r="CM22" s="17"/>
      <c r="CN22" s="17"/>
      <c r="CO22" s="343" cm="1">
        <f t="array" aca="1" ref="CO22" ca="1">IF($AN22&gt;CDS.Tenor,"-",flatInterpolation(AN22,INDIRECT(HazardRateTimes2),INDIRECT(HazardRateValues2)))</f>
        <v>5.8333333333333336E-3</v>
      </c>
      <c r="CP22" s="10">
        <f t="shared" ca="1" si="128"/>
        <v>0.97409153628178158</v>
      </c>
      <c r="CQ22" s="10">
        <f t="shared" ca="1" si="129"/>
        <v>2.5908463718218422E-2</v>
      </c>
      <c r="CR22" s="81">
        <f t="shared" ca="1" si="130"/>
        <v>-1.9446515751293791</v>
      </c>
      <c r="CT22" s="358">
        <f t="shared" si="131"/>
        <v>4.5</v>
      </c>
      <c r="CU22" s="353">
        <f ca="1">IF($AN22&gt;CDS.Tenor,"-",_xlfn.NORM.S.DIST(($CR22-SQRT(Correlation2)*CU$3)/SQRT(1-Correlation2),TRUE))</f>
        <v>0.63243372935580744</v>
      </c>
      <c r="CV22" s="353">
        <f ca="1">IF($AN22&gt;CDS.Tenor,"-",_xlfn.NORM.S.DIST(($CR22-SQRT(Correlation2)*CV$3)/SQRT(1-Correlation2),TRUE))</f>
        <v>0.53458197578381528</v>
      </c>
      <c r="CW22" s="353">
        <f ca="1">IF($AN22&gt;CDS.Tenor,"-",_xlfn.NORM.S.DIST(($CR22-SQRT(Correlation2)*CW$3)/SQRT(1-Correlation2),TRUE))</f>
        <v>0.43458215843688064</v>
      </c>
      <c r="CX22" s="353">
        <f ca="1">IF($AN22&gt;CDS.Tenor,"-",_xlfn.NORM.S.DIST(($CR22-SQRT(Correlation2)*CX$3)/SQRT(1-Correlation2),TRUE))</f>
        <v>0.33861970219175908</v>
      </c>
      <c r="CY22" s="353">
        <f ca="1">IF($AN22&gt;CDS.Tenor,"-",_xlfn.NORM.S.DIST(($CR22-SQRT(Correlation2)*CY$3)/SQRT(1-Correlation2),TRUE))</f>
        <v>0.25214779817806554</v>
      </c>
      <c r="CZ22" s="353">
        <f ca="1">IF($AN22&gt;CDS.Tenor,"-",_xlfn.NORM.S.DIST(($CR22-SQRT(Correlation2)*CZ$3)/SQRT(1-Correlation2),TRUE))</f>
        <v>0.17897997912681907</v>
      </c>
      <c r="DA22" s="353">
        <f ca="1">IF($AN22&gt;CDS.Tenor,"-",_xlfn.NORM.S.DIST(($CR22-SQRT(Correlation2)*DA$3)/SQRT(1-Correlation2),TRUE))</f>
        <v>0.12084514096913967</v>
      </c>
      <c r="DB22" s="353">
        <f ca="1">IF($AN22&gt;CDS.Tenor,"-",_xlfn.NORM.S.DIST(($CR22-SQRT(Correlation2)*DB$3)/SQRT(1-Correlation2),TRUE))</f>
        <v>7.7471699220579671E-2</v>
      </c>
      <c r="DC22" s="353">
        <f ca="1">IF($AN22&gt;CDS.Tenor,"-",_xlfn.NORM.S.DIST(($CR22-SQRT(Correlation2)*DC$3)/SQRT(1-Correlation2),TRUE))</f>
        <v>4.7085100073760239E-2</v>
      </c>
      <c r="DD22" s="353">
        <f ca="1">IF($AN22&gt;CDS.Tenor,"-",_xlfn.NORM.S.DIST(($CR22-SQRT(Correlation2)*DD$3)/SQRT(1-Correlation2),TRUE))</f>
        <v>2.7095192810500206E-2</v>
      </c>
      <c r="DE22" s="353">
        <f ca="1">IF($AN22&gt;CDS.Tenor,"-",_xlfn.NORM.S.DIST(($CR22-SQRT(Correlation2)*DE$3)/SQRT(1-Correlation2),TRUE))</f>
        <v>1.4746825049604595E-2</v>
      </c>
      <c r="DF22" s="353">
        <f ca="1">IF($AN22&gt;CDS.Tenor,"-",_xlfn.NORM.S.DIST(($CR22-SQRT(Correlation2)*DF$3)/SQRT(1-Correlation2),TRUE))</f>
        <v>7.5841047652583597E-3</v>
      </c>
      <c r="DG22" s="353">
        <f ca="1">IF($AN22&gt;CDS.Tenor,"-",_xlfn.NORM.S.DIST(($CR22-SQRT(Correlation2)*DG$3)/SQRT(1-Correlation2),TRUE))</f>
        <v>3.6827485854848598E-3</v>
      </c>
      <c r="DH22" s="353">
        <f ca="1">IF($AN22&gt;CDS.Tenor,"-",_xlfn.NORM.S.DIST(($CR22-SQRT(Correlation2)*DH$3)/SQRT(1-Correlation2),TRUE))</f>
        <v>1.6873859045182099E-3</v>
      </c>
      <c r="DI22" s="353">
        <f ca="1">IF($AN22&gt;CDS.Tenor,"-",_xlfn.NORM.S.DIST(($CR22-SQRT(Correlation2)*DI$3)/SQRT(1-Correlation2),TRUE))</f>
        <v>7.2909772591002854E-4</v>
      </c>
      <c r="DJ22" s="353">
        <f ca="1">IF($AN22&gt;CDS.Tenor,"-",_xlfn.NORM.S.DIST(($CR22-SQRT(Correlation2)*DJ$3)/SQRT(1-Correlation2),TRUE))</f>
        <v>2.9694444501455412E-4</v>
      </c>
      <c r="DK22" s="353">
        <f ca="1">IF($AN22&gt;CDS.Tenor,"-",_xlfn.NORM.S.DIST(($CR22-SQRT(Correlation2)*DK$3)/SQRT(1-Correlation2),TRUE))</f>
        <v>1.1394650390639099E-4</v>
      </c>
      <c r="DL22" s="353">
        <f ca="1">IF($AN22&gt;CDS.Tenor,"-",_xlfn.NORM.S.DIST(($CR22-SQRT(Correlation2)*DL$3)/SQRT(1-Correlation2),TRUE))</f>
        <v>4.1181835240096586E-5</v>
      </c>
      <c r="DM22" s="353">
        <f ca="1">IF($AN22&gt;CDS.Tenor,"-",_xlfn.NORM.S.DIST(($CR22-SQRT(Correlation2)*DM$3)/SQRT(1-Correlation2),TRUE))</f>
        <v>1.4013684195939872E-5</v>
      </c>
      <c r="DN22" s="353">
        <f ca="1">IF($AN22&gt;CDS.Tenor,"-",_xlfn.NORM.S.DIST(($CR22-SQRT(Correlation2)*DN$3)/SQRT(1-Correlation2),TRUE))</f>
        <v>4.488706897485276E-6</v>
      </c>
      <c r="DO22" s="354">
        <f ca="1">IF($AN22&gt;CDS.Tenor,"-",_xlfn.NORM.S.DIST(($CR22-SQRT(Correlation2)*DO$3)/SQRT(1-Correlation2),TRUE))</f>
        <v>1.3530302257806254E-6</v>
      </c>
      <c r="DQ22" s="358">
        <f t="shared" si="132"/>
        <v>4.5</v>
      </c>
      <c r="DR22" s="353">
        <f t="shared" ca="1" si="133"/>
        <v>0.36756627064419256</v>
      </c>
      <c r="DS22" s="353">
        <f t="shared" ca="1" si="134"/>
        <v>0.46541802421618472</v>
      </c>
      <c r="DT22" s="353">
        <f t="shared" ca="1" si="135"/>
        <v>0.56541784156311936</v>
      </c>
      <c r="DU22" s="353">
        <f t="shared" ca="1" si="136"/>
        <v>0.66138029780824092</v>
      </c>
      <c r="DV22" s="353">
        <f t="shared" ca="1" si="137"/>
        <v>0.74785220182193446</v>
      </c>
      <c r="DW22" s="353">
        <f t="shared" ca="1" si="138"/>
        <v>0.82102002087318093</v>
      </c>
      <c r="DX22" s="353">
        <f t="shared" ca="1" si="139"/>
        <v>0.87915485903086033</v>
      </c>
      <c r="DY22" s="353">
        <f t="shared" ca="1" si="140"/>
        <v>0.92252830077942027</v>
      </c>
      <c r="DZ22" s="353">
        <f t="shared" ca="1" si="141"/>
        <v>0.95291489992623979</v>
      </c>
      <c r="EA22" s="353">
        <f t="shared" ca="1" si="142"/>
        <v>0.97290480718949979</v>
      </c>
      <c r="EB22" s="353">
        <f t="shared" ca="1" si="143"/>
        <v>0.98525317495039544</v>
      </c>
      <c r="EC22" s="353">
        <f t="shared" ca="1" si="144"/>
        <v>0.99241589523474161</v>
      </c>
      <c r="ED22" s="353">
        <f t="shared" ca="1" si="145"/>
        <v>0.9963172514145151</v>
      </c>
      <c r="EE22" s="353">
        <f t="shared" ca="1" si="146"/>
        <v>0.99831261409548178</v>
      </c>
      <c r="EF22" s="353">
        <f t="shared" ca="1" si="147"/>
        <v>0.99927090227408999</v>
      </c>
      <c r="EG22" s="353">
        <f t="shared" ca="1" si="148"/>
        <v>0.9997030555549854</v>
      </c>
      <c r="EH22" s="353">
        <f t="shared" ca="1" si="149"/>
        <v>0.99988605349609361</v>
      </c>
      <c r="EI22" s="353">
        <f t="shared" ca="1" si="150"/>
        <v>0.99995881816475995</v>
      </c>
      <c r="EJ22" s="353">
        <f t="shared" ca="1" si="151"/>
        <v>0.99998598631580404</v>
      </c>
      <c r="EK22" s="353">
        <f t="shared" ca="1" si="152"/>
        <v>0.99999551129310249</v>
      </c>
      <c r="EL22" s="354">
        <f t="shared" ca="1" si="153"/>
        <v>0.99999864696977425</v>
      </c>
      <c r="EM22" s="17"/>
      <c r="EN22" s="17"/>
      <c r="EO22" s="343" cm="1">
        <f t="array" aca="1" ref="EO22" ca="1">IF($AN22&gt;CDS.Tenor,"-",flatInterpolation(CP22,INDIRECT(HazardRateTimes3),INDIRECT(HazardRateValues3)))</f>
        <v>7.4999999999999997E-3</v>
      </c>
      <c r="EP22" s="10">
        <f t="shared" ca="1" si="154"/>
        <v>0.96681317772154307</v>
      </c>
      <c r="EQ22" s="10">
        <f t="shared" ca="1" si="155"/>
        <v>3.3186822278456929E-2</v>
      </c>
      <c r="ER22" s="81">
        <f t="shared" ca="1" si="156"/>
        <v>-1.8358919090949912</v>
      </c>
      <c r="ET22" s="358">
        <f t="shared" si="157"/>
        <v>4.5</v>
      </c>
      <c r="EU22" s="353">
        <f ca="1">IF($AN22&gt;CDS.Tenor,"-",_xlfn.NORM.S.DIST(($ER22-SQRT(Correlation3)*EU$3)/SQRT(1-Correlation3),TRUE))</f>
        <v>0.97001462048809051</v>
      </c>
      <c r="EV22" s="353">
        <f ca="1">IF($AN22&gt;CDS.Tenor,"-",_xlfn.NORM.S.DIST(($ER22-SQRT(Correlation3)*EV$3)/SQRT(1-Correlation3),TRUE))</f>
        <v>0.92656661721663047</v>
      </c>
      <c r="EW22" s="353">
        <f ca="1">IF($AN22&gt;CDS.Tenor,"-",_xlfn.NORM.S.DIST(($ER22-SQRT(Correlation3)*EW$3)/SQRT(1-Correlation3),TRUE))</f>
        <v>0.84622288095010967</v>
      </c>
      <c r="EX22" s="353">
        <f ca="1">IF($AN22&gt;CDS.Tenor,"-",_xlfn.NORM.S.DIST(($ER22-SQRT(Correlation3)*EX$3)/SQRT(1-Correlation3),TRUE))</f>
        <v>0.72242038676343967</v>
      </c>
      <c r="EY22" s="353">
        <f ca="1">IF($AN22&gt;CDS.Tenor,"-",_xlfn.NORM.S.DIST(($ER22-SQRT(Correlation3)*EY$3)/SQRT(1-Correlation3),TRUE))</f>
        <v>0.56345166628233001</v>
      </c>
      <c r="EZ22" s="353">
        <f ca="1">IF($AN22&gt;CDS.Tenor,"-",_xlfn.NORM.S.DIST(($ER22-SQRT(Correlation3)*EZ$3)/SQRT(1-Correlation3),TRUE))</f>
        <v>0.39335156602610449</v>
      </c>
      <c r="FA22" s="353">
        <f ca="1">IF($AN22&gt;CDS.Tenor,"-",_xlfn.NORM.S.DIST(($ER22-SQRT(Correlation3)*FA$3)/SQRT(1-Correlation3),TRUE))</f>
        <v>0.24167809865406542</v>
      </c>
      <c r="FB22" s="353">
        <f ca="1">IF($AN22&gt;CDS.Tenor,"-",_xlfn.NORM.S.DIST(($ER22-SQRT(Correlation3)*FB$3)/SQRT(1-Correlation3),TRUE))</f>
        <v>0.12897802638288031</v>
      </c>
      <c r="FC22" s="353">
        <f ca="1">IF($AN22&gt;CDS.Tenor,"-",_xlfn.NORM.S.DIST(($ER22-SQRT(Correlation3)*FC$3)/SQRT(1-Correlation3),TRUE))</f>
        <v>5.9196324075830448E-2</v>
      </c>
      <c r="FD22" s="353">
        <f ca="1">IF($AN22&gt;CDS.Tenor,"-",_xlfn.NORM.S.DIST(($ER22-SQRT(Correlation3)*FD$3)/SQRT(1-Correlation3),TRUE))</f>
        <v>2.319230829142889E-2</v>
      </c>
      <c r="FE22" s="353">
        <f ca="1">IF($AN22&gt;CDS.Tenor,"-",_xlfn.NORM.S.DIST(($ER22-SQRT(Correlation3)*FE$3)/SQRT(1-Correlation3),TRUE))</f>
        <v>7.7134926350968585E-3</v>
      </c>
      <c r="FF22" s="353">
        <f ca="1">IF($AN22&gt;CDS.Tenor,"-",_xlfn.NORM.S.DIST(($ER22-SQRT(Correlation3)*FF$3)/SQRT(1-Correlation3),TRUE))</f>
        <v>2.1687209095503923E-3</v>
      </c>
      <c r="FG22" s="353">
        <f ca="1">IF($AN22&gt;CDS.Tenor,"-",_xlfn.NORM.S.DIST(($ER22-SQRT(Correlation3)*FG$3)/SQRT(1-Correlation3),TRUE))</f>
        <v>5.1383834954102738E-4</v>
      </c>
      <c r="FH22" s="353">
        <f ca="1">IF($AN22&gt;CDS.Tenor,"-",_xlfn.NORM.S.DIST(($ER22-SQRT(Correlation3)*FH$3)/SQRT(1-Correlation3),TRUE))</f>
        <v>1.023442425650541E-4</v>
      </c>
      <c r="FI22" s="353">
        <f ca="1">IF($AN22&gt;CDS.Tenor,"-",_xlfn.NORM.S.DIST(($ER22-SQRT(Correlation3)*FI$3)/SQRT(1-Correlation3),TRUE))</f>
        <v>1.7103805603623729E-5</v>
      </c>
      <c r="FJ22" s="353">
        <f ca="1">IF($AN22&gt;CDS.Tenor,"-",_xlfn.NORM.S.DIST(($ER22-SQRT(Correlation3)*FJ$3)/SQRT(1-Correlation3),TRUE))</f>
        <v>2.3947881528014843E-6</v>
      </c>
      <c r="FK22" s="353">
        <f ca="1">IF($AN22&gt;CDS.Tenor,"-",_xlfn.NORM.S.DIST(($ER22-SQRT(Correlation3)*FK$3)/SQRT(1-Correlation3),TRUE))</f>
        <v>2.8058852381800686E-7</v>
      </c>
      <c r="FL22" s="353">
        <f ca="1">IF($AN22&gt;CDS.Tenor,"-",_xlfn.NORM.S.DIST(($ER22-SQRT(Correlation3)*FL$3)/SQRT(1-Correlation3),TRUE))</f>
        <v>2.7484262909029026E-8</v>
      </c>
      <c r="FM22" s="353">
        <f ca="1">IF($AN22&gt;CDS.Tenor,"-",_xlfn.NORM.S.DIST(($ER22-SQRT(Correlation3)*FM$3)/SQRT(1-Correlation3),TRUE))</f>
        <v>2.2488949145797275E-9</v>
      </c>
      <c r="FN22" s="353">
        <f ca="1">IF($AN22&gt;CDS.Tenor,"-",_xlfn.NORM.S.DIST(($ER22-SQRT(Correlation3)*FN$3)/SQRT(1-Correlation3),TRUE))</f>
        <v>1.5361874262156897E-10</v>
      </c>
      <c r="FO22" s="354">
        <f ca="1">IF($AN22&gt;CDS.Tenor,"-",_xlfn.NORM.S.DIST(($ER22-SQRT(Correlation3)*FO$3)/SQRT(1-Correlation3),TRUE))</f>
        <v>8.7553851328153655E-12</v>
      </c>
      <c r="FQ22" s="358">
        <f t="shared" si="158"/>
        <v>4.5</v>
      </c>
      <c r="FR22" s="353">
        <f t="shared" ca="1" si="159"/>
        <v>2.9985379511909493E-2</v>
      </c>
      <c r="FS22" s="353">
        <f t="shared" ca="1" si="160"/>
        <v>7.3433382783369527E-2</v>
      </c>
      <c r="FT22" s="353">
        <f t="shared" ca="1" si="161"/>
        <v>0.15377711904989033</v>
      </c>
      <c r="FU22" s="353">
        <f t="shared" ca="1" si="162"/>
        <v>0.27757961323656033</v>
      </c>
      <c r="FV22" s="353">
        <f t="shared" ca="1" si="163"/>
        <v>0.43654833371766999</v>
      </c>
      <c r="FW22" s="353">
        <f t="shared" ca="1" si="164"/>
        <v>0.60664843397389556</v>
      </c>
      <c r="FX22" s="353">
        <f t="shared" ca="1" si="165"/>
        <v>0.75832190134593458</v>
      </c>
      <c r="FY22" s="353">
        <f t="shared" ca="1" si="166"/>
        <v>0.87102197361711964</v>
      </c>
      <c r="FZ22" s="353">
        <f t="shared" ca="1" si="167"/>
        <v>0.94080367592416958</v>
      </c>
      <c r="GA22" s="353">
        <f t="shared" ca="1" si="168"/>
        <v>0.97680769170857107</v>
      </c>
      <c r="GB22" s="353">
        <f t="shared" ca="1" si="169"/>
        <v>0.99228650736490309</v>
      </c>
      <c r="GC22" s="353">
        <f t="shared" ca="1" si="170"/>
        <v>0.99783127909044955</v>
      </c>
      <c r="GD22" s="353">
        <f t="shared" ca="1" si="171"/>
        <v>0.999486161650459</v>
      </c>
      <c r="GE22" s="353">
        <f t="shared" ca="1" si="172"/>
        <v>0.99989765575743494</v>
      </c>
      <c r="GF22" s="353">
        <f t="shared" ca="1" si="173"/>
        <v>0.9999828961943964</v>
      </c>
      <c r="GG22" s="353">
        <f t="shared" ca="1" si="174"/>
        <v>0.99999760521184722</v>
      </c>
      <c r="GH22" s="353">
        <f t="shared" ca="1" si="175"/>
        <v>0.99999971941147614</v>
      </c>
      <c r="GI22" s="353">
        <f t="shared" ca="1" si="176"/>
        <v>0.99999997251573713</v>
      </c>
      <c r="GJ22" s="353">
        <f t="shared" ca="1" si="177"/>
        <v>0.99999999775110504</v>
      </c>
      <c r="GK22" s="353">
        <f t="shared" ca="1" si="178"/>
        <v>0.99999999984638122</v>
      </c>
      <c r="GL22" s="354">
        <f t="shared" ca="1" si="179"/>
        <v>0.99999999999124467</v>
      </c>
      <c r="GO22" s="358">
        <f t="shared" si="180"/>
        <v>4.5</v>
      </c>
      <c r="GP22" s="353">
        <f t="shared" ca="1" si="181"/>
        <v>2.0508007673651334E-3</v>
      </c>
      <c r="GQ22" s="353">
        <f t="shared" ca="1" si="182"/>
        <v>9.8054314624672987E-3</v>
      </c>
      <c r="GR22" s="353">
        <f t="shared" ca="1" si="183"/>
        <v>3.5482739212566568E-2</v>
      </c>
      <c r="GS22" s="353">
        <f t="shared" ca="1" si="184"/>
        <v>9.8925579155944299E-2</v>
      </c>
      <c r="GT22" s="353">
        <f t="shared" ca="1" si="185"/>
        <v>0.21727128579203239</v>
      </c>
      <c r="GU22" s="353">
        <f t="shared" ca="1" si="186"/>
        <v>0.38632341286363725</v>
      </c>
      <c r="GV22" s="353">
        <f t="shared" ca="1" si="187"/>
        <v>0.57441628943024137</v>
      </c>
      <c r="GW22" s="353">
        <f t="shared" ca="1" si="188"/>
        <v>0.74073767460237516</v>
      </c>
      <c r="GX22" s="353">
        <f t="shared" ca="1" si="189"/>
        <v>0.86040363521579544</v>
      </c>
      <c r="GY22" s="353">
        <f t="shared" ca="1" si="190"/>
        <v>0.93240354266879344</v>
      </c>
      <c r="GZ22" s="353">
        <f t="shared" ca="1" si="191"/>
        <v>0.96980333101485949</v>
      </c>
      <c r="HA22" s="353">
        <f t="shared" ca="1" si="192"/>
        <v>0.98719904658791946</v>
      </c>
      <c r="HB22" s="353">
        <f t="shared" ca="1" si="193"/>
        <v>0.99473082669436153</v>
      </c>
      <c r="HC22" s="353">
        <f t="shared" ca="1" si="194"/>
        <v>0.99787113001518679</v>
      </c>
      <c r="HD22" s="353">
        <f t="shared" ca="1" si="195"/>
        <v>0.99915722180340061</v>
      </c>
      <c r="HE22" s="353">
        <f t="shared" ca="1" si="196"/>
        <v>0.99967587804581837</v>
      </c>
      <c r="HF22" s="353">
        <f t="shared" ca="1" si="197"/>
        <v>0.9998800430198812</v>
      </c>
      <c r="HG22" s="353">
        <f t="shared" ca="1" si="198"/>
        <v>0.99995759750289936</v>
      </c>
      <c r="HH22" s="353">
        <f t="shared" ca="1" si="199"/>
        <v>0.99998576037490472</v>
      </c>
      <c r="HI22" s="353">
        <f t="shared" ca="1" si="200"/>
        <v>0.99999547339821526</v>
      </c>
      <c r="HJ22" s="354">
        <f t="shared" ca="1" si="201"/>
        <v>0.99999864123233739</v>
      </c>
      <c r="HK22" s="42"/>
      <c r="HL22" s="42"/>
      <c r="HM22" s="358">
        <f t="shared" si="202"/>
        <v>4.5</v>
      </c>
      <c r="HN22" s="362">
        <f t="shared" ca="1" si="203"/>
        <v>0.92627605386713352</v>
      </c>
      <c r="HO22" s="363">
        <f t="shared" ca="1" si="204"/>
        <v>3.8209370209174587E-3</v>
      </c>
    </row>
    <row r="23" spans="2:223" x14ac:dyDescent="0.3">
      <c r="B23" s="116" t="s">
        <v>49</v>
      </c>
      <c r="C23" s="160"/>
      <c r="D23" s="380">
        <f ca="1">ABS(CDS.PremiumLegPV/CDS.CreditSpread)</f>
        <v>42979301.14018748</v>
      </c>
      <c r="F23" s="407" t="str">
        <v>NVDA</v>
      </c>
      <c r="G23" s="406">
        <f>'Credit Curve NVDA'!$P$8</f>
        <v>45</v>
      </c>
      <c r="I23" s="411"/>
      <c r="V23" s="370">
        <f t="shared" si="89"/>
        <v>4.75</v>
      </c>
      <c r="W23" s="371">
        <f t="shared" si="90"/>
        <v>-25000</v>
      </c>
      <c r="X23" s="348">
        <f t="shared" ca="1" si="91"/>
        <v>0.92248066668730455</v>
      </c>
      <c r="Y23" s="348">
        <f t="shared" ca="1" si="92"/>
        <v>3.7953871798289684E-3</v>
      </c>
      <c r="Z23" s="372" cm="1">
        <f t="array" ref="Z23">IF($V23&gt;CDS.Tenor,"-",cubicInterpolation(CurveResults.Times,CurveResults.DFs,$V23))</f>
        <v>0.82262044965312253</v>
      </c>
      <c r="AA23" s="371">
        <f t="shared" ca="1" si="93"/>
        <v>-18971.28652066557</v>
      </c>
      <c r="AB23" s="371">
        <f t="shared" ca="1" si="94"/>
        <v>-39.027038855982532</v>
      </c>
      <c r="AC23" s="373">
        <f t="shared" ca="1" si="95"/>
        <v>-19010.313559521554</v>
      </c>
      <c r="AF23" s="370">
        <f t="shared" si="96"/>
        <v>4.75</v>
      </c>
      <c r="AG23" s="371">
        <f t="shared" si="97"/>
        <v>6000000</v>
      </c>
      <c r="AH23" s="348">
        <f t="shared" ca="1" si="98"/>
        <v>0.92248066668730455</v>
      </c>
      <c r="AI23" s="348">
        <f t="shared" ca="1" si="99"/>
        <v>3.7953871798289684E-3</v>
      </c>
      <c r="AJ23" s="372" cm="1">
        <f t="array" ref="AJ23">IF($AF23&gt;CDS.Tenor,"-",cubicInterpolation(CurveResults.Times,CurveResults.DFs,$V23))</f>
        <v>0.82262044965312253</v>
      </c>
      <c r="AK23" s="373">
        <f t="shared" ca="1" si="100"/>
        <v>18732.978650871617</v>
      </c>
      <c r="AN23" s="358">
        <f t="shared" si="101"/>
        <v>4.75</v>
      </c>
      <c r="AO23" s="343" cm="1">
        <f t="array" aca="1" ref="AO23" ca="1">IF($AN23&gt;CDS.Tenor,"-",flatInterpolation(AM23,INDIRECT(HazardRateTimes1),INDIRECT(HazardRateValues1)))</f>
        <v>5.0000000000000001E-3</v>
      </c>
      <c r="AP23" s="10">
        <f t="shared" ca="1" si="102"/>
        <v>0.97652981169682063</v>
      </c>
      <c r="AQ23" s="10">
        <f t="shared" ca="1" si="103"/>
        <v>2.3470188303179373E-2</v>
      </c>
      <c r="AR23" s="81">
        <f t="shared" ca="1" si="104"/>
        <v>-1.9868377787094025</v>
      </c>
      <c r="AT23" s="358">
        <f t="shared" si="105"/>
        <v>4.75</v>
      </c>
      <c r="AU23" s="353">
        <f ca="1">IF($AN23&gt;CDS.Tenor,"-",_xlfn.NORM.S.DIST(($AR23-SQRT(Correlation1)*AU$3)/SQRT(1-Correlation1),TRUE))</f>
        <v>0.82107528586990641</v>
      </c>
      <c r="AV23" s="353">
        <f ca="1">IF($AN23&gt;CDS.Tenor,"-",_xlfn.NORM.S.DIST(($AR23-SQRT(Correlation1)*AV$3)/SQRT(1-Correlation1),TRUE))</f>
        <v>0.72222589855463448</v>
      </c>
      <c r="AW23" s="353">
        <f ca="1">IF($AN23&gt;CDS.Tenor,"-",_xlfn.NORM.S.DIST(($AR23-SQRT(Correlation1)*AW$3)/SQRT(1-Correlation1),TRUE))</f>
        <v>0.60236092147600884</v>
      </c>
      <c r="AX23" s="353">
        <f ca="1">IF($AN23&gt;CDS.Tenor,"-",_xlfn.NORM.S.DIST(($AR23-SQRT(Correlation1)*AX$3)/SQRT(1-Correlation1),TRUE))</f>
        <v>0.4718814944195881</v>
      </c>
      <c r="AY23" s="353">
        <f ca="1">IF($AN23&gt;CDS.Tenor,"-",_xlfn.NORM.S.DIST(($AR23-SQRT(Correlation1)*AY$3)/SQRT(1-Correlation1),TRUE))</f>
        <v>0.34437756165631184</v>
      </c>
      <c r="AZ23" s="353">
        <f ca="1">IF($AN23&gt;CDS.Tenor,"-",_xlfn.NORM.S.DIST(($AR23-SQRT(Correlation1)*AZ$3)/SQRT(1-Correlation1),TRUE))</f>
        <v>0.23252734816183912</v>
      </c>
      <c r="BA23" s="353">
        <f ca="1">IF($AN23&gt;CDS.Tenor,"-",_xlfn.NORM.S.DIST(($AR23-SQRT(Correlation1)*BA$3)/SQRT(1-Correlation1),TRUE))</f>
        <v>0.14444657024533797</v>
      </c>
      <c r="BB23" s="353">
        <f ca="1">IF($AN23&gt;CDS.Tenor,"-",_xlfn.NORM.S.DIST(($AR23-SQRT(Correlation1)*BB$3)/SQRT(1-Correlation1),TRUE))</f>
        <v>8.2179928449157294E-2</v>
      </c>
      <c r="BC23" s="353">
        <f ca="1">IF($AN23&gt;CDS.Tenor,"-",_xlfn.NORM.S.DIST(($AR23-SQRT(Correlation1)*BC$3)/SQRT(1-Correlation1),TRUE))</f>
        <v>4.2665280107534495E-2</v>
      </c>
      <c r="BD23" s="353">
        <f ca="1">IF($AN23&gt;CDS.Tenor,"-",_xlfn.NORM.S.DIST(($AR23-SQRT(Correlation1)*BD$3)/SQRT(1-Correlation1),TRUE))</f>
        <v>2.0154679225659441E-2</v>
      </c>
      <c r="BE23" s="353">
        <f ca="1">IF($AN23&gt;CDS.Tenor,"-",_xlfn.NORM.S.DIST(($AR23-SQRT(Correlation1)*BE$3)/SQRT(1-Correlation1),TRUE))</f>
        <v>8.642970713830668E-3</v>
      </c>
      <c r="BF23" s="353">
        <f ca="1">IF($AN23&gt;CDS.Tenor,"-",_xlfn.NORM.S.DIST(($AR23-SQRT(Correlation1)*BF$3)/SQRT(1-Correlation1),TRUE))</f>
        <v>3.3583576681710694E-3</v>
      </c>
      <c r="BG23" s="353">
        <f ca="1">IF($AN23&gt;CDS.Tenor,"-",_xlfn.NORM.S.DIST(($AR23-SQRT(Correlation1)*BG$3)/SQRT(1-Correlation1),TRUE))</f>
        <v>1.1806285797749164E-3</v>
      </c>
      <c r="BH23" s="353">
        <f ca="1">IF($AN23&gt;CDS.Tenor,"-",_xlfn.NORM.S.DIST(($AR23-SQRT(Correlation1)*BH$3)/SQRT(1-Correlation1),TRUE))</f>
        <v>3.750500586137132E-4</v>
      </c>
      <c r="BI23" s="353">
        <f ca="1">IF($AN23&gt;CDS.Tenor,"-",_xlfn.NORM.S.DIST(($AR23-SQRT(Correlation1)*BI$3)/SQRT(1-Correlation1),TRUE))</f>
        <v>1.0755178589545101E-4</v>
      </c>
      <c r="BJ23" s="353">
        <f ca="1">IF($AN23&gt;CDS.Tenor,"-",_xlfn.NORM.S.DIST(($AR23-SQRT(Correlation1)*BJ$3)/SQRT(1-Correlation1),TRUE))</f>
        <v>2.7818714788065414E-5</v>
      </c>
      <c r="BK23" s="353">
        <f ca="1">IF($AN23&gt;CDS.Tenor,"-",_xlfn.NORM.S.DIST(($AR23-SQRT(Correlation1)*BK$3)/SQRT(1-Correlation1),TRUE))</f>
        <v>6.4855455448637043E-6</v>
      </c>
      <c r="BL23" s="353">
        <f ca="1">IF($AN23&gt;CDS.Tenor,"-",_xlfn.NORM.S.DIST(($AR23-SQRT(Correlation1)*BL$3)/SQRT(1-Correlation1),TRUE))</f>
        <v>1.3620510166911734E-6</v>
      </c>
      <c r="BM23" s="353">
        <f ca="1">IF($AN23&gt;CDS.Tenor,"-",_xlfn.NORM.S.DIST(($AR23-SQRT(Correlation1)*BM$3)/SQRT(1-Correlation1),TRUE))</f>
        <v>2.5755154586080286E-7</v>
      </c>
      <c r="BN23" s="353">
        <f ca="1">IF($AN23&gt;CDS.Tenor,"-",_xlfn.NORM.S.DIST(($AR23-SQRT(Correlation1)*BN$3)/SQRT(1-Correlation1),TRUE))</f>
        <v>4.3830580152889754E-8</v>
      </c>
      <c r="BO23" s="354">
        <f ca="1">IF($AN23&gt;CDS.Tenor,"-",_xlfn.NORM.S.DIST(($AR23-SQRT(Correlation1)*BO$3)/SQRT(1-Correlation1),TRUE))</f>
        <v>6.7108414647371214E-9</v>
      </c>
      <c r="BQ23" s="358">
        <f t="shared" si="106"/>
        <v>4.75</v>
      </c>
      <c r="BR23" s="353">
        <f t="shared" ca="1" si="107"/>
        <v>0.17892471413009359</v>
      </c>
      <c r="BS23" s="353">
        <f t="shared" ca="1" si="108"/>
        <v>0.27777410144536552</v>
      </c>
      <c r="BT23" s="353">
        <f t="shared" ca="1" si="109"/>
        <v>0.39763907852399116</v>
      </c>
      <c r="BU23" s="353">
        <f t="shared" ca="1" si="110"/>
        <v>0.52811850558041185</v>
      </c>
      <c r="BV23" s="353">
        <f t="shared" ca="1" si="111"/>
        <v>0.65562243834368816</v>
      </c>
      <c r="BW23" s="353">
        <f t="shared" ca="1" si="112"/>
        <v>0.76747265183816094</v>
      </c>
      <c r="BX23" s="353">
        <f t="shared" ca="1" si="113"/>
        <v>0.85555342975466209</v>
      </c>
      <c r="BY23" s="353">
        <f t="shared" ca="1" si="114"/>
        <v>0.91782007155084266</v>
      </c>
      <c r="BZ23" s="353">
        <f t="shared" ca="1" si="115"/>
        <v>0.95733471989246555</v>
      </c>
      <c r="CA23" s="353">
        <f t="shared" ca="1" si="116"/>
        <v>0.97984532077434061</v>
      </c>
      <c r="CB23" s="353">
        <f t="shared" ca="1" si="117"/>
        <v>0.99135702928616931</v>
      </c>
      <c r="CC23" s="353">
        <f t="shared" ca="1" si="118"/>
        <v>0.99664164233182895</v>
      </c>
      <c r="CD23" s="353">
        <f t="shared" ca="1" si="119"/>
        <v>0.99881937142022503</v>
      </c>
      <c r="CE23" s="353">
        <f t="shared" ca="1" si="120"/>
        <v>0.99962494994138629</v>
      </c>
      <c r="CF23" s="353">
        <f t="shared" ca="1" si="121"/>
        <v>0.9998924482141045</v>
      </c>
      <c r="CG23" s="353">
        <f t="shared" ca="1" si="122"/>
        <v>0.99997218128521193</v>
      </c>
      <c r="CH23" s="353">
        <f t="shared" ca="1" si="123"/>
        <v>0.99999351445445517</v>
      </c>
      <c r="CI23" s="353">
        <f t="shared" ca="1" si="124"/>
        <v>0.99999863794898336</v>
      </c>
      <c r="CJ23" s="353">
        <f t="shared" ca="1" si="125"/>
        <v>0.99999974244845413</v>
      </c>
      <c r="CK23" s="353">
        <f t="shared" ca="1" si="126"/>
        <v>0.99999995616941983</v>
      </c>
      <c r="CL23" s="354">
        <f t="shared" ca="1" si="127"/>
        <v>0.99999999328915856</v>
      </c>
      <c r="CM23" s="17"/>
      <c r="CN23" s="17"/>
      <c r="CO23" s="343" cm="1">
        <f t="array" aca="1" ref="CO23" ca="1">IF($AN23&gt;CDS.Tenor,"-",flatInterpolation(AN23,INDIRECT(HazardRateTimes2),INDIRECT(HazardRateValues2)))</f>
        <v>5.8333333333333336E-3</v>
      </c>
      <c r="CP23" s="10">
        <f t="shared" ca="1" si="128"/>
        <v>0.97267202143918785</v>
      </c>
      <c r="CQ23" s="10">
        <f t="shared" ca="1" si="129"/>
        <v>2.7327978560812149E-2</v>
      </c>
      <c r="CR23" s="81">
        <f t="shared" ca="1" si="130"/>
        <v>-1.9216012029742389</v>
      </c>
      <c r="CT23" s="358">
        <f t="shared" si="131"/>
        <v>4.75</v>
      </c>
      <c r="CU23" s="353">
        <f ca="1">IF($AN23&gt;CDS.Tenor,"-",_xlfn.NORM.S.DIST(($CR23-SQRT(Correlation2)*CU$3)/SQRT(1-Correlation2),TRUE))</f>
        <v>0.64211148694268949</v>
      </c>
      <c r="CV23" s="353">
        <f ca="1">IF($AN23&gt;CDS.Tenor,"-",_xlfn.NORM.S.DIST(($CR23-SQRT(Correlation2)*CV$3)/SQRT(1-Correlation2),TRUE))</f>
        <v>0.54482432368594069</v>
      </c>
      <c r="CW23" s="353">
        <f ca="1">IF($AN23&gt;CDS.Tenor,"-",_xlfn.NORM.S.DIST(($CR23-SQRT(Correlation2)*CW$3)/SQRT(1-Correlation2),TRUE))</f>
        <v>0.44475759079490379</v>
      </c>
      <c r="CX23" s="353">
        <f ca="1">IF($AN23&gt;CDS.Tenor,"-",_xlfn.NORM.S.DIST(($CR23-SQRT(Correlation2)*CX$3)/SQRT(1-Correlation2),TRUE))</f>
        <v>0.34810901545841044</v>
      </c>
      <c r="CY23" s="353">
        <f ca="1">IF($AN23&gt;CDS.Tenor,"-",_xlfn.NORM.S.DIST(($CR23-SQRT(Correlation2)*CY$3)/SQRT(1-Correlation2),TRUE))</f>
        <v>0.26045481826655958</v>
      </c>
      <c r="CZ23" s="353">
        <f ca="1">IF($AN23&gt;CDS.Tenor,"-",_xlfn.NORM.S.DIST(($CR23-SQRT(Correlation2)*CZ$3)/SQRT(1-Correlation2),TRUE))</f>
        <v>0.18580626232373548</v>
      </c>
      <c r="DA23" s="353">
        <f ca="1">IF($AN23&gt;CDS.Tenor,"-",_xlfn.NORM.S.DIST(($CR23-SQRT(Correlation2)*DA$3)/SQRT(1-Correlation2),TRUE))</f>
        <v>0.12611078997266589</v>
      </c>
      <c r="DB23" s="353">
        <f ca="1">IF($AN23&gt;CDS.Tenor,"-",_xlfn.NORM.S.DIST(($CR23-SQRT(Correlation2)*DB$3)/SQRT(1-Correlation2),TRUE))</f>
        <v>8.1284534784416662E-2</v>
      </c>
      <c r="DC23" s="353">
        <f ca="1">IF($AN23&gt;CDS.Tenor,"-",_xlfn.NORM.S.DIST(($CR23-SQRT(Correlation2)*DC$3)/SQRT(1-Correlation2),TRUE))</f>
        <v>4.9676728943817777E-2</v>
      </c>
      <c r="DD23" s="353">
        <f ca="1">IF($AN23&gt;CDS.Tenor,"-",_xlfn.NORM.S.DIST(($CR23-SQRT(Correlation2)*DD$3)/SQRT(1-Correlation2),TRUE))</f>
        <v>2.87487762213329E-2</v>
      </c>
      <c r="DE23" s="353">
        <f ca="1">IF($AN23&gt;CDS.Tenor,"-",_xlfn.NORM.S.DIST(($CR23-SQRT(Correlation2)*DE$3)/SQRT(1-Correlation2),TRUE))</f>
        <v>1.5737218975627364E-2</v>
      </c>
      <c r="DF23" s="353">
        <f ca="1">IF($AN23&gt;CDS.Tenor,"-",_xlfn.NORM.S.DIST(($CR23-SQRT(Correlation2)*DF$3)/SQRT(1-Correlation2),TRUE))</f>
        <v>8.1409293395643435E-3</v>
      </c>
      <c r="DG23" s="353">
        <f ca="1">IF($AN23&gt;CDS.Tenor,"-",_xlfn.NORM.S.DIST(($CR23-SQRT(Correlation2)*DG$3)/SQRT(1-Correlation2),TRUE))</f>
        <v>3.9766200269147067E-3</v>
      </c>
      <c r="DH23" s="353">
        <f ca="1">IF($AN23&gt;CDS.Tenor,"-",_xlfn.NORM.S.DIST(($CR23-SQRT(Correlation2)*DH$3)/SQRT(1-Correlation2),TRUE))</f>
        <v>1.8329736888000909E-3</v>
      </c>
      <c r="DI23" s="353">
        <f ca="1">IF($AN23&gt;CDS.Tenor,"-",_xlfn.NORM.S.DIST(($CR23-SQRT(Correlation2)*DI$3)/SQRT(1-Correlation2),TRUE))</f>
        <v>7.9680277442750595E-4</v>
      </c>
      <c r="DJ23" s="353">
        <f ca="1">IF($AN23&gt;CDS.Tenor,"-",_xlfn.NORM.S.DIST(($CR23-SQRT(Correlation2)*DJ$3)/SQRT(1-Correlation2),TRUE))</f>
        <v>3.2650045022882939E-4</v>
      </c>
      <c r="DK23" s="353">
        <f ca="1">IF($AN23&gt;CDS.Tenor,"-",_xlfn.NORM.S.DIST(($CR23-SQRT(Correlation2)*DK$3)/SQRT(1-Correlation2),TRUE))</f>
        <v>1.2605803306304744E-4</v>
      </c>
      <c r="DL23" s="353">
        <f ca="1">IF($AN23&gt;CDS.Tenor,"-",_xlfn.NORM.S.DIST(($CR23-SQRT(Correlation2)*DL$3)/SQRT(1-Correlation2),TRUE))</f>
        <v>4.5840707330921016E-5</v>
      </c>
      <c r="DM23" s="353">
        <f ca="1">IF($AN23&gt;CDS.Tenor,"-",_xlfn.NORM.S.DIST(($CR23-SQRT(Correlation2)*DM$3)/SQRT(1-Correlation2),TRUE))</f>
        <v>1.569593660377228E-5</v>
      </c>
      <c r="DN23" s="353">
        <f ca="1">IF($AN23&gt;CDS.Tenor,"-",_xlfn.NORM.S.DIST(($CR23-SQRT(Correlation2)*DN$3)/SQRT(1-Correlation2),TRUE))</f>
        <v>5.0589106793803731E-6</v>
      </c>
      <c r="DO23" s="354">
        <f ca="1">IF($AN23&gt;CDS.Tenor,"-",_xlfn.NORM.S.DIST(($CR23-SQRT(Correlation2)*DO$3)/SQRT(1-Correlation2),TRUE))</f>
        <v>1.5344554178658757E-6</v>
      </c>
      <c r="DQ23" s="358">
        <f t="shared" si="132"/>
        <v>4.75</v>
      </c>
      <c r="DR23" s="353">
        <f t="shared" ca="1" si="133"/>
        <v>0.35788851305731051</v>
      </c>
      <c r="DS23" s="353">
        <f t="shared" ca="1" si="134"/>
        <v>0.45517567631405931</v>
      </c>
      <c r="DT23" s="353">
        <f t="shared" ca="1" si="135"/>
        <v>0.55524240920509627</v>
      </c>
      <c r="DU23" s="353">
        <f t="shared" ca="1" si="136"/>
        <v>0.65189098454158956</v>
      </c>
      <c r="DV23" s="353">
        <f t="shared" ca="1" si="137"/>
        <v>0.73954518173344042</v>
      </c>
      <c r="DW23" s="353">
        <f t="shared" ca="1" si="138"/>
        <v>0.81419373767626446</v>
      </c>
      <c r="DX23" s="353">
        <f t="shared" ca="1" si="139"/>
        <v>0.87388921002733411</v>
      </c>
      <c r="DY23" s="353">
        <f t="shared" ca="1" si="140"/>
        <v>0.91871546521558334</v>
      </c>
      <c r="DZ23" s="353">
        <f t="shared" ca="1" si="141"/>
        <v>0.95032327105618219</v>
      </c>
      <c r="EA23" s="353">
        <f t="shared" ca="1" si="142"/>
        <v>0.97125122377866713</v>
      </c>
      <c r="EB23" s="353">
        <f t="shared" ca="1" si="143"/>
        <v>0.98426278102437259</v>
      </c>
      <c r="EC23" s="353">
        <f t="shared" ca="1" si="144"/>
        <v>0.99185907066043566</v>
      </c>
      <c r="ED23" s="353">
        <f t="shared" ca="1" si="145"/>
        <v>0.99602337997308532</v>
      </c>
      <c r="EE23" s="353">
        <f t="shared" ca="1" si="146"/>
        <v>0.99816702631119991</v>
      </c>
      <c r="EF23" s="353">
        <f t="shared" ca="1" si="147"/>
        <v>0.99920319722557249</v>
      </c>
      <c r="EG23" s="353">
        <f t="shared" ca="1" si="148"/>
        <v>0.99967349954977114</v>
      </c>
      <c r="EH23" s="353">
        <f t="shared" ca="1" si="149"/>
        <v>0.99987394196693691</v>
      </c>
      <c r="EI23" s="353">
        <f t="shared" ca="1" si="150"/>
        <v>0.99995415929266906</v>
      </c>
      <c r="EJ23" s="353">
        <f t="shared" ca="1" si="151"/>
        <v>0.99998430406339622</v>
      </c>
      <c r="EK23" s="353">
        <f t="shared" ca="1" si="152"/>
        <v>0.99999494108932063</v>
      </c>
      <c r="EL23" s="354">
        <f t="shared" ca="1" si="153"/>
        <v>0.99999846554458216</v>
      </c>
      <c r="EM23" s="17"/>
      <c r="EN23" s="17"/>
      <c r="EO23" s="343" cm="1">
        <f t="array" aca="1" ref="EO23" ca="1">IF($AN23&gt;CDS.Tenor,"-",flatInterpolation(CP23,INDIRECT(HazardRateTimes3),INDIRECT(HazardRateValues3)))</f>
        <v>7.4999999999999997E-3</v>
      </c>
      <c r="EP23" s="10">
        <f t="shared" ca="1" si="154"/>
        <v>0.96500210142792919</v>
      </c>
      <c r="EQ23" s="10">
        <f t="shared" ca="1" si="155"/>
        <v>3.4997898572070807E-2</v>
      </c>
      <c r="ER23" s="81">
        <f t="shared" ca="1" si="156"/>
        <v>-1.8119378695098969</v>
      </c>
      <c r="ET23" s="358">
        <f t="shared" si="157"/>
        <v>4.75</v>
      </c>
      <c r="EU23" s="353">
        <f ca="1">IF($AN23&gt;CDS.Tenor,"-",_xlfn.NORM.S.DIST(($ER23-SQRT(Correlation3)*EU$3)/SQRT(1-Correlation3),TRUE))</f>
        <v>0.97210115818670273</v>
      </c>
      <c r="EV23" s="353">
        <f ca="1">IF($AN23&gt;CDS.Tenor,"-",_xlfn.NORM.S.DIST(($ER23-SQRT(Correlation3)*EV$3)/SQRT(1-Correlation3),TRUE))</f>
        <v>0.93086867950798724</v>
      </c>
      <c r="EW23" s="353">
        <f ca="1">IF($AN23&gt;CDS.Tenor,"-",_xlfn.NORM.S.DIST(($ER23-SQRT(Correlation3)*EW$3)/SQRT(1-Correlation3),TRUE))</f>
        <v>0.85359365380317875</v>
      </c>
      <c r="EX23" s="353">
        <f ca="1">IF($AN23&gt;CDS.Tenor,"-",_xlfn.NORM.S.DIST(($ER23-SQRT(Correlation3)*EX$3)/SQRT(1-Correlation3),TRUE))</f>
        <v>0.73291424603481348</v>
      </c>
      <c r="EY23" s="353">
        <f ca="1">IF($AN23&gt;CDS.Tenor,"-",_xlfn.NORM.S.DIST(($ER23-SQRT(Correlation3)*EY$3)/SQRT(1-Correlation3),TRUE))</f>
        <v>0.57586656894915778</v>
      </c>
      <c r="EZ23" s="353">
        <f ca="1">IF($AN23&gt;CDS.Tenor,"-",_xlfn.NORM.S.DIST(($ER23-SQRT(Correlation3)*EZ$3)/SQRT(1-Correlation3),TRUE))</f>
        <v>0.4055565517997734</v>
      </c>
      <c r="FA23" s="353">
        <f ca="1">IF($AN23&gt;CDS.Tenor,"-",_xlfn.NORM.S.DIST(($ER23-SQRT(Correlation3)*FA$3)/SQRT(1-Correlation3),TRUE))</f>
        <v>0.25164860263615951</v>
      </c>
      <c r="FB23" s="353">
        <f ca="1">IF($AN23&gt;CDS.Tenor,"-",_xlfn.NORM.S.DIST(($ER23-SQRT(Correlation3)*FB$3)/SQRT(1-Correlation3),TRUE))</f>
        <v>0.13574637656369973</v>
      </c>
      <c r="FC23" s="353">
        <f ca="1">IF($AN23&gt;CDS.Tenor,"-",_xlfn.NORM.S.DIST(($ER23-SQRT(Correlation3)*FC$3)/SQRT(1-Correlation3),TRUE))</f>
        <v>6.3014310711153709E-2</v>
      </c>
      <c r="FD23" s="353">
        <f ca="1">IF($AN23&gt;CDS.Tenor,"-",_xlfn.NORM.S.DIST(($ER23-SQRT(Correlation3)*FD$3)/SQRT(1-Correlation3),TRUE))</f>
        <v>2.4981973774384741E-2</v>
      </c>
      <c r="FE23" s="353">
        <f ca="1">IF($AN23&gt;CDS.Tenor,"-",_xlfn.NORM.S.DIST(($ER23-SQRT(Correlation3)*FE$3)/SQRT(1-Correlation3),TRUE))</f>
        <v>8.4105928138702678E-3</v>
      </c>
      <c r="FF23" s="353">
        <f ca="1">IF($AN23&gt;CDS.Tenor,"-",_xlfn.NORM.S.DIST(($ER23-SQRT(Correlation3)*FF$3)/SQRT(1-Correlation3),TRUE))</f>
        <v>2.3943548352529562E-3</v>
      </c>
      <c r="FG23" s="353">
        <f ca="1">IF($AN23&gt;CDS.Tenor,"-",_xlfn.NORM.S.DIST(($ER23-SQRT(Correlation3)*FG$3)/SQRT(1-Correlation3),TRUE))</f>
        <v>5.7452588172560333E-4</v>
      </c>
      <c r="FH23" s="353">
        <f ca="1">IF($AN23&gt;CDS.Tenor,"-",_xlfn.NORM.S.DIST(($ER23-SQRT(Correlation3)*FH$3)/SQRT(1-Correlation3),TRUE))</f>
        <v>1.159080128904852E-4</v>
      </c>
      <c r="FI23" s="353">
        <f ca="1">IF($AN23&gt;CDS.Tenor,"-",_xlfn.NORM.S.DIST(($ER23-SQRT(Correlation3)*FI$3)/SQRT(1-Correlation3),TRUE))</f>
        <v>1.9622916275207969E-5</v>
      </c>
      <c r="FJ23" s="353">
        <f ca="1">IF($AN23&gt;CDS.Tenor,"-",_xlfn.NORM.S.DIST(($ER23-SQRT(Correlation3)*FJ$3)/SQRT(1-Correlation3),TRUE))</f>
        <v>2.7835645919282548E-6</v>
      </c>
      <c r="FK23" s="353">
        <f ca="1">IF($AN23&gt;CDS.Tenor,"-",_xlfn.NORM.S.DIST(($ER23-SQRT(Correlation3)*FK$3)/SQRT(1-Correlation3),TRUE))</f>
        <v>3.3044694201035738E-7</v>
      </c>
      <c r="FL23" s="353">
        <f ca="1">IF($AN23&gt;CDS.Tenor,"-",_xlfn.NORM.S.DIST(($ER23-SQRT(Correlation3)*FL$3)/SQRT(1-Correlation3),TRUE))</f>
        <v>3.2797545578409164E-8</v>
      </c>
      <c r="FM23" s="353">
        <f ca="1">IF($AN23&gt;CDS.Tenor,"-",_xlfn.NORM.S.DIST(($ER23-SQRT(Correlation3)*FM$3)/SQRT(1-Correlation3),TRUE))</f>
        <v>2.7194096314317438E-9</v>
      </c>
      <c r="FN23" s="353">
        <f ca="1">IF($AN23&gt;CDS.Tenor,"-",_xlfn.NORM.S.DIST(($ER23-SQRT(Correlation3)*FN$3)/SQRT(1-Correlation3),TRUE))</f>
        <v>1.8824211498530907E-10</v>
      </c>
      <c r="FO23" s="354">
        <f ca="1">IF($AN23&gt;CDS.Tenor,"-",_xlfn.NORM.S.DIST(($ER23-SQRT(Correlation3)*FO$3)/SQRT(1-Correlation3),TRUE))</f>
        <v>1.0872533934906228E-11</v>
      </c>
      <c r="FQ23" s="358">
        <f t="shared" si="158"/>
        <v>4.75</v>
      </c>
      <c r="FR23" s="353">
        <f t="shared" ca="1" si="159"/>
        <v>2.789884181329727E-2</v>
      </c>
      <c r="FS23" s="353">
        <f t="shared" ca="1" si="160"/>
        <v>6.913132049201276E-2</v>
      </c>
      <c r="FT23" s="353">
        <f t="shared" ca="1" si="161"/>
        <v>0.14640634619682125</v>
      </c>
      <c r="FU23" s="353">
        <f t="shared" ca="1" si="162"/>
        <v>0.26708575396518652</v>
      </c>
      <c r="FV23" s="353">
        <f t="shared" ca="1" si="163"/>
        <v>0.42413343105084222</v>
      </c>
      <c r="FW23" s="353">
        <f t="shared" ca="1" si="164"/>
        <v>0.59444344820022654</v>
      </c>
      <c r="FX23" s="353">
        <f t="shared" ca="1" si="165"/>
        <v>0.74835139736384049</v>
      </c>
      <c r="FY23" s="353">
        <f t="shared" ca="1" si="166"/>
        <v>0.8642536234363003</v>
      </c>
      <c r="FZ23" s="353">
        <f t="shared" ca="1" si="167"/>
        <v>0.93698568928884629</v>
      </c>
      <c r="GA23" s="353">
        <f t="shared" ca="1" si="168"/>
        <v>0.97501802622561529</v>
      </c>
      <c r="GB23" s="353">
        <f t="shared" ca="1" si="169"/>
        <v>0.99158940718612976</v>
      </c>
      <c r="GC23" s="353">
        <f t="shared" ca="1" si="170"/>
        <v>0.99760564516474703</v>
      </c>
      <c r="GD23" s="353">
        <f t="shared" ca="1" si="171"/>
        <v>0.99942547411827443</v>
      </c>
      <c r="GE23" s="353">
        <f t="shared" ca="1" si="172"/>
        <v>0.99988409198710948</v>
      </c>
      <c r="GF23" s="353">
        <f t="shared" ca="1" si="173"/>
        <v>0.99998037708372478</v>
      </c>
      <c r="GG23" s="353">
        <f t="shared" ca="1" si="174"/>
        <v>0.99999721643540807</v>
      </c>
      <c r="GH23" s="353">
        <f t="shared" ca="1" si="175"/>
        <v>0.99999966955305797</v>
      </c>
      <c r="GI23" s="353">
        <f t="shared" ca="1" si="176"/>
        <v>0.99999996720245443</v>
      </c>
      <c r="GJ23" s="353">
        <f t="shared" ca="1" si="177"/>
        <v>0.99999999728059041</v>
      </c>
      <c r="GK23" s="353">
        <f t="shared" ca="1" si="178"/>
        <v>0.99999999981175791</v>
      </c>
      <c r="GL23" s="354">
        <f t="shared" ca="1" si="179"/>
        <v>0.99999999998912747</v>
      </c>
      <c r="GO23" s="358">
        <f t="shared" si="180"/>
        <v>4.75</v>
      </c>
      <c r="GP23" s="353">
        <f t="shared" ca="1" si="181"/>
        <v>1.7865051223081374E-3</v>
      </c>
      <c r="GQ23" s="353">
        <f t="shared" ca="1" si="182"/>
        <v>8.7406886392974691E-3</v>
      </c>
      <c r="GR23" s="353">
        <f t="shared" ca="1" si="183"/>
        <v>3.2324483257148554E-2</v>
      </c>
      <c r="GS23" s="353">
        <f t="shared" ca="1" si="184"/>
        <v>9.1951132918592651E-2</v>
      </c>
      <c r="GT23" s="353">
        <f t="shared" ca="1" si="185"/>
        <v>0.20564635979447254</v>
      </c>
      <c r="GU23" s="353">
        <f t="shared" ca="1" si="186"/>
        <v>0.37145072572652982</v>
      </c>
      <c r="GV23" s="353">
        <f t="shared" ca="1" si="187"/>
        <v>0.5595115906969591</v>
      </c>
      <c r="GW23" s="353">
        <f t="shared" ca="1" si="188"/>
        <v>0.72875204604357879</v>
      </c>
      <c r="GX23" s="353">
        <f t="shared" ca="1" si="189"/>
        <v>0.85244846280363851</v>
      </c>
      <c r="GY23" s="353">
        <f t="shared" ca="1" si="190"/>
        <v>0.92790122286867427</v>
      </c>
      <c r="GZ23" s="353">
        <f t="shared" ca="1" si="191"/>
        <v>0.96754914168969164</v>
      </c>
      <c r="HA23" s="353">
        <f t="shared" ca="1" si="192"/>
        <v>0.98616116622090777</v>
      </c>
      <c r="HB23" s="353">
        <f t="shared" ca="1" si="193"/>
        <v>0.99427588069829442</v>
      </c>
      <c r="HC23" s="353">
        <f t="shared" ca="1" si="194"/>
        <v>0.99767701154454835</v>
      </c>
      <c r="HD23" s="353">
        <f t="shared" ca="1" si="195"/>
        <v>0.99907612596535533</v>
      </c>
      <c r="HE23" s="353">
        <f t="shared" ca="1" si="196"/>
        <v>0.99964290733945904</v>
      </c>
      <c r="HF23" s="353">
        <f t="shared" ca="1" si="197"/>
        <v>0.99986712683580348</v>
      </c>
      <c r="HG23" s="353">
        <f t="shared" ca="1" si="198"/>
        <v>0.99995276450809234</v>
      </c>
      <c r="HH23" s="353">
        <f t="shared" ca="1" si="199"/>
        <v>0.99998404379652672</v>
      </c>
      <c r="HI23" s="353">
        <f t="shared" ca="1" si="200"/>
        <v>0.99999489707072109</v>
      </c>
      <c r="HJ23" s="354">
        <f t="shared" ca="1" si="201"/>
        <v>0.99999845882287852</v>
      </c>
      <c r="HK23" s="42"/>
      <c r="HL23" s="42"/>
      <c r="HM23" s="358">
        <f t="shared" si="202"/>
        <v>4.75</v>
      </c>
      <c r="HN23" s="362">
        <f t="shared" ca="1" si="203"/>
        <v>0.92248066668730455</v>
      </c>
      <c r="HO23" s="363">
        <f t="shared" ca="1" si="204"/>
        <v>3.7953871798289684E-3</v>
      </c>
    </row>
    <row r="24" spans="2:223" x14ac:dyDescent="0.3">
      <c r="B24" s="116" t="s">
        <v>126</v>
      </c>
      <c r="C24" s="160"/>
      <c r="D24" s="381">
        <f ca="1">D23*0.01%</f>
        <v>4297.9301140187481</v>
      </c>
      <c r="V24" s="370">
        <f t="shared" si="89"/>
        <v>5</v>
      </c>
      <c r="W24" s="371">
        <f t="shared" si="90"/>
        <v>-25000</v>
      </c>
      <c r="X24" s="348">
        <f t="shared" ca="1" si="91"/>
        <v>0.91871026645680232</v>
      </c>
      <c r="Y24" s="348">
        <f t="shared" ca="1" si="92"/>
        <v>3.7704002305022355E-3</v>
      </c>
      <c r="Z24" s="372" cm="1">
        <f t="array" ref="Z24">IF($V24&gt;CDS.Tenor,"-",cubicInterpolation(CurveResults.Times,CurveResults.DFs,$V24))</f>
        <v>0.81496171728417521</v>
      </c>
      <c r="AA24" s="371">
        <f t="shared" ca="1" si="93"/>
        <v>-18717.842410955946</v>
      </c>
      <c r="AB24" s="371">
        <f t="shared" ca="1" si="94"/>
        <v>-38.409148083734401</v>
      </c>
      <c r="AC24" s="373">
        <f t="shared" ca="1" si="95"/>
        <v>-18756.25155903968</v>
      </c>
      <c r="AF24" s="370">
        <f t="shared" si="96"/>
        <v>5</v>
      </c>
      <c r="AG24" s="371">
        <f t="shared" si="97"/>
        <v>6000000</v>
      </c>
      <c r="AH24" s="348">
        <f t="shared" ca="1" si="98"/>
        <v>0.91871026645680232</v>
      </c>
      <c r="AI24" s="348">
        <f t="shared" ca="1" si="99"/>
        <v>3.7704002305022355E-3</v>
      </c>
      <c r="AJ24" s="372" cm="1">
        <f t="array" ref="AJ24">IF($AF24&gt;CDS.Tenor,"-",cubicInterpolation(CurveResults.Times,CurveResults.DFs,$V24))</f>
        <v>0.81496171728417521</v>
      </c>
      <c r="AK24" s="373">
        <f t="shared" ca="1" si="100"/>
        <v>18436.391080192512</v>
      </c>
      <c r="AN24" s="358">
        <f t="shared" si="101"/>
        <v>5</v>
      </c>
      <c r="AO24" s="343" cm="1">
        <f t="array" aca="1" ref="AO24" ca="1">IF($AN24&gt;CDS.Tenor,"-",flatInterpolation(AM24,INDIRECT(HazardRateTimes1),INDIRECT(HazardRateValues1)))</f>
        <v>5.0000000000000001E-3</v>
      </c>
      <c r="AP24" s="10">
        <f t="shared" ca="1" si="102"/>
        <v>0.9753099120283335</v>
      </c>
      <c r="AQ24" s="10">
        <f t="shared" ca="1" si="103"/>
        <v>2.4690087971666497E-2</v>
      </c>
      <c r="AR24" s="81">
        <f t="shared" ca="1" si="104"/>
        <v>-1.9652943777417422</v>
      </c>
      <c r="AT24" s="358">
        <f t="shared" si="105"/>
        <v>5</v>
      </c>
      <c r="AU24" s="353">
        <f ca="1">IF($AN24&gt;CDS.Tenor,"-",_xlfn.NORM.S.DIST(($AR24-SQRT(Correlation1)*AU$3)/SQRT(1-Correlation1),TRUE))</f>
        <v>0.8277428793210142</v>
      </c>
      <c r="AV24" s="353">
        <f ca="1">IF($AN24&gt;CDS.Tenor,"-",_xlfn.NORM.S.DIST(($AR24-SQRT(Correlation1)*AV$3)/SQRT(1-Correlation1),TRUE))</f>
        <v>0.73081489340905781</v>
      </c>
      <c r="AW24" s="353">
        <f ca="1">IF($AN24&gt;CDS.Tenor,"-",_xlfn.NORM.S.DIST(($AR24-SQRT(Correlation1)*AW$3)/SQRT(1-Correlation1),TRUE))</f>
        <v>0.61228345109480653</v>
      </c>
      <c r="AX24" s="353">
        <f ca="1">IF($AN24&gt;CDS.Tenor,"-",_xlfn.NORM.S.DIST(($AR24-SQRT(Correlation1)*AX$3)/SQRT(1-Correlation1),TRUE))</f>
        <v>0.48216187743782801</v>
      </c>
      <c r="AY24" s="353">
        <f ca="1">IF($AN24&gt;CDS.Tenor,"-",_xlfn.NORM.S.DIST(($AR24-SQRT(Correlation1)*AY$3)/SQRT(1-Correlation1),TRUE))</f>
        <v>0.35392975308752939</v>
      </c>
      <c r="AZ24" s="353">
        <f ca="1">IF($AN24&gt;CDS.Tenor,"-",_xlfn.NORM.S.DIST(($AR24-SQRT(Correlation1)*AZ$3)/SQRT(1-Correlation1),TRUE))</f>
        <v>0.2404871740727062</v>
      </c>
      <c r="BA24" s="353">
        <f ca="1">IF($AN24&gt;CDS.Tenor,"-",_xlfn.NORM.S.DIST(($AR24-SQRT(Correlation1)*BA$3)/SQRT(1-Correlation1),TRUE))</f>
        <v>0.15039511798854538</v>
      </c>
      <c r="BB24" s="353">
        <f ca="1">IF($AN24&gt;CDS.Tenor,"-",_xlfn.NORM.S.DIST(($AR24-SQRT(Correlation1)*BB$3)/SQRT(1-Correlation1),TRUE))</f>
        <v>8.6166735006614245E-2</v>
      </c>
      <c r="BC24" s="353">
        <f ca="1">IF($AN24&gt;CDS.Tenor,"-",_xlfn.NORM.S.DIST(($AR24-SQRT(Correlation1)*BC$3)/SQRT(1-Correlation1),TRUE))</f>
        <v>4.5061607798351853E-2</v>
      </c>
      <c r="BD24" s="353">
        <f ca="1">IF($AN24&gt;CDS.Tenor,"-",_xlfn.NORM.S.DIST(($AR24-SQRT(Correlation1)*BD$3)/SQRT(1-Correlation1),TRUE))</f>
        <v>2.1446416163489711E-2</v>
      </c>
      <c r="BE24" s="353">
        <f ca="1">IF($AN24&gt;CDS.Tenor,"-",_xlfn.NORM.S.DIST(($AR24-SQRT(Correlation1)*BE$3)/SQRT(1-Correlation1),TRUE))</f>
        <v>9.2674366897684962E-3</v>
      </c>
      <c r="BF24" s="353">
        <f ca="1">IF($AN24&gt;CDS.Tenor,"-",_xlfn.NORM.S.DIST(($AR24-SQRT(Correlation1)*BF$3)/SQRT(1-Correlation1),TRUE))</f>
        <v>3.6290963516313617E-3</v>
      </c>
      <c r="BG24" s="353">
        <f ca="1">IF($AN24&gt;CDS.Tenor,"-",_xlfn.NORM.S.DIST(($AR24-SQRT(Correlation1)*BG$3)/SQRT(1-Correlation1),TRUE))</f>
        <v>1.2858971378524732E-3</v>
      </c>
      <c r="BH24" s="353">
        <f ca="1">IF($AN24&gt;CDS.Tenor,"-",_xlfn.NORM.S.DIST(($AR24-SQRT(Correlation1)*BH$3)/SQRT(1-Correlation1),TRUE))</f>
        <v>4.1175747896401554E-4</v>
      </c>
      <c r="BI24" s="353">
        <f ca="1">IF($AN24&gt;CDS.Tenor,"-",_xlfn.NORM.S.DIST(($AR24-SQRT(Correlation1)*BI$3)/SQRT(1-Correlation1),TRUE))</f>
        <v>1.1903109856605062E-4</v>
      </c>
      <c r="BJ24" s="353">
        <f ca="1">IF($AN24&gt;CDS.Tenor,"-",_xlfn.NORM.S.DIST(($AR24-SQRT(Correlation1)*BJ$3)/SQRT(1-Correlation1),TRUE))</f>
        <v>3.1038187396415033E-5</v>
      </c>
      <c r="BK24" s="353">
        <f ca="1">IF($AN24&gt;CDS.Tenor,"-",_xlfn.NORM.S.DIST(($AR24-SQRT(Correlation1)*BK$3)/SQRT(1-Correlation1),TRUE))</f>
        <v>7.2953131753929796E-6</v>
      </c>
      <c r="BL24" s="353">
        <f ca="1">IF($AN24&gt;CDS.Tenor,"-",_xlfn.NORM.S.DIST(($AR24-SQRT(Correlation1)*BL$3)/SQRT(1-Correlation1),TRUE))</f>
        <v>1.5447107919339016E-6</v>
      </c>
      <c r="BM24" s="353">
        <f ca="1">IF($AN24&gt;CDS.Tenor,"-",_xlfn.NORM.S.DIST(($AR24-SQRT(Correlation1)*BM$3)/SQRT(1-Correlation1),TRUE))</f>
        <v>2.9450306126415615E-7</v>
      </c>
      <c r="BN24" s="353">
        <f ca="1">IF($AN24&gt;CDS.Tenor,"-",_xlfn.NORM.S.DIST(($AR24-SQRT(Correlation1)*BN$3)/SQRT(1-Correlation1),TRUE))</f>
        <v>5.0534493878867161E-8</v>
      </c>
      <c r="BO24" s="354">
        <f ca="1">IF($AN24&gt;CDS.Tenor,"-",_xlfn.NORM.S.DIST(($AR24-SQRT(Correlation1)*BO$3)/SQRT(1-Correlation1),TRUE))</f>
        <v>7.8016070001811044E-9</v>
      </c>
      <c r="BQ24" s="358">
        <f t="shared" si="106"/>
        <v>5</v>
      </c>
      <c r="BR24" s="353">
        <f t="shared" ca="1" si="107"/>
        <v>0.1722571206789858</v>
      </c>
      <c r="BS24" s="353">
        <f t="shared" ca="1" si="108"/>
        <v>0.26918510659094219</v>
      </c>
      <c r="BT24" s="353">
        <f t="shared" ca="1" si="109"/>
        <v>0.38771654890519347</v>
      </c>
      <c r="BU24" s="353">
        <f t="shared" ca="1" si="110"/>
        <v>0.51783812256217199</v>
      </c>
      <c r="BV24" s="353">
        <f t="shared" ca="1" si="111"/>
        <v>0.64607024691247061</v>
      </c>
      <c r="BW24" s="353">
        <f t="shared" ca="1" si="112"/>
        <v>0.75951282592729386</v>
      </c>
      <c r="BX24" s="353">
        <f t="shared" ca="1" si="113"/>
        <v>0.84960488201145457</v>
      </c>
      <c r="BY24" s="353">
        <f t="shared" ca="1" si="114"/>
        <v>0.9138332649933858</v>
      </c>
      <c r="BZ24" s="353">
        <f t="shared" ca="1" si="115"/>
        <v>0.95493839220164811</v>
      </c>
      <c r="CA24" s="353">
        <f t="shared" ca="1" si="116"/>
        <v>0.97855358383651025</v>
      </c>
      <c r="CB24" s="353">
        <f t="shared" ca="1" si="117"/>
        <v>0.99073256331023152</v>
      </c>
      <c r="CC24" s="353">
        <f t="shared" ca="1" si="118"/>
        <v>0.99637090364836867</v>
      </c>
      <c r="CD24" s="353">
        <f t="shared" ca="1" si="119"/>
        <v>0.99871410286214757</v>
      </c>
      <c r="CE24" s="353">
        <f t="shared" ca="1" si="120"/>
        <v>0.99958824252103595</v>
      </c>
      <c r="CF24" s="353">
        <f t="shared" ca="1" si="121"/>
        <v>0.99988096890143396</v>
      </c>
      <c r="CG24" s="353">
        <f t="shared" ca="1" si="122"/>
        <v>0.99996896181260353</v>
      </c>
      <c r="CH24" s="353">
        <f t="shared" ca="1" si="123"/>
        <v>0.99999270468682455</v>
      </c>
      <c r="CI24" s="353">
        <f t="shared" ca="1" si="124"/>
        <v>0.99999845528920805</v>
      </c>
      <c r="CJ24" s="353">
        <f t="shared" ca="1" si="125"/>
        <v>0.99999970549693873</v>
      </c>
      <c r="CK24" s="353">
        <f t="shared" ca="1" si="126"/>
        <v>0.99999994946550608</v>
      </c>
      <c r="CL24" s="354">
        <f t="shared" ca="1" si="127"/>
        <v>0.99999999219839297</v>
      </c>
      <c r="CM24" s="17"/>
      <c r="CN24" s="17"/>
      <c r="CO24" s="343" cm="1">
        <f t="array" aca="1" ref="CO24" ca="1">IF($AN24&gt;CDS.Tenor,"-",flatInterpolation(AN24,INDIRECT(HazardRateTimes2),INDIRECT(HazardRateValues2)))</f>
        <v>5.8333333333333336E-3</v>
      </c>
      <c r="CP24" s="10">
        <f t="shared" ca="1" si="128"/>
        <v>0.97125457521367298</v>
      </c>
      <c r="CQ24" s="10">
        <f t="shared" ca="1" si="129"/>
        <v>2.8745424786327023E-2</v>
      </c>
      <c r="CR24" s="81">
        <f t="shared" ca="1" si="130"/>
        <v>-1.8995602749883329</v>
      </c>
      <c r="CT24" s="358">
        <f t="shared" si="131"/>
        <v>5</v>
      </c>
      <c r="CU24" s="353">
        <f ca="1">IF($AN24&gt;CDS.Tenor,"-",_xlfn.NORM.S.DIST(($CR24-SQRT(Correlation2)*CU$3)/SQRT(1-Correlation2),TRUE))</f>
        <v>0.65128086926251205</v>
      </c>
      <c r="CV24" s="353">
        <f ca="1">IF($AN24&gt;CDS.Tenor,"-",_xlfn.NORM.S.DIST(($CR24-SQRT(Correlation2)*CV$3)/SQRT(1-Correlation2),TRUE))</f>
        <v>0.55459043209706338</v>
      </c>
      <c r="CW24" s="353">
        <f ca="1">IF($AN24&gt;CDS.Tenor,"-",_xlfn.NORM.S.DIST(($CR24-SQRT(Correlation2)*CW$3)/SQRT(1-Correlation2),TRUE))</f>
        <v>0.45452167316481612</v>
      </c>
      <c r="CX24" s="353">
        <f ca="1">IF($AN24&gt;CDS.Tenor,"-",_xlfn.NORM.S.DIST(($CR24-SQRT(Correlation2)*CX$3)/SQRT(1-Correlation2),TRUE))</f>
        <v>0.35727269222227065</v>
      </c>
      <c r="CY24" s="353">
        <f ca="1">IF($AN24&gt;CDS.Tenor,"-",_xlfn.NORM.S.DIST(($CR24-SQRT(Correlation2)*CY$3)/SQRT(1-Correlation2),TRUE))</f>
        <v>0.26852784745085301</v>
      </c>
      <c r="CZ24" s="353">
        <f ca="1">IF($AN24&gt;CDS.Tenor,"-",_xlfn.NORM.S.DIST(($CR24-SQRT(Correlation2)*CZ$3)/SQRT(1-Correlation2),TRUE))</f>
        <v>0.19248249888777652</v>
      </c>
      <c r="DA24" s="353">
        <f ca="1">IF($AN24&gt;CDS.Tenor,"-",_xlfn.NORM.S.DIST(($CR24-SQRT(Correlation2)*DA$3)/SQRT(1-Correlation2),TRUE))</f>
        <v>0.13129348131595667</v>
      </c>
      <c r="DB24" s="353">
        <f ca="1">IF($AN24&gt;CDS.Tenor,"-",_xlfn.NORM.S.DIST(($CR24-SQRT(Correlation2)*DB$3)/SQRT(1-Correlation2),TRUE))</f>
        <v>8.5061190595398739E-2</v>
      </c>
      <c r="DC24" s="353">
        <f ca="1">IF($AN24&gt;CDS.Tenor,"-",_xlfn.NORM.S.DIST(($CR24-SQRT(Correlation2)*DC$3)/SQRT(1-Correlation2),TRUE))</f>
        <v>5.2260106618450701E-2</v>
      </c>
      <c r="DD24" s="353">
        <f ca="1">IF($AN24&gt;CDS.Tenor,"-",_xlfn.NORM.S.DIST(($CR24-SQRT(Correlation2)*DD$3)/SQRT(1-Correlation2),TRUE))</f>
        <v>3.0407586932434415E-2</v>
      </c>
      <c r="DE24" s="353">
        <f ca="1">IF($AN24&gt;CDS.Tenor,"-",_xlfn.NORM.S.DIST(($CR24-SQRT(Correlation2)*DE$3)/SQRT(1-Correlation2),TRUE))</f>
        <v>1.6737067461730811E-2</v>
      </c>
      <c r="DF24" s="353">
        <f ca="1">IF($AN24&gt;CDS.Tenor,"-",_xlfn.NORM.S.DIST(($CR24-SQRT(Correlation2)*DF$3)/SQRT(1-Correlation2),TRUE))</f>
        <v>8.7066473290010084E-3</v>
      </c>
      <c r="DG24" s="353">
        <f ca="1">IF($AN24&gt;CDS.Tenor,"-",_xlfn.NORM.S.DIST(($CR24-SQRT(Correlation2)*DG$3)/SQRT(1-Correlation2),TRUE))</f>
        <v>4.2770852541809679E-3</v>
      </c>
      <c r="DH24" s="353">
        <f ca="1">IF($AN24&gt;CDS.Tenor,"-",_xlfn.NORM.S.DIST(($CR24-SQRT(Correlation2)*DH$3)/SQRT(1-Correlation2),TRUE))</f>
        <v>1.9827754368287125E-3</v>
      </c>
      <c r="DI24" s="353">
        <f ca="1">IF($AN24&gt;CDS.Tenor,"-",_xlfn.NORM.S.DIST(($CR24-SQRT(Correlation2)*DI$3)/SQRT(1-Correlation2),TRUE))</f>
        <v>8.6691083885819637E-4</v>
      </c>
      <c r="DJ24" s="353">
        <f ca="1">IF($AN24&gt;CDS.Tenor,"-",_xlfn.NORM.S.DIST(($CR24-SQRT(Correlation2)*DJ$3)/SQRT(1-Correlation2),TRUE))</f>
        <v>3.5730022256528072E-4</v>
      </c>
      <c r="DK24" s="353">
        <f ca="1">IF($AN24&gt;CDS.Tenor,"-",_xlfn.NORM.S.DIST(($CR24-SQRT(Correlation2)*DK$3)/SQRT(1-Correlation2),TRUE))</f>
        <v>1.3875954640412072E-4</v>
      </c>
      <c r="DL24" s="353">
        <f ca="1">IF($AN24&gt;CDS.Tenor,"-",_xlfn.NORM.S.DIST(($CR24-SQRT(Correlation2)*DL$3)/SQRT(1-Correlation2),TRUE))</f>
        <v>5.0757612861667145E-5</v>
      </c>
      <c r="DM24" s="353">
        <f ca="1">IF($AN24&gt;CDS.Tenor,"-",_xlfn.NORM.S.DIST(($CR24-SQRT(Correlation2)*DM$3)/SQRT(1-Correlation2),TRUE))</f>
        <v>1.7482657401587391E-5</v>
      </c>
      <c r="DN24" s="353">
        <f ca="1">IF($AN24&gt;CDS.Tenor,"-",_xlfn.NORM.S.DIST(($CR24-SQRT(Correlation2)*DN$3)/SQRT(1-Correlation2),TRUE))</f>
        <v>5.668377340811102E-6</v>
      </c>
      <c r="DO24" s="354">
        <f ca="1">IF($AN24&gt;CDS.Tenor,"-",_xlfn.NORM.S.DIST(($CR24-SQRT(Correlation2)*DO$3)/SQRT(1-Correlation2),TRUE))</f>
        <v>1.7296068076386058E-6</v>
      </c>
      <c r="DQ24" s="358">
        <f t="shared" si="132"/>
        <v>5</v>
      </c>
      <c r="DR24" s="353">
        <f t="shared" ca="1" si="133"/>
        <v>0.34871913073748795</v>
      </c>
      <c r="DS24" s="353">
        <f t="shared" ca="1" si="134"/>
        <v>0.44540956790293662</v>
      </c>
      <c r="DT24" s="353">
        <f t="shared" ca="1" si="135"/>
        <v>0.54547832683518394</v>
      </c>
      <c r="DU24" s="353">
        <f t="shared" ca="1" si="136"/>
        <v>0.64272730777772935</v>
      </c>
      <c r="DV24" s="353">
        <f t="shared" ca="1" si="137"/>
        <v>0.73147215254914699</v>
      </c>
      <c r="DW24" s="353">
        <f t="shared" ca="1" si="138"/>
        <v>0.80751750111222353</v>
      </c>
      <c r="DX24" s="353">
        <f t="shared" ca="1" si="139"/>
        <v>0.86870651868404336</v>
      </c>
      <c r="DY24" s="353">
        <f t="shared" ca="1" si="140"/>
        <v>0.91493880940460126</v>
      </c>
      <c r="DZ24" s="353">
        <f t="shared" ca="1" si="141"/>
        <v>0.94773989338154929</v>
      </c>
      <c r="EA24" s="353">
        <f t="shared" ca="1" si="142"/>
        <v>0.96959241306756561</v>
      </c>
      <c r="EB24" s="353">
        <f t="shared" ca="1" si="143"/>
        <v>0.98326293253826924</v>
      </c>
      <c r="EC24" s="353">
        <f t="shared" ca="1" si="144"/>
        <v>0.99129335267099894</v>
      </c>
      <c r="ED24" s="353">
        <f t="shared" ca="1" si="145"/>
        <v>0.99572291474581909</v>
      </c>
      <c r="EE24" s="353">
        <f t="shared" ca="1" si="146"/>
        <v>0.99801722456317132</v>
      </c>
      <c r="EF24" s="353">
        <f t="shared" ca="1" si="147"/>
        <v>0.99913308916114185</v>
      </c>
      <c r="EG24" s="353">
        <f t="shared" ca="1" si="148"/>
        <v>0.9996426997774347</v>
      </c>
      <c r="EH24" s="353">
        <f t="shared" ca="1" si="149"/>
        <v>0.99986124045359592</v>
      </c>
      <c r="EI24" s="353">
        <f t="shared" ca="1" si="150"/>
        <v>0.99994924238713834</v>
      </c>
      <c r="EJ24" s="353">
        <f t="shared" ca="1" si="151"/>
        <v>0.99998251734259846</v>
      </c>
      <c r="EK24" s="353">
        <f t="shared" ca="1" si="152"/>
        <v>0.99999433162265916</v>
      </c>
      <c r="EL24" s="354">
        <f t="shared" ca="1" si="153"/>
        <v>0.99999827039319233</v>
      </c>
      <c r="EM24" s="17"/>
      <c r="EN24" s="17"/>
      <c r="EO24" s="343" cm="1">
        <f t="array" aca="1" ref="EO24" ca="1">IF($AN24&gt;CDS.Tenor,"-",flatInterpolation(CP24,INDIRECT(HazardRateTimes3),INDIRECT(HazardRateValues3)))</f>
        <v>7.4999999999999997E-3</v>
      </c>
      <c r="EP24" s="10">
        <f t="shared" ca="1" si="154"/>
        <v>0.96319441772082204</v>
      </c>
      <c r="EQ24" s="10">
        <f t="shared" ca="1" si="155"/>
        <v>3.6805582279177962E-2</v>
      </c>
      <c r="ER24" s="81">
        <f t="shared" ca="1" si="156"/>
        <v>-1.7890226706768328</v>
      </c>
      <c r="ET24" s="358">
        <f t="shared" si="157"/>
        <v>5</v>
      </c>
      <c r="EU24" s="353">
        <f ca="1">IF($AN24&gt;CDS.Tenor,"-",_xlfn.NORM.S.DIST(($ER24-SQRT(Correlation3)*EU$3)/SQRT(1-Correlation3),TRUE))</f>
        <v>0.97398260313807816</v>
      </c>
      <c r="EV24" s="353">
        <f ca="1">IF($AN24&gt;CDS.Tenor,"-",_xlfn.NORM.S.DIST(($ER24-SQRT(Correlation3)*EV$3)/SQRT(1-Correlation3),TRUE))</f>
        <v>0.93479985116738618</v>
      </c>
      <c r="EW24" s="353">
        <f ca="1">IF($AN24&gt;CDS.Tenor,"-",_xlfn.NORM.S.DIST(($ER24-SQRT(Correlation3)*EW$3)/SQRT(1-Correlation3),TRUE))</f>
        <v>0.8604192062359165</v>
      </c>
      <c r="EX24" s="353">
        <f ca="1">IF($AN24&gt;CDS.Tenor,"-",_xlfn.NORM.S.DIST(($ER24-SQRT(Correlation3)*EX$3)/SQRT(1-Correlation3),TRUE))</f>
        <v>0.74276203907873428</v>
      </c>
      <c r="EY24" s="353">
        <f ca="1">IF($AN24&gt;CDS.Tenor,"-",_xlfn.NORM.S.DIST(($ER24-SQRT(Correlation3)*EY$3)/SQRT(1-Correlation3),TRUE))</f>
        <v>0.58767318189925755</v>
      </c>
      <c r="EZ24" s="353">
        <f ca="1">IF($AN24&gt;CDS.Tenor,"-",_xlfn.NORM.S.DIST(($ER24-SQRT(Correlation3)*EZ$3)/SQRT(1-Correlation3),TRUE))</f>
        <v>0.41731898165730835</v>
      </c>
      <c r="FA24" s="353">
        <f ca="1">IF($AN24&gt;CDS.Tenor,"-",_xlfn.NORM.S.DIST(($ER24-SQRT(Correlation3)*FA$3)/SQRT(1-Correlation3),TRUE))</f>
        <v>0.26138625070021515</v>
      </c>
      <c r="FB24" s="353">
        <f ca="1">IF($AN24&gt;CDS.Tenor,"-",_xlfn.NORM.S.DIST(($ER24-SQRT(Correlation3)*FB$3)/SQRT(1-Correlation3),TRUE))</f>
        <v>0.14244516727094919</v>
      </c>
      <c r="FC24" s="353">
        <f ca="1">IF($AN24&gt;CDS.Tenor,"-",_xlfn.NORM.S.DIST(($ER24-SQRT(Correlation3)*FC$3)/SQRT(1-Correlation3),TRUE))</f>
        <v>6.6843651793540154E-2</v>
      </c>
      <c r="FD24" s="353">
        <f ca="1">IF($AN24&gt;CDS.Tenor,"-",_xlfn.NORM.S.DIST(($ER24-SQRT(Correlation3)*FD$3)/SQRT(1-Correlation3),TRUE))</f>
        <v>2.6800991786467807E-2</v>
      </c>
      <c r="FE24" s="353">
        <f ca="1">IF($AN24&gt;CDS.Tenor,"-",_xlfn.NORM.S.DIST(($ER24-SQRT(Correlation3)*FE$3)/SQRT(1-Correlation3),TRUE))</f>
        <v>9.1286106857856337E-3</v>
      </c>
      <c r="FF24" s="353">
        <f ca="1">IF($AN24&gt;CDS.Tenor,"-",_xlfn.NORM.S.DIST(($ER24-SQRT(Correlation3)*FF$3)/SQRT(1-Correlation3),TRUE))</f>
        <v>2.6298699665073659E-3</v>
      </c>
      <c r="FG24" s="353">
        <f ca="1">IF($AN24&gt;CDS.Tenor,"-",_xlfn.NORM.S.DIST(($ER24-SQRT(Correlation3)*FG$3)/SQRT(1-Correlation3),TRUE))</f>
        <v>6.3871888286779843E-4</v>
      </c>
      <c r="FH24" s="353">
        <f ca="1">IF($AN24&gt;CDS.Tenor,"-",_xlfn.NORM.S.DIST(($ER24-SQRT(Correlation3)*FH$3)/SQRT(1-Correlation3),TRUE))</f>
        <v>1.3044725773192839E-4</v>
      </c>
      <c r="FI24" s="353">
        <f ca="1">IF($AN24&gt;CDS.Tenor,"-",_xlfn.NORM.S.DIST(($ER24-SQRT(Correlation3)*FI$3)/SQRT(1-Correlation3),TRUE))</f>
        <v>2.2359327250233233E-5</v>
      </c>
      <c r="FJ24" s="353">
        <f ca="1">IF($AN24&gt;CDS.Tenor,"-",_xlfn.NORM.S.DIST(($ER24-SQRT(Correlation3)*FJ$3)/SQRT(1-Correlation3),TRUE))</f>
        <v>3.2115274701393839E-6</v>
      </c>
      <c r="FK24" s="353">
        <f ca="1">IF($AN24&gt;CDS.Tenor,"-",_xlfn.NORM.S.DIST(($ER24-SQRT(Correlation3)*FK$3)/SQRT(1-Correlation3),TRUE))</f>
        <v>3.8606504568028238E-7</v>
      </c>
      <c r="FL24" s="353">
        <f ca="1">IF($AN24&gt;CDS.Tenor,"-",_xlfn.NORM.S.DIST(($ER24-SQRT(Correlation3)*FL$3)/SQRT(1-Correlation3),TRUE))</f>
        <v>3.8803908297327085E-8</v>
      </c>
      <c r="FM24" s="353">
        <f ca="1">IF($AN24&gt;CDS.Tenor,"-",_xlfn.NORM.S.DIST(($ER24-SQRT(Correlation3)*FM$3)/SQRT(1-Correlation3),TRUE))</f>
        <v>3.2584139347564474E-9</v>
      </c>
      <c r="FN24" s="353">
        <f ca="1">IF($AN24&gt;CDS.Tenor,"-",_xlfn.NORM.S.DIST(($ER24-SQRT(Correlation3)*FN$3)/SQRT(1-Correlation3),TRUE))</f>
        <v>2.2843583543162111E-10</v>
      </c>
      <c r="FO24" s="354">
        <f ca="1">IF($AN24&gt;CDS.Tenor,"-",_xlfn.NORM.S.DIST(($ER24-SQRT(Correlation3)*FO$3)/SQRT(1-Correlation3),TRUE))</f>
        <v>1.3363165449541545E-11</v>
      </c>
      <c r="FQ24" s="358">
        <f t="shared" si="158"/>
        <v>5</v>
      </c>
      <c r="FR24" s="353">
        <f t="shared" ca="1" si="159"/>
        <v>2.6017396861921838E-2</v>
      </c>
      <c r="FS24" s="353">
        <f t="shared" ca="1" si="160"/>
        <v>6.5200148832613825E-2</v>
      </c>
      <c r="FT24" s="353">
        <f t="shared" ca="1" si="161"/>
        <v>0.1395807937640835</v>
      </c>
      <c r="FU24" s="353">
        <f t="shared" ca="1" si="162"/>
        <v>0.25723796092126572</v>
      </c>
      <c r="FV24" s="353">
        <f t="shared" ca="1" si="163"/>
        <v>0.41232681810074245</v>
      </c>
      <c r="FW24" s="353">
        <f t="shared" ca="1" si="164"/>
        <v>0.58268101834269159</v>
      </c>
      <c r="FX24" s="353">
        <f t="shared" ca="1" si="165"/>
        <v>0.73861374929978485</v>
      </c>
      <c r="FY24" s="353">
        <f t="shared" ca="1" si="166"/>
        <v>0.85755483272905075</v>
      </c>
      <c r="FZ24" s="353">
        <f t="shared" ca="1" si="167"/>
        <v>0.93315634820645987</v>
      </c>
      <c r="GA24" s="353">
        <f t="shared" ca="1" si="168"/>
        <v>0.97319900821353222</v>
      </c>
      <c r="GB24" s="353">
        <f t="shared" ca="1" si="169"/>
        <v>0.99087138931421437</v>
      </c>
      <c r="GC24" s="353">
        <f t="shared" ca="1" si="170"/>
        <v>0.99737013003349262</v>
      </c>
      <c r="GD24" s="353">
        <f t="shared" ca="1" si="171"/>
        <v>0.99936128111713218</v>
      </c>
      <c r="GE24" s="353">
        <f t="shared" ca="1" si="172"/>
        <v>0.99986955274226808</v>
      </c>
      <c r="GF24" s="353">
        <f t="shared" ca="1" si="173"/>
        <v>0.99997764067274975</v>
      </c>
      <c r="GG24" s="353">
        <f t="shared" ca="1" si="174"/>
        <v>0.99999678847252982</v>
      </c>
      <c r="GH24" s="353">
        <f t="shared" ca="1" si="175"/>
        <v>0.99999961393495429</v>
      </c>
      <c r="GI24" s="353">
        <f t="shared" ca="1" si="176"/>
        <v>0.99999996119609169</v>
      </c>
      <c r="GJ24" s="353">
        <f t="shared" ca="1" si="177"/>
        <v>0.99999999674158602</v>
      </c>
      <c r="GK24" s="353">
        <f t="shared" ca="1" si="178"/>
        <v>0.99999999977156417</v>
      </c>
      <c r="GL24" s="354">
        <f t="shared" ca="1" si="179"/>
        <v>0.9999999999866368</v>
      </c>
      <c r="GO24" s="358">
        <f t="shared" si="180"/>
        <v>5</v>
      </c>
      <c r="GP24" s="353">
        <f t="shared" ca="1" si="181"/>
        <v>1.56284820629608E-3</v>
      </c>
      <c r="GQ24" s="353">
        <f t="shared" ca="1" si="182"/>
        <v>7.8173427998965289E-3</v>
      </c>
      <c r="GR24" s="353">
        <f t="shared" ca="1" si="183"/>
        <v>2.9520078078334878E-2</v>
      </c>
      <c r="GS24" s="353">
        <f t="shared" ca="1" si="184"/>
        <v>8.5616176736059868E-2</v>
      </c>
      <c r="GT24" s="353">
        <f t="shared" ca="1" si="185"/>
        <v>0.19485839489381285</v>
      </c>
      <c r="GU24" s="353">
        <f t="shared" ca="1" si="186"/>
        <v>0.35736986346802685</v>
      </c>
      <c r="GV24" s="353">
        <f t="shared" ca="1" si="187"/>
        <v>0.54513926904079602</v>
      </c>
      <c r="GW24" s="353">
        <f t="shared" ca="1" si="188"/>
        <v>0.71700289867134381</v>
      </c>
      <c r="GX24" s="353">
        <f t="shared" ca="1" si="189"/>
        <v>0.84453748525956374</v>
      </c>
      <c r="GY24" s="353">
        <f t="shared" ca="1" si="190"/>
        <v>0.92336939976090848</v>
      </c>
      <c r="GZ24" s="353">
        <f t="shared" ca="1" si="191"/>
        <v>0.96525796393408081</v>
      </c>
      <c r="HA24" s="353">
        <f t="shared" ca="1" si="192"/>
        <v>0.98509834192004653</v>
      </c>
      <c r="HB24" s="353">
        <f t="shared" ca="1" si="193"/>
        <v>0.99380734828579975</v>
      </c>
      <c r="HC24" s="353">
        <f t="shared" ca="1" si="194"/>
        <v>0.99747614850284283</v>
      </c>
      <c r="HD24" s="353">
        <f t="shared" ca="1" si="195"/>
        <v>0.9989918239673663</v>
      </c>
      <c r="HE24" s="353">
        <f t="shared" ca="1" si="196"/>
        <v>0.99960846239964318</v>
      </c>
      <c r="HF24" s="353">
        <f t="shared" ca="1" si="197"/>
        <v>0.99985356014405546</v>
      </c>
      <c r="HG24" s="353">
        <f t="shared" ca="1" si="198"/>
        <v>0.99994765895287341</v>
      </c>
      <c r="HH24" s="353">
        <f t="shared" ca="1" si="199"/>
        <v>0.99998221958632982</v>
      </c>
      <c r="HI24" s="353">
        <f t="shared" ca="1" si="200"/>
        <v>0.99999428086001718</v>
      </c>
      <c r="HJ24" s="354">
        <f t="shared" ca="1" si="201"/>
        <v>0.99999826257823565</v>
      </c>
      <c r="HK24" s="42"/>
      <c r="HL24" s="42"/>
      <c r="HM24" s="358">
        <f t="shared" si="202"/>
        <v>5</v>
      </c>
      <c r="HN24" s="362">
        <f t="shared" ca="1" si="203"/>
        <v>0.91871026645680232</v>
      </c>
      <c r="HO24" s="363">
        <f t="shared" ca="1" si="204"/>
        <v>3.7704002305022355E-3</v>
      </c>
    </row>
    <row r="25" spans="2:223" x14ac:dyDescent="0.3">
      <c r="B25" s="116" t="s">
        <v>110</v>
      </c>
      <c r="C25" s="160"/>
      <c r="D25" s="382">
        <f ca="1">ABS(D22/D23)</f>
        <v>1.0196031580317184E-2</v>
      </c>
      <c r="F25" s="17" t="s">
        <v>353</v>
      </c>
      <c r="G25" s="389">
        <f>SUM(G21:G23)</f>
        <v>110</v>
      </c>
      <c r="H25" t="s">
        <v>366</v>
      </c>
      <c r="V25" s="370">
        <f t="shared" si="89"/>
        <v>5.25</v>
      </c>
      <c r="W25" s="371" t="str">
        <f t="shared" si="90"/>
        <v>-</v>
      </c>
      <c r="X25" s="348" t="str">
        <f t="shared" si="91"/>
        <v>-</v>
      </c>
      <c r="Y25" s="348" t="str">
        <f t="shared" si="92"/>
        <v>-</v>
      </c>
      <c r="Z25" s="372" t="str" cm="1">
        <f t="array" ref="Z25">IF($V25&gt;CDS.Tenor,"-",cubicInterpolation(CurveResults.Times,CurveResults.DFs,$V25))</f>
        <v>-</v>
      </c>
      <c r="AA25" s="371" t="str">
        <f t="shared" si="93"/>
        <v>-</v>
      </c>
      <c r="AB25" s="371" t="str">
        <f t="shared" si="94"/>
        <v>-</v>
      </c>
      <c r="AC25" s="373" t="str">
        <f t="shared" si="95"/>
        <v>-</v>
      </c>
      <c r="AF25" s="370">
        <f t="shared" si="96"/>
        <v>5.25</v>
      </c>
      <c r="AG25" s="371" t="str">
        <f t="shared" si="97"/>
        <v>-</v>
      </c>
      <c r="AH25" s="348" t="str">
        <f t="shared" si="98"/>
        <v>-</v>
      </c>
      <c r="AI25" s="348" t="str">
        <f t="shared" si="99"/>
        <v>-</v>
      </c>
      <c r="AJ25" s="372" t="str" cm="1">
        <f t="array" ref="AJ25">IF($AF25&gt;CDS.Tenor,"-",cubicInterpolation(CurveResults.Times,CurveResults.DFs,$V25))</f>
        <v>-</v>
      </c>
      <c r="AK25" s="373" t="str">
        <f t="shared" si="100"/>
        <v>-</v>
      </c>
      <c r="AN25" s="358">
        <f t="shared" si="101"/>
        <v>5.25</v>
      </c>
      <c r="AO25" s="343" t="str" cm="1">
        <f t="array" aca="1" ref="AO25" ca="1">IF($AN25&gt;CDS.Tenor,"-",flatInterpolation(AM25,INDIRECT(HazardRateTimes1),INDIRECT(HazardRateValues1)))</f>
        <v>-</v>
      </c>
      <c r="AP25" s="10" t="str">
        <f t="shared" si="102"/>
        <v>-</v>
      </c>
      <c r="AQ25" s="10" t="str">
        <f t="shared" si="103"/>
        <v>-</v>
      </c>
      <c r="AR25" s="81" t="str">
        <f t="shared" si="104"/>
        <v>-</v>
      </c>
      <c r="AT25" s="358">
        <f t="shared" si="105"/>
        <v>5.25</v>
      </c>
      <c r="AU25" s="353" t="str">
        <f>IF($AN25&gt;CDS.Tenor,"-",_xlfn.NORM.S.DIST(($AR25-SQRT(Correlation1)*AU$3)/SQRT(1-Correlation1),TRUE))</f>
        <v>-</v>
      </c>
      <c r="AV25" s="353" t="str">
        <f>IF($AN25&gt;CDS.Tenor,"-",_xlfn.NORM.S.DIST(($AR25-SQRT(Correlation1)*AV$3)/SQRT(1-Correlation1),TRUE))</f>
        <v>-</v>
      </c>
      <c r="AW25" s="353" t="str">
        <f>IF($AN25&gt;CDS.Tenor,"-",_xlfn.NORM.S.DIST(($AR25-SQRT(Correlation1)*AW$3)/SQRT(1-Correlation1),TRUE))</f>
        <v>-</v>
      </c>
      <c r="AX25" s="353" t="str">
        <f>IF($AN25&gt;CDS.Tenor,"-",_xlfn.NORM.S.DIST(($AR25-SQRT(Correlation1)*AX$3)/SQRT(1-Correlation1),TRUE))</f>
        <v>-</v>
      </c>
      <c r="AY25" s="353" t="str">
        <f>IF($AN25&gt;CDS.Tenor,"-",_xlfn.NORM.S.DIST(($AR25-SQRT(Correlation1)*AY$3)/SQRT(1-Correlation1),TRUE))</f>
        <v>-</v>
      </c>
      <c r="AZ25" s="353" t="str">
        <f>IF($AN25&gt;CDS.Tenor,"-",_xlfn.NORM.S.DIST(($AR25-SQRT(Correlation1)*AZ$3)/SQRT(1-Correlation1),TRUE))</f>
        <v>-</v>
      </c>
      <c r="BA25" s="353" t="str">
        <f>IF($AN25&gt;CDS.Tenor,"-",_xlfn.NORM.S.DIST(($AR25-SQRT(Correlation1)*BA$3)/SQRT(1-Correlation1),TRUE))</f>
        <v>-</v>
      </c>
      <c r="BB25" s="353" t="str">
        <f>IF($AN25&gt;CDS.Tenor,"-",_xlfn.NORM.S.DIST(($AR25-SQRT(Correlation1)*BB$3)/SQRT(1-Correlation1),TRUE))</f>
        <v>-</v>
      </c>
      <c r="BC25" s="353" t="str">
        <f>IF($AN25&gt;CDS.Tenor,"-",_xlfn.NORM.S.DIST(($AR25-SQRT(Correlation1)*BC$3)/SQRT(1-Correlation1),TRUE))</f>
        <v>-</v>
      </c>
      <c r="BD25" s="353" t="str">
        <f>IF($AN25&gt;CDS.Tenor,"-",_xlfn.NORM.S.DIST(($AR25-SQRT(Correlation1)*BD$3)/SQRT(1-Correlation1),TRUE))</f>
        <v>-</v>
      </c>
      <c r="BE25" s="353" t="str">
        <f>IF($AN25&gt;CDS.Tenor,"-",_xlfn.NORM.S.DIST(($AR25-SQRT(Correlation1)*BE$3)/SQRT(1-Correlation1),TRUE))</f>
        <v>-</v>
      </c>
      <c r="BF25" s="353" t="str">
        <f>IF($AN25&gt;CDS.Tenor,"-",_xlfn.NORM.S.DIST(($AR25-SQRT(Correlation1)*BF$3)/SQRT(1-Correlation1),TRUE))</f>
        <v>-</v>
      </c>
      <c r="BG25" s="353" t="str">
        <f>IF($AN25&gt;CDS.Tenor,"-",_xlfn.NORM.S.DIST(($AR25-SQRT(Correlation1)*BG$3)/SQRT(1-Correlation1),TRUE))</f>
        <v>-</v>
      </c>
      <c r="BH25" s="353" t="str">
        <f>IF($AN25&gt;CDS.Tenor,"-",_xlfn.NORM.S.DIST(($AR25-SQRT(Correlation1)*BH$3)/SQRT(1-Correlation1),TRUE))</f>
        <v>-</v>
      </c>
      <c r="BI25" s="353" t="str">
        <f>IF($AN25&gt;CDS.Tenor,"-",_xlfn.NORM.S.DIST(($AR25-SQRT(Correlation1)*BI$3)/SQRT(1-Correlation1),TRUE))</f>
        <v>-</v>
      </c>
      <c r="BJ25" s="353" t="str">
        <f>IF($AN25&gt;CDS.Tenor,"-",_xlfn.NORM.S.DIST(($AR25-SQRT(Correlation1)*BJ$3)/SQRT(1-Correlation1),TRUE))</f>
        <v>-</v>
      </c>
      <c r="BK25" s="353" t="str">
        <f>IF($AN25&gt;CDS.Tenor,"-",_xlfn.NORM.S.DIST(($AR25-SQRT(Correlation1)*BK$3)/SQRT(1-Correlation1),TRUE))</f>
        <v>-</v>
      </c>
      <c r="BL25" s="353" t="str">
        <f>IF($AN25&gt;CDS.Tenor,"-",_xlfn.NORM.S.DIST(($AR25-SQRT(Correlation1)*BL$3)/SQRT(1-Correlation1),TRUE))</f>
        <v>-</v>
      </c>
      <c r="BM25" s="353" t="str">
        <f>IF($AN25&gt;CDS.Tenor,"-",_xlfn.NORM.S.DIST(($AR25-SQRT(Correlation1)*BM$3)/SQRT(1-Correlation1),TRUE))</f>
        <v>-</v>
      </c>
      <c r="BN25" s="353" t="str">
        <f>IF($AN25&gt;CDS.Tenor,"-",_xlfn.NORM.S.DIST(($AR25-SQRT(Correlation1)*BN$3)/SQRT(1-Correlation1),TRUE))</f>
        <v>-</v>
      </c>
      <c r="BO25" s="354" t="str">
        <f>IF($AN25&gt;CDS.Tenor,"-",_xlfn.NORM.S.DIST(($AR25-SQRT(Correlation1)*BO$3)/SQRT(1-Correlation1),TRUE))</f>
        <v>-</v>
      </c>
      <c r="BQ25" s="358">
        <f t="shared" si="106"/>
        <v>5.25</v>
      </c>
      <c r="BR25" s="353" t="str">
        <f t="shared" si="107"/>
        <v>-</v>
      </c>
      <c r="BS25" s="353" t="str">
        <f t="shared" si="108"/>
        <v>-</v>
      </c>
      <c r="BT25" s="353" t="str">
        <f t="shared" si="109"/>
        <v>-</v>
      </c>
      <c r="BU25" s="353" t="str">
        <f t="shared" si="110"/>
        <v>-</v>
      </c>
      <c r="BV25" s="353" t="str">
        <f t="shared" si="111"/>
        <v>-</v>
      </c>
      <c r="BW25" s="353" t="str">
        <f t="shared" si="112"/>
        <v>-</v>
      </c>
      <c r="BX25" s="353" t="str">
        <f t="shared" si="113"/>
        <v>-</v>
      </c>
      <c r="BY25" s="353" t="str">
        <f t="shared" si="114"/>
        <v>-</v>
      </c>
      <c r="BZ25" s="353" t="str">
        <f t="shared" si="115"/>
        <v>-</v>
      </c>
      <c r="CA25" s="353" t="str">
        <f t="shared" si="116"/>
        <v>-</v>
      </c>
      <c r="CB25" s="353" t="str">
        <f t="shared" si="117"/>
        <v>-</v>
      </c>
      <c r="CC25" s="353" t="str">
        <f t="shared" si="118"/>
        <v>-</v>
      </c>
      <c r="CD25" s="353" t="str">
        <f t="shared" si="119"/>
        <v>-</v>
      </c>
      <c r="CE25" s="353" t="str">
        <f t="shared" si="120"/>
        <v>-</v>
      </c>
      <c r="CF25" s="353" t="str">
        <f t="shared" si="121"/>
        <v>-</v>
      </c>
      <c r="CG25" s="353" t="str">
        <f t="shared" si="122"/>
        <v>-</v>
      </c>
      <c r="CH25" s="353" t="str">
        <f t="shared" si="123"/>
        <v>-</v>
      </c>
      <c r="CI25" s="353" t="str">
        <f t="shared" si="124"/>
        <v>-</v>
      </c>
      <c r="CJ25" s="353" t="str">
        <f t="shared" si="125"/>
        <v>-</v>
      </c>
      <c r="CK25" s="353" t="str">
        <f t="shared" si="126"/>
        <v>-</v>
      </c>
      <c r="CL25" s="354" t="str">
        <f t="shared" si="127"/>
        <v>-</v>
      </c>
      <c r="CM25" s="17"/>
      <c r="CN25" s="17"/>
      <c r="CO25" s="343" t="str" cm="1">
        <f t="array" aca="1" ref="CO25" ca="1">IF($AN25&gt;CDS.Tenor,"-",flatInterpolation(AN25,INDIRECT(HazardRateTimes2),INDIRECT(HazardRateValues2)))</f>
        <v>-</v>
      </c>
      <c r="CP25" s="10" t="str">
        <f t="shared" si="128"/>
        <v>-</v>
      </c>
      <c r="CQ25" s="10" t="str">
        <f t="shared" si="129"/>
        <v>-</v>
      </c>
      <c r="CR25" s="81" t="str">
        <f t="shared" si="130"/>
        <v>-</v>
      </c>
      <c r="CT25" s="358">
        <f t="shared" si="131"/>
        <v>5.25</v>
      </c>
      <c r="CU25" s="353" t="str">
        <f>IF($AN25&gt;CDS.Tenor,"-",_xlfn.NORM.S.DIST(($CR25-SQRT(Correlation2)*CU$3)/SQRT(1-Correlation2),TRUE))</f>
        <v>-</v>
      </c>
      <c r="CV25" s="353" t="str">
        <f>IF($AN25&gt;CDS.Tenor,"-",_xlfn.NORM.S.DIST(($CR25-SQRT(Correlation2)*CV$3)/SQRT(1-Correlation2),TRUE))</f>
        <v>-</v>
      </c>
      <c r="CW25" s="353" t="str">
        <f>IF($AN25&gt;CDS.Tenor,"-",_xlfn.NORM.S.DIST(($CR25-SQRT(Correlation2)*CW$3)/SQRT(1-Correlation2),TRUE))</f>
        <v>-</v>
      </c>
      <c r="CX25" s="353" t="str">
        <f>IF($AN25&gt;CDS.Tenor,"-",_xlfn.NORM.S.DIST(($CR25-SQRT(Correlation2)*CX$3)/SQRT(1-Correlation2),TRUE))</f>
        <v>-</v>
      </c>
      <c r="CY25" s="353" t="str">
        <f>IF($AN25&gt;CDS.Tenor,"-",_xlfn.NORM.S.DIST(($CR25-SQRT(Correlation2)*CY$3)/SQRT(1-Correlation2),TRUE))</f>
        <v>-</v>
      </c>
      <c r="CZ25" s="353" t="str">
        <f>IF($AN25&gt;CDS.Tenor,"-",_xlfn.NORM.S.DIST(($CR25-SQRT(Correlation2)*CZ$3)/SQRT(1-Correlation2),TRUE))</f>
        <v>-</v>
      </c>
      <c r="DA25" s="353" t="str">
        <f>IF($AN25&gt;CDS.Tenor,"-",_xlfn.NORM.S.DIST(($CR25-SQRT(Correlation2)*DA$3)/SQRT(1-Correlation2),TRUE))</f>
        <v>-</v>
      </c>
      <c r="DB25" s="353" t="str">
        <f>IF($AN25&gt;CDS.Tenor,"-",_xlfn.NORM.S.DIST(($CR25-SQRT(Correlation2)*DB$3)/SQRT(1-Correlation2),TRUE))</f>
        <v>-</v>
      </c>
      <c r="DC25" s="353" t="str">
        <f>IF($AN25&gt;CDS.Tenor,"-",_xlfn.NORM.S.DIST(($CR25-SQRT(Correlation2)*DC$3)/SQRT(1-Correlation2),TRUE))</f>
        <v>-</v>
      </c>
      <c r="DD25" s="353" t="str">
        <f>IF($AN25&gt;CDS.Tenor,"-",_xlfn.NORM.S.DIST(($CR25-SQRT(Correlation2)*DD$3)/SQRT(1-Correlation2),TRUE))</f>
        <v>-</v>
      </c>
      <c r="DE25" s="353" t="str">
        <f>IF($AN25&gt;CDS.Tenor,"-",_xlfn.NORM.S.DIST(($CR25-SQRT(Correlation2)*DE$3)/SQRT(1-Correlation2),TRUE))</f>
        <v>-</v>
      </c>
      <c r="DF25" s="353" t="str">
        <f>IF($AN25&gt;CDS.Tenor,"-",_xlfn.NORM.S.DIST(($CR25-SQRT(Correlation2)*DF$3)/SQRT(1-Correlation2),TRUE))</f>
        <v>-</v>
      </c>
      <c r="DG25" s="353" t="str">
        <f>IF($AN25&gt;CDS.Tenor,"-",_xlfn.NORM.S.DIST(($CR25-SQRT(Correlation2)*DG$3)/SQRT(1-Correlation2),TRUE))</f>
        <v>-</v>
      </c>
      <c r="DH25" s="353" t="str">
        <f>IF($AN25&gt;CDS.Tenor,"-",_xlfn.NORM.S.DIST(($CR25-SQRT(Correlation2)*DH$3)/SQRT(1-Correlation2),TRUE))</f>
        <v>-</v>
      </c>
      <c r="DI25" s="353" t="str">
        <f>IF($AN25&gt;CDS.Tenor,"-",_xlfn.NORM.S.DIST(($CR25-SQRT(Correlation2)*DI$3)/SQRT(1-Correlation2),TRUE))</f>
        <v>-</v>
      </c>
      <c r="DJ25" s="353" t="str">
        <f>IF($AN25&gt;CDS.Tenor,"-",_xlfn.NORM.S.DIST(($CR25-SQRT(Correlation2)*DJ$3)/SQRT(1-Correlation2),TRUE))</f>
        <v>-</v>
      </c>
      <c r="DK25" s="353" t="str">
        <f>IF($AN25&gt;CDS.Tenor,"-",_xlfn.NORM.S.DIST(($CR25-SQRT(Correlation2)*DK$3)/SQRT(1-Correlation2),TRUE))</f>
        <v>-</v>
      </c>
      <c r="DL25" s="353" t="str">
        <f>IF($AN25&gt;CDS.Tenor,"-",_xlfn.NORM.S.DIST(($CR25-SQRT(Correlation2)*DL$3)/SQRT(1-Correlation2),TRUE))</f>
        <v>-</v>
      </c>
      <c r="DM25" s="353" t="str">
        <f>IF($AN25&gt;CDS.Tenor,"-",_xlfn.NORM.S.DIST(($CR25-SQRT(Correlation2)*DM$3)/SQRT(1-Correlation2),TRUE))</f>
        <v>-</v>
      </c>
      <c r="DN25" s="353" t="str">
        <f>IF($AN25&gt;CDS.Tenor,"-",_xlfn.NORM.S.DIST(($CR25-SQRT(Correlation2)*DN$3)/SQRT(1-Correlation2),TRUE))</f>
        <v>-</v>
      </c>
      <c r="DO25" s="354" t="str">
        <f>IF($AN25&gt;CDS.Tenor,"-",_xlfn.NORM.S.DIST(($CR25-SQRT(Correlation2)*DO$3)/SQRT(1-Correlation2),TRUE))</f>
        <v>-</v>
      </c>
      <c r="DQ25" s="358">
        <f t="shared" si="132"/>
        <v>5.25</v>
      </c>
      <c r="DR25" s="353" t="str">
        <f t="shared" si="133"/>
        <v>-</v>
      </c>
      <c r="DS25" s="353" t="str">
        <f t="shared" si="134"/>
        <v>-</v>
      </c>
      <c r="DT25" s="353" t="str">
        <f t="shared" si="135"/>
        <v>-</v>
      </c>
      <c r="DU25" s="353" t="str">
        <f t="shared" si="136"/>
        <v>-</v>
      </c>
      <c r="DV25" s="353" t="str">
        <f t="shared" si="137"/>
        <v>-</v>
      </c>
      <c r="DW25" s="353" t="str">
        <f t="shared" si="138"/>
        <v>-</v>
      </c>
      <c r="DX25" s="353" t="str">
        <f t="shared" si="139"/>
        <v>-</v>
      </c>
      <c r="DY25" s="353" t="str">
        <f t="shared" si="140"/>
        <v>-</v>
      </c>
      <c r="DZ25" s="353" t="str">
        <f t="shared" si="141"/>
        <v>-</v>
      </c>
      <c r="EA25" s="353" t="str">
        <f t="shared" si="142"/>
        <v>-</v>
      </c>
      <c r="EB25" s="353" t="str">
        <f t="shared" si="143"/>
        <v>-</v>
      </c>
      <c r="EC25" s="353" t="str">
        <f t="shared" si="144"/>
        <v>-</v>
      </c>
      <c r="ED25" s="353" t="str">
        <f t="shared" si="145"/>
        <v>-</v>
      </c>
      <c r="EE25" s="353" t="str">
        <f t="shared" si="146"/>
        <v>-</v>
      </c>
      <c r="EF25" s="353" t="str">
        <f t="shared" si="147"/>
        <v>-</v>
      </c>
      <c r="EG25" s="353" t="str">
        <f t="shared" si="148"/>
        <v>-</v>
      </c>
      <c r="EH25" s="353" t="str">
        <f t="shared" si="149"/>
        <v>-</v>
      </c>
      <c r="EI25" s="353" t="str">
        <f t="shared" si="150"/>
        <v>-</v>
      </c>
      <c r="EJ25" s="353" t="str">
        <f t="shared" si="151"/>
        <v>-</v>
      </c>
      <c r="EK25" s="353" t="str">
        <f t="shared" si="152"/>
        <v>-</v>
      </c>
      <c r="EL25" s="354" t="str">
        <f t="shared" si="153"/>
        <v>-</v>
      </c>
      <c r="EM25" s="17"/>
      <c r="EN25" s="17"/>
      <c r="EO25" s="343" t="str" cm="1">
        <f t="array" aca="1" ref="EO25" ca="1">IF($AN25&gt;CDS.Tenor,"-",flatInterpolation(CP25,INDIRECT(HazardRateTimes3),INDIRECT(HazardRateValues3)))</f>
        <v>-</v>
      </c>
      <c r="EP25" s="10" t="str">
        <f t="shared" si="154"/>
        <v>-</v>
      </c>
      <c r="EQ25" s="10" t="str">
        <f t="shared" si="155"/>
        <v>-</v>
      </c>
      <c r="ER25" s="81" t="str">
        <f t="shared" si="156"/>
        <v>-</v>
      </c>
      <c r="ET25" s="358">
        <f t="shared" si="157"/>
        <v>5.25</v>
      </c>
      <c r="EU25" s="353" t="str">
        <f>IF($AN25&gt;CDS.Tenor,"-",_xlfn.NORM.S.DIST(($ER25-SQRT(Correlation3)*EU$3)/SQRT(1-Correlation3),TRUE))</f>
        <v>-</v>
      </c>
      <c r="EV25" s="353" t="str">
        <f>IF($AN25&gt;CDS.Tenor,"-",_xlfn.NORM.S.DIST(($ER25-SQRT(Correlation3)*EV$3)/SQRT(1-Correlation3),TRUE))</f>
        <v>-</v>
      </c>
      <c r="EW25" s="353" t="str">
        <f>IF($AN25&gt;CDS.Tenor,"-",_xlfn.NORM.S.DIST(($ER25-SQRT(Correlation3)*EW$3)/SQRT(1-Correlation3),TRUE))</f>
        <v>-</v>
      </c>
      <c r="EX25" s="353" t="str">
        <f>IF($AN25&gt;CDS.Tenor,"-",_xlfn.NORM.S.DIST(($ER25-SQRT(Correlation3)*EX$3)/SQRT(1-Correlation3),TRUE))</f>
        <v>-</v>
      </c>
      <c r="EY25" s="353" t="str">
        <f>IF($AN25&gt;CDS.Tenor,"-",_xlfn.NORM.S.DIST(($ER25-SQRT(Correlation3)*EY$3)/SQRT(1-Correlation3),TRUE))</f>
        <v>-</v>
      </c>
      <c r="EZ25" s="353" t="str">
        <f>IF($AN25&gt;CDS.Tenor,"-",_xlfn.NORM.S.DIST(($ER25-SQRT(Correlation3)*EZ$3)/SQRT(1-Correlation3),TRUE))</f>
        <v>-</v>
      </c>
      <c r="FA25" s="353" t="str">
        <f>IF($AN25&gt;CDS.Tenor,"-",_xlfn.NORM.S.DIST(($ER25-SQRT(Correlation3)*FA$3)/SQRT(1-Correlation3),TRUE))</f>
        <v>-</v>
      </c>
      <c r="FB25" s="353" t="str">
        <f>IF($AN25&gt;CDS.Tenor,"-",_xlfn.NORM.S.DIST(($ER25-SQRT(Correlation3)*FB$3)/SQRT(1-Correlation3),TRUE))</f>
        <v>-</v>
      </c>
      <c r="FC25" s="353" t="str">
        <f>IF($AN25&gt;CDS.Tenor,"-",_xlfn.NORM.S.DIST(($ER25-SQRT(Correlation3)*FC$3)/SQRT(1-Correlation3),TRUE))</f>
        <v>-</v>
      </c>
      <c r="FD25" s="353" t="str">
        <f>IF($AN25&gt;CDS.Tenor,"-",_xlfn.NORM.S.DIST(($ER25-SQRT(Correlation3)*FD$3)/SQRT(1-Correlation3),TRUE))</f>
        <v>-</v>
      </c>
      <c r="FE25" s="353" t="str">
        <f>IF($AN25&gt;CDS.Tenor,"-",_xlfn.NORM.S.DIST(($ER25-SQRT(Correlation3)*FE$3)/SQRT(1-Correlation3),TRUE))</f>
        <v>-</v>
      </c>
      <c r="FF25" s="353" t="str">
        <f>IF($AN25&gt;CDS.Tenor,"-",_xlfn.NORM.S.DIST(($ER25-SQRT(Correlation3)*FF$3)/SQRT(1-Correlation3),TRUE))</f>
        <v>-</v>
      </c>
      <c r="FG25" s="353" t="str">
        <f>IF($AN25&gt;CDS.Tenor,"-",_xlfn.NORM.S.DIST(($ER25-SQRT(Correlation3)*FG$3)/SQRT(1-Correlation3),TRUE))</f>
        <v>-</v>
      </c>
      <c r="FH25" s="353" t="str">
        <f>IF($AN25&gt;CDS.Tenor,"-",_xlfn.NORM.S.DIST(($ER25-SQRT(Correlation3)*FH$3)/SQRT(1-Correlation3),TRUE))</f>
        <v>-</v>
      </c>
      <c r="FI25" s="353" t="str">
        <f>IF($AN25&gt;CDS.Tenor,"-",_xlfn.NORM.S.DIST(($ER25-SQRT(Correlation3)*FI$3)/SQRT(1-Correlation3),TRUE))</f>
        <v>-</v>
      </c>
      <c r="FJ25" s="353" t="str">
        <f>IF($AN25&gt;CDS.Tenor,"-",_xlfn.NORM.S.DIST(($ER25-SQRT(Correlation3)*FJ$3)/SQRT(1-Correlation3),TRUE))</f>
        <v>-</v>
      </c>
      <c r="FK25" s="353" t="str">
        <f>IF($AN25&gt;CDS.Tenor,"-",_xlfn.NORM.S.DIST(($ER25-SQRT(Correlation3)*FK$3)/SQRT(1-Correlation3),TRUE))</f>
        <v>-</v>
      </c>
      <c r="FL25" s="353" t="str">
        <f>IF($AN25&gt;CDS.Tenor,"-",_xlfn.NORM.S.DIST(($ER25-SQRT(Correlation3)*FL$3)/SQRT(1-Correlation3),TRUE))</f>
        <v>-</v>
      </c>
      <c r="FM25" s="353" t="str">
        <f>IF($AN25&gt;CDS.Tenor,"-",_xlfn.NORM.S.DIST(($ER25-SQRT(Correlation3)*FM$3)/SQRT(1-Correlation3),TRUE))</f>
        <v>-</v>
      </c>
      <c r="FN25" s="353" t="str">
        <f>IF($AN25&gt;CDS.Tenor,"-",_xlfn.NORM.S.DIST(($ER25-SQRT(Correlation3)*FN$3)/SQRT(1-Correlation3),TRUE))</f>
        <v>-</v>
      </c>
      <c r="FO25" s="354" t="str">
        <f>IF($AN25&gt;CDS.Tenor,"-",_xlfn.NORM.S.DIST(($ER25-SQRT(Correlation3)*FO$3)/SQRT(1-Correlation3),TRUE))</f>
        <v>-</v>
      </c>
      <c r="FQ25" s="358">
        <f t="shared" si="158"/>
        <v>5.25</v>
      </c>
      <c r="FR25" s="353" t="str">
        <f t="shared" si="159"/>
        <v>-</v>
      </c>
      <c r="FS25" s="353" t="str">
        <f t="shared" si="160"/>
        <v>-</v>
      </c>
      <c r="FT25" s="353" t="str">
        <f t="shared" si="161"/>
        <v>-</v>
      </c>
      <c r="FU25" s="353" t="str">
        <f t="shared" si="162"/>
        <v>-</v>
      </c>
      <c r="FV25" s="353" t="str">
        <f t="shared" si="163"/>
        <v>-</v>
      </c>
      <c r="FW25" s="353" t="str">
        <f t="shared" si="164"/>
        <v>-</v>
      </c>
      <c r="FX25" s="353" t="str">
        <f t="shared" si="165"/>
        <v>-</v>
      </c>
      <c r="FY25" s="353" t="str">
        <f t="shared" si="166"/>
        <v>-</v>
      </c>
      <c r="FZ25" s="353" t="str">
        <f t="shared" si="167"/>
        <v>-</v>
      </c>
      <c r="GA25" s="353" t="str">
        <f t="shared" si="168"/>
        <v>-</v>
      </c>
      <c r="GB25" s="353" t="str">
        <f t="shared" si="169"/>
        <v>-</v>
      </c>
      <c r="GC25" s="353" t="str">
        <f t="shared" si="170"/>
        <v>-</v>
      </c>
      <c r="GD25" s="353" t="str">
        <f t="shared" si="171"/>
        <v>-</v>
      </c>
      <c r="GE25" s="353" t="str">
        <f t="shared" si="172"/>
        <v>-</v>
      </c>
      <c r="GF25" s="353" t="str">
        <f t="shared" si="173"/>
        <v>-</v>
      </c>
      <c r="GG25" s="353" t="str">
        <f t="shared" si="174"/>
        <v>-</v>
      </c>
      <c r="GH25" s="353" t="str">
        <f t="shared" si="175"/>
        <v>-</v>
      </c>
      <c r="GI25" s="353" t="str">
        <f t="shared" si="176"/>
        <v>-</v>
      </c>
      <c r="GJ25" s="353" t="str">
        <f t="shared" si="177"/>
        <v>-</v>
      </c>
      <c r="GK25" s="353" t="str">
        <f t="shared" si="178"/>
        <v>-</v>
      </c>
      <c r="GL25" s="354" t="str">
        <f t="shared" si="179"/>
        <v>-</v>
      </c>
      <c r="GO25" s="358">
        <f t="shared" si="180"/>
        <v>5.25</v>
      </c>
      <c r="GP25" s="353" t="str">
        <f t="shared" si="181"/>
        <v>-</v>
      </c>
      <c r="GQ25" s="353" t="str">
        <f t="shared" si="182"/>
        <v>-</v>
      </c>
      <c r="GR25" s="353" t="str">
        <f t="shared" si="183"/>
        <v>-</v>
      </c>
      <c r="GS25" s="353" t="str">
        <f t="shared" si="184"/>
        <v>-</v>
      </c>
      <c r="GT25" s="353" t="str">
        <f t="shared" si="185"/>
        <v>-</v>
      </c>
      <c r="GU25" s="353" t="str">
        <f t="shared" si="186"/>
        <v>-</v>
      </c>
      <c r="GV25" s="353" t="str">
        <f t="shared" si="187"/>
        <v>-</v>
      </c>
      <c r="GW25" s="353" t="str">
        <f t="shared" si="188"/>
        <v>-</v>
      </c>
      <c r="GX25" s="353" t="str">
        <f t="shared" si="189"/>
        <v>-</v>
      </c>
      <c r="GY25" s="353" t="str">
        <f t="shared" si="190"/>
        <v>-</v>
      </c>
      <c r="GZ25" s="353" t="str">
        <f t="shared" si="191"/>
        <v>-</v>
      </c>
      <c r="HA25" s="353" t="str">
        <f t="shared" si="192"/>
        <v>-</v>
      </c>
      <c r="HB25" s="353" t="str">
        <f t="shared" si="193"/>
        <v>-</v>
      </c>
      <c r="HC25" s="353" t="str">
        <f t="shared" si="194"/>
        <v>-</v>
      </c>
      <c r="HD25" s="353" t="str">
        <f t="shared" si="195"/>
        <v>-</v>
      </c>
      <c r="HE25" s="353" t="str">
        <f t="shared" si="196"/>
        <v>-</v>
      </c>
      <c r="HF25" s="353" t="str">
        <f t="shared" si="197"/>
        <v>-</v>
      </c>
      <c r="HG25" s="353" t="str">
        <f t="shared" si="198"/>
        <v>-</v>
      </c>
      <c r="HH25" s="353" t="str">
        <f t="shared" si="199"/>
        <v>-</v>
      </c>
      <c r="HI25" s="353" t="str">
        <f t="shared" si="200"/>
        <v>-</v>
      </c>
      <c r="HJ25" s="354" t="str">
        <f t="shared" si="201"/>
        <v>-</v>
      </c>
      <c r="HK25" s="42"/>
      <c r="HL25" s="42"/>
      <c r="HM25" s="358">
        <f t="shared" si="202"/>
        <v>5.25</v>
      </c>
      <c r="HN25" s="362" t="str">
        <f t="shared" si="203"/>
        <v>-</v>
      </c>
      <c r="HO25" s="363" t="str">
        <f t="shared" si="204"/>
        <v>-</v>
      </c>
    </row>
    <row r="26" spans="2:223" x14ac:dyDescent="0.3">
      <c r="B26" s="112" t="s">
        <v>67</v>
      </c>
      <c r="C26" s="161"/>
      <c r="D26" s="383">
        <f ca="1">D25*10000</f>
        <v>101.96031580317184</v>
      </c>
      <c r="F26" s="17" t="s">
        <v>354</v>
      </c>
      <c r="G26" s="389">
        <f>MAX(G21:G23)</f>
        <v>45</v>
      </c>
      <c r="H26" t="s">
        <v>365</v>
      </c>
      <c r="V26" s="370">
        <f t="shared" si="89"/>
        <v>5.5</v>
      </c>
      <c r="W26" s="371" t="str">
        <f t="shared" si="90"/>
        <v>-</v>
      </c>
      <c r="X26" s="348" t="str">
        <f t="shared" si="91"/>
        <v>-</v>
      </c>
      <c r="Y26" s="348" t="str">
        <f t="shared" si="92"/>
        <v>-</v>
      </c>
      <c r="Z26" s="372" t="str" cm="1">
        <f t="array" ref="Z26">IF($V26&gt;CDS.Tenor,"-",cubicInterpolation(CurveResults.Times,CurveResults.DFs,$V26))</f>
        <v>-</v>
      </c>
      <c r="AA26" s="371" t="str">
        <f t="shared" si="93"/>
        <v>-</v>
      </c>
      <c r="AB26" s="371" t="str">
        <f t="shared" si="94"/>
        <v>-</v>
      </c>
      <c r="AC26" s="373" t="str">
        <f t="shared" si="95"/>
        <v>-</v>
      </c>
      <c r="AF26" s="370">
        <f t="shared" si="96"/>
        <v>5.5</v>
      </c>
      <c r="AG26" s="371" t="str">
        <f t="shared" si="97"/>
        <v>-</v>
      </c>
      <c r="AH26" s="348" t="str">
        <f t="shared" si="98"/>
        <v>-</v>
      </c>
      <c r="AI26" s="348" t="str">
        <f t="shared" si="99"/>
        <v>-</v>
      </c>
      <c r="AJ26" s="372" t="str" cm="1">
        <f t="array" ref="AJ26">IF($AF26&gt;CDS.Tenor,"-",cubicInterpolation(CurveResults.Times,CurveResults.DFs,$V26))</f>
        <v>-</v>
      </c>
      <c r="AK26" s="373" t="str">
        <f t="shared" si="100"/>
        <v>-</v>
      </c>
      <c r="AN26" s="358">
        <f t="shared" si="101"/>
        <v>5.5</v>
      </c>
      <c r="AO26" s="343" t="str" cm="1">
        <f t="array" aca="1" ref="AO26" ca="1">IF($AN26&gt;CDS.Tenor,"-",flatInterpolation(AM26,INDIRECT(HazardRateTimes1),INDIRECT(HazardRateValues1)))</f>
        <v>-</v>
      </c>
      <c r="AP26" s="10" t="str">
        <f t="shared" si="102"/>
        <v>-</v>
      </c>
      <c r="AQ26" s="10" t="str">
        <f t="shared" si="103"/>
        <v>-</v>
      </c>
      <c r="AR26" s="81" t="str">
        <f t="shared" si="104"/>
        <v>-</v>
      </c>
      <c r="AT26" s="358">
        <f t="shared" si="105"/>
        <v>5.5</v>
      </c>
      <c r="AU26" s="353" t="str">
        <f>IF($AN26&gt;CDS.Tenor,"-",_xlfn.NORM.S.DIST(($AR26-SQRT(Correlation1)*AU$3)/SQRT(1-Correlation1),TRUE))</f>
        <v>-</v>
      </c>
      <c r="AV26" s="353" t="str">
        <f>IF($AN26&gt;CDS.Tenor,"-",_xlfn.NORM.S.DIST(($AR26-SQRT(Correlation1)*AV$3)/SQRT(1-Correlation1),TRUE))</f>
        <v>-</v>
      </c>
      <c r="AW26" s="353" t="str">
        <f>IF($AN26&gt;CDS.Tenor,"-",_xlfn.NORM.S.DIST(($AR26-SQRT(Correlation1)*AW$3)/SQRT(1-Correlation1),TRUE))</f>
        <v>-</v>
      </c>
      <c r="AX26" s="353" t="str">
        <f>IF($AN26&gt;CDS.Tenor,"-",_xlfn.NORM.S.DIST(($AR26-SQRT(Correlation1)*AX$3)/SQRT(1-Correlation1),TRUE))</f>
        <v>-</v>
      </c>
      <c r="AY26" s="353" t="str">
        <f>IF($AN26&gt;CDS.Tenor,"-",_xlfn.NORM.S.DIST(($AR26-SQRT(Correlation1)*AY$3)/SQRT(1-Correlation1),TRUE))</f>
        <v>-</v>
      </c>
      <c r="AZ26" s="353" t="str">
        <f>IF($AN26&gt;CDS.Tenor,"-",_xlfn.NORM.S.DIST(($AR26-SQRT(Correlation1)*AZ$3)/SQRT(1-Correlation1),TRUE))</f>
        <v>-</v>
      </c>
      <c r="BA26" s="353" t="str">
        <f>IF($AN26&gt;CDS.Tenor,"-",_xlfn.NORM.S.DIST(($AR26-SQRT(Correlation1)*BA$3)/SQRT(1-Correlation1),TRUE))</f>
        <v>-</v>
      </c>
      <c r="BB26" s="353" t="str">
        <f>IF($AN26&gt;CDS.Tenor,"-",_xlfn.NORM.S.DIST(($AR26-SQRT(Correlation1)*BB$3)/SQRT(1-Correlation1),TRUE))</f>
        <v>-</v>
      </c>
      <c r="BC26" s="353" t="str">
        <f>IF($AN26&gt;CDS.Tenor,"-",_xlfn.NORM.S.DIST(($AR26-SQRT(Correlation1)*BC$3)/SQRT(1-Correlation1),TRUE))</f>
        <v>-</v>
      </c>
      <c r="BD26" s="353" t="str">
        <f>IF($AN26&gt;CDS.Tenor,"-",_xlfn.NORM.S.DIST(($AR26-SQRT(Correlation1)*BD$3)/SQRT(1-Correlation1),TRUE))</f>
        <v>-</v>
      </c>
      <c r="BE26" s="353" t="str">
        <f>IF($AN26&gt;CDS.Tenor,"-",_xlfn.NORM.S.DIST(($AR26-SQRT(Correlation1)*BE$3)/SQRT(1-Correlation1),TRUE))</f>
        <v>-</v>
      </c>
      <c r="BF26" s="353" t="str">
        <f>IF($AN26&gt;CDS.Tenor,"-",_xlfn.NORM.S.DIST(($AR26-SQRT(Correlation1)*BF$3)/SQRT(1-Correlation1),TRUE))</f>
        <v>-</v>
      </c>
      <c r="BG26" s="353" t="str">
        <f>IF($AN26&gt;CDS.Tenor,"-",_xlfn.NORM.S.DIST(($AR26-SQRT(Correlation1)*BG$3)/SQRT(1-Correlation1),TRUE))</f>
        <v>-</v>
      </c>
      <c r="BH26" s="353" t="str">
        <f>IF($AN26&gt;CDS.Tenor,"-",_xlfn.NORM.S.DIST(($AR26-SQRT(Correlation1)*BH$3)/SQRT(1-Correlation1),TRUE))</f>
        <v>-</v>
      </c>
      <c r="BI26" s="353" t="str">
        <f>IF($AN26&gt;CDS.Tenor,"-",_xlfn.NORM.S.DIST(($AR26-SQRT(Correlation1)*BI$3)/SQRT(1-Correlation1),TRUE))</f>
        <v>-</v>
      </c>
      <c r="BJ26" s="353" t="str">
        <f>IF($AN26&gt;CDS.Tenor,"-",_xlfn.NORM.S.DIST(($AR26-SQRT(Correlation1)*BJ$3)/SQRT(1-Correlation1),TRUE))</f>
        <v>-</v>
      </c>
      <c r="BK26" s="353" t="str">
        <f>IF($AN26&gt;CDS.Tenor,"-",_xlfn.NORM.S.DIST(($AR26-SQRT(Correlation1)*BK$3)/SQRT(1-Correlation1),TRUE))</f>
        <v>-</v>
      </c>
      <c r="BL26" s="353" t="str">
        <f>IF($AN26&gt;CDS.Tenor,"-",_xlfn.NORM.S.DIST(($AR26-SQRT(Correlation1)*BL$3)/SQRT(1-Correlation1),TRUE))</f>
        <v>-</v>
      </c>
      <c r="BM26" s="353" t="str">
        <f>IF($AN26&gt;CDS.Tenor,"-",_xlfn.NORM.S.DIST(($AR26-SQRT(Correlation1)*BM$3)/SQRT(1-Correlation1),TRUE))</f>
        <v>-</v>
      </c>
      <c r="BN26" s="353" t="str">
        <f>IF($AN26&gt;CDS.Tenor,"-",_xlfn.NORM.S.DIST(($AR26-SQRT(Correlation1)*BN$3)/SQRT(1-Correlation1),TRUE))</f>
        <v>-</v>
      </c>
      <c r="BO26" s="354" t="str">
        <f>IF($AN26&gt;CDS.Tenor,"-",_xlfn.NORM.S.DIST(($AR26-SQRT(Correlation1)*BO$3)/SQRT(1-Correlation1),TRUE))</f>
        <v>-</v>
      </c>
      <c r="BQ26" s="358">
        <f t="shared" si="106"/>
        <v>5.5</v>
      </c>
      <c r="BR26" s="353" t="str">
        <f t="shared" si="107"/>
        <v>-</v>
      </c>
      <c r="BS26" s="353" t="str">
        <f t="shared" si="108"/>
        <v>-</v>
      </c>
      <c r="BT26" s="353" t="str">
        <f t="shared" si="109"/>
        <v>-</v>
      </c>
      <c r="BU26" s="353" t="str">
        <f t="shared" si="110"/>
        <v>-</v>
      </c>
      <c r="BV26" s="353" t="str">
        <f t="shared" si="111"/>
        <v>-</v>
      </c>
      <c r="BW26" s="353" t="str">
        <f t="shared" si="112"/>
        <v>-</v>
      </c>
      <c r="BX26" s="353" t="str">
        <f t="shared" si="113"/>
        <v>-</v>
      </c>
      <c r="BY26" s="353" t="str">
        <f t="shared" si="114"/>
        <v>-</v>
      </c>
      <c r="BZ26" s="353" t="str">
        <f t="shared" si="115"/>
        <v>-</v>
      </c>
      <c r="CA26" s="353" t="str">
        <f t="shared" si="116"/>
        <v>-</v>
      </c>
      <c r="CB26" s="353" t="str">
        <f t="shared" si="117"/>
        <v>-</v>
      </c>
      <c r="CC26" s="353" t="str">
        <f t="shared" si="118"/>
        <v>-</v>
      </c>
      <c r="CD26" s="353" t="str">
        <f t="shared" si="119"/>
        <v>-</v>
      </c>
      <c r="CE26" s="353" t="str">
        <f t="shared" si="120"/>
        <v>-</v>
      </c>
      <c r="CF26" s="353" t="str">
        <f t="shared" si="121"/>
        <v>-</v>
      </c>
      <c r="CG26" s="353" t="str">
        <f t="shared" si="122"/>
        <v>-</v>
      </c>
      <c r="CH26" s="353" t="str">
        <f t="shared" si="123"/>
        <v>-</v>
      </c>
      <c r="CI26" s="353" t="str">
        <f t="shared" si="124"/>
        <v>-</v>
      </c>
      <c r="CJ26" s="353" t="str">
        <f t="shared" si="125"/>
        <v>-</v>
      </c>
      <c r="CK26" s="353" t="str">
        <f t="shared" si="126"/>
        <v>-</v>
      </c>
      <c r="CL26" s="354" t="str">
        <f t="shared" si="127"/>
        <v>-</v>
      </c>
      <c r="CM26" s="17"/>
      <c r="CN26" s="17"/>
      <c r="CO26" s="343" t="str" cm="1">
        <f t="array" aca="1" ref="CO26" ca="1">IF($AN26&gt;CDS.Tenor,"-",flatInterpolation(AN26,INDIRECT(HazardRateTimes2),INDIRECT(HazardRateValues2)))</f>
        <v>-</v>
      </c>
      <c r="CP26" s="10" t="str">
        <f t="shared" si="128"/>
        <v>-</v>
      </c>
      <c r="CQ26" s="10" t="str">
        <f t="shared" si="129"/>
        <v>-</v>
      </c>
      <c r="CR26" s="81" t="str">
        <f t="shared" si="130"/>
        <v>-</v>
      </c>
      <c r="CT26" s="358">
        <f t="shared" si="131"/>
        <v>5.5</v>
      </c>
      <c r="CU26" s="353" t="str">
        <f>IF($AN26&gt;CDS.Tenor,"-",_xlfn.NORM.S.DIST(($CR26-SQRT(Correlation2)*CU$3)/SQRT(1-Correlation2),TRUE))</f>
        <v>-</v>
      </c>
      <c r="CV26" s="353" t="str">
        <f>IF($AN26&gt;CDS.Tenor,"-",_xlfn.NORM.S.DIST(($CR26-SQRT(Correlation2)*CV$3)/SQRT(1-Correlation2),TRUE))</f>
        <v>-</v>
      </c>
      <c r="CW26" s="353" t="str">
        <f>IF($AN26&gt;CDS.Tenor,"-",_xlfn.NORM.S.DIST(($CR26-SQRT(Correlation2)*CW$3)/SQRT(1-Correlation2),TRUE))</f>
        <v>-</v>
      </c>
      <c r="CX26" s="353" t="str">
        <f>IF($AN26&gt;CDS.Tenor,"-",_xlfn.NORM.S.DIST(($CR26-SQRT(Correlation2)*CX$3)/SQRT(1-Correlation2),TRUE))</f>
        <v>-</v>
      </c>
      <c r="CY26" s="353" t="str">
        <f>IF($AN26&gt;CDS.Tenor,"-",_xlfn.NORM.S.DIST(($CR26-SQRT(Correlation2)*CY$3)/SQRT(1-Correlation2),TRUE))</f>
        <v>-</v>
      </c>
      <c r="CZ26" s="353" t="str">
        <f>IF($AN26&gt;CDS.Tenor,"-",_xlfn.NORM.S.DIST(($CR26-SQRT(Correlation2)*CZ$3)/SQRT(1-Correlation2),TRUE))</f>
        <v>-</v>
      </c>
      <c r="DA26" s="353" t="str">
        <f>IF($AN26&gt;CDS.Tenor,"-",_xlfn.NORM.S.DIST(($CR26-SQRT(Correlation2)*DA$3)/SQRT(1-Correlation2),TRUE))</f>
        <v>-</v>
      </c>
      <c r="DB26" s="353" t="str">
        <f>IF($AN26&gt;CDS.Tenor,"-",_xlfn.NORM.S.DIST(($CR26-SQRT(Correlation2)*DB$3)/SQRT(1-Correlation2),TRUE))</f>
        <v>-</v>
      </c>
      <c r="DC26" s="353" t="str">
        <f>IF($AN26&gt;CDS.Tenor,"-",_xlfn.NORM.S.DIST(($CR26-SQRT(Correlation2)*DC$3)/SQRT(1-Correlation2),TRUE))</f>
        <v>-</v>
      </c>
      <c r="DD26" s="353" t="str">
        <f>IF($AN26&gt;CDS.Tenor,"-",_xlfn.NORM.S.DIST(($CR26-SQRT(Correlation2)*DD$3)/SQRT(1-Correlation2),TRUE))</f>
        <v>-</v>
      </c>
      <c r="DE26" s="353" t="str">
        <f>IF($AN26&gt;CDS.Tenor,"-",_xlfn.NORM.S.DIST(($CR26-SQRT(Correlation2)*DE$3)/SQRT(1-Correlation2),TRUE))</f>
        <v>-</v>
      </c>
      <c r="DF26" s="353" t="str">
        <f>IF($AN26&gt;CDS.Tenor,"-",_xlfn.NORM.S.DIST(($CR26-SQRT(Correlation2)*DF$3)/SQRT(1-Correlation2),TRUE))</f>
        <v>-</v>
      </c>
      <c r="DG26" s="353" t="str">
        <f>IF($AN26&gt;CDS.Tenor,"-",_xlfn.NORM.S.DIST(($CR26-SQRT(Correlation2)*DG$3)/SQRT(1-Correlation2),TRUE))</f>
        <v>-</v>
      </c>
      <c r="DH26" s="353" t="str">
        <f>IF($AN26&gt;CDS.Tenor,"-",_xlfn.NORM.S.DIST(($CR26-SQRT(Correlation2)*DH$3)/SQRT(1-Correlation2),TRUE))</f>
        <v>-</v>
      </c>
      <c r="DI26" s="353" t="str">
        <f>IF($AN26&gt;CDS.Tenor,"-",_xlfn.NORM.S.DIST(($CR26-SQRT(Correlation2)*DI$3)/SQRT(1-Correlation2),TRUE))</f>
        <v>-</v>
      </c>
      <c r="DJ26" s="353" t="str">
        <f>IF($AN26&gt;CDS.Tenor,"-",_xlfn.NORM.S.DIST(($CR26-SQRT(Correlation2)*DJ$3)/SQRT(1-Correlation2),TRUE))</f>
        <v>-</v>
      </c>
      <c r="DK26" s="353" t="str">
        <f>IF($AN26&gt;CDS.Tenor,"-",_xlfn.NORM.S.DIST(($CR26-SQRT(Correlation2)*DK$3)/SQRT(1-Correlation2),TRUE))</f>
        <v>-</v>
      </c>
      <c r="DL26" s="353" t="str">
        <f>IF($AN26&gt;CDS.Tenor,"-",_xlfn.NORM.S.DIST(($CR26-SQRT(Correlation2)*DL$3)/SQRT(1-Correlation2),TRUE))</f>
        <v>-</v>
      </c>
      <c r="DM26" s="353" t="str">
        <f>IF($AN26&gt;CDS.Tenor,"-",_xlfn.NORM.S.DIST(($CR26-SQRT(Correlation2)*DM$3)/SQRT(1-Correlation2),TRUE))</f>
        <v>-</v>
      </c>
      <c r="DN26" s="353" t="str">
        <f>IF($AN26&gt;CDS.Tenor,"-",_xlfn.NORM.S.DIST(($CR26-SQRT(Correlation2)*DN$3)/SQRT(1-Correlation2),TRUE))</f>
        <v>-</v>
      </c>
      <c r="DO26" s="354" t="str">
        <f>IF($AN26&gt;CDS.Tenor,"-",_xlfn.NORM.S.DIST(($CR26-SQRT(Correlation2)*DO$3)/SQRT(1-Correlation2),TRUE))</f>
        <v>-</v>
      </c>
      <c r="DQ26" s="358">
        <f t="shared" si="132"/>
        <v>5.5</v>
      </c>
      <c r="DR26" s="353" t="str">
        <f t="shared" si="133"/>
        <v>-</v>
      </c>
      <c r="DS26" s="353" t="str">
        <f t="shared" si="134"/>
        <v>-</v>
      </c>
      <c r="DT26" s="353" t="str">
        <f t="shared" si="135"/>
        <v>-</v>
      </c>
      <c r="DU26" s="353" t="str">
        <f t="shared" si="136"/>
        <v>-</v>
      </c>
      <c r="DV26" s="353" t="str">
        <f t="shared" si="137"/>
        <v>-</v>
      </c>
      <c r="DW26" s="353" t="str">
        <f t="shared" si="138"/>
        <v>-</v>
      </c>
      <c r="DX26" s="353" t="str">
        <f t="shared" si="139"/>
        <v>-</v>
      </c>
      <c r="DY26" s="353" t="str">
        <f t="shared" si="140"/>
        <v>-</v>
      </c>
      <c r="DZ26" s="353" t="str">
        <f t="shared" si="141"/>
        <v>-</v>
      </c>
      <c r="EA26" s="353" t="str">
        <f t="shared" si="142"/>
        <v>-</v>
      </c>
      <c r="EB26" s="353" t="str">
        <f t="shared" si="143"/>
        <v>-</v>
      </c>
      <c r="EC26" s="353" t="str">
        <f t="shared" si="144"/>
        <v>-</v>
      </c>
      <c r="ED26" s="353" t="str">
        <f t="shared" si="145"/>
        <v>-</v>
      </c>
      <c r="EE26" s="353" t="str">
        <f t="shared" si="146"/>
        <v>-</v>
      </c>
      <c r="EF26" s="353" t="str">
        <f t="shared" si="147"/>
        <v>-</v>
      </c>
      <c r="EG26" s="353" t="str">
        <f t="shared" si="148"/>
        <v>-</v>
      </c>
      <c r="EH26" s="353" t="str">
        <f t="shared" si="149"/>
        <v>-</v>
      </c>
      <c r="EI26" s="353" t="str">
        <f t="shared" si="150"/>
        <v>-</v>
      </c>
      <c r="EJ26" s="353" t="str">
        <f t="shared" si="151"/>
        <v>-</v>
      </c>
      <c r="EK26" s="353" t="str">
        <f t="shared" si="152"/>
        <v>-</v>
      </c>
      <c r="EL26" s="354" t="str">
        <f t="shared" si="153"/>
        <v>-</v>
      </c>
      <c r="EM26" s="17"/>
      <c r="EN26" s="17"/>
      <c r="EO26" s="343" t="str" cm="1">
        <f t="array" aca="1" ref="EO26" ca="1">IF($AN26&gt;CDS.Tenor,"-",flatInterpolation(CP26,INDIRECT(HazardRateTimes3),INDIRECT(HazardRateValues3)))</f>
        <v>-</v>
      </c>
      <c r="EP26" s="10" t="str">
        <f t="shared" si="154"/>
        <v>-</v>
      </c>
      <c r="EQ26" s="10" t="str">
        <f t="shared" si="155"/>
        <v>-</v>
      </c>
      <c r="ER26" s="81" t="str">
        <f t="shared" si="156"/>
        <v>-</v>
      </c>
      <c r="ET26" s="358">
        <f t="shared" si="157"/>
        <v>5.5</v>
      </c>
      <c r="EU26" s="353" t="str">
        <f>IF($AN26&gt;CDS.Tenor,"-",_xlfn.NORM.S.DIST(($ER26-SQRT(Correlation3)*EU$3)/SQRT(1-Correlation3),TRUE))</f>
        <v>-</v>
      </c>
      <c r="EV26" s="353" t="str">
        <f>IF($AN26&gt;CDS.Tenor,"-",_xlfn.NORM.S.DIST(($ER26-SQRT(Correlation3)*EV$3)/SQRT(1-Correlation3),TRUE))</f>
        <v>-</v>
      </c>
      <c r="EW26" s="353" t="str">
        <f>IF($AN26&gt;CDS.Tenor,"-",_xlfn.NORM.S.DIST(($ER26-SQRT(Correlation3)*EW$3)/SQRT(1-Correlation3),TRUE))</f>
        <v>-</v>
      </c>
      <c r="EX26" s="353" t="str">
        <f>IF($AN26&gt;CDS.Tenor,"-",_xlfn.NORM.S.DIST(($ER26-SQRT(Correlation3)*EX$3)/SQRT(1-Correlation3),TRUE))</f>
        <v>-</v>
      </c>
      <c r="EY26" s="353" t="str">
        <f>IF($AN26&gt;CDS.Tenor,"-",_xlfn.NORM.S.DIST(($ER26-SQRT(Correlation3)*EY$3)/SQRT(1-Correlation3),TRUE))</f>
        <v>-</v>
      </c>
      <c r="EZ26" s="353" t="str">
        <f>IF($AN26&gt;CDS.Tenor,"-",_xlfn.NORM.S.DIST(($ER26-SQRT(Correlation3)*EZ$3)/SQRT(1-Correlation3),TRUE))</f>
        <v>-</v>
      </c>
      <c r="FA26" s="353" t="str">
        <f>IF($AN26&gt;CDS.Tenor,"-",_xlfn.NORM.S.DIST(($ER26-SQRT(Correlation3)*FA$3)/SQRT(1-Correlation3),TRUE))</f>
        <v>-</v>
      </c>
      <c r="FB26" s="353" t="str">
        <f>IF($AN26&gt;CDS.Tenor,"-",_xlfn.NORM.S.DIST(($ER26-SQRT(Correlation3)*FB$3)/SQRT(1-Correlation3),TRUE))</f>
        <v>-</v>
      </c>
      <c r="FC26" s="353" t="str">
        <f>IF($AN26&gt;CDS.Tenor,"-",_xlfn.NORM.S.DIST(($ER26-SQRT(Correlation3)*FC$3)/SQRT(1-Correlation3),TRUE))</f>
        <v>-</v>
      </c>
      <c r="FD26" s="353" t="str">
        <f>IF($AN26&gt;CDS.Tenor,"-",_xlfn.NORM.S.DIST(($ER26-SQRT(Correlation3)*FD$3)/SQRT(1-Correlation3),TRUE))</f>
        <v>-</v>
      </c>
      <c r="FE26" s="353" t="str">
        <f>IF($AN26&gt;CDS.Tenor,"-",_xlfn.NORM.S.DIST(($ER26-SQRT(Correlation3)*FE$3)/SQRT(1-Correlation3),TRUE))</f>
        <v>-</v>
      </c>
      <c r="FF26" s="353" t="str">
        <f>IF($AN26&gt;CDS.Tenor,"-",_xlfn.NORM.S.DIST(($ER26-SQRT(Correlation3)*FF$3)/SQRT(1-Correlation3),TRUE))</f>
        <v>-</v>
      </c>
      <c r="FG26" s="353" t="str">
        <f>IF($AN26&gt;CDS.Tenor,"-",_xlfn.NORM.S.DIST(($ER26-SQRT(Correlation3)*FG$3)/SQRT(1-Correlation3),TRUE))</f>
        <v>-</v>
      </c>
      <c r="FH26" s="353" t="str">
        <f>IF($AN26&gt;CDS.Tenor,"-",_xlfn.NORM.S.DIST(($ER26-SQRT(Correlation3)*FH$3)/SQRT(1-Correlation3),TRUE))</f>
        <v>-</v>
      </c>
      <c r="FI26" s="353" t="str">
        <f>IF($AN26&gt;CDS.Tenor,"-",_xlfn.NORM.S.DIST(($ER26-SQRT(Correlation3)*FI$3)/SQRT(1-Correlation3),TRUE))</f>
        <v>-</v>
      </c>
      <c r="FJ26" s="353" t="str">
        <f>IF($AN26&gt;CDS.Tenor,"-",_xlfn.NORM.S.DIST(($ER26-SQRT(Correlation3)*FJ$3)/SQRT(1-Correlation3),TRUE))</f>
        <v>-</v>
      </c>
      <c r="FK26" s="353" t="str">
        <f>IF($AN26&gt;CDS.Tenor,"-",_xlfn.NORM.S.DIST(($ER26-SQRT(Correlation3)*FK$3)/SQRT(1-Correlation3),TRUE))</f>
        <v>-</v>
      </c>
      <c r="FL26" s="353" t="str">
        <f>IF($AN26&gt;CDS.Tenor,"-",_xlfn.NORM.S.DIST(($ER26-SQRT(Correlation3)*FL$3)/SQRT(1-Correlation3),TRUE))</f>
        <v>-</v>
      </c>
      <c r="FM26" s="353" t="str">
        <f>IF($AN26&gt;CDS.Tenor,"-",_xlfn.NORM.S.DIST(($ER26-SQRT(Correlation3)*FM$3)/SQRT(1-Correlation3),TRUE))</f>
        <v>-</v>
      </c>
      <c r="FN26" s="353" t="str">
        <f>IF($AN26&gt;CDS.Tenor,"-",_xlfn.NORM.S.DIST(($ER26-SQRT(Correlation3)*FN$3)/SQRT(1-Correlation3),TRUE))</f>
        <v>-</v>
      </c>
      <c r="FO26" s="354" t="str">
        <f>IF($AN26&gt;CDS.Tenor,"-",_xlfn.NORM.S.DIST(($ER26-SQRT(Correlation3)*FO$3)/SQRT(1-Correlation3),TRUE))</f>
        <v>-</v>
      </c>
      <c r="FQ26" s="358">
        <f t="shared" si="158"/>
        <v>5.5</v>
      </c>
      <c r="FR26" s="353" t="str">
        <f t="shared" si="159"/>
        <v>-</v>
      </c>
      <c r="FS26" s="353" t="str">
        <f t="shared" si="160"/>
        <v>-</v>
      </c>
      <c r="FT26" s="353" t="str">
        <f t="shared" si="161"/>
        <v>-</v>
      </c>
      <c r="FU26" s="353" t="str">
        <f t="shared" si="162"/>
        <v>-</v>
      </c>
      <c r="FV26" s="353" t="str">
        <f t="shared" si="163"/>
        <v>-</v>
      </c>
      <c r="FW26" s="353" t="str">
        <f t="shared" si="164"/>
        <v>-</v>
      </c>
      <c r="FX26" s="353" t="str">
        <f t="shared" si="165"/>
        <v>-</v>
      </c>
      <c r="FY26" s="353" t="str">
        <f t="shared" si="166"/>
        <v>-</v>
      </c>
      <c r="FZ26" s="353" t="str">
        <f t="shared" si="167"/>
        <v>-</v>
      </c>
      <c r="GA26" s="353" t="str">
        <f t="shared" si="168"/>
        <v>-</v>
      </c>
      <c r="GB26" s="353" t="str">
        <f t="shared" si="169"/>
        <v>-</v>
      </c>
      <c r="GC26" s="353" t="str">
        <f t="shared" si="170"/>
        <v>-</v>
      </c>
      <c r="GD26" s="353" t="str">
        <f t="shared" si="171"/>
        <v>-</v>
      </c>
      <c r="GE26" s="353" t="str">
        <f t="shared" si="172"/>
        <v>-</v>
      </c>
      <c r="GF26" s="353" t="str">
        <f t="shared" si="173"/>
        <v>-</v>
      </c>
      <c r="GG26" s="353" t="str">
        <f t="shared" si="174"/>
        <v>-</v>
      </c>
      <c r="GH26" s="353" t="str">
        <f t="shared" si="175"/>
        <v>-</v>
      </c>
      <c r="GI26" s="353" t="str">
        <f t="shared" si="176"/>
        <v>-</v>
      </c>
      <c r="GJ26" s="353" t="str">
        <f t="shared" si="177"/>
        <v>-</v>
      </c>
      <c r="GK26" s="353" t="str">
        <f t="shared" si="178"/>
        <v>-</v>
      </c>
      <c r="GL26" s="354" t="str">
        <f t="shared" si="179"/>
        <v>-</v>
      </c>
      <c r="GO26" s="358">
        <f t="shared" si="180"/>
        <v>5.5</v>
      </c>
      <c r="GP26" s="353" t="str">
        <f t="shared" si="181"/>
        <v>-</v>
      </c>
      <c r="GQ26" s="353" t="str">
        <f t="shared" si="182"/>
        <v>-</v>
      </c>
      <c r="GR26" s="353" t="str">
        <f t="shared" si="183"/>
        <v>-</v>
      </c>
      <c r="GS26" s="353" t="str">
        <f t="shared" si="184"/>
        <v>-</v>
      </c>
      <c r="GT26" s="353" t="str">
        <f t="shared" si="185"/>
        <v>-</v>
      </c>
      <c r="GU26" s="353" t="str">
        <f t="shared" si="186"/>
        <v>-</v>
      </c>
      <c r="GV26" s="353" t="str">
        <f t="shared" si="187"/>
        <v>-</v>
      </c>
      <c r="GW26" s="353" t="str">
        <f t="shared" si="188"/>
        <v>-</v>
      </c>
      <c r="GX26" s="353" t="str">
        <f t="shared" si="189"/>
        <v>-</v>
      </c>
      <c r="GY26" s="353" t="str">
        <f t="shared" si="190"/>
        <v>-</v>
      </c>
      <c r="GZ26" s="353" t="str">
        <f t="shared" si="191"/>
        <v>-</v>
      </c>
      <c r="HA26" s="353" t="str">
        <f t="shared" si="192"/>
        <v>-</v>
      </c>
      <c r="HB26" s="353" t="str">
        <f t="shared" si="193"/>
        <v>-</v>
      </c>
      <c r="HC26" s="353" t="str">
        <f t="shared" si="194"/>
        <v>-</v>
      </c>
      <c r="HD26" s="353" t="str">
        <f t="shared" si="195"/>
        <v>-</v>
      </c>
      <c r="HE26" s="353" t="str">
        <f t="shared" si="196"/>
        <v>-</v>
      </c>
      <c r="HF26" s="353" t="str">
        <f t="shared" si="197"/>
        <v>-</v>
      </c>
      <c r="HG26" s="353" t="str">
        <f t="shared" si="198"/>
        <v>-</v>
      </c>
      <c r="HH26" s="353" t="str">
        <f t="shared" si="199"/>
        <v>-</v>
      </c>
      <c r="HI26" s="353" t="str">
        <f t="shared" si="200"/>
        <v>-</v>
      </c>
      <c r="HJ26" s="354" t="str">
        <f t="shared" si="201"/>
        <v>-</v>
      </c>
      <c r="HK26" s="42"/>
      <c r="HL26" s="42"/>
      <c r="HM26" s="358">
        <f t="shared" si="202"/>
        <v>5.5</v>
      </c>
      <c r="HN26" s="362" t="str">
        <f t="shared" si="203"/>
        <v>-</v>
      </c>
      <c r="HO26" s="363" t="str">
        <f t="shared" si="204"/>
        <v>-</v>
      </c>
    </row>
    <row r="27" spans="2:223" x14ac:dyDescent="0.3">
      <c r="V27" s="370">
        <f t="shared" si="89"/>
        <v>5.75</v>
      </c>
      <c r="W27" s="371" t="str">
        <f t="shared" si="90"/>
        <v>-</v>
      </c>
      <c r="X27" s="348" t="str">
        <f t="shared" si="91"/>
        <v>-</v>
      </c>
      <c r="Y27" s="348" t="str">
        <f t="shared" si="92"/>
        <v>-</v>
      </c>
      <c r="Z27" s="372" t="str" cm="1">
        <f t="array" ref="Z27">IF($V27&gt;CDS.Tenor,"-",cubicInterpolation(CurveResults.Times,CurveResults.DFs,$V27))</f>
        <v>-</v>
      </c>
      <c r="AA27" s="371" t="str">
        <f t="shared" si="93"/>
        <v>-</v>
      </c>
      <c r="AB27" s="371" t="str">
        <f t="shared" si="94"/>
        <v>-</v>
      </c>
      <c r="AC27" s="373" t="str">
        <f t="shared" si="95"/>
        <v>-</v>
      </c>
      <c r="AF27" s="370">
        <f t="shared" si="96"/>
        <v>5.75</v>
      </c>
      <c r="AG27" s="371" t="str">
        <f t="shared" si="97"/>
        <v>-</v>
      </c>
      <c r="AH27" s="348" t="str">
        <f t="shared" si="98"/>
        <v>-</v>
      </c>
      <c r="AI27" s="348" t="str">
        <f t="shared" si="99"/>
        <v>-</v>
      </c>
      <c r="AJ27" s="372" t="str" cm="1">
        <f t="array" ref="AJ27">IF($AF27&gt;CDS.Tenor,"-",cubicInterpolation(CurveResults.Times,CurveResults.DFs,$V27))</f>
        <v>-</v>
      </c>
      <c r="AK27" s="373" t="str">
        <f t="shared" si="100"/>
        <v>-</v>
      </c>
      <c r="AN27" s="358">
        <f t="shared" si="101"/>
        <v>5.75</v>
      </c>
      <c r="AO27" s="343" t="str" cm="1">
        <f t="array" aca="1" ref="AO27" ca="1">IF($AN27&gt;CDS.Tenor,"-",flatInterpolation(AM27,INDIRECT(HazardRateTimes1),INDIRECT(HazardRateValues1)))</f>
        <v>-</v>
      </c>
      <c r="AP27" s="10" t="str">
        <f t="shared" si="102"/>
        <v>-</v>
      </c>
      <c r="AQ27" s="10" t="str">
        <f t="shared" si="103"/>
        <v>-</v>
      </c>
      <c r="AR27" s="81" t="str">
        <f t="shared" si="104"/>
        <v>-</v>
      </c>
      <c r="AT27" s="358">
        <f t="shared" si="105"/>
        <v>5.75</v>
      </c>
      <c r="AU27" s="353" t="str">
        <f>IF($AN27&gt;CDS.Tenor,"-",_xlfn.NORM.S.DIST(($AR27-SQRT(Correlation1)*AU$3)/SQRT(1-Correlation1),TRUE))</f>
        <v>-</v>
      </c>
      <c r="AV27" s="353" t="str">
        <f>IF($AN27&gt;CDS.Tenor,"-",_xlfn.NORM.S.DIST(($AR27-SQRT(Correlation1)*AV$3)/SQRT(1-Correlation1),TRUE))</f>
        <v>-</v>
      </c>
      <c r="AW27" s="353" t="str">
        <f>IF($AN27&gt;CDS.Tenor,"-",_xlfn.NORM.S.DIST(($AR27-SQRT(Correlation1)*AW$3)/SQRT(1-Correlation1),TRUE))</f>
        <v>-</v>
      </c>
      <c r="AX27" s="353" t="str">
        <f>IF($AN27&gt;CDS.Tenor,"-",_xlfn.NORM.S.DIST(($AR27-SQRT(Correlation1)*AX$3)/SQRT(1-Correlation1),TRUE))</f>
        <v>-</v>
      </c>
      <c r="AY27" s="353" t="str">
        <f>IF($AN27&gt;CDS.Tenor,"-",_xlfn.NORM.S.DIST(($AR27-SQRT(Correlation1)*AY$3)/SQRT(1-Correlation1),TRUE))</f>
        <v>-</v>
      </c>
      <c r="AZ27" s="353" t="str">
        <f>IF($AN27&gt;CDS.Tenor,"-",_xlfn.NORM.S.DIST(($AR27-SQRT(Correlation1)*AZ$3)/SQRT(1-Correlation1),TRUE))</f>
        <v>-</v>
      </c>
      <c r="BA27" s="353" t="str">
        <f>IF($AN27&gt;CDS.Tenor,"-",_xlfn.NORM.S.DIST(($AR27-SQRT(Correlation1)*BA$3)/SQRT(1-Correlation1),TRUE))</f>
        <v>-</v>
      </c>
      <c r="BB27" s="353" t="str">
        <f>IF($AN27&gt;CDS.Tenor,"-",_xlfn.NORM.S.DIST(($AR27-SQRT(Correlation1)*BB$3)/SQRT(1-Correlation1),TRUE))</f>
        <v>-</v>
      </c>
      <c r="BC27" s="353" t="str">
        <f>IF($AN27&gt;CDS.Tenor,"-",_xlfn.NORM.S.DIST(($AR27-SQRT(Correlation1)*BC$3)/SQRT(1-Correlation1),TRUE))</f>
        <v>-</v>
      </c>
      <c r="BD27" s="353" t="str">
        <f>IF($AN27&gt;CDS.Tenor,"-",_xlfn.NORM.S.DIST(($AR27-SQRT(Correlation1)*BD$3)/SQRT(1-Correlation1),TRUE))</f>
        <v>-</v>
      </c>
      <c r="BE27" s="353" t="str">
        <f>IF($AN27&gt;CDS.Tenor,"-",_xlfn.NORM.S.DIST(($AR27-SQRT(Correlation1)*BE$3)/SQRT(1-Correlation1),TRUE))</f>
        <v>-</v>
      </c>
      <c r="BF27" s="353" t="str">
        <f>IF($AN27&gt;CDS.Tenor,"-",_xlfn.NORM.S.DIST(($AR27-SQRT(Correlation1)*BF$3)/SQRT(1-Correlation1),TRUE))</f>
        <v>-</v>
      </c>
      <c r="BG27" s="353" t="str">
        <f>IF($AN27&gt;CDS.Tenor,"-",_xlfn.NORM.S.DIST(($AR27-SQRT(Correlation1)*BG$3)/SQRT(1-Correlation1),TRUE))</f>
        <v>-</v>
      </c>
      <c r="BH27" s="353" t="str">
        <f>IF($AN27&gt;CDS.Tenor,"-",_xlfn.NORM.S.DIST(($AR27-SQRT(Correlation1)*BH$3)/SQRT(1-Correlation1),TRUE))</f>
        <v>-</v>
      </c>
      <c r="BI27" s="353" t="str">
        <f>IF($AN27&gt;CDS.Tenor,"-",_xlfn.NORM.S.DIST(($AR27-SQRT(Correlation1)*BI$3)/SQRT(1-Correlation1),TRUE))</f>
        <v>-</v>
      </c>
      <c r="BJ27" s="353" t="str">
        <f>IF($AN27&gt;CDS.Tenor,"-",_xlfn.NORM.S.DIST(($AR27-SQRT(Correlation1)*BJ$3)/SQRT(1-Correlation1),TRUE))</f>
        <v>-</v>
      </c>
      <c r="BK27" s="353" t="str">
        <f>IF($AN27&gt;CDS.Tenor,"-",_xlfn.NORM.S.DIST(($AR27-SQRT(Correlation1)*BK$3)/SQRT(1-Correlation1),TRUE))</f>
        <v>-</v>
      </c>
      <c r="BL27" s="353" t="str">
        <f>IF($AN27&gt;CDS.Tenor,"-",_xlfn.NORM.S.DIST(($AR27-SQRT(Correlation1)*BL$3)/SQRT(1-Correlation1),TRUE))</f>
        <v>-</v>
      </c>
      <c r="BM27" s="353" t="str">
        <f>IF($AN27&gt;CDS.Tenor,"-",_xlfn.NORM.S.DIST(($AR27-SQRT(Correlation1)*BM$3)/SQRT(1-Correlation1),TRUE))</f>
        <v>-</v>
      </c>
      <c r="BN27" s="353" t="str">
        <f>IF($AN27&gt;CDS.Tenor,"-",_xlfn.NORM.S.DIST(($AR27-SQRT(Correlation1)*BN$3)/SQRT(1-Correlation1),TRUE))</f>
        <v>-</v>
      </c>
      <c r="BO27" s="354" t="str">
        <f>IF($AN27&gt;CDS.Tenor,"-",_xlfn.NORM.S.DIST(($AR27-SQRT(Correlation1)*BO$3)/SQRT(1-Correlation1),TRUE))</f>
        <v>-</v>
      </c>
      <c r="BQ27" s="358">
        <f t="shared" si="106"/>
        <v>5.75</v>
      </c>
      <c r="BR27" s="353" t="str">
        <f t="shared" si="107"/>
        <v>-</v>
      </c>
      <c r="BS27" s="353" t="str">
        <f t="shared" si="108"/>
        <v>-</v>
      </c>
      <c r="BT27" s="353" t="str">
        <f t="shared" si="109"/>
        <v>-</v>
      </c>
      <c r="BU27" s="353" t="str">
        <f t="shared" si="110"/>
        <v>-</v>
      </c>
      <c r="BV27" s="353" t="str">
        <f t="shared" si="111"/>
        <v>-</v>
      </c>
      <c r="BW27" s="353" t="str">
        <f t="shared" si="112"/>
        <v>-</v>
      </c>
      <c r="BX27" s="353" t="str">
        <f t="shared" si="113"/>
        <v>-</v>
      </c>
      <c r="BY27" s="353" t="str">
        <f t="shared" si="114"/>
        <v>-</v>
      </c>
      <c r="BZ27" s="353" t="str">
        <f t="shared" si="115"/>
        <v>-</v>
      </c>
      <c r="CA27" s="353" t="str">
        <f t="shared" si="116"/>
        <v>-</v>
      </c>
      <c r="CB27" s="353" t="str">
        <f t="shared" si="117"/>
        <v>-</v>
      </c>
      <c r="CC27" s="353" t="str">
        <f t="shared" si="118"/>
        <v>-</v>
      </c>
      <c r="CD27" s="353" t="str">
        <f t="shared" si="119"/>
        <v>-</v>
      </c>
      <c r="CE27" s="353" t="str">
        <f t="shared" si="120"/>
        <v>-</v>
      </c>
      <c r="CF27" s="353" t="str">
        <f t="shared" si="121"/>
        <v>-</v>
      </c>
      <c r="CG27" s="353" t="str">
        <f t="shared" si="122"/>
        <v>-</v>
      </c>
      <c r="CH27" s="353" t="str">
        <f t="shared" si="123"/>
        <v>-</v>
      </c>
      <c r="CI27" s="353" t="str">
        <f t="shared" si="124"/>
        <v>-</v>
      </c>
      <c r="CJ27" s="353" t="str">
        <f t="shared" si="125"/>
        <v>-</v>
      </c>
      <c r="CK27" s="353" t="str">
        <f t="shared" si="126"/>
        <v>-</v>
      </c>
      <c r="CL27" s="354" t="str">
        <f t="shared" si="127"/>
        <v>-</v>
      </c>
      <c r="CM27" s="17"/>
      <c r="CN27" s="17"/>
      <c r="CO27" s="343" t="str" cm="1">
        <f t="array" aca="1" ref="CO27" ca="1">IF($AN27&gt;CDS.Tenor,"-",flatInterpolation(AN27,INDIRECT(HazardRateTimes2),INDIRECT(HazardRateValues2)))</f>
        <v>-</v>
      </c>
      <c r="CP27" s="10" t="str">
        <f t="shared" si="128"/>
        <v>-</v>
      </c>
      <c r="CQ27" s="10" t="str">
        <f t="shared" si="129"/>
        <v>-</v>
      </c>
      <c r="CR27" s="81" t="str">
        <f t="shared" si="130"/>
        <v>-</v>
      </c>
      <c r="CT27" s="358">
        <f t="shared" si="131"/>
        <v>5.75</v>
      </c>
      <c r="CU27" s="353" t="str">
        <f>IF($AN27&gt;CDS.Tenor,"-",_xlfn.NORM.S.DIST(($CR27-SQRT(Correlation2)*CU$3)/SQRT(1-Correlation2),TRUE))</f>
        <v>-</v>
      </c>
      <c r="CV27" s="353" t="str">
        <f>IF($AN27&gt;CDS.Tenor,"-",_xlfn.NORM.S.DIST(($CR27-SQRT(Correlation2)*CV$3)/SQRT(1-Correlation2),TRUE))</f>
        <v>-</v>
      </c>
      <c r="CW27" s="353" t="str">
        <f>IF($AN27&gt;CDS.Tenor,"-",_xlfn.NORM.S.DIST(($CR27-SQRT(Correlation2)*CW$3)/SQRT(1-Correlation2),TRUE))</f>
        <v>-</v>
      </c>
      <c r="CX27" s="353" t="str">
        <f>IF($AN27&gt;CDS.Tenor,"-",_xlfn.NORM.S.DIST(($CR27-SQRT(Correlation2)*CX$3)/SQRT(1-Correlation2),TRUE))</f>
        <v>-</v>
      </c>
      <c r="CY27" s="353" t="str">
        <f>IF($AN27&gt;CDS.Tenor,"-",_xlfn.NORM.S.DIST(($CR27-SQRT(Correlation2)*CY$3)/SQRT(1-Correlation2),TRUE))</f>
        <v>-</v>
      </c>
      <c r="CZ27" s="353" t="str">
        <f>IF($AN27&gt;CDS.Tenor,"-",_xlfn.NORM.S.DIST(($CR27-SQRT(Correlation2)*CZ$3)/SQRT(1-Correlation2),TRUE))</f>
        <v>-</v>
      </c>
      <c r="DA27" s="353" t="str">
        <f>IF($AN27&gt;CDS.Tenor,"-",_xlfn.NORM.S.DIST(($CR27-SQRT(Correlation2)*DA$3)/SQRT(1-Correlation2),TRUE))</f>
        <v>-</v>
      </c>
      <c r="DB27" s="353" t="str">
        <f>IF($AN27&gt;CDS.Tenor,"-",_xlfn.NORM.S.DIST(($CR27-SQRT(Correlation2)*DB$3)/SQRT(1-Correlation2),TRUE))</f>
        <v>-</v>
      </c>
      <c r="DC27" s="353" t="str">
        <f>IF($AN27&gt;CDS.Tenor,"-",_xlfn.NORM.S.DIST(($CR27-SQRT(Correlation2)*DC$3)/SQRT(1-Correlation2),TRUE))</f>
        <v>-</v>
      </c>
      <c r="DD27" s="353" t="str">
        <f>IF($AN27&gt;CDS.Tenor,"-",_xlfn.NORM.S.DIST(($CR27-SQRT(Correlation2)*DD$3)/SQRT(1-Correlation2),TRUE))</f>
        <v>-</v>
      </c>
      <c r="DE27" s="353" t="str">
        <f>IF($AN27&gt;CDS.Tenor,"-",_xlfn.NORM.S.DIST(($CR27-SQRT(Correlation2)*DE$3)/SQRT(1-Correlation2),TRUE))</f>
        <v>-</v>
      </c>
      <c r="DF27" s="353" t="str">
        <f>IF($AN27&gt;CDS.Tenor,"-",_xlfn.NORM.S.DIST(($CR27-SQRT(Correlation2)*DF$3)/SQRT(1-Correlation2),TRUE))</f>
        <v>-</v>
      </c>
      <c r="DG27" s="353" t="str">
        <f>IF($AN27&gt;CDS.Tenor,"-",_xlfn.NORM.S.DIST(($CR27-SQRT(Correlation2)*DG$3)/SQRT(1-Correlation2),TRUE))</f>
        <v>-</v>
      </c>
      <c r="DH27" s="353" t="str">
        <f>IF($AN27&gt;CDS.Tenor,"-",_xlfn.NORM.S.DIST(($CR27-SQRT(Correlation2)*DH$3)/SQRT(1-Correlation2),TRUE))</f>
        <v>-</v>
      </c>
      <c r="DI27" s="353" t="str">
        <f>IF($AN27&gt;CDS.Tenor,"-",_xlfn.NORM.S.DIST(($CR27-SQRT(Correlation2)*DI$3)/SQRT(1-Correlation2),TRUE))</f>
        <v>-</v>
      </c>
      <c r="DJ27" s="353" t="str">
        <f>IF($AN27&gt;CDS.Tenor,"-",_xlfn.NORM.S.DIST(($CR27-SQRT(Correlation2)*DJ$3)/SQRT(1-Correlation2),TRUE))</f>
        <v>-</v>
      </c>
      <c r="DK27" s="353" t="str">
        <f>IF($AN27&gt;CDS.Tenor,"-",_xlfn.NORM.S.DIST(($CR27-SQRT(Correlation2)*DK$3)/SQRT(1-Correlation2),TRUE))</f>
        <v>-</v>
      </c>
      <c r="DL27" s="353" t="str">
        <f>IF($AN27&gt;CDS.Tenor,"-",_xlfn.NORM.S.DIST(($CR27-SQRT(Correlation2)*DL$3)/SQRT(1-Correlation2),TRUE))</f>
        <v>-</v>
      </c>
      <c r="DM27" s="353" t="str">
        <f>IF($AN27&gt;CDS.Tenor,"-",_xlfn.NORM.S.DIST(($CR27-SQRT(Correlation2)*DM$3)/SQRT(1-Correlation2),TRUE))</f>
        <v>-</v>
      </c>
      <c r="DN27" s="353" t="str">
        <f>IF($AN27&gt;CDS.Tenor,"-",_xlfn.NORM.S.DIST(($CR27-SQRT(Correlation2)*DN$3)/SQRT(1-Correlation2),TRUE))</f>
        <v>-</v>
      </c>
      <c r="DO27" s="354" t="str">
        <f>IF($AN27&gt;CDS.Tenor,"-",_xlfn.NORM.S.DIST(($CR27-SQRT(Correlation2)*DO$3)/SQRT(1-Correlation2),TRUE))</f>
        <v>-</v>
      </c>
      <c r="DQ27" s="358">
        <f t="shared" si="132"/>
        <v>5.75</v>
      </c>
      <c r="DR27" s="353" t="str">
        <f t="shared" si="133"/>
        <v>-</v>
      </c>
      <c r="DS27" s="353" t="str">
        <f t="shared" si="134"/>
        <v>-</v>
      </c>
      <c r="DT27" s="353" t="str">
        <f t="shared" si="135"/>
        <v>-</v>
      </c>
      <c r="DU27" s="353" t="str">
        <f t="shared" si="136"/>
        <v>-</v>
      </c>
      <c r="DV27" s="353" t="str">
        <f t="shared" si="137"/>
        <v>-</v>
      </c>
      <c r="DW27" s="353" t="str">
        <f t="shared" si="138"/>
        <v>-</v>
      </c>
      <c r="DX27" s="353" t="str">
        <f t="shared" si="139"/>
        <v>-</v>
      </c>
      <c r="DY27" s="353" t="str">
        <f t="shared" si="140"/>
        <v>-</v>
      </c>
      <c r="DZ27" s="353" t="str">
        <f t="shared" si="141"/>
        <v>-</v>
      </c>
      <c r="EA27" s="353" t="str">
        <f t="shared" si="142"/>
        <v>-</v>
      </c>
      <c r="EB27" s="353" t="str">
        <f t="shared" si="143"/>
        <v>-</v>
      </c>
      <c r="EC27" s="353" t="str">
        <f t="shared" si="144"/>
        <v>-</v>
      </c>
      <c r="ED27" s="353" t="str">
        <f t="shared" si="145"/>
        <v>-</v>
      </c>
      <c r="EE27" s="353" t="str">
        <f t="shared" si="146"/>
        <v>-</v>
      </c>
      <c r="EF27" s="353" t="str">
        <f t="shared" si="147"/>
        <v>-</v>
      </c>
      <c r="EG27" s="353" t="str">
        <f t="shared" si="148"/>
        <v>-</v>
      </c>
      <c r="EH27" s="353" t="str">
        <f t="shared" si="149"/>
        <v>-</v>
      </c>
      <c r="EI27" s="353" t="str">
        <f t="shared" si="150"/>
        <v>-</v>
      </c>
      <c r="EJ27" s="353" t="str">
        <f t="shared" si="151"/>
        <v>-</v>
      </c>
      <c r="EK27" s="353" t="str">
        <f t="shared" si="152"/>
        <v>-</v>
      </c>
      <c r="EL27" s="354" t="str">
        <f t="shared" si="153"/>
        <v>-</v>
      </c>
      <c r="EM27" s="17"/>
      <c r="EN27" s="17"/>
      <c r="EO27" s="343" t="str" cm="1">
        <f t="array" aca="1" ref="EO27" ca="1">IF($AN27&gt;CDS.Tenor,"-",flatInterpolation(CP27,INDIRECT(HazardRateTimes3),INDIRECT(HazardRateValues3)))</f>
        <v>-</v>
      </c>
      <c r="EP27" s="10" t="str">
        <f t="shared" si="154"/>
        <v>-</v>
      </c>
      <c r="EQ27" s="10" t="str">
        <f t="shared" si="155"/>
        <v>-</v>
      </c>
      <c r="ER27" s="81" t="str">
        <f t="shared" si="156"/>
        <v>-</v>
      </c>
      <c r="ET27" s="358">
        <f t="shared" si="157"/>
        <v>5.75</v>
      </c>
      <c r="EU27" s="353" t="str">
        <f>IF($AN27&gt;CDS.Tenor,"-",_xlfn.NORM.S.DIST(($ER27-SQRT(Correlation3)*EU$3)/SQRT(1-Correlation3),TRUE))</f>
        <v>-</v>
      </c>
      <c r="EV27" s="353" t="str">
        <f>IF($AN27&gt;CDS.Tenor,"-",_xlfn.NORM.S.DIST(($ER27-SQRT(Correlation3)*EV$3)/SQRT(1-Correlation3),TRUE))</f>
        <v>-</v>
      </c>
      <c r="EW27" s="353" t="str">
        <f>IF($AN27&gt;CDS.Tenor,"-",_xlfn.NORM.S.DIST(($ER27-SQRT(Correlation3)*EW$3)/SQRT(1-Correlation3),TRUE))</f>
        <v>-</v>
      </c>
      <c r="EX27" s="353" t="str">
        <f>IF($AN27&gt;CDS.Tenor,"-",_xlfn.NORM.S.DIST(($ER27-SQRT(Correlation3)*EX$3)/SQRT(1-Correlation3),TRUE))</f>
        <v>-</v>
      </c>
      <c r="EY27" s="353" t="str">
        <f>IF($AN27&gt;CDS.Tenor,"-",_xlfn.NORM.S.DIST(($ER27-SQRT(Correlation3)*EY$3)/SQRT(1-Correlation3),TRUE))</f>
        <v>-</v>
      </c>
      <c r="EZ27" s="353" t="str">
        <f>IF($AN27&gt;CDS.Tenor,"-",_xlfn.NORM.S.DIST(($ER27-SQRT(Correlation3)*EZ$3)/SQRT(1-Correlation3),TRUE))</f>
        <v>-</v>
      </c>
      <c r="FA27" s="353" t="str">
        <f>IF($AN27&gt;CDS.Tenor,"-",_xlfn.NORM.S.DIST(($ER27-SQRT(Correlation3)*FA$3)/SQRT(1-Correlation3),TRUE))</f>
        <v>-</v>
      </c>
      <c r="FB27" s="353" t="str">
        <f>IF($AN27&gt;CDS.Tenor,"-",_xlfn.NORM.S.DIST(($ER27-SQRT(Correlation3)*FB$3)/SQRT(1-Correlation3),TRUE))</f>
        <v>-</v>
      </c>
      <c r="FC27" s="353" t="str">
        <f>IF($AN27&gt;CDS.Tenor,"-",_xlfn.NORM.S.DIST(($ER27-SQRT(Correlation3)*FC$3)/SQRT(1-Correlation3),TRUE))</f>
        <v>-</v>
      </c>
      <c r="FD27" s="353" t="str">
        <f>IF($AN27&gt;CDS.Tenor,"-",_xlfn.NORM.S.DIST(($ER27-SQRT(Correlation3)*FD$3)/SQRT(1-Correlation3),TRUE))</f>
        <v>-</v>
      </c>
      <c r="FE27" s="353" t="str">
        <f>IF($AN27&gt;CDS.Tenor,"-",_xlfn.NORM.S.DIST(($ER27-SQRT(Correlation3)*FE$3)/SQRT(1-Correlation3),TRUE))</f>
        <v>-</v>
      </c>
      <c r="FF27" s="353" t="str">
        <f>IF($AN27&gt;CDS.Tenor,"-",_xlfn.NORM.S.DIST(($ER27-SQRT(Correlation3)*FF$3)/SQRT(1-Correlation3),TRUE))</f>
        <v>-</v>
      </c>
      <c r="FG27" s="353" t="str">
        <f>IF($AN27&gt;CDS.Tenor,"-",_xlfn.NORM.S.DIST(($ER27-SQRT(Correlation3)*FG$3)/SQRT(1-Correlation3),TRUE))</f>
        <v>-</v>
      </c>
      <c r="FH27" s="353" t="str">
        <f>IF($AN27&gt;CDS.Tenor,"-",_xlfn.NORM.S.DIST(($ER27-SQRT(Correlation3)*FH$3)/SQRT(1-Correlation3),TRUE))</f>
        <v>-</v>
      </c>
      <c r="FI27" s="353" t="str">
        <f>IF($AN27&gt;CDS.Tenor,"-",_xlfn.NORM.S.DIST(($ER27-SQRT(Correlation3)*FI$3)/SQRT(1-Correlation3),TRUE))</f>
        <v>-</v>
      </c>
      <c r="FJ27" s="353" t="str">
        <f>IF($AN27&gt;CDS.Tenor,"-",_xlfn.NORM.S.DIST(($ER27-SQRT(Correlation3)*FJ$3)/SQRT(1-Correlation3),TRUE))</f>
        <v>-</v>
      </c>
      <c r="FK27" s="353" t="str">
        <f>IF($AN27&gt;CDS.Tenor,"-",_xlfn.NORM.S.DIST(($ER27-SQRT(Correlation3)*FK$3)/SQRT(1-Correlation3),TRUE))</f>
        <v>-</v>
      </c>
      <c r="FL27" s="353" t="str">
        <f>IF($AN27&gt;CDS.Tenor,"-",_xlfn.NORM.S.DIST(($ER27-SQRT(Correlation3)*FL$3)/SQRT(1-Correlation3),TRUE))</f>
        <v>-</v>
      </c>
      <c r="FM27" s="353" t="str">
        <f>IF($AN27&gt;CDS.Tenor,"-",_xlfn.NORM.S.DIST(($ER27-SQRT(Correlation3)*FM$3)/SQRT(1-Correlation3),TRUE))</f>
        <v>-</v>
      </c>
      <c r="FN27" s="353" t="str">
        <f>IF($AN27&gt;CDS.Tenor,"-",_xlfn.NORM.S.DIST(($ER27-SQRT(Correlation3)*FN$3)/SQRT(1-Correlation3),TRUE))</f>
        <v>-</v>
      </c>
      <c r="FO27" s="354" t="str">
        <f>IF($AN27&gt;CDS.Tenor,"-",_xlfn.NORM.S.DIST(($ER27-SQRT(Correlation3)*FO$3)/SQRT(1-Correlation3),TRUE))</f>
        <v>-</v>
      </c>
      <c r="FQ27" s="358">
        <f t="shared" si="158"/>
        <v>5.75</v>
      </c>
      <c r="FR27" s="353" t="str">
        <f t="shared" si="159"/>
        <v>-</v>
      </c>
      <c r="FS27" s="353" t="str">
        <f t="shared" si="160"/>
        <v>-</v>
      </c>
      <c r="FT27" s="353" t="str">
        <f t="shared" si="161"/>
        <v>-</v>
      </c>
      <c r="FU27" s="353" t="str">
        <f t="shared" si="162"/>
        <v>-</v>
      </c>
      <c r="FV27" s="353" t="str">
        <f t="shared" si="163"/>
        <v>-</v>
      </c>
      <c r="FW27" s="353" t="str">
        <f t="shared" si="164"/>
        <v>-</v>
      </c>
      <c r="FX27" s="353" t="str">
        <f t="shared" si="165"/>
        <v>-</v>
      </c>
      <c r="FY27" s="353" t="str">
        <f t="shared" si="166"/>
        <v>-</v>
      </c>
      <c r="FZ27" s="353" t="str">
        <f t="shared" si="167"/>
        <v>-</v>
      </c>
      <c r="GA27" s="353" t="str">
        <f t="shared" si="168"/>
        <v>-</v>
      </c>
      <c r="GB27" s="353" t="str">
        <f t="shared" si="169"/>
        <v>-</v>
      </c>
      <c r="GC27" s="353" t="str">
        <f t="shared" si="170"/>
        <v>-</v>
      </c>
      <c r="GD27" s="353" t="str">
        <f t="shared" si="171"/>
        <v>-</v>
      </c>
      <c r="GE27" s="353" t="str">
        <f t="shared" si="172"/>
        <v>-</v>
      </c>
      <c r="GF27" s="353" t="str">
        <f t="shared" si="173"/>
        <v>-</v>
      </c>
      <c r="GG27" s="353" t="str">
        <f t="shared" si="174"/>
        <v>-</v>
      </c>
      <c r="GH27" s="353" t="str">
        <f t="shared" si="175"/>
        <v>-</v>
      </c>
      <c r="GI27" s="353" t="str">
        <f t="shared" si="176"/>
        <v>-</v>
      </c>
      <c r="GJ27" s="353" t="str">
        <f t="shared" si="177"/>
        <v>-</v>
      </c>
      <c r="GK27" s="353" t="str">
        <f t="shared" si="178"/>
        <v>-</v>
      </c>
      <c r="GL27" s="354" t="str">
        <f t="shared" si="179"/>
        <v>-</v>
      </c>
      <c r="GO27" s="358">
        <f t="shared" si="180"/>
        <v>5.75</v>
      </c>
      <c r="GP27" s="353" t="str">
        <f t="shared" si="181"/>
        <v>-</v>
      </c>
      <c r="GQ27" s="353" t="str">
        <f t="shared" si="182"/>
        <v>-</v>
      </c>
      <c r="GR27" s="353" t="str">
        <f t="shared" si="183"/>
        <v>-</v>
      </c>
      <c r="GS27" s="353" t="str">
        <f t="shared" si="184"/>
        <v>-</v>
      </c>
      <c r="GT27" s="353" t="str">
        <f t="shared" si="185"/>
        <v>-</v>
      </c>
      <c r="GU27" s="353" t="str">
        <f t="shared" si="186"/>
        <v>-</v>
      </c>
      <c r="GV27" s="353" t="str">
        <f t="shared" si="187"/>
        <v>-</v>
      </c>
      <c r="GW27" s="353" t="str">
        <f t="shared" si="188"/>
        <v>-</v>
      </c>
      <c r="GX27" s="353" t="str">
        <f t="shared" si="189"/>
        <v>-</v>
      </c>
      <c r="GY27" s="353" t="str">
        <f t="shared" si="190"/>
        <v>-</v>
      </c>
      <c r="GZ27" s="353" t="str">
        <f t="shared" si="191"/>
        <v>-</v>
      </c>
      <c r="HA27" s="353" t="str">
        <f t="shared" si="192"/>
        <v>-</v>
      </c>
      <c r="HB27" s="353" t="str">
        <f t="shared" si="193"/>
        <v>-</v>
      </c>
      <c r="HC27" s="353" t="str">
        <f t="shared" si="194"/>
        <v>-</v>
      </c>
      <c r="HD27" s="353" t="str">
        <f t="shared" si="195"/>
        <v>-</v>
      </c>
      <c r="HE27" s="353" t="str">
        <f t="shared" si="196"/>
        <v>-</v>
      </c>
      <c r="HF27" s="353" t="str">
        <f t="shared" si="197"/>
        <v>-</v>
      </c>
      <c r="HG27" s="353" t="str">
        <f t="shared" si="198"/>
        <v>-</v>
      </c>
      <c r="HH27" s="353" t="str">
        <f t="shared" si="199"/>
        <v>-</v>
      </c>
      <c r="HI27" s="353" t="str">
        <f t="shared" si="200"/>
        <v>-</v>
      </c>
      <c r="HJ27" s="354" t="str">
        <f t="shared" si="201"/>
        <v>-</v>
      </c>
      <c r="HK27" s="42"/>
      <c r="HL27" s="42"/>
      <c r="HM27" s="358">
        <f t="shared" si="202"/>
        <v>5.75</v>
      </c>
      <c r="HN27" s="362" t="str">
        <f t="shared" si="203"/>
        <v>-</v>
      </c>
      <c r="HO27" s="363" t="str">
        <f t="shared" si="204"/>
        <v>-</v>
      </c>
    </row>
    <row r="28" spans="2:223" x14ac:dyDescent="0.3">
      <c r="V28" s="370">
        <f t="shared" si="89"/>
        <v>6</v>
      </c>
      <c r="W28" s="371" t="str">
        <f t="shared" si="90"/>
        <v>-</v>
      </c>
      <c r="X28" s="348" t="str">
        <f t="shared" si="91"/>
        <v>-</v>
      </c>
      <c r="Y28" s="348" t="str">
        <f t="shared" si="92"/>
        <v>-</v>
      </c>
      <c r="Z28" s="372" t="str" cm="1">
        <f t="array" ref="Z28">IF($V28&gt;CDS.Tenor,"-",cubicInterpolation(CurveResults.Times,CurveResults.DFs,$V28))</f>
        <v>-</v>
      </c>
      <c r="AA28" s="371" t="str">
        <f t="shared" si="93"/>
        <v>-</v>
      </c>
      <c r="AB28" s="371" t="str">
        <f t="shared" si="94"/>
        <v>-</v>
      </c>
      <c r="AC28" s="373" t="str">
        <f t="shared" si="95"/>
        <v>-</v>
      </c>
      <c r="AF28" s="370">
        <f t="shared" si="96"/>
        <v>6</v>
      </c>
      <c r="AG28" s="371" t="str">
        <f t="shared" si="97"/>
        <v>-</v>
      </c>
      <c r="AH28" s="348" t="str">
        <f t="shared" si="98"/>
        <v>-</v>
      </c>
      <c r="AI28" s="348" t="str">
        <f t="shared" si="99"/>
        <v>-</v>
      </c>
      <c r="AJ28" s="372" t="str" cm="1">
        <f t="array" ref="AJ28">IF($AF28&gt;CDS.Tenor,"-",cubicInterpolation(CurveResults.Times,CurveResults.DFs,$V28))</f>
        <v>-</v>
      </c>
      <c r="AK28" s="373" t="str">
        <f t="shared" si="100"/>
        <v>-</v>
      </c>
      <c r="AN28" s="358">
        <f t="shared" si="101"/>
        <v>6</v>
      </c>
      <c r="AO28" s="343" t="str" cm="1">
        <f t="array" aca="1" ref="AO28" ca="1">IF($AN28&gt;CDS.Tenor,"-",flatInterpolation(AM28,INDIRECT(HazardRateTimes1),INDIRECT(HazardRateValues1)))</f>
        <v>-</v>
      </c>
      <c r="AP28" s="10" t="str">
        <f t="shared" si="102"/>
        <v>-</v>
      </c>
      <c r="AQ28" s="10" t="str">
        <f t="shared" si="103"/>
        <v>-</v>
      </c>
      <c r="AR28" s="81" t="str">
        <f t="shared" si="104"/>
        <v>-</v>
      </c>
      <c r="AT28" s="358">
        <f t="shared" si="105"/>
        <v>6</v>
      </c>
      <c r="AU28" s="353" t="str">
        <f>IF($AN28&gt;CDS.Tenor,"-",_xlfn.NORM.S.DIST(($AR28-SQRT(Correlation1)*AU$3)/SQRT(1-Correlation1),TRUE))</f>
        <v>-</v>
      </c>
      <c r="AV28" s="353" t="str">
        <f>IF($AN28&gt;CDS.Tenor,"-",_xlfn.NORM.S.DIST(($AR28-SQRT(Correlation1)*AV$3)/SQRT(1-Correlation1),TRUE))</f>
        <v>-</v>
      </c>
      <c r="AW28" s="353" t="str">
        <f>IF($AN28&gt;CDS.Tenor,"-",_xlfn.NORM.S.DIST(($AR28-SQRT(Correlation1)*AW$3)/SQRT(1-Correlation1),TRUE))</f>
        <v>-</v>
      </c>
      <c r="AX28" s="353" t="str">
        <f>IF($AN28&gt;CDS.Tenor,"-",_xlfn.NORM.S.DIST(($AR28-SQRT(Correlation1)*AX$3)/SQRT(1-Correlation1),TRUE))</f>
        <v>-</v>
      </c>
      <c r="AY28" s="353" t="str">
        <f>IF($AN28&gt;CDS.Tenor,"-",_xlfn.NORM.S.DIST(($AR28-SQRT(Correlation1)*AY$3)/SQRT(1-Correlation1),TRUE))</f>
        <v>-</v>
      </c>
      <c r="AZ28" s="353" t="str">
        <f>IF($AN28&gt;CDS.Tenor,"-",_xlfn.NORM.S.DIST(($AR28-SQRT(Correlation1)*AZ$3)/SQRT(1-Correlation1),TRUE))</f>
        <v>-</v>
      </c>
      <c r="BA28" s="353" t="str">
        <f>IF($AN28&gt;CDS.Tenor,"-",_xlfn.NORM.S.DIST(($AR28-SQRT(Correlation1)*BA$3)/SQRT(1-Correlation1),TRUE))</f>
        <v>-</v>
      </c>
      <c r="BB28" s="353" t="str">
        <f>IF($AN28&gt;CDS.Tenor,"-",_xlfn.NORM.S.DIST(($AR28-SQRT(Correlation1)*BB$3)/SQRT(1-Correlation1),TRUE))</f>
        <v>-</v>
      </c>
      <c r="BC28" s="353" t="str">
        <f>IF($AN28&gt;CDS.Tenor,"-",_xlfn.NORM.S.DIST(($AR28-SQRT(Correlation1)*BC$3)/SQRT(1-Correlation1),TRUE))</f>
        <v>-</v>
      </c>
      <c r="BD28" s="353" t="str">
        <f>IF($AN28&gt;CDS.Tenor,"-",_xlfn.NORM.S.DIST(($AR28-SQRT(Correlation1)*BD$3)/SQRT(1-Correlation1),TRUE))</f>
        <v>-</v>
      </c>
      <c r="BE28" s="353" t="str">
        <f>IF($AN28&gt;CDS.Tenor,"-",_xlfn.NORM.S.DIST(($AR28-SQRT(Correlation1)*BE$3)/SQRT(1-Correlation1),TRUE))</f>
        <v>-</v>
      </c>
      <c r="BF28" s="353" t="str">
        <f>IF($AN28&gt;CDS.Tenor,"-",_xlfn.NORM.S.DIST(($AR28-SQRT(Correlation1)*BF$3)/SQRT(1-Correlation1),TRUE))</f>
        <v>-</v>
      </c>
      <c r="BG28" s="353" t="str">
        <f>IF($AN28&gt;CDS.Tenor,"-",_xlfn.NORM.S.DIST(($AR28-SQRT(Correlation1)*BG$3)/SQRT(1-Correlation1),TRUE))</f>
        <v>-</v>
      </c>
      <c r="BH28" s="353" t="str">
        <f>IF($AN28&gt;CDS.Tenor,"-",_xlfn.NORM.S.DIST(($AR28-SQRT(Correlation1)*BH$3)/SQRT(1-Correlation1),TRUE))</f>
        <v>-</v>
      </c>
      <c r="BI28" s="353" t="str">
        <f>IF($AN28&gt;CDS.Tenor,"-",_xlfn.NORM.S.DIST(($AR28-SQRT(Correlation1)*BI$3)/SQRT(1-Correlation1),TRUE))</f>
        <v>-</v>
      </c>
      <c r="BJ28" s="353" t="str">
        <f>IF($AN28&gt;CDS.Tenor,"-",_xlfn.NORM.S.DIST(($AR28-SQRT(Correlation1)*BJ$3)/SQRT(1-Correlation1),TRUE))</f>
        <v>-</v>
      </c>
      <c r="BK28" s="353" t="str">
        <f>IF($AN28&gt;CDS.Tenor,"-",_xlfn.NORM.S.DIST(($AR28-SQRT(Correlation1)*BK$3)/SQRT(1-Correlation1),TRUE))</f>
        <v>-</v>
      </c>
      <c r="BL28" s="353" t="str">
        <f>IF($AN28&gt;CDS.Tenor,"-",_xlfn.NORM.S.DIST(($AR28-SQRT(Correlation1)*BL$3)/SQRT(1-Correlation1),TRUE))</f>
        <v>-</v>
      </c>
      <c r="BM28" s="353" t="str">
        <f>IF($AN28&gt;CDS.Tenor,"-",_xlfn.NORM.S.DIST(($AR28-SQRT(Correlation1)*BM$3)/SQRT(1-Correlation1),TRUE))</f>
        <v>-</v>
      </c>
      <c r="BN28" s="353" t="str">
        <f>IF($AN28&gt;CDS.Tenor,"-",_xlfn.NORM.S.DIST(($AR28-SQRT(Correlation1)*BN$3)/SQRT(1-Correlation1),TRUE))</f>
        <v>-</v>
      </c>
      <c r="BO28" s="354" t="str">
        <f>IF($AN28&gt;CDS.Tenor,"-",_xlfn.NORM.S.DIST(($AR28-SQRT(Correlation1)*BO$3)/SQRT(1-Correlation1),TRUE))</f>
        <v>-</v>
      </c>
      <c r="BQ28" s="358">
        <f t="shared" si="106"/>
        <v>6</v>
      </c>
      <c r="BR28" s="353" t="str">
        <f t="shared" si="107"/>
        <v>-</v>
      </c>
      <c r="BS28" s="353" t="str">
        <f t="shared" si="108"/>
        <v>-</v>
      </c>
      <c r="BT28" s="353" t="str">
        <f t="shared" si="109"/>
        <v>-</v>
      </c>
      <c r="BU28" s="353" t="str">
        <f t="shared" si="110"/>
        <v>-</v>
      </c>
      <c r="BV28" s="353" t="str">
        <f t="shared" si="111"/>
        <v>-</v>
      </c>
      <c r="BW28" s="353" t="str">
        <f t="shared" si="112"/>
        <v>-</v>
      </c>
      <c r="BX28" s="353" t="str">
        <f t="shared" si="113"/>
        <v>-</v>
      </c>
      <c r="BY28" s="353" t="str">
        <f t="shared" si="114"/>
        <v>-</v>
      </c>
      <c r="BZ28" s="353" t="str">
        <f t="shared" si="115"/>
        <v>-</v>
      </c>
      <c r="CA28" s="353" t="str">
        <f t="shared" si="116"/>
        <v>-</v>
      </c>
      <c r="CB28" s="353" t="str">
        <f t="shared" si="117"/>
        <v>-</v>
      </c>
      <c r="CC28" s="353" t="str">
        <f t="shared" si="118"/>
        <v>-</v>
      </c>
      <c r="CD28" s="353" t="str">
        <f t="shared" si="119"/>
        <v>-</v>
      </c>
      <c r="CE28" s="353" t="str">
        <f t="shared" si="120"/>
        <v>-</v>
      </c>
      <c r="CF28" s="353" t="str">
        <f t="shared" si="121"/>
        <v>-</v>
      </c>
      <c r="CG28" s="353" t="str">
        <f t="shared" si="122"/>
        <v>-</v>
      </c>
      <c r="CH28" s="353" t="str">
        <f t="shared" si="123"/>
        <v>-</v>
      </c>
      <c r="CI28" s="353" t="str">
        <f t="shared" si="124"/>
        <v>-</v>
      </c>
      <c r="CJ28" s="353" t="str">
        <f t="shared" si="125"/>
        <v>-</v>
      </c>
      <c r="CK28" s="353" t="str">
        <f t="shared" si="126"/>
        <v>-</v>
      </c>
      <c r="CL28" s="354" t="str">
        <f t="shared" si="127"/>
        <v>-</v>
      </c>
      <c r="CM28" s="17"/>
      <c r="CN28" s="17"/>
      <c r="CO28" s="343" t="str" cm="1">
        <f t="array" aca="1" ref="CO28" ca="1">IF($AN28&gt;CDS.Tenor,"-",flatInterpolation(AN28,INDIRECT(HazardRateTimes2),INDIRECT(HazardRateValues2)))</f>
        <v>-</v>
      </c>
      <c r="CP28" s="10" t="str">
        <f t="shared" si="128"/>
        <v>-</v>
      </c>
      <c r="CQ28" s="10" t="str">
        <f t="shared" si="129"/>
        <v>-</v>
      </c>
      <c r="CR28" s="81" t="str">
        <f t="shared" si="130"/>
        <v>-</v>
      </c>
      <c r="CT28" s="358">
        <f t="shared" si="131"/>
        <v>6</v>
      </c>
      <c r="CU28" s="353" t="str">
        <f>IF($AN28&gt;CDS.Tenor,"-",_xlfn.NORM.S.DIST(($CR28-SQRT(Correlation2)*CU$3)/SQRT(1-Correlation2),TRUE))</f>
        <v>-</v>
      </c>
      <c r="CV28" s="353" t="str">
        <f>IF($AN28&gt;CDS.Tenor,"-",_xlfn.NORM.S.DIST(($CR28-SQRT(Correlation2)*CV$3)/SQRT(1-Correlation2),TRUE))</f>
        <v>-</v>
      </c>
      <c r="CW28" s="353" t="str">
        <f>IF($AN28&gt;CDS.Tenor,"-",_xlfn.NORM.S.DIST(($CR28-SQRT(Correlation2)*CW$3)/SQRT(1-Correlation2),TRUE))</f>
        <v>-</v>
      </c>
      <c r="CX28" s="353" t="str">
        <f>IF($AN28&gt;CDS.Tenor,"-",_xlfn.NORM.S.DIST(($CR28-SQRT(Correlation2)*CX$3)/SQRT(1-Correlation2),TRUE))</f>
        <v>-</v>
      </c>
      <c r="CY28" s="353" t="str">
        <f>IF($AN28&gt;CDS.Tenor,"-",_xlfn.NORM.S.DIST(($CR28-SQRT(Correlation2)*CY$3)/SQRT(1-Correlation2),TRUE))</f>
        <v>-</v>
      </c>
      <c r="CZ28" s="353" t="str">
        <f>IF($AN28&gt;CDS.Tenor,"-",_xlfn.NORM.S.DIST(($CR28-SQRT(Correlation2)*CZ$3)/SQRT(1-Correlation2),TRUE))</f>
        <v>-</v>
      </c>
      <c r="DA28" s="353" t="str">
        <f>IF($AN28&gt;CDS.Tenor,"-",_xlfn.NORM.S.DIST(($CR28-SQRT(Correlation2)*DA$3)/SQRT(1-Correlation2),TRUE))</f>
        <v>-</v>
      </c>
      <c r="DB28" s="353" t="str">
        <f>IF($AN28&gt;CDS.Tenor,"-",_xlfn.NORM.S.DIST(($CR28-SQRT(Correlation2)*DB$3)/SQRT(1-Correlation2),TRUE))</f>
        <v>-</v>
      </c>
      <c r="DC28" s="353" t="str">
        <f>IF($AN28&gt;CDS.Tenor,"-",_xlfn.NORM.S.DIST(($CR28-SQRT(Correlation2)*DC$3)/SQRT(1-Correlation2),TRUE))</f>
        <v>-</v>
      </c>
      <c r="DD28" s="353" t="str">
        <f>IF($AN28&gt;CDS.Tenor,"-",_xlfn.NORM.S.DIST(($CR28-SQRT(Correlation2)*DD$3)/SQRT(1-Correlation2),TRUE))</f>
        <v>-</v>
      </c>
      <c r="DE28" s="353" t="str">
        <f>IF($AN28&gt;CDS.Tenor,"-",_xlfn.NORM.S.DIST(($CR28-SQRT(Correlation2)*DE$3)/SQRT(1-Correlation2),TRUE))</f>
        <v>-</v>
      </c>
      <c r="DF28" s="353" t="str">
        <f>IF($AN28&gt;CDS.Tenor,"-",_xlfn.NORM.S.DIST(($CR28-SQRT(Correlation2)*DF$3)/SQRT(1-Correlation2),TRUE))</f>
        <v>-</v>
      </c>
      <c r="DG28" s="353" t="str">
        <f>IF($AN28&gt;CDS.Tenor,"-",_xlfn.NORM.S.DIST(($CR28-SQRT(Correlation2)*DG$3)/SQRT(1-Correlation2),TRUE))</f>
        <v>-</v>
      </c>
      <c r="DH28" s="353" t="str">
        <f>IF($AN28&gt;CDS.Tenor,"-",_xlfn.NORM.S.DIST(($CR28-SQRT(Correlation2)*DH$3)/SQRT(1-Correlation2),TRUE))</f>
        <v>-</v>
      </c>
      <c r="DI28" s="353" t="str">
        <f>IF($AN28&gt;CDS.Tenor,"-",_xlfn.NORM.S.DIST(($CR28-SQRT(Correlation2)*DI$3)/SQRT(1-Correlation2),TRUE))</f>
        <v>-</v>
      </c>
      <c r="DJ28" s="353" t="str">
        <f>IF($AN28&gt;CDS.Tenor,"-",_xlfn.NORM.S.DIST(($CR28-SQRT(Correlation2)*DJ$3)/SQRT(1-Correlation2),TRUE))</f>
        <v>-</v>
      </c>
      <c r="DK28" s="353" t="str">
        <f>IF($AN28&gt;CDS.Tenor,"-",_xlfn.NORM.S.DIST(($CR28-SQRT(Correlation2)*DK$3)/SQRT(1-Correlation2),TRUE))</f>
        <v>-</v>
      </c>
      <c r="DL28" s="353" t="str">
        <f>IF($AN28&gt;CDS.Tenor,"-",_xlfn.NORM.S.DIST(($CR28-SQRT(Correlation2)*DL$3)/SQRT(1-Correlation2),TRUE))</f>
        <v>-</v>
      </c>
      <c r="DM28" s="353" t="str">
        <f>IF($AN28&gt;CDS.Tenor,"-",_xlfn.NORM.S.DIST(($CR28-SQRT(Correlation2)*DM$3)/SQRT(1-Correlation2),TRUE))</f>
        <v>-</v>
      </c>
      <c r="DN28" s="353" t="str">
        <f>IF($AN28&gt;CDS.Tenor,"-",_xlfn.NORM.S.DIST(($CR28-SQRT(Correlation2)*DN$3)/SQRT(1-Correlation2),TRUE))</f>
        <v>-</v>
      </c>
      <c r="DO28" s="354" t="str">
        <f>IF($AN28&gt;CDS.Tenor,"-",_xlfn.NORM.S.DIST(($CR28-SQRT(Correlation2)*DO$3)/SQRT(1-Correlation2),TRUE))</f>
        <v>-</v>
      </c>
      <c r="DQ28" s="358">
        <f t="shared" si="132"/>
        <v>6</v>
      </c>
      <c r="DR28" s="353" t="str">
        <f t="shared" si="133"/>
        <v>-</v>
      </c>
      <c r="DS28" s="353" t="str">
        <f t="shared" si="134"/>
        <v>-</v>
      </c>
      <c r="DT28" s="353" t="str">
        <f t="shared" si="135"/>
        <v>-</v>
      </c>
      <c r="DU28" s="353" t="str">
        <f t="shared" si="136"/>
        <v>-</v>
      </c>
      <c r="DV28" s="353" t="str">
        <f t="shared" si="137"/>
        <v>-</v>
      </c>
      <c r="DW28" s="353" t="str">
        <f t="shared" si="138"/>
        <v>-</v>
      </c>
      <c r="DX28" s="353" t="str">
        <f t="shared" si="139"/>
        <v>-</v>
      </c>
      <c r="DY28" s="353" t="str">
        <f t="shared" si="140"/>
        <v>-</v>
      </c>
      <c r="DZ28" s="353" t="str">
        <f t="shared" si="141"/>
        <v>-</v>
      </c>
      <c r="EA28" s="353" t="str">
        <f t="shared" si="142"/>
        <v>-</v>
      </c>
      <c r="EB28" s="353" t="str">
        <f t="shared" si="143"/>
        <v>-</v>
      </c>
      <c r="EC28" s="353" t="str">
        <f t="shared" si="144"/>
        <v>-</v>
      </c>
      <c r="ED28" s="353" t="str">
        <f t="shared" si="145"/>
        <v>-</v>
      </c>
      <c r="EE28" s="353" t="str">
        <f t="shared" si="146"/>
        <v>-</v>
      </c>
      <c r="EF28" s="353" t="str">
        <f t="shared" si="147"/>
        <v>-</v>
      </c>
      <c r="EG28" s="353" t="str">
        <f t="shared" si="148"/>
        <v>-</v>
      </c>
      <c r="EH28" s="353" t="str">
        <f t="shared" si="149"/>
        <v>-</v>
      </c>
      <c r="EI28" s="353" t="str">
        <f t="shared" si="150"/>
        <v>-</v>
      </c>
      <c r="EJ28" s="353" t="str">
        <f t="shared" si="151"/>
        <v>-</v>
      </c>
      <c r="EK28" s="353" t="str">
        <f t="shared" si="152"/>
        <v>-</v>
      </c>
      <c r="EL28" s="354" t="str">
        <f t="shared" si="153"/>
        <v>-</v>
      </c>
      <c r="EM28" s="17"/>
      <c r="EN28" s="17"/>
      <c r="EO28" s="343" t="str" cm="1">
        <f t="array" aca="1" ref="EO28" ca="1">IF($AN28&gt;CDS.Tenor,"-",flatInterpolation(CP28,INDIRECT(HazardRateTimes3),INDIRECT(HazardRateValues3)))</f>
        <v>-</v>
      </c>
      <c r="EP28" s="10" t="str">
        <f t="shared" si="154"/>
        <v>-</v>
      </c>
      <c r="EQ28" s="10" t="str">
        <f t="shared" si="155"/>
        <v>-</v>
      </c>
      <c r="ER28" s="81" t="str">
        <f t="shared" si="156"/>
        <v>-</v>
      </c>
      <c r="ET28" s="358">
        <f t="shared" si="157"/>
        <v>6</v>
      </c>
      <c r="EU28" s="353" t="str">
        <f>IF($AN28&gt;CDS.Tenor,"-",_xlfn.NORM.S.DIST(($ER28-SQRT(Correlation3)*EU$3)/SQRT(1-Correlation3),TRUE))</f>
        <v>-</v>
      </c>
      <c r="EV28" s="353" t="str">
        <f>IF($AN28&gt;CDS.Tenor,"-",_xlfn.NORM.S.DIST(($ER28-SQRT(Correlation3)*EV$3)/SQRT(1-Correlation3),TRUE))</f>
        <v>-</v>
      </c>
      <c r="EW28" s="353" t="str">
        <f>IF($AN28&gt;CDS.Tenor,"-",_xlfn.NORM.S.DIST(($ER28-SQRT(Correlation3)*EW$3)/SQRT(1-Correlation3),TRUE))</f>
        <v>-</v>
      </c>
      <c r="EX28" s="353" t="str">
        <f>IF($AN28&gt;CDS.Tenor,"-",_xlfn.NORM.S.DIST(($ER28-SQRT(Correlation3)*EX$3)/SQRT(1-Correlation3),TRUE))</f>
        <v>-</v>
      </c>
      <c r="EY28" s="353" t="str">
        <f>IF($AN28&gt;CDS.Tenor,"-",_xlfn.NORM.S.DIST(($ER28-SQRT(Correlation3)*EY$3)/SQRT(1-Correlation3),TRUE))</f>
        <v>-</v>
      </c>
      <c r="EZ28" s="353" t="str">
        <f>IF($AN28&gt;CDS.Tenor,"-",_xlfn.NORM.S.DIST(($ER28-SQRT(Correlation3)*EZ$3)/SQRT(1-Correlation3),TRUE))</f>
        <v>-</v>
      </c>
      <c r="FA28" s="353" t="str">
        <f>IF($AN28&gt;CDS.Tenor,"-",_xlfn.NORM.S.DIST(($ER28-SQRT(Correlation3)*FA$3)/SQRT(1-Correlation3),TRUE))</f>
        <v>-</v>
      </c>
      <c r="FB28" s="353" t="str">
        <f>IF($AN28&gt;CDS.Tenor,"-",_xlfn.NORM.S.DIST(($ER28-SQRT(Correlation3)*FB$3)/SQRT(1-Correlation3),TRUE))</f>
        <v>-</v>
      </c>
      <c r="FC28" s="353" t="str">
        <f>IF($AN28&gt;CDS.Tenor,"-",_xlfn.NORM.S.DIST(($ER28-SQRT(Correlation3)*FC$3)/SQRT(1-Correlation3),TRUE))</f>
        <v>-</v>
      </c>
      <c r="FD28" s="353" t="str">
        <f>IF($AN28&gt;CDS.Tenor,"-",_xlfn.NORM.S.DIST(($ER28-SQRT(Correlation3)*FD$3)/SQRT(1-Correlation3),TRUE))</f>
        <v>-</v>
      </c>
      <c r="FE28" s="353" t="str">
        <f>IF($AN28&gt;CDS.Tenor,"-",_xlfn.NORM.S.DIST(($ER28-SQRT(Correlation3)*FE$3)/SQRT(1-Correlation3),TRUE))</f>
        <v>-</v>
      </c>
      <c r="FF28" s="353" t="str">
        <f>IF($AN28&gt;CDS.Tenor,"-",_xlfn.NORM.S.DIST(($ER28-SQRT(Correlation3)*FF$3)/SQRT(1-Correlation3),TRUE))</f>
        <v>-</v>
      </c>
      <c r="FG28" s="353" t="str">
        <f>IF($AN28&gt;CDS.Tenor,"-",_xlfn.NORM.S.DIST(($ER28-SQRT(Correlation3)*FG$3)/SQRT(1-Correlation3),TRUE))</f>
        <v>-</v>
      </c>
      <c r="FH28" s="353" t="str">
        <f>IF($AN28&gt;CDS.Tenor,"-",_xlfn.NORM.S.DIST(($ER28-SQRT(Correlation3)*FH$3)/SQRT(1-Correlation3),TRUE))</f>
        <v>-</v>
      </c>
      <c r="FI28" s="353" t="str">
        <f>IF($AN28&gt;CDS.Tenor,"-",_xlfn.NORM.S.DIST(($ER28-SQRT(Correlation3)*FI$3)/SQRT(1-Correlation3),TRUE))</f>
        <v>-</v>
      </c>
      <c r="FJ28" s="353" t="str">
        <f>IF($AN28&gt;CDS.Tenor,"-",_xlfn.NORM.S.DIST(($ER28-SQRT(Correlation3)*FJ$3)/SQRT(1-Correlation3),TRUE))</f>
        <v>-</v>
      </c>
      <c r="FK28" s="353" t="str">
        <f>IF($AN28&gt;CDS.Tenor,"-",_xlfn.NORM.S.DIST(($ER28-SQRT(Correlation3)*FK$3)/SQRT(1-Correlation3),TRUE))</f>
        <v>-</v>
      </c>
      <c r="FL28" s="353" t="str">
        <f>IF($AN28&gt;CDS.Tenor,"-",_xlfn.NORM.S.DIST(($ER28-SQRT(Correlation3)*FL$3)/SQRT(1-Correlation3),TRUE))</f>
        <v>-</v>
      </c>
      <c r="FM28" s="353" t="str">
        <f>IF($AN28&gt;CDS.Tenor,"-",_xlfn.NORM.S.DIST(($ER28-SQRT(Correlation3)*FM$3)/SQRT(1-Correlation3),TRUE))</f>
        <v>-</v>
      </c>
      <c r="FN28" s="353" t="str">
        <f>IF($AN28&gt;CDS.Tenor,"-",_xlfn.NORM.S.DIST(($ER28-SQRT(Correlation3)*FN$3)/SQRT(1-Correlation3),TRUE))</f>
        <v>-</v>
      </c>
      <c r="FO28" s="354" t="str">
        <f>IF($AN28&gt;CDS.Tenor,"-",_xlfn.NORM.S.DIST(($ER28-SQRT(Correlation3)*FO$3)/SQRT(1-Correlation3),TRUE))</f>
        <v>-</v>
      </c>
      <c r="FQ28" s="358">
        <f t="shared" si="158"/>
        <v>6</v>
      </c>
      <c r="FR28" s="353" t="str">
        <f t="shared" si="159"/>
        <v>-</v>
      </c>
      <c r="FS28" s="353" t="str">
        <f t="shared" si="160"/>
        <v>-</v>
      </c>
      <c r="FT28" s="353" t="str">
        <f t="shared" si="161"/>
        <v>-</v>
      </c>
      <c r="FU28" s="353" t="str">
        <f t="shared" si="162"/>
        <v>-</v>
      </c>
      <c r="FV28" s="353" t="str">
        <f t="shared" si="163"/>
        <v>-</v>
      </c>
      <c r="FW28" s="353" t="str">
        <f t="shared" si="164"/>
        <v>-</v>
      </c>
      <c r="FX28" s="353" t="str">
        <f t="shared" si="165"/>
        <v>-</v>
      </c>
      <c r="FY28" s="353" t="str">
        <f t="shared" si="166"/>
        <v>-</v>
      </c>
      <c r="FZ28" s="353" t="str">
        <f t="shared" si="167"/>
        <v>-</v>
      </c>
      <c r="GA28" s="353" t="str">
        <f t="shared" si="168"/>
        <v>-</v>
      </c>
      <c r="GB28" s="353" t="str">
        <f t="shared" si="169"/>
        <v>-</v>
      </c>
      <c r="GC28" s="353" t="str">
        <f t="shared" si="170"/>
        <v>-</v>
      </c>
      <c r="GD28" s="353" t="str">
        <f t="shared" si="171"/>
        <v>-</v>
      </c>
      <c r="GE28" s="353" t="str">
        <f t="shared" si="172"/>
        <v>-</v>
      </c>
      <c r="GF28" s="353" t="str">
        <f t="shared" si="173"/>
        <v>-</v>
      </c>
      <c r="GG28" s="353" t="str">
        <f t="shared" si="174"/>
        <v>-</v>
      </c>
      <c r="GH28" s="353" t="str">
        <f t="shared" si="175"/>
        <v>-</v>
      </c>
      <c r="GI28" s="353" t="str">
        <f t="shared" si="176"/>
        <v>-</v>
      </c>
      <c r="GJ28" s="353" t="str">
        <f t="shared" si="177"/>
        <v>-</v>
      </c>
      <c r="GK28" s="353" t="str">
        <f t="shared" si="178"/>
        <v>-</v>
      </c>
      <c r="GL28" s="354" t="str">
        <f t="shared" si="179"/>
        <v>-</v>
      </c>
      <c r="GO28" s="358">
        <f t="shared" si="180"/>
        <v>6</v>
      </c>
      <c r="GP28" s="353" t="str">
        <f t="shared" si="181"/>
        <v>-</v>
      </c>
      <c r="GQ28" s="353" t="str">
        <f t="shared" si="182"/>
        <v>-</v>
      </c>
      <c r="GR28" s="353" t="str">
        <f t="shared" si="183"/>
        <v>-</v>
      </c>
      <c r="GS28" s="353" t="str">
        <f t="shared" si="184"/>
        <v>-</v>
      </c>
      <c r="GT28" s="353" t="str">
        <f t="shared" si="185"/>
        <v>-</v>
      </c>
      <c r="GU28" s="353" t="str">
        <f t="shared" si="186"/>
        <v>-</v>
      </c>
      <c r="GV28" s="353" t="str">
        <f t="shared" si="187"/>
        <v>-</v>
      </c>
      <c r="GW28" s="353" t="str">
        <f t="shared" si="188"/>
        <v>-</v>
      </c>
      <c r="GX28" s="353" t="str">
        <f t="shared" si="189"/>
        <v>-</v>
      </c>
      <c r="GY28" s="353" t="str">
        <f t="shared" si="190"/>
        <v>-</v>
      </c>
      <c r="GZ28" s="353" t="str">
        <f t="shared" si="191"/>
        <v>-</v>
      </c>
      <c r="HA28" s="353" t="str">
        <f t="shared" si="192"/>
        <v>-</v>
      </c>
      <c r="HB28" s="353" t="str">
        <f t="shared" si="193"/>
        <v>-</v>
      </c>
      <c r="HC28" s="353" t="str">
        <f t="shared" si="194"/>
        <v>-</v>
      </c>
      <c r="HD28" s="353" t="str">
        <f t="shared" si="195"/>
        <v>-</v>
      </c>
      <c r="HE28" s="353" t="str">
        <f t="shared" si="196"/>
        <v>-</v>
      </c>
      <c r="HF28" s="353" t="str">
        <f t="shared" si="197"/>
        <v>-</v>
      </c>
      <c r="HG28" s="353" t="str">
        <f t="shared" si="198"/>
        <v>-</v>
      </c>
      <c r="HH28" s="353" t="str">
        <f t="shared" si="199"/>
        <v>-</v>
      </c>
      <c r="HI28" s="353" t="str">
        <f t="shared" si="200"/>
        <v>-</v>
      </c>
      <c r="HJ28" s="354" t="str">
        <f t="shared" si="201"/>
        <v>-</v>
      </c>
      <c r="HK28" s="42"/>
      <c r="HL28" s="42"/>
      <c r="HM28" s="358">
        <f t="shared" si="202"/>
        <v>6</v>
      </c>
      <c r="HN28" s="362" t="str">
        <f t="shared" si="203"/>
        <v>-</v>
      </c>
      <c r="HO28" s="363" t="str">
        <f t="shared" si="204"/>
        <v>-</v>
      </c>
    </row>
    <row r="29" spans="2:223" x14ac:dyDescent="0.3">
      <c r="V29" s="370">
        <f t="shared" si="89"/>
        <v>6.25</v>
      </c>
      <c r="W29" s="371" t="str">
        <f t="shared" si="90"/>
        <v>-</v>
      </c>
      <c r="X29" s="348" t="str">
        <f t="shared" si="91"/>
        <v>-</v>
      </c>
      <c r="Y29" s="348" t="str">
        <f t="shared" si="92"/>
        <v>-</v>
      </c>
      <c r="Z29" s="372" t="str" cm="1">
        <f t="array" ref="Z29">IF($V29&gt;CDS.Tenor,"-",cubicInterpolation(CurveResults.Times,CurveResults.DFs,$V29))</f>
        <v>-</v>
      </c>
      <c r="AA29" s="371" t="str">
        <f t="shared" si="93"/>
        <v>-</v>
      </c>
      <c r="AB29" s="371" t="str">
        <f t="shared" si="94"/>
        <v>-</v>
      </c>
      <c r="AC29" s="373" t="str">
        <f t="shared" si="95"/>
        <v>-</v>
      </c>
      <c r="AF29" s="370">
        <f t="shared" si="96"/>
        <v>6.25</v>
      </c>
      <c r="AG29" s="371" t="str">
        <f t="shared" si="97"/>
        <v>-</v>
      </c>
      <c r="AH29" s="348" t="str">
        <f t="shared" si="98"/>
        <v>-</v>
      </c>
      <c r="AI29" s="348" t="str">
        <f t="shared" si="99"/>
        <v>-</v>
      </c>
      <c r="AJ29" s="372" t="str" cm="1">
        <f t="array" ref="AJ29">IF($AF29&gt;CDS.Tenor,"-",cubicInterpolation(CurveResults.Times,CurveResults.DFs,$V29))</f>
        <v>-</v>
      </c>
      <c r="AK29" s="373" t="str">
        <f t="shared" si="100"/>
        <v>-</v>
      </c>
      <c r="AN29" s="358">
        <f t="shared" si="101"/>
        <v>6.25</v>
      </c>
      <c r="AO29" s="343" t="str" cm="1">
        <f t="array" aca="1" ref="AO29" ca="1">IF($AN29&gt;CDS.Tenor,"-",flatInterpolation(AM29,INDIRECT(HazardRateTimes1),INDIRECT(HazardRateValues1)))</f>
        <v>-</v>
      </c>
      <c r="AP29" s="10" t="str">
        <f t="shared" si="102"/>
        <v>-</v>
      </c>
      <c r="AQ29" s="10" t="str">
        <f t="shared" si="103"/>
        <v>-</v>
      </c>
      <c r="AR29" s="81" t="str">
        <f t="shared" si="104"/>
        <v>-</v>
      </c>
      <c r="AT29" s="358">
        <f t="shared" si="105"/>
        <v>6.25</v>
      </c>
      <c r="AU29" s="353" t="str">
        <f>IF($AN29&gt;CDS.Tenor,"-",_xlfn.NORM.S.DIST(($AR29-SQRT(Correlation1)*AU$3)/SQRT(1-Correlation1),TRUE))</f>
        <v>-</v>
      </c>
      <c r="AV29" s="353" t="str">
        <f>IF($AN29&gt;CDS.Tenor,"-",_xlfn.NORM.S.DIST(($AR29-SQRT(Correlation1)*AV$3)/SQRT(1-Correlation1),TRUE))</f>
        <v>-</v>
      </c>
      <c r="AW29" s="353" t="str">
        <f>IF($AN29&gt;CDS.Tenor,"-",_xlfn.NORM.S.DIST(($AR29-SQRT(Correlation1)*AW$3)/SQRT(1-Correlation1),TRUE))</f>
        <v>-</v>
      </c>
      <c r="AX29" s="353" t="str">
        <f>IF($AN29&gt;CDS.Tenor,"-",_xlfn.NORM.S.DIST(($AR29-SQRT(Correlation1)*AX$3)/SQRT(1-Correlation1),TRUE))</f>
        <v>-</v>
      </c>
      <c r="AY29" s="353" t="str">
        <f>IF($AN29&gt;CDS.Tenor,"-",_xlfn.NORM.S.DIST(($AR29-SQRT(Correlation1)*AY$3)/SQRT(1-Correlation1),TRUE))</f>
        <v>-</v>
      </c>
      <c r="AZ29" s="353" t="str">
        <f>IF($AN29&gt;CDS.Tenor,"-",_xlfn.NORM.S.DIST(($AR29-SQRT(Correlation1)*AZ$3)/SQRT(1-Correlation1),TRUE))</f>
        <v>-</v>
      </c>
      <c r="BA29" s="353" t="str">
        <f>IF($AN29&gt;CDS.Tenor,"-",_xlfn.NORM.S.DIST(($AR29-SQRT(Correlation1)*BA$3)/SQRT(1-Correlation1),TRUE))</f>
        <v>-</v>
      </c>
      <c r="BB29" s="353" t="str">
        <f>IF($AN29&gt;CDS.Tenor,"-",_xlfn.NORM.S.DIST(($AR29-SQRT(Correlation1)*BB$3)/SQRT(1-Correlation1),TRUE))</f>
        <v>-</v>
      </c>
      <c r="BC29" s="353" t="str">
        <f>IF($AN29&gt;CDS.Tenor,"-",_xlfn.NORM.S.DIST(($AR29-SQRT(Correlation1)*BC$3)/SQRT(1-Correlation1),TRUE))</f>
        <v>-</v>
      </c>
      <c r="BD29" s="353" t="str">
        <f>IF($AN29&gt;CDS.Tenor,"-",_xlfn.NORM.S.DIST(($AR29-SQRT(Correlation1)*BD$3)/SQRT(1-Correlation1),TRUE))</f>
        <v>-</v>
      </c>
      <c r="BE29" s="353" t="str">
        <f>IF($AN29&gt;CDS.Tenor,"-",_xlfn.NORM.S.DIST(($AR29-SQRT(Correlation1)*BE$3)/SQRT(1-Correlation1),TRUE))</f>
        <v>-</v>
      </c>
      <c r="BF29" s="353" t="str">
        <f>IF($AN29&gt;CDS.Tenor,"-",_xlfn.NORM.S.DIST(($AR29-SQRT(Correlation1)*BF$3)/SQRT(1-Correlation1),TRUE))</f>
        <v>-</v>
      </c>
      <c r="BG29" s="353" t="str">
        <f>IF($AN29&gt;CDS.Tenor,"-",_xlfn.NORM.S.DIST(($AR29-SQRT(Correlation1)*BG$3)/SQRT(1-Correlation1),TRUE))</f>
        <v>-</v>
      </c>
      <c r="BH29" s="353" t="str">
        <f>IF($AN29&gt;CDS.Tenor,"-",_xlfn.NORM.S.DIST(($AR29-SQRT(Correlation1)*BH$3)/SQRT(1-Correlation1),TRUE))</f>
        <v>-</v>
      </c>
      <c r="BI29" s="353" t="str">
        <f>IF($AN29&gt;CDS.Tenor,"-",_xlfn.NORM.S.DIST(($AR29-SQRT(Correlation1)*BI$3)/SQRT(1-Correlation1),TRUE))</f>
        <v>-</v>
      </c>
      <c r="BJ29" s="353" t="str">
        <f>IF($AN29&gt;CDS.Tenor,"-",_xlfn.NORM.S.DIST(($AR29-SQRT(Correlation1)*BJ$3)/SQRT(1-Correlation1),TRUE))</f>
        <v>-</v>
      </c>
      <c r="BK29" s="353" t="str">
        <f>IF($AN29&gt;CDS.Tenor,"-",_xlfn.NORM.S.DIST(($AR29-SQRT(Correlation1)*BK$3)/SQRT(1-Correlation1),TRUE))</f>
        <v>-</v>
      </c>
      <c r="BL29" s="353" t="str">
        <f>IF($AN29&gt;CDS.Tenor,"-",_xlfn.NORM.S.DIST(($AR29-SQRT(Correlation1)*BL$3)/SQRT(1-Correlation1),TRUE))</f>
        <v>-</v>
      </c>
      <c r="BM29" s="353" t="str">
        <f>IF($AN29&gt;CDS.Tenor,"-",_xlfn.NORM.S.DIST(($AR29-SQRT(Correlation1)*BM$3)/SQRT(1-Correlation1),TRUE))</f>
        <v>-</v>
      </c>
      <c r="BN29" s="353" t="str">
        <f>IF($AN29&gt;CDS.Tenor,"-",_xlfn.NORM.S.DIST(($AR29-SQRT(Correlation1)*BN$3)/SQRT(1-Correlation1),TRUE))</f>
        <v>-</v>
      </c>
      <c r="BO29" s="354" t="str">
        <f>IF($AN29&gt;CDS.Tenor,"-",_xlfn.NORM.S.DIST(($AR29-SQRT(Correlation1)*BO$3)/SQRT(1-Correlation1),TRUE))</f>
        <v>-</v>
      </c>
      <c r="BQ29" s="358">
        <f t="shared" si="106"/>
        <v>6.25</v>
      </c>
      <c r="BR29" s="353" t="str">
        <f t="shared" si="107"/>
        <v>-</v>
      </c>
      <c r="BS29" s="353" t="str">
        <f t="shared" si="108"/>
        <v>-</v>
      </c>
      <c r="BT29" s="353" t="str">
        <f t="shared" si="109"/>
        <v>-</v>
      </c>
      <c r="BU29" s="353" t="str">
        <f t="shared" si="110"/>
        <v>-</v>
      </c>
      <c r="BV29" s="353" t="str">
        <f t="shared" si="111"/>
        <v>-</v>
      </c>
      <c r="BW29" s="353" t="str">
        <f t="shared" si="112"/>
        <v>-</v>
      </c>
      <c r="BX29" s="353" t="str">
        <f t="shared" si="113"/>
        <v>-</v>
      </c>
      <c r="BY29" s="353" t="str">
        <f t="shared" si="114"/>
        <v>-</v>
      </c>
      <c r="BZ29" s="353" t="str">
        <f t="shared" si="115"/>
        <v>-</v>
      </c>
      <c r="CA29" s="353" t="str">
        <f t="shared" si="116"/>
        <v>-</v>
      </c>
      <c r="CB29" s="353" t="str">
        <f t="shared" si="117"/>
        <v>-</v>
      </c>
      <c r="CC29" s="353" t="str">
        <f t="shared" si="118"/>
        <v>-</v>
      </c>
      <c r="CD29" s="353" t="str">
        <f t="shared" si="119"/>
        <v>-</v>
      </c>
      <c r="CE29" s="353" t="str">
        <f t="shared" si="120"/>
        <v>-</v>
      </c>
      <c r="CF29" s="353" t="str">
        <f t="shared" si="121"/>
        <v>-</v>
      </c>
      <c r="CG29" s="353" t="str">
        <f t="shared" si="122"/>
        <v>-</v>
      </c>
      <c r="CH29" s="353" t="str">
        <f t="shared" si="123"/>
        <v>-</v>
      </c>
      <c r="CI29" s="353" t="str">
        <f t="shared" si="124"/>
        <v>-</v>
      </c>
      <c r="CJ29" s="353" t="str">
        <f t="shared" si="125"/>
        <v>-</v>
      </c>
      <c r="CK29" s="353" t="str">
        <f t="shared" si="126"/>
        <v>-</v>
      </c>
      <c r="CL29" s="354" t="str">
        <f t="shared" si="127"/>
        <v>-</v>
      </c>
      <c r="CM29" s="17"/>
      <c r="CN29" s="17"/>
      <c r="CO29" s="343" t="str" cm="1">
        <f t="array" aca="1" ref="CO29" ca="1">IF($AN29&gt;CDS.Tenor,"-",flatInterpolation(AN29,INDIRECT(HazardRateTimes2),INDIRECT(HazardRateValues2)))</f>
        <v>-</v>
      </c>
      <c r="CP29" s="10" t="str">
        <f t="shared" si="128"/>
        <v>-</v>
      </c>
      <c r="CQ29" s="10" t="str">
        <f t="shared" si="129"/>
        <v>-</v>
      </c>
      <c r="CR29" s="81" t="str">
        <f t="shared" si="130"/>
        <v>-</v>
      </c>
      <c r="CT29" s="358">
        <f t="shared" si="131"/>
        <v>6.25</v>
      </c>
      <c r="CU29" s="353" t="str">
        <f>IF($AN29&gt;CDS.Tenor,"-",_xlfn.NORM.S.DIST(($CR29-SQRT(Correlation2)*CU$3)/SQRT(1-Correlation2),TRUE))</f>
        <v>-</v>
      </c>
      <c r="CV29" s="353" t="str">
        <f>IF($AN29&gt;CDS.Tenor,"-",_xlfn.NORM.S.DIST(($CR29-SQRT(Correlation2)*CV$3)/SQRT(1-Correlation2),TRUE))</f>
        <v>-</v>
      </c>
      <c r="CW29" s="353" t="str">
        <f>IF($AN29&gt;CDS.Tenor,"-",_xlfn.NORM.S.DIST(($CR29-SQRT(Correlation2)*CW$3)/SQRT(1-Correlation2),TRUE))</f>
        <v>-</v>
      </c>
      <c r="CX29" s="353" t="str">
        <f>IF($AN29&gt;CDS.Tenor,"-",_xlfn.NORM.S.DIST(($CR29-SQRT(Correlation2)*CX$3)/SQRT(1-Correlation2),TRUE))</f>
        <v>-</v>
      </c>
      <c r="CY29" s="353" t="str">
        <f>IF($AN29&gt;CDS.Tenor,"-",_xlfn.NORM.S.DIST(($CR29-SQRT(Correlation2)*CY$3)/SQRT(1-Correlation2),TRUE))</f>
        <v>-</v>
      </c>
      <c r="CZ29" s="353" t="str">
        <f>IF($AN29&gt;CDS.Tenor,"-",_xlfn.NORM.S.DIST(($CR29-SQRT(Correlation2)*CZ$3)/SQRT(1-Correlation2),TRUE))</f>
        <v>-</v>
      </c>
      <c r="DA29" s="353" t="str">
        <f>IF($AN29&gt;CDS.Tenor,"-",_xlfn.NORM.S.DIST(($CR29-SQRT(Correlation2)*DA$3)/SQRT(1-Correlation2),TRUE))</f>
        <v>-</v>
      </c>
      <c r="DB29" s="353" t="str">
        <f>IF($AN29&gt;CDS.Tenor,"-",_xlfn.NORM.S.DIST(($CR29-SQRT(Correlation2)*DB$3)/SQRT(1-Correlation2),TRUE))</f>
        <v>-</v>
      </c>
      <c r="DC29" s="353" t="str">
        <f>IF($AN29&gt;CDS.Tenor,"-",_xlfn.NORM.S.DIST(($CR29-SQRT(Correlation2)*DC$3)/SQRT(1-Correlation2),TRUE))</f>
        <v>-</v>
      </c>
      <c r="DD29" s="353" t="str">
        <f>IF($AN29&gt;CDS.Tenor,"-",_xlfn.NORM.S.DIST(($CR29-SQRT(Correlation2)*DD$3)/SQRT(1-Correlation2),TRUE))</f>
        <v>-</v>
      </c>
      <c r="DE29" s="353" t="str">
        <f>IF($AN29&gt;CDS.Tenor,"-",_xlfn.NORM.S.DIST(($CR29-SQRT(Correlation2)*DE$3)/SQRT(1-Correlation2),TRUE))</f>
        <v>-</v>
      </c>
      <c r="DF29" s="353" t="str">
        <f>IF($AN29&gt;CDS.Tenor,"-",_xlfn.NORM.S.DIST(($CR29-SQRT(Correlation2)*DF$3)/SQRT(1-Correlation2),TRUE))</f>
        <v>-</v>
      </c>
      <c r="DG29" s="353" t="str">
        <f>IF($AN29&gt;CDS.Tenor,"-",_xlfn.NORM.S.DIST(($CR29-SQRT(Correlation2)*DG$3)/SQRT(1-Correlation2),TRUE))</f>
        <v>-</v>
      </c>
      <c r="DH29" s="353" t="str">
        <f>IF($AN29&gt;CDS.Tenor,"-",_xlfn.NORM.S.DIST(($CR29-SQRT(Correlation2)*DH$3)/SQRT(1-Correlation2),TRUE))</f>
        <v>-</v>
      </c>
      <c r="DI29" s="353" t="str">
        <f>IF($AN29&gt;CDS.Tenor,"-",_xlfn.NORM.S.DIST(($CR29-SQRT(Correlation2)*DI$3)/SQRT(1-Correlation2),TRUE))</f>
        <v>-</v>
      </c>
      <c r="DJ29" s="353" t="str">
        <f>IF($AN29&gt;CDS.Tenor,"-",_xlfn.NORM.S.DIST(($CR29-SQRT(Correlation2)*DJ$3)/SQRT(1-Correlation2),TRUE))</f>
        <v>-</v>
      </c>
      <c r="DK29" s="353" t="str">
        <f>IF($AN29&gt;CDS.Tenor,"-",_xlfn.NORM.S.DIST(($CR29-SQRT(Correlation2)*DK$3)/SQRT(1-Correlation2),TRUE))</f>
        <v>-</v>
      </c>
      <c r="DL29" s="353" t="str">
        <f>IF($AN29&gt;CDS.Tenor,"-",_xlfn.NORM.S.DIST(($CR29-SQRT(Correlation2)*DL$3)/SQRT(1-Correlation2),TRUE))</f>
        <v>-</v>
      </c>
      <c r="DM29" s="353" t="str">
        <f>IF($AN29&gt;CDS.Tenor,"-",_xlfn.NORM.S.DIST(($CR29-SQRT(Correlation2)*DM$3)/SQRT(1-Correlation2),TRUE))</f>
        <v>-</v>
      </c>
      <c r="DN29" s="353" t="str">
        <f>IF($AN29&gt;CDS.Tenor,"-",_xlfn.NORM.S.DIST(($CR29-SQRT(Correlation2)*DN$3)/SQRT(1-Correlation2),TRUE))</f>
        <v>-</v>
      </c>
      <c r="DO29" s="354" t="str">
        <f>IF($AN29&gt;CDS.Tenor,"-",_xlfn.NORM.S.DIST(($CR29-SQRT(Correlation2)*DO$3)/SQRT(1-Correlation2),TRUE))</f>
        <v>-</v>
      </c>
      <c r="DQ29" s="358">
        <f t="shared" si="132"/>
        <v>6.25</v>
      </c>
      <c r="DR29" s="353" t="str">
        <f t="shared" si="133"/>
        <v>-</v>
      </c>
      <c r="DS29" s="353" t="str">
        <f t="shared" si="134"/>
        <v>-</v>
      </c>
      <c r="DT29" s="353" t="str">
        <f t="shared" si="135"/>
        <v>-</v>
      </c>
      <c r="DU29" s="353" t="str">
        <f t="shared" si="136"/>
        <v>-</v>
      </c>
      <c r="DV29" s="353" t="str">
        <f t="shared" si="137"/>
        <v>-</v>
      </c>
      <c r="DW29" s="353" t="str">
        <f t="shared" si="138"/>
        <v>-</v>
      </c>
      <c r="DX29" s="353" t="str">
        <f t="shared" si="139"/>
        <v>-</v>
      </c>
      <c r="DY29" s="353" t="str">
        <f t="shared" si="140"/>
        <v>-</v>
      </c>
      <c r="DZ29" s="353" t="str">
        <f t="shared" si="141"/>
        <v>-</v>
      </c>
      <c r="EA29" s="353" t="str">
        <f t="shared" si="142"/>
        <v>-</v>
      </c>
      <c r="EB29" s="353" t="str">
        <f t="shared" si="143"/>
        <v>-</v>
      </c>
      <c r="EC29" s="353" t="str">
        <f t="shared" si="144"/>
        <v>-</v>
      </c>
      <c r="ED29" s="353" t="str">
        <f t="shared" si="145"/>
        <v>-</v>
      </c>
      <c r="EE29" s="353" t="str">
        <f t="shared" si="146"/>
        <v>-</v>
      </c>
      <c r="EF29" s="353" t="str">
        <f t="shared" si="147"/>
        <v>-</v>
      </c>
      <c r="EG29" s="353" t="str">
        <f t="shared" si="148"/>
        <v>-</v>
      </c>
      <c r="EH29" s="353" t="str">
        <f t="shared" si="149"/>
        <v>-</v>
      </c>
      <c r="EI29" s="353" t="str">
        <f t="shared" si="150"/>
        <v>-</v>
      </c>
      <c r="EJ29" s="353" t="str">
        <f t="shared" si="151"/>
        <v>-</v>
      </c>
      <c r="EK29" s="353" t="str">
        <f t="shared" si="152"/>
        <v>-</v>
      </c>
      <c r="EL29" s="354" t="str">
        <f t="shared" si="153"/>
        <v>-</v>
      </c>
      <c r="EM29" s="17"/>
      <c r="EN29" s="17"/>
      <c r="EO29" s="343" t="str" cm="1">
        <f t="array" aca="1" ref="EO29" ca="1">IF($AN29&gt;CDS.Tenor,"-",flatInterpolation(CP29,INDIRECT(HazardRateTimes3),INDIRECT(HazardRateValues3)))</f>
        <v>-</v>
      </c>
      <c r="EP29" s="10" t="str">
        <f t="shared" si="154"/>
        <v>-</v>
      </c>
      <c r="EQ29" s="10" t="str">
        <f t="shared" si="155"/>
        <v>-</v>
      </c>
      <c r="ER29" s="81" t="str">
        <f t="shared" si="156"/>
        <v>-</v>
      </c>
      <c r="ET29" s="358">
        <f t="shared" si="157"/>
        <v>6.25</v>
      </c>
      <c r="EU29" s="353" t="str">
        <f>IF($AN29&gt;CDS.Tenor,"-",_xlfn.NORM.S.DIST(($ER29-SQRT(Correlation3)*EU$3)/SQRT(1-Correlation3),TRUE))</f>
        <v>-</v>
      </c>
      <c r="EV29" s="353" t="str">
        <f>IF($AN29&gt;CDS.Tenor,"-",_xlfn.NORM.S.DIST(($ER29-SQRT(Correlation3)*EV$3)/SQRT(1-Correlation3),TRUE))</f>
        <v>-</v>
      </c>
      <c r="EW29" s="353" t="str">
        <f>IF($AN29&gt;CDS.Tenor,"-",_xlfn.NORM.S.DIST(($ER29-SQRT(Correlation3)*EW$3)/SQRT(1-Correlation3),TRUE))</f>
        <v>-</v>
      </c>
      <c r="EX29" s="353" t="str">
        <f>IF($AN29&gt;CDS.Tenor,"-",_xlfn.NORM.S.DIST(($ER29-SQRT(Correlation3)*EX$3)/SQRT(1-Correlation3),TRUE))</f>
        <v>-</v>
      </c>
      <c r="EY29" s="353" t="str">
        <f>IF($AN29&gt;CDS.Tenor,"-",_xlfn.NORM.S.DIST(($ER29-SQRT(Correlation3)*EY$3)/SQRT(1-Correlation3),TRUE))</f>
        <v>-</v>
      </c>
      <c r="EZ29" s="353" t="str">
        <f>IF($AN29&gt;CDS.Tenor,"-",_xlfn.NORM.S.DIST(($ER29-SQRT(Correlation3)*EZ$3)/SQRT(1-Correlation3),TRUE))</f>
        <v>-</v>
      </c>
      <c r="FA29" s="353" t="str">
        <f>IF($AN29&gt;CDS.Tenor,"-",_xlfn.NORM.S.DIST(($ER29-SQRT(Correlation3)*FA$3)/SQRT(1-Correlation3),TRUE))</f>
        <v>-</v>
      </c>
      <c r="FB29" s="353" t="str">
        <f>IF($AN29&gt;CDS.Tenor,"-",_xlfn.NORM.S.DIST(($ER29-SQRT(Correlation3)*FB$3)/SQRT(1-Correlation3),TRUE))</f>
        <v>-</v>
      </c>
      <c r="FC29" s="353" t="str">
        <f>IF($AN29&gt;CDS.Tenor,"-",_xlfn.NORM.S.DIST(($ER29-SQRT(Correlation3)*FC$3)/SQRT(1-Correlation3),TRUE))</f>
        <v>-</v>
      </c>
      <c r="FD29" s="353" t="str">
        <f>IF($AN29&gt;CDS.Tenor,"-",_xlfn.NORM.S.DIST(($ER29-SQRT(Correlation3)*FD$3)/SQRT(1-Correlation3),TRUE))</f>
        <v>-</v>
      </c>
      <c r="FE29" s="353" t="str">
        <f>IF($AN29&gt;CDS.Tenor,"-",_xlfn.NORM.S.DIST(($ER29-SQRT(Correlation3)*FE$3)/SQRT(1-Correlation3),TRUE))</f>
        <v>-</v>
      </c>
      <c r="FF29" s="353" t="str">
        <f>IF($AN29&gt;CDS.Tenor,"-",_xlfn.NORM.S.DIST(($ER29-SQRT(Correlation3)*FF$3)/SQRT(1-Correlation3),TRUE))</f>
        <v>-</v>
      </c>
      <c r="FG29" s="353" t="str">
        <f>IF($AN29&gt;CDS.Tenor,"-",_xlfn.NORM.S.DIST(($ER29-SQRT(Correlation3)*FG$3)/SQRT(1-Correlation3),TRUE))</f>
        <v>-</v>
      </c>
      <c r="FH29" s="353" t="str">
        <f>IF($AN29&gt;CDS.Tenor,"-",_xlfn.NORM.S.DIST(($ER29-SQRT(Correlation3)*FH$3)/SQRT(1-Correlation3),TRUE))</f>
        <v>-</v>
      </c>
      <c r="FI29" s="353" t="str">
        <f>IF($AN29&gt;CDS.Tenor,"-",_xlfn.NORM.S.DIST(($ER29-SQRT(Correlation3)*FI$3)/SQRT(1-Correlation3),TRUE))</f>
        <v>-</v>
      </c>
      <c r="FJ29" s="353" t="str">
        <f>IF($AN29&gt;CDS.Tenor,"-",_xlfn.NORM.S.DIST(($ER29-SQRT(Correlation3)*FJ$3)/SQRT(1-Correlation3),TRUE))</f>
        <v>-</v>
      </c>
      <c r="FK29" s="353" t="str">
        <f>IF($AN29&gt;CDS.Tenor,"-",_xlfn.NORM.S.DIST(($ER29-SQRT(Correlation3)*FK$3)/SQRT(1-Correlation3),TRUE))</f>
        <v>-</v>
      </c>
      <c r="FL29" s="353" t="str">
        <f>IF($AN29&gt;CDS.Tenor,"-",_xlfn.NORM.S.DIST(($ER29-SQRT(Correlation3)*FL$3)/SQRT(1-Correlation3),TRUE))</f>
        <v>-</v>
      </c>
      <c r="FM29" s="353" t="str">
        <f>IF($AN29&gt;CDS.Tenor,"-",_xlfn.NORM.S.DIST(($ER29-SQRT(Correlation3)*FM$3)/SQRT(1-Correlation3),TRUE))</f>
        <v>-</v>
      </c>
      <c r="FN29" s="353" t="str">
        <f>IF($AN29&gt;CDS.Tenor,"-",_xlfn.NORM.S.DIST(($ER29-SQRT(Correlation3)*FN$3)/SQRT(1-Correlation3),TRUE))</f>
        <v>-</v>
      </c>
      <c r="FO29" s="354" t="str">
        <f>IF($AN29&gt;CDS.Tenor,"-",_xlfn.NORM.S.DIST(($ER29-SQRT(Correlation3)*FO$3)/SQRT(1-Correlation3),TRUE))</f>
        <v>-</v>
      </c>
      <c r="FQ29" s="358">
        <f t="shared" si="158"/>
        <v>6.25</v>
      </c>
      <c r="FR29" s="353" t="str">
        <f t="shared" si="159"/>
        <v>-</v>
      </c>
      <c r="FS29" s="353" t="str">
        <f t="shared" si="160"/>
        <v>-</v>
      </c>
      <c r="FT29" s="353" t="str">
        <f t="shared" si="161"/>
        <v>-</v>
      </c>
      <c r="FU29" s="353" t="str">
        <f t="shared" si="162"/>
        <v>-</v>
      </c>
      <c r="FV29" s="353" t="str">
        <f t="shared" si="163"/>
        <v>-</v>
      </c>
      <c r="FW29" s="353" t="str">
        <f t="shared" si="164"/>
        <v>-</v>
      </c>
      <c r="FX29" s="353" t="str">
        <f t="shared" si="165"/>
        <v>-</v>
      </c>
      <c r="FY29" s="353" t="str">
        <f t="shared" si="166"/>
        <v>-</v>
      </c>
      <c r="FZ29" s="353" t="str">
        <f t="shared" si="167"/>
        <v>-</v>
      </c>
      <c r="GA29" s="353" t="str">
        <f t="shared" si="168"/>
        <v>-</v>
      </c>
      <c r="GB29" s="353" t="str">
        <f t="shared" si="169"/>
        <v>-</v>
      </c>
      <c r="GC29" s="353" t="str">
        <f t="shared" si="170"/>
        <v>-</v>
      </c>
      <c r="GD29" s="353" t="str">
        <f t="shared" si="171"/>
        <v>-</v>
      </c>
      <c r="GE29" s="353" t="str">
        <f t="shared" si="172"/>
        <v>-</v>
      </c>
      <c r="GF29" s="353" t="str">
        <f t="shared" si="173"/>
        <v>-</v>
      </c>
      <c r="GG29" s="353" t="str">
        <f t="shared" si="174"/>
        <v>-</v>
      </c>
      <c r="GH29" s="353" t="str">
        <f t="shared" si="175"/>
        <v>-</v>
      </c>
      <c r="GI29" s="353" t="str">
        <f t="shared" si="176"/>
        <v>-</v>
      </c>
      <c r="GJ29" s="353" t="str">
        <f t="shared" si="177"/>
        <v>-</v>
      </c>
      <c r="GK29" s="353" t="str">
        <f t="shared" si="178"/>
        <v>-</v>
      </c>
      <c r="GL29" s="354" t="str">
        <f t="shared" si="179"/>
        <v>-</v>
      </c>
      <c r="GO29" s="358">
        <f t="shared" si="180"/>
        <v>6.25</v>
      </c>
      <c r="GP29" s="353" t="str">
        <f t="shared" si="181"/>
        <v>-</v>
      </c>
      <c r="GQ29" s="353" t="str">
        <f t="shared" si="182"/>
        <v>-</v>
      </c>
      <c r="GR29" s="353" t="str">
        <f t="shared" si="183"/>
        <v>-</v>
      </c>
      <c r="GS29" s="353" t="str">
        <f t="shared" si="184"/>
        <v>-</v>
      </c>
      <c r="GT29" s="353" t="str">
        <f t="shared" si="185"/>
        <v>-</v>
      </c>
      <c r="GU29" s="353" t="str">
        <f t="shared" si="186"/>
        <v>-</v>
      </c>
      <c r="GV29" s="353" t="str">
        <f t="shared" si="187"/>
        <v>-</v>
      </c>
      <c r="GW29" s="353" t="str">
        <f t="shared" si="188"/>
        <v>-</v>
      </c>
      <c r="GX29" s="353" t="str">
        <f t="shared" si="189"/>
        <v>-</v>
      </c>
      <c r="GY29" s="353" t="str">
        <f t="shared" si="190"/>
        <v>-</v>
      </c>
      <c r="GZ29" s="353" t="str">
        <f t="shared" si="191"/>
        <v>-</v>
      </c>
      <c r="HA29" s="353" t="str">
        <f t="shared" si="192"/>
        <v>-</v>
      </c>
      <c r="HB29" s="353" t="str">
        <f t="shared" si="193"/>
        <v>-</v>
      </c>
      <c r="HC29" s="353" t="str">
        <f t="shared" si="194"/>
        <v>-</v>
      </c>
      <c r="HD29" s="353" t="str">
        <f t="shared" si="195"/>
        <v>-</v>
      </c>
      <c r="HE29" s="353" t="str">
        <f t="shared" si="196"/>
        <v>-</v>
      </c>
      <c r="HF29" s="353" t="str">
        <f t="shared" si="197"/>
        <v>-</v>
      </c>
      <c r="HG29" s="353" t="str">
        <f t="shared" si="198"/>
        <v>-</v>
      </c>
      <c r="HH29" s="353" t="str">
        <f t="shared" si="199"/>
        <v>-</v>
      </c>
      <c r="HI29" s="353" t="str">
        <f t="shared" si="200"/>
        <v>-</v>
      </c>
      <c r="HJ29" s="354" t="str">
        <f t="shared" si="201"/>
        <v>-</v>
      </c>
      <c r="HK29" s="42"/>
      <c r="HL29" s="42"/>
      <c r="HM29" s="358">
        <f t="shared" si="202"/>
        <v>6.25</v>
      </c>
      <c r="HN29" s="362" t="str">
        <f t="shared" si="203"/>
        <v>-</v>
      </c>
      <c r="HO29" s="363" t="str">
        <f t="shared" si="204"/>
        <v>-</v>
      </c>
    </row>
    <row r="30" spans="2:223" x14ac:dyDescent="0.3">
      <c r="V30" s="370">
        <f t="shared" si="89"/>
        <v>6.5</v>
      </c>
      <c r="W30" s="371" t="str">
        <f t="shared" si="90"/>
        <v>-</v>
      </c>
      <c r="X30" s="348" t="str">
        <f t="shared" si="91"/>
        <v>-</v>
      </c>
      <c r="Y30" s="348" t="str">
        <f t="shared" si="92"/>
        <v>-</v>
      </c>
      <c r="Z30" s="372" t="str" cm="1">
        <f t="array" ref="Z30">IF($V30&gt;CDS.Tenor,"-",cubicInterpolation(CurveResults.Times,CurveResults.DFs,$V30))</f>
        <v>-</v>
      </c>
      <c r="AA30" s="371" t="str">
        <f t="shared" si="93"/>
        <v>-</v>
      </c>
      <c r="AB30" s="371" t="str">
        <f t="shared" si="94"/>
        <v>-</v>
      </c>
      <c r="AC30" s="373" t="str">
        <f t="shared" si="95"/>
        <v>-</v>
      </c>
      <c r="AF30" s="370">
        <f t="shared" si="96"/>
        <v>6.5</v>
      </c>
      <c r="AG30" s="371" t="str">
        <f t="shared" si="97"/>
        <v>-</v>
      </c>
      <c r="AH30" s="348" t="str">
        <f t="shared" si="98"/>
        <v>-</v>
      </c>
      <c r="AI30" s="348" t="str">
        <f t="shared" si="99"/>
        <v>-</v>
      </c>
      <c r="AJ30" s="372" t="str" cm="1">
        <f t="array" ref="AJ30">IF($AF30&gt;CDS.Tenor,"-",cubicInterpolation(CurveResults.Times,CurveResults.DFs,$V30))</f>
        <v>-</v>
      </c>
      <c r="AK30" s="373" t="str">
        <f t="shared" si="100"/>
        <v>-</v>
      </c>
      <c r="AN30" s="358">
        <f t="shared" si="101"/>
        <v>6.5</v>
      </c>
      <c r="AO30" s="343" t="str" cm="1">
        <f t="array" aca="1" ref="AO30" ca="1">IF($AN30&gt;CDS.Tenor,"-",flatInterpolation(AM30,INDIRECT(HazardRateTimes1),INDIRECT(HazardRateValues1)))</f>
        <v>-</v>
      </c>
      <c r="AP30" s="10" t="str">
        <f t="shared" si="102"/>
        <v>-</v>
      </c>
      <c r="AQ30" s="10" t="str">
        <f t="shared" si="103"/>
        <v>-</v>
      </c>
      <c r="AR30" s="81" t="str">
        <f t="shared" si="104"/>
        <v>-</v>
      </c>
      <c r="AT30" s="358">
        <f t="shared" si="105"/>
        <v>6.5</v>
      </c>
      <c r="AU30" s="353" t="str">
        <f>IF($AN30&gt;CDS.Tenor,"-",_xlfn.NORM.S.DIST(($AR30-SQRT(Correlation1)*AU$3)/SQRT(1-Correlation1),TRUE))</f>
        <v>-</v>
      </c>
      <c r="AV30" s="353" t="str">
        <f>IF($AN30&gt;CDS.Tenor,"-",_xlfn.NORM.S.DIST(($AR30-SQRT(Correlation1)*AV$3)/SQRT(1-Correlation1),TRUE))</f>
        <v>-</v>
      </c>
      <c r="AW30" s="353" t="str">
        <f>IF($AN30&gt;CDS.Tenor,"-",_xlfn.NORM.S.DIST(($AR30-SQRT(Correlation1)*AW$3)/SQRT(1-Correlation1),TRUE))</f>
        <v>-</v>
      </c>
      <c r="AX30" s="353" t="str">
        <f>IF($AN30&gt;CDS.Tenor,"-",_xlfn.NORM.S.DIST(($AR30-SQRT(Correlation1)*AX$3)/SQRT(1-Correlation1),TRUE))</f>
        <v>-</v>
      </c>
      <c r="AY30" s="353" t="str">
        <f>IF($AN30&gt;CDS.Tenor,"-",_xlfn.NORM.S.DIST(($AR30-SQRT(Correlation1)*AY$3)/SQRT(1-Correlation1),TRUE))</f>
        <v>-</v>
      </c>
      <c r="AZ30" s="353" t="str">
        <f>IF($AN30&gt;CDS.Tenor,"-",_xlfn.NORM.S.DIST(($AR30-SQRT(Correlation1)*AZ$3)/SQRT(1-Correlation1),TRUE))</f>
        <v>-</v>
      </c>
      <c r="BA30" s="353" t="str">
        <f>IF($AN30&gt;CDS.Tenor,"-",_xlfn.NORM.S.DIST(($AR30-SQRT(Correlation1)*BA$3)/SQRT(1-Correlation1),TRUE))</f>
        <v>-</v>
      </c>
      <c r="BB30" s="353" t="str">
        <f>IF($AN30&gt;CDS.Tenor,"-",_xlfn.NORM.S.DIST(($AR30-SQRT(Correlation1)*BB$3)/SQRT(1-Correlation1),TRUE))</f>
        <v>-</v>
      </c>
      <c r="BC30" s="353" t="str">
        <f>IF($AN30&gt;CDS.Tenor,"-",_xlfn.NORM.S.DIST(($AR30-SQRT(Correlation1)*BC$3)/SQRT(1-Correlation1),TRUE))</f>
        <v>-</v>
      </c>
      <c r="BD30" s="353" t="str">
        <f>IF($AN30&gt;CDS.Tenor,"-",_xlfn.NORM.S.DIST(($AR30-SQRT(Correlation1)*BD$3)/SQRT(1-Correlation1),TRUE))</f>
        <v>-</v>
      </c>
      <c r="BE30" s="353" t="str">
        <f>IF($AN30&gt;CDS.Tenor,"-",_xlfn.NORM.S.DIST(($AR30-SQRT(Correlation1)*BE$3)/SQRT(1-Correlation1),TRUE))</f>
        <v>-</v>
      </c>
      <c r="BF30" s="353" t="str">
        <f>IF($AN30&gt;CDS.Tenor,"-",_xlfn.NORM.S.DIST(($AR30-SQRT(Correlation1)*BF$3)/SQRT(1-Correlation1),TRUE))</f>
        <v>-</v>
      </c>
      <c r="BG30" s="353" t="str">
        <f>IF($AN30&gt;CDS.Tenor,"-",_xlfn.NORM.S.DIST(($AR30-SQRT(Correlation1)*BG$3)/SQRT(1-Correlation1),TRUE))</f>
        <v>-</v>
      </c>
      <c r="BH30" s="353" t="str">
        <f>IF($AN30&gt;CDS.Tenor,"-",_xlfn.NORM.S.DIST(($AR30-SQRT(Correlation1)*BH$3)/SQRT(1-Correlation1),TRUE))</f>
        <v>-</v>
      </c>
      <c r="BI30" s="353" t="str">
        <f>IF($AN30&gt;CDS.Tenor,"-",_xlfn.NORM.S.DIST(($AR30-SQRT(Correlation1)*BI$3)/SQRT(1-Correlation1),TRUE))</f>
        <v>-</v>
      </c>
      <c r="BJ30" s="353" t="str">
        <f>IF($AN30&gt;CDS.Tenor,"-",_xlfn.NORM.S.DIST(($AR30-SQRT(Correlation1)*BJ$3)/SQRT(1-Correlation1),TRUE))</f>
        <v>-</v>
      </c>
      <c r="BK30" s="353" t="str">
        <f>IF($AN30&gt;CDS.Tenor,"-",_xlfn.NORM.S.DIST(($AR30-SQRT(Correlation1)*BK$3)/SQRT(1-Correlation1),TRUE))</f>
        <v>-</v>
      </c>
      <c r="BL30" s="353" t="str">
        <f>IF($AN30&gt;CDS.Tenor,"-",_xlfn.NORM.S.DIST(($AR30-SQRT(Correlation1)*BL$3)/SQRT(1-Correlation1),TRUE))</f>
        <v>-</v>
      </c>
      <c r="BM30" s="353" t="str">
        <f>IF($AN30&gt;CDS.Tenor,"-",_xlfn.NORM.S.DIST(($AR30-SQRT(Correlation1)*BM$3)/SQRT(1-Correlation1),TRUE))</f>
        <v>-</v>
      </c>
      <c r="BN30" s="353" t="str">
        <f>IF($AN30&gt;CDS.Tenor,"-",_xlfn.NORM.S.DIST(($AR30-SQRT(Correlation1)*BN$3)/SQRT(1-Correlation1),TRUE))</f>
        <v>-</v>
      </c>
      <c r="BO30" s="354" t="str">
        <f>IF($AN30&gt;CDS.Tenor,"-",_xlfn.NORM.S.DIST(($AR30-SQRT(Correlation1)*BO$3)/SQRT(1-Correlation1),TRUE))</f>
        <v>-</v>
      </c>
      <c r="BQ30" s="358">
        <f t="shared" si="106"/>
        <v>6.5</v>
      </c>
      <c r="BR30" s="353" t="str">
        <f t="shared" si="107"/>
        <v>-</v>
      </c>
      <c r="BS30" s="353" t="str">
        <f t="shared" si="108"/>
        <v>-</v>
      </c>
      <c r="BT30" s="353" t="str">
        <f t="shared" si="109"/>
        <v>-</v>
      </c>
      <c r="BU30" s="353" t="str">
        <f t="shared" si="110"/>
        <v>-</v>
      </c>
      <c r="BV30" s="353" t="str">
        <f t="shared" si="111"/>
        <v>-</v>
      </c>
      <c r="BW30" s="353" t="str">
        <f t="shared" si="112"/>
        <v>-</v>
      </c>
      <c r="BX30" s="353" t="str">
        <f t="shared" si="113"/>
        <v>-</v>
      </c>
      <c r="BY30" s="353" t="str">
        <f t="shared" si="114"/>
        <v>-</v>
      </c>
      <c r="BZ30" s="353" t="str">
        <f t="shared" si="115"/>
        <v>-</v>
      </c>
      <c r="CA30" s="353" t="str">
        <f t="shared" si="116"/>
        <v>-</v>
      </c>
      <c r="CB30" s="353" t="str">
        <f t="shared" si="117"/>
        <v>-</v>
      </c>
      <c r="CC30" s="353" t="str">
        <f t="shared" si="118"/>
        <v>-</v>
      </c>
      <c r="CD30" s="353" t="str">
        <f t="shared" si="119"/>
        <v>-</v>
      </c>
      <c r="CE30" s="353" t="str">
        <f t="shared" si="120"/>
        <v>-</v>
      </c>
      <c r="CF30" s="353" t="str">
        <f t="shared" si="121"/>
        <v>-</v>
      </c>
      <c r="CG30" s="353" t="str">
        <f t="shared" si="122"/>
        <v>-</v>
      </c>
      <c r="CH30" s="353" t="str">
        <f t="shared" si="123"/>
        <v>-</v>
      </c>
      <c r="CI30" s="353" t="str">
        <f t="shared" si="124"/>
        <v>-</v>
      </c>
      <c r="CJ30" s="353" t="str">
        <f t="shared" si="125"/>
        <v>-</v>
      </c>
      <c r="CK30" s="353" t="str">
        <f t="shared" si="126"/>
        <v>-</v>
      </c>
      <c r="CL30" s="354" t="str">
        <f t="shared" si="127"/>
        <v>-</v>
      </c>
      <c r="CM30" s="17"/>
      <c r="CN30" s="17"/>
      <c r="CO30" s="343" t="str" cm="1">
        <f t="array" aca="1" ref="CO30" ca="1">IF($AN30&gt;CDS.Tenor,"-",flatInterpolation(AN30,INDIRECT(HazardRateTimes2),INDIRECT(HazardRateValues2)))</f>
        <v>-</v>
      </c>
      <c r="CP30" s="10" t="str">
        <f t="shared" si="128"/>
        <v>-</v>
      </c>
      <c r="CQ30" s="10" t="str">
        <f t="shared" si="129"/>
        <v>-</v>
      </c>
      <c r="CR30" s="81" t="str">
        <f t="shared" si="130"/>
        <v>-</v>
      </c>
      <c r="CT30" s="358">
        <f t="shared" si="131"/>
        <v>6.5</v>
      </c>
      <c r="CU30" s="353" t="str">
        <f>IF($AN30&gt;CDS.Tenor,"-",_xlfn.NORM.S.DIST(($CR30-SQRT(Correlation2)*CU$3)/SQRT(1-Correlation2),TRUE))</f>
        <v>-</v>
      </c>
      <c r="CV30" s="353" t="str">
        <f>IF($AN30&gt;CDS.Tenor,"-",_xlfn.NORM.S.DIST(($CR30-SQRT(Correlation2)*CV$3)/SQRT(1-Correlation2),TRUE))</f>
        <v>-</v>
      </c>
      <c r="CW30" s="353" t="str">
        <f>IF($AN30&gt;CDS.Tenor,"-",_xlfn.NORM.S.DIST(($CR30-SQRT(Correlation2)*CW$3)/SQRT(1-Correlation2),TRUE))</f>
        <v>-</v>
      </c>
      <c r="CX30" s="353" t="str">
        <f>IF($AN30&gt;CDS.Tenor,"-",_xlfn.NORM.S.DIST(($CR30-SQRT(Correlation2)*CX$3)/SQRT(1-Correlation2),TRUE))</f>
        <v>-</v>
      </c>
      <c r="CY30" s="353" t="str">
        <f>IF($AN30&gt;CDS.Tenor,"-",_xlfn.NORM.S.DIST(($CR30-SQRT(Correlation2)*CY$3)/SQRT(1-Correlation2),TRUE))</f>
        <v>-</v>
      </c>
      <c r="CZ30" s="353" t="str">
        <f>IF($AN30&gt;CDS.Tenor,"-",_xlfn.NORM.S.DIST(($CR30-SQRT(Correlation2)*CZ$3)/SQRT(1-Correlation2),TRUE))</f>
        <v>-</v>
      </c>
      <c r="DA30" s="353" t="str">
        <f>IF($AN30&gt;CDS.Tenor,"-",_xlfn.NORM.S.DIST(($CR30-SQRT(Correlation2)*DA$3)/SQRT(1-Correlation2),TRUE))</f>
        <v>-</v>
      </c>
      <c r="DB30" s="353" t="str">
        <f>IF($AN30&gt;CDS.Tenor,"-",_xlfn.NORM.S.DIST(($CR30-SQRT(Correlation2)*DB$3)/SQRT(1-Correlation2),TRUE))</f>
        <v>-</v>
      </c>
      <c r="DC30" s="353" t="str">
        <f>IF($AN30&gt;CDS.Tenor,"-",_xlfn.NORM.S.DIST(($CR30-SQRT(Correlation2)*DC$3)/SQRT(1-Correlation2),TRUE))</f>
        <v>-</v>
      </c>
      <c r="DD30" s="353" t="str">
        <f>IF($AN30&gt;CDS.Tenor,"-",_xlfn.NORM.S.DIST(($CR30-SQRT(Correlation2)*DD$3)/SQRT(1-Correlation2),TRUE))</f>
        <v>-</v>
      </c>
      <c r="DE30" s="353" t="str">
        <f>IF($AN30&gt;CDS.Tenor,"-",_xlfn.NORM.S.DIST(($CR30-SQRT(Correlation2)*DE$3)/SQRT(1-Correlation2),TRUE))</f>
        <v>-</v>
      </c>
      <c r="DF30" s="353" t="str">
        <f>IF($AN30&gt;CDS.Tenor,"-",_xlfn.NORM.S.DIST(($CR30-SQRT(Correlation2)*DF$3)/SQRT(1-Correlation2),TRUE))</f>
        <v>-</v>
      </c>
      <c r="DG30" s="353" t="str">
        <f>IF($AN30&gt;CDS.Tenor,"-",_xlfn.NORM.S.DIST(($CR30-SQRT(Correlation2)*DG$3)/SQRT(1-Correlation2),TRUE))</f>
        <v>-</v>
      </c>
      <c r="DH30" s="353" t="str">
        <f>IF($AN30&gt;CDS.Tenor,"-",_xlfn.NORM.S.DIST(($CR30-SQRT(Correlation2)*DH$3)/SQRT(1-Correlation2),TRUE))</f>
        <v>-</v>
      </c>
      <c r="DI30" s="353" t="str">
        <f>IF($AN30&gt;CDS.Tenor,"-",_xlfn.NORM.S.DIST(($CR30-SQRT(Correlation2)*DI$3)/SQRT(1-Correlation2),TRUE))</f>
        <v>-</v>
      </c>
      <c r="DJ30" s="353" t="str">
        <f>IF($AN30&gt;CDS.Tenor,"-",_xlfn.NORM.S.DIST(($CR30-SQRT(Correlation2)*DJ$3)/SQRT(1-Correlation2),TRUE))</f>
        <v>-</v>
      </c>
      <c r="DK30" s="353" t="str">
        <f>IF($AN30&gt;CDS.Tenor,"-",_xlfn.NORM.S.DIST(($CR30-SQRT(Correlation2)*DK$3)/SQRT(1-Correlation2),TRUE))</f>
        <v>-</v>
      </c>
      <c r="DL30" s="353" t="str">
        <f>IF($AN30&gt;CDS.Tenor,"-",_xlfn.NORM.S.DIST(($CR30-SQRT(Correlation2)*DL$3)/SQRT(1-Correlation2),TRUE))</f>
        <v>-</v>
      </c>
      <c r="DM30" s="353" t="str">
        <f>IF($AN30&gt;CDS.Tenor,"-",_xlfn.NORM.S.DIST(($CR30-SQRT(Correlation2)*DM$3)/SQRT(1-Correlation2),TRUE))</f>
        <v>-</v>
      </c>
      <c r="DN30" s="353" t="str">
        <f>IF($AN30&gt;CDS.Tenor,"-",_xlfn.NORM.S.DIST(($CR30-SQRT(Correlation2)*DN$3)/SQRT(1-Correlation2),TRUE))</f>
        <v>-</v>
      </c>
      <c r="DO30" s="354" t="str">
        <f>IF($AN30&gt;CDS.Tenor,"-",_xlfn.NORM.S.DIST(($CR30-SQRT(Correlation2)*DO$3)/SQRT(1-Correlation2),TRUE))</f>
        <v>-</v>
      </c>
      <c r="DQ30" s="358">
        <f t="shared" si="132"/>
        <v>6.5</v>
      </c>
      <c r="DR30" s="353" t="str">
        <f t="shared" si="133"/>
        <v>-</v>
      </c>
      <c r="DS30" s="353" t="str">
        <f t="shared" si="134"/>
        <v>-</v>
      </c>
      <c r="DT30" s="353" t="str">
        <f t="shared" si="135"/>
        <v>-</v>
      </c>
      <c r="DU30" s="353" t="str">
        <f t="shared" si="136"/>
        <v>-</v>
      </c>
      <c r="DV30" s="353" t="str">
        <f t="shared" si="137"/>
        <v>-</v>
      </c>
      <c r="DW30" s="353" t="str">
        <f t="shared" si="138"/>
        <v>-</v>
      </c>
      <c r="DX30" s="353" t="str">
        <f t="shared" si="139"/>
        <v>-</v>
      </c>
      <c r="DY30" s="353" t="str">
        <f t="shared" si="140"/>
        <v>-</v>
      </c>
      <c r="DZ30" s="353" t="str">
        <f t="shared" si="141"/>
        <v>-</v>
      </c>
      <c r="EA30" s="353" t="str">
        <f t="shared" si="142"/>
        <v>-</v>
      </c>
      <c r="EB30" s="353" t="str">
        <f t="shared" si="143"/>
        <v>-</v>
      </c>
      <c r="EC30" s="353" t="str">
        <f t="shared" si="144"/>
        <v>-</v>
      </c>
      <c r="ED30" s="353" t="str">
        <f t="shared" si="145"/>
        <v>-</v>
      </c>
      <c r="EE30" s="353" t="str">
        <f t="shared" si="146"/>
        <v>-</v>
      </c>
      <c r="EF30" s="353" t="str">
        <f t="shared" si="147"/>
        <v>-</v>
      </c>
      <c r="EG30" s="353" t="str">
        <f t="shared" si="148"/>
        <v>-</v>
      </c>
      <c r="EH30" s="353" t="str">
        <f t="shared" si="149"/>
        <v>-</v>
      </c>
      <c r="EI30" s="353" t="str">
        <f t="shared" si="150"/>
        <v>-</v>
      </c>
      <c r="EJ30" s="353" t="str">
        <f t="shared" si="151"/>
        <v>-</v>
      </c>
      <c r="EK30" s="353" t="str">
        <f t="shared" si="152"/>
        <v>-</v>
      </c>
      <c r="EL30" s="354" t="str">
        <f t="shared" si="153"/>
        <v>-</v>
      </c>
      <c r="EM30" s="17"/>
      <c r="EN30" s="17"/>
      <c r="EO30" s="343" t="str" cm="1">
        <f t="array" aca="1" ref="EO30" ca="1">IF($AN30&gt;CDS.Tenor,"-",flatInterpolation(CP30,INDIRECT(HazardRateTimes3),INDIRECT(HazardRateValues3)))</f>
        <v>-</v>
      </c>
      <c r="EP30" s="10" t="str">
        <f t="shared" si="154"/>
        <v>-</v>
      </c>
      <c r="EQ30" s="10" t="str">
        <f t="shared" si="155"/>
        <v>-</v>
      </c>
      <c r="ER30" s="81" t="str">
        <f t="shared" si="156"/>
        <v>-</v>
      </c>
      <c r="ET30" s="358">
        <f t="shared" si="157"/>
        <v>6.5</v>
      </c>
      <c r="EU30" s="353" t="str">
        <f>IF($AN30&gt;CDS.Tenor,"-",_xlfn.NORM.S.DIST(($ER30-SQRT(Correlation3)*EU$3)/SQRT(1-Correlation3),TRUE))</f>
        <v>-</v>
      </c>
      <c r="EV30" s="353" t="str">
        <f>IF($AN30&gt;CDS.Tenor,"-",_xlfn.NORM.S.DIST(($ER30-SQRT(Correlation3)*EV$3)/SQRT(1-Correlation3),TRUE))</f>
        <v>-</v>
      </c>
      <c r="EW30" s="353" t="str">
        <f>IF($AN30&gt;CDS.Tenor,"-",_xlfn.NORM.S.DIST(($ER30-SQRT(Correlation3)*EW$3)/SQRT(1-Correlation3),TRUE))</f>
        <v>-</v>
      </c>
      <c r="EX30" s="353" t="str">
        <f>IF($AN30&gt;CDS.Tenor,"-",_xlfn.NORM.S.DIST(($ER30-SQRT(Correlation3)*EX$3)/SQRT(1-Correlation3),TRUE))</f>
        <v>-</v>
      </c>
      <c r="EY30" s="353" t="str">
        <f>IF($AN30&gt;CDS.Tenor,"-",_xlfn.NORM.S.DIST(($ER30-SQRT(Correlation3)*EY$3)/SQRT(1-Correlation3),TRUE))</f>
        <v>-</v>
      </c>
      <c r="EZ30" s="353" t="str">
        <f>IF($AN30&gt;CDS.Tenor,"-",_xlfn.NORM.S.DIST(($ER30-SQRT(Correlation3)*EZ$3)/SQRT(1-Correlation3),TRUE))</f>
        <v>-</v>
      </c>
      <c r="FA30" s="353" t="str">
        <f>IF($AN30&gt;CDS.Tenor,"-",_xlfn.NORM.S.DIST(($ER30-SQRT(Correlation3)*FA$3)/SQRT(1-Correlation3),TRUE))</f>
        <v>-</v>
      </c>
      <c r="FB30" s="353" t="str">
        <f>IF($AN30&gt;CDS.Tenor,"-",_xlfn.NORM.S.DIST(($ER30-SQRT(Correlation3)*FB$3)/SQRT(1-Correlation3),TRUE))</f>
        <v>-</v>
      </c>
      <c r="FC30" s="353" t="str">
        <f>IF($AN30&gt;CDS.Tenor,"-",_xlfn.NORM.S.DIST(($ER30-SQRT(Correlation3)*FC$3)/SQRT(1-Correlation3),TRUE))</f>
        <v>-</v>
      </c>
      <c r="FD30" s="353" t="str">
        <f>IF($AN30&gt;CDS.Tenor,"-",_xlfn.NORM.S.DIST(($ER30-SQRT(Correlation3)*FD$3)/SQRT(1-Correlation3),TRUE))</f>
        <v>-</v>
      </c>
      <c r="FE30" s="353" t="str">
        <f>IF($AN30&gt;CDS.Tenor,"-",_xlfn.NORM.S.DIST(($ER30-SQRT(Correlation3)*FE$3)/SQRT(1-Correlation3),TRUE))</f>
        <v>-</v>
      </c>
      <c r="FF30" s="353" t="str">
        <f>IF($AN30&gt;CDS.Tenor,"-",_xlfn.NORM.S.DIST(($ER30-SQRT(Correlation3)*FF$3)/SQRT(1-Correlation3),TRUE))</f>
        <v>-</v>
      </c>
      <c r="FG30" s="353" t="str">
        <f>IF($AN30&gt;CDS.Tenor,"-",_xlfn.NORM.S.DIST(($ER30-SQRT(Correlation3)*FG$3)/SQRT(1-Correlation3),TRUE))</f>
        <v>-</v>
      </c>
      <c r="FH30" s="353" t="str">
        <f>IF($AN30&gt;CDS.Tenor,"-",_xlfn.NORM.S.DIST(($ER30-SQRT(Correlation3)*FH$3)/SQRT(1-Correlation3),TRUE))</f>
        <v>-</v>
      </c>
      <c r="FI30" s="353" t="str">
        <f>IF($AN30&gt;CDS.Tenor,"-",_xlfn.NORM.S.DIST(($ER30-SQRT(Correlation3)*FI$3)/SQRT(1-Correlation3),TRUE))</f>
        <v>-</v>
      </c>
      <c r="FJ30" s="353" t="str">
        <f>IF($AN30&gt;CDS.Tenor,"-",_xlfn.NORM.S.DIST(($ER30-SQRT(Correlation3)*FJ$3)/SQRT(1-Correlation3),TRUE))</f>
        <v>-</v>
      </c>
      <c r="FK30" s="353" t="str">
        <f>IF($AN30&gt;CDS.Tenor,"-",_xlfn.NORM.S.DIST(($ER30-SQRT(Correlation3)*FK$3)/SQRT(1-Correlation3),TRUE))</f>
        <v>-</v>
      </c>
      <c r="FL30" s="353" t="str">
        <f>IF($AN30&gt;CDS.Tenor,"-",_xlfn.NORM.S.DIST(($ER30-SQRT(Correlation3)*FL$3)/SQRT(1-Correlation3),TRUE))</f>
        <v>-</v>
      </c>
      <c r="FM30" s="353" t="str">
        <f>IF($AN30&gt;CDS.Tenor,"-",_xlfn.NORM.S.DIST(($ER30-SQRT(Correlation3)*FM$3)/SQRT(1-Correlation3),TRUE))</f>
        <v>-</v>
      </c>
      <c r="FN30" s="353" t="str">
        <f>IF($AN30&gt;CDS.Tenor,"-",_xlfn.NORM.S.DIST(($ER30-SQRT(Correlation3)*FN$3)/SQRT(1-Correlation3),TRUE))</f>
        <v>-</v>
      </c>
      <c r="FO30" s="354" t="str">
        <f>IF($AN30&gt;CDS.Tenor,"-",_xlfn.NORM.S.DIST(($ER30-SQRT(Correlation3)*FO$3)/SQRT(1-Correlation3),TRUE))</f>
        <v>-</v>
      </c>
      <c r="FQ30" s="358">
        <f t="shared" si="158"/>
        <v>6.5</v>
      </c>
      <c r="FR30" s="353" t="str">
        <f t="shared" si="159"/>
        <v>-</v>
      </c>
      <c r="FS30" s="353" t="str">
        <f t="shared" si="160"/>
        <v>-</v>
      </c>
      <c r="FT30" s="353" t="str">
        <f t="shared" si="161"/>
        <v>-</v>
      </c>
      <c r="FU30" s="353" t="str">
        <f t="shared" si="162"/>
        <v>-</v>
      </c>
      <c r="FV30" s="353" t="str">
        <f t="shared" si="163"/>
        <v>-</v>
      </c>
      <c r="FW30" s="353" t="str">
        <f t="shared" si="164"/>
        <v>-</v>
      </c>
      <c r="FX30" s="353" t="str">
        <f t="shared" si="165"/>
        <v>-</v>
      </c>
      <c r="FY30" s="353" t="str">
        <f t="shared" si="166"/>
        <v>-</v>
      </c>
      <c r="FZ30" s="353" t="str">
        <f t="shared" si="167"/>
        <v>-</v>
      </c>
      <c r="GA30" s="353" t="str">
        <f t="shared" si="168"/>
        <v>-</v>
      </c>
      <c r="GB30" s="353" t="str">
        <f t="shared" si="169"/>
        <v>-</v>
      </c>
      <c r="GC30" s="353" t="str">
        <f t="shared" si="170"/>
        <v>-</v>
      </c>
      <c r="GD30" s="353" t="str">
        <f t="shared" si="171"/>
        <v>-</v>
      </c>
      <c r="GE30" s="353" t="str">
        <f t="shared" si="172"/>
        <v>-</v>
      </c>
      <c r="GF30" s="353" t="str">
        <f t="shared" si="173"/>
        <v>-</v>
      </c>
      <c r="GG30" s="353" t="str">
        <f t="shared" si="174"/>
        <v>-</v>
      </c>
      <c r="GH30" s="353" t="str">
        <f t="shared" si="175"/>
        <v>-</v>
      </c>
      <c r="GI30" s="353" t="str">
        <f t="shared" si="176"/>
        <v>-</v>
      </c>
      <c r="GJ30" s="353" t="str">
        <f t="shared" si="177"/>
        <v>-</v>
      </c>
      <c r="GK30" s="353" t="str">
        <f t="shared" si="178"/>
        <v>-</v>
      </c>
      <c r="GL30" s="354" t="str">
        <f t="shared" si="179"/>
        <v>-</v>
      </c>
      <c r="GO30" s="358">
        <f t="shared" si="180"/>
        <v>6.5</v>
      </c>
      <c r="GP30" s="353" t="str">
        <f t="shared" si="181"/>
        <v>-</v>
      </c>
      <c r="GQ30" s="353" t="str">
        <f t="shared" si="182"/>
        <v>-</v>
      </c>
      <c r="GR30" s="353" t="str">
        <f t="shared" si="183"/>
        <v>-</v>
      </c>
      <c r="GS30" s="353" t="str">
        <f t="shared" si="184"/>
        <v>-</v>
      </c>
      <c r="GT30" s="353" t="str">
        <f t="shared" si="185"/>
        <v>-</v>
      </c>
      <c r="GU30" s="353" t="str">
        <f t="shared" si="186"/>
        <v>-</v>
      </c>
      <c r="GV30" s="353" t="str">
        <f t="shared" si="187"/>
        <v>-</v>
      </c>
      <c r="GW30" s="353" t="str">
        <f t="shared" si="188"/>
        <v>-</v>
      </c>
      <c r="GX30" s="353" t="str">
        <f t="shared" si="189"/>
        <v>-</v>
      </c>
      <c r="GY30" s="353" t="str">
        <f t="shared" si="190"/>
        <v>-</v>
      </c>
      <c r="GZ30" s="353" t="str">
        <f t="shared" si="191"/>
        <v>-</v>
      </c>
      <c r="HA30" s="353" t="str">
        <f t="shared" si="192"/>
        <v>-</v>
      </c>
      <c r="HB30" s="353" t="str">
        <f t="shared" si="193"/>
        <v>-</v>
      </c>
      <c r="HC30" s="353" t="str">
        <f t="shared" si="194"/>
        <v>-</v>
      </c>
      <c r="HD30" s="353" t="str">
        <f t="shared" si="195"/>
        <v>-</v>
      </c>
      <c r="HE30" s="353" t="str">
        <f t="shared" si="196"/>
        <v>-</v>
      </c>
      <c r="HF30" s="353" t="str">
        <f t="shared" si="197"/>
        <v>-</v>
      </c>
      <c r="HG30" s="353" t="str">
        <f t="shared" si="198"/>
        <v>-</v>
      </c>
      <c r="HH30" s="353" t="str">
        <f t="shared" si="199"/>
        <v>-</v>
      </c>
      <c r="HI30" s="353" t="str">
        <f t="shared" si="200"/>
        <v>-</v>
      </c>
      <c r="HJ30" s="354" t="str">
        <f t="shared" si="201"/>
        <v>-</v>
      </c>
      <c r="HK30" s="42"/>
      <c r="HL30" s="42"/>
      <c r="HM30" s="358">
        <f t="shared" si="202"/>
        <v>6.5</v>
      </c>
      <c r="HN30" s="362" t="str">
        <f t="shared" si="203"/>
        <v>-</v>
      </c>
      <c r="HO30" s="363" t="str">
        <f t="shared" si="204"/>
        <v>-</v>
      </c>
    </row>
    <row r="31" spans="2:223" x14ac:dyDescent="0.3">
      <c r="V31" s="370">
        <f t="shared" si="89"/>
        <v>6.75</v>
      </c>
      <c r="W31" s="371" t="str">
        <f t="shared" si="90"/>
        <v>-</v>
      </c>
      <c r="X31" s="348" t="str">
        <f t="shared" si="91"/>
        <v>-</v>
      </c>
      <c r="Y31" s="348" t="str">
        <f t="shared" si="92"/>
        <v>-</v>
      </c>
      <c r="Z31" s="372" t="str" cm="1">
        <f t="array" ref="Z31">IF($V31&gt;CDS.Tenor,"-",cubicInterpolation(CurveResults.Times,CurveResults.DFs,$V31))</f>
        <v>-</v>
      </c>
      <c r="AA31" s="371" t="str">
        <f t="shared" si="93"/>
        <v>-</v>
      </c>
      <c r="AB31" s="371" t="str">
        <f t="shared" si="94"/>
        <v>-</v>
      </c>
      <c r="AC31" s="373" t="str">
        <f t="shared" si="95"/>
        <v>-</v>
      </c>
      <c r="AF31" s="370">
        <f t="shared" si="96"/>
        <v>6.75</v>
      </c>
      <c r="AG31" s="371" t="str">
        <f t="shared" si="97"/>
        <v>-</v>
      </c>
      <c r="AH31" s="348" t="str">
        <f t="shared" si="98"/>
        <v>-</v>
      </c>
      <c r="AI31" s="348" t="str">
        <f t="shared" si="99"/>
        <v>-</v>
      </c>
      <c r="AJ31" s="372" t="str" cm="1">
        <f t="array" ref="AJ31">IF($AF31&gt;CDS.Tenor,"-",cubicInterpolation(CurveResults.Times,CurveResults.DFs,$V31))</f>
        <v>-</v>
      </c>
      <c r="AK31" s="373" t="str">
        <f t="shared" si="100"/>
        <v>-</v>
      </c>
      <c r="AN31" s="358">
        <f t="shared" si="101"/>
        <v>6.75</v>
      </c>
      <c r="AO31" s="343" t="str" cm="1">
        <f t="array" aca="1" ref="AO31" ca="1">IF($AN31&gt;CDS.Tenor,"-",flatInterpolation(AM31,INDIRECT(HazardRateTimes1),INDIRECT(HazardRateValues1)))</f>
        <v>-</v>
      </c>
      <c r="AP31" s="10" t="str">
        <f t="shared" si="102"/>
        <v>-</v>
      </c>
      <c r="AQ31" s="10" t="str">
        <f t="shared" si="103"/>
        <v>-</v>
      </c>
      <c r="AR31" s="81" t="str">
        <f t="shared" si="104"/>
        <v>-</v>
      </c>
      <c r="AT31" s="358">
        <f t="shared" si="105"/>
        <v>6.75</v>
      </c>
      <c r="AU31" s="353" t="str">
        <f>IF($AN31&gt;CDS.Tenor,"-",_xlfn.NORM.S.DIST(($AR31-SQRT(Correlation1)*AU$3)/SQRT(1-Correlation1),TRUE))</f>
        <v>-</v>
      </c>
      <c r="AV31" s="353" t="str">
        <f>IF($AN31&gt;CDS.Tenor,"-",_xlfn.NORM.S.DIST(($AR31-SQRT(Correlation1)*AV$3)/SQRT(1-Correlation1),TRUE))</f>
        <v>-</v>
      </c>
      <c r="AW31" s="353" t="str">
        <f>IF($AN31&gt;CDS.Tenor,"-",_xlfn.NORM.S.DIST(($AR31-SQRT(Correlation1)*AW$3)/SQRT(1-Correlation1),TRUE))</f>
        <v>-</v>
      </c>
      <c r="AX31" s="353" t="str">
        <f>IF($AN31&gt;CDS.Tenor,"-",_xlfn.NORM.S.DIST(($AR31-SQRT(Correlation1)*AX$3)/SQRT(1-Correlation1),TRUE))</f>
        <v>-</v>
      </c>
      <c r="AY31" s="353" t="str">
        <f>IF($AN31&gt;CDS.Tenor,"-",_xlfn.NORM.S.DIST(($AR31-SQRT(Correlation1)*AY$3)/SQRT(1-Correlation1),TRUE))</f>
        <v>-</v>
      </c>
      <c r="AZ31" s="353" t="str">
        <f>IF($AN31&gt;CDS.Tenor,"-",_xlfn.NORM.S.DIST(($AR31-SQRT(Correlation1)*AZ$3)/SQRT(1-Correlation1),TRUE))</f>
        <v>-</v>
      </c>
      <c r="BA31" s="353" t="str">
        <f>IF($AN31&gt;CDS.Tenor,"-",_xlfn.NORM.S.DIST(($AR31-SQRT(Correlation1)*BA$3)/SQRT(1-Correlation1),TRUE))</f>
        <v>-</v>
      </c>
      <c r="BB31" s="353" t="str">
        <f>IF($AN31&gt;CDS.Tenor,"-",_xlfn.NORM.S.DIST(($AR31-SQRT(Correlation1)*BB$3)/SQRT(1-Correlation1),TRUE))</f>
        <v>-</v>
      </c>
      <c r="BC31" s="353" t="str">
        <f>IF($AN31&gt;CDS.Tenor,"-",_xlfn.NORM.S.DIST(($AR31-SQRT(Correlation1)*BC$3)/SQRT(1-Correlation1),TRUE))</f>
        <v>-</v>
      </c>
      <c r="BD31" s="353" t="str">
        <f>IF($AN31&gt;CDS.Tenor,"-",_xlfn.NORM.S.DIST(($AR31-SQRT(Correlation1)*BD$3)/SQRT(1-Correlation1),TRUE))</f>
        <v>-</v>
      </c>
      <c r="BE31" s="353" t="str">
        <f>IF($AN31&gt;CDS.Tenor,"-",_xlfn.NORM.S.DIST(($AR31-SQRT(Correlation1)*BE$3)/SQRT(1-Correlation1),TRUE))</f>
        <v>-</v>
      </c>
      <c r="BF31" s="353" t="str">
        <f>IF($AN31&gt;CDS.Tenor,"-",_xlfn.NORM.S.DIST(($AR31-SQRT(Correlation1)*BF$3)/SQRT(1-Correlation1),TRUE))</f>
        <v>-</v>
      </c>
      <c r="BG31" s="353" t="str">
        <f>IF($AN31&gt;CDS.Tenor,"-",_xlfn.NORM.S.DIST(($AR31-SQRT(Correlation1)*BG$3)/SQRT(1-Correlation1),TRUE))</f>
        <v>-</v>
      </c>
      <c r="BH31" s="353" t="str">
        <f>IF($AN31&gt;CDS.Tenor,"-",_xlfn.NORM.S.DIST(($AR31-SQRT(Correlation1)*BH$3)/SQRT(1-Correlation1),TRUE))</f>
        <v>-</v>
      </c>
      <c r="BI31" s="353" t="str">
        <f>IF($AN31&gt;CDS.Tenor,"-",_xlfn.NORM.S.DIST(($AR31-SQRT(Correlation1)*BI$3)/SQRT(1-Correlation1),TRUE))</f>
        <v>-</v>
      </c>
      <c r="BJ31" s="353" t="str">
        <f>IF($AN31&gt;CDS.Tenor,"-",_xlfn.NORM.S.DIST(($AR31-SQRT(Correlation1)*BJ$3)/SQRT(1-Correlation1),TRUE))</f>
        <v>-</v>
      </c>
      <c r="BK31" s="353" t="str">
        <f>IF($AN31&gt;CDS.Tenor,"-",_xlfn.NORM.S.DIST(($AR31-SQRT(Correlation1)*BK$3)/SQRT(1-Correlation1),TRUE))</f>
        <v>-</v>
      </c>
      <c r="BL31" s="353" t="str">
        <f>IF($AN31&gt;CDS.Tenor,"-",_xlfn.NORM.S.DIST(($AR31-SQRT(Correlation1)*BL$3)/SQRT(1-Correlation1),TRUE))</f>
        <v>-</v>
      </c>
      <c r="BM31" s="353" t="str">
        <f>IF($AN31&gt;CDS.Tenor,"-",_xlfn.NORM.S.DIST(($AR31-SQRT(Correlation1)*BM$3)/SQRT(1-Correlation1),TRUE))</f>
        <v>-</v>
      </c>
      <c r="BN31" s="353" t="str">
        <f>IF($AN31&gt;CDS.Tenor,"-",_xlfn.NORM.S.DIST(($AR31-SQRT(Correlation1)*BN$3)/SQRT(1-Correlation1),TRUE))</f>
        <v>-</v>
      </c>
      <c r="BO31" s="354" t="str">
        <f>IF($AN31&gt;CDS.Tenor,"-",_xlfn.NORM.S.DIST(($AR31-SQRT(Correlation1)*BO$3)/SQRT(1-Correlation1),TRUE))</f>
        <v>-</v>
      </c>
      <c r="BQ31" s="358">
        <f t="shared" si="106"/>
        <v>6.75</v>
      </c>
      <c r="BR31" s="353" t="str">
        <f t="shared" si="107"/>
        <v>-</v>
      </c>
      <c r="BS31" s="353" t="str">
        <f t="shared" si="108"/>
        <v>-</v>
      </c>
      <c r="BT31" s="353" t="str">
        <f t="shared" si="109"/>
        <v>-</v>
      </c>
      <c r="BU31" s="353" t="str">
        <f t="shared" si="110"/>
        <v>-</v>
      </c>
      <c r="BV31" s="353" t="str">
        <f t="shared" si="111"/>
        <v>-</v>
      </c>
      <c r="BW31" s="353" t="str">
        <f t="shared" si="112"/>
        <v>-</v>
      </c>
      <c r="BX31" s="353" t="str">
        <f t="shared" si="113"/>
        <v>-</v>
      </c>
      <c r="BY31" s="353" t="str">
        <f t="shared" si="114"/>
        <v>-</v>
      </c>
      <c r="BZ31" s="353" t="str">
        <f t="shared" si="115"/>
        <v>-</v>
      </c>
      <c r="CA31" s="353" t="str">
        <f t="shared" si="116"/>
        <v>-</v>
      </c>
      <c r="CB31" s="353" t="str">
        <f t="shared" si="117"/>
        <v>-</v>
      </c>
      <c r="CC31" s="353" t="str">
        <f t="shared" si="118"/>
        <v>-</v>
      </c>
      <c r="CD31" s="353" t="str">
        <f t="shared" si="119"/>
        <v>-</v>
      </c>
      <c r="CE31" s="353" t="str">
        <f t="shared" si="120"/>
        <v>-</v>
      </c>
      <c r="CF31" s="353" t="str">
        <f t="shared" si="121"/>
        <v>-</v>
      </c>
      <c r="CG31" s="353" t="str">
        <f t="shared" si="122"/>
        <v>-</v>
      </c>
      <c r="CH31" s="353" t="str">
        <f t="shared" si="123"/>
        <v>-</v>
      </c>
      <c r="CI31" s="353" t="str">
        <f t="shared" si="124"/>
        <v>-</v>
      </c>
      <c r="CJ31" s="353" t="str">
        <f t="shared" si="125"/>
        <v>-</v>
      </c>
      <c r="CK31" s="353" t="str">
        <f t="shared" si="126"/>
        <v>-</v>
      </c>
      <c r="CL31" s="354" t="str">
        <f t="shared" si="127"/>
        <v>-</v>
      </c>
      <c r="CM31" s="17"/>
      <c r="CN31" s="17"/>
      <c r="CO31" s="343" t="str" cm="1">
        <f t="array" aca="1" ref="CO31" ca="1">IF($AN31&gt;CDS.Tenor,"-",flatInterpolation(AN31,INDIRECT(HazardRateTimes2),INDIRECT(HazardRateValues2)))</f>
        <v>-</v>
      </c>
      <c r="CP31" s="10" t="str">
        <f t="shared" si="128"/>
        <v>-</v>
      </c>
      <c r="CQ31" s="10" t="str">
        <f t="shared" si="129"/>
        <v>-</v>
      </c>
      <c r="CR31" s="81" t="str">
        <f t="shared" si="130"/>
        <v>-</v>
      </c>
      <c r="CT31" s="358">
        <f t="shared" si="131"/>
        <v>6.75</v>
      </c>
      <c r="CU31" s="353" t="str">
        <f>IF($AN31&gt;CDS.Tenor,"-",_xlfn.NORM.S.DIST(($CR31-SQRT(Correlation2)*CU$3)/SQRT(1-Correlation2),TRUE))</f>
        <v>-</v>
      </c>
      <c r="CV31" s="353" t="str">
        <f>IF($AN31&gt;CDS.Tenor,"-",_xlfn.NORM.S.DIST(($CR31-SQRT(Correlation2)*CV$3)/SQRT(1-Correlation2),TRUE))</f>
        <v>-</v>
      </c>
      <c r="CW31" s="353" t="str">
        <f>IF($AN31&gt;CDS.Tenor,"-",_xlfn.NORM.S.DIST(($CR31-SQRT(Correlation2)*CW$3)/SQRT(1-Correlation2),TRUE))</f>
        <v>-</v>
      </c>
      <c r="CX31" s="353" t="str">
        <f>IF($AN31&gt;CDS.Tenor,"-",_xlfn.NORM.S.DIST(($CR31-SQRT(Correlation2)*CX$3)/SQRT(1-Correlation2),TRUE))</f>
        <v>-</v>
      </c>
      <c r="CY31" s="353" t="str">
        <f>IF($AN31&gt;CDS.Tenor,"-",_xlfn.NORM.S.DIST(($CR31-SQRT(Correlation2)*CY$3)/SQRT(1-Correlation2),TRUE))</f>
        <v>-</v>
      </c>
      <c r="CZ31" s="353" t="str">
        <f>IF($AN31&gt;CDS.Tenor,"-",_xlfn.NORM.S.DIST(($CR31-SQRT(Correlation2)*CZ$3)/SQRT(1-Correlation2),TRUE))</f>
        <v>-</v>
      </c>
      <c r="DA31" s="353" t="str">
        <f>IF($AN31&gt;CDS.Tenor,"-",_xlfn.NORM.S.DIST(($CR31-SQRT(Correlation2)*DA$3)/SQRT(1-Correlation2),TRUE))</f>
        <v>-</v>
      </c>
      <c r="DB31" s="353" t="str">
        <f>IF($AN31&gt;CDS.Tenor,"-",_xlfn.NORM.S.DIST(($CR31-SQRT(Correlation2)*DB$3)/SQRT(1-Correlation2),TRUE))</f>
        <v>-</v>
      </c>
      <c r="DC31" s="353" t="str">
        <f>IF($AN31&gt;CDS.Tenor,"-",_xlfn.NORM.S.DIST(($CR31-SQRT(Correlation2)*DC$3)/SQRT(1-Correlation2),TRUE))</f>
        <v>-</v>
      </c>
      <c r="DD31" s="353" t="str">
        <f>IF($AN31&gt;CDS.Tenor,"-",_xlfn.NORM.S.DIST(($CR31-SQRT(Correlation2)*DD$3)/SQRT(1-Correlation2),TRUE))</f>
        <v>-</v>
      </c>
      <c r="DE31" s="353" t="str">
        <f>IF($AN31&gt;CDS.Tenor,"-",_xlfn.NORM.S.DIST(($CR31-SQRT(Correlation2)*DE$3)/SQRT(1-Correlation2),TRUE))</f>
        <v>-</v>
      </c>
      <c r="DF31" s="353" t="str">
        <f>IF($AN31&gt;CDS.Tenor,"-",_xlfn.NORM.S.DIST(($CR31-SQRT(Correlation2)*DF$3)/SQRT(1-Correlation2),TRUE))</f>
        <v>-</v>
      </c>
      <c r="DG31" s="353" t="str">
        <f>IF($AN31&gt;CDS.Tenor,"-",_xlfn.NORM.S.DIST(($CR31-SQRT(Correlation2)*DG$3)/SQRT(1-Correlation2),TRUE))</f>
        <v>-</v>
      </c>
      <c r="DH31" s="353" t="str">
        <f>IF($AN31&gt;CDS.Tenor,"-",_xlfn.NORM.S.DIST(($CR31-SQRT(Correlation2)*DH$3)/SQRT(1-Correlation2),TRUE))</f>
        <v>-</v>
      </c>
      <c r="DI31" s="353" t="str">
        <f>IF($AN31&gt;CDS.Tenor,"-",_xlfn.NORM.S.DIST(($CR31-SQRT(Correlation2)*DI$3)/SQRT(1-Correlation2),TRUE))</f>
        <v>-</v>
      </c>
      <c r="DJ31" s="353" t="str">
        <f>IF($AN31&gt;CDS.Tenor,"-",_xlfn.NORM.S.DIST(($CR31-SQRT(Correlation2)*DJ$3)/SQRT(1-Correlation2),TRUE))</f>
        <v>-</v>
      </c>
      <c r="DK31" s="353" t="str">
        <f>IF($AN31&gt;CDS.Tenor,"-",_xlfn.NORM.S.DIST(($CR31-SQRT(Correlation2)*DK$3)/SQRT(1-Correlation2),TRUE))</f>
        <v>-</v>
      </c>
      <c r="DL31" s="353" t="str">
        <f>IF($AN31&gt;CDS.Tenor,"-",_xlfn.NORM.S.DIST(($CR31-SQRT(Correlation2)*DL$3)/SQRT(1-Correlation2),TRUE))</f>
        <v>-</v>
      </c>
      <c r="DM31" s="353" t="str">
        <f>IF($AN31&gt;CDS.Tenor,"-",_xlfn.NORM.S.DIST(($CR31-SQRT(Correlation2)*DM$3)/SQRT(1-Correlation2),TRUE))</f>
        <v>-</v>
      </c>
      <c r="DN31" s="353" t="str">
        <f>IF($AN31&gt;CDS.Tenor,"-",_xlfn.NORM.S.DIST(($CR31-SQRT(Correlation2)*DN$3)/SQRT(1-Correlation2),TRUE))</f>
        <v>-</v>
      </c>
      <c r="DO31" s="354" t="str">
        <f>IF($AN31&gt;CDS.Tenor,"-",_xlfn.NORM.S.DIST(($CR31-SQRT(Correlation2)*DO$3)/SQRT(1-Correlation2),TRUE))</f>
        <v>-</v>
      </c>
      <c r="DQ31" s="358">
        <f t="shared" si="132"/>
        <v>6.75</v>
      </c>
      <c r="DR31" s="353" t="str">
        <f t="shared" si="133"/>
        <v>-</v>
      </c>
      <c r="DS31" s="353" t="str">
        <f t="shared" si="134"/>
        <v>-</v>
      </c>
      <c r="DT31" s="353" t="str">
        <f t="shared" si="135"/>
        <v>-</v>
      </c>
      <c r="DU31" s="353" t="str">
        <f t="shared" si="136"/>
        <v>-</v>
      </c>
      <c r="DV31" s="353" t="str">
        <f t="shared" si="137"/>
        <v>-</v>
      </c>
      <c r="DW31" s="353" t="str">
        <f t="shared" si="138"/>
        <v>-</v>
      </c>
      <c r="DX31" s="353" t="str">
        <f t="shared" si="139"/>
        <v>-</v>
      </c>
      <c r="DY31" s="353" t="str">
        <f t="shared" si="140"/>
        <v>-</v>
      </c>
      <c r="DZ31" s="353" t="str">
        <f t="shared" si="141"/>
        <v>-</v>
      </c>
      <c r="EA31" s="353" t="str">
        <f t="shared" si="142"/>
        <v>-</v>
      </c>
      <c r="EB31" s="353" t="str">
        <f t="shared" si="143"/>
        <v>-</v>
      </c>
      <c r="EC31" s="353" t="str">
        <f t="shared" si="144"/>
        <v>-</v>
      </c>
      <c r="ED31" s="353" t="str">
        <f t="shared" si="145"/>
        <v>-</v>
      </c>
      <c r="EE31" s="353" t="str">
        <f t="shared" si="146"/>
        <v>-</v>
      </c>
      <c r="EF31" s="353" t="str">
        <f t="shared" si="147"/>
        <v>-</v>
      </c>
      <c r="EG31" s="353" t="str">
        <f t="shared" si="148"/>
        <v>-</v>
      </c>
      <c r="EH31" s="353" t="str">
        <f t="shared" si="149"/>
        <v>-</v>
      </c>
      <c r="EI31" s="353" t="str">
        <f t="shared" si="150"/>
        <v>-</v>
      </c>
      <c r="EJ31" s="353" t="str">
        <f t="shared" si="151"/>
        <v>-</v>
      </c>
      <c r="EK31" s="353" t="str">
        <f t="shared" si="152"/>
        <v>-</v>
      </c>
      <c r="EL31" s="354" t="str">
        <f t="shared" si="153"/>
        <v>-</v>
      </c>
      <c r="EM31" s="17"/>
      <c r="EN31" s="17"/>
      <c r="EO31" s="343" t="str" cm="1">
        <f t="array" aca="1" ref="EO31" ca="1">IF($AN31&gt;CDS.Tenor,"-",flatInterpolation(CP31,INDIRECT(HazardRateTimes3),INDIRECT(HazardRateValues3)))</f>
        <v>-</v>
      </c>
      <c r="EP31" s="10" t="str">
        <f t="shared" si="154"/>
        <v>-</v>
      </c>
      <c r="EQ31" s="10" t="str">
        <f t="shared" si="155"/>
        <v>-</v>
      </c>
      <c r="ER31" s="81" t="str">
        <f t="shared" si="156"/>
        <v>-</v>
      </c>
      <c r="ET31" s="358">
        <f t="shared" si="157"/>
        <v>6.75</v>
      </c>
      <c r="EU31" s="353" t="str">
        <f>IF($AN31&gt;CDS.Tenor,"-",_xlfn.NORM.S.DIST(($ER31-SQRT(Correlation3)*EU$3)/SQRT(1-Correlation3),TRUE))</f>
        <v>-</v>
      </c>
      <c r="EV31" s="353" t="str">
        <f>IF($AN31&gt;CDS.Tenor,"-",_xlfn.NORM.S.DIST(($ER31-SQRT(Correlation3)*EV$3)/SQRT(1-Correlation3),TRUE))</f>
        <v>-</v>
      </c>
      <c r="EW31" s="353" t="str">
        <f>IF($AN31&gt;CDS.Tenor,"-",_xlfn.NORM.S.DIST(($ER31-SQRT(Correlation3)*EW$3)/SQRT(1-Correlation3),TRUE))</f>
        <v>-</v>
      </c>
      <c r="EX31" s="353" t="str">
        <f>IF($AN31&gt;CDS.Tenor,"-",_xlfn.NORM.S.DIST(($ER31-SQRT(Correlation3)*EX$3)/SQRT(1-Correlation3),TRUE))</f>
        <v>-</v>
      </c>
      <c r="EY31" s="353" t="str">
        <f>IF($AN31&gt;CDS.Tenor,"-",_xlfn.NORM.S.DIST(($ER31-SQRT(Correlation3)*EY$3)/SQRT(1-Correlation3),TRUE))</f>
        <v>-</v>
      </c>
      <c r="EZ31" s="353" t="str">
        <f>IF($AN31&gt;CDS.Tenor,"-",_xlfn.NORM.S.DIST(($ER31-SQRT(Correlation3)*EZ$3)/SQRT(1-Correlation3),TRUE))</f>
        <v>-</v>
      </c>
      <c r="FA31" s="353" t="str">
        <f>IF($AN31&gt;CDS.Tenor,"-",_xlfn.NORM.S.DIST(($ER31-SQRT(Correlation3)*FA$3)/SQRT(1-Correlation3),TRUE))</f>
        <v>-</v>
      </c>
      <c r="FB31" s="353" t="str">
        <f>IF($AN31&gt;CDS.Tenor,"-",_xlfn.NORM.S.DIST(($ER31-SQRT(Correlation3)*FB$3)/SQRT(1-Correlation3),TRUE))</f>
        <v>-</v>
      </c>
      <c r="FC31" s="353" t="str">
        <f>IF($AN31&gt;CDS.Tenor,"-",_xlfn.NORM.S.DIST(($ER31-SQRT(Correlation3)*FC$3)/SQRT(1-Correlation3),TRUE))</f>
        <v>-</v>
      </c>
      <c r="FD31" s="353" t="str">
        <f>IF($AN31&gt;CDS.Tenor,"-",_xlfn.NORM.S.DIST(($ER31-SQRT(Correlation3)*FD$3)/SQRT(1-Correlation3),TRUE))</f>
        <v>-</v>
      </c>
      <c r="FE31" s="353" t="str">
        <f>IF($AN31&gt;CDS.Tenor,"-",_xlfn.NORM.S.DIST(($ER31-SQRT(Correlation3)*FE$3)/SQRT(1-Correlation3),TRUE))</f>
        <v>-</v>
      </c>
      <c r="FF31" s="353" t="str">
        <f>IF($AN31&gt;CDS.Tenor,"-",_xlfn.NORM.S.DIST(($ER31-SQRT(Correlation3)*FF$3)/SQRT(1-Correlation3),TRUE))</f>
        <v>-</v>
      </c>
      <c r="FG31" s="353" t="str">
        <f>IF($AN31&gt;CDS.Tenor,"-",_xlfn.NORM.S.DIST(($ER31-SQRT(Correlation3)*FG$3)/SQRT(1-Correlation3),TRUE))</f>
        <v>-</v>
      </c>
      <c r="FH31" s="353" t="str">
        <f>IF($AN31&gt;CDS.Tenor,"-",_xlfn.NORM.S.DIST(($ER31-SQRT(Correlation3)*FH$3)/SQRT(1-Correlation3),TRUE))</f>
        <v>-</v>
      </c>
      <c r="FI31" s="353" t="str">
        <f>IF($AN31&gt;CDS.Tenor,"-",_xlfn.NORM.S.DIST(($ER31-SQRT(Correlation3)*FI$3)/SQRT(1-Correlation3),TRUE))</f>
        <v>-</v>
      </c>
      <c r="FJ31" s="353" t="str">
        <f>IF($AN31&gt;CDS.Tenor,"-",_xlfn.NORM.S.DIST(($ER31-SQRT(Correlation3)*FJ$3)/SQRT(1-Correlation3),TRUE))</f>
        <v>-</v>
      </c>
      <c r="FK31" s="353" t="str">
        <f>IF($AN31&gt;CDS.Tenor,"-",_xlfn.NORM.S.DIST(($ER31-SQRT(Correlation3)*FK$3)/SQRT(1-Correlation3),TRUE))</f>
        <v>-</v>
      </c>
      <c r="FL31" s="353" t="str">
        <f>IF($AN31&gt;CDS.Tenor,"-",_xlfn.NORM.S.DIST(($ER31-SQRT(Correlation3)*FL$3)/SQRT(1-Correlation3),TRUE))</f>
        <v>-</v>
      </c>
      <c r="FM31" s="353" t="str">
        <f>IF($AN31&gt;CDS.Tenor,"-",_xlfn.NORM.S.DIST(($ER31-SQRT(Correlation3)*FM$3)/SQRT(1-Correlation3),TRUE))</f>
        <v>-</v>
      </c>
      <c r="FN31" s="353" t="str">
        <f>IF($AN31&gt;CDS.Tenor,"-",_xlfn.NORM.S.DIST(($ER31-SQRT(Correlation3)*FN$3)/SQRT(1-Correlation3),TRUE))</f>
        <v>-</v>
      </c>
      <c r="FO31" s="354" t="str">
        <f>IF($AN31&gt;CDS.Tenor,"-",_xlfn.NORM.S.DIST(($ER31-SQRT(Correlation3)*FO$3)/SQRT(1-Correlation3),TRUE))</f>
        <v>-</v>
      </c>
      <c r="FQ31" s="358">
        <f t="shared" si="158"/>
        <v>6.75</v>
      </c>
      <c r="FR31" s="353" t="str">
        <f t="shared" si="159"/>
        <v>-</v>
      </c>
      <c r="FS31" s="353" t="str">
        <f t="shared" si="160"/>
        <v>-</v>
      </c>
      <c r="FT31" s="353" t="str">
        <f t="shared" si="161"/>
        <v>-</v>
      </c>
      <c r="FU31" s="353" t="str">
        <f t="shared" si="162"/>
        <v>-</v>
      </c>
      <c r="FV31" s="353" t="str">
        <f t="shared" si="163"/>
        <v>-</v>
      </c>
      <c r="FW31" s="353" t="str">
        <f t="shared" si="164"/>
        <v>-</v>
      </c>
      <c r="FX31" s="353" t="str">
        <f t="shared" si="165"/>
        <v>-</v>
      </c>
      <c r="FY31" s="353" t="str">
        <f t="shared" si="166"/>
        <v>-</v>
      </c>
      <c r="FZ31" s="353" t="str">
        <f t="shared" si="167"/>
        <v>-</v>
      </c>
      <c r="GA31" s="353" t="str">
        <f t="shared" si="168"/>
        <v>-</v>
      </c>
      <c r="GB31" s="353" t="str">
        <f t="shared" si="169"/>
        <v>-</v>
      </c>
      <c r="GC31" s="353" t="str">
        <f t="shared" si="170"/>
        <v>-</v>
      </c>
      <c r="GD31" s="353" t="str">
        <f t="shared" si="171"/>
        <v>-</v>
      </c>
      <c r="GE31" s="353" t="str">
        <f t="shared" si="172"/>
        <v>-</v>
      </c>
      <c r="GF31" s="353" t="str">
        <f t="shared" si="173"/>
        <v>-</v>
      </c>
      <c r="GG31" s="353" t="str">
        <f t="shared" si="174"/>
        <v>-</v>
      </c>
      <c r="GH31" s="353" t="str">
        <f t="shared" si="175"/>
        <v>-</v>
      </c>
      <c r="GI31" s="353" t="str">
        <f t="shared" si="176"/>
        <v>-</v>
      </c>
      <c r="GJ31" s="353" t="str">
        <f t="shared" si="177"/>
        <v>-</v>
      </c>
      <c r="GK31" s="353" t="str">
        <f t="shared" si="178"/>
        <v>-</v>
      </c>
      <c r="GL31" s="354" t="str">
        <f t="shared" si="179"/>
        <v>-</v>
      </c>
      <c r="GO31" s="358">
        <f t="shared" si="180"/>
        <v>6.75</v>
      </c>
      <c r="GP31" s="353" t="str">
        <f t="shared" si="181"/>
        <v>-</v>
      </c>
      <c r="GQ31" s="353" t="str">
        <f t="shared" si="182"/>
        <v>-</v>
      </c>
      <c r="GR31" s="353" t="str">
        <f t="shared" si="183"/>
        <v>-</v>
      </c>
      <c r="GS31" s="353" t="str">
        <f t="shared" si="184"/>
        <v>-</v>
      </c>
      <c r="GT31" s="353" t="str">
        <f t="shared" si="185"/>
        <v>-</v>
      </c>
      <c r="GU31" s="353" t="str">
        <f t="shared" si="186"/>
        <v>-</v>
      </c>
      <c r="GV31" s="353" t="str">
        <f t="shared" si="187"/>
        <v>-</v>
      </c>
      <c r="GW31" s="353" t="str">
        <f t="shared" si="188"/>
        <v>-</v>
      </c>
      <c r="GX31" s="353" t="str">
        <f t="shared" si="189"/>
        <v>-</v>
      </c>
      <c r="GY31" s="353" t="str">
        <f t="shared" si="190"/>
        <v>-</v>
      </c>
      <c r="GZ31" s="353" t="str">
        <f t="shared" si="191"/>
        <v>-</v>
      </c>
      <c r="HA31" s="353" t="str">
        <f t="shared" si="192"/>
        <v>-</v>
      </c>
      <c r="HB31" s="353" t="str">
        <f t="shared" si="193"/>
        <v>-</v>
      </c>
      <c r="HC31" s="353" t="str">
        <f t="shared" si="194"/>
        <v>-</v>
      </c>
      <c r="HD31" s="353" t="str">
        <f t="shared" si="195"/>
        <v>-</v>
      </c>
      <c r="HE31" s="353" t="str">
        <f t="shared" si="196"/>
        <v>-</v>
      </c>
      <c r="HF31" s="353" t="str">
        <f t="shared" si="197"/>
        <v>-</v>
      </c>
      <c r="HG31" s="353" t="str">
        <f t="shared" si="198"/>
        <v>-</v>
      </c>
      <c r="HH31" s="353" t="str">
        <f t="shared" si="199"/>
        <v>-</v>
      </c>
      <c r="HI31" s="353" t="str">
        <f t="shared" si="200"/>
        <v>-</v>
      </c>
      <c r="HJ31" s="354" t="str">
        <f t="shared" si="201"/>
        <v>-</v>
      </c>
      <c r="HK31" s="42"/>
      <c r="HL31" s="42"/>
      <c r="HM31" s="358">
        <f t="shared" si="202"/>
        <v>6.75</v>
      </c>
      <c r="HN31" s="362" t="str">
        <f t="shared" si="203"/>
        <v>-</v>
      </c>
      <c r="HO31" s="363" t="str">
        <f t="shared" si="204"/>
        <v>-</v>
      </c>
    </row>
    <row r="32" spans="2:223" x14ac:dyDescent="0.3">
      <c r="V32" s="370">
        <f t="shared" si="89"/>
        <v>7</v>
      </c>
      <c r="W32" s="371" t="str">
        <f t="shared" si="90"/>
        <v>-</v>
      </c>
      <c r="X32" s="348" t="str">
        <f t="shared" si="91"/>
        <v>-</v>
      </c>
      <c r="Y32" s="348" t="str">
        <f t="shared" si="92"/>
        <v>-</v>
      </c>
      <c r="Z32" s="372" t="str" cm="1">
        <f t="array" ref="Z32">IF($V32&gt;CDS.Tenor,"-",cubicInterpolation(CurveResults.Times,CurveResults.DFs,$V32))</f>
        <v>-</v>
      </c>
      <c r="AA32" s="371" t="str">
        <f t="shared" si="93"/>
        <v>-</v>
      </c>
      <c r="AB32" s="371" t="str">
        <f t="shared" si="94"/>
        <v>-</v>
      </c>
      <c r="AC32" s="373" t="str">
        <f t="shared" si="95"/>
        <v>-</v>
      </c>
      <c r="AF32" s="370">
        <f t="shared" si="96"/>
        <v>7</v>
      </c>
      <c r="AG32" s="371" t="str">
        <f t="shared" si="97"/>
        <v>-</v>
      </c>
      <c r="AH32" s="348" t="str">
        <f t="shared" si="98"/>
        <v>-</v>
      </c>
      <c r="AI32" s="348" t="str">
        <f t="shared" si="99"/>
        <v>-</v>
      </c>
      <c r="AJ32" s="372" t="str" cm="1">
        <f t="array" ref="AJ32">IF($AF32&gt;CDS.Tenor,"-",cubicInterpolation(CurveResults.Times,CurveResults.DFs,$V32))</f>
        <v>-</v>
      </c>
      <c r="AK32" s="373" t="str">
        <f t="shared" si="100"/>
        <v>-</v>
      </c>
      <c r="AN32" s="358">
        <f t="shared" si="101"/>
        <v>7</v>
      </c>
      <c r="AO32" s="343" t="str" cm="1">
        <f t="array" aca="1" ref="AO32" ca="1">IF($AN32&gt;CDS.Tenor,"-",flatInterpolation(AM32,INDIRECT(HazardRateTimes1),INDIRECT(HazardRateValues1)))</f>
        <v>-</v>
      </c>
      <c r="AP32" s="10" t="str">
        <f t="shared" si="102"/>
        <v>-</v>
      </c>
      <c r="AQ32" s="10" t="str">
        <f t="shared" si="103"/>
        <v>-</v>
      </c>
      <c r="AR32" s="81" t="str">
        <f t="shared" si="104"/>
        <v>-</v>
      </c>
      <c r="AT32" s="358">
        <f t="shared" si="105"/>
        <v>7</v>
      </c>
      <c r="AU32" s="353" t="str">
        <f>IF($AN32&gt;CDS.Tenor,"-",_xlfn.NORM.S.DIST(($AR32-SQRT(Correlation1)*AU$3)/SQRT(1-Correlation1),TRUE))</f>
        <v>-</v>
      </c>
      <c r="AV32" s="353" t="str">
        <f>IF($AN32&gt;CDS.Tenor,"-",_xlfn.NORM.S.DIST(($AR32-SQRT(Correlation1)*AV$3)/SQRT(1-Correlation1),TRUE))</f>
        <v>-</v>
      </c>
      <c r="AW32" s="353" t="str">
        <f>IF($AN32&gt;CDS.Tenor,"-",_xlfn.NORM.S.DIST(($AR32-SQRT(Correlation1)*AW$3)/SQRT(1-Correlation1),TRUE))</f>
        <v>-</v>
      </c>
      <c r="AX32" s="353" t="str">
        <f>IF($AN32&gt;CDS.Tenor,"-",_xlfn.NORM.S.DIST(($AR32-SQRT(Correlation1)*AX$3)/SQRT(1-Correlation1),TRUE))</f>
        <v>-</v>
      </c>
      <c r="AY32" s="353" t="str">
        <f>IF($AN32&gt;CDS.Tenor,"-",_xlfn.NORM.S.DIST(($AR32-SQRT(Correlation1)*AY$3)/SQRT(1-Correlation1),TRUE))</f>
        <v>-</v>
      </c>
      <c r="AZ32" s="353" t="str">
        <f>IF($AN32&gt;CDS.Tenor,"-",_xlfn.NORM.S.DIST(($AR32-SQRT(Correlation1)*AZ$3)/SQRT(1-Correlation1),TRUE))</f>
        <v>-</v>
      </c>
      <c r="BA32" s="353" t="str">
        <f>IF($AN32&gt;CDS.Tenor,"-",_xlfn.NORM.S.DIST(($AR32-SQRT(Correlation1)*BA$3)/SQRT(1-Correlation1),TRUE))</f>
        <v>-</v>
      </c>
      <c r="BB32" s="353" t="str">
        <f>IF($AN32&gt;CDS.Tenor,"-",_xlfn.NORM.S.DIST(($AR32-SQRT(Correlation1)*BB$3)/SQRT(1-Correlation1),TRUE))</f>
        <v>-</v>
      </c>
      <c r="BC32" s="353" t="str">
        <f>IF($AN32&gt;CDS.Tenor,"-",_xlfn.NORM.S.DIST(($AR32-SQRT(Correlation1)*BC$3)/SQRT(1-Correlation1),TRUE))</f>
        <v>-</v>
      </c>
      <c r="BD32" s="353" t="str">
        <f>IF($AN32&gt;CDS.Tenor,"-",_xlfn.NORM.S.DIST(($AR32-SQRT(Correlation1)*BD$3)/SQRT(1-Correlation1),TRUE))</f>
        <v>-</v>
      </c>
      <c r="BE32" s="353" t="str">
        <f>IF($AN32&gt;CDS.Tenor,"-",_xlfn.NORM.S.DIST(($AR32-SQRT(Correlation1)*BE$3)/SQRT(1-Correlation1),TRUE))</f>
        <v>-</v>
      </c>
      <c r="BF32" s="353" t="str">
        <f>IF($AN32&gt;CDS.Tenor,"-",_xlfn.NORM.S.DIST(($AR32-SQRT(Correlation1)*BF$3)/SQRT(1-Correlation1),TRUE))</f>
        <v>-</v>
      </c>
      <c r="BG32" s="353" t="str">
        <f>IF($AN32&gt;CDS.Tenor,"-",_xlfn.NORM.S.DIST(($AR32-SQRT(Correlation1)*BG$3)/SQRT(1-Correlation1),TRUE))</f>
        <v>-</v>
      </c>
      <c r="BH32" s="353" t="str">
        <f>IF($AN32&gt;CDS.Tenor,"-",_xlfn.NORM.S.DIST(($AR32-SQRT(Correlation1)*BH$3)/SQRT(1-Correlation1),TRUE))</f>
        <v>-</v>
      </c>
      <c r="BI32" s="353" t="str">
        <f>IF($AN32&gt;CDS.Tenor,"-",_xlfn.NORM.S.DIST(($AR32-SQRT(Correlation1)*BI$3)/SQRT(1-Correlation1),TRUE))</f>
        <v>-</v>
      </c>
      <c r="BJ32" s="353" t="str">
        <f>IF($AN32&gt;CDS.Tenor,"-",_xlfn.NORM.S.DIST(($AR32-SQRT(Correlation1)*BJ$3)/SQRT(1-Correlation1),TRUE))</f>
        <v>-</v>
      </c>
      <c r="BK32" s="353" t="str">
        <f>IF($AN32&gt;CDS.Tenor,"-",_xlfn.NORM.S.DIST(($AR32-SQRT(Correlation1)*BK$3)/SQRT(1-Correlation1),TRUE))</f>
        <v>-</v>
      </c>
      <c r="BL32" s="353" t="str">
        <f>IF($AN32&gt;CDS.Tenor,"-",_xlfn.NORM.S.DIST(($AR32-SQRT(Correlation1)*BL$3)/SQRT(1-Correlation1),TRUE))</f>
        <v>-</v>
      </c>
      <c r="BM32" s="353" t="str">
        <f>IF($AN32&gt;CDS.Tenor,"-",_xlfn.NORM.S.DIST(($AR32-SQRT(Correlation1)*BM$3)/SQRT(1-Correlation1),TRUE))</f>
        <v>-</v>
      </c>
      <c r="BN32" s="353" t="str">
        <f>IF($AN32&gt;CDS.Tenor,"-",_xlfn.NORM.S.DIST(($AR32-SQRT(Correlation1)*BN$3)/SQRT(1-Correlation1),TRUE))</f>
        <v>-</v>
      </c>
      <c r="BO32" s="354" t="str">
        <f>IF($AN32&gt;CDS.Tenor,"-",_xlfn.NORM.S.DIST(($AR32-SQRT(Correlation1)*BO$3)/SQRT(1-Correlation1),TRUE))</f>
        <v>-</v>
      </c>
      <c r="BQ32" s="358">
        <f t="shared" si="106"/>
        <v>7</v>
      </c>
      <c r="BR32" s="353" t="str">
        <f t="shared" si="107"/>
        <v>-</v>
      </c>
      <c r="BS32" s="353" t="str">
        <f t="shared" si="108"/>
        <v>-</v>
      </c>
      <c r="BT32" s="353" t="str">
        <f t="shared" si="109"/>
        <v>-</v>
      </c>
      <c r="BU32" s="353" t="str">
        <f t="shared" si="110"/>
        <v>-</v>
      </c>
      <c r="BV32" s="353" t="str">
        <f t="shared" si="111"/>
        <v>-</v>
      </c>
      <c r="BW32" s="353" t="str">
        <f t="shared" si="112"/>
        <v>-</v>
      </c>
      <c r="BX32" s="353" t="str">
        <f t="shared" si="113"/>
        <v>-</v>
      </c>
      <c r="BY32" s="353" t="str">
        <f t="shared" si="114"/>
        <v>-</v>
      </c>
      <c r="BZ32" s="353" t="str">
        <f t="shared" si="115"/>
        <v>-</v>
      </c>
      <c r="CA32" s="353" t="str">
        <f t="shared" si="116"/>
        <v>-</v>
      </c>
      <c r="CB32" s="353" t="str">
        <f t="shared" si="117"/>
        <v>-</v>
      </c>
      <c r="CC32" s="353" t="str">
        <f t="shared" si="118"/>
        <v>-</v>
      </c>
      <c r="CD32" s="353" t="str">
        <f t="shared" si="119"/>
        <v>-</v>
      </c>
      <c r="CE32" s="353" t="str">
        <f t="shared" si="120"/>
        <v>-</v>
      </c>
      <c r="CF32" s="353" t="str">
        <f t="shared" si="121"/>
        <v>-</v>
      </c>
      <c r="CG32" s="353" t="str">
        <f t="shared" si="122"/>
        <v>-</v>
      </c>
      <c r="CH32" s="353" t="str">
        <f t="shared" si="123"/>
        <v>-</v>
      </c>
      <c r="CI32" s="353" t="str">
        <f t="shared" si="124"/>
        <v>-</v>
      </c>
      <c r="CJ32" s="353" t="str">
        <f t="shared" si="125"/>
        <v>-</v>
      </c>
      <c r="CK32" s="353" t="str">
        <f t="shared" si="126"/>
        <v>-</v>
      </c>
      <c r="CL32" s="354" t="str">
        <f t="shared" si="127"/>
        <v>-</v>
      </c>
      <c r="CM32" s="17"/>
      <c r="CN32" s="17"/>
      <c r="CO32" s="343" t="str" cm="1">
        <f t="array" aca="1" ref="CO32" ca="1">IF($AN32&gt;CDS.Tenor,"-",flatInterpolation(AN32,INDIRECT(HazardRateTimes2),INDIRECT(HazardRateValues2)))</f>
        <v>-</v>
      </c>
      <c r="CP32" s="10" t="str">
        <f t="shared" si="128"/>
        <v>-</v>
      </c>
      <c r="CQ32" s="10" t="str">
        <f t="shared" si="129"/>
        <v>-</v>
      </c>
      <c r="CR32" s="81" t="str">
        <f t="shared" si="130"/>
        <v>-</v>
      </c>
      <c r="CT32" s="358">
        <f t="shared" si="131"/>
        <v>7</v>
      </c>
      <c r="CU32" s="353" t="str">
        <f>IF($AN32&gt;CDS.Tenor,"-",_xlfn.NORM.S.DIST(($CR32-SQRT(Correlation2)*CU$3)/SQRT(1-Correlation2),TRUE))</f>
        <v>-</v>
      </c>
      <c r="CV32" s="353" t="str">
        <f>IF($AN32&gt;CDS.Tenor,"-",_xlfn.NORM.S.DIST(($CR32-SQRT(Correlation2)*CV$3)/SQRT(1-Correlation2),TRUE))</f>
        <v>-</v>
      </c>
      <c r="CW32" s="353" t="str">
        <f>IF($AN32&gt;CDS.Tenor,"-",_xlfn.NORM.S.DIST(($CR32-SQRT(Correlation2)*CW$3)/SQRT(1-Correlation2),TRUE))</f>
        <v>-</v>
      </c>
      <c r="CX32" s="353" t="str">
        <f>IF($AN32&gt;CDS.Tenor,"-",_xlfn.NORM.S.DIST(($CR32-SQRT(Correlation2)*CX$3)/SQRT(1-Correlation2),TRUE))</f>
        <v>-</v>
      </c>
      <c r="CY32" s="353" t="str">
        <f>IF($AN32&gt;CDS.Tenor,"-",_xlfn.NORM.S.DIST(($CR32-SQRT(Correlation2)*CY$3)/SQRT(1-Correlation2),TRUE))</f>
        <v>-</v>
      </c>
      <c r="CZ32" s="353" t="str">
        <f>IF($AN32&gt;CDS.Tenor,"-",_xlfn.NORM.S.DIST(($CR32-SQRT(Correlation2)*CZ$3)/SQRT(1-Correlation2),TRUE))</f>
        <v>-</v>
      </c>
      <c r="DA32" s="353" t="str">
        <f>IF($AN32&gt;CDS.Tenor,"-",_xlfn.NORM.S.DIST(($CR32-SQRT(Correlation2)*DA$3)/SQRT(1-Correlation2),TRUE))</f>
        <v>-</v>
      </c>
      <c r="DB32" s="353" t="str">
        <f>IF($AN32&gt;CDS.Tenor,"-",_xlfn.NORM.S.DIST(($CR32-SQRT(Correlation2)*DB$3)/SQRT(1-Correlation2),TRUE))</f>
        <v>-</v>
      </c>
      <c r="DC32" s="353" t="str">
        <f>IF($AN32&gt;CDS.Tenor,"-",_xlfn.NORM.S.DIST(($CR32-SQRT(Correlation2)*DC$3)/SQRT(1-Correlation2),TRUE))</f>
        <v>-</v>
      </c>
      <c r="DD32" s="353" t="str">
        <f>IF($AN32&gt;CDS.Tenor,"-",_xlfn.NORM.S.DIST(($CR32-SQRT(Correlation2)*DD$3)/SQRT(1-Correlation2),TRUE))</f>
        <v>-</v>
      </c>
      <c r="DE32" s="353" t="str">
        <f>IF($AN32&gt;CDS.Tenor,"-",_xlfn.NORM.S.DIST(($CR32-SQRT(Correlation2)*DE$3)/SQRT(1-Correlation2),TRUE))</f>
        <v>-</v>
      </c>
      <c r="DF32" s="353" t="str">
        <f>IF($AN32&gt;CDS.Tenor,"-",_xlfn.NORM.S.DIST(($CR32-SQRT(Correlation2)*DF$3)/SQRT(1-Correlation2),TRUE))</f>
        <v>-</v>
      </c>
      <c r="DG32" s="353" t="str">
        <f>IF($AN32&gt;CDS.Tenor,"-",_xlfn.NORM.S.DIST(($CR32-SQRT(Correlation2)*DG$3)/SQRT(1-Correlation2),TRUE))</f>
        <v>-</v>
      </c>
      <c r="DH32" s="353" t="str">
        <f>IF($AN32&gt;CDS.Tenor,"-",_xlfn.NORM.S.DIST(($CR32-SQRT(Correlation2)*DH$3)/SQRT(1-Correlation2),TRUE))</f>
        <v>-</v>
      </c>
      <c r="DI32" s="353" t="str">
        <f>IF($AN32&gt;CDS.Tenor,"-",_xlfn.NORM.S.DIST(($CR32-SQRT(Correlation2)*DI$3)/SQRT(1-Correlation2),TRUE))</f>
        <v>-</v>
      </c>
      <c r="DJ32" s="353" t="str">
        <f>IF($AN32&gt;CDS.Tenor,"-",_xlfn.NORM.S.DIST(($CR32-SQRT(Correlation2)*DJ$3)/SQRT(1-Correlation2),TRUE))</f>
        <v>-</v>
      </c>
      <c r="DK32" s="353" t="str">
        <f>IF($AN32&gt;CDS.Tenor,"-",_xlfn.NORM.S.DIST(($CR32-SQRT(Correlation2)*DK$3)/SQRT(1-Correlation2),TRUE))</f>
        <v>-</v>
      </c>
      <c r="DL32" s="353" t="str">
        <f>IF($AN32&gt;CDS.Tenor,"-",_xlfn.NORM.S.DIST(($CR32-SQRT(Correlation2)*DL$3)/SQRT(1-Correlation2),TRUE))</f>
        <v>-</v>
      </c>
      <c r="DM32" s="353" t="str">
        <f>IF($AN32&gt;CDS.Tenor,"-",_xlfn.NORM.S.DIST(($CR32-SQRT(Correlation2)*DM$3)/SQRT(1-Correlation2),TRUE))</f>
        <v>-</v>
      </c>
      <c r="DN32" s="353" t="str">
        <f>IF($AN32&gt;CDS.Tenor,"-",_xlfn.NORM.S.DIST(($CR32-SQRT(Correlation2)*DN$3)/SQRT(1-Correlation2),TRUE))</f>
        <v>-</v>
      </c>
      <c r="DO32" s="354" t="str">
        <f>IF($AN32&gt;CDS.Tenor,"-",_xlfn.NORM.S.DIST(($CR32-SQRT(Correlation2)*DO$3)/SQRT(1-Correlation2),TRUE))</f>
        <v>-</v>
      </c>
      <c r="DQ32" s="358">
        <f t="shared" si="132"/>
        <v>7</v>
      </c>
      <c r="DR32" s="353" t="str">
        <f t="shared" si="133"/>
        <v>-</v>
      </c>
      <c r="DS32" s="353" t="str">
        <f t="shared" si="134"/>
        <v>-</v>
      </c>
      <c r="DT32" s="353" t="str">
        <f t="shared" si="135"/>
        <v>-</v>
      </c>
      <c r="DU32" s="353" t="str">
        <f t="shared" si="136"/>
        <v>-</v>
      </c>
      <c r="DV32" s="353" t="str">
        <f t="shared" si="137"/>
        <v>-</v>
      </c>
      <c r="DW32" s="353" t="str">
        <f t="shared" si="138"/>
        <v>-</v>
      </c>
      <c r="DX32" s="353" t="str">
        <f t="shared" si="139"/>
        <v>-</v>
      </c>
      <c r="DY32" s="353" t="str">
        <f t="shared" si="140"/>
        <v>-</v>
      </c>
      <c r="DZ32" s="353" t="str">
        <f t="shared" si="141"/>
        <v>-</v>
      </c>
      <c r="EA32" s="353" t="str">
        <f t="shared" si="142"/>
        <v>-</v>
      </c>
      <c r="EB32" s="353" t="str">
        <f t="shared" si="143"/>
        <v>-</v>
      </c>
      <c r="EC32" s="353" t="str">
        <f t="shared" si="144"/>
        <v>-</v>
      </c>
      <c r="ED32" s="353" t="str">
        <f t="shared" si="145"/>
        <v>-</v>
      </c>
      <c r="EE32" s="353" t="str">
        <f t="shared" si="146"/>
        <v>-</v>
      </c>
      <c r="EF32" s="353" t="str">
        <f t="shared" si="147"/>
        <v>-</v>
      </c>
      <c r="EG32" s="353" t="str">
        <f t="shared" si="148"/>
        <v>-</v>
      </c>
      <c r="EH32" s="353" t="str">
        <f t="shared" si="149"/>
        <v>-</v>
      </c>
      <c r="EI32" s="353" t="str">
        <f t="shared" si="150"/>
        <v>-</v>
      </c>
      <c r="EJ32" s="353" t="str">
        <f t="shared" si="151"/>
        <v>-</v>
      </c>
      <c r="EK32" s="353" t="str">
        <f t="shared" si="152"/>
        <v>-</v>
      </c>
      <c r="EL32" s="354" t="str">
        <f t="shared" si="153"/>
        <v>-</v>
      </c>
      <c r="EM32" s="17"/>
      <c r="EN32" s="17"/>
      <c r="EO32" s="343" t="str" cm="1">
        <f t="array" aca="1" ref="EO32" ca="1">IF($AN32&gt;CDS.Tenor,"-",flatInterpolation(CP32,INDIRECT(HazardRateTimes3),INDIRECT(HazardRateValues3)))</f>
        <v>-</v>
      </c>
      <c r="EP32" s="10" t="str">
        <f t="shared" si="154"/>
        <v>-</v>
      </c>
      <c r="EQ32" s="10" t="str">
        <f t="shared" si="155"/>
        <v>-</v>
      </c>
      <c r="ER32" s="81" t="str">
        <f t="shared" si="156"/>
        <v>-</v>
      </c>
      <c r="ET32" s="358">
        <f t="shared" si="157"/>
        <v>7</v>
      </c>
      <c r="EU32" s="353" t="str">
        <f>IF($AN32&gt;CDS.Tenor,"-",_xlfn.NORM.S.DIST(($ER32-SQRT(Correlation3)*EU$3)/SQRT(1-Correlation3),TRUE))</f>
        <v>-</v>
      </c>
      <c r="EV32" s="353" t="str">
        <f>IF($AN32&gt;CDS.Tenor,"-",_xlfn.NORM.S.DIST(($ER32-SQRT(Correlation3)*EV$3)/SQRT(1-Correlation3),TRUE))</f>
        <v>-</v>
      </c>
      <c r="EW32" s="353" t="str">
        <f>IF($AN32&gt;CDS.Tenor,"-",_xlfn.NORM.S.DIST(($ER32-SQRT(Correlation3)*EW$3)/SQRT(1-Correlation3),TRUE))</f>
        <v>-</v>
      </c>
      <c r="EX32" s="353" t="str">
        <f>IF($AN32&gt;CDS.Tenor,"-",_xlfn.NORM.S.DIST(($ER32-SQRT(Correlation3)*EX$3)/SQRT(1-Correlation3),TRUE))</f>
        <v>-</v>
      </c>
      <c r="EY32" s="353" t="str">
        <f>IF($AN32&gt;CDS.Tenor,"-",_xlfn.NORM.S.DIST(($ER32-SQRT(Correlation3)*EY$3)/SQRT(1-Correlation3),TRUE))</f>
        <v>-</v>
      </c>
      <c r="EZ32" s="353" t="str">
        <f>IF($AN32&gt;CDS.Tenor,"-",_xlfn.NORM.S.DIST(($ER32-SQRT(Correlation3)*EZ$3)/SQRT(1-Correlation3),TRUE))</f>
        <v>-</v>
      </c>
      <c r="FA32" s="353" t="str">
        <f>IF($AN32&gt;CDS.Tenor,"-",_xlfn.NORM.S.DIST(($ER32-SQRT(Correlation3)*FA$3)/SQRT(1-Correlation3),TRUE))</f>
        <v>-</v>
      </c>
      <c r="FB32" s="353" t="str">
        <f>IF($AN32&gt;CDS.Tenor,"-",_xlfn.NORM.S.DIST(($ER32-SQRT(Correlation3)*FB$3)/SQRT(1-Correlation3),TRUE))</f>
        <v>-</v>
      </c>
      <c r="FC32" s="353" t="str">
        <f>IF($AN32&gt;CDS.Tenor,"-",_xlfn.NORM.S.DIST(($ER32-SQRT(Correlation3)*FC$3)/SQRT(1-Correlation3),TRUE))</f>
        <v>-</v>
      </c>
      <c r="FD32" s="353" t="str">
        <f>IF($AN32&gt;CDS.Tenor,"-",_xlfn.NORM.S.DIST(($ER32-SQRT(Correlation3)*FD$3)/SQRT(1-Correlation3),TRUE))</f>
        <v>-</v>
      </c>
      <c r="FE32" s="353" t="str">
        <f>IF($AN32&gt;CDS.Tenor,"-",_xlfn.NORM.S.DIST(($ER32-SQRT(Correlation3)*FE$3)/SQRT(1-Correlation3),TRUE))</f>
        <v>-</v>
      </c>
      <c r="FF32" s="353" t="str">
        <f>IF($AN32&gt;CDS.Tenor,"-",_xlfn.NORM.S.DIST(($ER32-SQRT(Correlation3)*FF$3)/SQRT(1-Correlation3),TRUE))</f>
        <v>-</v>
      </c>
      <c r="FG32" s="353" t="str">
        <f>IF($AN32&gt;CDS.Tenor,"-",_xlfn.NORM.S.DIST(($ER32-SQRT(Correlation3)*FG$3)/SQRT(1-Correlation3),TRUE))</f>
        <v>-</v>
      </c>
      <c r="FH32" s="353" t="str">
        <f>IF($AN32&gt;CDS.Tenor,"-",_xlfn.NORM.S.DIST(($ER32-SQRT(Correlation3)*FH$3)/SQRT(1-Correlation3),TRUE))</f>
        <v>-</v>
      </c>
      <c r="FI32" s="353" t="str">
        <f>IF($AN32&gt;CDS.Tenor,"-",_xlfn.NORM.S.DIST(($ER32-SQRT(Correlation3)*FI$3)/SQRT(1-Correlation3),TRUE))</f>
        <v>-</v>
      </c>
      <c r="FJ32" s="353" t="str">
        <f>IF($AN32&gt;CDS.Tenor,"-",_xlfn.NORM.S.DIST(($ER32-SQRT(Correlation3)*FJ$3)/SQRT(1-Correlation3),TRUE))</f>
        <v>-</v>
      </c>
      <c r="FK32" s="353" t="str">
        <f>IF($AN32&gt;CDS.Tenor,"-",_xlfn.NORM.S.DIST(($ER32-SQRT(Correlation3)*FK$3)/SQRT(1-Correlation3),TRUE))</f>
        <v>-</v>
      </c>
      <c r="FL32" s="353" t="str">
        <f>IF($AN32&gt;CDS.Tenor,"-",_xlfn.NORM.S.DIST(($ER32-SQRT(Correlation3)*FL$3)/SQRT(1-Correlation3),TRUE))</f>
        <v>-</v>
      </c>
      <c r="FM32" s="353" t="str">
        <f>IF($AN32&gt;CDS.Tenor,"-",_xlfn.NORM.S.DIST(($ER32-SQRT(Correlation3)*FM$3)/SQRT(1-Correlation3),TRUE))</f>
        <v>-</v>
      </c>
      <c r="FN32" s="353" t="str">
        <f>IF($AN32&gt;CDS.Tenor,"-",_xlfn.NORM.S.DIST(($ER32-SQRT(Correlation3)*FN$3)/SQRT(1-Correlation3),TRUE))</f>
        <v>-</v>
      </c>
      <c r="FO32" s="354" t="str">
        <f>IF($AN32&gt;CDS.Tenor,"-",_xlfn.NORM.S.DIST(($ER32-SQRT(Correlation3)*FO$3)/SQRT(1-Correlation3),TRUE))</f>
        <v>-</v>
      </c>
      <c r="FQ32" s="358">
        <f t="shared" si="158"/>
        <v>7</v>
      </c>
      <c r="FR32" s="353" t="str">
        <f t="shared" si="159"/>
        <v>-</v>
      </c>
      <c r="FS32" s="353" t="str">
        <f t="shared" si="160"/>
        <v>-</v>
      </c>
      <c r="FT32" s="353" t="str">
        <f t="shared" si="161"/>
        <v>-</v>
      </c>
      <c r="FU32" s="353" t="str">
        <f t="shared" si="162"/>
        <v>-</v>
      </c>
      <c r="FV32" s="353" t="str">
        <f t="shared" si="163"/>
        <v>-</v>
      </c>
      <c r="FW32" s="353" t="str">
        <f t="shared" si="164"/>
        <v>-</v>
      </c>
      <c r="FX32" s="353" t="str">
        <f t="shared" si="165"/>
        <v>-</v>
      </c>
      <c r="FY32" s="353" t="str">
        <f t="shared" si="166"/>
        <v>-</v>
      </c>
      <c r="FZ32" s="353" t="str">
        <f t="shared" si="167"/>
        <v>-</v>
      </c>
      <c r="GA32" s="353" t="str">
        <f t="shared" si="168"/>
        <v>-</v>
      </c>
      <c r="GB32" s="353" t="str">
        <f t="shared" si="169"/>
        <v>-</v>
      </c>
      <c r="GC32" s="353" t="str">
        <f t="shared" si="170"/>
        <v>-</v>
      </c>
      <c r="GD32" s="353" t="str">
        <f t="shared" si="171"/>
        <v>-</v>
      </c>
      <c r="GE32" s="353" t="str">
        <f t="shared" si="172"/>
        <v>-</v>
      </c>
      <c r="GF32" s="353" t="str">
        <f t="shared" si="173"/>
        <v>-</v>
      </c>
      <c r="GG32" s="353" t="str">
        <f t="shared" si="174"/>
        <v>-</v>
      </c>
      <c r="GH32" s="353" t="str">
        <f t="shared" si="175"/>
        <v>-</v>
      </c>
      <c r="GI32" s="353" t="str">
        <f t="shared" si="176"/>
        <v>-</v>
      </c>
      <c r="GJ32" s="353" t="str">
        <f t="shared" si="177"/>
        <v>-</v>
      </c>
      <c r="GK32" s="353" t="str">
        <f t="shared" si="178"/>
        <v>-</v>
      </c>
      <c r="GL32" s="354" t="str">
        <f t="shared" si="179"/>
        <v>-</v>
      </c>
      <c r="GO32" s="358">
        <f t="shared" si="180"/>
        <v>7</v>
      </c>
      <c r="GP32" s="353" t="str">
        <f t="shared" si="181"/>
        <v>-</v>
      </c>
      <c r="GQ32" s="353" t="str">
        <f t="shared" si="182"/>
        <v>-</v>
      </c>
      <c r="GR32" s="353" t="str">
        <f t="shared" si="183"/>
        <v>-</v>
      </c>
      <c r="GS32" s="353" t="str">
        <f t="shared" si="184"/>
        <v>-</v>
      </c>
      <c r="GT32" s="353" t="str">
        <f t="shared" si="185"/>
        <v>-</v>
      </c>
      <c r="GU32" s="353" t="str">
        <f t="shared" si="186"/>
        <v>-</v>
      </c>
      <c r="GV32" s="353" t="str">
        <f t="shared" si="187"/>
        <v>-</v>
      </c>
      <c r="GW32" s="353" t="str">
        <f t="shared" si="188"/>
        <v>-</v>
      </c>
      <c r="GX32" s="353" t="str">
        <f t="shared" si="189"/>
        <v>-</v>
      </c>
      <c r="GY32" s="353" t="str">
        <f t="shared" si="190"/>
        <v>-</v>
      </c>
      <c r="GZ32" s="353" t="str">
        <f t="shared" si="191"/>
        <v>-</v>
      </c>
      <c r="HA32" s="353" t="str">
        <f t="shared" si="192"/>
        <v>-</v>
      </c>
      <c r="HB32" s="353" t="str">
        <f t="shared" si="193"/>
        <v>-</v>
      </c>
      <c r="HC32" s="353" t="str">
        <f t="shared" si="194"/>
        <v>-</v>
      </c>
      <c r="HD32" s="353" t="str">
        <f t="shared" si="195"/>
        <v>-</v>
      </c>
      <c r="HE32" s="353" t="str">
        <f t="shared" si="196"/>
        <v>-</v>
      </c>
      <c r="HF32" s="353" t="str">
        <f t="shared" si="197"/>
        <v>-</v>
      </c>
      <c r="HG32" s="353" t="str">
        <f t="shared" si="198"/>
        <v>-</v>
      </c>
      <c r="HH32" s="353" t="str">
        <f t="shared" si="199"/>
        <v>-</v>
      </c>
      <c r="HI32" s="353" t="str">
        <f t="shared" si="200"/>
        <v>-</v>
      </c>
      <c r="HJ32" s="354" t="str">
        <f t="shared" si="201"/>
        <v>-</v>
      </c>
      <c r="HK32" s="42"/>
      <c r="HL32" s="42"/>
      <c r="HM32" s="358">
        <f t="shared" si="202"/>
        <v>7</v>
      </c>
      <c r="HN32" s="362" t="str">
        <f t="shared" si="203"/>
        <v>-</v>
      </c>
      <c r="HO32" s="363" t="str">
        <f t="shared" si="204"/>
        <v>-</v>
      </c>
    </row>
    <row r="33" spans="22:223" x14ac:dyDescent="0.3">
      <c r="V33" s="370">
        <f t="shared" si="89"/>
        <v>7.25</v>
      </c>
      <c r="W33" s="371" t="str">
        <f t="shared" si="90"/>
        <v>-</v>
      </c>
      <c r="X33" s="348" t="str">
        <f t="shared" si="91"/>
        <v>-</v>
      </c>
      <c r="Y33" s="348" t="str">
        <f t="shared" si="92"/>
        <v>-</v>
      </c>
      <c r="Z33" s="372" t="str" cm="1">
        <f t="array" ref="Z33">IF($V33&gt;CDS.Tenor,"-",cubicInterpolation(CurveResults.Times,CurveResults.DFs,$V33))</f>
        <v>-</v>
      </c>
      <c r="AA33" s="371" t="str">
        <f t="shared" si="93"/>
        <v>-</v>
      </c>
      <c r="AB33" s="371" t="str">
        <f t="shared" si="94"/>
        <v>-</v>
      </c>
      <c r="AC33" s="373" t="str">
        <f t="shared" si="95"/>
        <v>-</v>
      </c>
      <c r="AF33" s="370">
        <f t="shared" si="96"/>
        <v>7.25</v>
      </c>
      <c r="AG33" s="371" t="str">
        <f t="shared" si="97"/>
        <v>-</v>
      </c>
      <c r="AH33" s="348" t="str">
        <f t="shared" si="98"/>
        <v>-</v>
      </c>
      <c r="AI33" s="348" t="str">
        <f t="shared" si="99"/>
        <v>-</v>
      </c>
      <c r="AJ33" s="372" t="str" cm="1">
        <f t="array" ref="AJ33">IF($AF33&gt;CDS.Tenor,"-",cubicInterpolation(CurveResults.Times,CurveResults.DFs,$V33))</f>
        <v>-</v>
      </c>
      <c r="AK33" s="373" t="str">
        <f t="shared" si="100"/>
        <v>-</v>
      </c>
      <c r="AN33" s="358">
        <f t="shared" si="101"/>
        <v>7.25</v>
      </c>
      <c r="AO33" s="343" t="str" cm="1">
        <f t="array" aca="1" ref="AO33" ca="1">IF($AN33&gt;CDS.Tenor,"-",flatInterpolation(AM33,INDIRECT(HazardRateTimes1),INDIRECT(HazardRateValues1)))</f>
        <v>-</v>
      </c>
      <c r="AP33" s="10" t="str">
        <f t="shared" si="102"/>
        <v>-</v>
      </c>
      <c r="AQ33" s="10" t="str">
        <f t="shared" si="103"/>
        <v>-</v>
      </c>
      <c r="AR33" s="81" t="str">
        <f t="shared" si="104"/>
        <v>-</v>
      </c>
      <c r="AT33" s="358">
        <f t="shared" si="105"/>
        <v>7.25</v>
      </c>
      <c r="AU33" s="353" t="str">
        <f>IF($AN33&gt;CDS.Tenor,"-",_xlfn.NORM.S.DIST(($AR33-SQRT(Correlation1)*AU$3)/SQRT(1-Correlation1),TRUE))</f>
        <v>-</v>
      </c>
      <c r="AV33" s="353" t="str">
        <f>IF($AN33&gt;CDS.Tenor,"-",_xlfn.NORM.S.DIST(($AR33-SQRT(Correlation1)*AV$3)/SQRT(1-Correlation1),TRUE))</f>
        <v>-</v>
      </c>
      <c r="AW33" s="353" t="str">
        <f>IF($AN33&gt;CDS.Tenor,"-",_xlfn.NORM.S.DIST(($AR33-SQRT(Correlation1)*AW$3)/SQRT(1-Correlation1),TRUE))</f>
        <v>-</v>
      </c>
      <c r="AX33" s="353" t="str">
        <f>IF($AN33&gt;CDS.Tenor,"-",_xlfn.NORM.S.DIST(($AR33-SQRT(Correlation1)*AX$3)/SQRT(1-Correlation1),TRUE))</f>
        <v>-</v>
      </c>
      <c r="AY33" s="353" t="str">
        <f>IF($AN33&gt;CDS.Tenor,"-",_xlfn.NORM.S.DIST(($AR33-SQRT(Correlation1)*AY$3)/SQRT(1-Correlation1),TRUE))</f>
        <v>-</v>
      </c>
      <c r="AZ33" s="353" t="str">
        <f>IF($AN33&gt;CDS.Tenor,"-",_xlfn.NORM.S.DIST(($AR33-SQRT(Correlation1)*AZ$3)/SQRT(1-Correlation1),TRUE))</f>
        <v>-</v>
      </c>
      <c r="BA33" s="353" t="str">
        <f>IF($AN33&gt;CDS.Tenor,"-",_xlfn.NORM.S.DIST(($AR33-SQRT(Correlation1)*BA$3)/SQRT(1-Correlation1),TRUE))</f>
        <v>-</v>
      </c>
      <c r="BB33" s="353" t="str">
        <f>IF($AN33&gt;CDS.Tenor,"-",_xlfn.NORM.S.DIST(($AR33-SQRT(Correlation1)*BB$3)/SQRT(1-Correlation1),TRUE))</f>
        <v>-</v>
      </c>
      <c r="BC33" s="353" t="str">
        <f>IF($AN33&gt;CDS.Tenor,"-",_xlfn.NORM.S.DIST(($AR33-SQRT(Correlation1)*BC$3)/SQRT(1-Correlation1),TRUE))</f>
        <v>-</v>
      </c>
      <c r="BD33" s="353" t="str">
        <f>IF($AN33&gt;CDS.Tenor,"-",_xlfn.NORM.S.DIST(($AR33-SQRT(Correlation1)*BD$3)/SQRT(1-Correlation1),TRUE))</f>
        <v>-</v>
      </c>
      <c r="BE33" s="353" t="str">
        <f>IF($AN33&gt;CDS.Tenor,"-",_xlfn.NORM.S.DIST(($AR33-SQRT(Correlation1)*BE$3)/SQRT(1-Correlation1),TRUE))</f>
        <v>-</v>
      </c>
      <c r="BF33" s="353" t="str">
        <f>IF($AN33&gt;CDS.Tenor,"-",_xlfn.NORM.S.DIST(($AR33-SQRT(Correlation1)*BF$3)/SQRT(1-Correlation1),TRUE))</f>
        <v>-</v>
      </c>
      <c r="BG33" s="353" t="str">
        <f>IF($AN33&gt;CDS.Tenor,"-",_xlfn.NORM.S.DIST(($AR33-SQRT(Correlation1)*BG$3)/SQRT(1-Correlation1),TRUE))</f>
        <v>-</v>
      </c>
      <c r="BH33" s="353" t="str">
        <f>IF($AN33&gt;CDS.Tenor,"-",_xlfn.NORM.S.DIST(($AR33-SQRT(Correlation1)*BH$3)/SQRT(1-Correlation1),TRUE))</f>
        <v>-</v>
      </c>
      <c r="BI33" s="353" t="str">
        <f>IF($AN33&gt;CDS.Tenor,"-",_xlfn.NORM.S.DIST(($AR33-SQRT(Correlation1)*BI$3)/SQRT(1-Correlation1),TRUE))</f>
        <v>-</v>
      </c>
      <c r="BJ33" s="353" t="str">
        <f>IF($AN33&gt;CDS.Tenor,"-",_xlfn.NORM.S.DIST(($AR33-SQRT(Correlation1)*BJ$3)/SQRT(1-Correlation1),TRUE))</f>
        <v>-</v>
      </c>
      <c r="BK33" s="353" t="str">
        <f>IF($AN33&gt;CDS.Tenor,"-",_xlfn.NORM.S.DIST(($AR33-SQRT(Correlation1)*BK$3)/SQRT(1-Correlation1),TRUE))</f>
        <v>-</v>
      </c>
      <c r="BL33" s="353" t="str">
        <f>IF($AN33&gt;CDS.Tenor,"-",_xlfn.NORM.S.DIST(($AR33-SQRT(Correlation1)*BL$3)/SQRT(1-Correlation1),TRUE))</f>
        <v>-</v>
      </c>
      <c r="BM33" s="353" t="str">
        <f>IF($AN33&gt;CDS.Tenor,"-",_xlfn.NORM.S.DIST(($AR33-SQRT(Correlation1)*BM$3)/SQRT(1-Correlation1),TRUE))</f>
        <v>-</v>
      </c>
      <c r="BN33" s="353" t="str">
        <f>IF($AN33&gt;CDS.Tenor,"-",_xlfn.NORM.S.DIST(($AR33-SQRT(Correlation1)*BN$3)/SQRT(1-Correlation1),TRUE))</f>
        <v>-</v>
      </c>
      <c r="BO33" s="354" t="str">
        <f>IF($AN33&gt;CDS.Tenor,"-",_xlfn.NORM.S.DIST(($AR33-SQRT(Correlation1)*BO$3)/SQRT(1-Correlation1),TRUE))</f>
        <v>-</v>
      </c>
      <c r="BQ33" s="358">
        <f t="shared" si="106"/>
        <v>7.25</v>
      </c>
      <c r="BR33" s="353" t="str">
        <f t="shared" si="107"/>
        <v>-</v>
      </c>
      <c r="BS33" s="353" t="str">
        <f t="shared" si="108"/>
        <v>-</v>
      </c>
      <c r="BT33" s="353" t="str">
        <f t="shared" si="109"/>
        <v>-</v>
      </c>
      <c r="BU33" s="353" t="str">
        <f t="shared" si="110"/>
        <v>-</v>
      </c>
      <c r="BV33" s="353" t="str">
        <f t="shared" si="111"/>
        <v>-</v>
      </c>
      <c r="BW33" s="353" t="str">
        <f t="shared" si="112"/>
        <v>-</v>
      </c>
      <c r="BX33" s="353" t="str">
        <f t="shared" si="113"/>
        <v>-</v>
      </c>
      <c r="BY33" s="353" t="str">
        <f t="shared" si="114"/>
        <v>-</v>
      </c>
      <c r="BZ33" s="353" t="str">
        <f t="shared" si="115"/>
        <v>-</v>
      </c>
      <c r="CA33" s="353" t="str">
        <f t="shared" si="116"/>
        <v>-</v>
      </c>
      <c r="CB33" s="353" t="str">
        <f t="shared" si="117"/>
        <v>-</v>
      </c>
      <c r="CC33" s="353" t="str">
        <f t="shared" si="118"/>
        <v>-</v>
      </c>
      <c r="CD33" s="353" t="str">
        <f t="shared" si="119"/>
        <v>-</v>
      </c>
      <c r="CE33" s="353" t="str">
        <f t="shared" si="120"/>
        <v>-</v>
      </c>
      <c r="CF33" s="353" t="str">
        <f t="shared" si="121"/>
        <v>-</v>
      </c>
      <c r="CG33" s="353" t="str">
        <f t="shared" si="122"/>
        <v>-</v>
      </c>
      <c r="CH33" s="353" t="str">
        <f t="shared" si="123"/>
        <v>-</v>
      </c>
      <c r="CI33" s="353" t="str">
        <f t="shared" si="124"/>
        <v>-</v>
      </c>
      <c r="CJ33" s="353" t="str">
        <f t="shared" si="125"/>
        <v>-</v>
      </c>
      <c r="CK33" s="353" t="str">
        <f t="shared" si="126"/>
        <v>-</v>
      </c>
      <c r="CL33" s="354" t="str">
        <f t="shared" si="127"/>
        <v>-</v>
      </c>
      <c r="CM33" s="17"/>
      <c r="CN33" s="17"/>
      <c r="CO33" s="343" t="str" cm="1">
        <f t="array" aca="1" ref="CO33" ca="1">IF($AN33&gt;CDS.Tenor,"-",flatInterpolation(AN33,INDIRECT(HazardRateTimes2),INDIRECT(HazardRateValues2)))</f>
        <v>-</v>
      </c>
      <c r="CP33" s="10" t="str">
        <f t="shared" si="128"/>
        <v>-</v>
      </c>
      <c r="CQ33" s="10" t="str">
        <f t="shared" si="129"/>
        <v>-</v>
      </c>
      <c r="CR33" s="81" t="str">
        <f t="shared" si="130"/>
        <v>-</v>
      </c>
      <c r="CT33" s="358">
        <f t="shared" si="131"/>
        <v>7.25</v>
      </c>
      <c r="CU33" s="353" t="str">
        <f>IF($AN33&gt;CDS.Tenor,"-",_xlfn.NORM.S.DIST(($CR33-SQRT(Correlation2)*CU$3)/SQRT(1-Correlation2),TRUE))</f>
        <v>-</v>
      </c>
      <c r="CV33" s="353" t="str">
        <f>IF($AN33&gt;CDS.Tenor,"-",_xlfn.NORM.S.DIST(($CR33-SQRT(Correlation2)*CV$3)/SQRT(1-Correlation2),TRUE))</f>
        <v>-</v>
      </c>
      <c r="CW33" s="353" t="str">
        <f>IF($AN33&gt;CDS.Tenor,"-",_xlfn.NORM.S.DIST(($CR33-SQRT(Correlation2)*CW$3)/SQRT(1-Correlation2),TRUE))</f>
        <v>-</v>
      </c>
      <c r="CX33" s="353" t="str">
        <f>IF($AN33&gt;CDS.Tenor,"-",_xlfn.NORM.S.DIST(($CR33-SQRT(Correlation2)*CX$3)/SQRT(1-Correlation2),TRUE))</f>
        <v>-</v>
      </c>
      <c r="CY33" s="353" t="str">
        <f>IF($AN33&gt;CDS.Tenor,"-",_xlfn.NORM.S.DIST(($CR33-SQRT(Correlation2)*CY$3)/SQRT(1-Correlation2),TRUE))</f>
        <v>-</v>
      </c>
      <c r="CZ33" s="353" t="str">
        <f>IF($AN33&gt;CDS.Tenor,"-",_xlfn.NORM.S.DIST(($CR33-SQRT(Correlation2)*CZ$3)/SQRT(1-Correlation2),TRUE))</f>
        <v>-</v>
      </c>
      <c r="DA33" s="353" t="str">
        <f>IF($AN33&gt;CDS.Tenor,"-",_xlfn.NORM.S.DIST(($CR33-SQRT(Correlation2)*DA$3)/SQRT(1-Correlation2),TRUE))</f>
        <v>-</v>
      </c>
      <c r="DB33" s="353" t="str">
        <f>IF($AN33&gt;CDS.Tenor,"-",_xlfn.NORM.S.DIST(($CR33-SQRT(Correlation2)*DB$3)/SQRT(1-Correlation2),TRUE))</f>
        <v>-</v>
      </c>
      <c r="DC33" s="353" t="str">
        <f>IF($AN33&gt;CDS.Tenor,"-",_xlfn.NORM.S.DIST(($CR33-SQRT(Correlation2)*DC$3)/SQRT(1-Correlation2),TRUE))</f>
        <v>-</v>
      </c>
      <c r="DD33" s="353" t="str">
        <f>IF($AN33&gt;CDS.Tenor,"-",_xlfn.NORM.S.DIST(($CR33-SQRT(Correlation2)*DD$3)/SQRT(1-Correlation2),TRUE))</f>
        <v>-</v>
      </c>
      <c r="DE33" s="353" t="str">
        <f>IF($AN33&gt;CDS.Tenor,"-",_xlfn.NORM.S.DIST(($CR33-SQRT(Correlation2)*DE$3)/SQRT(1-Correlation2),TRUE))</f>
        <v>-</v>
      </c>
      <c r="DF33" s="353" t="str">
        <f>IF($AN33&gt;CDS.Tenor,"-",_xlfn.NORM.S.DIST(($CR33-SQRT(Correlation2)*DF$3)/SQRT(1-Correlation2),TRUE))</f>
        <v>-</v>
      </c>
      <c r="DG33" s="353" t="str">
        <f>IF($AN33&gt;CDS.Tenor,"-",_xlfn.NORM.S.DIST(($CR33-SQRT(Correlation2)*DG$3)/SQRT(1-Correlation2),TRUE))</f>
        <v>-</v>
      </c>
      <c r="DH33" s="353" t="str">
        <f>IF($AN33&gt;CDS.Tenor,"-",_xlfn.NORM.S.DIST(($CR33-SQRT(Correlation2)*DH$3)/SQRT(1-Correlation2),TRUE))</f>
        <v>-</v>
      </c>
      <c r="DI33" s="353" t="str">
        <f>IF($AN33&gt;CDS.Tenor,"-",_xlfn.NORM.S.DIST(($CR33-SQRT(Correlation2)*DI$3)/SQRT(1-Correlation2),TRUE))</f>
        <v>-</v>
      </c>
      <c r="DJ33" s="353" t="str">
        <f>IF($AN33&gt;CDS.Tenor,"-",_xlfn.NORM.S.DIST(($CR33-SQRT(Correlation2)*DJ$3)/SQRT(1-Correlation2),TRUE))</f>
        <v>-</v>
      </c>
      <c r="DK33" s="353" t="str">
        <f>IF($AN33&gt;CDS.Tenor,"-",_xlfn.NORM.S.DIST(($CR33-SQRT(Correlation2)*DK$3)/SQRT(1-Correlation2),TRUE))</f>
        <v>-</v>
      </c>
      <c r="DL33" s="353" t="str">
        <f>IF($AN33&gt;CDS.Tenor,"-",_xlfn.NORM.S.DIST(($CR33-SQRT(Correlation2)*DL$3)/SQRT(1-Correlation2),TRUE))</f>
        <v>-</v>
      </c>
      <c r="DM33" s="353" t="str">
        <f>IF($AN33&gt;CDS.Tenor,"-",_xlfn.NORM.S.DIST(($CR33-SQRT(Correlation2)*DM$3)/SQRT(1-Correlation2),TRUE))</f>
        <v>-</v>
      </c>
      <c r="DN33" s="353" t="str">
        <f>IF($AN33&gt;CDS.Tenor,"-",_xlfn.NORM.S.DIST(($CR33-SQRT(Correlation2)*DN$3)/SQRT(1-Correlation2),TRUE))</f>
        <v>-</v>
      </c>
      <c r="DO33" s="354" t="str">
        <f>IF($AN33&gt;CDS.Tenor,"-",_xlfn.NORM.S.DIST(($CR33-SQRT(Correlation2)*DO$3)/SQRT(1-Correlation2),TRUE))</f>
        <v>-</v>
      </c>
      <c r="DQ33" s="358">
        <f t="shared" si="132"/>
        <v>7.25</v>
      </c>
      <c r="DR33" s="353" t="str">
        <f t="shared" si="133"/>
        <v>-</v>
      </c>
      <c r="DS33" s="353" t="str">
        <f t="shared" si="134"/>
        <v>-</v>
      </c>
      <c r="DT33" s="353" t="str">
        <f t="shared" si="135"/>
        <v>-</v>
      </c>
      <c r="DU33" s="353" t="str">
        <f t="shared" si="136"/>
        <v>-</v>
      </c>
      <c r="DV33" s="353" t="str">
        <f t="shared" si="137"/>
        <v>-</v>
      </c>
      <c r="DW33" s="353" t="str">
        <f t="shared" si="138"/>
        <v>-</v>
      </c>
      <c r="DX33" s="353" t="str">
        <f t="shared" si="139"/>
        <v>-</v>
      </c>
      <c r="DY33" s="353" t="str">
        <f t="shared" si="140"/>
        <v>-</v>
      </c>
      <c r="DZ33" s="353" t="str">
        <f t="shared" si="141"/>
        <v>-</v>
      </c>
      <c r="EA33" s="353" t="str">
        <f t="shared" si="142"/>
        <v>-</v>
      </c>
      <c r="EB33" s="353" t="str">
        <f t="shared" si="143"/>
        <v>-</v>
      </c>
      <c r="EC33" s="353" t="str">
        <f t="shared" si="144"/>
        <v>-</v>
      </c>
      <c r="ED33" s="353" t="str">
        <f t="shared" si="145"/>
        <v>-</v>
      </c>
      <c r="EE33" s="353" t="str">
        <f t="shared" si="146"/>
        <v>-</v>
      </c>
      <c r="EF33" s="353" t="str">
        <f t="shared" si="147"/>
        <v>-</v>
      </c>
      <c r="EG33" s="353" t="str">
        <f t="shared" si="148"/>
        <v>-</v>
      </c>
      <c r="EH33" s="353" t="str">
        <f t="shared" si="149"/>
        <v>-</v>
      </c>
      <c r="EI33" s="353" t="str">
        <f t="shared" si="150"/>
        <v>-</v>
      </c>
      <c r="EJ33" s="353" t="str">
        <f t="shared" si="151"/>
        <v>-</v>
      </c>
      <c r="EK33" s="353" t="str">
        <f t="shared" si="152"/>
        <v>-</v>
      </c>
      <c r="EL33" s="354" t="str">
        <f t="shared" si="153"/>
        <v>-</v>
      </c>
      <c r="EM33" s="17"/>
      <c r="EN33" s="17"/>
      <c r="EO33" s="343" t="str" cm="1">
        <f t="array" aca="1" ref="EO33" ca="1">IF($AN33&gt;CDS.Tenor,"-",flatInterpolation(CP33,INDIRECT(HazardRateTimes3),INDIRECT(HazardRateValues3)))</f>
        <v>-</v>
      </c>
      <c r="EP33" s="10" t="str">
        <f t="shared" si="154"/>
        <v>-</v>
      </c>
      <c r="EQ33" s="10" t="str">
        <f t="shared" si="155"/>
        <v>-</v>
      </c>
      <c r="ER33" s="81" t="str">
        <f t="shared" si="156"/>
        <v>-</v>
      </c>
      <c r="ET33" s="358">
        <f t="shared" si="157"/>
        <v>7.25</v>
      </c>
      <c r="EU33" s="353" t="str">
        <f>IF($AN33&gt;CDS.Tenor,"-",_xlfn.NORM.S.DIST(($ER33-SQRT(Correlation3)*EU$3)/SQRT(1-Correlation3),TRUE))</f>
        <v>-</v>
      </c>
      <c r="EV33" s="353" t="str">
        <f>IF($AN33&gt;CDS.Tenor,"-",_xlfn.NORM.S.DIST(($ER33-SQRT(Correlation3)*EV$3)/SQRT(1-Correlation3),TRUE))</f>
        <v>-</v>
      </c>
      <c r="EW33" s="353" t="str">
        <f>IF($AN33&gt;CDS.Tenor,"-",_xlfn.NORM.S.DIST(($ER33-SQRT(Correlation3)*EW$3)/SQRT(1-Correlation3),TRUE))</f>
        <v>-</v>
      </c>
      <c r="EX33" s="353" t="str">
        <f>IF($AN33&gt;CDS.Tenor,"-",_xlfn.NORM.S.DIST(($ER33-SQRT(Correlation3)*EX$3)/SQRT(1-Correlation3),TRUE))</f>
        <v>-</v>
      </c>
      <c r="EY33" s="353" t="str">
        <f>IF($AN33&gt;CDS.Tenor,"-",_xlfn.NORM.S.DIST(($ER33-SQRT(Correlation3)*EY$3)/SQRT(1-Correlation3),TRUE))</f>
        <v>-</v>
      </c>
      <c r="EZ33" s="353" t="str">
        <f>IF($AN33&gt;CDS.Tenor,"-",_xlfn.NORM.S.DIST(($ER33-SQRT(Correlation3)*EZ$3)/SQRT(1-Correlation3),TRUE))</f>
        <v>-</v>
      </c>
      <c r="FA33" s="353" t="str">
        <f>IF($AN33&gt;CDS.Tenor,"-",_xlfn.NORM.S.DIST(($ER33-SQRT(Correlation3)*FA$3)/SQRT(1-Correlation3),TRUE))</f>
        <v>-</v>
      </c>
      <c r="FB33" s="353" t="str">
        <f>IF($AN33&gt;CDS.Tenor,"-",_xlfn.NORM.S.DIST(($ER33-SQRT(Correlation3)*FB$3)/SQRT(1-Correlation3),TRUE))</f>
        <v>-</v>
      </c>
      <c r="FC33" s="353" t="str">
        <f>IF($AN33&gt;CDS.Tenor,"-",_xlfn.NORM.S.DIST(($ER33-SQRT(Correlation3)*FC$3)/SQRT(1-Correlation3),TRUE))</f>
        <v>-</v>
      </c>
      <c r="FD33" s="353" t="str">
        <f>IF($AN33&gt;CDS.Tenor,"-",_xlfn.NORM.S.DIST(($ER33-SQRT(Correlation3)*FD$3)/SQRT(1-Correlation3),TRUE))</f>
        <v>-</v>
      </c>
      <c r="FE33" s="353" t="str">
        <f>IF($AN33&gt;CDS.Tenor,"-",_xlfn.NORM.S.DIST(($ER33-SQRT(Correlation3)*FE$3)/SQRT(1-Correlation3),TRUE))</f>
        <v>-</v>
      </c>
      <c r="FF33" s="353" t="str">
        <f>IF($AN33&gt;CDS.Tenor,"-",_xlfn.NORM.S.DIST(($ER33-SQRT(Correlation3)*FF$3)/SQRT(1-Correlation3),TRUE))</f>
        <v>-</v>
      </c>
      <c r="FG33" s="353" t="str">
        <f>IF($AN33&gt;CDS.Tenor,"-",_xlfn.NORM.S.DIST(($ER33-SQRT(Correlation3)*FG$3)/SQRT(1-Correlation3),TRUE))</f>
        <v>-</v>
      </c>
      <c r="FH33" s="353" t="str">
        <f>IF($AN33&gt;CDS.Tenor,"-",_xlfn.NORM.S.DIST(($ER33-SQRT(Correlation3)*FH$3)/SQRT(1-Correlation3),TRUE))</f>
        <v>-</v>
      </c>
      <c r="FI33" s="353" t="str">
        <f>IF($AN33&gt;CDS.Tenor,"-",_xlfn.NORM.S.DIST(($ER33-SQRT(Correlation3)*FI$3)/SQRT(1-Correlation3),TRUE))</f>
        <v>-</v>
      </c>
      <c r="FJ33" s="353" t="str">
        <f>IF($AN33&gt;CDS.Tenor,"-",_xlfn.NORM.S.DIST(($ER33-SQRT(Correlation3)*FJ$3)/SQRT(1-Correlation3),TRUE))</f>
        <v>-</v>
      </c>
      <c r="FK33" s="353" t="str">
        <f>IF($AN33&gt;CDS.Tenor,"-",_xlfn.NORM.S.DIST(($ER33-SQRT(Correlation3)*FK$3)/SQRT(1-Correlation3),TRUE))</f>
        <v>-</v>
      </c>
      <c r="FL33" s="353" t="str">
        <f>IF($AN33&gt;CDS.Tenor,"-",_xlfn.NORM.S.DIST(($ER33-SQRT(Correlation3)*FL$3)/SQRT(1-Correlation3),TRUE))</f>
        <v>-</v>
      </c>
      <c r="FM33" s="353" t="str">
        <f>IF($AN33&gt;CDS.Tenor,"-",_xlfn.NORM.S.DIST(($ER33-SQRT(Correlation3)*FM$3)/SQRT(1-Correlation3),TRUE))</f>
        <v>-</v>
      </c>
      <c r="FN33" s="353" t="str">
        <f>IF($AN33&gt;CDS.Tenor,"-",_xlfn.NORM.S.DIST(($ER33-SQRT(Correlation3)*FN$3)/SQRT(1-Correlation3),TRUE))</f>
        <v>-</v>
      </c>
      <c r="FO33" s="354" t="str">
        <f>IF($AN33&gt;CDS.Tenor,"-",_xlfn.NORM.S.DIST(($ER33-SQRT(Correlation3)*FO$3)/SQRT(1-Correlation3),TRUE))</f>
        <v>-</v>
      </c>
      <c r="FQ33" s="358">
        <f t="shared" si="158"/>
        <v>7.25</v>
      </c>
      <c r="FR33" s="353" t="str">
        <f t="shared" si="159"/>
        <v>-</v>
      </c>
      <c r="FS33" s="353" t="str">
        <f t="shared" si="160"/>
        <v>-</v>
      </c>
      <c r="FT33" s="353" t="str">
        <f t="shared" si="161"/>
        <v>-</v>
      </c>
      <c r="FU33" s="353" t="str">
        <f t="shared" si="162"/>
        <v>-</v>
      </c>
      <c r="FV33" s="353" t="str">
        <f t="shared" si="163"/>
        <v>-</v>
      </c>
      <c r="FW33" s="353" t="str">
        <f t="shared" si="164"/>
        <v>-</v>
      </c>
      <c r="FX33" s="353" t="str">
        <f t="shared" si="165"/>
        <v>-</v>
      </c>
      <c r="FY33" s="353" t="str">
        <f t="shared" si="166"/>
        <v>-</v>
      </c>
      <c r="FZ33" s="353" t="str">
        <f t="shared" si="167"/>
        <v>-</v>
      </c>
      <c r="GA33" s="353" t="str">
        <f t="shared" si="168"/>
        <v>-</v>
      </c>
      <c r="GB33" s="353" t="str">
        <f t="shared" si="169"/>
        <v>-</v>
      </c>
      <c r="GC33" s="353" t="str">
        <f t="shared" si="170"/>
        <v>-</v>
      </c>
      <c r="GD33" s="353" t="str">
        <f t="shared" si="171"/>
        <v>-</v>
      </c>
      <c r="GE33" s="353" t="str">
        <f t="shared" si="172"/>
        <v>-</v>
      </c>
      <c r="GF33" s="353" t="str">
        <f t="shared" si="173"/>
        <v>-</v>
      </c>
      <c r="GG33" s="353" t="str">
        <f t="shared" si="174"/>
        <v>-</v>
      </c>
      <c r="GH33" s="353" t="str">
        <f t="shared" si="175"/>
        <v>-</v>
      </c>
      <c r="GI33" s="353" t="str">
        <f t="shared" si="176"/>
        <v>-</v>
      </c>
      <c r="GJ33" s="353" t="str">
        <f t="shared" si="177"/>
        <v>-</v>
      </c>
      <c r="GK33" s="353" t="str">
        <f t="shared" si="178"/>
        <v>-</v>
      </c>
      <c r="GL33" s="354" t="str">
        <f t="shared" si="179"/>
        <v>-</v>
      </c>
      <c r="GO33" s="358">
        <f t="shared" si="180"/>
        <v>7.25</v>
      </c>
      <c r="GP33" s="353" t="str">
        <f t="shared" si="181"/>
        <v>-</v>
      </c>
      <c r="GQ33" s="353" t="str">
        <f t="shared" si="182"/>
        <v>-</v>
      </c>
      <c r="GR33" s="353" t="str">
        <f t="shared" si="183"/>
        <v>-</v>
      </c>
      <c r="GS33" s="353" t="str">
        <f t="shared" si="184"/>
        <v>-</v>
      </c>
      <c r="GT33" s="353" t="str">
        <f t="shared" si="185"/>
        <v>-</v>
      </c>
      <c r="GU33" s="353" t="str">
        <f t="shared" si="186"/>
        <v>-</v>
      </c>
      <c r="GV33" s="353" t="str">
        <f t="shared" si="187"/>
        <v>-</v>
      </c>
      <c r="GW33" s="353" t="str">
        <f t="shared" si="188"/>
        <v>-</v>
      </c>
      <c r="GX33" s="353" t="str">
        <f t="shared" si="189"/>
        <v>-</v>
      </c>
      <c r="GY33" s="353" t="str">
        <f t="shared" si="190"/>
        <v>-</v>
      </c>
      <c r="GZ33" s="353" t="str">
        <f t="shared" si="191"/>
        <v>-</v>
      </c>
      <c r="HA33" s="353" t="str">
        <f t="shared" si="192"/>
        <v>-</v>
      </c>
      <c r="HB33" s="353" t="str">
        <f t="shared" si="193"/>
        <v>-</v>
      </c>
      <c r="HC33" s="353" t="str">
        <f t="shared" si="194"/>
        <v>-</v>
      </c>
      <c r="HD33" s="353" t="str">
        <f t="shared" si="195"/>
        <v>-</v>
      </c>
      <c r="HE33" s="353" t="str">
        <f t="shared" si="196"/>
        <v>-</v>
      </c>
      <c r="HF33" s="353" t="str">
        <f t="shared" si="197"/>
        <v>-</v>
      </c>
      <c r="HG33" s="353" t="str">
        <f t="shared" si="198"/>
        <v>-</v>
      </c>
      <c r="HH33" s="353" t="str">
        <f t="shared" si="199"/>
        <v>-</v>
      </c>
      <c r="HI33" s="353" t="str">
        <f t="shared" si="200"/>
        <v>-</v>
      </c>
      <c r="HJ33" s="354" t="str">
        <f t="shared" si="201"/>
        <v>-</v>
      </c>
      <c r="HK33" s="42"/>
      <c r="HL33" s="42"/>
      <c r="HM33" s="358">
        <f t="shared" si="202"/>
        <v>7.25</v>
      </c>
      <c r="HN33" s="362" t="str">
        <f t="shared" si="203"/>
        <v>-</v>
      </c>
      <c r="HO33" s="363" t="str">
        <f t="shared" si="204"/>
        <v>-</v>
      </c>
    </row>
    <row r="34" spans="22:223" x14ac:dyDescent="0.3">
      <c r="V34" s="370">
        <f t="shared" si="89"/>
        <v>7.5</v>
      </c>
      <c r="W34" s="371" t="str">
        <f t="shared" si="90"/>
        <v>-</v>
      </c>
      <c r="X34" s="348" t="str">
        <f t="shared" si="91"/>
        <v>-</v>
      </c>
      <c r="Y34" s="348" t="str">
        <f t="shared" si="92"/>
        <v>-</v>
      </c>
      <c r="Z34" s="372" t="str" cm="1">
        <f t="array" ref="Z34">IF($V34&gt;CDS.Tenor,"-",cubicInterpolation(CurveResults.Times,CurveResults.DFs,$V34))</f>
        <v>-</v>
      </c>
      <c r="AA34" s="371" t="str">
        <f t="shared" si="93"/>
        <v>-</v>
      </c>
      <c r="AB34" s="371" t="str">
        <f t="shared" si="94"/>
        <v>-</v>
      </c>
      <c r="AC34" s="373" t="str">
        <f t="shared" si="95"/>
        <v>-</v>
      </c>
      <c r="AF34" s="370">
        <f t="shared" si="96"/>
        <v>7.5</v>
      </c>
      <c r="AG34" s="371" t="str">
        <f t="shared" si="97"/>
        <v>-</v>
      </c>
      <c r="AH34" s="348" t="str">
        <f t="shared" si="98"/>
        <v>-</v>
      </c>
      <c r="AI34" s="348" t="str">
        <f t="shared" si="99"/>
        <v>-</v>
      </c>
      <c r="AJ34" s="372" t="str" cm="1">
        <f t="array" ref="AJ34">IF($AF34&gt;CDS.Tenor,"-",cubicInterpolation(CurveResults.Times,CurveResults.DFs,$V34))</f>
        <v>-</v>
      </c>
      <c r="AK34" s="373" t="str">
        <f t="shared" si="100"/>
        <v>-</v>
      </c>
      <c r="AN34" s="358">
        <f t="shared" si="101"/>
        <v>7.5</v>
      </c>
      <c r="AO34" s="343" t="str" cm="1">
        <f t="array" aca="1" ref="AO34" ca="1">IF($AN34&gt;CDS.Tenor,"-",flatInterpolation(AM34,INDIRECT(HazardRateTimes1),INDIRECT(HazardRateValues1)))</f>
        <v>-</v>
      </c>
      <c r="AP34" s="10" t="str">
        <f t="shared" si="102"/>
        <v>-</v>
      </c>
      <c r="AQ34" s="10" t="str">
        <f t="shared" si="103"/>
        <v>-</v>
      </c>
      <c r="AR34" s="81" t="str">
        <f t="shared" si="104"/>
        <v>-</v>
      </c>
      <c r="AT34" s="358">
        <f t="shared" si="105"/>
        <v>7.5</v>
      </c>
      <c r="AU34" s="353" t="str">
        <f>IF($AN34&gt;CDS.Tenor,"-",_xlfn.NORM.S.DIST(($AR34-SQRT(Correlation1)*AU$3)/SQRT(1-Correlation1),TRUE))</f>
        <v>-</v>
      </c>
      <c r="AV34" s="353" t="str">
        <f>IF($AN34&gt;CDS.Tenor,"-",_xlfn.NORM.S.DIST(($AR34-SQRT(Correlation1)*AV$3)/SQRT(1-Correlation1),TRUE))</f>
        <v>-</v>
      </c>
      <c r="AW34" s="353" t="str">
        <f>IF($AN34&gt;CDS.Tenor,"-",_xlfn.NORM.S.DIST(($AR34-SQRT(Correlation1)*AW$3)/SQRT(1-Correlation1),TRUE))</f>
        <v>-</v>
      </c>
      <c r="AX34" s="353" t="str">
        <f>IF($AN34&gt;CDS.Tenor,"-",_xlfn.NORM.S.DIST(($AR34-SQRT(Correlation1)*AX$3)/SQRT(1-Correlation1),TRUE))</f>
        <v>-</v>
      </c>
      <c r="AY34" s="353" t="str">
        <f>IF($AN34&gt;CDS.Tenor,"-",_xlfn.NORM.S.DIST(($AR34-SQRT(Correlation1)*AY$3)/SQRT(1-Correlation1),TRUE))</f>
        <v>-</v>
      </c>
      <c r="AZ34" s="353" t="str">
        <f>IF($AN34&gt;CDS.Tenor,"-",_xlfn.NORM.S.DIST(($AR34-SQRT(Correlation1)*AZ$3)/SQRT(1-Correlation1),TRUE))</f>
        <v>-</v>
      </c>
      <c r="BA34" s="353" t="str">
        <f>IF($AN34&gt;CDS.Tenor,"-",_xlfn.NORM.S.DIST(($AR34-SQRT(Correlation1)*BA$3)/SQRT(1-Correlation1),TRUE))</f>
        <v>-</v>
      </c>
      <c r="BB34" s="353" t="str">
        <f>IF($AN34&gt;CDS.Tenor,"-",_xlfn.NORM.S.DIST(($AR34-SQRT(Correlation1)*BB$3)/SQRT(1-Correlation1),TRUE))</f>
        <v>-</v>
      </c>
      <c r="BC34" s="353" t="str">
        <f>IF($AN34&gt;CDS.Tenor,"-",_xlfn.NORM.S.DIST(($AR34-SQRT(Correlation1)*BC$3)/SQRT(1-Correlation1),TRUE))</f>
        <v>-</v>
      </c>
      <c r="BD34" s="353" t="str">
        <f>IF($AN34&gt;CDS.Tenor,"-",_xlfn.NORM.S.DIST(($AR34-SQRT(Correlation1)*BD$3)/SQRT(1-Correlation1),TRUE))</f>
        <v>-</v>
      </c>
      <c r="BE34" s="353" t="str">
        <f>IF($AN34&gt;CDS.Tenor,"-",_xlfn.NORM.S.DIST(($AR34-SQRT(Correlation1)*BE$3)/SQRT(1-Correlation1),TRUE))</f>
        <v>-</v>
      </c>
      <c r="BF34" s="353" t="str">
        <f>IF($AN34&gt;CDS.Tenor,"-",_xlfn.NORM.S.DIST(($AR34-SQRT(Correlation1)*BF$3)/SQRT(1-Correlation1),TRUE))</f>
        <v>-</v>
      </c>
      <c r="BG34" s="353" t="str">
        <f>IF($AN34&gt;CDS.Tenor,"-",_xlfn.NORM.S.DIST(($AR34-SQRT(Correlation1)*BG$3)/SQRT(1-Correlation1),TRUE))</f>
        <v>-</v>
      </c>
      <c r="BH34" s="353" t="str">
        <f>IF($AN34&gt;CDS.Tenor,"-",_xlfn.NORM.S.DIST(($AR34-SQRT(Correlation1)*BH$3)/SQRT(1-Correlation1),TRUE))</f>
        <v>-</v>
      </c>
      <c r="BI34" s="353" t="str">
        <f>IF($AN34&gt;CDS.Tenor,"-",_xlfn.NORM.S.DIST(($AR34-SQRT(Correlation1)*BI$3)/SQRT(1-Correlation1),TRUE))</f>
        <v>-</v>
      </c>
      <c r="BJ34" s="353" t="str">
        <f>IF($AN34&gt;CDS.Tenor,"-",_xlfn.NORM.S.DIST(($AR34-SQRT(Correlation1)*BJ$3)/SQRT(1-Correlation1),TRUE))</f>
        <v>-</v>
      </c>
      <c r="BK34" s="353" t="str">
        <f>IF($AN34&gt;CDS.Tenor,"-",_xlfn.NORM.S.DIST(($AR34-SQRT(Correlation1)*BK$3)/SQRT(1-Correlation1),TRUE))</f>
        <v>-</v>
      </c>
      <c r="BL34" s="353" t="str">
        <f>IF($AN34&gt;CDS.Tenor,"-",_xlfn.NORM.S.DIST(($AR34-SQRT(Correlation1)*BL$3)/SQRT(1-Correlation1),TRUE))</f>
        <v>-</v>
      </c>
      <c r="BM34" s="353" t="str">
        <f>IF($AN34&gt;CDS.Tenor,"-",_xlfn.NORM.S.DIST(($AR34-SQRT(Correlation1)*BM$3)/SQRT(1-Correlation1),TRUE))</f>
        <v>-</v>
      </c>
      <c r="BN34" s="353" t="str">
        <f>IF($AN34&gt;CDS.Tenor,"-",_xlfn.NORM.S.DIST(($AR34-SQRT(Correlation1)*BN$3)/SQRT(1-Correlation1),TRUE))</f>
        <v>-</v>
      </c>
      <c r="BO34" s="354" t="str">
        <f>IF($AN34&gt;CDS.Tenor,"-",_xlfn.NORM.S.DIST(($AR34-SQRT(Correlation1)*BO$3)/SQRT(1-Correlation1),TRUE))</f>
        <v>-</v>
      </c>
      <c r="BQ34" s="358">
        <f t="shared" si="106"/>
        <v>7.5</v>
      </c>
      <c r="BR34" s="353" t="str">
        <f t="shared" si="107"/>
        <v>-</v>
      </c>
      <c r="BS34" s="353" t="str">
        <f t="shared" si="108"/>
        <v>-</v>
      </c>
      <c r="BT34" s="353" t="str">
        <f t="shared" si="109"/>
        <v>-</v>
      </c>
      <c r="BU34" s="353" t="str">
        <f t="shared" si="110"/>
        <v>-</v>
      </c>
      <c r="BV34" s="353" t="str">
        <f t="shared" si="111"/>
        <v>-</v>
      </c>
      <c r="BW34" s="353" t="str">
        <f t="shared" si="112"/>
        <v>-</v>
      </c>
      <c r="BX34" s="353" t="str">
        <f t="shared" si="113"/>
        <v>-</v>
      </c>
      <c r="BY34" s="353" t="str">
        <f t="shared" si="114"/>
        <v>-</v>
      </c>
      <c r="BZ34" s="353" t="str">
        <f t="shared" si="115"/>
        <v>-</v>
      </c>
      <c r="CA34" s="353" t="str">
        <f t="shared" si="116"/>
        <v>-</v>
      </c>
      <c r="CB34" s="353" t="str">
        <f t="shared" si="117"/>
        <v>-</v>
      </c>
      <c r="CC34" s="353" t="str">
        <f t="shared" si="118"/>
        <v>-</v>
      </c>
      <c r="CD34" s="353" t="str">
        <f t="shared" si="119"/>
        <v>-</v>
      </c>
      <c r="CE34" s="353" t="str">
        <f t="shared" si="120"/>
        <v>-</v>
      </c>
      <c r="CF34" s="353" t="str">
        <f t="shared" si="121"/>
        <v>-</v>
      </c>
      <c r="CG34" s="353" t="str">
        <f t="shared" si="122"/>
        <v>-</v>
      </c>
      <c r="CH34" s="353" t="str">
        <f t="shared" si="123"/>
        <v>-</v>
      </c>
      <c r="CI34" s="353" t="str">
        <f t="shared" si="124"/>
        <v>-</v>
      </c>
      <c r="CJ34" s="353" t="str">
        <f t="shared" si="125"/>
        <v>-</v>
      </c>
      <c r="CK34" s="353" t="str">
        <f t="shared" si="126"/>
        <v>-</v>
      </c>
      <c r="CL34" s="354" t="str">
        <f t="shared" si="127"/>
        <v>-</v>
      </c>
      <c r="CM34" s="17"/>
      <c r="CN34" s="17"/>
      <c r="CO34" s="343" t="str" cm="1">
        <f t="array" aca="1" ref="CO34" ca="1">IF($AN34&gt;CDS.Tenor,"-",flatInterpolation(AN34,INDIRECT(HazardRateTimes2),INDIRECT(HazardRateValues2)))</f>
        <v>-</v>
      </c>
      <c r="CP34" s="10" t="str">
        <f t="shared" si="128"/>
        <v>-</v>
      </c>
      <c r="CQ34" s="10" t="str">
        <f t="shared" si="129"/>
        <v>-</v>
      </c>
      <c r="CR34" s="81" t="str">
        <f t="shared" si="130"/>
        <v>-</v>
      </c>
      <c r="CT34" s="358">
        <f t="shared" si="131"/>
        <v>7.5</v>
      </c>
      <c r="CU34" s="353" t="str">
        <f>IF($AN34&gt;CDS.Tenor,"-",_xlfn.NORM.S.DIST(($CR34-SQRT(Correlation2)*CU$3)/SQRT(1-Correlation2),TRUE))</f>
        <v>-</v>
      </c>
      <c r="CV34" s="353" t="str">
        <f>IF($AN34&gt;CDS.Tenor,"-",_xlfn.NORM.S.DIST(($CR34-SQRT(Correlation2)*CV$3)/SQRT(1-Correlation2),TRUE))</f>
        <v>-</v>
      </c>
      <c r="CW34" s="353" t="str">
        <f>IF($AN34&gt;CDS.Tenor,"-",_xlfn.NORM.S.DIST(($CR34-SQRT(Correlation2)*CW$3)/SQRT(1-Correlation2),TRUE))</f>
        <v>-</v>
      </c>
      <c r="CX34" s="353" t="str">
        <f>IF($AN34&gt;CDS.Tenor,"-",_xlfn.NORM.S.DIST(($CR34-SQRT(Correlation2)*CX$3)/SQRT(1-Correlation2),TRUE))</f>
        <v>-</v>
      </c>
      <c r="CY34" s="353" t="str">
        <f>IF($AN34&gt;CDS.Tenor,"-",_xlfn.NORM.S.DIST(($CR34-SQRT(Correlation2)*CY$3)/SQRT(1-Correlation2),TRUE))</f>
        <v>-</v>
      </c>
      <c r="CZ34" s="353" t="str">
        <f>IF($AN34&gt;CDS.Tenor,"-",_xlfn.NORM.S.DIST(($CR34-SQRT(Correlation2)*CZ$3)/SQRT(1-Correlation2),TRUE))</f>
        <v>-</v>
      </c>
      <c r="DA34" s="353" t="str">
        <f>IF($AN34&gt;CDS.Tenor,"-",_xlfn.NORM.S.DIST(($CR34-SQRT(Correlation2)*DA$3)/SQRT(1-Correlation2),TRUE))</f>
        <v>-</v>
      </c>
      <c r="DB34" s="353" t="str">
        <f>IF($AN34&gt;CDS.Tenor,"-",_xlfn.NORM.S.DIST(($CR34-SQRT(Correlation2)*DB$3)/SQRT(1-Correlation2),TRUE))</f>
        <v>-</v>
      </c>
      <c r="DC34" s="353" t="str">
        <f>IF($AN34&gt;CDS.Tenor,"-",_xlfn.NORM.S.DIST(($CR34-SQRT(Correlation2)*DC$3)/SQRT(1-Correlation2),TRUE))</f>
        <v>-</v>
      </c>
      <c r="DD34" s="353" t="str">
        <f>IF($AN34&gt;CDS.Tenor,"-",_xlfn.NORM.S.DIST(($CR34-SQRT(Correlation2)*DD$3)/SQRT(1-Correlation2),TRUE))</f>
        <v>-</v>
      </c>
      <c r="DE34" s="353" t="str">
        <f>IF($AN34&gt;CDS.Tenor,"-",_xlfn.NORM.S.DIST(($CR34-SQRT(Correlation2)*DE$3)/SQRT(1-Correlation2),TRUE))</f>
        <v>-</v>
      </c>
      <c r="DF34" s="353" t="str">
        <f>IF($AN34&gt;CDS.Tenor,"-",_xlfn.NORM.S.DIST(($CR34-SQRT(Correlation2)*DF$3)/SQRT(1-Correlation2),TRUE))</f>
        <v>-</v>
      </c>
      <c r="DG34" s="353" t="str">
        <f>IF($AN34&gt;CDS.Tenor,"-",_xlfn.NORM.S.DIST(($CR34-SQRT(Correlation2)*DG$3)/SQRT(1-Correlation2),TRUE))</f>
        <v>-</v>
      </c>
      <c r="DH34" s="353" t="str">
        <f>IF($AN34&gt;CDS.Tenor,"-",_xlfn.NORM.S.DIST(($CR34-SQRT(Correlation2)*DH$3)/SQRT(1-Correlation2),TRUE))</f>
        <v>-</v>
      </c>
      <c r="DI34" s="353" t="str">
        <f>IF($AN34&gt;CDS.Tenor,"-",_xlfn.NORM.S.DIST(($CR34-SQRT(Correlation2)*DI$3)/SQRT(1-Correlation2),TRUE))</f>
        <v>-</v>
      </c>
      <c r="DJ34" s="353" t="str">
        <f>IF($AN34&gt;CDS.Tenor,"-",_xlfn.NORM.S.DIST(($CR34-SQRT(Correlation2)*DJ$3)/SQRT(1-Correlation2),TRUE))</f>
        <v>-</v>
      </c>
      <c r="DK34" s="353" t="str">
        <f>IF($AN34&gt;CDS.Tenor,"-",_xlfn.NORM.S.DIST(($CR34-SQRT(Correlation2)*DK$3)/SQRT(1-Correlation2),TRUE))</f>
        <v>-</v>
      </c>
      <c r="DL34" s="353" t="str">
        <f>IF($AN34&gt;CDS.Tenor,"-",_xlfn.NORM.S.DIST(($CR34-SQRT(Correlation2)*DL$3)/SQRT(1-Correlation2),TRUE))</f>
        <v>-</v>
      </c>
      <c r="DM34" s="353" t="str">
        <f>IF($AN34&gt;CDS.Tenor,"-",_xlfn.NORM.S.DIST(($CR34-SQRT(Correlation2)*DM$3)/SQRT(1-Correlation2),TRUE))</f>
        <v>-</v>
      </c>
      <c r="DN34" s="353" t="str">
        <f>IF($AN34&gt;CDS.Tenor,"-",_xlfn.NORM.S.DIST(($CR34-SQRT(Correlation2)*DN$3)/SQRT(1-Correlation2),TRUE))</f>
        <v>-</v>
      </c>
      <c r="DO34" s="354" t="str">
        <f>IF($AN34&gt;CDS.Tenor,"-",_xlfn.NORM.S.DIST(($CR34-SQRT(Correlation2)*DO$3)/SQRT(1-Correlation2),TRUE))</f>
        <v>-</v>
      </c>
      <c r="DQ34" s="358">
        <f t="shared" si="132"/>
        <v>7.5</v>
      </c>
      <c r="DR34" s="353" t="str">
        <f t="shared" si="133"/>
        <v>-</v>
      </c>
      <c r="DS34" s="353" t="str">
        <f t="shared" si="134"/>
        <v>-</v>
      </c>
      <c r="DT34" s="353" t="str">
        <f t="shared" si="135"/>
        <v>-</v>
      </c>
      <c r="DU34" s="353" t="str">
        <f t="shared" si="136"/>
        <v>-</v>
      </c>
      <c r="DV34" s="353" t="str">
        <f t="shared" si="137"/>
        <v>-</v>
      </c>
      <c r="DW34" s="353" t="str">
        <f t="shared" si="138"/>
        <v>-</v>
      </c>
      <c r="DX34" s="353" t="str">
        <f t="shared" si="139"/>
        <v>-</v>
      </c>
      <c r="DY34" s="353" t="str">
        <f t="shared" si="140"/>
        <v>-</v>
      </c>
      <c r="DZ34" s="353" t="str">
        <f t="shared" si="141"/>
        <v>-</v>
      </c>
      <c r="EA34" s="353" t="str">
        <f t="shared" si="142"/>
        <v>-</v>
      </c>
      <c r="EB34" s="353" t="str">
        <f t="shared" si="143"/>
        <v>-</v>
      </c>
      <c r="EC34" s="353" t="str">
        <f t="shared" si="144"/>
        <v>-</v>
      </c>
      <c r="ED34" s="353" t="str">
        <f t="shared" si="145"/>
        <v>-</v>
      </c>
      <c r="EE34" s="353" t="str">
        <f t="shared" si="146"/>
        <v>-</v>
      </c>
      <c r="EF34" s="353" t="str">
        <f t="shared" si="147"/>
        <v>-</v>
      </c>
      <c r="EG34" s="353" t="str">
        <f t="shared" si="148"/>
        <v>-</v>
      </c>
      <c r="EH34" s="353" t="str">
        <f t="shared" si="149"/>
        <v>-</v>
      </c>
      <c r="EI34" s="353" t="str">
        <f t="shared" si="150"/>
        <v>-</v>
      </c>
      <c r="EJ34" s="353" t="str">
        <f t="shared" si="151"/>
        <v>-</v>
      </c>
      <c r="EK34" s="353" t="str">
        <f t="shared" si="152"/>
        <v>-</v>
      </c>
      <c r="EL34" s="354" t="str">
        <f t="shared" si="153"/>
        <v>-</v>
      </c>
      <c r="EM34" s="17"/>
      <c r="EN34" s="17"/>
      <c r="EO34" s="343" t="str" cm="1">
        <f t="array" aca="1" ref="EO34" ca="1">IF($AN34&gt;CDS.Tenor,"-",flatInterpolation(CP34,INDIRECT(HazardRateTimes3),INDIRECT(HazardRateValues3)))</f>
        <v>-</v>
      </c>
      <c r="EP34" s="10" t="str">
        <f t="shared" si="154"/>
        <v>-</v>
      </c>
      <c r="EQ34" s="10" t="str">
        <f t="shared" si="155"/>
        <v>-</v>
      </c>
      <c r="ER34" s="81" t="str">
        <f t="shared" si="156"/>
        <v>-</v>
      </c>
      <c r="ET34" s="358">
        <f t="shared" si="157"/>
        <v>7.5</v>
      </c>
      <c r="EU34" s="353" t="str">
        <f>IF($AN34&gt;CDS.Tenor,"-",_xlfn.NORM.S.DIST(($ER34-SQRT(Correlation3)*EU$3)/SQRT(1-Correlation3),TRUE))</f>
        <v>-</v>
      </c>
      <c r="EV34" s="353" t="str">
        <f>IF($AN34&gt;CDS.Tenor,"-",_xlfn.NORM.S.DIST(($ER34-SQRT(Correlation3)*EV$3)/SQRT(1-Correlation3),TRUE))</f>
        <v>-</v>
      </c>
      <c r="EW34" s="353" t="str">
        <f>IF($AN34&gt;CDS.Tenor,"-",_xlfn.NORM.S.DIST(($ER34-SQRT(Correlation3)*EW$3)/SQRT(1-Correlation3),TRUE))</f>
        <v>-</v>
      </c>
      <c r="EX34" s="353" t="str">
        <f>IF($AN34&gt;CDS.Tenor,"-",_xlfn.NORM.S.DIST(($ER34-SQRT(Correlation3)*EX$3)/SQRT(1-Correlation3),TRUE))</f>
        <v>-</v>
      </c>
      <c r="EY34" s="353" t="str">
        <f>IF($AN34&gt;CDS.Tenor,"-",_xlfn.NORM.S.DIST(($ER34-SQRT(Correlation3)*EY$3)/SQRT(1-Correlation3),TRUE))</f>
        <v>-</v>
      </c>
      <c r="EZ34" s="353" t="str">
        <f>IF($AN34&gt;CDS.Tenor,"-",_xlfn.NORM.S.DIST(($ER34-SQRT(Correlation3)*EZ$3)/SQRT(1-Correlation3),TRUE))</f>
        <v>-</v>
      </c>
      <c r="FA34" s="353" t="str">
        <f>IF($AN34&gt;CDS.Tenor,"-",_xlfn.NORM.S.DIST(($ER34-SQRT(Correlation3)*FA$3)/SQRT(1-Correlation3),TRUE))</f>
        <v>-</v>
      </c>
      <c r="FB34" s="353" t="str">
        <f>IF($AN34&gt;CDS.Tenor,"-",_xlfn.NORM.S.DIST(($ER34-SQRT(Correlation3)*FB$3)/SQRT(1-Correlation3),TRUE))</f>
        <v>-</v>
      </c>
      <c r="FC34" s="353" t="str">
        <f>IF($AN34&gt;CDS.Tenor,"-",_xlfn.NORM.S.DIST(($ER34-SQRT(Correlation3)*FC$3)/SQRT(1-Correlation3),TRUE))</f>
        <v>-</v>
      </c>
      <c r="FD34" s="353" t="str">
        <f>IF($AN34&gt;CDS.Tenor,"-",_xlfn.NORM.S.DIST(($ER34-SQRT(Correlation3)*FD$3)/SQRT(1-Correlation3),TRUE))</f>
        <v>-</v>
      </c>
      <c r="FE34" s="353" t="str">
        <f>IF($AN34&gt;CDS.Tenor,"-",_xlfn.NORM.S.DIST(($ER34-SQRT(Correlation3)*FE$3)/SQRT(1-Correlation3),TRUE))</f>
        <v>-</v>
      </c>
      <c r="FF34" s="353" t="str">
        <f>IF($AN34&gt;CDS.Tenor,"-",_xlfn.NORM.S.DIST(($ER34-SQRT(Correlation3)*FF$3)/SQRT(1-Correlation3),TRUE))</f>
        <v>-</v>
      </c>
      <c r="FG34" s="353" t="str">
        <f>IF($AN34&gt;CDS.Tenor,"-",_xlfn.NORM.S.DIST(($ER34-SQRT(Correlation3)*FG$3)/SQRT(1-Correlation3),TRUE))</f>
        <v>-</v>
      </c>
      <c r="FH34" s="353" t="str">
        <f>IF($AN34&gt;CDS.Tenor,"-",_xlfn.NORM.S.DIST(($ER34-SQRT(Correlation3)*FH$3)/SQRT(1-Correlation3),TRUE))</f>
        <v>-</v>
      </c>
      <c r="FI34" s="353" t="str">
        <f>IF($AN34&gt;CDS.Tenor,"-",_xlfn.NORM.S.DIST(($ER34-SQRT(Correlation3)*FI$3)/SQRT(1-Correlation3),TRUE))</f>
        <v>-</v>
      </c>
      <c r="FJ34" s="353" t="str">
        <f>IF($AN34&gt;CDS.Tenor,"-",_xlfn.NORM.S.DIST(($ER34-SQRT(Correlation3)*FJ$3)/SQRT(1-Correlation3),TRUE))</f>
        <v>-</v>
      </c>
      <c r="FK34" s="353" t="str">
        <f>IF($AN34&gt;CDS.Tenor,"-",_xlfn.NORM.S.DIST(($ER34-SQRT(Correlation3)*FK$3)/SQRT(1-Correlation3),TRUE))</f>
        <v>-</v>
      </c>
      <c r="FL34" s="353" t="str">
        <f>IF($AN34&gt;CDS.Tenor,"-",_xlfn.NORM.S.DIST(($ER34-SQRT(Correlation3)*FL$3)/SQRT(1-Correlation3),TRUE))</f>
        <v>-</v>
      </c>
      <c r="FM34" s="353" t="str">
        <f>IF($AN34&gt;CDS.Tenor,"-",_xlfn.NORM.S.DIST(($ER34-SQRT(Correlation3)*FM$3)/SQRT(1-Correlation3),TRUE))</f>
        <v>-</v>
      </c>
      <c r="FN34" s="353" t="str">
        <f>IF($AN34&gt;CDS.Tenor,"-",_xlfn.NORM.S.DIST(($ER34-SQRT(Correlation3)*FN$3)/SQRT(1-Correlation3),TRUE))</f>
        <v>-</v>
      </c>
      <c r="FO34" s="354" t="str">
        <f>IF($AN34&gt;CDS.Tenor,"-",_xlfn.NORM.S.DIST(($ER34-SQRT(Correlation3)*FO$3)/SQRT(1-Correlation3),TRUE))</f>
        <v>-</v>
      </c>
      <c r="FQ34" s="358">
        <f t="shared" si="158"/>
        <v>7.5</v>
      </c>
      <c r="FR34" s="353" t="str">
        <f t="shared" si="159"/>
        <v>-</v>
      </c>
      <c r="FS34" s="353" t="str">
        <f t="shared" si="160"/>
        <v>-</v>
      </c>
      <c r="FT34" s="353" t="str">
        <f t="shared" si="161"/>
        <v>-</v>
      </c>
      <c r="FU34" s="353" t="str">
        <f t="shared" si="162"/>
        <v>-</v>
      </c>
      <c r="FV34" s="353" t="str">
        <f t="shared" si="163"/>
        <v>-</v>
      </c>
      <c r="FW34" s="353" t="str">
        <f t="shared" si="164"/>
        <v>-</v>
      </c>
      <c r="FX34" s="353" t="str">
        <f t="shared" si="165"/>
        <v>-</v>
      </c>
      <c r="FY34" s="353" t="str">
        <f t="shared" si="166"/>
        <v>-</v>
      </c>
      <c r="FZ34" s="353" t="str">
        <f t="shared" si="167"/>
        <v>-</v>
      </c>
      <c r="GA34" s="353" t="str">
        <f t="shared" si="168"/>
        <v>-</v>
      </c>
      <c r="GB34" s="353" t="str">
        <f t="shared" si="169"/>
        <v>-</v>
      </c>
      <c r="GC34" s="353" t="str">
        <f t="shared" si="170"/>
        <v>-</v>
      </c>
      <c r="GD34" s="353" t="str">
        <f t="shared" si="171"/>
        <v>-</v>
      </c>
      <c r="GE34" s="353" t="str">
        <f t="shared" si="172"/>
        <v>-</v>
      </c>
      <c r="GF34" s="353" t="str">
        <f t="shared" si="173"/>
        <v>-</v>
      </c>
      <c r="GG34" s="353" t="str">
        <f t="shared" si="174"/>
        <v>-</v>
      </c>
      <c r="GH34" s="353" t="str">
        <f t="shared" si="175"/>
        <v>-</v>
      </c>
      <c r="GI34" s="353" t="str">
        <f t="shared" si="176"/>
        <v>-</v>
      </c>
      <c r="GJ34" s="353" t="str">
        <f t="shared" si="177"/>
        <v>-</v>
      </c>
      <c r="GK34" s="353" t="str">
        <f t="shared" si="178"/>
        <v>-</v>
      </c>
      <c r="GL34" s="354" t="str">
        <f t="shared" si="179"/>
        <v>-</v>
      </c>
      <c r="GO34" s="358">
        <f t="shared" si="180"/>
        <v>7.5</v>
      </c>
      <c r="GP34" s="353" t="str">
        <f t="shared" si="181"/>
        <v>-</v>
      </c>
      <c r="GQ34" s="353" t="str">
        <f t="shared" si="182"/>
        <v>-</v>
      </c>
      <c r="GR34" s="353" t="str">
        <f t="shared" si="183"/>
        <v>-</v>
      </c>
      <c r="GS34" s="353" t="str">
        <f t="shared" si="184"/>
        <v>-</v>
      </c>
      <c r="GT34" s="353" t="str">
        <f t="shared" si="185"/>
        <v>-</v>
      </c>
      <c r="GU34" s="353" t="str">
        <f t="shared" si="186"/>
        <v>-</v>
      </c>
      <c r="GV34" s="353" t="str">
        <f t="shared" si="187"/>
        <v>-</v>
      </c>
      <c r="GW34" s="353" t="str">
        <f t="shared" si="188"/>
        <v>-</v>
      </c>
      <c r="GX34" s="353" t="str">
        <f t="shared" si="189"/>
        <v>-</v>
      </c>
      <c r="GY34" s="353" t="str">
        <f t="shared" si="190"/>
        <v>-</v>
      </c>
      <c r="GZ34" s="353" t="str">
        <f t="shared" si="191"/>
        <v>-</v>
      </c>
      <c r="HA34" s="353" t="str">
        <f t="shared" si="192"/>
        <v>-</v>
      </c>
      <c r="HB34" s="353" t="str">
        <f t="shared" si="193"/>
        <v>-</v>
      </c>
      <c r="HC34" s="353" t="str">
        <f t="shared" si="194"/>
        <v>-</v>
      </c>
      <c r="HD34" s="353" t="str">
        <f t="shared" si="195"/>
        <v>-</v>
      </c>
      <c r="HE34" s="353" t="str">
        <f t="shared" si="196"/>
        <v>-</v>
      </c>
      <c r="HF34" s="353" t="str">
        <f t="shared" si="197"/>
        <v>-</v>
      </c>
      <c r="HG34" s="353" t="str">
        <f t="shared" si="198"/>
        <v>-</v>
      </c>
      <c r="HH34" s="353" t="str">
        <f t="shared" si="199"/>
        <v>-</v>
      </c>
      <c r="HI34" s="353" t="str">
        <f t="shared" si="200"/>
        <v>-</v>
      </c>
      <c r="HJ34" s="354" t="str">
        <f t="shared" si="201"/>
        <v>-</v>
      </c>
      <c r="HK34" s="42"/>
      <c r="HL34" s="42"/>
      <c r="HM34" s="358">
        <f t="shared" si="202"/>
        <v>7.5</v>
      </c>
      <c r="HN34" s="362" t="str">
        <f t="shared" si="203"/>
        <v>-</v>
      </c>
      <c r="HO34" s="363" t="str">
        <f t="shared" si="204"/>
        <v>-</v>
      </c>
    </row>
    <row r="35" spans="22:223" x14ac:dyDescent="0.3">
      <c r="V35" s="370">
        <f t="shared" si="89"/>
        <v>7.75</v>
      </c>
      <c r="W35" s="371" t="str">
        <f t="shared" si="90"/>
        <v>-</v>
      </c>
      <c r="X35" s="348" t="str">
        <f t="shared" si="91"/>
        <v>-</v>
      </c>
      <c r="Y35" s="348" t="str">
        <f t="shared" si="92"/>
        <v>-</v>
      </c>
      <c r="Z35" s="372" t="str" cm="1">
        <f t="array" ref="Z35">IF($V35&gt;CDS.Tenor,"-",cubicInterpolation(CurveResults.Times,CurveResults.DFs,$V35))</f>
        <v>-</v>
      </c>
      <c r="AA35" s="371" t="str">
        <f t="shared" si="93"/>
        <v>-</v>
      </c>
      <c r="AB35" s="371" t="str">
        <f t="shared" si="94"/>
        <v>-</v>
      </c>
      <c r="AC35" s="373" t="str">
        <f t="shared" si="95"/>
        <v>-</v>
      </c>
      <c r="AF35" s="370">
        <f t="shared" si="96"/>
        <v>7.75</v>
      </c>
      <c r="AG35" s="371" t="str">
        <f t="shared" si="97"/>
        <v>-</v>
      </c>
      <c r="AH35" s="348" t="str">
        <f t="shared" si="98"/>
        <v>-</v>
      </c>
      <c r="AI35" s="348" t="str">
        <f t="shared" si="99"/>
        <v>-</v>
      </c>
      <c r="AJ35" s="372" t="str" cm="1">
        <f t="array" ref="AJ35">IF($AF35&gt;CDS.Tenor,"-",cubicInterpolation(CurveResults.Times,CurveResults.DFs,$V35))</f>
        <v>-</v>
      </c>
      <c r="AK35" s="373" t="str">
        <f t="shared" si="100"/>
        <v>-</v>
      </c>
      <c r="AN35" s="358">
        <f t="shared" si="101"/>
        <v>7.75</v>
      </c>
      <c r="AO35" s="343" t="str" cm="1">
        <f t="array" aca="1" ref="AO35" ca="1">IF($AN35&gt;CDS.Tenor,"-",flatInterpolation(AM35,INDIRECT(HazardRateTimes1),INDIRECT(HazardRateValues1)))</f>
        <v>-</v>
      </c>
      <c r="AP35" s="10" t="str">
        <f t="shared" si="102"/>
        <v>-</v>
      </c>
      <c r="AQ35" s="10" t="str">
        <f t="shared" si="103"/>
        <v>-</v>
      </c>
      <c r="AR35" s="81" t="str">
        <f t="shared" si="104"/>
        <v>-</v>
      </c>
      <c r="AT35" s="358">
        <f t="shared" si="105"/>
        <v>7.75</v>
      </c>
      <c r="AU35" s="353" t="str">
        <f>IF($AN35&gt;CDS.Tenor,"-",_xlfn.NORM.S.DIST(($AR35-SQRT(Correlation1)*AU$3)/SQRT(1-Correlation1),TRUE))</f>
        <v>-</v>
      </c>
      <c r="AV35" s="353" t="str">
        <f>IF($AN35&gt;CDS.Tenor,"-",_xlfn.NORM.S.DIST(($AR35-SQRT(Correlation1)*AV$3)/SQRT(1-Correlation1),TRUE))</f>
        <v>-</v>
      </c>
      <c r="AW35" s="353" t="str">
        <f>IF($AN35&gt;CDS.Tenor,"-",_xlfn.NORM.S.DIST(($AR35-SQRT(Correlation1)*AW$3)/SQRT(1-Correlation1),TRUE))</f>
        <v>-</v>
      </c>
      <c r="AX35" s="353" t="str">
        <f>IF($AN35&gt;CDS.Tenor,"-",_xlfn.NORM.S.DIST(($AR35-SQRT(Correlation1)*AX$3)/SQRT(1-Correlation1),TRUE))</f>
        <v>-</v>
      </c>
      <c r="AY35" s="353" t="str">
        <f>IF($AN35&gt;CDS.Tenor,"-",_xlfn.NORM.S.DIST(($AR35-SQRT(Correlation1)*AY$3)/SQRT(1-Correlation1),TRUE))</f>
        <v>-</v>
      </c>
      <c r="AZ35" s="353" t="str">
        <f>IF($AN35&gt;CDS.Tenor,"-",_xlfn.NORM.S.DIST(($AR35-SQRT(Correlation1)*AZ$3)/SQRT(1-Correlation1),TRUE))</f>
        <v>-</v>
      </c>
      <c r="BA35" s="353" t="str">
        <f>IF($AN35&gt;CDS.Tenor,"-",_xlfn.NORM.S.DIST(($AR35-SQRT(Correlation1)*BA$3)/SQRT(1-Correlation1),TRUE))</f>
        <v>-</v>
      </c>
      <c r="BB35" s="353" t="str">
        <f>IF($AN35&gt;CDS.Tenor,"-",_xlfn.NORM.S.DIST(($AR35-SQRT(Correlation1)*BB$3)/SQRT(1-Correlation1),TRUE))</f>
        <v>-</v>
      </c>
      <c r="BC35" s="353" t="str">
        <f>IF($AN35&gt;CDS.Tenor,"-",_xlfn.NORM.S.DIST(($AR35-SQRT(Correlation1)*BC$3)/SQRT(1-Correlation1),TRUE))</f>
        <v>-</v>
      </c>
      <c r="BD35" s="353" t="str">
        <f>IF($AN35&gt;CDS.Tenor,"-",_xlfn.NORM.S.DIST(($AR35-SQRT(Correlation1)*BD$3)/SQRT(1-Correlation1),TRUE))</f>
        <v>-</v>
      </c>
      <c r="BE35" s="353" t="str">
        <f>IF($AN35&gt;CDS.Tenor,"-",_xlfn.NORM.S.DIST(($AR35-SQRT(Correlation1)*BE$3)/SQRT(1-Correlation1),TRUE))</f>
        <v>-</v>
      </c>
      <c r="BF35" s="353" t="str">
        <f>IF($AN35&gt;CDS.Tenor,"-",_xlfn.NORM.S.DIST(($AR35-SQRT(Correlation1)*BF$3)/SQRT(1-Correlation1),TRUE))</f>
        <v>-</v>
      </c>
      <c r="BG35" s="353" t="str">
        <f>IF($AN35&gt;CDS.Tenor,"-",_xlfn.NORM.S.DIST(($AR35-SQRT(Correlation1)*BG$3)/SQRT(1-Correlation1),TRUE))</f>
        <v>-</v>
      </c>
      <c r="BH35" s="353" t="str">
        <f>IF($AN35&gt;CDS.Tenor,"-",_xlfn.NORM.S.DIST(($AR35-SQRT(Correlation1)*BH$3)/SQRT(1-Correlation1),TRUE))</f>
        <v>-</v>
      </c>
      <c r="BI35" s="353" t="str">
        <f>IF($AN35&gt;CDS.Tenor,"-",_xlfn.NORM.S.DIST(($AR35-SQRT(Correlation1)*BI$3)/SQRT(1-Correlation1),TRUE))</f>
        <v>-</v>
      </c>
      <c r="BJ35" s="353" t="str">
        <f>IF($AN35&gt;CDS.Tenor,"-",_xlfn.NORM.S.DIST(($AR35-SQRT(Correlation1)*BJ$3)/SQRT(1-Correlation1),TRUE))</f>
        <v>-</v>
      </c>
      <c r="BK35" s="353" t="str">
        <f>IF($AN35&gt;CDS.Tenor,"-",_xlfn.NORM.S.DIST(($AR35-SQRT(Correlation1)*BK$3)/SQRT(1-Correlation1),TRUE))</f>
        <v>-</v>
      </c>
      <c r="BL35" s="353" t="str">
        <f>IF($AN35&gt;CDS.Tenor,"-",_xlfn.NORM.S.DIST(($AR35-SQRT(Correlation1)*BL$3)/SQRT(1-Correlation1),TRUE))</f>
        <v>-</v>
      </c>
      <c r="BM35" s="353" t="str">
        <f>IF($AN35&gt;CDS.Tenor,"-",_xlfn.NORM.S.DIST(($AR35-SQRT(Correlation1)*BM$3)/SQRT(1-Correlation1),TRUE))</f>
        <v>-</v>
      </c>
      <c r="BN35" s="353" t="str">
        <f>IF($AN35&gt;CDS.Tenor,"-",_xlfn.NORM.S.DIST(($AR35-SQRT(Correlation1)*BN$3)/SQRT(1-Correlation1),TRUE))</f>
        <v>-</v>
      </c>
      <c r="BO35" s="354" t="str">
        <f>IF($AN35&gt;CDS.Tenor,"-",_xlfn.NORM.S.DIST(($AR35-SQRT(Correlation1)*BO$3)/SQRT(1-Correlation1),TRUE))</f>
        <v>-</v>
      </c>
      <c r="BQ35" s="358">
        <f t="shared" si="106"/>
        <v>7.75</v>
      </c>
      <c r="BR35" s="353" t="str">
        <f t="shared" si="107"/>
        <v>-</v>
      </c>
      <c r="BS35" s="353" t="str">
        <f t="shared" si="108"/>
        <v>-</v>
      </c>
      <c r="BT35" s="353" t="str">
        <f t="shared" si="109"/>
        <v>-</v>
      </c>
      <c r="BU35" s="353" t="str">
        <f t="shared" si="110"/>
        <v>-</v>
      </c>
      <c r="BV35" s="353" t="str">
        <f t="shared" si="111"/>
        <v>-</v>
      </c>
      <c r="BW35" s="353" t="str">
        <f t="shared" si="112"/>
        <v>-</v>
      </c>
      <c r="BX35" s="353" t="str">
        <f t="shared" si="113"/>
        <v>-</v>
      </c>
      <c r="BY35" s="353" t="str">
        <f t="shared" si="114"/>
        <v>-</v>
      </c>
      <c r="BZ35" s="353" t="str">
        <f t="shared" si="115"/>
        <v>-</v>
      </c>
      <c r="CA35" s="353" t="str">
        <f t="shared" si="116"/>
        <v>-</v>
      </c>
      <c r="CB35" s="353" t="str">
        <f t="shared" si="117"/>
        <v>-</v>
      </c>
      <c r="CC35" s="353" t="str">
        <f t="shared" si="118"/>
        <v>-</v>
      </c>
      <c r="CD35" s="353" t="str">
        <f t="shared" si="119"/>
        <v>-</v>
      </c>
      <c r="CE35" s="353" t="str">
        <f t="shared" si="120"/>
        <v>-</v>
      </c>
      <c r="CF35" s="353" t="str">
        <f t="shared" si="121"/>
        <v>-</v>
      </c>
      <c r="CG35" s="353" t="str">
        <f t="shared" si="122"/>
        <v>-</v>
      </c>
      <c r="CH35" s="353" t="str">
        <f t="shared" si="123"/>
        <v>-</v>
      </c>
      <c r="CI35" s="353" t="str">
        <f t="shared" si="124"/>
        <v>-</v>
      </c>
      <c r="CJ35" s="353" t="str">
        <f t="shared" si="125"/>
        <v>-</v>
      </c>
      <c r="CK35" s="353" t="str">
        <f t="shared" si="126"/>
        <v>-</v>
      </c>
      <c r="CL35" s="354" t="str">
        <f t="shared" si="127"/>
        <v>-</v>
      </c>
      <c r="CM35" s="17"/>
      <c r="CN35" s="17"/>
      <c r="CO35" s="343" t="str" cm="1">
        <f t="array" aca="1" ref="CO35" ca="1">IF($AN35&gt;CDS.Tenor,"-",flatInterpolation(AN35,INDIRECT(HazardRateTimes2),INDIRECT(HazardRateValues2)))</f>
        <v>-</v>
      </c>
      <c r="CP35" s="10" t="str">
        <f t="shared" si="128"/>
        <v>-</v>
      </c>
      <c r="CQ35" s="10" t="str">
        <f t="shared" si="129"/>
        <v>-</v>
      </c>
      <c r="CR35" s="81" t="str">
        <f t="shared" si="130"/>
        <v>-</v>
      </c>
      <c r="CT35" s="358">
        <f t="shared" si="131"/>
        <v>7.75</v>
      </c>
      <c r="CU35" s="353" t="str">
        <f>IF($AN35&gt;CDS.Tenor,"-",_xlfn.NORM.S.DIST(($CR35-SQRT(Correlation2)*CU$3)/SQRT(1-Correlation2),TRUE))</f>
        <v>-</v>
      </c>
      <c r="CV35" s="353" t="str">
        <f>IF($AN35&gt;CDS.Tenor,"-",_xlfn.NORM.S.DIST(($CR35-SQRT(Correlation2)*CV$3)/SQRT(1-Correlation2),TRUE))</f>
        <v>-</v>
      </c>
      <c r="CW35" s="353" t="str">
        <f>IF($AN35&gt;CDS.Tenor,"-",_xlfn.NORM.S.DIST(($CR35-SQRT(Correlation2)*CW$3)/SQRT(1-Correlation2),TRUE))</f>
        <v>-</v>
      </c>
      <c r="CX35" s="353" t="str">
        <f>IF($AN35&gt;CDS.Tenor,"-",_xlfn.NORM.S.DIST(($CR35-SQRT(Correlation2)*CX$3)/SQRT(1-Correlation2),TRUE))</f>
        <v>-</v>
      </c>
      <c r="CY35" s="353" t="str">
        <f>IF($AN35&gt;CDS.Tenor,"-",_xlfn.NORM.S.DIST(($CR35-SQRT(Correlation2)*CY$3)/SQRT(1-Correlation2),TRUE))</f>
        <v>-</v>
      </c>
      <c r="CZ35" s="353" t="str">
        <f>IF($AN35&gt;CDS.Tenor,"-",_xlfn.NORM.S.DIST(($CR35-SQRT(Correlation2)*CZ$3)/SQRT(1-Correlation2),TRUE))</f>
        <v>-</v>
      </c>
      <c r="DA35" s="353" t="str">
        <f>IF($AN35&gt;CDS.Tenor,"-",_xlfn.NORM.S.DIST(($CR35-SQRT(Correlation2)*DA$3)/SQRT(1-Correlation2),TRUE))</f>
        <v>-</v>
      </c>
      <c r="DB35" s="353" t="str">
        <f>IF($AN35&gt;CDS.Tenor,"-",_xlfn.NORM.S.DIST(($CR35-SQRT(Correlation2)*DB$3)/SQRT(1-Correlation2),TRUE))</f>
        <v>-</v>
      </c>
      <c r="DC35" s="353" t="str">
        <f>IF($AN35&gt;CDS.Tenor,"-",_xlfn.NORM.S.DIST(($CR35-SQRT(Correlation2)*DC$3)/SQRT(1-Correlation2),TRUE))</f>
        <v>-</v>
      </c>
      <c r="DD35" s="353" t="str">
        <f>IF($AN35&gt;CDS.Tenor,"-",_xlfn.NORM.S.DIST(($CR35-SQRT(Correlation2)*DD$3)/SQRT(1-Correlation2),TRUE))</f>
        <v>-</v>
      </c>
      <c r="DE35" s="353" t="str">
        <f>IF($AN35&gt;CDS.Tenor,"-",_xlfn.NORM.S.DIST(($CR35-SQRT(Correlation2)*DE$3)/SQRT(1-Correlation2),TRUE))</f>
        <v>-</v>
      </c>
      <c r="DF35" s="353" t="str">
        <f>IF($AN35&gt;CDS.Tenor,"-",_xlfn.NORM.S.DIST(($CR35-SQRT(Correlation2)*DF$3)/SQRT(1-Correlation2),TRUE))</f>
        <v>-</v>
      </c>
      <c r="DG35" s="353" t="str">
        <f>IF($AN35&gt;CDS.Tenor,"-",_xlfn.NORM.S.DIST(($CR35-SQRT(Correlation2)*DG$3)/SQRT(1-Correlation2),TRUE))</f>
        <v>-</v>
      </c>
      <c r="DH35" s="353" t="str">
        <f>IF($AN35&gt;CDS.Tenor,"-",_xlfn.NORM.S.DIST(($CR35-SQRT(Correlation2)*DH$3)/SQRT(1-Correlation2),TRUE))</f>
        <v>-</v>
      </c>
      <c r="DI35" s="353" t="str">
        <f>IF($AN35&gt;CDS.Tenor,"-",_xlfn.NORM.S.DIST(($CR35-SQRT(Correlation2)*DI$3)/SQRT(1-Correlation2),TRUE))</f>
        <v>-</v>
      </c>
      <c r="DJ35" s="353" t="str">
        <f>IF($AN35&gt;CDS.Tenor,"-",_xlfn.NORM.S.DIST(($CR35-SQRT(Correlation2)*DJ$3)/SQRT(1-Correlation2),TRUE))</f>
        <v>-</v>
      </c>
      <c r="DK35" s="353" t="str">
        <f>IF($AN35&gt;CDS.Tenor,"-",_xlfn.NORM.S.DIST(($CR35-SQRT(Correlation2)*DK$3)/SQRT(1-Correlation2),TRUE))</f>
        <v>-</v>
      </c>
      <c r="DL35" s="353" t="str">
        <f>IF($AN35&gt;CDS.Tenor,"-",_xlfn.NORM.S.DIST(($CR35-SQRT(Correlation2)*DL$3)/SQRT(1-Correlation2),TRUE))</f>
        <v>-</v>
      </c>
      <c r="DM35" s="353" t="str">
        <f>IF($AN35&gt;CDS.Tenor,"-",_xlfn.NORM.S.DIST(($CR35-SQRT(Correlation2)*DM$3)/SQRT(1-Correlation2),TRUE))</f>
        <v>-</v>
      </c>
      <c r="DN35" s="353" t="str">
        <f>IF($AN35&gt;CDS.Tenor,"-",_xlfn.NORM.S.DIST(($CR35-SQRT(Correlation2)*DN$3)/SQRT(1-Correlation2),TRUE))</f>
        <v>-</v>
      </c>
      <c r="DO35" s="354" t="str">
        <f>IF($AN35&gt;CDS.Tenor,"-",_xlfn.NORM.S.DIST(($CR35-SQRT(Correlation2)*DO$3)/SQRT(1-Correlation2),TRUE))</f>
        <v>-</v>
      </c>
      <c r="DQ35" s="358">
        <f t="shared" si="132"/>
        <v>7.75</v>
      </c>
      <c r="DR35" s="353" t="str">
        <f t="shared" si="133"/>
        <v>-</v>
      </c>
      <c r="DS35" s="353" t="str">
        <f t="shared" si="134"/>
        <v>-</v>
      </c>
      <c r="DT35" s="353" t="str">
        <f t="shared" si="135"/>
        <v>-</v>
      </c>
      <c r="DU35" s="353" t="str">
        <f t="shared" si="136"/>
        <v>-</v>
      </c>
      <c r="DV35" s="353" t="str">
        <f t="shared" si="137"/>
        <v>-</v>
      </c>
      <c r="DW35" s="353" t="str">
        <f t="shared" si="138"/>
        <v>-</v>
      </c>
      <c r="DX35" s="353" t="str">
        <f t="shared" si="139"/>
        <v>-</v>
      </c>
      <c r="DY35" s="353" t="str">
        <f t="shared" si="140"/>
        <v>-</v>
      </c>
      <c r="DZ35" s="353" t="str">
        <f t="shared" si="141"/>
        <v>-</v>
      </c>
      <c r="EA35" s="353" t="str">
        <f t="shared" si="142"/>
        <v>-</v>
      </c>
      <c r="EB35" s="353" t="str">
        <f t="shared" si="143"/>
        <v>-</v>
      </c>
      <c r="EC35" s="353" t="str">
        <f t="shared" si="144"/>
        <v>-</v>
      </c>
      <c r="ED35" s="353" t="str">
        <f t="shared" si="145"/>
        <v>-</v>
      </c>
      <c r="EE35" s="353" t="str">
        <f t="shared" si="146"/>
        <v>-</v>
      </c>
      <c r="EF35" s="353" t="str">
        <f t="shared" si="147"/>
        <v>-</v>
      </c>
      <c r="EG35" s="353" t="str">
        <f t="shared" si="148"/>
        <v>-</v>
      </c>
      <c r="EH35" s="353" t="str">
        <f t="shared" si="149"/>
        <v>-</v>
      </c>
      <c r="EI35" s="353" t="str">
        <f t="shared" si="150"/>
        <v>-</v>
      </c>
      <c r="EJ35" s="353" t="str">
        <f t="shared" si="151"/>
        <v>-</v>
      </c>
      <c r="EK35" s="353" t="str">
        <f t="shared" si="152"/>
        <v>-</v>
      </c>
      <c r="EL35" s="354" t="str">
        <f t="shared" si="153"/>
        <v>-</v>
      </c>
      <c r="EM35" s="17"/>
      <c r="EN35" s="17"/>
      <c r="EO35" s="343" t="str" cm="1">
        <f t="array" aca="1" ref="EO35" ca="1">IF($AN35&gt;CDS.Tenor,"-",flatInterpolation(CP35,INDIRECT(HazardRateTimes3),INDIRECT(HazardRateValues3)))</f>
        <v>-</v>
      </c>
      <c r="EP35" s="10" t="str">
        <f t="shared" si="154"/>
        <v>-</v>
      </c>
      <c r="EQ35" s="10" t="str">
        <f t="shared" si="155"/>
        <v>-</v>
      </c>
      <c r="ER35" s="81" t="str">
        <f t="shared" si="156"/>
        <v>-</v>
      </c>
      <c r="ET35" s="358">
        <f t="shared" si="157"/>
        <v>7.75</v>
      </c>
      <c r="EU35" s="353" t="str">
        <f>IF($AN35&gt;CDS.Tenor,"-",_xlfn.NORM.S.DIST(($ER35-SQRT(Correlation3)*EU$3)/SQRT(1-Correlation3),TRUE))</f>
        <v>-</v>
      </c>
      <c r="EV35" s="353" t="str">
        <f>IF($AN35&gt;CDS.Tenor,"-",_xlfn.NORM.S.DIST(($ER35-SQRT(Correlation3)*EV$3)/SQRT(1-Correlation3),TRUE))</f>
        <v>-</v>
      </c>
      <c r="EW35" s="353" t="str">
        <f>IF($AN35&gt;CDS.Tenor,"-",_xlfn.NORM.S.DIST(($ER35-SQRT(Correlation3)*EW$3)/SQRT(1-Correlation3),TRUE))</f>
        <v>-</v>
      </c>
      <c r="EX35" s="353" t="str">
        <f>IF($AN35&gt;CDS.Tenor,"-",_xlfn.NORM.S.DIST(($ER35-SQRT(Correlation3)*EX$3)/SQRT(1-Correlation3),TRUE))</f>
        <v>-</v>
      </c>
      <c r="EY35" s="353" t="str">
        <f>IF($AN35&gt;CDS.Tenor,"-",_xlfn.NORM.S.DIST(($ER35-SQRT(Correlation3)*EY$3)/SQRT(1-Correlation3),TRUE))</f>
        <v>-</v>
      </c>
      <c r="EZ35" s="353" t="str">
        <f>IF($AN35&gt;CDS.Tenor,"-",_xlfn.NORM.S.DIST(($ER35-SQRT(Correlation3)*EZ$3)/SQRT(1-Correlation3),TRUE))</f>
        <v>-</v>
      </c>
      <c r="FA35" s="353" t="str">
        <f>IF($AN35&gt;CDS.Tenor,"-",_xlfn.NORM.S.DIST(($ER35-SQRT(Correlation3)*FA$3)/SQRT(1-Correlation3),TRUE))</f>
        <v>-</v>
      </c>
      <c r="FB35" s="353" t="str">
        <f>IF($AN35&gt;CDS.Tenor,"-",_xlfn.NORM.S.DIST(($ER35-SQRT(Correlation3)*FB$3)/SQRT(1-Correlation3),TRUE))</f>
        <v>-</v>
      </c>
      <c r="FC35" s="353" t="str">
        <f>IF($AN35&gt;CDS.Tenor,"-",_xlfn.NORM.S.DIST(($ER35-SQRT(Correlation3)*FC$3)/SQRT(1-Correlation3),TRUE))</f>
        <v>-</v>
      </c>
      <c r="FD35" s="353" t="str">
        <f>IF($AN35&gt;CDS.Tenor,"-",_xlfn.NORM.S.DIST(($ER35-SQRT(Correlation3)*FD$3)/SQRT(1-Correlation3),TRUE))</f>
        <v>-</v>
      </c>
      <c r="FE35" s="353" t="str">
        <f>IF($AN35&gt;CDS.Tenor,"-",_xlfn.NORM.S.DIST(($ER35-SQRT(Correlation3)*FE$3)/SQRT(1-Correlation3),TRUE))</f>
        <v>-</v>
      </c>
      <c r="FF35" s="353" t="str">
        <f>IF($AN35&gt;CDS.Tenor,"-",_xlfn.NORM.S.DIST(($ER35-SQRT(Correlation3)*FF$3)/SQRT(1-Correlation3),TRUE))</f>
        <v>-</v>
      </c>
      <c r="FG35" s="353" t="str">
        <f>IF($AN35&gt;CDS.Tenor,"-",_xlfn.NORM.S.DIST(($ER35-SQRT(Correlation3)*FG$3)/SQRT(1-Correlation3),TRUE))</f>
        <v>-</v>
      </c>
      <c r="FH35" s="353" t="str">
        <f>IF($AN35&gt;CDS.Tenor,"-",_xlfn.NORM.S.DIST(($ER35-SQRT(Correlation3)*FH$3)/SQRT(1-Correlation3),TRUE))</f>
        <v>-</v>
      </c>
      <c r="FI35" s="353" t="str">
        <f>IF($AN35&gt;CDS.Tenor,"-",_xlfn.NORM.S.DIST(($ER35-SQRT(Correlation3)*FI$3)/SQRT(1-Correlation3),TRUE))</f>
        <v>-</v>
      </c>
      <c r="FJ35" s="353" t="str">
        <f>IF($AN35&gt;CDS.Tenor,"-",_xlfn.NORM.S.DIST(($ER35-SQRT(Correlation3)*FJ$3)/SQRT(1-Correlation3),TRUE))</f>
        <v>-</v>
      </c>
      <c r="FK35" s="353" t="str">
        <f>IF($AN35&gt;CDS.Tenor,"-",_xlfn.NORM.S.DIST(($ER35-SQRT(Correlation3)*FK$3)/SQRT(1-Correlation3),TRUE))</f>
        <v>-</v>
      </c>
      <c r="FL35" s="353" t="str">
        <f>IF($AN35&gt;CDS.Tenor,"-",_xlfn.NORM.S.DIST(($ER35-SQRT(Correlation3)*FL$3)/SQRT(1-Correlation3),TRUE))</f>
        <v>-</v>
      </c>
      <c r="FM35" s="353" t="str">
        <f>IF($AN35&gt;CDS.Tenor,"-",_xlfn.NORM.S.DIST(($ER35-SQRT(Correlation3)*FM$3)/SQRT(1-Correlation3),TRUE))</f>
        <v>-</v>
      </c>
      <c r="FN35" s="353" t="str">
        <f>IF($AN35&gt;CDS.Tenor,"-",_xlfn.NORM.S.DIST(($ER35-SQRT(Correlation3)*FN$3)/SQRT(1-Correlation3),TRUE))</f>
        <v>-</v>
      </c>
      <c r="FO35" s="354" t="str">
        <f>IF($AN35&gt;CDS.Tenor,"-",_xlfn.NORM.S.DIST(($ER35-SQRT(Correlation3)*FO$3)/SQRT(1-Correlation3),TRUE))</f>
        <v>-</v>
      </c>
      <c r="FQ35" s="358">
        <f t="shared" si="158"/>
        <v>7.75</v>
      </c>
      <c r="FR35" s="353" t="str">
        <f t="shared" si="159"/>
        <v>-</v>
      </c>
      <c r="FS35" s="353" t="str">
        <f t="shared" si="160"/>
        <v>-</v>
      </c>
      <c r="FT35" s="353" t="str">
        <f t="shared" si="161"/>
        <v>-</v>
      </c>
      <c r="FU35" s="353" t="str">
        <f t="shared" si="162"/>
        <v>-</v>
      </c>
      <c r="FV35" s="353" t="str">
        <f t="shared" si="163"/>
        <v>-</v>
      </c>
      <c r="FW35" s="353" t="str">
        <f t="shared" si="164"/>
        <v>-</v>
      </c>
      <c r="FX35" s="353" t="str">
        <f t="shared" si="165"/>
        <v>-</v>
      </c>
      <c r="FY35" s="353" t="str">
        <f t="shared" si="166"/>
        <v>-</v>
      </c>
      <c r="FZ35" s="353" t="str">
        <f t="shared" si="167"/>
        <v>-</v>
      </c>
      <c r="GA35" s="353" t="str">
        <f t="shared" si="168"/>
        <v>-</v>
      </c>
      <c r="GB35" s="353" t="str">
        <f t="shared" si="169"/>
        <v>-</v>
      </c>
      <c r="GC35" s="353" t="str">
        <f t="shared" si="170"/>
        <v>-</v>
      </c>
      <c r="GD35" s="353" t="str">
        <f t="shared" si="171"/>
        <v>-</v>
      </c>
      <c r="GE35" s="353" t="str">
        <f t="shared" si="172"/>
        <v>-</v>
      </c>
      <c r="GF35" s="353" t="str">
        <f t="shared" si="173"/>
        <v>-</v>
      </c>
      <c r="GG35" s="353" t="str">
        <f t="shared" si="174"/>
        <v>-</v>
      </c>
      <c r="GH35" s="353" t="str">
        <f t="shared" si="175"/>
        <v>-</v>
      </c>
      <c r="GI35" s="353" t="str">
        <f t="shared" si="176"/>
        <v>-</v>
      </c>
      <c r="GJ35" s="353" t="str">
        <f t="shared" si="177"/>
        <v>-</v>
      </c>
      <c r="GK35" s="353" t="str">
        <f t="shared" si="178"/>
        <v>-</v>
      </c>
      <c r="GL35" s="354" t="str">
        <f t="shared" si="179"/>
        <v>-</v>
      </c>
      <c r="GO35" s="358">
        <f t="shared" si="180"/>
        <v>7.75</v>
      </c>
      <c r="GP35" s="353" t="str">
        <f t="shared" si="181"/>
        <v>-</v>
      </c>
      <c r="GQ35" s="353" t="str">
        <f t="shared" si="182"/>
        <v>-</v>
      </c>
      <c r="GR35" s="353" t="str">
        <f t="shared" si="183"/>
        <v>-</v>
      </c>
      <c r="GS35" s="353" t="str">
        <f t="shared" si="184"/>
        <v>-</v>
      </c>
      <c r="GT35" s="353" t="str">
        <f t="shared" si="185"/>
        <v>-</v>
      </c>
      <c r="GU35" s="353" t="str">
        <f t="shared" si="186"/>
        <v>-</v>
      </c>
      <c r="GV35" s="353" t="str">
        <f t="shared" si="187"/>
        <v>-</v>
      </c>
      <c r="GW35" s="353" t="str">
        <f t="shared" si="188"/>
        <v>-</v>
      </c>
      <c r="GX35" s="353" t="str">
        <f t="shared" si="189"/>
        <v>-</v>
      </c>
      <c r="GY35" s="353" t="str">
        <f t="shared" si="190"/>
        <v>-</v>
      </c>
      <c r="GZ35" s="353" t="str">
        <f t="shared" si="191"/>
        <v>-</v>
      </c>
      <c r="HA35" s="353" t="str">
        <f t="shared" si="192"/>
        <v>-</v>
      </c>
      <c r="HB35" s="353" t="str">
        <f t="shared" si="193"/>
        <v>-</v>
      </c>
      <c r="HC35" s="353" t="str">
        <f t="shared" si="194"/>
        <v>-</v>
      </c>
      <c r="HD35" s="353" t="str">
        <f t="shared" si="195"/>
        <v>-</v>
      </c>
      <c r="HE35" s="353" t="str">
        <f t="shared" si="196"/>
        <v>-</v>
      </c>
      <c r="HF35" s="353" t="str">
        <f t="shared" si="197"/>
        <v>-</v>
      </c>
      <c r="HG35" s="353" t="str">
        <f t="shared" si="198"/>
        <v>-</v>
      </c>
      <c r="HH35" s="353" t="str">
        <f t="shared" si="199"/>
        <v>-</v>
      </c>
      <c r="HI35" s="353" t="str">
        <f t="shared" si="200"/>
        <v>-</v>
      </c>
      <c r="HJ35" s="354" t="str">
        <f t="shared" si="201"/>
        <v>-</v>
      </c>
      <c r="HK35" s="42"/>
      <c r="HL35" s="42"/>
      <c r="HM35" s="358">
        <f t="shared" si="202"/>
        <v>7.75</v>
      </c>
      <c r="HN35" s="362" t="str">
        <f t="shared" si="203"/>
        <v>-</v>
      </c>
      <c r="HO35" s="363" t="str">
        <f t="shared" si="204"/>
        <v>-</v>
      </c>
    </row>
    <row r="36" spans="22:223" x14ac:dyDescent="0.3">
      <c r="V36" s="370">
        <f t="shared" si="89"/>
        <v>8</v>
      </c>
      <c r="W36" s="371" t="str">
        <f t="shared" si="90"/>
        <v>-</v>
      </c>
      <c r="X36" s="348" t="str">
        <f t="shared" si="91"/>
        <v>-</v>
      </c>
      <c r="Y36" s="348" t="str">
        <f t="shared" si="92"/>
        <v>-</v>
      </c>
      <c r="Z36" s="372" t="str" cm="1">
        <f t="array" ref="Z36">IF($V36&gt;CDS.Tenor,"-",cubicInterpolation(CurveResults.Times,CurveResults.DFs,$V36))</f>
        <v>-</v>
      </c>
      <c r="AA36" s="371" t="str">
        <f t="shared" si="93"/>
        <v>-</v>
      </c>
      <c r="AB36" s="371" t="str">
        <f t="shared" si="94"/>
        <v>-</v>
      </c>
      <c r="AC36" s="373" t="str">
        <f t="shared" si="95"/>
        <v>-</v>
      </c>
      <c r="AF36" s="370">
        <f t="shared" si="96"/>
        <v>8</v>
      </c>
      <c r="AG36" s="371" t="str">
        <f t="shared" si="97"/>
        <v>-</v>
      </c>
      <c r="AH36" s="348" t="str">
        <f t="shared" si="98"/>
        <v>-</v>
      </c>
      <c r="AI36" s="348" t="str">
        <f t="shared" si="99"/>
        <v>-</v>
      </c>
      <c r="AJ36" s="372" t="str" cm="1">
        <f t="array" ref="AJ36">IF($AF36&gt;CDS.Tenor,"-",cubicInterpolation(CurveResults.Times,CurveResults.DFs,$V36))</f>
        <v>-</v>
      </c>
      <c r="AK36" s="373" t="str">
        <f t="shared" si="100"/>
        <v>-</v>
      </c>
      <c r="AN36" s="358">
        <f t="shared" si="101"/>
        <v>8</v>
      </c>
      <c r="AO36" s="343" t="str" cm="1">
        <f t="array" aca="1" ref="AO36" ca="1">IF($AN36&gt;CDS.Tenor,"-",flatInterpolation(AM36,INDIRECT(HazardRateTimes1),INDIRECT(HazardRateValues1)))</f>
        <v>-</v>
      </c>
      <c r="AP36" s="10" t="str">
        <f t="shared" si="102"/>
        <v>-</v>
      </c>
      <c r="AQ36" s="10" t="str">
        <f t="shared" si="103"/>
        <v>-</v>
      </c>
      <c r="AR36" s="81" t="str">
        <f t="shared" si="104"/>
        <v>-</v>
      </c>
      <c r="AT36" s="358">
        <f t="shared" si="105"/>
        <v>8</v>
      </c>
      <c r="AU36" s="353" t="str">
        <f>IF($AN36&gt;CDS.Tenor,"-",_xlfn.NORM.S.DIST(($AR36-SQRT(Correlation1)*AU$3)/SQRT(1-Correlation1),TRUE))</f>
        <v>-</v>
      </c>
      <c r="AV36" s="353" t="str">
        <f>IF($AN36&gt;CDS.Tenor,"-",_xlfn.NORM.S.DIST(($AR36-SQRT(Correlation1)*AV$3)/SQRT(1-Correlation1),TRUE))</f>
        <v>-</v>
      </c>
      <c r="AW36" s="353" t="str">
        <f>IF($AN36&gt;CDS.Tenor,"-",_xlfn.NORM.S.DIST(($AR36-SQRT(Correlation1)*AW$3)/SQRT(1-Correlation1),TRUE))</f>
        <v>-</v>
      </c>
      <c r="AX36" s="353" t="str">
        <f>IF($AN36&gt;CDS.Tenor,"-",_xlfn.NORM.S.DIST(($AR36-SQRT(Correlation1)*AX$3)/SQRT(1-Correlation1),TRUE))</f>
        <v>-</v>
      </c>
      <c r="AY36" s="353" t="str">
        <f>IF($AN36&gt;CDS.Tenor,"-",_xlfn.NORM.S.DIST(($AR36-SQRT(Correlation1)*AY$3)/SQRT(1-Correlation1),TRUE))</f>
        <v>-</v>
      </c>
      <c r="AZ36" s="353" t="str">
        <f>IF($AN36&gt;CDS.Tenor,"-",_xlfn.NORM.S.DIST(($AR36-SQRT(Correlation1)*AZ$3)/SQRT(1-Correlation1),TRUE))</f>
        <v>-</v>
      </c>
      <c r="BA36" s="353" t="str">
        <f>IF($AN36&gt;CDS.Tenor,"-",_xlfn.NORM.S.DIST(($AR36-SQRT(Correlation1)*BA$3)/SQRT(1-Correlation1),TRUE))</f>
        <v>-</v>
      </c>
      <c r="BB36" s="353" t="str">
        <f>IF($AN36&gt;CDS.Tenor,"-",_xlfn.NORM.S.DIST(($AR36-SQRT(Correlation1)*BB$3)/SQRT(1-Correlation1),TRUE))</f>
        <v>-</v>
      </c>
      <c r="BC36" s="353" t="str">
        <f>IF($AN36&gt;CDS.Tenor,"-",_xlfn.NORM.S.DIST(($AR36-SQRT(Correlation1)*BC$3)/SQRT(1-Correlation1),TRUE))</f>
        <v>-</v>
      </c>
      <c r="BD36" s="353" t="str">
        <f>IF($AN36&gt;CDS.Tenor,"-",_xlfn.NORM.S.DIST(($AR36-SQRT(Correlation1)*BD$3)/SQRT(1-Correlation1),TRUE))</f>
        <v>-</v>
      </c>
      <c r="BE36" s="353" t="str">
        <f>IF($AN36&gt;CDS.Tenor,"-",_xlfn.NORM.S.DIST(($AR36-SQRT(Correlation1)*BE$3)/SQRT(1-Correlation1),TRUE))</f>
        <v>-</v>
      </c>
      <c r="BF36" s="353" t="str">
        <f>IF($AN36&gt;CDS.Tenor,"-",_xlfn.NORM.S.DIST(($AR36-SQRT(Correlation1)*BF$3)/SQRT(1-Correlation1),TRUE))</f>
        <v>-</v>
      </c>
      <c r="BG36" s="353" t="str">
        <f>IF($AN36&gt;CDS.Tenor,"-",_xlfn.NORM.S.DIST(($AR36-SQRT(Correlation1)*BG$3)/SQRT(1-Correlation1),TRUE))</f>
        <v>-</v>
      </c>
      <c r="BH36" s="353" t="str">
        <f>IF($AN36&gt;CDS.Tenor,"-",_xlfn.NORM.S.DIST(($AR36-SQRT(Correlation1)*BH$3)/SQRT(1-Correlation1),TRUE))</f>
        <v>-</v>
      </c>
      <c r="BI36" s="353" t="str">
        <f>IF($AN36&gt;CDS.Tenor,"-",_xlfn.NORM.S.DIST(($AR36-SQRT(Correlation1)*BI$3)/SQRT(1-Correlation1),TRUE))</f>
        <v>-</v>
      </c>
      <c r="BJ36" s="353" t="str">
        <f>IF($AN36&gt;CDS.Tenor,"-",_xlfn.NORM.S.DIST(($AR36-SQRT(Correlation1)*BJ$3)/SQRT(1-Correlation1),TRUE))</f>
        <v>-</v>
      </c>
      <c r="BK36" s="353" t="str">
        <f>IF($AN36&gt;CDS.Tenor,"-",_xlfn.NORM.S.DIST(($AR36-SQRT(Correlation1)*BK$3)/SQRT(1-Correlation1),TRUE))</f>
        <v>-</v>
      </c>
      <c r="BL36" s="353" t="str">
        <f>IF($AN36&gt;CDS.Tenor,"-",_xlfn.NORM.S.DIST(($AR36-SQRT(Correlation1)*BL$3)/SQRT(1-Correlation1),TRUE))</f>
        <v>-</v>
      </c>
      <c r="BM36" s="353" t="str">
        <f>IF($AN36&gt;CDS.Tenor,"-",_xlfn.NORM.S.DIST(($AR36-SQRT(Correlation1)*BM$3)/SQRT(1-Correlation1),TRUE))</f>
        <v>-</v>
      </c>
      <c r="BN36" s="353" t="str">
        <f>IF($AN36&gt;CDS.Tenor,"-",_xlfn.NORM.S.DIST(($AR36-SQRT(Correlation1)*BN$3)/SQRT(1-Correlation1),TRUE))</f>
        <v>-</v>
      </c>
      <c r="BO36" s="354" t="str">
        <f>IF($AN36&gt;CDS.Tenor,"-",_xlfn.NORM.S.DIST(($AR36-SQRT(Correlation1)*BO$3)/SQRT(1-Correlation1),TRUE))</f>
        <v>-</v>
      </c>
      <c r="BQ36" s="358">
        <f t="shared" si="106"/>
        <v>8</v>
      </c>
      <c r="BR36" s="353" t="str">
        <f t="shared" si="107"/>
        <v>-</v>
      </c>
      <c r="BS36" s="353" t="str">
        <f t="shared" si="108"/>
        <v>-</v>
      </c>
      <c r="BT36" s="353" t="str">
        <f t="shared" si="109"/>
        <v>-</v>
      </c>
      <c r="BU36" s="353" t="str">
        <f t="shared" si="110"/>
        <v>-</v>
      </c>
      <c r="BV36" s="353" t="str">
        <f t="shared" si="111"/>
        <v>-</v>
      </c>
      <c r="BW36" s="353" t="str">
        <f t="shared" si="112"/>
        <v>-</v>
      </c>
      <c r="BX36" s="353" t="str">
        <f t="shared" si="113"/>
        <v>-</v>
      </c>
      <c r="BY36" s="353" t="str">
        <f t="shared" si="114"/>
        <v>-</v>
      </c>
      <c r="BZ36" s="353" t="str">
        <f t="shared" si="115"/>
        <v>-</v>
      </c>
      <c r="CA36" s="353" t="str">
        <f t="shared" si="116"/>
        <v>-</v>
      </c>
      <c r="CB36" s="353" t="str">
        <f t="shared" si="117"/>
        <v>-</v>
      </c>
      <c r="CC36" s="353" t="str">
        <f t="shared" si="118"/>
        <v>-</v>
      </c>
      <c r="CD36" s="353" t="str">
        <f t="shared" si="119"/>
        <v>-</v>
      </c>
      <c r="CE36" s="353" t="str">
        <f t="shared" si="120"/>
        <v>-</v>
      </c>
      <c r="CF36" s="353" t="str">
        <f t="shared" si="121"/>
        <v>-</v>
      </c>
      <c r="CG36" s="353" t="str">
        <f t="shared" si="122"/>
        <v>-</v>
      </c>
      <c r="CH36" s="353" t="str">
        <f t="shared" si="123"/>
        <v>-</v>
      </c>
      <c r="CI36" s="353" t="str">
        <f t="shared" si="124"/>
        <v>-</v>
      </c>
      <c r="CJ36" s="353" t="str">
        <f t="shared" si="125"/>
        <v>-</v>
      </c>
      <c r="CK36" s="353" t="str">
        <f t="shared" si="126"/>
        <v>-</v>
      </c>
      <c r="CL36" s="354" t="str">
        <f t="shared" si="127"/>
        <v>-</v>
      </c>
      <c r="CM36" s="17"/>
      <c r="CN36" s="17"/>
      <c r="CO36" s="343" t="str" cm="1">
        <f t="array" aca="1" ref="CO36" ca="1">IF($AN36&gt;CDS.Tenor,"-",flatInterpolation(AN36,INDIRECT(HazardRateTimes2),INDIRECT(HazardRateValues2)))</f>
        <v>-</v>
      </c>
      <c r="CP36" s="10" t="str">
        <f t="shared" si="128"/>
        <v>-</v>
      </c>
      <c r="CQ36" s="10" t="str">
        <f t="shared" si="129"/>
        <v>-</v>
      </c>
      <c r="CR36" s="81" t="str">
        <f t="shared" si="130"/>
        <v>-</v>
      </c>
      <c r="CT36" s="358">
        <f t="shared" si="131"/>
        <v>8</v>
      </c>
      <c r="CU36" s="353" t="str">
        <f>IF($AN36&gt;CDS.Tenor,"-",_xlfn.NORM.S.DIST(($CR36-SQRT(Correlation2)*CU$3)/SQRT(1-Correlation2),TRUE))</f>
        <v>-</v>
      </c>
      <c r="CV36" s="353" t="str">
        <f>IF($AN36&gt;CDS.Tenor,"-",_xlfn.NORM.S.DIST(($CR36-SQRT(Correlation2)*CV$3)/SQRT(1-Correlation2),TRUE))</f>
        <v>-</v>
      </c>
      <c r="CW36" s="353" t="str">
        <f>IF($AN36&gt;CDS.Tenor,"-",_xlfn.NORM.S.DIST(($CR36-SQRT(Correlation2)*CW$3)/SQRT(1-Correlation2),TRUE))</f>
        <v>-</v>
      </c>
      <c r="CX36" s="353" t="str">
        <f>IF($AN36&gt;CDS.Tenor,"-",_xlfn.NORM.S.DIST(($CR36-SQRT(Correlation2)*CX$3)/SQRT(1-Correlation2),TRUE))</f>
        <v>-</v>
      </c>
      <c r="CY36" s="353" t="str">
        <f>IF($AN36&gt;CDS.Tenor,"-",_xlfn.NORM.S.DIST(($CR36-SQRT(Correlation2)*CY$3)/SQRT(1-Correlation2),TRUE))</f>
        <v>-</v>
      </c>
      <c r="CZ36" s="353" t="str">
        <f>IF($AN36&gt;CDS.Tenor,"-",_xlfn.NORM.S.DIST(($CR36-SQRT(Correlation2)*CZ$3)/SQRT(1-Correlation2),TRUE))</f>
        <v>-</v>
      </c>
      <c r="DA36" s="353" t="str">
        <f>IF($AN36&gt;CDS.Tenor,"-",_xlfn.NORM.S.DIST(($CR36-SQRT(Correlation2)*DA$3)/SQRT(1-Correlation2),TRUE))</f>
        <v>-</v>
      </c>
      <c r="DB36" s="353" t="str">
        <f>IF($AN36&gt;CDS.Tenor,"-",_xlfn.NORM.S.DIST(($CR36-SQRT(Correlation2)*DB$3)/SQRT(1-Correlation2),TRUE))</f>
        <v>-</v>
      </c>
      <c r="DC36" s="353" t="str">
        <f>IF($AN36&gt;CDS.Tenor,"-",_xlfn.NORM.S.DIST(($CR36-SQRT(Correlation2)*DC$3)/SQRT(1-Correlation2),TRUE))</f>
        <v>-</v>
      </c>
      <c r="DD36" s="353" t="str">
        <f>IF($AN36&gt;CDS.Tenor,"-",_xlfn.NORM.S.DIST(($CR36-SQRT(Correlation2)*DD$3)/SQRT(1-Correlation2),TRUE))</f>
        <v>-</v>
      </c>
      <c r="DE36" s="353" t="str">
        <f>IF($AN36&gt;CDS.Tenor,"-",_xlfn.NORM.S.DIST(($CR36-SQRT(Correlation2)*DE$3)/SQRT(1-Correlation2),TRUE))</f>
        <v>-</v>
      </c>
      <c r="DF36" s="353" t="str">
        <f>IF($AN36&gt;CDS.Tenor,"-",_xlfn.NORM.S.DIST(($CR36-SQRT(Correlation2)*DF$3)/SQRT(1-Correlation2),TRUE))</f>
        <v>-</v>
      </c>
      <c r="DG36" s="353" t="str">
        <f>IF($AN36&gt;CDS.Tenor,"-",_xlfn.NORM.S.DIST(($CR36-SQRT(Correlation2)*DG$3)/SQRT(1-Correlation2),TRUE))</f>
        <v>-</v>
      </c>
      <c r="DH36" s="353" t="str">
        <f>IF($AN36&gt;CDS.Tenor,"-",_xlfn.NORM.S.DIST(($CR36-SQRT(Correlation2)*DH$3)/SQRT(1-Correlation2),TRUE))</f>
        <v>-</v>
      </c>
      <c r="DI36" s="353" t="str">
        <f>IF($AN36&gt;CDS.Tenor,"-",_xlfn.NORM.S.DIST(($CR36-SQRT(Correlation2)*DI$3)/SQRT(1-Correlation2),TRUE))</f>
        <v>-</v>
      </c>
      <c r="DJ36" s="353" t="str">
        <f>IF($AN36&gt;CDS.Tenor,"-",_xlfn.NORM.S.DIST(($CR36-SQRT(Correlation2)*DJ$3)/SQRT(1-Correlation2),TRUE))</f>
        <v>-</v>
      </c>
      <c r="DK36" s="353" t="str">
        <f>IF($AN36&gt;CDS.Tenor,"-",_xlfn.NORM.S.DIST(($CR36-SQRT(Correlation2)*DK$3)/SQRT(1-Correlation2),TRUE))</f>
        <v>-</v>
      </c>
      <c r="DL36" s="353" t="str">
        <f>IF($AN36&gt;CDS.Tenor,"-",_xlfn.NORM.S.DIST(($CR36-SQRT(Correlation2)*DL$3)/SQRT(1-Correlation2),TRUE))</f>
        <v>-</v>
      </c>
      <c r="DM36" s="353" t="str">
        <f>IF($AN36&gt;CDS.Tenor,"-",_xlfn.NORM.S.DIST(($CR36-SQRT(Correlation2)*DM$3)/SQRT(1-Correlation2),TRUE))</f>
        <v>-</v>
      </c>
      <c r="DN36" s="353" t="str">
        <f>IF($AN36&gt;CDS.Tenor,"-",_xlfn.NORM.S.DIST(($CR36-SQRT(Correlation2)*DN$3)/SQRT(1-Correlation2),TRUE))</f>
        <v>-</v>
      </c>
      <c r="DO36" s="354" t="str">
        <f>IF($AN36&gt;CDS.Tenor,"-",_xlfn.NORM.S.DIST(($CR36-SQRT(Correlation2)*DO$3)/SQRT(1-Correlation2),TRUE))</f>
        <v>-</v>
      </c>
      <c r="DQ36" s="358">
        <f t="shared" si="132"/>
        <v>8</v>
      </c>
      <c r="DR36" s="353" t="str">
        <f t="shared" si="133"/>
        <v>-</v>
      </c>
      <c r="DS36" s="353" t="str">
        <f t="shared" si="134"/>
        <v>-</v>
      </c>
      <c r="DT36" s="353" t="str">
        <f t="shared" si="135"/>
        <v>-</v>
      </c>
      <c r="DU36" s="353" t="str">
        <f t="shared" si="136"/>
        <v>-</v>
      </c>
      <c r="DV36" s="353" t="str">
        <f t="shared" si="137"/>
        <v>-</v>
      </c>
      <c r="DW36" s="353" t="str">
        <f t="shared" si="138"/>
        <v>-</v>
      </c>
      <c r="DX36" s="353" t="str">
        <f t="shared" si="139"/>
        <v>-</v>
      </c>
      <c r="DY36" s="353" t="str">
        <f t="shared" si="140"/>
        <v>-</v>
      </c>
      <c r="DZ36" s="353" t="str">
        <f t="shared" si="141"/>
        <v>-</v>
      </c>
      <c r="EA36" s="353" t="str">
        <f t="shared" si="142"/>
        <v>-</v>
      </c>
      <c r="EB36" s="353" t="str">
        <f t="shared" si="143"/>
        <v>-</v>
      </c>
      <c r="EC36" s="353" t="str">
        <f t="shared" si="144"/>
        <v>-</v>
      </c>
      <c r="ED36" s="353" t="str">
        <f t="shared" si="145"/>
        <v>-</v>
      </c>
      <c r="EE36" s="353" t="str">
        <f t="shared" si="146"/>
        <v>-</v>
      </c>
      <c r="EF36" s="353" t="str">
        <f t="shared" si="147"/>
        <v>-</v>
      </c>
      <c r="EG36" s="353" t="str">
        <f t="shared" si="148"/>
        <v>-</v>
      </c>
      <c r="EH36" s="353" t="str">
        <f t="shared" si="149"/>
        <v>-</v>
      </c>
      <c r="EI36" s="353" t="str">
        <f t="shared" si="150"/>
        <v>-</v>
      </c>
      <c r="EJ36" s="353" t="str">
        <f t="shared" si="151"/>
        <v>-</v>
      </c>
      <c r="EK36" s="353" t="str">
        <f t="shared" si="152"/>
        <v>-</v>
      </c>
      <c r="EL36" s="354" t="str">
        <f t="shared" si="153"/>
        <v>-</v>
      </c>
      <c r="EM36" s="17"/>
      <c r="EN36" s="17"/>
      <c r="EO36" s="343" t="str" cm="1">
        <f t="array" aca="1" ref="EO36" ca="1">IF($AN36&gt;CDS.Tenor,"-",flatInterpolation(CP36,INDIRECT(HazardRateTimes3),INDIRECT(HazardRateValues3)))</f>
        <v>-</v>
      </c>
      <c r="EP36" s="10" t="str">
        <f t="shared" si="154"/>
        <v>-</v>
      </c>
      <c r="EQ36" s="10" t="str">
        <f t="shared" si="155"/>
        <v>-</v>
      </c>
      <c r="ER36" s="81" t="str">
        <f t="shared" si="156"/>
        <v>-</v>
      </c>
      <c r="ET36" s="358">
        <f t="shared" si="157"/>
        <v>8</v>
      </c>
      <c r="EU36" s="353" t="str">
        <f>IF($AN36&gt;CDS.Tenor,"-",_xlfn.NORM.S.DIST(($ER36-SQRT(Correlation3)*EU$3)/SQRT(1-Correlation3),TRUE))</f>
        <v>-</v>
      </c>
      <c r="EV36" s="353" t="str">
        <f>IF($AN36&gt;CDS.Tenor,"-",_xlfn.NORM.S.DIST(($ER36-SQRT(Correlation3)*EV$3)/SQRT(1-Correlation3),TRUE))</f>
        <v>-</v>
      </c>
      <c r="EW36" s="353" t="str">
        <f>IF($AN36&gt;CDS.Tenor,"-",_xlfn.NORM.S.DIST(($ER36-SQRT(Correlation3)*EW$3)/SQRT(1-Correlation3),TRUE))</f>
        <v>-</v>
      </c>
      <c r="EX36" s="353" t="str">
        <f>IF($AN36&gt;CDS.Tenor,"-",_xlfn.NORM.S.DIST(($ER36-SQRT(Correlation3)*EX$3)/SQRT(1-Correlation3),TRUE))</f>
        <v>-</v>
      </c>
      <c r="EY36" s="353" t="str">
        <f>IF($AN36&gt;CDS.Tenor,"-",_xlfn.NORM.S.DIST(($ER36-SQRT(Correlation3)*EY$3)/SQRT(1-Correlation3),TRUE))</f>
        <v>-</v>
      </c>
      <c r="EZ36" s="353" t="str">
        <f>IF($AN36&gt;CDS.Tenor,"-",_xlfn.NORM.S.DIST(($ER36-SQRT(Correlation3)*EZ$3)/SQRT(1-Correlation3),TRUE))</f>
        <v>-</v>
      </c>
      <c r="FA36" s="353" t="str">
        <f>IF($AN36&gt;CDS.Tenor,"-",_xlfn.NORM.S.DIST(($ER36-SQRT(Correlation3)*FA$3)/SQRT(1-Correlation3),TRUE))</f>
        <v>-</v>
      </c>
      <c r="FB36" s="353" t="str">
        <f>IF($AN36&gt;CDS.Tenor,"-",_xlfn.NORM.S.DIST(($ER36-SQRT(Correlation3)*FB$3)/SQRT(1-Correlation3),TRUE))</f>
        <v>-</v>
      </c>
      <c r="FC36" s="353" t="str">
        <f>IF($AN36&gt;CDS.Tenor,"-",_xlfn.NORM.S.DIST(($ER36-SQRT(Correlation3)*FC$3)/SQRT(1-Correlation3),TRUE))</f>
        <v>-</v>
      </c>
      <c r="FD36" s="353" t="str">
        <f>IF($AN36&gt;CDS.Tenor,"-",_xlfn.NORM.S.DIST(($ER36-SQRT(Correlation3)*FD$3)/SQRT(1-Correlation3),TRUE))</f>
        <v>-</v>
      </c>
      <c r="FE36" s="353" t="str">
        <f>IF($AN36&gt;CDS.Tenor,"-",_xlfn.NORM.S.DIST(($ER36-SQRT(Correlation3)*FE$3)/SQRT(1-Correlation3),TRUE))</f>
        <v>-</v>
      </c>
      <c r="FF36" s="353" t="str">
        <f>IF($AN36&gt;CDS.Tenor,"-",_xlfn.NORM.S.DIST(($ER36-SQRT(Correlation3)*FF$3)/SQRT(1-Correlation3),TRUE))</f>
        <v>-</v>
      </c>
      <c r="FG36" s="353" t="str">
        <f>IF($AN36&gt;CDS.Tenor,"-",_xlfn.NORM.S.DIST(($ER36-SQRT(Correlation3)*FG$3)/SQRT(1-Correlation3),TRUE))</f>
        <v>-</v>
      </c>
      <c r="FH36" s="353" t="str">
        <f>IF($AN36&gt;CDS.Tenor,"-",_xlfn.NORM.S.DIST(($ER36-SQRT(Correlation3)*FH$3)/SQRT(1-Correlation3),TRUE))</f>
        <v>-</v>
      </c>
      <c r="FI36" s="353" t="str">
        <f>IF($AN36&gt;CDS.Tenor,"-",_xlfn.NORM.S.DIST(($ER36-SQRT(Correlation3)*FI$3)/SQRT(1-Correlation3),TRUE))</f>
        <v>-</v>
      </c>
      <c r="FJ36" s="353" t="str">
        <f>IF($AN36&gt;CDS.Tenor,"-",_xlfn.NORM.S.DIST(($ER36-SQRT(Correlation3)*FJ$3)/SQRT(1-Correlation3),TRUE))</f>
        <v>-</v>
      </c>
      <c r="FK36" s="353" t="str">
        <f>IF($AN36&gt;CDS.Tenor,"-",_xlfn.NORM.S.DIST(($ER36-SQRT(Correlation3)*FK$3)/SQRT(1-Correlation3),TRUE))</f>
        <v>-</v>
      </c>
      <c r="FL36" s="353" t="str">
        <f>IF($AN36&gt;CDS.Tenor,"-",_xlfn.NORM.S.DIST(($ER36-SQRT(Correlation3)*FL$3)/SQRT(1-Correlation3),TRUE))</f>
        <v>-</v>
      </c>
      <c r="FM36" s="353" t="str">
        <f>IF($AN36&gt;CDS.Tenor,"-",_xlfn.NORM.S.DIST(($ER36-SQRT(Correlation3)*FM$3)/SQRT(1-Correlation3),TRUE))</f>
        <v>-</v>
      </c>
      <c r="FN36" s="353" t="str">
        <f>IF($AN36&gt;CDS.Tenor,"-",_xlfn.NORM.S.DIST(($ER36-SQRT(Correlation3)*FN$3)/SQRT(1-Correlation3),TRUE))</f>
        <v>-</v>
      </c>
      <c r="FO36" s="354" t="str">
        <f>IF($AN36&gt;CDS.Tenor,"-",_xlfn.NORM.S.DIST(($ER36-SQRT(Correlation3)*FO$3)/SQRT(1-Correlation3),TRUE))</f>
        <v>-</v>
      </c>
      <c r="FQ36" s="358">
        <f t="shared" si="158"/>
        <v>8</v>
      </c>
      <c r="FR36" s="353" t="str">
        <f t="shared" si="159"/>
        <v>-</v>
      </c>
      <c r="FS36" s="353" t="str">
        <f t="shared" si="160"/>
        <v>-</v>
      </c>
      <c r="FT36" s="353" t="str">
        <f t="shared" si="161"/>
        <v>-</v>
      </c>
      <c r="FU36" s="353" t="str">
        <f t="shared" si="162"/>
        <v>-</v>
      </c>
      <c r="FV36" s="353" t="str">
        <f t="shared" si="163"/>
        <v>-</v>
      </c>
      <c r="FW36" s="353" t="str">
        <f t="shared" si="164"/>
        <v>-</v>
      </c>
      <c r="FX36" s="353" t="str">
        <f t="shared" si="165"/>
        <v>-</v>
      </c>
      <c r="FY36" s="353" t="str">
        <f t="shared" si="166"/>
        <v>-</v>
      </c>
      <c r="FZ36" s="353" t="str">
        <f t="shared" si="167"/>
        <v>-</v>
      </c>
      <c r="GA36" s="353" t="str">
        <f t="shared" si="168"/>
        <v>-</v>
      </c>
      <c r="GB36" s="353" t="str">
        <f t="shared" si="169"/>
        <v>-</v>
      </c>
      <c r="GC36" s="353" t="str">
        <f t="shared" si="170"/>
        <v>-</v>
      </c>
      <c r="GD36" s="353" t="str">
        <f t="shared" si="171"/>
        <v>-</v>
      </c>
      <c r="GE36" s="353" t="str">
        <f t="shared" si="172"/>
        <v>-</v>
      </c>
      <c r="GF36" s="353" t="str">
        <f t="shared" si="173"/>
        <v>-</v>
      </c>
      <c r="GG36" s="353" t="str">
        <f t="shared" si="174"/>
        <v>-</v>
      </c>
      <c r="GH36" s="353" t="str">
        <f t="shared" si="175"/>
        <v>-</v>
      </c>
      <c r="GI36" s="353" t="str">
        <f t="shared" si="176"/>
        <v>-</v>
      </c>
      <c r="GJ36" s="353" t="str">
        <f t="shared" si="177"/>
        <v>-</v>
      </c>
      <c r="GK36" s="353" t="str">
        <f t="shared" si="178"/>
        <v>-</v>
      </c>
      <c r="GL36" s="354" t="str">
        <f t="shared" si="179"/>
        <v>-</v>
      </c>
      <c r="GO36" s="358">
        <f t="shared" si="180"/>
        <v>8</v>
      </c>
      <c r="GP36" s="353" t="str">
        <f t="shared" si="181"/>
        <v>-</v>
      </c>
      <c r="GQ36" s="353" t="str">
        <f t="shared" si="182"/>
        <v>-</v>
      </c>
      <c r="GR36" s="353" t="str">
        <f t="shared" si="183"/>
        <v>-</v>
      </c>
      <c r="GS36" s="353" t="str">
        <f t="shared" si="184"/>
        <v>-</v>
      </c>
      <c r="GT36" s="353" t="str">
        <f t="shared" si="185"/>
        <v>-</v>
      </c>
      <c r="GU36" s="353" t="str">
        <f t="shared" si="186"/>
        <v>-</v>
      </c>
      <c r="GV36" s="353" t="str">
        <f t="shared" si="187"/>
        <v>-</v>
      </c>
      <c r="GW36" s="353" t="str">
        <f t="shared" si="188"/>
        <v>-</v>
      </c>
      <c r="GX36" s="353" t="str">
        <f t="shared" si="189"/>
        <v>-</v>
      </c>
      <c r="GY36" s="353" t="str">
        <f t="shared" si="190"/>
        <v>-</v>
      </c>
      <c r="GZ36" s="353" t="str">
        <f t="shared" si="191"/>
        <v>-</v>
      </c>
      <c r="HA36" s="353" t="str">
        <f t="shared" si="192"/>
        <v>-</v>
      </c>
      <c r="HB36" s="353" t="str">
        <f t="shared" si="193"/>
        <v>-</v>
      </c>
      <c r="HC36" s="353" t="str">
        <f t="shared" si="194"/>
        <v>-</v>
      </c>
      <c r="HD36" s="353" t="str">
        <f t="shared" si="195"/>
        <v>-</v>
      </c>
      <c r="HE36" s="353" t="str">
        <f t="shared" si="196"/>
        <v>-</v>
      </c>
      <c r="HF36" s="353" t="str">
        <f t="shared" si="197"/>
        <v>-</v>
      </c>
      <c r="HG36" s="353" t="str">
        <f t="shared" si="198"/>
        <v>-</v>
      </c>
      <c r="HH36" s="353" t="str">
        <f t="shared" si="199"/>
        <v>-</v>
      </c>
      <c r="HI36" s="353" t="str">
        <f t="shared" si="200"/>
        <v>-</v>
      </c>
      <c r="HJ36" s="354" t="str">
        <f t="shared" si="201"/>
        <v>-</v>
      </c>
      <c r="HK36" s="42"/>
      <c r="HL36" s="42"/>
      <c r="HM36" s="358">
        <f t="shared" si="202"/>
        <v>8</v>
      </c>
      <c r="HN36" s="362" t="str">
        <f t="shared" si="203"/>
        <v>-</v>
      </c>
      <c r="HO36" s="363" t="str">
        <f t="shared" si="204"/>
        <v>-</v>
      </c>
    </row>
    <row r="37" spans="22:223" x14ac:dyDescent="0.3">
      <c r="V37" s="370">
        <f t="shared" si="89"/>
        <v>8.25</v>
      </c>
      <c r="W37" s="371" t="str">
        <f t="shared" si="90"/>
        <v>-</v>
      </c>
      <c r="X37" s="348" t="str">
        <f t="shared" si="91"/>
        <v>-</v>
      </c>
      <c r="Y37" s="348" t="str">
        <f t="shared" si="92"/>
        <v>-</v>
      </c>
      <c r="Z37" s="372" t="str" cm="1">
        <f t="array" ref="Z37">IF($V37&gt;CDS.Tenor,"-",cubicInterpolation(CurveResults.Times,CurveResults.DFs,$V37))</f>
        <v>-</v>
      </c>
      <c r="AA37" s="371" t="str">
        <f t="shared" si="93"/>
        <v>-</v>
      </c>
      <c r="AB37" s="371" t="str">
        <f t="shared" si="94"/>
        <v>-</v>
      </c>
      <c r="AC37" s="373" t="str">
        <f t="shared" si="95"/>
        <v>-</v>
      </c>
      <c r="AF37" s="370">
        <f t="shared" si="96"/>
        <v>8.25</v>
      </c>
      <c r="AG37" s="371" t="str">
        <f t="shared" si="97"/>
        <v>-</v>
      </c>
      <c r="AH37" s="348" t="str">
        <f t="shared" si="98"/>
        <v>-</v>
      </c>
      <c r="AI37" s="348" t="str">
        <f t="shared" si="99"/>
        <v>-</v>
      </c>
      <c r="AJ37" s="372" t="str" cm="1">
        <f t="array" ref="AJ37">IF($AF37&gt;CDS.Tenor,"-",cubicInterpolation(CurveResults.Times,CurveResults.DFs,$V37))</f>
        <v>-</v>
      </c>
      <c r="AK37" s="373" t="str">
        <f t="shared" si="100"/>
        <v>-</v>
      </c>
      <c r="AN37" s="358">
        <f t="shared" si="101"/>
        <v>8.25</v>
      </c>
      <c r="AO37" s="343" t="str" cm="1">
        <f t="array" aca="1" ref="AO37" ca="1">IF($AN37&gt;CDS.Tenor,"-",flatInterpolation(AM37,INDIRECT(HazardRateTimes1),INDIRECT(HazardRateValues1)))</f>
        <v>-</v>
      </c>
      <c r="AP37" s="10" t="str">
        <f t="shared" si="102"/>
        <v>-</v>
      </c>
      <c r="AQ37" s="10" t="str">
        <f t="shared" si="103"/>
        <v>-</v>
      </c>
      <c r="AR37" s="81" t="str">
        <f t="shared" si="104"/>
        <v>-</v>
      </c>
      <c r="AT37" s="358">
        <f t="shared" si="105"/>
        <v>8.25</v>
      </c>
      <c r="AU37" s="353" t="str">
        <f>IF($AN37&gt;CDS.Tenor,"-",_xlfn.NORM.S.DIST(($AR37-SQRT(Correlation1)*AU$3)/SQRT(1-Correlation1),TRUE))</f>
        <v>-</v>
      </c>
      <c r="AV37" s="353" t="str">
        <f>IF($AN37&gt;CDS.Tenor,"-",_xlfn.NORM.S.DIST(($AR37-SQRT(Correlation1)*AV$3)/SQRT(1-Correlation1),TRUE))</f>
        <v>-</v>
      </c>
      <c r="AW37" s="353" t="str">
        <f>IF($AN37&gt;CDS.Tenor,"-",_xlfn.NORM.S.DIST(($AR37-SQRT(Correlation1)*AW$3)/SQRT(1-Correlation1),TRUE))</f>
        <v>-</v>
      </c>
      <c r="AX37" s="353" t="str">
        <f>IF($AN37&gt;CDS.Tenor,"-",_xlfn.NORM.S.DIST(($AR37-SQRT(Correlation1)*AX$3)/SQRT(1-Correlation1),TRUE))</f>
        <v>-</v>
      </c>
      <c r="AY37" s="353" t="str">
        <f>IF($AN37&gt;CDS.Tenor,"-",_xlfn.NORM.S.DIST(($AR37-SQRT(Correlation1)*AY$3)/SQRT(1-Correlation1),TRUE))</f>
        <v>-</v>
      </c>
      <c r="AZ37" s="353" t="str">
        <f>IF($AN37&gt;CDS.Tenor,"-",_xlfn.NORM.S.DIST(($AR37-SQRT(Correlation1)*AZ$3)/SQRT(1-Correlation1),TRUE))</f>
        <v>-</v>
      </c>
      <c r="BA37" s="353" t="str">
        <f>IF($AN37&gt;CDS.Tenor,"-",_xlfn.NORM.S.DIST(($AR37-SQRT(Correlation1)*BA$3)/SQRT(1-Correlation1),TRUE))</f>
        <v>-</v>
      </c>
      <c r="BB37" s="353" t="str">
        <f>IF($AN37&gt;CDS.Tenor,"-",_xlfn.NORM.S.DIST(($AR37-SQRT(Correlation1)*BB$3)/SQRT(1-Correlation1),TRUE))</f>
        <v>-</v>
      </c>
      <c r="BC37" s="353" t="str">
        <f>IF($AN37&gt;CDS.Tenor,"-",_xlfn.NORM.S.DIST(($AR37-SQRT(Correlation1)*BC$3)/SQRT(1-Correlation1),TRUE))</f>
        <v>-</v>
      </c>
      <c r="BD37" s="353" t="str">
        <f>IF($AN37&gt;CDS.Tenor,"-",_xlfn.NORM.S.DIST(($AR37-SQRT(Correlation1)*BD$3)/SQRT(1-Correlation1),TRUE))</f>
        <v>-</v>
      </c>
      <c r="BE37" s="353" t="str">
        <f>IF($AN37&gt;CDS.Tenor,"-",_xlfn.NORM.S.DIST(($AR37-SQRT(Correlation1)*BE$3)/SQRT(1-Correlation1),TRUE))</f>
        <v>-</v>
      </c>
      <c r="BF37" s="353" t="str">
        <f>IF($AN37&gt;CDS.Tenor,"-",_xlfn.NORM.S.DIST(($AR37-SQRT(Correlation1)*BF$3)/SQRT(1-Correlation1),TRUE))</f>
        <v>-</v>
      </c>
      <c r="BG37" s="353" t="str">
        <f>IF($AN37&gt;CDS.Tenor,"-",_xlfn.NORM.S.DIST(($AR37-SQRT(Correlation1)*BG$3)/SQRT(1-Correlation1),TRUE))</f>
        <v>-</v>
      </c>
      <c r="BH37" s="353" t="str">
        <f>IF($AN37&gt;CDS.Tenor,"-",_xlfn.NORM.S.DIST(($AR37-SQRT(Correlation1)*BH$3)/SQRT(1-Correlation1),TRUE))</f>
        <v>-</v>
      </c>
      <c r="BI37" s="353" t="str">
        <f>IF($AN37&gt;CDS.Tenor,"-",_xlfn.NORM.S.DIST(($AR37-SQRT(Correlation1)*BI$3)/SQRT(1-Correlation1),TRUE))</f>
        <v>-</v>
      </c>
      <c r="BJ37" s="353" t="str">
        <f>IF($AN37&gt;CDS.Tenor,"-",_xlfn.NORM.S.DIST(($AR37-SQRT(Correlation1)*BJ$3)/SQRT(1-Correlation1),TRUE))</f>
        <v>-</v>
      </c>
      <c r="BK37" s="353" t="str">
        <f>IF($AN37&gt;CDS.Tenor,"-",_xlfn.NORM.S.DIST(($AR37-SQRT(Correlation1)*BK$3)/SQRT(1-Correlation1),TRUE))</f>
        <v>-</v>
      </c>
      <c r="BL37" s="353" t="str">
        <f>IF($AN37&gt;CDS.Tenor,"-",_xlfn.NORM.S.DIST(($AR37-SQRT(Correlation1)*BL$3)/SQRT(1-Correlation1),TRUE))</f>
        <v>-</v>
      </c>
      <c r="BM37" s="353" t="str">
        <f>IF($AN37&gt;CDS.Tenor,"-",_xlfn.NORM.S.DIST(($AR37-SQRT(Correlation1)*BM$3)/SQRT(1-Correlation1),TRUE))</f>
        <v>-</v>
      </c>
      <c r="BN37" s="353" t="str">
        <f>IF($AN37&gt;CDS.Tenor,"-",_xlfn.NORM.S.DIST(($AR37-SQRT(Correlation1)*BN$3)/SQRT(1-Correlation1),TRUE))</f>
        <v>-</v>
      </c>
      <c r="BO37" s="354" t="str">
        <f>IF($AN37&gt;CDS.Tenor,"-",_xlfn.NORM.S.DIST(($AR37-SQRT(Correlation1)*BO$3)/SQRT(1-Correlation1),TRUE))</f>
        <v>-</v>
      </c>
      <c r="BQ37" s="358">
        <f t="shared" si="106"/>
        <v>8.25</v>
      </c>
      <c r="BR37" s="353" t="str">
        <f t="shared" si="107"/>
        <v>-</v>
      </c>
      <c r="BS37" s="353" t="str">
        <f t="shared" si="108"/>
        <v>-</v>
      </c>
      <c r="BT37" s="353" t="str">
        <f t="shared" si="109"/>
        <v>-</v>
      </c>
      <c r="BU37" s="353" t="str">
        <f t="shared" si="110"/>
        <v>-</v>
      </c>
      <c r="BV37" s="353" t="str">
        <f t="shared" si="111"/>
        <v>-</v>
      </c>
      <c r="BW37" s="353" t="str">
        <f t="shared" si="112"/>
        <v>-</v>
      </c>
      <c r="BX37" s="353" t="str">
        <f t="shared" si="113"/>
        <v>-</v>
      </c>
      <c r="BY37" s="353" t="str">
        <f t="shared" si="114"/>
        <v>-</v>
      </c>
      <c r="BZ37" s="353" t="str">
        <f t="shared" si="115"/>
        <v>-</v>
      </c>
      <c r="CA37" s="353" t="str">
        <f t="shared" si="116"/>
        <v>-</v>
      </c>
      <c r="CB37" s="353" t="str">
        <f t="shared" si="117"/>
        <v>-</v>
      </c>
      <c r="CC37" s="353" t="str">
        <f t="shared" si="118"/>
        <v>-</v>
      </c>
      <c r="CD37" s="353" t="str">
        <f t="shared" si="119"/>
        <v>-</v>
      </c>
      <c r="CE37" s="353" t="str">
        <f t="shared" si="120"/>
        <v>-</v>
      </c>
      <c r="CF37" s="353" t="str">
        <f t="shared" si="121"/>
        <v>-</v>
      </c>
      <c r="CG37" s="353" t="str">
        <f t="shared" si="122"/>
        <v>-</v>
      </c>
      <c r="CH37" s="353" t="str">
        <f t="shared" si="123"/>
        <v>-</v>
      </c>
      <c r="CI37" s="353" t="str">
        <f t="shared" si="124"/>
        <v>-</v>
      </c>
      <c r="CJ37" s="353" t="str">
        <f t="shared" si="125"/>
        <v>-</v>
      </c>
      <c r="CK37" s="353" t="str">
        <f t="shared" si="126"/>
        <v>-</v>
      </c>
      <c r="CL37" s="354" t="str">
        <f t="shared" si="127"/>
        <v>-</v>
      </c>
      <c r="CM37" s="17"/>
      <c r="CN37" s="17"/>
      <c r="CO37" s="343" t="str" cm="1">
        <f t="array" aca="1" ref="CO37" ca="1">IF($AN37&gt;CDS.Tenor,"-",flatInterpolation(AN37,INDIRECT(HazardRateTimes2),INDIRECT(HazardRateValues2)))</f>
        <v>-</v>
      </c>
      <c r="CP37" s="10" t="str">
        <f t="shared" si="128"/>
        <v>-</v>
      </c>
      <c r="CQ37" s="10" t="str">
        <f t="shared" si="129"/>
        <v>-</v>
      </c>
      <c r="CR37" s="81" t="str">
        <f t="shared" si="130"/>
        <v>-</v>
      </c>
      <c r="CT37" s="358">
        <f t="shared" si="131"/>
        <v>8.25</v>
      </c>
      <c r="CU37" s="353" t="str">
        <f>IF($AN37&gt;CDS.Tenor,"-",_xlfn.NORM.S.DIST(($CR37-SQRT(Correlation2)*CU$3)/SQRT(1-Correlation2),TRUE))</f>
        <v>-</v>
      </c>
      <c r="CV37" s="353" t="str">
        <f>IF($AN37&gt;CDS.Tenor,"-",_xlfn.NORM.S.DIST(($CR37-SQRT(Correlation2)*CV$3)/SQRT(1-Correlation2),TRUE))</f>
        <v>-</v>
      </c>
      <c r="CW37" s="353" t="str">
        <f>IF($AN37&gt;CDS.Tenor,"-",_xlfn.NORM.S.DIST(($CR37-SQRT(Correlation2)*CW$3)/SQRT(1-Correlation2),TRUE))</f>
        <v>-</v>
      </c>
      <c r="CX37" s="353" t="str">
        <f>IF($AN37&gt;CDS.Tenor,"-",_xlfn.NORM.S.DIST(($CR37-SQRT(Correlation2)*CX$3)/SQRT(1-Correlation2),TRUE))</f>
        <v>-</v>
      </c>
      <c r="CY37" s="353" t="str">
        <f>IF($AN37&gt;CDS.Tenor,"-",_xlfn.NORM.S.DIST(($CR37-SQRT(Correlation2)*CY$3)/SQRT(1-Correlation2),TRUE))</f>
        <v>-</v>
      </c>
      <c r="CZ37" s="353" t="str">
        <f>IF($AN37&gt;CDS.Tenor,"-",_xlfn.NORM.S.DIST(($CR37-SQRT(Correlation2)*CZ$3)/SQRT(1-Correlation2),TRUE))</f>
        <v>-</v>
      </c>
      <c r="DA37" s="353" t="str">
        <f>IF($AN37&gt;CDS.Tenor,"-",_xlfn.NORM.S.DIST(($CR37-SQRT(Correlation2)*DA$3)/SQRT(1-Correlation2),TRUE))</f>
        <v>-</v>
      </c>
      <c r="DB37" s="353" t="str">
        <f>IF($AN37&gt;CDS.Tenor,"-",_xlfn.NORM.S.DIST(($CR37-SQRT(Correlation2)*DB$3)/SQRT(1-Correlation2),TRUE))</f>
        <v>-</v>
      </c>
      <c r="DC37" s="353" t="str">
        <f>IF($AN37&gt;CDS.Tenor,"-",_xlfn.NORM.S.DIST(($CR37-SQRT(Correlation2)*DC$3)/SQRT(1-Correlation2),TRUE))</f>
        <v>-</v>
      </c>
      <c r="DD37" s="353" t="str">
        <f>IF($AN37&gt;CDS.Tenor,"-",_xlfn.NORM.S.DIST(($CR37-SQRT(Correlation2)*DD$3)/SQRT(1-Correlation2),TRUE))</f>
        <v>-</v>
      </c>
      <c r="DE37" s="353" t="str">
        <f>IF($AN37&gt;CDS.Tenor,"-",_xlfn.NORM.S.DIST(($CR37-SQRT(Correlation2)*DE$3)/SQRT(1-Correlation2),TRUE))</f>
        <v>-</v>
      </c>
      <c r="DF37" s="353" t="str">
        <f>IF($AN37&gt;CDS.Tenor,"-",_xlfn.NORM.S.DIST(($CR37-SQRT(Correlation2)*DF$3)/SQRT(1-Correlation2),TRUE))</f>
        <v>-</v>
      </c>
      <c r="DG37" s="353" t="str">
        <f>IF($AN37&gt;CDS.Tenor,"-",_xlfn.NORM.S.DIST(($CR37-SQRT(Correlation2)*DG$3)/SQRT(1-Correlation2),TRUE))</f>
        <v>-</v>
      </c>
      <c r="DH37" s="353" t="str">
        <f>IF($AN37&gt;CDS.Tenor,"-",_xlfn.NORM.S.DIST(($CR37-SQRT(Correlation2)*DH$3)/SQRT(1-Correlation2),TRUE))</f>
        <v>-</v>
      </c>
      <c r="DI37" s="353" t="str">
        <f>IF($AN37&gt;CDS.Tenor,"-",_xlfn.NORM.S.DIST(($CR37-SQRT(Correlation2)*DI$3)/SQRT(1-Correlation2),TRUE))</f>
        <v>-</v>
      </c>
      <c r="DJ37" s="353" t="str">
        <f>IF($AN37&gt;CDS.Tenor,"-",_xlfn.NORM.S.DIST(($CR37-SQRT(Correlation2)*DJ$3)/SQRT(1-Correlation2),TRUE))</f>
        <v>-</v>
      </c>
      <c r="DK37" s="353" t="str">
        <f>IF($AN37&gt;CDS.Tenor,"-",_xlfn.NORM.S.DIST(($CR37-SQRT(Correlation2)*DK$3)/SQRT(1-Correlation2),TRUE))</f>
        <v>-</v>
      </c>
      <c r="DL37" s="353" t="str">
        <f>IF($AN37&gt;CDS.Tenor,"-",_xlfn.NORM.S.DIST(($CR37-SQRT(Correlation2)*DL$3)/SQRT(1-Correlation2),TRUE))</f>
        <v>-</v>
      </c>
      <c r="DM37" s="353" t="str">
        <f>IF($AN37&gt;CDS.Tenor,"-",_xlfn.NORM.S.DIST(($CR37-SQRT(Correlation2)*DM$3)/SQRT(1-Correlation2),TRUE))</f>
        <v>-</v>
      </c>
      <c r="DN37" s="353" t="str">
        <f>IF($AN37&gt;CDS.Tenor,"-",_xlfn.NORM.S.DIST(($CR37-SQRT(Correlation2)*DN$3)/SQRT(1-Correlation2),TRUE))</f>
        <v>-</v>
      </c>
      <c r="DO37" s="354" t="str">
        <f>IF($AN37&gt;CDS.Tenor,"-",_xlfn.NORM.S.DIST(($CR37-SQRT(Correlation2)*DO$3)/SQRT(1-Correlation2),TRUE))</f>
        <v>-</v>
      </c>
      <c r="DQ37" s="358">
        <f t="shared" si="132"/>
        <v>8.25</v>
      </c>
      <c r="DR37" s="353" t="str">
        <f t="shared" si="133"/>
        <v>-</v>
      </c>
      <c r="DS37" s="353" t="str">
        <f t="shared" si="134"/>
        <v>-</v>
      </c>
      <c r="DT37" s="353" t="str">
        <f t="shared" si="135"/>
        <v>-</v>
      </c>
      <c r="DU37" s="353" t="str">
        <f t="shared" si="136"/>
        <v>-</v>
      </c>
      <c r="DV37" s="353" t="str">
        <f t="shared" si="137"/>
        <v>-</v>
      </c>
      <c r="DW37" s="353" t="str">
        <f t="shared" si="138"/>
        <v>-</v>
      </c>
      <c r="DX37" s="353" t="str">
        <f t="shared" si="139"/>
        <v>-</v>
      </c>
      <c r="DY37" s="353" t="str">
        <f t="shared" si="140"/>
        <v>-</v>
      </c>
      <c r="DZ37" s="353" t="str">
        <f t="shared" si="141"/>
        <v>-</v>
      </c>
      <c r="EA37" s="353" t="str">
        <f t="shared" si="142"/>
        <v>-</v>
      </c>
      <c r="EB37" s="353" t="str">
        <f t="shared" si="143"/>
        <v>-</v>
      </c>
      <c r="EC37" s="353" t="str">
        <f t="shared" si="144"/>
        <v>-</v>
      </c>
      <c r="ED37" s="353" t="str">
        <f t="shared" si="145"/>
        <v>-</v>
      </c>
      <c r="EE37" s="353" t="str">
        <f t="shared" si="146"/>
        <v>-</v>
      </c>
      <c r="EF37" s="353" t="str">
        <f t="shared" si="147"/>
        <v>-</v>
      </c>
      <c r="EG37" s="353" t="str">
        <f t="shared" si="148"/>
        <v>-</v>
      </c>
      <c r="EH37" s="353" t="str">
        <f t="shared" si="149"/>
        <v>-</v>
      </c>
      <c r="EI37" s="353" t="str">
        <f t="shared" si="150"/>
        <v>-</v>
      </c>
      <c r="EJ37" s="353" t="str">
        <f t="shared" si="151"/>
        <v>-</v>
      </c>
      <c r="EK37" s="353" t="str">
        <f t="shared" si="152"/>
        <v>-</v>
      </c>
      <c r="EL37" s="354" t="str">
        <f t="shared" si="153"/>
        <v>-</v>
      </c>
      <c r="EM37" s="17"/>
      <c r="EN37" s="17"/>
      <c r="EO37" s="343" t="str" cm="1">
        <f t="array" aca="1" ref="EO37" ca="1">IF($AN37&gt;CDS.Tenor,"-",flatInterpolation(CP37,INDIRECT(HazardRateTimes3),INDIRECT(HazardRateValues3)))</f>
        <v>-</v>
      </c>
      <c r="EP37" s="10" t="str">
        <f t="shared" si="154"/>
        <v>-</v>
      </c>
      <c r="EQ37" s="10" t="str">
        <f t="shared" si="155"/>
        <v>-</v>
      </c>
      <c r="ER37" s="81" t="str">
        <f t="shared" si="156"/>
        <v>-</v>
      </c>
      <c r="ET37" s="358">
        <f t="shared" si="157"/>
        <v>8.25</v>
      </c>
      <c r="EU37" s="353" t="str">
        <f>IF($AN37&gt;CDS.Tenor,"-",_xlfn.NORM.S.DIST(($ER37-SQRT(Correlation3)*EU$3)/SQRT(1-Correlation3),TRUE))</f>
        <v>-</v>
      </c>
      <c r="EV37" s="353" t="str">
        <f>IF($AN37&gt;CDS.Tenor,"-",_xlfn.NORM.S.DIST(($ER37-SQRT(Correlation3)*EV$3)/SQRT(1-Correlation3),TRUE))</f>
        <v>-</v>
      </c>
      <c r="EW37" s="353" t="str">
        <f>IF($AN37&gt;CDS.Tenor,"-",_xlfn.NORM.S.DIST(($ER37-SQRT(Correlation3)*EW$3)/SQRT(1-Correlation3),TRUE))</f>
        <v>-</v>
      </c>
      <c r="EX37" s="353" t="str">
        <f>IF($AN37&gt;CDS.Tenor,"-",_xlfn.NORM.S.DIST(($ER37-SQRT(Correlation3)*EX$3)/SQRT(1-Correlation3),TRUE))</f>
        <v>-</v>
      </c>
      <c r="EY37" s="353" t="str">
        <f>IF($AN37&gt;CDS.Tenor,"-",_xlfn.NORM.S.DIST(($ER37-SQRT(Correlation3)*EY$3)/SQRT(1-Correlation3),TRUE))</f>
        <v>-</v>
      </c>
      <c r="EZ37" s="353" t="str">
        <f>IF($AN37&gt;CDS.Tenor,"-",_xlfn.NORM.S.DIST(($ER37-SQRT(Correlation3)*EZ$3)/SQRT(1-Correlation3),TRUE))</f>
        <v>-</v>
      </c>
      <c r="FA37" s="353" t="str">
        <f>IF($AN37&gt;CDS.Tenor,"-",_xlfn.NORM.S.DIST(($ER37-SQRT(Correlation3)*FA$3)/SQRT(1-Correlation3),TRUE))</f>
        <v>-</v>
      </c>
      <c r="FB37" s="353" t="str">
        <f>IF($AN37&gt;CDS.Tenor,"-",_xlfn.NORM.S.DIST(($ER37-SQRT(Correlation3)*FB$3)/SQRT(1-Correlation3),TRUE))</f>
        <v>-</v>
      </c>
      <c r="FC37" s="353" t="str">
        <f>IF($AN37&gt;CDS.Tenor,"-",_xlfn.NORM.S.DIST(($ER37-SQRT(Correlation3)*FC$3)/SQRT(1-Correlation3),TRUE))</f>
        <v>-</v>
      </c>
      <c r="FD37" s="353" t="str">
        <f>IF($AN37&gt;CDS.Tenor,"-",_xlfn.NORM.S.DIST(($ER37-SQRT(Correlation3)*FD$3)/SQRT(1-Correlation3),TRUE))</f>
        <v>-</v>
      </c>
      <c r="FE37" s="353" t="str">
        <f>IF($AN37&gt;CDS.Tenor,"-",_xlfn.NORM.S.DIST(($ER37-SQRT(Correlation3)*FE$3)/SQRT(1-Correlation3),TRUE))</f>
        <v>-</v>
      </c>
      <c r="FF37" s="353" t="str">
        <f>IF($AN37&gt;CDS.Tenor,"-",_xlfn.NORM.S.DIST(($ER37-SQRT(Correlation3)*FF$3)/SQRT(1-Correlation3),TRUE))</f>
        <v>-</v>
      </c>
      <c r="FG37" s="353" t="str">
        <f>IF($AN37&gt;CDS.Tenor,"-",_xlfn.NORM.S.DIST(($ER37-SQRT(Correlation3)*FG$3)/SQRT(1-Correlation3),TRUE))</f>
        <v>-</v>
      </c>
      <c r="FH37" s="353" t="str">
        <f>IF($AN37&gt;CDS.Tenor,"-",_xlfn.NORM.S.DIST(($ER37-SQRT(Correlation3)*FH$3)/SQRT(1-Correlation3),TRUE))</f>
        <v>-</v>
      </c>
      <c r="FI37" s="353" t="str">
        <f>IF($AN37&gt;CDS.Tenor,"-",_xlfn.NORM.S.DIST(($ER37-SQRT(Correlation3)*FI$3)/SQRT(1-Correlation3),TRUE))</f>
        <v>-</v>
      </c>
      <c r="FJ37" s="353" t="str">
        <f>IF($AN37&gt;CDS.Tenor,"-",_xlfn.NORM.S.DIST(($ER37-SQRT(Correlation3)*FJ$3)/SQRT(1-Correlation3),TRUE))</f>
        <v>-</v>
      </c>
      <c r="FK37" s="353" t="str">
        <f>IF($AN37&gt;CDS.Tenor,"-",_xlfn.NORM.S.DIST(($ER37-SQRT(Correlation3)*FK$3)/SQRT(1-Correlation3),TRUE))</f>
        <v>-</v>
      </c>
      <c r="FL37" s="353" t="str">
        <f>IF($AN37&gt;CDS.Tenor,"-",_xlfn.NORM.S.DIST(($ER37-SQRT(Correlation3)*FL$3)/SQRT(1-Correlation3),TRUE))</f>
        <v>-</v>
      </c>
      <c r="FM37" s="353" t="str">
        <f>IF($AN37&gt;CDS.Tenor,"-",_xlfn.NORM.S.DIST(($ER37-SQRT(Correlation3)*FM$3)/SQRT(1-Correlation3),TRUE))</f>
        <v>-</v>
      </c>
      <c r="FN37" s="353" t="str">
        <f>IF($AN37&gt;CDS.Tenor,"-",_xlfn.NORM.S.DIST(($ER37-SQRT(Correlation3)*FN$3)/SQRT(1-Correlation3),TRUE))</f>
        <v>-</v>
      </c>
      <c r="FO37" s="354" t="str">
        <f>IF($AN37&gt;CDS.Tenor,"-",_xlfn.NORM.S.DIST(($ER37-SQRT(Correlation3)*FO$3)/SQRT(1-Correlation3),TRUE))</f>
        <v>-</v>
      </c>
      <c r="FQ37" s="358">
        <f t="shared" si="158"/>
        <v>8.25</v>
      </c>
      <c r="FR37" s="353" t="str">
        <f t="shared" si="159"/>
        <v>-</v>
      </c>
      <c r="FS37" s="353" t="str">
        <f t="shared" si="160"/>
        <v>-</v>
      </c>
      <c r="FT37" s="353" t="str">
        <f t="shared" si="161"/>
        <v>-</v>
      </c>
      <c r="FU37" s="353" t="str">
        <f t="shared" si="162"/>
        <v>-</v>
      </c>
      <c r="FV37" s="353" t="str">
        <f t="shared" si="163"/>
        <v>-</v>
      </c>
      <c r="FW37" s="353" t="str">
        <f t="shared" si="164"/>
        <v>-</v>
      </c>
      <c r="FX37" s="353" t="str">
        <f t="shared" si="165"/>
        <v>-</v>
      </c>
      <c r="FY37" s="353" t="str">
        <f t="shared" si="166"/>
        <v>-</v>
      </c>
      <c r="FZ37" s="353" t="str">
        <f t="shared" si="167"/>
        <v>-</v>
      </c>
      <c r="GA37" s="353" t="str">
        <f t="shared" si="168"/>
        <v>-</v>
      </c>
      <c r="GB37" s="353" t="str">
        <f t="shared" si="169"/>
        <v>-</v>
      </c>
      <c r="GC37" s="353" t="str">
        <f t="shared" si="170"/>
        <v>-</v>
      </c>
      <c r="GD37" s="353" t="str">
        <f t="shared" si="171"/>
        <v>-</v>
      </c>
      <c r="GE37" s="353" t="str">
        <f t="shared" si="172"/>
        <v>-</v>
      </c>
      <c r="GF37" s="353" t="str">
        <f t="shared" si="173"/>
        <v>-</v>
      </c>
      <c r="GG37" s="353" t="str">
        <f t="shared" si="174"/>
        <v>-</v>
      </c>
      <c r="GH37" s="353" t="str">
        <f t="shared" si="175"/>
        <v>-</v>
      </c>
      <c r="GI37" s="353" t="str">
        <f t="shared" si="176"/>
        <v>-</v>
      </c>
      <c r="GJ37" s="353" t="str">
        <f t="shared" si="177"/>
        <v>-</v>
      </c>
      <c r="GK37" s="353" t="str">
        <f t="shared" si="178"/>
        <v>-</v>
      </c>
      <c r="GL37" s="354" t="str">
        <f t="shared" si="179"/>
        <v>-</v>
      </c>
      <c r="GO37" s="358">
        <f t="shared" si="180"/>
        <v>8.25</v>
      </c>
      <c r="GP37" s="353" t="str">
        <f t="shared" si="181"/>
        <v>-</v>
      </c>
      <c r="GQ37" s="353" t="str">
        <f t="shared" si="182"/>
        <v>-</v>
      </c>
      <c r="GR37" s="353" t="str">
        <f t="shared" si="183"/>
        <v>-</v>
      </c>
      <c r="GS37" s="353" t="str">
        <f t="shared" si="184"/>
        <v>-</v>
      </c>
      <c r="GT37" s="353" t="str">
        <f t="shared" si="185"/>
        <v>-</v>
      </c>
      <c r="GU37" s="353" t="str">
        <f t="shared" si="186"/>
        <v>-</v>
      </c>
      <c r="GV37" s="353" t="str">
        <f t="shared" si="187"/>
        <v>-</v>
      </c>
      <c r="GW37" s="353" t="str">
        <f t="shared" si="188"/>
        <v>-</v>
      </c>
      <c r="GX37" s="353" t="str">
        <f t="shared" si="189"/>
        <v>-</v>
      </c>
      <c r="GY37" s="353" t="str">
        <f t="shared" si="190"/>
        <v>-</v>
      </c>
      <c r="GZ37" s="353" t="str">
        <f t="shared" si="191"/>
        <v>-</v>
      </c>
      <c r="HA37" s="353" t="str">
        <f t="shared" si="192"/>
        <v>-</v>
      </c>
      <c r="HB37" s="353" t="str">
        <f t="shared" si="193"/>
        <v>-</v>
      </c>
      <c r="HC37" s="353" t="str">
        <f t="shared" si="194"/>
        <v>-</v>
      </c>
      <c r="HD37" s="353" t="str">
        <f t="shared" si="195"/>
        <v>-</v>
      </c>
      <c r="HE37" s="353" t="str">
        <f t="shared" si="196"/>
        <v>-</v>
      </c>
      <c r="HF37" s="353" t="str">
        <f t="shared" si="197"/>
        <v>-</v>
      </c>
      <c r="HG37" s="353" t="str">
        <f t="shared" si="198"/>
        <v>-</v>
      </c>
      <c r="HH37" s="353" t="str">
        <f t="shared" si="199"/>
        <v>-</v>
      </c>
      <c r="HI37" s="353" t="str">
        <f t="shared" si="200"/>
        <v>-</v>
      </c>
      <c r="HJ37" s="354" t="str">
        <f t="shared" si="201"/>
        <v>-</v>
      </c>
      <c r="HK37" s="42"/>
      <c r="HL37" s="42"/>
      <c r="HM37" s="358">
        <f t="shared" si="202"/>
        <v>8.25</v>
      </c>
      <c r="HN37" s="362" t="str">
        <f t="shared" si="203"/>
        <v>-</v>
      </c>
      <c r="HO37" s="363" t="str">
        <f t="shared" si="204"/>
        <v>-</v>
      </c>
    </row>
    <row r="38" spans="22:223" x14ac:dyDescent="0.3">
      <c r="V38" s="370">
        <f t="shared" si="89"/>
        <v>8.5</v>
      </c>
      <c r="W38" s="371" t="str">
        <f t="shared" si="90"/>
        <v>-</v>
      </c>
      <c r="X38" s="348" t="str">
        <f t="shared" si="91"/>
        <v>-</v>
      </c>
      <c r="Y38" s="348" t="str">
        <f t="shared" si="92"/>
        <v>-</v>
      </c>
      <c r="Z38" s="372" t="str" cm="1">
        <f t="array" ref="Z38">IF($V38&gt;CDS.Tenor,"-",cubicInterpolation(CurveResults.Times,CurveResults.DFs,$V38))</f>
        <v>-</v>
      </c>
      <c r="AA38" s="371" t="str">
        <f t="shared" si="93"/>
        <v>-</v>
      </c>
      <c r="AB38" s="371" t="str">
        <f t="shared" si="94"/>
        <v>-</v>
      </c>
      <c r="AC38" s="373" t="str">
        <f t="shared" si="95"/>
        <v>-</v>
      </c>
      <c r="AF38" s="370">
        <f t="shared" si="96"/>
        <v>8.5</v>
      </c>
      <c r="AG38" s="371" t="str">
        <f t="shared" si="97"/>
        <v>-</v>
      </c>
      <c r="AH38" s="348" t="str">
        <f t="shared" si="98"/>
        <v>-</v>
      </c>
      <c r="AI38" s="348" t="str">
        <f t="shared" si="99"/>
        <v>-</v>
      </c>
      <c r="AJ38" s="372" t="str" cm="1">
        <f t="array" ref="AJ38">IF($AF38&gt;CDS.Tenor,"-",cubicInterpolation(CurveResults.Times,CurveResults.DFs,$V38))</f>
        <v>-</v>
      </c>
      <c r="AK38" s="373" t="str">
        <f t="shared" si="100"/>
        <v>-</v>
      </c>
      <c r="AN38" s="358">
        <f t="shared" si="101"/>
        <v>8.5</v>
      </c>
      <c r="AO38" s="343" t="str" cm="1">
        <f t="array" aca="1" ref="AO38" ca="1">IF($AN38&gt;CDS.Tenor,"-",flatInterpolation(AM38,INDIRECT(HazardRateTimes1),INDIRECT(HazardRateValues1)))</f>
        <v>-</v>
      </c>
      <c r="AP38" s="10" t="str">
        <f t="shared" si="102"/>
        <v>-</v>
      </c>
      <c r="AQ38" s="10" t="str">
        <f t="shared" si="103"/>
        <v>-</v>
      </c>
      <c r="AR38" s="81" t="str">
        <f t="shared" si="104"/>
        <v>-</v>
      </c>
      <c r="AT38" s="358">
        <f t="shared" si="105"/>
        <v>8.5</v>
      </c>
      <c r="AU38" s="353" t="str">
        <f>IF($AN38&gt;CDS.Tenor,"-",_xlfn.NORM.S.DIST(($AR38-SQRT(Correlation1)*AU$3)/SQRT(1-Correlation1),TRUE))</f>
        <v>-</v>
      </c>
      <c r="AV38" s="353" t="str">
        <f>IF($AN38&gt;CDS.Tenor,"-",_xlfn.NORM.S.DIST(($AR38-SQRT(Correlation1)*AV$3)/SQRT(1-Correlation1),TRUE))</f>
        <v>-</v>
      </c>
      <c r="AW38" s="353" t="str">
        <f>IF($AN38&gt;CDS.Tenor,"-",_xlfn.NORM.S.DIST(($AR38-SQRT(Correlation1)*AW$3)/SQRT(1-Correlation1),TRUE))</f>
        <v>-</v>
      </c>
      <c r="AX38" s="353" t="str">
        <f>IF($AN38&gt;CDS.Tenor,"-",_xlfn.NORM.S.DIST(($AR38-SQRT(Correlation1)*AX$3)/SQRT(1-Correlation1),TRUE))</f>
        <v>-</v>
      </c>
      <c r="AY38" s="353" t="str">
        <f>IF($AN38&gt;CDS.Tenor,"-",_xlfn.NORM.S.DIST(($AR38-SQRT(Correlation1)*AY$3)/SQRT(1-Correlation1),TRUE))</f>
        <v>-</v>
      </c>
      <c r="AZ38" s="353" t="str">
        <f>IF($AN38&gt;CDS.Tenor,"-",_xlfn.NORM.S.DIST(($AR38-SQRT(Correlation1)*AZ$3)/SQRT(1-Correlation1),TRUE))</f>
        <v>-</v>
      </c>
      <c r="BA38" s="353" t="str">
        <f>IF($AN38&gt;CDS.Tenor,"-",_xlfn.NORM.S.DIST(($AR38-SQRT(Correlation1)*BA$3)/SQRT(1-Correlation1),TRUE))</f>
        <v>-</v>
      </c>
      <c r="BB38" s="353" t="str">
        <f>IF($AN38&gt;CDS.Tenor,"-",_xlfn.NORM.S.DIST(($AR38-SQRT(Correlation1)*BB$3)/SQRT(1-Correlation1),TRUE))</f>
        <v>-</v>
      </c>
      <c r="BC38" s="353" t="str">
        <f>IF($AN38&gt;CDS.Tenor,"-",_xlfn.NORM.S.DIST(($AR38-SQRT(Correlation1)*BC$3)/SQRT(1-Correlation1),TRUE))</f>
        <v>-</v>
      </c>
      <c r="BD38" s="353" t="str">
        <f>IF($AN38&gt;CDS.Tenor,"-",_xlfn.NORM.S.DIST(($AR38-SQRT(Correlation1)*BD$3)/SQRT(1-Correlation1),TRUE))</f>
        <v>-</v>
      </c>
      <c r="BE38" s="353" t="str">
        <f>IF($AN38&gt;CDS.Tenor,"-",_xlfn.NORM.S.DIST(($AR38-SQRT(Correlation1)*BE$3)/SQRT(1-Correlation1),TRUE))</f>
        <v>-</v>
      </c>
      <c r="BF38" s="353" t="str">
        <f>IF($AN38&gt;CDS.Tenor,"-",_xlfn.NORM.S.DIST(($AR38-SQRT(Correlation1)*BF$3)/SQRT(1-Correlation1),TRUE))</f>
        <v>-</v>
      </c>
      <c r="BG38" s="353" t="str">
        <f>IF($AN38&gt;CDS.Tenor,"-",_xlfn.NORM.S.DIST(($AR38-SQRT(Correlation1)*BG$3)/SQRT(1-Correlation1),TRUE))</f>
        <v>-</v>
      </c>
      <c r="BH38" s="353" t="str">
        <f>IF($AN38&gt;CDS.Tenor,"-",_xlfn.NORM.S.DIST(($AR38-SQRT(Correlation1)*BH$3)/SQRT(1-Correlation1),TRUE))</f>
        <v>-</v>
      </c>
      <c r="BI38" s="353" t="str">
        <f>IF($AN38&gt;CDS.Tenor,"-",_xlfn.NORM.S.DIST(($AR38-SQRT(Correlation1)*BI$3)/SQRT(1-Correlation1),TRUE))</f>
        <v>-</v>
      </c>
      <c r="BJ38" s="353" t="str">
        <f>IF($AN38&gt;CDS.Tenor,"-",_xlfn.NORM.S.DIST(($AR38-SQRT(Correlation1)*BJ$3)/SQRT(1-Correlation1),TRUE))</f>
        <v>-</v>
      </c>
      <c r="BK38" s="353" t="str">
        <f>IF($AN38&gt;CDS.Tenor,"-",_xlfn.NORM.S.DIST(($AR38-SQRT(Correlation1)*BK$3)/SQRT(1-Correlation1),TRUE))</f>
        <v>-</v>
      </c>
      <c r="BL38" s="353" t="str">
        <f>IF($AN38&gt;CDS.Tenor,"-",_xlfn.NORM.S.DIST(($AR38-SQRT(Correlation1)*BL$3)/SQRT(1-Correlation1),TRUE))</f>
        <v>-</v>
      </c>
      <c r="BM38" s="353" t="str">
        <f>IF($AN38&gt;CDS.Tenor,"-",_xlfn.NORM.S.DIST(($AR38-SQRT(Correlation1)*BM$3)/SQRT(1-Correlation1),TRUE))</f>
        <v>-</v>
      </c>
      <c r="BN38" s="353" t="str">
        <f>IF($AN38&gt;CDS.Tenor,"-",_xlfn.NORM.S.DIST(($AR38-SQRT(Correlation1)*BN$3)/SQRT(1-Correlation1),TRUE))</f>
        <v>-</v>
      </c>
      <c r="BO38" s="354" t="str">
        <f>IF($AN38&gt;CDS.Tenor,"-",_xlfn.NORM.S.DIST(($AR38-SQRT(Correlation1)*BO$3)/SQRT(1-Correlation1),TRUE))</f>
        <v>-</v>
      </c>
      <c r="BQ38" s="358">
        <f t="shared" si="106"/>
        <v>8.5</v>
      </c>
      <c r="BR38" s="353" t="str">
        <f t="shared" si="107"/>
        <v>-</v>
      </c>
      <c r="BS38" s="353" t="str">
        <f t="shared" si="108"/>
        <v>-</v>
      </c>
      <c r="BT38" s="353" t="str">
        <f t="shared" si="109"/>
        <v>-</v>
      </c>
      <c r="BU38" s="353" t="str">
        <f t="shared" si="110"/>
        <v>-</v>
      </c>
      <c r="BV38" s="353" t="str">
        <f t="shared" si="111"/>
        <v>-</v>
      </c>
      <c r="BW38" s="353" t="str">
        <f t="shared" si="112"/>
        <v>-</v>
      </c>
      <c r="BX38" s="353" t="str">
        <f t="shared" si="113"/>
        <v>-</v>
      </c>
      <c r="BY38" s="353" t="str">
        <f t="shared" si="114"/>
        <v>-</v>
      </c>
      <c r="BZ38" s="353" t="str">
        <f t="shared" si="115"/>
        <v>-</v>
      </c>
      <c r="CA38" s="353" t="str">
        <f t="shared" si="116"/>
        <v>-</v>
      </c>
      <c r="CB38" s="353" t="str">
        <f t="shared" si="117"/>
        <v>-</v>
      </c>
      <c r="CC38" s="353" t="str">
        <f t="shared" si="118"/>
        <v>-</v>
      </c>
      <c r="CD38" s="353" t="str">
        <f t="shared" si="119"/>
        <v>-</v>
      </c>
      <c r="CE38" s="353" t="str">
        <f t="shared" si="120"/>
        <v>-</v>
      </c>
      <c r="CF38" s="353" t="str">
        <f t="shared" si="121"/>
        <v>-</v>
      </c>
      <c r="CG38" s="353" t="str">
        <f t="shared" si="122"/>
        <v>-</v>
      </c>
      <c r="CH38" s="353" t="str">
        <f t="shared" si="123"/>
        <v>-</v>
      </c>
      <c r="CI38" s="353" t="str">
        <f t="shared" si="124"/>
        <v>-</v>
      </c>
      <c r="CJ38" s="353" t="str">
        <f t="shared" si="125"/>
        <v>-</v>
      </c>
      <c r="CK38" s="353" t="str">
        <f t="shared" si="126"/>
        <v>-</v>
      </c>
      <c r="CL38" s="354" t="str">
        <f t="shared" si="127"/>
        <v>-</v>
      </c>
      <c r="CM38" s="17"/>
      <c r="CN38" s="17"/>
      <c r="CO38" s="343" t="str" cm="1">
        <f t="array" aca="1" ref="CO38" ca="1">IF($AN38&gt;CDS.Tenor,"-",flatInterpolation(AN38,INDIRECT(HazardRateTimes2),INDIRECT(HazardRateValues2)))</f>
        <v>-</v>
      </c>
      <c r="CP38" s="10" t="str">
        <f t="shared" si="128"/>
        <v>-</v>
      </c>
      <c r="CQ38" s="10" t="str">
        <f t="shared" si="129"/>
        <v>-</v>
      </c>
      <c r="CR38" s="81" t="str">
        <f t="shared" si="130"/>
        <v>-</v>
      </c>
      <c r="CT38" s="358">
        <f t="shared" si="131"/>
        <v>8.5</v>
      </c>
      <c r="CU38" s="353" t="str">
        <f>IF($AN38&gt;CDS.Tenor,"-",_xlfn.NORM.S.DIST(($CR38-SQRT(Correlation2)*CU$3)/SQRT(1-Correlation2),TRUE))</f>
        <v>-</v>
      </c>
      <c r="CV38" s="353" t="str">
        <f>IF($AN38&gt;CDS.Tenor,"-",_xlfn.NORM.S.DIST(($CR38-SQRT(Correlation2)*CV$3)/SQRT(1-Correlation2),TRUE))</f>
        <v>-</v>
      </c>
      <c r="CW38" s="353" t="str">
        <f>IF($AN38&gt;CDS.Tenor,"-",_xlfn.NORM.S.DIST(($CR38-SQRT(Correlation2)*CW$3)/SQRT(1-Correlation2),TRUE))</f>
        <v>-</v>
      </c>
      <c r="CX38" s="353" t="str">
        <f>IF($AN38&gt;CDS.Tenor,"-",_xlfn.NORM.S.DIST(($CR38-SQRT(Correlation2)*CX$3)/SQRT(1-Correlation2),TRUE))</f>
        <v>-</v>
      </c>
      <c r="CY38" s="353" t="str">
        <f>IF($AN38&gt;CDS.Tenor,"-",_xlfn.NORM.S.DIST(($CR38-SQRT(Correlation2)*CY$3)/SQRT(1-Correlation2),TRUE))</f>
        <v>-</v>
      </c>
      <c r="CZ38" s="353" t="str">
        <f>IF($AN38&gt;CDS.Tenor,"-",_xlfn.NORM.S.DIST(($CR38-SQRT(Correlation2)*CZ$3)/SQRT(1-Correlation2),TRUE))</f>
        <v>-</v>
      </c>
      <c r="DA38" s="353" t="str">
        <f>IF($AN38&gt;CDS.Tenor,"-",_xlfn.NORM.S.DIST(($CR38-SQRT(Correlation2)*DA$3)/SQRT(1-Correlation2),TRUE))</f>
        <v>-</v>
      </c>
      <c r="DB38" s="353" t="str">
        <f>IF($AN38&gt;CDS.Tenor,"-",_xlfn.NORM.S.DIST(($CR38-SQRT(Correlation2)*DB$3)/SQRT(1-Correlation2),TRUE))</f>
        <v>-</v>
      </c>
      <c r="DC38" s="353" t="str">
        <f>IF($AN38&gt;CDS.Tenor,"-",_xlfn.NORM.S.DIST(($CR38-SQRT(Correlation2)*DC$3)/SQRT(1-Correlation2),TRUE))</f>
        <v>-</v>
      </c>
      <c r="DD38" s="353" t="str">
        <f>IF($AN38&gt;CDS.Tenor,"-",_xlfn.NORM.S.DIST(($CR38-SQRT(Correlation2)*DD$3)/SQRT(1-Correlation2),TRUE))</f>
        <v>-</v>
      </c>
      <c r="DE38" s="353" t="str">
        <f>IF($AN38&gt;CDS.Tenor,"-",_xlfn.NORM.S.DIST(($CR38-SQRT(Correlation2)*DE$3)/SQRT(1-Correlation2),TRUE))</f>
        <v>-</v>
      </c>
      <c r="DF38" s="353" t="str">
        <f>IF($AN38&gt;CDS.Tenor,"-",_xlfn.NORM.S.DIST(($CR38-SQRT(Correlation2)*DF$3)/SQRT(1-Correlation2),TRUE))</f>
        <v>-</v>
      </c>
      <c r="DG38" s="353" t="str">
        <f>IF($AN38&gt;CDS.Tenor,"-",_xlfn.NORM.S.DIST(($CR38-SQRT(Correlation2)*DG$3)/SQRT(1-Correlation2),TRUE))</f>
        <v>-</v>
      </c>
      <c r="DH38" s="353" t="str">
        <f>IF($AN38&gt;CDS.Tenor,"-",_xlfn.NORM.S.DIST(($CR38-SQRT(Correlation2)*DH$3)/SQRT(1-Correlation2),TRUE))</f>
        <v>-</v>
      </c>
      <c r="DI38" s="353" t="str">
        <f>IF($AN38&gt;CDS.Tenor,"-",_xlfn.NORM.S.DIST(($CR38-SQRT(Correlation2)*DI$3)/SQRT(1-Correlation2),TRUE))</f>
        <v>-</v>
      </c>
      <c r="DJ38" s="353" t="str">
        <f>IF($AN38&gt;CDS.Tenor,"-",_xlfn.NORM.S.DIST(($CR38-SQRT(Correlation2)*DJ$3)/SQRT(1-Correlation2),TRUE))</f>
        <v>-</v>
      </c>
      <c r="DK38" s="353" t="str">
        <f>IF($AN38&gt;CDS.Tenor,"-",_xlfn.NORM.S.DIST(($CR38-SQRT(Correlation2)*DK$3)/SQRT(1-Correlation2),TRUE))</f>
        <v>-</v>
      </c>
      <c r="DL38" s="353" t="str">
        <f>IF($AN38&gt;CDS.Tenor,"-",_xlfn.NORM.S.DIST(($CR38-SQRT(Correlation2)*DL$3)/SQRT(1-Correlation2),TRUE))</f>
        <v>-</v>
      </c>
      <c r="DM38" s="353" t="str">
        <f>IF($AN38&gt;CDS.Tenor,"-",_xlfn.NORM.S.DIST(($CR38-SQRT(Correlation2)*DM$3)/SQRT(1-Correlation2),TRUE))</f>
        <v>-</v>
      </c>
      <c r="DN38" s="353" t="str">
        <f>IF($AN38&gt;CDS.Tenor,"-",_xlfn.NORM.S.DIST(($CR38-SQRT(Correlation2)*DN$3)/SQRT(1-Correlation2),TRUE))</f>
        <v>-</v>
      </c>
      <c r="DO38" s="354" t="str">
        <f>IF($AN38&gt;CDS.Tenor,"-",_xlfn.NORM.S.DIST(($CR38-SQRT(Correlation2)*DO$3)/SQRT(1-Correlation2),TRUE))</f>
        <v>-</v>
      </c>
      <c r="DQ38" s="358">
        <f t="shared" si="132"/>
        <v>8.5</v>
      </c>
      <c r="DR38" s="353" t="str">
        <f t="shared" si="133"/>
        <v>-</v>
      </c>
      <c r="DS38" s="353" t="str">
        <f t="shared" si="134"/>
        <v>-</v>
      </c>
      <c r="DT38" s="353" t="str">
        <f t="shared" si="135"/>
        <v>-</v>
      </c>
      <c r="DU38" s="353" t="str">
        <f t="shared" si="136"/>
        <v>-</v>
      </c>
      <c r="DV38" s="353" t="str">
        <f t="shared" si="137"/>
        <v>-</v>
      </c>
      <c r="DW38" s="353" t="str">
        <f t="shared" si="138"/>
        <v>-</v>
      </c>
      <c r="DX38" s="353" t="str">
        <f t="shared" si="139"/>
        <v>-</v>
      </c>
      <c r="DY38" s="353" t="str">
        <f t="shared" si="140"/>
        <v>-</v>
      </c>
      <c r="DZ38" s="353" t="str">
        <f t="shared" si="141"/>
        <v>-</v>
      </c>
      <c r="EA38" s="353" t="str">
        <f t="shared" si="142"/>
        <v>-</v>
      </c>
      <c r="EB38" s="353" t="str">
        <f t="shared" si="143"/>
        <v>-</v>
      </c>
      <c r="EC38" s="353" t="str">
        <f t="shared" si="144"/>
        <v>-</v>
      </c>
      <c r="ED38" s="353" t="str">
        <f t="shared" si="145"/>
        <v>-</v>
      </c>
      <c r="EE38" s="353" t="str">
        <f t="shared" si="146"/>
        <v>-</v>
      </c>
      <c r="EF38" s="353" t="str">
        <f t="shared" si="147"/>
        <v>-</v>
      </c>
      <c r="EG38" s="353" t="str">
        <f t="shared" si="148"/>
        <v>-</v>
      </c>
      <c r="EH38" s="353" t="str">
        <f t="shared" si="149"/>
        <v>-</v>
      </c>
      <c r="EI38" s="353" t="str">
        <f t="shared" si="150"/>
        <v>-</v>
      </c>
      <c r="EJ38" s="353" t="str">
        <f t="shared" si="151"/>
        <v>-</v>
      </c>
      <c r="EK38" s="353" t="str">
        <f t="shared" si="152"/>
        <v>-</v>
      </c>
      <c r="EL38" s="354" t="str">
        <f t="shared" si="153"/>
        <v>-</v>
      </c>
      <c r="EM38" s="17"/>
      <c r="EN38" s="17"/>
      <c r="EO38" s="343" t="str" cm="1">
        <f t="array" aca="1" ref="EO38" ca="1">IF($AN38&gt;CDS.Tenor,"-",flatInterpolation(CP38,INDIRECT(HazardRateTimes3),INDIRECT(HazardRateValues3)))</f>
        <v>-</v>
      </c>
      <c r="EP38" s="10" t="str">
        <f t="shared" si="154"/>
        <v>-</v>
      </c>
      <c r="EQ38" s="10" t="str">
        <f t="shared" si="155"/>
        <v>-</v>
      </c>
      <c r="ER38" s="81" t="str">
        <f t="shared" si="156"/>
        <v>-</v>
      </c>
      <c r="ET38" s="358">
        <f t="shared" si="157"/>
        <v>8.5</v>
      </c>
      <c r="EU38" s="353" t="str">
        <f>IF($AN38&gt;CDS.Tenor,"-",_xlfn.NORM.S.DIST(($ER38-SQRT(Correlation3)*EU$3)/SQRT(1-Correlation3),TRUE))</f>
        <v>-</v>
      </c>
      <c r="EV38" s="353" t="str">
        <f>IF($AN38&gt;CDS.Tenor,"-",_xlfn.NORM.S.DIST(($ER38-SQRT(Correlation3)*EV$3)/SQRT(1-Correlation3),TRUE))</f>
        <v>-</v>
      </c>
      <c r="EW38" s="353" t="str">
        <f>IF($AN38&gt;CDS.Tenor,"-",_xlfn.NORM.S.DIST(($ER38-SQRT(Correlation3)*EW$3)/SQRT(1-Correlation3),TRUE))</f>
        <v>-</v>
      </c>
      <c r="EX38" s="353" t="str">
        <f>IF($AN38&gt;CDS.Tenor,"-",_xlfn.NORM.S.DIST(($ER38-SQRT(Correlation3)*EX$3)/SQRT(1-Correlation3),TRUE))</f>
        <v>-</v>
      </c>
      <c r="EY38" s="353" t="str">
        <f>IF($AN38&gt;CDS.Tenor,"-",_xlfn.NORM.S.DIST(($ER38-SQRT(Correlation3)*EY$3)/SQRT(1-Correlation3),TRUE))</f>
        <v>-</v>
      </c>
      <c r="EZ38" s="353" t="str">
        <f>IF($AN38&gt;CDS.Tenor,"-",_xlfn.NORM.S.DIST(($ER38-SQRT(Correlation3)*EZ$3)/SQRT(1-Correlation3),TRUE))</f>
        <v>-</v>
      </c>
      <c r="FA38" s="353" t="str">
        <f>IF($AN38&gt;CDS.Tenor,"-",_xlfn.NORM.S.DIST(($ER38-SQRT(Correlation3)*FA$3)/SQRT(1-Correlation3),TRUE))</f>
        <v>-</v>
      </c>
      <c r="FB38" s="353" t="str">
        <f>IF($AN38&gt;CDS.Tenor,"-",_xlfn.NORM.S.DIST(($ER38-SQRT(Correlation3)*FB$3)/SQRT(1-Correlation3),TRUE))</f>
        <v>-</v>
      </c>
      <c r="FC38" s="353" t="str">
        <f>IF($AN38&gt;CDS.Tenor,"-",_xlfn.NORM.S.DIST(($ER38-SQRT(Correlation3)*FC$3)/SQRT(1-Correlation3),TRUE))</f>
        <v>-</v>
      </c>
      <c r="FD38" s="353" t="str">
        <f>IF($AN38&gt;CDS.Tenor,"-",_xlfn.NORM.S.DIST(($ER38-SQRT(Correlation3)*FD$3)/SQRT(1-Correlation3),TRUE))</f>
        <v>-</v>
      </c>
      <c r="FE38" s="353" t="str">
        <f>IF($AN38&gt;CDS.Tenor,"-",_xlfn.NORM.S.DIST(($ER38-SQRT(Correlation3)*FE$3)/SQRT(1-Correlation3),TRUE))</f>
        <v>-</v>
      </c>
      <c r="FF38" s="353" t="str">
        <f>IF($AN38&gt;CDS.Tenor,"-",_xlfn.NORM.S.DIST(($ER38-SQRT(Correlation3)*FF$3)/SQRT(1-Correlation3),TRUE))</f>
        <v>-</v>
      </c>
      <c r="FG38" s="353" t="str">
        <f>IF($AN38&gt;CDS.Tenor,"-",_xlfn.NORM.S.DIST(($ER38-SQRT(Correlation3)*FG$3)/SQRT(1-Correlation3),TRUE))</f>
        <v>-</v>
      </c>
      <c r="FH38" s="353" t="str">
        <f>IF($AN38&gt;CDS.Tenor,"-",_xlfn.NORM.S.DIST(($ER38-SQRT(Correlation3)*FH$3)/SQRT(1-Correlation3),TRUE))</f>
        <v>-</v>
      </c>
      <c r="FI38" s="353" t="str">
        <f>IF($AN38&gt;CDS.Tenor,"-",_xlfn.NORM.S.DIST(($ER38-SQRT(Correlation3)*FI$3)/SQRT(1-Correlation3),TRUE))</f>
        <v>-</v>
      </c>
      <c r="FJ38" s="353" t="str">
        <f>IF($AN38&gt;CDS.Tenor,"-",_xlfn.NORM.S.DIST(($ER38-SQRT(Correlation3)*FJ$3)/SQRT(1-Correlation3),TRUE))</f>
        <v>-</v>
      </c>
      <c r="FK38" s="353" t="str">
        <f>IF($AN38&gt;CDS.Tenor,"-",_xlfn.NORM.S.DIST(($ER38-SQRT(Correlation3)*FK$3)/SQRT(1-Correlation3),TRUE))</f>
        <v>-</v>
      </c>
      <c r="FL38" s="353" t="str">
        <f>IF($AN38&gt;CDS.Tenor,"-",_xlfn.NORM.S.DIST(($ER38-SQRT(Correlation3)*FL$3)/SQRT(1-Correlation3),TRUE))</f>
        <v>-</v>
      </c>
      <c r="FM38" s="353" t="str">
        <f>IF($AN38&gt;CDS.Tenor,"-",_xlfn.NORM.S.DIST(($ER38-SQRT(Correlation3)*FM$3)/SQRT(1-Correlation3),TRUE))</f>
        <v>-</v>
      </c>
      <c r="FN38" s="353" t="str">
        <f>IF($AN38&gt;CDS.Tenor,"-",_xlfn.NORM.S.DIST(($ER38-SQRT(Correlation3)*FN$3)/SQRT(1-Correlation3),TRUE))</f>
        <v>-</v>
      </c>
      <c r="FO38" s="354" t="str">
        <f>IF($AN38&gt;CDS.Tenor,"-",_xlfn.NORM.S.DIST(($ER38-SQRT(Correlation3)*FO$3)/SQRT(1-Correlation3),TRUE))</f>
        <v>-</v>
      </c>
      <c r="FQ38" s="358">
        <f t="shared" si="158"/>
        <v>8.5</v>
      </c>
      <c r="FR38" s="353" t="str">
        <f t="shared" si="159"/>
        <v>-</v>
      </c>
      <c r="FS38" s="353" t="str">
        <f t="shared" si="160"/>
        <v>-</v>
      </c>
      <c r="FT38" s="353" t="str">
        <f t="shared" si="161"/>
        <v>-</v>
      </c>
      <c r="FU38" s="353" t="str">
        <f t="shared" si="162"/>
        <v>-</v>
      </c>
      <c r="FV38" s="353" t="str">
        <f t="shared" si="163"/>
        <v>-</v>
      </c>
      <c r="FW38" s="353" t="str">
        <f t="shared" si="164"/>
        <v>-</v>
      </c>
      <c r="FX38" s="353" t="str">
        <f t="shared" si="165"/>
        <v>-</v>
      </c>
      <c r="FY38" s="353" t="str">
        <f t="shared" si="166"/>
        <v>-</v>
      </c>
      <c r="FZ38" s="353" t="str">
        <f t="shared" si="167"/>
        <v>-</v>
      </c>
      <c r="GA38" s="353" t="str">
        <f t="shared" si="168"/>
        <v>-</v>
      </c>
      <c r="GB38" s="353" t="str">
        <f t="shared" si="169"/>
        <v>-</v>
      </c>
      <c r="GC38" s="353" t="str">
        <f t="shared" si="170"/>
        <v>-</v>
      </c>
      <c r="GD38" s="353" t="str">
        <f t="shared" si="171"/>
        <v>-</v>
      </c>
      <c r="GE38" s="353" t="str">
        <f t="shared" si="172"/>
        <v>-</v>
      </c>
      <c r="GF38" s="353" t="str">
        <f t="shared" si="173"/>
        <v>-</v>
      </c>
      <c r="GG38" s="353" t="str">
        <f t="shared" si="174"/>
        <v>-</v>
      </c>
      <c r="GH38" s="353" t="str">
        <f t="shared" si="175"/>
        <v>-</v>
      </c>
      <c r="GI38" s="353" t="str">
        <f t="shared" si="176"/>
        <v>-</v>
      </c>
      <c r="GJ38" s="353" t="str">
        <f t="shared" si="177"/>
        <v>-</v>
      </c>
      <c r="GK38" s="353" t="str">
        <f t="shared" si="178"/>
        <v>-</v>
      </c>
      <c r="GL38" s="354" t="str">
        <f t="shared" si="179"/>
        <v>-</v>
      </c>
      <c r="GO38" s="358">
        <f t="shared" si="180"/>
        <v>8.5</v>
      </c>
      <c r="GP38" s="353" t="str">
        <f t="shared" si="181"/>
        <v>-</v>
      </c>
      <c r="GQ38" s="353" t="str">
        <f t="shared" si="182"/>
        <v>-</v>
      </c>
      <c r="GR38" s="353" t="str">
        <f t="shared" si="183"/>
        <v>-</v>
      </c>
      <c r="GS38" s="353" t="str">
        <f t="shared" si="184"/>
        <v>-</v>
      </c>
      <c r="GT38" s="353" t="str">
        <f t="shared" si="185"/>
        <v>-</v>
      </c>
      <c r="GU38" s="353" t="str">
        <f t="shared" si="186"/>
        <v>-</v>
      </c>
      <c r="GV38" s="353" t="str">
        <f t="shared" si="187"/>
        <v>-</v>
      </c>
      <c r="GW38" s="353" t="str">
        <f t="shared" si="188"/>
        <v>-</v>
      </c>
      <c r="GX38" s="353" t="str">
        <f t="shared" si="189"/>
        <v>-</v>
      </c>
      <c r="GY38" s="353" t="str">
        <f t="shared" si="190"/>
        <v>-</v>
      </c>
      <c r="GZ38" s="353" t="str">
        <f t="shared" si="191"/>
        <v>-</v>
      </c>
      <c r="HA38" s="353" t="str">
        <f t="shared" si="192"/>
        <v>-</v>
      </c>
      <c r="HB38" s="353" t="str">
        <f t="shared" si="193"/>
        <v>-</v>
      </c>
      <c r="HC38" s="353" t="str">
        <f t="shared" si="194"/>
        <v>-</v>
      </c>
      <c r="HD38" s="353" t="str">
        <f t="shared" si="195"/>
        <v>-</v>
      </c>
      <c r="HE38" s="353" t="str">
        <f t="shared" si="196"/>
        <v>-</v>
      </c>
      <c r="HF38" s="353" t="str">
        <f t="shared" si="197"/>
        <v>-</v>
      </c>
      <c r="HG38" s="353" t="str">
        <f t="shared" si="198"/>
        <v>-</v>
      </c>
      <c r="HH38" s="353" t="str">
        <f t="shared" si="199"/>
        <v>-</v>
      </c>
      <c r="HI38" s="353" t="str">
        <f t="shared" si="200"/>
        <v>-</v>
      </c>
      <c r="HJ38" s="354" t="str">
        <f t="shared" si="201"/>
        <v>-</v>
      </c>
      <c r="HK38" s="42"/>
      <c r="HL38" s="42"/>
      <c r="HM38" s="358">
        <f t="shared" si="202"/>
        <v>8.5</v>
      </c>
      <c r="HN38" s="362" t="str">
        <f t="shared" si="203"/>
        <v>-</v>
      </c>
      <c r="HO38" s="363" t="str">
        <f t="shared" si="204"/>
        <v>-</v>
      </c>
    </row>
    <row r="39" spans="22:223" x14ac:dyDescent="0.3">
      <c r="V39" s="370">
        <f t="shared" si="89"/>
        <v>8.75</v>
      </c>
      <c r="W39" s="371" t="str">
        <f t="shared" si="90"/>
        <v>-</v>
      </c>
      <c r="X39" s="348" t="str">
        <f t="shared" si="91"/>
        <v>-</v>
      </c>
      <c r="Y39" s="348" t="str">
        <f t="shared" si="92"/>
        <v>-</v>
      </c>
      <c r="Z39" s="372" t="str" cm="1">
        <f t="array" ref="Z39">IF($V39&gt;CDS.Tenor,"-",cubicInterpolation(CurveResults.Times,CurveResults.DFs,$V39))</f>
        <v>-</v>
      </c>
      <c r="AA39" s="371" t="str">
        <f t="shared" si="93"/>
        <v>-</v>
      </c>
      <c r="AB39" s="371" t="str">
        <f t="shared" si="94"/>
        <v>-</v>
      </c>
      <c r="AC39" s="373" t="str">
        <f t="shared" si="95"/>
        <v>-</v>
      </c>
      <c r="AF39" s="370">
        <f t="shared" si="96"/>
        <v>8.75</v>
      </c>
      <c r="AG39" s="371" t="str">
        <f t="shared" si="97"/>
        <v>-</v>
      </c>
      <c r="AH39" s="348" t="str">
        <f t="shared" si="98"/>
        <v>-</v>
      </c>
      <c r="AI39" s="348" t="str">
        <f t="shared" si="99"/>
        <v>-</v>
      </c>
      <c r="AJ39" s="372" t="str" cm="1">
        <f t="array" ref="AJ39">IF($AF39&gt;CDS.Tenor,"-",cubicInterpolation(CurveResults.Times,CurveResults.DFs,$V39))</f>
        <v>-</v>
      </c>
      <c r="AK39" s="373" t="str">
        <f t="shared" si="100"/>
        <v>-</v>
      </c>
      <c r="AN39" s="358">
        <f t="shared" si="101"/>
        <v>8.75</v>
      </c>
      <c r="AO39" s="343" t="str" cm="1">
        <f t="array" aca="1" ref="AO39" ca="1">IF($AN39&gt;CDS.Tenor,"-",flatInterpolation(AM39,INDIRECT(HazardRateTimes1),INDIRECT(HazardRateValues1)))</f>
        <v>-</v>
      </c>
      <c r="AP39" s="10" t="str">
        <f t="shared" si="102"/>
        <v>-</v>
      </c>
      <c r="AQ39" s="10" t="str">
        <f t="shared" si="103"/>
        <v>-</v>
      </c>
      <c r="AR39" s="81" t="str">
        <f t="shared" si="104"/>
        <v>-</v>
      </c>
      <c r="AT39" s="358">
        <f t="shared" si="105"/>
        <v>8.75</v>
      </c>
      <c r="AU39" s="353" t="str">
        <f>IF($AN39&gt;CDS.Tenor,"-",_xlfn.NORM.S.DIST(($AR39-SQRT(Correlation1)*AU$3)/SQRT(1-Correlation1),TRUE))</f>
        <v>-</v>
      </c>
      <c r="AV39" s="353" t="str">
        <f>IF($AN39&gt;CDS.Tenor,"-",_xlfn.NORM.S.DIST(($AR39-SQRT(Correlation1)*AV$3)/SQRT(1-Correlation1),TRUE))</f>
        <v>-</v>
      </c>
      <c r="AW39" s="353" t="str">
        <f>IF($AN39&gt;CDS.Tenor,"-",_xlfn.NORM.S.DIST(($AR39-SQRT(Correlation1)*AW$3)/SQRT(1-Correlation1),TRUE))</f>
        <v>-</v>
      </c>
      <c r="AX39" s="353" t="str">
        <f>IF($AN39&gt;CDS.Tenor,"-",_xlfn.NORM.S.DIST(($AR39-SQRT(Correlation1)*AX$3)/SQRT(1-Correlation1),TRUE))</f>
        <v>-</v>
      </c>
      <c r="AY39" s="353" t="str">
        <f>IF($AN39&gt;CDS.Tenor,"-",_xlfn.NORM.S.DIST(($AR39-SQRT(Correlation1)*AY$3)/SQRT(1-Correlation1),TRUE))</f>
        <v>-</v>
      </c>
      <c r="AZ39" s="353" t="str">
        <f>IF($AN39&gt;CDS.Tenor,"-",_xlfn.NORM.S.DIST(($AR39-SQRT(Correlation1)*AZ$3)/SQRT(1-Correlation1),TRUE))</f>
        <v>-</v>
      </c>
      <c r="BA39" s="353" t="str">
        <f>IF($AN39&gt;CDS.Tenor,"-",_xlfn.NORM.S.DIST(($AR39-SQRT(Correlation1)*BA$3)/SQRT(1-Correlation1),TRUE))</f>
        <v>-</v>
      </c>
      <c r="BB39" s="353" t="str">
        <f>IF($AN39&gt;CDS.Tenor,"-",_xlfn.NORM.S.DIST(($AR39-SQRT(Correlation1)*BB$3)/SQRT(1-Correlation1),TRUE))</f>
        <v>-</v>
      </c>
      <c r="BC39" s="353" t="str">
        <f>IF($AN39&gt;CDS.Tenor,"-",_xlfn.NORM.S.DIST(($AR39-SQRT(Correlation1)*BC$3)/SQRT(1-Correlation1),TRUE))</f>
        <v>-</v>
      </c>
      <c r="BD39" s="353" t="str">
        <f>IF($AN39&gt;CDS.Tenor,"-",_xlfn.NORM.S.DIST(($AR39-SQRT(Correlation1)*BD$3)/SQRT(1-Correlation1),TRUE))</f>
        <v>-</v>
      </c>
      <c r="BE39" s="353" t="str">
        <f>IF($AN39&gt;CDS.Tenor,"-",_xlfn.NORM.S.DIST(($AR39-SQRT(Correlation1)*BE$3)/SQRT(1-Correlation1),TRUE))</f>
        <v>-</v>
      </c>
      <c r="BF39" s="353" t="str">
        <f>IF($AN39&gt;CDS.Tenor,"-",_xlfn.NORM.S.DIST(($AR39-SQRT(Correlation1)*BF$3)/SQRT(1-Correlation1),TRUE))</f>
        <v>-</v>
      </c>
      <c r="BG39" s="353" t="str">
        <f>IF($AN39&gt;CDS.Tenor,"-",_xlfn.NORM.S.DIST(($AR39-SQRT(Correlation1)*BG$3)/SQRT(1-Correlation1),TRUE))</f>
        <v>-</v>
      </c>
      <c r="BH39" s="353" t="str">
        <f>IF($AN39&gt;CDS.Tenor,"-",_xlfn.NORM.S.DIST(($AR39-SQRT(Correlation1)*BH$3)/SQRT(1-Correlation1),TRUE))</f>
        <v>-</v>
      </c>
      <c r="BI39" s="353" t="str">
        <f>IF($AN39&gt;CDS.Tenor,"-",_xlfn.NORM.S.DIST(($AR39-SQRT(Correlation1)*BI$3)/SQRT(1-Correlation1),TRUE))</f>
        <v>-</v>
      </c>
      <c r="BJ39" s="353" t="str">
        <f>IF($AN39&gt;CDS.Tenor,"-",_xlfn.NORM.S.DIST(($AR39-SQRT(Correlation1)*BJ$3)/SQRT(1-Correlation1),TRUE))</f>
        <v>-</v>
      </c>
      <c r="BK39" s="353" t="str">
        <f>IF($AN39&gt;CDS.Tenor,"-",_xlfn.NORM.S.DIST(($AR39-SQRT(Correlation1)*BK$3)/SQRT(1-Correlation1),TRUE))</f>
        <v>-</v>
      </c>
      <c r="BL39" s="353" t="str">
        <f>IF($AN39&gt;CDS.Tenor,"-",_xlfn.NORM.S.DIST(($AR39-SQRT(Correlation1)*BL$3)/SQRT(1-Correlation1),TRUE))</f>
        <v>-</v>
      </c>
      <c r="BM39" s="353" t="str">
        <f>IF($AN39&gt;CDS.Tenor,"-",_xlfn.NORM.S.DIST(($AR39-SQRT(Correlation1)*BM$3)/SQRT(1-Correlation1),TRUE))</f>
        <v>-</v>
      </c>
      <c r="BN39" s="353" t="str">
        <f>IF($AN39&gt;CDS.Tenor,"-",_xlfn.NORM.S.DIST(($AR39-SQRT(Correlation1)*BN$3)/SQRT(1-Correlation1),TRUE))</f>
        <v>-</v>
      </c>
      <c r="BO39" s="354" t="str">
        <f>IF($AN39&gt;CDS.Tenor,"-",_xlfn.NORM.S.DIST(($AR39-SQRT(Correlation1)*BO$3)/SQRT(1-Correlation1),TRUE))</f>
        <v>-</v>
      </c>
      <c r="BQ39" s="358">
        <f t="shared" si="106"/>
        <v>8.75</v>
      </c>
      <c r="BR39" s="353" t="str">
        <f t="shared" si="107"/>
        <v>-</v>
      </c>
      <c r="BS39" s="353" t="str">
        <f t="shared" si="108"/>
        <v>-</v>
      </c>
      <c r="BT39" s="353" t="str">
        <f t="shared" si="109"/>
        <v>-</v>
      </c>
      <c r="BU39" s="353" t="str">
        <f t="shared" si="110"/>
        <v>-</v>
      </c>
      <c r="BV39" s="353" t="str">
        <f t="shared" si="111"/>
        <v>-</v>
      </c>
      <c r="BW39" s="353" t="str">
        <f t="shared" si="112"/>
        <v>-</v>
      </c>
      <c r="BX39" s="353" t="str">
        <f t="shared" si="113"/>
        <v>-</v>
      </c>
      <c r="BY39" s="353" t="str">
        <f t="shared" si="114"/>
        <v>-</v>
      </c>
      <c r="BZ39" s="353" t="str">
        <f t="shared" si="115"/>
        <v>-</v>
      </c>
      <c r="CA39" s="353" t="str">
        <f t="shared" si="116"/>
        <v>-</v>
      </c>
      <c r="CB39" s="353" t="str">
        <f t="shared" si="117"/>
        <v>-</v>
      </c>
      <c r="CC39" s="353" t="str">
        <f t="shared" si="118"/>
        <v>-</v>
      </c>
      <c r="CD39" s="353" t="str">
        <f t="shared" si="119"/>
        <v>-</v>
      </c>
      <c r="CE39" s="353" t="str">
        <f t="shared" si="120"/>
        <v>-</v>
      </c>
      <c r="CF39" s="353" t="str">
        <f t="shared" si="121"/>
        <v>-</v>
      </c>
      <c r="CG39" s="353" t="str">
        <f t="shared" si="122"/>
        <v>-</v>
      </c>
      <c r="CH39" s="353" t="str">
        <f t="shared" si="123"/>
        <v>-</v>
      </c>
      <c r="CI39" s="353" t="str">
        <f t="shared" si="124"/>
        <v>-</v>
      </c>
      <c r="CJ39" s="353" t="str">
        <f t="shared" si="125"/>
        <v>-</v>
      </c>
      <c r="CK39" s="353" t="str">
        <f t="shared" si="126"/>
        <v>-</v>
      </c>
      <c r="CL39" s="354" t="str">
        <f t="shared" si="127"/>
        <v>-</v>
      </c>
      <c r="CM39" s="17"/>
      <c r="CN39" s="17"/>
      <c r="CO39" s="343" t="str" cm="1">
        <f t="array" aca="1" ref="CO39" ca="1">IF($AN39&gt;CDS.Tenor,"-",flatInterpolation(AN39,INDIRECT(HazardRateTimes2),INDIRECT(HazardRateValues2)))</f>
        <v>-</v>
      </c>
      <c r="CP39" s="10" t="str">
        <f t="shared" si="128"/>
        <v>-</v>
      </c>
      <c r="CQ39" s="10" t="str">
        <f t="shared" si="129"/>
        <v>-</v>
      </c>
      <c r="CR39" s="81" t="str">
        <f t="shared" si="130"/>
        <v>-</v>
      </c>
      <c r="CT39" s="358">
        <f t="shared" si="131"/>
        <v>8.75</v>
      </c>
      <c r="CU39" s="353" t="str">
        <f>IF($AN39&gt;CDS.Tenor,"-",_xlfn.NORM.S.DIST(($CR39-SQRT(Correlation2)*CU$3)/SQRT(1-Correlation2),TRUE))</f>
        <v>-</v>
      </c>
      <c r="CV39" s="353" t="str">
        <f>IF($AN39&gt;CDS.Tenor,"-",_xlfn.NORM.S.DIST(($CR39-SQRT(Correlation2)*CV$3)/SQRT(1-Correlation2),TRUE))</f>
        <v>-</v>
      </c>
      <c r="CW39" s="353" t="str">
        <f>IF($AN39&gt;CDS.Tenor,"-",_xlfn.NORM.S.DIST(($CR39-SQRT(Correlation2)*CW$3)/SQRT(1-Correlation2),TRUE))</f>
        <v>-</v>
      </c>
      <c r="CX39" s="353" t="str">
        <f>IF($AN39&gt;CDS.Tenor,"-",_xlfn.NORM.S.DIST(($CR39-SQRT(Correlation2)*CX$3)/SQRT(1-Correlation2),TRUE))</f>
        <v>-</v>
      </c>
      <c r="CY39" s="353" t="str">
        <f>IF($AN39&gt;CDS.Tenor,"-",_xlfn.NORM.S.DIST(($CR39-SQRT(Correlation2)*CY$3)/SQRT(1-Correlation2),TRUE))</f>
        <v>-</v>
      </c>
      <c r="CZ39" s="353" t="str">
        <f>IF($AN39&gt;CDS.Tenor,"-",_xlfn.NORM.S.DIST(($CR39-SQRT(Correlation2)*CZ$3)/SQRT(1-Correlation2),TRUE))</f>
        <v>-</v>
      </c>
      <c r="DA39" s="353" t="str">
        <f>IF($AN39&gt;CDS.Tenor,"-",_xlfn.NORM.S.DIST(($CR39-SQRT(Correlation2)*DA$3)/SQRT(1-Correlation2),TRUE))</f>
        <v>-</v>
      </c>
      <c r="DB39" s="353" t="str">
        <f>IF($AN39&gt;CDS.Tenor,"-",_xlfn.NORM.S.DIST(($CR39-SQRT(Correlation2)*DB$3)/SQRT(1-Correlation2),TRUE))</f>
        <v>-</v>
      </c>
      <c r="DC39" s="353" t="str">
        <f>IF($AN39&gt;CDS.Tenor,"-",_xlfn.NORM.S.DIST(($CR39-SQRT(Correlation2)*DC$3)/SQRT(1-Correlation2),TRUE))</f>
        <v>-</v>
      </c>
      <c r="DD39" s="353" t="str">
        <f>IF($AN39&gt;CDS.Tenor,"-",_xlfn.NORM.S.DIST(($CR39-SQRT(Correlation2)*DD$3)/SQRT(1-Correlation2),TRUE))</f>
        <v>-</v>
      </c>
      <c r="DE39" s="353" t="str">
        <f>IF($AN39&gt;CDS.Tenor,"-",_xlfn.NORM.S.DIST(($CR39-SQRT(Correlation2)*DE$3)/SQRT(1-Correlation2),TRUE))</f>
        <v>-</v>
      </c>
      <c r="DF39" s="353" t="str">
        <f>IF($AN39&gt;CDS.Tenor,"-",_xlfn.NORM.S.DIST(($CR39-SQRT(Correlation2)*DF$3)/SQRT(1-Correlation2),TRUE))</f>
        <v>-</v>
      </c>
      <c r="DG39" s="353" t="str">
        <f>IF($AN39&gt;CDS.Tenor,"-",_xlfn.NORM.S.DIST(($CR39-SQRT(Correlation2)*DG$3)/SQRT(1-Correlation2),TRUE))</f>
        <v>-</v>
      </c>
      <c r="DH39" s="353" t="str">
        <f>IF($AN39&gt;CDS.Tenor,"-",_xlfn.NORM.S.DIST(($CR39-SQRT(Correlation2)*DH$3)/SQRT(1-Correlation2),TRUE))</f>
        <v>-</v>
      </c>
      <c r="DI39" s="353" t="str">
        <f>IF($AN39&gt;CDS.Tenor,"-",_xlfn.NORM.S.DIST(($CR39-SQRT(Correlation2)*DI$3)/SQRT(1-Correlation2),TRUE))</f>
        <v>-</v>
      </c>
      <c r="DJ39" s="353" t="str">
        <f>IF($AN39&gt;CDS.Tenor,"-",_xlfn.NORM.S.DIST(($CR39-SQRT(Correlation2)*DJ$3)/SQRT(1-Correlation2),TRUE))</f>
        <v>-</v>
      </c>
      <c r="DK39" s="353" t="str">
        <f>IF($AN39&gt;CDS.Tenor,"-",_xlfn.NORM.S.DIST(($CR39-SQRT(Correlation2)*DK$3)/SQRT(1-Correlation2),TRUE))</f>
        <v>-</v>
      </c>
      <c r="DL39" s="353" t="str">
        <f>IF($AN39&gt;CDS.Tenor,"-",_xlfn.NORM.S.DIST(($CR39-SQRT(Correlation2)*DL$3)/SQRT(1-Correlation2),TRUE))</f>
        <v>-</v>
      </c>
      <c r="DM39" s="353" t="str">
        <f>IF($AN39&gt;CDS.Tenor,"-",_xlfn.NORM.S.DIST(($CR39-SQRT(Correlation2)*DM$3)/SQRT(1-Correlation2),TRUE))</f>
        <v>-</v>
      </c>
      <c r="DN39" s="353" t="str">
        <f>IF($AN39&gt;CDS.Tenor,"-",_xlfn.NORM.S.DIST(($CR39-SQRT(Correlation2)*DN$3)/SQRT(1-Correlation2),TRUE))</f>
        <v>-</v>
      </c>
      <c r="DO39" s="354" t="str">
        <f>IF($AN39&gt;CDS.Tenor,"-",_xlfn.NORM.S.DIST(($CR39-SQRT(Correlation2)*DO$3)/SQRT(1-Correlation2),TRUE))</f>
        <v>-</v>
      </c>
      <c r="DQ39" s="358">
        <f t="shared" si="132"/>
        <v>8.75</v>
      </c>
      <c r="DR39" s="353" t="str">
        <f t="shared" si="133"/>
        <v>-</v>
      </c>
      <c r="DS39" s="353" t="str">
        <f t="shared" si="134"/>
        <v>-</v>
      </c>
      <c r="DT39" s="353" t="str">
        <f t="shared" si="135"/>
        <v>-</v>
      </c>
      <c r="DU39" s="353" t="str">
        <f t="shared" si="136"/>
        <v>-</v>
      </c>
      <c r="DV39" s="353" t="str">
        <f t="shared" si="137"/>
        <v>-</v>
      </c>
      <c r="DW39" s="353" t="str">
        <f t="shared" si="138"/>
        <v>-</v>
      </c>
      <c r="DX39" s="353" t="str">
        <f t="shared" si="139"/>
        <v>-</v>
      </c>
      <c r="DY39" s="353" t="str">
        <f t="shared" si="140"/>
        <v>-</v>
      </c>
      <c r="DZ39" s="353" t="str">
        <f t="shared" si="141"/>
        <v>-</v>
      </c>
      <c r="EA39" s="353" t="str">
        <f t="shared" si="142"/>
        <v>-</v>
      </c>
      <c r="EB39" s="353" t="str">
        <f t="shared" si="143"/>
        <v>-</v>
      </c>
      <c r="EC39" s="353" t="str">
        <f t="shared" si="144"/>
        <v>-</v>
      </c>
      <c r="ED39" s="353" t="str">
        <f t="shared" si="145"/>
        <v>-</v>
      </c>
      <c r="EE39" s="353" t="str">
        <f t="shared" si="146"/>
        <v>-</v>
      </c>
      <c r="EF39" s="353" t="str">
        <f t="shared" si="147"/>
        <v>-</v>
      </c>
      <c r="EG39" s="353" t="str">
        <f t="shared" si="148"/>
        <v>-</v>
      </c>
      <c r="EH39" s="353" t="str">
        <f t="shared" si="149"/>
        <v>-</v>
      </c>
      <c r="EI39" s="353" t="str">
        <f t="shared" si="150"/>
        <v>-</v>
      </c>
      <c r="EJ39" s="353" t="str">
        <f t="shared" si="151"/>
        <v>-</v>
      </c>
      <c r="EK39" s="353" t="str">
        <f t="shared" si="152"/>
        <v>-</v>
      </c>
      <c r="EL39" s="354" t="str">
        <f t="shared" si="153"/>
        <v>-</v>
      </c>
      <c r="EM39" s="17"/>
      <c r="EN39" s="17"/>
      <c r="EO39" s="343" t="str" cm="1">
        <f t="array" aca="1" ref="EO39" ca="1">IF($AN39&gt;CDS.Tenor,"-",flatInterpolation(CP39,INDIRECT(HazardRateTimes3),INDIRECT(HazardRateValues3)))</f>
        <v>-</v>
      </c>
      <c r="EP39" s="10" t="str">
        <f t="shared" si="154"/>
        <v>-</v>
      </c>
      <c r="EQ39" s="10" t="str">
        <f t="shared" si="155"/>
        <v>-</v>
      </c>
      <c r="ER39" s="81" t="str">
        <f t="shared" si="156"/>
        <v>-</v>
      </c>
      <c r="ET39" s="358">
        <f t="shared" si="157"/>
        <v>8.75</v>
      </c>
      <c r="EU39" s="353" t="str">
        <f>IF($AN39&gt;CDS.Tenor,"-",_xlfn.NORM.S.DIST(($ER39-SQRT(Correlation3)*EU$3)/SQRT(1-Correlation3),TRUE))</f>
        <v>-</v>
      </c>
      <c r="EV39" s="353" t="str">
        <f>IF($AN39&gt;CDS.Tenor,"-",_xlfn.NORM.S.DIST(($ER39-SQRT(Correlation3)*EV$3)/SQRT(1-Correlation3),TRUE))</f>
        <v>-</v>
      </c>
      <c r="EW39" s="353" t="str">
        <f>IF($AN39&gt;CDS.Tenor,"-",_xlfn.NORM.S.DIST(($ER39-SQRT(Correlation3)*EW$3)/SQRT(1-Correlation3),TRUE))</f>
        <v>-</v>
      </c>
      <c r="EX39" s="353" t="str">
        <f>IF($AN39&gt;CDS.Tenor,"-",_xlfn.NORM.S.DIST(($ER39-SQRT(Correlation3)*EX$3)/SQRT(1-Correlation3),TRUE))</f>
        <v>-</v>
      </c>
      <c r="EY39" s="353" t="str">
        <f>IF($AN39&gt;CDS.Tenor,"-",_xlfn.NORM.S.DIST(($ER39-SQRT(Correlation3)*EY$3)/SQRT(1-Correlation3),TRUE))</f>
        <v>-</v>
      </c>
      <c r="EZ39" s="353" t="str">
        <f>IF($AN39&gt;CDS.Tenor,"-",_xlfn.NORM.S.DIST(($ER39-SQRT(Correlation3)*EZ$3)/SQRT(1-Correlation3),TRUE))</f>
        <v>-</v>
      </c>
      <c r="FA39" s="353" t="str">
        <f>IF($AN39&gt;CDS.Tenor,"-",_xlfn.NORM.S.DIST(($ER39-SQRT(Correlation3)*FA$3)/SQRT(1-Correlation3),TRUE))</f>
        <v>-</v>
      </c>
      <c r="FB39" s="353" t="str">
        <f>IF($AN39&gt;CDS.Tenor,"-",_xlfn.NORM.S.DIST(($ER39-SQRT(Correlation3)*FB$3)/SQRT(1-Correlation3),TRUE))</f>
        <v>-</v>
      </c>
      <c r="FC39" s="353" t="str">
        <f>IF($AN39&gt;CDS.Tenor,"-",_xlfn.NORM.S.DIST(($ER39-SQRT(Correlation3)*FC$3)/SQRT(1-Correlation3),TRUE))</f>
        <v>-</v>
      </c>
      <c r="FD39" s="353" t="str">
        <f>IF($AN39&gt;CDS.Tenor,"-",_xlfn.NORM.S.DIST(($ER39-SQRT(Correlation3)*FD$3)/SQRT(1-Correlation3),TRUE))</f>
        <v>-</v>
      </c>
      <c r="FE39" s="353" t="str">
        <f>IF($AN39&gt;CDS.Tenor,"-",_xlfn.NORM.S.DIST(($ER39-SQRT(Correlation3)*FE$3)/SQRT(1-Correlation3),TRUE))</f>
        <v>-</v>
      </c>
      <c r="FF39" s="353" t="str">
        <f>IF($AN39&gt;CDS.Tenor,"-",_xlfn.NORM.S.DIST(($ER39-SQRT(Correlation3)*FF$3)/SQRT(1-Correlation3),TRUE))</f>
        <v>-</v>
      </c>
      <c r="FG39" s="353" t="str">
        <f>IF($AN39&gt;CDS.Tenor,"-",_xlfn.NORM.S.DIST(($ER39-SQRT(Correlation3)*FG$3)/SQRT(1-Correlation3),TRUE))</f>
        <v>-</v>
      </c>
      <c r="FH39" s="353" t="str">
        <f>IF($AN39&gt;CDS.Tenor,"-",_xlfn.NORM.S.DIST(($ER39-SQRT(Correlation3)*FH$3)/SQRT(1-Correlation3),TRUE))</f>
        <v>-</v>
      </c>
      <c r="FI39" s="353" t="str">
        <f>IF($AN39&gt;CDS.Tenor,"-",_xlfn.NORM.S.DIST(($ER39-SQRT(Correlation3)*FI$3)/SQRT(1-Correlation3),TRUE))</f>
        <v>-</v>
      </c>
      <c r="FJ39" s="353" t="str">
        <f>IF($AN39&gt;CDS.Tenor,"-",_xlfn.NORM.S.DIST(($ER39-SQRT(Correlation3)*FJ$3)/SQRT(1-Correlation3),TRUE))</f>
        <v>-</v>
      </c>
      <c r="FK39" s="353" t="str">
        <f>IF($AN39&gt;CDS.Tenor,"-",_xlfn.NORM.S.DIST(($ER39-SQRT(Correlation3)*FK$3)/SQRT(1-Correlation3),TRUE))</f>
        <v>-</v>
      </c>
      <c r="FL39" s="353" t="str">
        <f>IF($AN39&gt;CDS.Tenor,"-",_xlfn.NORM.S.DIST(($ER39-SQRT(Correlation3)*FL$3)/SQRT(1-Correlation3),TRUE))</f>
        <v>-</v>
      </c>
      <c r="FM39" s="353" t="str">
        <f>IF($AN39&gt;CDS.Tenor,"-",_xlfn.NORM.S.DIST(($ER39-SQRT(Correlation3)*FM$3)/SQRT(1-Correlation3),TRUE))</f>
        <v>-</v>
      </c>
      <c r="FN39" s="353" t="str">
        <f>IF($AN39&gt;CDS.Tenor,"-",_xlfn.NORM.S.DIST(($ER39-SQRT(Correlation3)*FN$3)/SQRT(1-Correlation3),TRUE))</f>
        <v>-</v>
      </c>
      <c r="FO39" s="354" t="str">
        <f>IF($AN39&gt;CDS.Tenor,"-",_xlfn.NORM.S.DIST(($ER39-SQRT(Correlation3)*FO$3)/SQRT(1-Correlation3),TRUE))</f>
        <v>-</v>
      </c>
      <c r="FQ39" s="358">
        <f t="shared" si="158"/>
        <v>8.75</v>
      </c>
      <c r="FR39" s="353" t="str">
        <f t="shared" si="159"/>
        <v>-</v>
      </c>
      <c r="FS39" s="353" t="str">
        <f t="shared" si="160"/>
        <v>-</v>
      </c>
      <c r="FT39" s="353" t="str">
        <f t="shared" si="161"/>
        <v>-</v>
      </c>
      <c r="FU39" s="353" t="str">
        <f t="shared" si="162"/>
        <v>-</v>
      </c>
      <c r="FV39" s="353" t="str">
        <f t="shared" si="163"/>
        <v>-</v>
      </c>
      <c r="FW39" s="353" t="str">
        <f t="shared" si="164"/>
        <v>-</v>
      </c>
      <c r="FX39" s="353" t="str">
        <f t="shared" si="165"/>
        <v>-</v>
      </c>
      <c r="FY39" s="353" t="str">
        <f t="shared" si="166"/>
        <v>-</v>
      </c>
      <c r="FZ39" s="353" t="str">
        <f t="shared" si="167"/>
        <v>-</v>
      </c>
      <c r="GA39" s="353" t="str">
        <f t="shared" si="168"/>
        <v>-</v>
      </c>
      <c r="GB39" s="353" t="str">
        <f t="shared" si="169"/>
        <v>-</v>
      </c>
      <c r="GC39" s="353" t="str">
        <f t="shared" si="170"/>
        <v>-</v>
      </c>
      <c r="GD39" s="353" t="str">
        <f t="shared" si="171"/>
        <v>-</v>
      </c>
      <c r="GE39" s="353" t="str">
        <f t="shared" si="172"/>
        <v>-</v>
      </c>
      <c r="GF39" s="353" t="str">
        <f t="shared" si="173"/>
        <v>-</v>
      </c>
      <c r="GG39" s="353" t="str">
        <f t="shared" si="174"/>
        <v>-</v>
      </c>
      <c r="GH39" s="353" t="str">
        <f t="shared" si="175"/>
        <v>-</v>
      </c>
      <c r="GI39" s="353" t="str">
        <f t="shared" si="176"/>
        <v>-</v>
      </c>
      <c r="GJ39" s="353" t="str">
        <f t="shared" si="177"/>
        <v>-</v>
      </c>
      <c r="GK39" s="353" t="str">
        <f t="shared" si="178"/>
        <v>-</v>
      </c>
      <c r="GL39" s="354" t="str">
        <f t="shared" si="179"/>
        <v>-</v>
      </c>
      <c r="GO39" s="358">
        <f t="shared" si="180"/>
        <v>8.75</v>
      </c>
      <c r="GP39" s="353" t="str">
        <f t="shared" si="181"/>
        <v>-</v>
      </c>
      <c r="GQ39" s="353" t="str">
        <f t="shared" si="182"/>
        <v>-</v>
      </c>
      <c r="GR39" s="353" t="str">
        <f t="shared" si="183"/>
        <v>-</v>
      </c>
      <c r="GS39" s="353" t="str">
        <f t="shared" si="184"/>
        <v>-</v>
      </c>
      <c r="GT39" s="353" t="str">
        <f t="shared" si="185"/>
        <v>-</v>
      </c>
      <c r="GU39" s="353" t="str">
        <f t="shared" si="186"/>
        <v>-</v>
      </c>
      <c r="GV39" s="353" t="str">
        <f t="shared" si="187"/>
        <v>-</v>
      </c>
      <c r="GW39" s="353" t="str">
        <f t="shared" si="188"/>
        <v>-</v>
      </c>
      <c r="GX39" s="353" t="str">
        <f t="shared" si="189"/>
        <v>-</v>
      </c>
      <c r="GY39" s="353" t="str">
        <f t="shared" si="190"/>
        <v>-</v>
      </c>
      <c r="GZ39" s="353" t="str">
        <f t="shared" si="191"/>
        <v>-</v>
      </c>
      <c r="HA39" s="353" t="str">
        <f t="shared" si="192"/>
        <v>-</v>
      </c>
      <c r="HB39" s="353" t="str">
        <f t="shared" si="193"/>
        <v>-</v>
      </c>
      <c r="HC39" s="353" t="str">
        <f t="shared" si="194"/>
        <v>-</v>
      </c>
      <c r="HD39" s="353" t="str">
        <f t="shared" si="195"/>
        <v>-</v>
      </c>
      <c r="HE39" s="353" t="str">
        <f t="shared" si="196"/>
        <v>-</v>
      </c>
      <c r="HF39" s="353" t="str">
        <f t="shared" si="197"/>
        <v>-</v>
      </c>
      <c r="HG39" s="353" t="str">
        <f t="shared" si="198"/>
        <v>-</v>
      </c>
      <c r="HH39" s="353" t="str">
        <f t="shared" si="199"/>
        <v>-</v>
      </c>
      <c r="HI39" s="353" t="str">
        <f t="shared" si="200"/>
        <v>-</v>
      </c>
      <c r="HJ39" s="354" t="str">
        <f t="shared" si="201"/>
        <v>-</v>
      </c>
      <c r="HK39" s="42"/>
      <c r="HL39" s="42"/>
      <c r="HM39" s="358">
        <f t="shared" si="202"/>
        <v>8.75</v>
      </c>
      <c r="HN39" s="362" t="str">
        <f t="shared" si="203"/>
        <v>-</v>
      </c>
      <c r="HO39" s="363" t="str">
        <f t="shared" si="204"/>
        <v>-</v>
      </c>
    </row>
    <row r="40" spans="22:223" x14ac:dyDescent="0.3">
      <c r="V40" s="370">
        <f t="shared" si="89"/>
        <v>9</v>
      </c>
      <c r="W40" s="371" t="str">
        <f t="shared" si="90"/>
        <v>-</v>
      </c>
      <c r="X40" s="348" t="str">
        <f t="shared" si="91"/>
        <v>-</v>
      </c>
      <c r="Y40" s="348" t="str">
        <f t="shared" si="92"/>
        <v>-</v>
      </c>
      <c r="Z40" s="372" t="str" cm="1">
        <f t="array" ref="Z40">IF($V40&gt;CDS.Tenor,"-",cubicInterpolation(CurveResults.Times,CurveResults.DFs,$V40))</f>
        <v>-</v>
      </c>
      <c r="AA40" s="371" t="str">
        <f t="shared" si="93"/>
        <v>-</v>
      </c>
      <c r="AB40" s="371" t="str">
        <f t="shared" si="94"/>
        <v>-</v>
      </c>
      <c r="AC40" s="373" t="str">
        <f t="shared" si="95"/>
        <v>-</v>
      </c>
      <c r="AF40" s="370">
        <f t="shared" si="96"/>
        <v>9</v>
      </c>
      <c r="AG40" s="371" t="str">
        <f t="shared" si="97"/>
        <v>-</v>
      </c>
      <c r="AH40" s="348" t="str">
        <f t="shared" si="98"/>
        <v>-</v>
      </c>
      <c r="AI40" s="348" t="str">
        <f t="shared" si="99"/>
        <v>-</v>
      </c>
      <c r="AJ40" s="372" t="str" cm="1">
        <f t="array" ref="AJ40">IF($AF40&gt;CDS.Tenor,"-",cubicInterpolation(CurveResults.Times,CurveResults.DFs,$V40))</f>
        <v>-</v>
      </c>
      <c r="AK40" s="373" t="str">
        <f t="shared" si="100"/>
        <v>-</v>
      </c>
      <c r="AN40" s="358">
        <f t="shared" si="101"/>
        <v>9</v>
      </c>
      <c r="AO40" s="343" t="str" cm="1">
        <f t="array" aca="1" ref="AO40" ca="1">IF($AN40&gt;CDS.Tenor,"-",flatInterpolation(AM40,INDIRECT(HazardRateTimes1),INDIRECT(HazardRateValues1)))</f>
        <v>-</v>
      </c>
      <c r="AP40" s="10" t="str">
        <f t="shared" si="102"/>
        <v>-</v>
      </c>
      <c r="AQ40" s="10" t="str">
        <f t="shared" si="103"/>
        <v>-</v>
      </c>
      <c r="AR40" s="81" t="str">
        <f t="shared" si="104"/>
        <v>-</v>
      </c>
      <c r="AT40" s="358">
        <f t="shared" si="105"/>
        <v>9</v>
      </c>
      <c r="AU40" s="353" t="str">
        <f>IF($AN40&gt;CDS.Tenor,"-",_xlfn.NORM.S.DIST(($AR40-SQRT(Correlation1)*AU$3)/SQRT(1-Correlation1),TRUE))</f>
        <v>-</v>
      </c>
      <c r="AV40" s="353" t="str">
        <f>IF($AN40&gt;CDS.Tenor,"-",_xlfn.NORM.S.DIST(($AR40-SQRT(Correlation1)*AV$3)/SQRT(1-Correlation1),TRUE))</f>
        <v>-</v>
      </c>
      <c r="AW40" s="353" t="str">
        <f>IF($AN40&gt;CDS.Tenor,"-",_xlfn.NORM.S.DIST(($AR40-SQRT(Correlation1)*AW$3)/SQRT(1-Correlation1),TRUE))</f>
        <v>-</v>
      </c>
      <c r="AX40" s="353" t="str">
        <f>IF($AN40&gt;CDS.Tenor,"-",_xlfn.NORM.S.DIST(($AR40-SQRT(Correlation1)*AX$3)/SQRT(1-Correlation1),TRUE))</f>
        <v>-</v>
      </c>
      <c r="AY40" s="353" t="str">
        <f>IF($AN40&gt;CDS.Tenor,"-",_xlfn.NORM.S.DIST(($AR40-SQRT(Correlation1)*AY$3)/SQRT(1-Correlation1),TRUE))</f>
        <v>-</v>
      </c>
      <c r="AZ40" s="353" t="str">
        <f>IF($AN40&gt;CDS.Tenor,"-",_xlfn.NORM.S.DIST(($AR40-SQRT(Correlation1)*AZ$3)/SQRT(1-Correlation1),TRUE))</f>
        <v>-</v>
      </c>
      <c r="BA40" s="353" t="str">
        <f>IF($AN40&gt;CDS.Tenor,"-",_xlfn.NORM.S.DIST(($AR40-SQRT(Correlation1)*BA$3)/SQRT(1-Correlation1),TRUE))</f>
        <v>-</v>
      </c>
      <c r="BB40" s="353" t="str">
        <f>IF($AN40&gt;CDS.Tenor,"-",_xlfn.NORM.S.DIST(($AR40-SQRT(Correlation1)*BB$3)/SQRT(1-Correlation1),TRUE))</f>
        <v>-</v>
      </c>
      <c r="BC40" s="353" t="str">
        <f>IF($AN40&gt;CDS.Tenor,"-",_xlfn.NORM.S.DIST(($AR40-SQRT(Correlation1)*BC$3)/SQRT(1-Correlation1),TRUE))</f>
        <v>-</v>
      </c>
      <c r="BD40" s="353" t="str">
        <f>IF($AN40&gt;CDS.Tenor,"-",_xlfn.NORM.S.DIST(($AR40-SQRT(Correlation1)*BD$3)/SQRT(1-Correlation1),TRUE))</f>
        <v>-</v>
      </c>
      <c r="BE40" s="353" t="str">
        <f>IF($AN40&gt;CDS.Tenor,"-",_xlfn.NORM.S.DIST(($AR40-SQRT(Correlation1)*BE$3)/SQRT(1-Correlation1),TRUE))</f>
        <v>-</v>
      </c>
      <c r="BF40" s="353" t="str">
        <f>IF($AN40&gt;CDS.Tenor,"-",_xlfn.NORM.S.DIST(($AR40-SQRT(Correlation1)*BF$3)/SQRT(1-Correlation1),TRUE))</f>
        <v>-</v>
      </c>
      <c r="BG40" s="353" t="str">
        <f>IF($AN40&gt;CDS.Tenor,"-",_xlfn.NORM.S.DIST(($AR40-SQRT(Correlation1)*BG$3)/SQRT(1-Correlation1),TRUE))</f>
        <v>-</v>
      </c>
      <c r="BH40" s="353" t="str">
        <f>IF($AN40&gt;CDS.Tenor,"-",_xlfn.NORM.S.DIST(($AR40-SQRT(Correlation1)*BH$3)/SQRT(1-Correlation1),TRUE))</f>
        <v>-</v>
      </c>
      <c r="BI40" s="353" t="str">
        <f>IF($AN40&gt;CDS.Tenor,"-",_xlfn.NORM.S.DIST(($AR40-SQRT(Correlation1)*BI$3)/SQRT(1-Correlation1),TRUE))</f>
        <v>-</v>
      </c>
      <c r="BJ40" s="353" t="str">
        <f>IF($AN40&gt;CDS.Tenor,"-",_xlfn.NORM.S.DIST(($AR40-SQRT(Correlation1)*BJ$3)/SQRT(1-Correlation1),TRUE))</f>
        <v>-</v>
      </c>
      <c r="BK40" s="353" t="str">
        <f>IF($AN40&gt;CDS.Tenor,"-",_xlfn.NORM.S.DIST(($AR40-SQRT(Correlation1)*BK$3)/SQRT(1-Correlation1),TRUE))</f>
        <v>-</v>
      </c>
      <c r="BL40" s="353" t="str">
        <f>IF($AN40&gt;CDS.Tenor,"-",_xlfn.NORM.S.DIST(($AR40-SQRT(Correlation1)*BL$3)/SQRT(1-Correlation1),TRUE))</f>
        <v>-</v>
      </c>
      <c r="BM40" s="353" t="str">
        <f>IF($AN40&gt;CDS.Tenor,"-",_xlfn.NORM.S.DIST(($AR40-SQRT(Correlation1)*BM$3)/SQRT(1-Correlation1),TRUE))</f>
        <v>-</v>
      </c>
      <c r="BN40" s="353" t="str">
        <f>IF($AN40&gt;CDS.Tenor,"-",_xlfn.NORM.S.DIST(($AR40-SQRT(Correlation1)*BN$3)/SQRT(1-Correlation1),TRUE))</f>
        <v>-</v>
      </c>
      <c r="BO40" s="354" t="str">
        <f>IF($AN40&gt;CDS.Tenor,"-",_xlfn.NORM.S.DIST(($AR40-SQRT(Correlation1)*BO$3)/SQRT(1-Correlation1),TRUE))</f>
        <v>-</v>
      </c>
      <c r="BQ40" s="358">
        <f t="shared" si="106"/>
        <v>9</v>
      </c>
      <c r="BR40" s="353" t="str">
        <f t="shared" si="107"/>
        <v>-</v>
      </c>
      <c r="BS40" s="353" t="str">
        <f t="shared" si="108"/>
        <v>-</v>
      </c>
      <c r="BT40" s="353" t="str">
        <f t="shared" si="109"/>
        <v>-</v>
      </c>
      <c r="BU40" s="353" t="str">
        <f t="shared" si="110"/>
        <v>-</v>
      </c>
      <c r="BV40" s="353" t="str">
        <f t="shared" si="111"/>
        <v>-</v>
      </c>
      <c r="BW40" s="353" t="str">
        <f t="shared" si="112"/>
        <v>-</v>
      </c>
      <c r="BX40" s="353" t="str">
        <f t="shared" si="113"/>
        <v>-</v>
      </c>
      <c r="BY40" s="353" t="str">
        <f t="shared" si="114"/>
        <v>-</v>
      </c>
      <c r="BZ40" s="353" t="str">
        <f t="shared" si="115"/>
        <v>-</v>
      </c>
      <c r="CA40" s="353" t="str">
        <f t="shared" si="116"/>
        <v>-</v>
      </c>
      <c r="CB40" s="353" t="str">
        <f t="shared" si="117"/>
        <v>-</v>
      </c>
      <c r="CC40" s="353" t="str">
        <f t="shared" si="118"/>
        <v>-</v>
      </c>
      <c r="CD40" s="353" t="str">
        <f t="shared" si="119"/>
        <v>-</v>
      </c>
      <c r="CE40" s="353" t="str">
        <f t="shared" si="120"/>
        <v>-</v>
      </c>
      <c r="CF40" s="353" t="str">
        <f t="shared" si="121"/>
        <v>-</v>
      </c>
      <c r="CG40" s="353" t="str">
        <f t="shared" si="122"/>
        <v>-</v>
      </c>
      <c r="CH40" s="353" t="str">
        <f t="shared" si="123"/>
        <v>-</v>
      </c>
      <c r="CI40" s="353" t="str">
        <f t="shared" si="124"/>
        <v>-</v>
      </c>
      <c r="CJ40" s="353" t="str">
        <f t="shared" si="125"/>
        <v>-</v>
      </c>
      <c r="CK40" s="353" t="str">
        <f t="shared" si="126"/>
        <v>-</v>
      </c>
      <c r="CL40" s="354" t="str">
        <f t="shared" si="127"/>
        <v>-</v>
      </c>
      <c r="CM40" s="17"/>
      <c r="CN40" s="17"/>
      <c r="CO40" s="343" t="str" cm="1">
        <f t="array" aca="1" ref="CO40" ca="1">IF($AN40&gt;CDS.Tenor,"-",flatInterpolation(AN40,INDIRECT(HazardRateTimes2),INDIRECT(HazardRateValues2)))</f>
        <v>-</v>
      </c>
      <c r="CP40" s="10" t="str">
        <f t="shared" si="128"/>
        <v>-</v>
      </c>
      <c r="CQ40" s="10" t="str">
        <f t="shared" si="129"/>
        <v>-</v>
      </c>
      <c r="CR40" s="81" t="str">
        <f t="shared" si="130"/>
        <v>-</v>
      </c>
      <c r="CT40" s="358">
        <f t="shared" si="131"/>
        <v>9</v>
      </c>
      <c r="CU40" s="353" t="str">
        <f>IF($AN40&gt;CDS.Tenor,"-",_xlfn.NORM.S.DIST(($CR40-SQRT(Correlation2)*CU$3)/SQRT(1-Correlation2),TRUE))</f>
        <v>-</v>
      </c>
      <c r="CV40" s="353" t="str">
        <f>IF($AN40&gt;CDS.Tenor,"-",_xlfn.NORM.S.DIST(($CR40-SQRT(Correlation2)*CV$3)/SQRT(1-Correlation2),TRUE))</f>
        <v>-</v>
      </c>
      <c r="CW40" s="353" t="str">
        <f>IF($AN40&gt;CDS.Tenor,"-",_xlfn.NORM.S.DIST(($CR40-SQRT(Correlation2)*CW$3)/SQRT(1-Correlation2),TRUE))</f>
        <v>-</v>
      </c>
      <c r="CX40" s="353" t="str">
        <f>IF($AN40&gt;CDS.Tenor,"-",_xlfn.NORM.S.DIST(($CR40-SQRT(Correlation2)*CX$3)/SQRT(1-Correlation2),TRUE))</f>
        <v>-</v>
      </c>
      <c r="CY40" s="353" t="str">
        <f>IF($AN40&gt;CDS.Tenor,"-",_xlfn.NORM.S.DIST(($CR40-SQRT(Correlation2)*CY$3)/SQRT(1-Correlation2),TRUE))</f>
        <v>-</v>
      </c>
      <c r="CZ40" s="353" t="str">
        <f>IF($AN40&gt;CDS.Tenor,"-",_xlfn.NORM.S.DIST(($CR40-SQRT(Correlation2)*CZ$3)/SQRT(1-Correlation2),TRUE))</f>
        <v>-</v>
      </c>
      <c r="DA40" s="353" t="str">
        <f>IF($AN40&gt;CDS.Tenor,"-",_xlfn.NORM.S.DIST(($CR40-SQRT(Correlation2)*DA$3)/SQRT(1-Correlation2),TRUE))</f>
        <v>-</v>
      </c>
      <c r="DB40" s="353" t="str">
        <f>IF($AN40&gt;CDS.Tenor,"-",_xlfn.NORM.S.DIST(($CR40-SQRT(Correlation2)*DB$3)/SQRT(1-Correlation2),TRUE))</f>
        <v>-</v>
      </c>
      <c r="DC40" s="353" t="str">
        <f>IF($AN40&gt;CDS.Tenor,"-",_xlfn.NORM.S.DIST(($CR40-SQRT(Correlation2)*DC$3)/SQRT(1-Correlation2),TRUE))</f>
        <v>-</v>
      </c>
      <c r="DD40" s="353" t="str">
        <f>IF($AN40&gt;CDS.Tenor,"-",_xlfn.NORM.S.DIST(($CR40-SQRT(Correlation2)*DD$3)/SQRT(1-Correlation2),TRUE))</f>
        <v>-</v>
      </c>
      <c r="DE40" s="353" t="str">
        <f>IF($AN40&gt;CDS.Tenor,"-",_xlfn.NORM.S.DIST(($CR40-SQRT(Correlation2)*DE$3)/SQRT(1-Correlation2),TRUE))</f>
        <v>-</v>
      </c>
      <c r="DF40" s="353" t="str">
        <f>IF($AN40&gt;CDS.Tenor,"-",_xlfn.NORM.S.DIST(($CR40-SQRT(Correlation2)*DF$3)/SQRT(1-Correlation2),TRUE))</f>
        <v>-</v>
      </c>
      <c r="DG40" s="353" t="str">
        <f>IF($AN40&gt;CDS.Tenor,"-",_xlfn.NORM.S.DIST(($CR40-SQRT(Correlation2)*DG$3)/SQRT(1-Correlation2),TRUE))</f>
        <v>-</v>
      </c>
      <c r="DH40" s="353" t="str">
        <f>IF($AN40&gt;CDS.Tenor,"-",_xlfn.NORM.S.DIST(($CR40-SQRT(Correlation2)*DH$3)/SQRT(1-Correlation2),TRUE))</f>
        <v>-</v>
      </c>
      <c r="DI40" s="353" t="str">
        <f>IF($AN40&gt;CDS.Tenor,"-",_xlfn.NORM.S.DIST(($CR40-SQRT(Correlation2)*DI$3)/SQRT(1-Correlation2),TRUE))</f>
        <v>-</v>
      </c>
      <c r="DJ40" s="353" t="str">
        <f>IF($AN40&gt;CDS.Tenor,"-",_xlfn.NORM.S.DIST(($CR40-SQRT(Correlation2)*DJ$3)/SQRT(1-Correlation2),TRUE))</f>
        <v>-</v>
      </c>
      <c r="DK40" s="353" t="str">
        <f>IF($AN40&gt;CDS.Tenor,"-",_xlfn.NORM.S.DIST(($CR40-SQRT(Correlation2)*DK$3)/SQRT(1-Correlation2),TRUE))</f>
        <v>-</v>
      </c>
      <c r="DL40" s="353" t="str">
        <f>IF($AN40&gt;CDS.Tenor,"-",_xlfn.NORM.S.DIST(($CR40-SQRT(Correlation2)*DL$3)/SQRT(1-Correlation2),TRUE))</f>
        <v>-</v>
      </c>
      <c r="DM40" s="353" t="str">
        <f>IF($AN40&gt;CDS.Tenor,"-",_xlfn.NORM.S.DIST(($CR40-SQRT(Correlation2)*DM$3)/SQRT(1-Correlation2),TRUE))</f>
        <v>-</v>
      </c>
      <c r="DN40" s="353" t="str">
        <f>IF($AN40&gt;CDS.Tenor,"-",_xlfn.NORM.S.DIST(($CR40-SQRT(Correlation2)*DN$3)/SQRT(1-Correlation2),TRUE))</f>
        <v>-</v>
      </c>
      <c r="DO40" s="354" t="str">
        <f>IF($AN40&gt;CDS.Tenor,"-",_xlfn.NORM.S.DIST(($CR40-SQRT(Correlation2)*DO$3)/SQRT(1-Correlation2),TRUE))</f>
        <v>-</v>
      </c>
      <c r="DQ40" s="358">
        <f t="shared" si="132"/>
        <v>9</v>
      </c>
      <c r="DR40" s="353" t="str">
        <f t="shared" si="133"/>
        <v>-</v>
      </c>
      <c r="DS40" s="353" t="str">
        <f t="shared" si="134"/>
        <v>-</v>
      </c>
      <c r="DT40" s="353" t="str">
        <f t="shared" si="135"/>
        <v>-</v>
      </c>
      <c r="DU40" s="353" t="str">
        <f t="shared" si="136"/>
        <v>-</v>
      </c>
      <c r="DV40" s="353" t="str">
        <f t="shared" si="137"/>
        <v>-</v>
      </c>
      <c r="DW40" s="353" t="str">
        <f t="shared" si="138"/>
        <v>-</v>
      </c>
      <c r="DX40" s="353" t="str">
        <f t="shared" si="139"/>
        <v>-</v>
      </c>
      <c r="DY40" s="353" t="str">
        <f t="shared" si="140"/>
        <v>-</v>
      </c>
      <c r="DZ40" s="353" t="str">
        <f t="shared" si="141"/>
        <v>-</v>
      </c>
      <c r="EA40" s="353" t="str">
        <f t="shared" si="142"/>
        <v>-</v>
      </c>
      <c r="EB40" s="353" t="str">
        <f t="shared" si="143"/>
        <v>-</v>
      </c>
      <c r="EC40" s="353" t="str">
        <f t="shared" si="144"/>
        <v>-</v>
      </c>
      <c r="ED40" s="353" t="str">
        <f t="shared" si="145"/>
        <v>-</v>
      </c>
      <c r="EE40" s="353" t="str">
        <f t="shared" si="146"/>
        <v>-</v>
      </c>
      <c r="EF40" s="353" t="str">
        <f t="shared" si="147"/>
        <v>-</v>
      </c>
      <c r="EG40" s="353" t="str">
        <f t="shared" si="148"/>
        <v>-</v>
      </c>
      <c r="EH40" s="353" t="str">
        <f t="shared" si="149"/>
        <v>-</v>
      </c>
      <c r="EI40" s="353" t="str">
        <f t="shared" si="150"/>
        <v>-</v>
      </c>
      <c r="EJ40" s="353" t="str">
        <f t="shared" si="151"/>
        <v>-</v>
      </c>
      <c r="EK40" s="353" t="str">
        <f t="shared" si="152"/>
        <v>-</v>
      </c>
      <c r="EL40" s="354" t="str">
        <f t="shared" si="153"/>
        <v>-</v>
      </c>
      <c r="EM40" s="17"/>
      <c r="EN40" s="17"/>
      <c r="EO40" s="343" t="str" cm="1">
        <f t="array" aca="1" ref="EO40" ca="1">IF($AN40&gt;CDS.Tenor,"-",flatInterpolation(CP40,INDIRECT(HazardRateTimes3),INDIRECT(HazardRateValues3)))</f>
        <v>-</v>
      </c>
      <c r="EP40" s="10" t="str">
        <f t="shared" si="154"/>
        <v>-</v>
      </c>
      <c r="EQ40" s="10" t="str">
        <f t="shared" si="155"/>
        <v>-</v>
      </c>
      <c r="ER40" s="81" t="str">
        <f t="shared" si="156"/>
        <v>-</v>
      </c>
      <c r="ET40" s="358">
        <f t="shared" si="157"/>
        <v>9</v>
      </c>
      <c r="EU40" s="353" t="str">
        <f>IF($AN40&gt;CDS.Tenor,"-",_xlfn.NORM.S.DIST(($ER40-SQRT(Correlation3)*EU$3)/SQRT(1-Correlation3),TRUE))</f>
        <v>-</v>
      </c>
      <c r="EV40" s="353" t="str">
        <f>IF($AN40&gt;CDS.Tenor,"-",_xlfn.NORM.S.DIST(($ER40-SQRT(Correlation3)*EV$3)/SQRT(1-Correlation3),TRUE))</f>
        <v>-</v>
      </c>
      <c r="EW40" s="353" t="str">
        <f>IF($AN40&gt;CDS.Tenor,"-",_xlfn.NORM.S.DIST(($ER40-SQRT(Correlation3)*EW$3)/SQRT(1-Correlation3),TRUE))</f>
        <v>-</v>
      </c>
      <c r="EX40" s="353" t="str">
        <f>IF($AN40&gt;CDS.Tenor,"-",_xlfn.NORM.S.DIST(($ER40-SQRT(Correlation3)*EX$3)/SQRT(1-Correlation3),TRUE))</f>
        <v>-</v>
      </c>
      <c r="EY40" s="353" t="str">
        <f>IF($AN40&gt;CDS.Tenor,"-",_xlfn.NORM.S.DIST(($ER40-SQRT(Correlation3)*EY$3)/SQRT(1-Correlation3),TRUE))</f>
        <v>-</v>
      </c>
      <c r="EZ40" s="353" t="str">
        <f>IF($AN40&gt;CDS.Tenor,"-",_xlfn.NORM.S.DIST(($ER40-SQRT(Correlation3)*EZ$3)/SQRT(1-Correlation3),TRUE))</f>
        <v>-</v>
      </c>
      <c r="FA40" s="353" t="str">
        <f>IF($AN40&gt;CDS.Tenor,"-",_xlfn.NORM.S.DIST(($ER40-SQRT(Correlation3)*FA$3)/SQRT(1-Correlation3),TRUE))</f>
        <v>-</v>
      </c>
      <c r="FB40" s="353" t="str">
        <f>IF($AN40&gt;CDS.Tenor,"-",_xlfn.NORM.S.DIST(($ER40-SQRT(Correlation3)*FB$3)/SQRT(1-Correlation3),TRUE))</f>
        <v>-</v>
      </c>
      <c r="FC40" s="353" t="str">
        <f>IF($AN40&gt;CDS.Tenor,"-",_xlfn.NORM.S.DIST(($ER40-SQRT(Correlation3)*FC$3)/SQRT(1-Correlation3),TRUE))</f>
        <v>-</v>
      </c>
      <c r="FD40" s="353" t="str">
        <f>IF($AN40&gt;CDS.Tenor,"-",_xlfn.NORM.S.DIST(($ER40-SQRT(Correlation3)*FD$3)/SQRT(1-Correlation3),TRUE))</f>
        <v>-</v>
      </c>
      <c r="FE40" s="353" t="str">
        <f>IF($AN40&gt;CDS.Tenor,"-",_xlfn.NORM.S.DIST(($ER40-SQRT(Correlation3)*FE$3)/SQRT(1-Correlation3),TRUE))</f>
        <v>-</v>
      </c>
      <c r="FF40" s="353" t="str">
        <f>IF($AN40&gt;CDS.Tenor,"-",_xlfn.NORM.S.DIST(($ER40-SQRT(Correlation3)*FF$3)/SQRT(1-Correlation3),TRUE))</f>
        <v>-</v>
      </c>
      <c r="FG40" s="353" t="str">
        <f>IF($AN40&gt;CDS.Tenor,"-",_xlfn.NORM.S.DIST(($ER40-SQRT(Correlation3)*FG$3)/SQRT(1-Correlation3),TRUE))</f>
        <v>-</v>
      </c>
      <c r="FH40" s="353" t="str">
        <f>IF($AN40&gt;CDS.Tenor,"-",_xlfn.NORM.S.DIST(($ER40-SQRT(Correlation3)*FH$3)/SQRT(1-Correlation3),TRUE))</f>
        <v>-</v>
      </c>
      <c r="FI40" s="353" t="str">
        <f>IF($AN40&gt;CDS.Tenor,"-",_xlfn.NORM.S.DIST(($ER40-SQRT(Correlation3)*FI$3)/SQRT(1-Correlation3),TRUE))</f>
        <v>-</v>
      </c>
      <c r="FJ40" s="353" t="str">
        <f>IF($AN40&gt;CDS.Tenor,"-",_xlfn.NORM.S.DIST(($ER40-SQRT(Correlation3)*FJ$3)/SQRT(1-Correlation3),TRUE))</f>
        <v>-</v>
      </c>
      <c r="FK40" s="353" t="str">
        <f>IF($AN40&gt;CDS.Tenor,"-",_xlfn.NORM.S.DIST(($ER40-SQRT(Correlation3)*FK$3)/SQRT(1-Correlation3),TRUE))</f>
        <v>-</v>
      </c>
      <c r="FL40" s="353" t="str">
        <f>IF($AN40&gt;CDS.Tenor,"-",_xlfn.NORM.S.DIST(($ER40-SQRT(Correlation3)*FL$3)/SQRT(1-Correlation3),TRUE))</f>
        <v>-</v>
      </c>
      <c r="FM40" s="353" t="str">
        <f>IF($AN40&gt;CDS.Tenor,"-",_xlfn.NORM.S.DIST(($ER40-SQRT(Correlation3)*FM$3)/SQRT(1-Correlation3),TRUE))</f>
        <v>-</v>
      </c>
      <c r="FN40" s="353" t="str">
        <f>IF($AN40&gt;CDS.Tenor,"-",_xlfn.NORM.S.DIST(($ER40-SQRT(Correlation3)*FN$3)/SQRT(1-Correlation3),TRUE))</f>
        <v>-</v>
      </c>
      <c r="FO40" s="354" t="str">
        <f>IF($AN40&gt;CDS.Tenor,"-",_xlfn.NORM.S.DIST(($ER40-SQRT(Correlation3)*FO$3)/SQRT(1-Correlation3),TRUE))</f>
        <v>-</v>
      </c>
      <c r="FQ40" s="358">
        <f t="shared" si="158"/>
        <v>9</v>
      </c>
      <c r="FR40" s="353" t="str">
        <f t="shared" si="159"/>
        <v>-</v>
      </c>
      <c r="FS40" s="353" t="str">
        <f t="shared" si="160"/>
        <v>-</v>
      </c>
      <c r="FT40" s="353" t="str">
        <f t="shared" si="161"/>
        <v>-</v>
      </c>
      <c r="FU40" s="353" t="str">
        <f t="shared" si="162"/>
        <v>-</v>
      </c>
      <c r="FV40" s="353" t="str">
        <f t="shared" si="163"/>
        <v>-</v>
      </c>
      <c r="FW40" s="353" t="str">
        <f t="shared" si="164"/>
        <v>-</v>
      </c>
      <c r="FX40" s="353" t="str">
        <f t="shared" si="165"/>
        <v>-</v>
      </c>
      <c r="FY40" s="353" t="str">
        <f t="shared" si="166"/>
        <v>-</v>
      </c>
      <c r="FZ40" s="353" t="str">
        <f t="shared" si="167"/>
        <v>-</v>
      </c>
      <c r="GA40" s="353" t="str">
        <f t="shared" si="168"/>
        <v>-</v>
      </c>
      <c r="GB40" s="353" t="str">
        <f t="shared" si="169"/>
        <v>-</v>
      </c>
      <c r="GC40" s="353" t="str">
        <f t="shared" si="170"/>
        <v>-</v>
      </c>
      <c r="GD40" s="353" t="str">
        <f t="shared" si="171"/>
        <v>-</v>
      </c>
      <c r="GE40" s="353" t="str">
        <f t="shared" si="172"/>
        <v>-</v>
      </c>
      <c r="GF40" s="353" t="str">
        <f t="shared" si="173"/>
        <v>-</v>
      </c>
      <c r="GG40" s="353" t="str">
        <f t="shared" si="174"/>
        <v>-</v>
      </c>
      <c r="GH40" s="353" t="str">
        <f t="shared" si="175"/>
        <v>-</v>
      </c>
      <c r="GI40" s="353" t="str">
        <f t="shared" si="176"/>
        <v>-</v>
      </c>
      <c r="GJ40" s="353" t="str">
        <f t="shared" si="177"/>
        <v>-</v>
      </c>
      <c r="GK40" s="353" t="str">
        <f t="shared" si="178"/>
        <v>-</v>
      </c>
      <c r="GL40" s="354" t="str">
        <f t="shared" si="179"/>
        <v>-</v>
      </c>
      <c r="GO40" s="358">
        <f t="shared" si="180"/>
        <v>9</v>
      </c>
      <c r="GP40" s="353" t="str">
        <f t="shared" si="181"/>
        <v>-</v>
      </c>
      <c r="GQ40" s="353" t="str">
        <f t="shared" si="182"/>
        <v>-</v>
      </c>
      <c r="GR40" s="353" t="str">
        <f t="shared" si="183"/>
        <v>-</v>
      </c>
      <c r="GS40" s="353" t="str">
        <f t="shared" si="184"/>
        <v>-</v>
      </c>
      <c r="GT40" s="353" t="str">
        <f t="shared" si="185"/>
        <v>-</v>
      </c>
      <c r="GU40" s="353" t="str">
        <f t="shared" si="186"/>
        <v>-</v>
      </c>
      <c r="GV40" s="353" t="str">
        <f t="shared" si="187"/>
        <v>-</v>
      </c>
      <c r="GW40" s="353" t="str">
        <f t="shared" si="188"/>
        <v>-</v>
      </c>
      <c r="GX40" s="353" t="str">
        <f t="shared" si="189"/>
        <v>-</v>
      </c>
      <c r="GY40" s="353" t="str">
        <f t="shared" si="190"/>
        <v>-</v>
      </c>
      <c r="GZ40" s="353" t="str">
        <f t="shared" si="191"/>
        <v>-</v>
      </c>
      <c r="HA40" s="353" t="str">
        <f t="shared" si="192"/>
        <v>-</v>
      </c>
      <c r="HB40" s="353" t="str">
        <f t="shared" si="193"/>
        <v>-</v>
      </c>
      <c r="HC40" s="353" t="str">
        <f t="shared" si="194"/>
        <v>-</v>
      </c>
      <c r="HD40" s="353" t="str">
        <f t="shared" si="195"/>
        <v>-</v>
      </c>
      <c r="HE40" s="353" t="str">
        <f t="shared" si="196"/>
        <v>-</v>
      </c>
      <c r="HF40" s="353" t="str">
        <f t="shared" si="197"/>
        <v>-</v>
      </c>
      <c r="HG40" s="353" t="str">
        <f t="shared" si="198"/>
        <v>-</v>
      </c>
      <c r="HH40" s="353" t="str">
        <f t="shared" si="199"/>
        <v>-</v>
      </c>
      <c r="HI40" s="353" t="str">
        <f t="shared" si="200"/>
        <v>-</v>
      </c>
      <c r="HJ40" s="354" t="str">
        <f t="shared" si="201"/>
        <v>-</v>
      </c>
      <c r="HK40" s="42"/>
      <c r="HL40" s="42"/>
      <c r="HM40" s="358">
        <f t="shared" si="202"/>
        <v>9</v>
      </c>
      <c r="HN40" s="362" t="str">
        <f t="shared" si="203"/>
        <v>-</v>
      </c>
      <c r="HO40" s="363" t="str">
        <f t="shared" si="204"/>
        <v>-</v>
      </c>
    </row>
    <row r="41" spans="22:223" x14ac:dyDescent="0.3">
      <c r="V41" s="370">
        <f t="shared" si="89"/>
        <v>9.25</v>
      </c>
      <c r="W41" s="371" t="str">
        <f t="shared" si="90"/>
        <v>-</v>
      </c>
      <c r="X41" s="348" t="str">
        <f t="shared" si="91"/>
        <v>-</v>
      </c>
      <c r="Y41" s="348" t="str">
        <f t="shared" si="92"/>
        <v>-</v>
      </c>
      <c r="Z41" s="372" t="str" cm="1">
        <f t="array" ref="Z41">IF($V41&gt;CDS.Tenor,"-",cubicInterpolation(CurveResults.Times,CurveResults.DFs,$V41))</f>
        <v>-</v>
      </c>
      <c r="AA41" s="371" t="str">
        <f t="shared" si="93"/>
        <v>-</v>
      </c>
      <c r="AB41" s="371" t="str">
        <f t="shared" si="94"/>
        <v>-</v>
      </c>
      <c r="AC41" s="373" t="str">
        <f t="shared" si="95"/>
        <v>-</v>
      </c>
      <c r="AF41" s="370">
        <f t="shared" si="96"/>
        <v>9.25</v>
      </c>
      <c r="AG41" s="371" t="str">
        <f t="shared" si="97"/>
        <v>-</v>
      </c>
      <c r="AH41" s="348" t="str">
        <f t="shared" si="98"/>
        <v>-</v>
      </c>
      <c r="AI41" s="348" t="str">
        <f t="shared" si="99"/>
        <v>-</v>
      </c>
      <c r="AJ41" s="372" t="str" cm="1">
        <f t="array" ref="AJ41">IF($AF41&gt;CDS.Tenor,"-",cubicInterpolation(CurveResults.Times,CurveResults.DFs,$V41))</f>
        <v>-</v>
      </c>
      <c r="AK41" s="373" t="str">
        <f t="shared" si="100"/>
        <v>-</v>
      </c>
      <c r="AN41" s="358">
        <f t="shared" si="101"/>
        <v>9.25</v>
      </c>
      <c r="AO41" s="343" t="str" cm="1">
        <f t="array" aca="1" ref="AO41" ca="1">IF($AN41&gt;CDS.Tenor,"-",flatInterpolation(AM41,INDIRECT(HazardRateTimes1),INDIRECT(HazardRateValues1)))</f>
        <v>-</v>
      </c>
      <c r="AP41" s="10" t="str">
        <f t="shared" si="102"/>
        <v>-</v>
      </c>
      <c r="AQ41" s="10" t="str">
        <f t="shared" si="103"/>
        <v>-</v>
      </c>
      <c r="AR41" s="81" t="str">
        <f t="shared" si="104"/>
        <v>-</v>
      </c>
      <c r="AT41" s="358">
        <f t="shared" si="105"/>
        <v>9.25</v>
      </c>
      <c r="AU41" s="353" t="str">
        <f>IF($AN41&gt;CDS.Tenor,"-",_xlfn.NORM.S.DIST(($AR41-SQRT(Correlation1)*AU$3)/SQRT(1-Correlation1),TRUE))</f>
        <v>-</v>
      </c>
      <c r="AV41" s="353" t="str">
        <f>IF($AN41&gt;CDS.Tenor,"-",_xlfn.NORM.S.DIST(($AR41-SQRT(Correlation1)*AV$3)/SQRT(1-Correlation1),TRUE))</f>
        <v>-</v>
      </c>
      <c r="AW41" s="353" t="str">
        <f>IF($AN41&gt;CDS.Tenor,"-",_xlfn.NORM.S.DIST(($AR41-SQRT(Correlation1)*AW$3)/SQRT(1-Correlation1),TRUE))</f>
        <v>-</v>
      </c>
      <c r="AX41" s="353" t="str">
        <f>IF($AN41&gt;CDS.Tenor,"-",_xlfn.NORM.S.DIST(($AR41-SQRT(Correlation1)*AX$3)/SQRT(1-Correlation1),TRUE))</f>
        <v>-</v>
      </c>
      <c r="AY41" s="353" t="str">
        <f>IF($AN41&gt;CDS.Tenor,"-",_xlfn.NORM.S.DIST(($AR41-SQRT(Correlation1)*AY$3)/SQRT(1-Correlation1),TRUE))</f>
        <v>-</v>
      </c>
      <c r="AZ41" s="353" t="str">
        <f>IF($AN41&gt;CDS.Tenor,"-",_xlfn.NORM.S.DIST(($AR41-SQRT(Correlation1)*AZ$3)/SQRT(1-Correlation1),TRUE))</f>
        <v>-</v>
      </c>
      <c r="BA41" s="353" t="str">
        <f>IF($AN41&gt;CDS.Tenor,"-",_xlfn.NORM.S.DIST(($AR41-SQRT(Correlation1)*BA$3)/SQRT(1-Correlation1),TRUE))</f>
        <v>-</v>
      </c>
      <c r="BB41" s="353" t="str">
        <f>IF($AN41&gt;CDS.Tenor,"-",_xlfn.NORM.S.DIST(($AR41-SQRT(Correlation1)*BB$3)/SQRT(1-Correlation1),TRUE))</f>
        <v>-</v>
      </c>
      <c r="BC41" s="353" t="str">
        <f>IF($AN41&gt;CDS.Tenor,"-",_xlfn.NORM.S.DIST(($AR41-SQRT(Correlation1)*BC$3)/SQRT(1-Correlation1),TRUE))</f>
        <v>-</v>
      </c>
      <c r="BD41" s="353" t="str">
        <f>IF($AN41&gt;CDS.Tenor,"-",_xlfn.NORM.S.DIST(($AR41-SQRT(Correlation1)*BD$3)/SQRT(1-Correlation1),TRUE))</f>
        <v>-</v>
      </c>
      <c r="BE41" s="353" t="str">
        <f>IF($AN41&gt;CDS.Tenor,"-",_xlfn.NORM.S.DIST(($AR41-SQRT(Correlation1)*BE$3)/SQRT(1-Correlation1),TRUE))</f>
        <v>-</v>
      </c>
      <c r="BF41" s="353" t="str">
        <f>IF($AN41&gt;CDS.Tenor,"-",_xlfn.NORM.S.DIST(($AR41-SQRT(Correlation1)*BF$3)/SQRT(1-Correlation1),TRUE))</f>
        <v>-</v>
      </c>
      <c r="BG41" s="353" t="str">
        <f>IF($AN41&gt;CDS.Tenor,"-",_xlfn.NORM.S.DIST(($AR41-SQRT(Correlation1)*BG$3)/SQRT(1-Correlation1),TRUE))</f>
        <v>-</v>
      </c>
      <c r="BH41" s="353" t="str">
        <f>IF($AN41&gt;CDS.Tenor,"-",_xlfn.NORM.S.DIST(($AR41-SQRT(Correlation1)*BH$3)/SQRT(1-Correlation1),TRUE))</f>
        <v>-</v>
      </c>
      <c r="BI41" s="353" t="str">
        <f>IF($AN41&gt;CDS.Tenor,"-",_xlfn.NORM.S.DIST(($AR41-SQRT(Correlation1)*BI$3)/SQRT(1-Correlation1),TRUE))</f>
        <v>-</v>
      </c>
      <c r="BJ41" s="353" t="str">
        <f>IF($AN41&gt;CDS.Tenor,"-",_xlfn.NORM.S.DIST(($AR41-SQRT(Correlation1)*BJ$3)/SQRT(1-Correlation1),TRUE))</f>
        <v>-</v>
      </c>
      <c r="BK41" s="353" t="str">
        <f>IF($AN41&gt;CDS.Tenor,"-",_xlfn.NORM.S.DIST(($AR41-SQRT(Correlation1)*BK$3)/SQRT(1-Correlation1),TRUE))</f>
        <v>-</v>
      </c>
      <c r="BL41" s="353" t="str">
        <f>IF($AN41&gt;CDS.Tenor,"-",_xlfn.NORM.S.DIST(($AR41-SQRT(Correlation1)*BL$3)/SQRT(1-Correlation1),TRUE))</f>
        <v>-</v>
      </c>
      <c r="BM41" s="353" t="str">
        <f>IF($AN41&gt;CDS.Tenor,"-",_xlfn.NORM.S.DIST(($AR41-SQRT(Correlation1)*BM$3)/SQRT(1-Correlation1),TRUE))</f>
        <v>-</v>
      </c>
      <c r="BN41" s="353" t="str">
        <f>IF($AN41&gt;CDS.Tenor,"-",_xlfn.NORM.S.DIST(($AR41-SQRT(Correlation1)*BN$3)/SQRT(1-Correlation1),TRUE))</f>
        <v>-</v>
      </c>
      <c r="BO41" s="354" t="str">
        <f>IF($AN41&gt;CDS.Tenor,"-",_xlfn.NORM.S.DIST(($AR41-SQRT(Correlation1)*BO$3)/SQRT(1-Correlation1),TRUE))</f>
        <v>-</v>
      </c>
      <c r="BQ41" s="358">
        <f t="shared" si="106"/>
        <v>9.25</v>
      </c>
      <c r="BR41" s="353" t="str">
        <f t="shared" si="107"/>
        <v>-</v>
      </c>
      <c r="BS41" s="353" t="str">
        <f t="shared" si="108"/>
        <v>-</v>
      </c>
      <c r="BT41" s="353" t="str">
        <f t="shared" si="109"/>
        <v>-</v>
      </c>
      <c r="BU41" s="353" t="str">
        <f t="shared" si="110"/>
        <v>-</v>
      </c>
      <c r="BV41" s="353" t="str">
        <f t="shared" si="111"/>
        <v>-</v>
      </c>
      <c r="BW41" s="353" t="str">
        <f t="shared" si="112"/>
        <v>-</v>
      </c>
      <c r="BX41" s="353" t="str">
        <f t="shared" si="113"/>
        <v>-</v>
      </c>
      <c r="BY41" s="353" t="str">
        <f t="shared" si="114"/>
        <v>-</v>
      </c>
      <c r="BZ41" s="353" t="str">
        <f t="shared" si="115"/>
        <v>-</v>
      </c>
      <c r="CA41" s="353" t="str">
        <f t="shared" si="116"/>
        <v>-</v>
      </c>
      <c r="CB41" s="353" t="str">
        <f t="shared" si="117"/>
        <v>-</v>
      </c>
      <c r="CC41" s="353" t="str">
        <f t="shared" si="118"/>
        <v>-</v>
      </c>
      <c r="CD41" s="353" t="str">
        <f t="shared" si="119"/>
        <v>-</v>
      </c>
      <c r="CE41" s="353" t="str">
        <f t="shared" si="120"/>
        <v>-</v>
      </c>
      <c r="CF41" s="353" t="str">
        <f t="shared" si="121"/>
        <v>-</v>
      </c>
      <c r="CG41" s="353" t="str">
        <f t="shared" si="122"/>
        <v>-</v>
      </c>
      <c r="CH41" s="353" t="str">
        <f t="shared" si="123"/>
        <v>-</v>
      </c>
      <c r="CI41" s="353" t="str">
        <f t="shared" si="124"/>
        <v>-</v>
      </c>
      <c r="CJ41" s="353" t="str">
        <f t="shared" si="125"/>
        <v>-</v>
      </c>
      <c r="CK41" s="353" t="str">
        <f t="shared" si="126"/>
        <v>-</v>
      </c>
      <c r="CL41" s="354" t="str">
        <f t="shared" si="127"/>
        <v>-</v>
      </c>
      <c r="CM41" s="17"/>
      <c r="CN41" s="17"/>
      <c r="CO41" s="343" t="str" cm="1">
        <f t="array" aca="1" ref="CO41" ca="1">IF($AN41&gt;CDS.Tenor,"-",flatInterpolation(AN41,INDIRECT(HazardRateTimes2),INDIRECT(HazardRateValues2)))</f>
        <v>-</v>
      </c>
      <c r="CP41" s="10" t="str">
        <f t="shared" si="128"/>
        <v>-</v>
      </c>
      <c r="CQ41" s="10" t="str">
        <f t="shared" si="129"/>
        <v>-</v>
      </c>
      <c r="CR41" s="81" t="str">
        <f t="shared" si="130"/>
        <v>-</v>
      </c>
      <c r="CT41" s="358">
        <f t="shared" si="131"/>
        <v>9.25</v>
      </c>
      <c r="CU41" s="353" t="str">
        <f>IF($AN41&gt;CDS.Tenor,"-",_xlfn.NORM.S.DIST(($CR41-SQRT(Correlation2)*CU$3)/SQRT(1-Correlation2),TRUE))</f>
        <v>-</v>
      </c>
      <c r="CV41" s="353" t="str">
        <f>IF($AN41&gt;CDS.Tenor,"-",_xlfn.NORM.S.DIST(($CR41-SQRT(Correlation2)*CV$3)/SQRT(1-Correlation2),TRUE))</f>
        <v>-</v>
      </c>
      <c r="CW41" s="353" t="str">
        <f>IF($AN41&gt;CDS.Tenor,"-",_xlfn.NORM.S.DIST(($CR41-SQRT(Correlation2)*CW$3)/SQRT(1-Correlation2),TRUE))</f>
        <v>-</v>
      </c>
      <c r="CX41" s="353" t="str">
        <f>IF($AN41&gt;CDS.Tenor,"-",_xlfn.NORM.S.DIST(($CR41-SQRT(Correlation2)*CX$3)/SQRT(1-Correlation2),TRUE))</f>
        <v>-</v>
      </c>
      <c r="CY41" s="353" t="str">
        <f>IF($AN41&gt;CDS.Tenor,"-",_xlfn.NORM.S.DIST(($CR41-SQRT(Correlation2)*CY$3)/SQRT(1-Correlation2),TRUE))</f>
        <v>-</v>
      </c>
      <c r="CZ41" s="353" t="str">
        <f>IF($AN41&gt;CDS.Tenor,"-",_xlfn.NORM.S.DIST(($CR41-SQRT(Correlation2)*CZ$3)/SQRT(1-Correlation2),TRUE))</f>
        <v>-</v>
      </c>
      <c r="DA41" s="353" t="str">
        <f>IF($AN41&gt;CDS.Tenor,"-",_xlfn.NORM.S.DIST(($CR41-SQRT(Correlation2)*DA$3)/SQRT(1-Correlation2),TRUE))</f>
        <v>-</v>
      </c>
      <c r="DB41" s="353" t="str">
        <f>IF($AN41&gt;CDS.Tenor,"-",_xlfn.NORM.S.DIST(($CR41-SQRT(Correlation2)*DB$3)/SQRT(1-Correlation2),TRUE))</f>
        <v>-</v>
      </c>
      <c r="DC41" s="353" t="str">
        <f>IF($AN41&gt;CDS.Tenor,"-",_xlfn.NORM.S.DIST(($CR41-SQRT(Correlation2)*DC$3)/SQRT(1-Correlation2),TRUE))</f>
        <v>-</v>
      </c>
      <c r="DD41" s="353" t="str">
        <f>IF($AN41&gt;CDS.Tenor,"-",_xlfn.NORM.S.DIST(($CR41-SQRT(Correlation2)*DD$3)/SQRT(1-Correlation2),TRUE))</f>
        <v>-</v>
      </c>
      <c r="DE41" s="353" t="str">
        <f>IF($AN41&gt;CDS.Tenor,"-",_xlfn.NORM.S.DIST(($CR41-SQRT(Correlation2)*DE$3)/SQRT(1-Correlation2),TRUE))</f>
        <v>-</v>
      </c>
      <c r="DF41" s="353" t="str">
        <f>IF($AN41&gt;CDS.Tenor,"-",_xlfn.NORM.S.DIST(($CR41-SQRT(Correlation2)*DF$3)/SQRT(1-Correlation2),TRUE))</f>
        <v>-</v>
      </c>
      <c r="DG41" s="353" t="str">
        <f>IF($AN41&gt;CDS.Tenor,"-",_xlfn.NORM.S.DIST(($CR41-SQRT(Correlation2)*DG$3)/SQRT(1-Correlation2),TRUE))</f>
        <v>-</v>
      </c>
      <c r="DH41" s="353" t="str">
        <f>IF($AN41&gt;CDS.Tenor,"-",_xlfn.NORM.S.DIST(($CR41-SQRT(Correlation2)*DH$3)/SQRT(1-Correlation2),TRUE))</f>
        <v>-</v>
      </c>
      <c r="DI41" s="353" t="str">
        <f>IF($AN41&gt;CDS.Tenor,"-",_xlfn.NORM.S.DIST(($CR41-SQRT(Correlation2)*DI$3)/SQRT(1-Correlation2),TRUE))</f>
        <v>-</v>
      </c>
      <c r="DJ41" s="353" t="str">
        <f>IF($AN41&gt;CDS.Tenor,"-",_xlfn.NORM.S.DIST(($CR41-SQRT(Correlation2)*DJ$3)/SQRT(1-Correlation2),TRUE))</f>
        <v>-</v>
      </c>
      <c r="DK41" s="353" t="str">
        <f>IF($AN41&gt;CDS.Tenor,"-",_xlfn.NORM.S.DIST(($CR41-SQRT(Correlation2)*DK$3)/SQRT(1-Correlation2),TRUE))</f>
        <v>-</v>
      </c>
      <c r="DL41" s="353" t="str">
        <f>IF($AN41&gt;CDS.Tenor,"-",_xlfn.NORM.S.DIST(($CR41-SQRT(Correlation2)*DL$3)/SQRT(1-Correlation2),TRUE))</f>
        <v>-</v>
      </c>
      <c r="DM41" s="353" t="str">
        <f>IF($AN41&gt;CDS.Tenor,"-",_xlfn.NORM.S.DIST(($CR41-SQRT(Correlation2)*DM$3)/SQRT(1-Correlation2),TRUE))</f>
        <v>-</v>
      </c>
      <c r="DN41" s="353" t="str">
        <f>IF($AN41&gt;CDS.Tenor,"-",_xlfn.NORM.S.DIST(($CR41-SQRT(Correlation2)*DN$3)/SQRT(1-Correlation2),TRUE))</f>
        <v>-</v>
      </c>
      <c r="DO41" s="354" t="str">
        <f>IF($AN41&gt;CDS.Tenor,"-",_xlfn.NORM.S.DIST(($CR41-SQRT(Correlation2)*DO$3)/SQRT(1-Correlation2),TRUE))</f>
        <v>-</v>
      </c>
      <c r="DQ41" s="358">
        <f t="shared" si="132"/>
        <v>9.25</v>
      </c>
      <c r="DR41" s="353" t="str">
        <f t="shared" si="133"/>
        <v>-</v>
      </c>
      <c r="DS41" s="353" t="str">
        <f t="shared" si="134"/>
        <v>-</v>
      </c>
      <c r="DT41" s="353" t="str">
        <f t="shared" si="135"/>
        <v>-</v>
      </c>
      <c r="DU41" s="353" t="str">
        <f t="shared" si="136"/>
        <v>-</v>
      </c>
      <c r="DV41" s="353" t="str">
        <f t="shared" si="137"/>
        <v>-</v>
      </c>
      <c r="DW41" s="353" t="str">
        <f t="shared" si="138"/>
        <v>-</v>
      </c>
      <c r="DX41" s="353" t="str">
        <f t="shared" si="139"/>
        <v>-</v>
      </c>
      <c r="DY41" s="353" t="str">
        <f t="shared" si="140"/>
        <v>-</v>
      </c>
      <c r="DZ41" s="353" t="str">
        <f t="shared" si="141"/>
        <v>-</v>
      </c>
      <c r="EA41" s="353" t="str">
        <f t="shared" si="142"/>
        <v>-</v>
      </c>
      <c r="EB41" s="353" t="str">
        <f t="shared" si="143"/>
        <v>-</v>
      </c>
      <c r="EC41" s="353" t="str">
        <f t="shared" si="144"/>
        <v>-</v>
      </c>
      <c r="ED41" s="353" t="str">
        <f t="shared" si="145"/>
        <v>-</v>
      </c>
      <c r="EE41" s="353" t="str">
        <f t="shared" si="146"/>
        <v>-</v>
      </c>
      <c r="EF41" s="353" t="str">
        <f t="shared" si="147"/>
        <v>-</v>
      </c>
      <c r="EG41" s="353" t="str">
        <f t="shared" si="148"/>
        <v>-</v>
      </c>
      <c r="EH41" s="353" t="str">
        <f t="shared" si="149"/>
        <v>-</v>
      </c>
      <c r="EI41" s="353" t="str">
        <f t="shared" si="150"/>
        <v>-</v>
      </c>
      <c r="EJ41" s="353" t="str">
        <f t="shared" si="151"/>
        <v>-</v>
      </c>
      <c r="EK41" s="353" t="str">
        <f t="shared" si="152"/>
        <v>-</v>
      </c>
      <c r="EL41" s="354" t="str">
        <f t="shared" si="153"/>
        <v>-</v>
      </c>
      <c r="EM41" s="17"/>
      <c r="EN41" s="17"/>
      <c r="EO41" s="343" t="str" cm="1">
        <f t="array" aca="1" ref="EO41" ca="1">IF($AN41&gt;CDS.Tenor,"-",flatInterpolation(CP41,INDIRECT(HazardRateTimes3),INDIRECT(HazardRateValues3)))</f>
        <v>-</v>
      </c>
      <c r="EP41" s="10" t="str">
        <f t="shared" si="154"/>
        <v>-</v>
      </c>
      <c r="EQ41" s="10" t="str">
        <f t="shared" si="155"/>
        <v>-</v>
      </c>
      <c r="ER41" s="81" t="str">
        <f t="shared" si="156"/>
        <v>-</v>
      </c>
      <c r="ET41" s="358">
        <f t="shared" si="157"/>
        <v>9.25</v>
      </c>
      <c r="EU41" s="353" t="str">
        <f>IF($AN41&gt;CDS.Tenor,"-",_xlfn.NORM.S.DIST(($ER41-SQRT(Correlation3)*EU$3)/SQRT(1-Correlation3),TRUE))</f>
        <v>-</v>
      </c>
      <c r="EV41" s="353" t="str">
        <f>IF($AN41&gt;CDS.Tenor,"-",_xlfn.NORM.S.DIST(($ER41-SQRT(Correlation3)*EV$3)/SQRT(1-Correlation3),TRUE))</f>
        <v>-</v>
      </c>
      <c r="EW41" s="353" t="str">
        <f>IF($AN41&gt;CDS.Tenor,"-",_xlfn.NORM.S.DIST(($ER41-SQRT(Correlation3)*EW$3)/SQRT(1-Correlation3),TRUE))</f>
        <v>-</v>
      </c>
      <c r="EX41" s="353" t="str">
        <f>IF($AN41&gt;CDS.Tenor,"-",_xlfn.NORM.S.DIST(($ER41-SQRT(Correlation3)*EX$3)/SQRT(1-Correlation3),TRUE))</f>
        <v>-</v>
      </c>
      <c r="EY41" s="353" t="str">
        <f>IF($AN41&gt;CDS.Tenor,"-",_xlfn.NORM.S.DIST(($ER41-SQRT(Correlation3)*EY$3)/SQRT(1-Correlation3),TRUE))</f>
        <v>-</v>
      </c>
      <c r="EZ41" s="353" t="str">
        <f>IF($AN41&gt;CDS.Tenor,"-",_xlfn.NORM.S.DIST(($ER41-SQRT(Correlation3)*EZ$3)/SQRT(1-Correlation3),TRUE))</f>
        <v>-</v>
      </c>
      <c r="FA41" s="353" t="str">
        <f>IF($AN41&gt;CDS.Tenor,"-",_xlfn.NORM.S.DIST(($ER41-SQRT(Correlation3)*FA$3)/SQRT(1-Correlation3),TRUE))</f>
        <v>-</v>
      </c>
      <c r="FB41" s="353" t="str">
        <f>IF($AN41&gt;CDS.Tenor,"-",_xlfn.NORM.S.DIST(($ER41-SQRT(Correlation3)*FB$3)/SQRT(1-Correlation3),TRUE))</f>
        <v>-</v>
      </c>
      <c r="FC41" s="353" t="str">
        <f>IF($AN41&gt;CDS.Tenor,"-",_xlfn.NORM.S.DIST(($ER41-SQRT(Correlation3)*FC$3)/SQRT(1-Correlation3),TRUE))</f>
        <v>-</v>
      </c>
      <c r="FD41" s="353" t="str">
        <f>IF($AN41&gt;CDS.Tenor,"-",_xlfn.NORM.S.DIST(($ER41-SQRT(Correlation3)*FD$3)/SQRT(1-Correlation3),TRUE))</f>
        <v>-</v>
      </c>
      <c r="FE41" s="353" t="str">
        <f>IF($AN41&gt;CDS.Tenor,"-",_xlfn.NORM.S.DIST(($ER41-SQRT(Correlation3)*FE$3)/SQRT(1-Correlation3),TRUE))</f>
        <v>-</v>
      </c>
      <c r="FF41" s="353" t="str">
        <f>IF($AN41&gt;CDS.Tenor,"-",_xlfn.NORM.S.DIST(($ER41-SQRT(Correlation3)*FF$3)/SQRT(1-Correlation3),TRUE))</f>
        <v>-</v>
      </c>
      <c r="FG41" s="353" t="str">
        <f>IF($AN41&gt;CDS.Tenor,"-",_xlfn.NORM.S.DIST(($ER41-SQRT(Correlation3)*FG$3)/SQRT(1-Correlation3),TRUE))</f>
        <v>-</v>
      </c>
      <c r="FH41" s="353" t="str">
        <f>IF($AN41&gt;CDS.Tenor,"-",_xlfn.NORM.S.DIST(($ER41-SQRT(Correlation3)*FH$3)/SQRT(1-Correlation3),TRUE))</f>
        <v>-</v>
      </c>
      <c r="FI41" s="353" t="str">
        <f>IF($AN41&gt;CDS.Tenor,"-",_xlfn.NORM.S.DIST(($ER41-SQRT(Correlation3)*FI$3)/SQRT(1-Correlation3),TRUE))</f>
        <v>-</v>
      </c>
      <c r="FJ41" s="353" t="str">
        <f>IF($AN41&gt;CDS.Tenor,"-",_xlfn.NORM.S.DIST(($ER41-SQRT(Correlation3)*FJ$3)/SQRT(1-Correlation3),TRUE))</f>
        <v>-</v>
      </c>
      <c r="FK41" s="353" t="str">
        <f>IF($AN41&gt;CDS.Tenor,"-",_xlfn.NORM.S.DIST(($ER41-SQRT(Correlation3)*FK$3)/SQRT(1-Correlation3),TRUE))</f>
        <v>-</v>
      </c>
      <c r="FL41" s="353" t="str">
        <f>IF($AN41&gt;CDS.Tenor,"-",_xlfn.NORM.S.DIST(($ER41-SQRT(Correlation3)*FL$3)/SQRT(1-Correlation3),TRUE))</f>
        <v>-</v>
      </c>
      <c r="FM41" s="353" t="str">
        <f>IF($AN41&gt;CDS.Tenor,"-",_xlfn.NORM.S.DIST(($ER41-SQRT(Correlation3)*FM$3)/SQRT(1-Correlation3),TRUE))</f>
        <v>-</v>
      </c>
      <c r="FN41" s="353" t="str">
        <f>IF($AN41&gt;CDS.Tenor,"-",_xlfn.NORM.S.DIST(($ER41-SQRT(Correlation3)*FN$3)/SQRT(1-Correlation3),TRUE))</f>
        <v>-</v>
      </c>
      <c r="FO41" s="354" t="str">
        <f>IF($AN41&gt;CDS.Tenor,"-",_xlfn.NORM.S.DIST(($ER41-SQRT(Correlation3)*FO$3)/SQRT(1-Correlation3),TRUE))</f>
        <v>-</v>
      </c>
      <c r="FQ41" s="358">
        <f t="shared" si="158"/>
        <v>9.25</v>
      </c>
      <c r="FR41" s="353" t="str">
        <f t="shared" si="159"/>
        <v>-</v>
      </c>
      <c r="FS41" s="353" t="str">
        <f t="shared" si="160"/>
        <v>-</v>
      </c>
      <c r="FT41" s="353" t="str">
        <f t="shared" si="161"/>
        <v>-</v>
      </c>
      <c r="FU41" s="353" t="str">
        <f t="shared" si="162"/>
        <v>-</v>
      </c>
      <c r="FV41" s="353" t="str">
        <f t="shared" si="163"/>
        <v>-</v>
      </c>
      <c r="FW41" s="353" t="str">
        <f t="shared" si="164"/>
        <v>-</v>
      </c>
      <c r="FX41" s="353" t="str">
        <f t="shared" si="165"/>
        <v>-</v>
      </c>
      <c r="FY41" s="353" t="str">
        <f t="shared" si="166"/>
        <v>-</v>
      </c>
      <c r="FZ41" s="353" t="str">
        <f t="shared" si="167"/>
        <v>-</v>
      </c>
      <c r="GA41" s="353" t="str">
        <f t="shared" si="168"/>
        <v>-</v>
      </c>
      <c r="GB41" s="353" t="str">
        <f t="shared" si="169"/>
        <v>-</v>
      </c>
      <c r="GC41" s="353" t="str">
        <f t="shared" si="170"/>
        <v>-</v>
      </c>
      <c r="GD41" s="353" t="str">
        <f t="shared" si="171"/>
        <v>-</v>
      </c>
      <c r="GE41" s="353" t="str">
        <f t="shared" si="172"/>
        <v>-</v>
      </c>
      <c r="GF41" s="353" t="str">
        <f t="shared" si="173"/>
        <v>-</v>
      </c>
      <c r="GG41" s="353" t="str">
        <f t="shared" si="174"/>
        <v>-</v>
      </c>
      <c r="GH41" s="353" t="str">
        <f t="shared" si="175"/>
        <v>-</v>
      </c>
      <c r="GI41" s="353" t="str">
        <f t="shared" si="176"/>
        <v>-</v>
      </c>
      <c r="GJ41" s="353" t="str">
        <f t="shared" si="177"/>
        <v>-</v>
      </c>
      <c r="GK41" s="353" t="str">
        <f t="shared" si="178"/>
        <v>-</v>
      </c>
      <c r="GL41" s="354" t="str">
        <f t="shared" si="179"/>
        <v>-</v>
      </c>
      <c r="GO41" s="358">
        <f t="shared" si="180"/>
        <v>9.25</v>
      </c>
      <c r="GP41" s="353" t="str">
        <f t="shared" si="181"/>
        <v>-</v>
      </c>
      <c r="GQ41" s="353" t="str">
        <f t="shared" si="182"/>
        <v>-</v>
      </c>
      <c r="GR41" s="353" t="str">
        <f t="shared" si="183"/>
        <v>-</v>
      </c>
      <c r="GS41" s="353" t="str">
        <f t="shared" si="184"/>
        <v>-</v>
      </c>
      <c r="GT41" s="353" t="str">
        <f t="shared" si="185"/>
        <v>-</v>
      </c>
      <c r="GU41" s="353" t="str">
        <f t="shared" si="186"/>
        <v>-</v>
      </c>
      <c r="GV41" s="353" t="str">
        <f t="shared" si="187"/>
        <v>-</v>
      </c>
      <c r="GW41" s="353" t="str">
        <f t="shared" si="188"/>
        <v>-</v>
      </c>
      <c r="GX41" s="353" t="str">
        <f t="shared" si="189"/>
        <v>-</v>
      </c>
      <c r="GY41" s="353" t="str">
        <f t="shared" si="190"/>
        <v>-</v>
      </c>
      <c r="GZ41" s="353" t="str">
        <f t="shared" si="191"/>
        <v>-</v>
      </c>
      <c r="HA41" s="353" t="str">
        <f t="shared" si="192"/>
        <v>-</v>
      </c>
      <c r="HB41" s="353" t="str">
        <f t="shared" si="193"/>
        <v>-</v>
      </c>
      <c r="HC41" s="353" t="str">
        <f t="shared" si="194"/>
        <v>-</v>
      </c>
      <c r="HD41" s="353" t="str">
        <f t="shared" si="195"/>
        <v>-</v>
      </c>
      <c r="HE41" s="353" t="str">
        <f t="shared" si="196"/>
        <v>-</v>
      </c>
      <c r="HF41" s="353" t="str">
        <f t="shared" si="197"/>
        <v>-</v>
      </c>
      <c r="HG41" s="353" t="str">
        <f t="shared" si="198"/>
        <v>-</v>
      </c>
      <c r="HH41" s="353" t="str">
        <f t="shared" si="199"/>
        <v>-</v>
      </c>
      <c r="HI41" s="353" t="str">
        <f t="shared" si="200"/>
        <v>-</v>
      </c>
      <c r="HJ41" s="354" t="str">
        <f t="shared" si="201"/>
        <v>-</v>
      </c>
      <c r="HK41" s="42"/>
      <c r="HL41" s="42"/>
      <c r="HM41" s="358">
        <f t="shared" si="202"/>
        <v>9.25</v>
      </c>
      <c r="HN41" s="362" t="str">
        <f t="shared" si="203"/>
        <v>-</v>
      </c>
      <c r="HO41" s="363" t="str">
        <f t="shared" si="204"/>
        <v>-</v>
      </c>
    </row>
    <row r="42" spans="22:223" x14ac:dyDescent="0.3">
      <c r="V42" s="370">
        <f t="shared" si="89"/>
        <v>9.5</v>
      </c>
      <c r="W42" s="371" t="str">
        <f t="shared" si="90"/>
        <v>-</v>
      </c>
      <c r="X42" s="348" t="str">
        <f t="shared" si="91"/>
        <v>-</v>
      </c>
      <c r="Y42" s="348" t="str">
        <f t="shared" si="92"/>
        <v>-</v>
      </c>
      <c r="Z42" s="372" t="str" cm="1">
        <f t="array" ref="Z42">IF($V42&gt;CDS.Tenor,"-",cubicInterpolation(CurveResults.Times,CurveResults.DFs,$V42))</f>
        <v>-</v>
      </c>
      <c r="AA42" s="371" t="str">
        <f t="shared" si="93"/>
        <v>-</v>
      </c>
      <c r="AB42" s="371" t="str">
        <f t="shared" si="94"/>
        <v>-</v>
      </c>
      <c r="AC42" s="373" t="str">
        <f t="shared" si="95"/>
        <v>-</v>
      </c>
      <c r="AF42" s="370">
        <f t="shared" si="96"/>
        <v>9.5</v>
      </c>
      <c r="AG42" s="371" t="str">
        <f t="shared" si="97"/>
        <v>-</v>
      </c>
      <c r="AH42" s="348" t="str">
        <f t="shared" si="98"/>
        <v>-</v>
      </c>
      <c r="AI42" s="348" t="str">
        <f t="shared" si="99"/>
        <v>-</v>
      </c>
      <c r="AJ42" s="372" t="str" cm="1">
        <f t="array" ref="AJ42">IF($AF42&gt;CDS.Tenor,"-",cubicInterpolation(CurveResults.Times,CurveResults.DFs,$V42))</f>
        <v>-</v>
      </c>
      <c r="AK42" s="373" t="str">
        <f t="shared" si="100"/>
        <v>-</v>
      </c>
      <c r="AN42" s="358">
        <f t="shared" si="101"/>
        <v>9.5</v>
      </c>
      <c r="AO42" s="343" t="str" cm="1">
        <f t="array" aca="1" ref="AO42" ca="1">IF($AN42&gt;CDS.Tenor,"-",flatInterpolation(AM42,INDIRECT(HazardRateTimes1),INDIRECT(HazardRateValues1)))</f>
        <v>-</v>
      </c>
      <c r="AP42" s="10" t="str">
        <f t="shared" si="102"/>
        <v>-</v>
      </c>
      <c r="AQ42" s="10" t="str">
        <f t="shared" si="103"/>
        <v>-</v>
      </c>
      <c r="AR42" s="81" t="str">
        <f t="shared" si="104"/>
        <v>-</v>
      </c>
      <c r="AT42" s="358">
        <f t="shared" si="105"/>
        <v>9.5</v>
      </c>
      <c r="AU42" s="353" t="str">
        <f>IF($AN42&gt;CDS.Tenor,"-",_xlfn.NORM.S.DIST(($AR42-SQRT(Correlation1)*AU$3)/SQRT(1-Correlation1),TRUE))</f>
        <v>-</v>
      </c>
      <c r="AV42" s="353" t="str">
        <f>IF($AN42&gt;CDS.Tenor,"-",_xlfn.NORM.S.DIST(($AR42-SQRT(Correlation1)*AV$3)/SQRT(1-Correlation1),TRUE))</f>
        <v>-</v>
      </c>
      <c r="AW42" s="353" t="str">
        <f>IF($AN42&gt;CDS.Tenor,"-",_xlfn.NORM.S.DIST(($AR42-SQRT(Correlation1)*AW$3)/SQRT(1-Correlation1),TRUE))</f>
        <v>-</v>
      </c>
      <c r="AX42" s="353" t="str">
        <f>IF($AN42&gt;CDS.Tenor,"-",_xlfn.NORM.S.DIST(($AR42-SQRT(Correlation1)*AX$3)/SQRT(1-Correlation1),TRUE))</f>
        <v>-</v>
      </c>
      <c r="AY42" s="353" t="str">
        <f>IF($AN42&gt;CDS.Tenor,"-",_xlfn.NORM.S.DIST(($AR42-SQRT(Correlation1)*AY$3)/SQRT(1-Correlation1),TRUE))</f>
        <v>-</v>
      </c>
      <c r="AZ42" s="353" t="str">
        <f>IF($AN42&gt;CDS.Tenor,"-",_xlfn.NORM.S.DIST(($AR42-SQRT(Correlation1)*AZ$3)/SQRT(1-Correlation1),TRUE))</f>
        <v>-</v>
      </c>
      <c r="BA42" s="353" t="str">
        <f>IF($AN42&gt;CDS.Tenor,"-",_xlfn.NORM.S.DIST(($AR42-SQRT(Correlation1)*BA$3)/SQRT(1-Correlation1),TRUE))</f>
        <v>-</v>
      </c>
      <c r="BB42" s="353" t="str">
        <f>IF($AN42&gt;CDS.Tenor,"-",_xlfn.NORM.S.DIST(($AR42-SQRT(Correlation1)*BB$3)/SQRT(1-Correlation1),TRUE))</f>
        <v>-</v>
      </c>
      <c r="BC42" s="353" t="str">
        <f>IF($AN42&gt;CDS.Tenor,"-",_xlfn.NORM.S.DIST(($AR42-SQRT(Correlation1)*BC$3)/SQRT(1-Correlation1),TRUE))</f>
        <v>-</v>
      </c>
      <c r="BD42" s="353" t="str">
        <f>IF($AN42&gt;CDS.Tenor,"-",_xlfn.NORM.S.DIST(($AR42-SQRT(Correlation1)*BD$3)/SQRT(1-Correlation1),TRUE))</f>
        <v>-</v>
      </c>
      <c r="BE42" s="353" t="str">
        <f>IF($AN42&gt;CDS.Tenor,"-",_xlfn.NORM.S.DIST(($AR42-SQRT(Correlation1)*BE$3)/SQRT(1-Correlation1),TRUE))</f>
        <v>-</v>
      </c>
      <c r="BF42" s="353" t="str">
        <f>IF($AN42&gt;CDS.Tenor,"-",_xlfn.NORM.S.DIST(($AR42-SQRT(Correlation1)*BF$3)/SQRT(1-Correlation1),TRUE))</f>
        <v>-</v>
      </c>
      <c r="BG42" s="353" t="str">
        <f>IF($AN42&gt;CDS.Tenor,"-",_xlfn.NORM.S.DIST(($AR42-SQRT(Correlation1)*BG$3)/SQRT(1-Correlation1),TRUE))</f>
        <v>-</v>
      </c>
      <c r="BH42" s="353" t="str">
        <f>IF($AN42&gt;CDS.Tenor,"-",_xlfn.NORM.S.DIST(($AR42-SQRT(Correlation1)*BH$3)/SQRT(1-Correlation1),TRUE))</f>
        <v>-</v>
      </c>
      <c r="BI42" s="353" t="str">
        <f>IF($AN42&gt;CDS.Tenor,"-",_xlfn.NORM.S.DIST(($AR42-SQRT(Correlation1)*BI$3)/SQRT(1-Correlation1),TRUE))</f>
        <v>-</v>
      </c>
      <c r="BJ42" s="353" t="str">
        <f>IF($AN42&gt;CDS.Tenor,"-",_xlfn.NORM.S.DIST(($AR42-SQRT(Correlation1)*BJ$3)/SQRT(1-Correlation1),TRUE))</f>
        <v>-</v>
      </c>
      <c r="BK42" s="353" t="str">
        <f>IF($AN42&gt;CDS.Tenor,"-",_xlfn.NORM.S.DIST(($AR42-SQRT(Correlation1)*BK$3)/SQRT(1-Correlation1),TRUE))</f>
        <v>-</v>
      </c>
      <c r="BL42" s="353" t="str">
        <f>IF($AN42&gt;CDS.Tenor,"-",_xlfn.NORM.S.DIST(($AR42-SQRT(Correlation1)*BL$3)/SQRT(1-Correlation1),TRUE))</f>
        <v>-</v>
      </c>
      <c r="BM42" s="353" t="str">
        <f>IF($AN42&gt;CDS.Tenor,"-",_xlfn.NORM.S.DIST(($AR42-SQRT(Correlation1)*BM$3)/SQRT(1-Correlation1),TRUE))</f>
        <v>-</v>
      </c>
      <c r="BN42" s="353" t="str">
        <f>IF($AN42&gt;CDS.Tenor,"-",_xlfn.NORM.S.DIST(($AR42-SQRT(Correlation1)*BN$3)/SQRT(1-Correlation1),TRUE))</f>
        <v>-</v>
      </c>
      <c r="BO42" s="354" t="str">
        <f>IF($AN42&gt;CDS.Tenor,"-",_xlfn.NORM.S.DIST(($AR42-SQRT(Correlation1)*BO$3)/SQRT(1-Correlation1),TRUE))</f>
        <v>-</v>
      </c>
      <c r="BQ42" s="358">
        <f t="shared" si="106"/>
        <v>9.5</v>
      </c>
      <c r="BR42" s="353" t="str">
        <f t="shared" si="107"/>
        <v>-</v>
      </c>
      <c r="BS42" s="353" t="str">
        <f t="shared" si="108"/>
        <v>-</v>
      </c>
      <c r="BT42" s="353" t="str">
        <f t="shared" si="109"/>
        <v>-</v>
      </c>
      <c r="BU42" s="353" t="str">
        <f t="shared" si="110"/>
        <v>-</v>
      </c>
      <c r="BV42" s="353" t="str">
        <f t="shared" si="111"/>
        <v>-</v>
      </c>
      <c r="BW42" s="353" t="str">
        <f t="shared" si="112"/>
        <v>-</v>
      </c>
      <c r="BX42" s="353" t="str">
        <f t="shared" si="113"/>
        <v>-</v>
      </c>
      <c r="BY42" s="353" t="str">
        <f t="shared" si="114"/>
        <v>-</v>
      </c>
      <c r="BZ42" s="353" t="str">
        <f t="shared" si="115"/>
        <v>-</v>
      </c>
      <c r="CA42" s="353" t="str">
        <f t="shared" si="116"/>
        <v>-</v>
      </c>
      <c r="CB42" s="353" t="str">
        <f t="shared" si="117"/>
        <v>-</v>
      </c>
      <c r="CC42" s="353" t="str">
        <f t="shared" si="118"/>
        <v>-</v>
      </c>
      <c r="CD42" s="353" t="str">
        <f t="shared" si="119"/>
        <v>-</v>
      </c>
      <c r="CE42" s="353" t="str">
        <f t="shared" si="120"/>
        <v>-</v>
      </c>
      <c r="CF42" s="353" t="str">
        <f t="shared" si="121"/>
        <v>-</v>
      </c>
      <c r="CG42" s="353" t="str">
        <f t="shared" si="122"/>
        <v>-</v>
      </c>
      <c r="CH42" s="353" t="str">
        <f t="shared" si="123"/>
        <v>-</v>
      </c>
      <c r="CI42" s="353" t="str">
        <f t="shared" si="124"/>
        <v>-</v>
      </c>
      <c r="CJ42" s="353" t="str">
        <f t="shared" si="125"/>
        <v>-</v>
      </c>
      <c r="CK42" s="353" t="str">
        <f t="shared" si="126"/>
        <v>-</v>
      </c>
      <c r="CL42" s="354" t="str">
        <f t="shared" si="127"/>
        <v>-</v>
      </c>
      <c r="CM42" s="17"/>
      <c r="CN42" s="17"/>
      <c r="CO42" s="343" t="str" cm="1">
        <f t="array" aca="1" ref="CO42" ca="1">IF($AN42&gt;CDS.Tenor,"-",flatInterpolation(AN42,INDIRECT(HazardRateTimes2),INDIRECT(HazardRateValues2)))</f>
        <v>-</v>
      </c>
      <c r="CP42" s="10" t="str">
        <f t="shared" si="128"/>
        <v>-</v>
      </c>
      <c r="CQ42" s="10" t="str">
        <f t="shared" si="129"/>
        <v>-</v>
      </c>
      <c r="CR42" s="81" t="str">
        <f t="shared" si="130"/>
        <v>-</v>
      </c>
      <c r="CT42" s="358">
        <f t="shared" si="131"/>
        <v>9.5</v>
      </c>
      <c r="CU42" s="353" t="str">
        <f>IF($AN42&gt;CDS.Tenor,"-",_xlfn.NORM.S.DIST(($CR42-SQRT(Correlation2)*CU$3)/SQRT(1-Correlation2),TRUE))</f>
        <v>-</v>
      </c>
      <c r="CV42" s="353" t="str">
        <f>IF($AN42&gt;CDS.Tenor,"-",_xlfn.NORM.S.DIST(($CR42-SQRT(Correlation2)*CV$3)/SQRT(1-Correlation2),TRUE))</f>
        <v>-</v>
      </c>
      <c r="CW42" s="353" t="str">
        <f>IF($AN42&gt;CDS.Tenor,"-",_xlfn.NORM.S.DIST(($CR42-SQRT(Correlation2)*CW$3)/SQRT(1-Correlation2),TRUE))</f>
        <v>-</v>
      </c>
      <c r="CX42" s="353" t="str">
        <f>IF($AN42&gt;CDS.Tenor,"-",_xlfn.NORM.S.DIST(($CR42-SQRT(Correlation2)*CX$3)/SQRT(1-Correlation2),TRUE))</f>
        <v>-</v>
      </c>
      <c r="CY42" s="353" t="str">
        <f>IF($AN42&gt;CDS.Tenor,"-",_xlfn.NORM.S.DIST(($CR42-SQRT(Correlation2)*CY$3)/SQRT(1-Correlation2),TRUE))</f>
        <v>-</v>
      </c>
      <c r="CZ42" s="353" t="str">
        <f>IF($AN42&gt;CDS.Tenor,"-",_xlfn.NORM.S.DIST(($CR42-SQRT(Correlation2)*CZ$3)/SQRT(1-Correlation2),TRUE))</f>
        <v>-</v>
      </c>
      <c r="DA42" s="353" t="str">
        <f>IF($AN42&gt;CDS.Tenor,"-",_xlfn.NORM.S.DIST(($CR42-SQRT(Correlation2)*DA$3)/SQRT(1-Correlation2),TRUE))</f>
        <v>-</v>
      </c>
      <c r="DB42" s="353" t="str">
        <f>IF($AN42&gt;CDS.Tenor,"-",_xlfn.NORM.S.DIST(($CR42-SQRT(Correlation2)*DB$3)/SQRT(1-Correlation2),TRUE))</f>
        <v>-</v>
      </c>
      <c r="DC42" s="353" t="str">
        <f>IF($AN42&gt;CDS.Tenor,"-",_xlfn.NORM.S.DIST(($CR42-SQRT(Correlation2)*DC$3)/SQRT(1-Correlation2),TRUE))</f>
        <v>-</v>
      </c>
      <c r="DD42" s="353" t="str">
        <f>IF($AN42&gt;CDS.Tenor,"-",_xlfn.NORM.S.DIST(($CR42-SQRT(Correlation2)*DD$3)/SQRT(1-Correlation2),TRUE))</f>
        <v>-</v>
      </c>
      <c r="DE42" s="353" t="str">
        <f>IF($AN42&gt;CDS.Tenor,"-",_xlfn.NORM.S.DIST(($CR42-SQRT(Correlation2)*DE$3)/SQRT(1-Correlation2),TRUE))</f>
        <v>-</v>
      </c>
      <c r="DF42" s="353" t="str">
        <f>IF($AN42&gt;CDS.Tenor,"-",_xlfn.NORM.S.DIST(($CR42-SQRT(Correlation2)*DF$3)/SQRT(1-Correlation2),TRUE))</f>
        <v>-</v>
      </c>
      <c r="DG42" s="353" t="str">
        <f>IF($AN42&gt;CDS.Tenor,"-",_xlfn.NORM.S.DIST(($CR42-SQRT(Correlation2)*DG$3)/SQRT(1-Correlation2),TRUE))</f>
        <v>-</v>
      </c>
      <c r="DH42" s="353" t="str">
        <f>IF($AN42&gt;CDS.Tenor,"-",_xlfn.NORM.S.DIST(($CR42-SQRT(Correlation2)*DH$3)/SQRT(1-Correlation2),TRUE))</f>
        <v>-</v>
      </c>
      <c r="DI42" s="353" t="str">
        <f>IF($AN42&gt;CDS.Tenor,"-",_xlfn.NORM.S.DIST(($CR42-SQRT(Correlation2)*DI$3)/SQRT(1-Correlation2),TRUE))</f>
        <v>-</v>
      </c>
      <c r="DJ42" s="353" t="str">
        <f>IF($AN42&gt;CDS.Tenor,"-",_xlfn.NORM.S.DIST(($CR42-SQRT(Correlation2)*DJ$3)/SQRT(1-Correlation2),TRUE))</f>
        <v>-</v>
      </c>
      <c r="DK42" s="353" t="str">
        <f>IF($AN42&gt;CDS.Tenor,"-",_xlfn.NORM.S.DIST(($CR42-SQRT(Correlation2)*DK$3)/SQRT(1-Correlation2),TRUE))</f>
        <v>-</v>
      </c>
      <c r="DL42" s="353" t="str">
        <f>IF($AN42&gt;CDS.Tenor,"-",_xlfn.NORM.S.DIST(($CR42-SQRT(Correlation2)*DL$3)/SQRT(1-Correlation2),TRUE))</f>
        <v>-</v>
      </c>
      <c r="DM42" s="353" t="str">
        <f>IF($AN42&gt;CDS.Tenor,"-",_xlfn.NORM.S.DIST(($CR42-SQRT(Correlation2)*DM$3)/SQRT(1-Correlation2),TRUE))</f>
        <v>-</v>
      </c>
      <c r="DN42" s="353" t="str">
        <f>IF($AN42&gt;CDS.Tenor,"-",_xlfn.NORM.S.DIST(($CR42-SQRT(Correlation2)*DN$3)/SQRT(1-Correlation2),TRUE))</f>
        <v>-</v>
      </c>
      <c r="DO42" s="354" t="str">
        <f>IF($AN42&gt;CDS.Tenor,"-",_xlfn.NORM.S.DIST(($CR42-SQRT(Correlation2)*DO$3)/SQRT(1-Correlation2),TRUE))</f>
        <v>-</v>
      </c>
      <c r="DQ42" s="358">
        <f t="shared" si="132"/>
        <v>9.5</v>
      </c>
      <c r="DR42" s="353" t="str">
        <f t="shared" si="133"/>
        <v>-</v>
      </c>
      <c r="DS42" s="353" t="str">
        <f t="shared" si="134"/>
        <v>-</v>
      </c>
      <c r="DT42" s="353" t="str">
        <f t="shared" si="135"/>
        <v>-</v>
      </c>
      <c r="DU42" s="353" t="str">
        <f t="shared" si="136"/>
        <v>-</v>
      </c>
      <c r="DV42" s="353" t="str">
        <f t="shared" si="137"/>
        <v>-</v>
      </c>
      <c r="DW42" s="353" t="str">
        <f t="shared" si="138"/>
        <v>-</v>
      </c>
      <c r="DX42" s="353" t="str">
        <f t="shared" si="139"/>
        <v>-</v>
      </c>
      <c r="DY42" s="353" t="str">
        <f t="shared" si="140"/>
        <v>-</v>
      </c>
      <c r="DZ42" s="353" t="str">
        <f t="shared" si="141"/>
        <v>-</v>
      </c>
      <c r="EA42" s="353" t="str">
        <f t="shared" si="142"/>
        <v>-</v>
      </c>
      <c r="EB42" s="353" t="str">
        <f t="shared" si="143"/>
        <v>-</v>
      </c>
      <c r="EC42" s="353" t="str">
        <f t="shared" si="144"/>
        <v>-</v>
      </c>
      <c r="ED42" s="353" t="str">
        <f t="shared" si="145"/>
        <v>-</v>
      </c>
      <c r="EE42" s="353" t="str">
        <f t="shared" si="146"/>
        <v>-</v>
      </c>
      <c r="EF42" s="353" t="str">
        <f t="shared" si="147"/>
        <v>-</v>
      </c>
      <c r="EG42" s="353" t="str">
        <f t="shared" si="148"/>
        <v>-</v>
      </c>
      <c r="EH42" s="353" t="str">
        <f t="shared" si="149"/>
        <v>-</v>
      </c>
      <c r="EI42" s="353" t="str">
        <f t="shared" si="150"/>
        <v>-</v>
      </c>
      <c r="EJ42" s="353" t="str">
        <f t="shared" si="151"/>
        <v>-</v>
      </c>
      <c r="EK42" s="353" t="str">
        <f t="shared" si="152"/>
        <v>-</v>
      </c>
      <c r="EL42" s="354" t="str">
        <f t="shared" si="153"/>
        <v>-</v>
      </c>
      <c r="EM42" s="17"/>
      <c r="EN42" s="17"/>
      <c r="EO42" s="343" t="str" cm="1">
        <f t="array" aca="1" ref="EO42" ca="1">IF($AN42&gt;CDS.Tenor,"-",flatInterpolation(CP42,INDIRECT(HazardRateTimes3),INDIRECT(HazardRateValues3)))</f>
        <v>-</v>
      </c>
      <c r="EP42" s="10" t="str">
        <f t="shared" si="154"/>
        <v>-</v>
      </c>
      <c r="EQ42" s="10" t="str">
        <f t="shared" si="155"/>
        <v>-</v>
      </c>
      <c r="ER42" s="81" t="str">
        <f t="shared" si="156"/>
        <v>-</v>
      </c>
      <c r="ET42" s="358">
        <f t="shared" si="157"/>
        <v>9.5</v>
      </c>
      <c r="EU42" s="353" t="str">
        <f>IF($AN42&gt;CDS.Tenor,"-",_xlfn.NORM.S.DIST(($ER42-SQRT(Correlation3)*EU$3)/SQRT(1-Correlation3),TRUE))</f>
        <v>-</v>
      </c>
      <c r="EV42" s="353" t="str">
        <f>IF($AN42&gt;CDS.Tenor,"-",_xlfn.NORM.S.DIST(($ER42-SQRT(Correlation3)*EV$3)/SQRT(1-Correlation3),TRUE))</f>
        <v>-</v>
      </c>
      <c r="EW42" s="353" t="str">
        <f>IF($AN42&gt;CDS.Tenor,"-",_xlfn.NORM.S.DIST(($ER42-SQRT(Correlation3)*EW$3)/SQRT(1-Correlation3),TRUE))</f>
        <v>-</v>
      </c>
      <c r="EX42" s="353" t="str">
        <f>IF($AN42&gt;CDS.Tenor,"-",_xlfn.NORM.S.DIST(($ER42-SQRT(Correlation3)*EX$3)/SQRT(1-Correlation3),TRUE))</f>
        <v>-</v>
      </c>
      <c r="EY42" s="353" t="str">
        <f>IF($AN42&gt;CDS.Tenor,"-",_xlfn.NORM.S.DIST(($ER42-SQRT(Correlation3)*EY$3)/SQRT(1-Correlation3),TRUE))</f>
        <v>-</v>
      </c>
      <c r="EZ42" s="353" t="str">
        <f>IF($AN42&gt;CDS.Tenor,"-",_xlfn.NORM.S.DIST(($ER42-SQRT(Correlation3)*EZ$3)/SQRT(1-Correlation3),TRUE))</f>
        <v>-</v>
      </c>
      <c r="FA42" s="353" t="str">
        <f>IF($AN42&gt;CDS.Tenor,"-",_xlfn.NORM.S.DIST(($ER42-SQRT(Correlation3)*FA$3)/SQRT(1-Correlation3),TRUE))</f>
        <v>-</v>
      </c>
      <c r="FB42" s="353" t="str">
        <f>IF($AN42&gt;CDS.Tenor,"-",_xlfn.NORM.S.DIST(($ER42-SQRT(Correlation3)*FB$3)/SQRT(1-Correlation3),TRUE))</f>
        <v>-</v>
      </c>
      <c r="FC42" s="353" t="str">
        <f>IF($AN42&gt;CDS.Tenor,"-",_xlfn.NORM.S.DIST(($ER42-SQRT(Correlation3)*FC$3)/SQRT(1-Correlation3),TRUE))</f>
        <v>-</v>
      </c>
      <c r="FD42" s="353" t="str">
        <f>IF($AN42&gt;CDS.Tenor,"-",_xlfn.NORM.S.DIST(($ER42-SQRT(Correlation3)*FD$3)/SQRT(1-Correlation3),TRUE))</f>
        <v>-</v>
      </c>
      <c r="FE42" s="353" t="str">
        <f>IF($AN42&gt;CDS.Tenor,"-",_xlfn.NORM.S.DIST(($ER42-SQRT(Correlation3)*FE$3)/SQRT(1-Correlation3),TRUE))</f>
        <v>-</v>
      </c>
      <c r="FF42" s="353" t="str">
        <f>IF($AN42&gt;CDS.Tenor,"-",_xlfn.NORM.S.DIST(($ER42-SQRT(Correlation3)*FF$3)/SQRT(1-Correlation3),TRUE))</f>
        <v>-</v>
      </c>
      <c r="FG42" s="353" t="str">
        <f>IF($AN42&gt;CDS.Tenor,"-",_xlfn.NORM.S.DIST(($ER42-SQRT(Correlation3)*FG$3)/SQRT(1-Correlation3),TRUE))</f>
        <v>-</v>
      </c>
      <c r="FH42" s="353" t="str">
        <f>IF($AN42&gt;CDS.Tenor,"-",_xlfn.NORM.S.DIST(($ER42-SQRT(Correlation3)*FH$3)/SQRT(1-Correlation3),TRUE))</f>
        <v>-</v>
      </c>
      <c r="FI42" s="353" t="str">
        <f>IF($AN42&gt;CDS.Tenor,"-",_xlfn.NORM.S.DIST(($ER42-SQRT(Correlation3)*FI$3)/SQRT(1-Correlation3),TRUE))</f>
        <v>-</v>
      </c>
      <c r="FJ42" s="353" t="str">
        <f>IF($AN42&gt;CDS.Tenor,"-",_xlfn.NORM.S.DIST(($ER42-SQRT(Correlation3)*FJ$3)/SQRT(1-Correlation3),TRUE))</f>
        <v>-</v>
      </c>
      <c r="FK42" s="353" t="str">
        <f>IF($AN42&gt;CDS.Tenor,"-",_xlfn.NORM.S.DIST(($ER42-SQRT(Correlation3)*FK$3)/SQRT(1-Correlation3),TRUE))</f>
        <v>-</v>
      </c>
      <c r="FL42" s="353" t="str">
        <f>IF($AN42&gt;CDS.Tenor,"-",_xlfn.NORM.S.DIST(($ER42-SQRT(Correlation3)*FL$3)/SQRT(1-Correlation3),TRUE))</f>
        <v>-</v>
      </c>
      <c r="FM42" s="353" t="str">
        <f>IF($AN42&gt;CDS.Tenor,"-",_xlfn.NORM.S.DIST(($ER42-SQRT(Correlation3)*FM$3)/SQRT(1-Correlation3),TRUE))</f>
        <v>-</v>
      </c>
      <c r="FN42" s="353" t="str">
        <f>IF($AN42&gt;CDS.Tenor,"-",_xlfn.NORM.S.DIST(($ER42-SQRT(Correlation3)*FN$3)/SQRT(1-Correlation3),TRUE))</f>
        <v>-</v>
      </c>
      <c r="FO42" s="354" t="str">
        <f>IF($AN42&gt;CDS.Tenor,"-",_xlfn.NORM.S.DIST(($ER42-SQRT(Correlation3)*FO$3)/SQRT(1-Correlation3),TRUE))</f>
        <v>-</v>
      </c>
      <c r="FQ42" s="358">
        <f t="shared" si="158"/>
        <v>9.5</v>
      </c>
      <c r="FR42" s="353" t="str">
        <f t="shared" si="159"/>
        <v>-</v>
      </c>
      <c r="FS42" s="353" t="str">
        <f t="shared" si="160"/>
        <v>-</v>
      </c>
      <c r="FT42" s="353" t="str">
        <f t="shared" si="161"/>
        <v>-</v>
      </c>
      <c r="FU42" s="353" t="str">
        <f t="shared" si="162"/>
        <v>-</v>
      </c>
      <c r="FV42" s="353" t="str">
        <f t="shared" si="163"/>
        <v>-</v>
      </c>
      <c r="FW42" s="353" t="str">
        <f t="shared" si="164"/>
        <v>-</v>
      </c>
      <c r="FX42" s="353" t="str">
        <f t="shared" si="165"/>
        <v>-</v>
      </c>
      <c r="FY42" s="353" t="str">
        <f t="shared" si="166"/>
        <v>-</v>
      </c>
      <c r="FZ42" s="353" t="str">
        <f t="shared" si="167"/>
        <v>-</v>
      </c>
      <c r="GA42" s="353" t="str">
        <f t="shared" si="168"/>
        <v>-</v>
      </c>
      <c r="GB42" s="353" t="str">
        <f t="shared" si="169"/>
        <v>-</v>
      </c>
      <c r="GC42" s="353" t="str">
        <f t="shared" si="170"/>
        <v>-</v>
      </c>
      <c r="GD42" s="353" t="str">
        <f t="shared" si="171"/>
        <v>-</v>
      </c>
      <c r="GE42" s="353" t="str">
        <f t="shared" si="172"/>
        <v>-</v>
      </c>
      <c r="GF42" s="353" t="str">
        <f t="shared" si="173"/>
        <v>-</v>
      </c>
      <c r="GG42" s="353" t="str">
        <f t="shared" si="174"/>
        <v>-</v>
      </c>
      <c r="GH42" s="353" t="str">
        <f t="shared" si="175"/>
        <v>-</v>
      </c>
      <c r="GI42" s="353" t="str">
        <f t="shared" si="176"/>
        <v>-</v>
      </c>
      <c r="GJ42" s="353" t="str">
        <f t="shared" si="177"/>
        <v>-</v>
      </c>
      <c r="GK42" s="353" t="str">
        <f t="shared" si="178"/>
        <v>-</v>
      </c>
      <c r="GL42" s="354" t="str">
        <f t="shared" si="179"/>
        <v>-</v>
      </c>
      <c r="GO42" s="358">
        <f t="shared" si="180"/>
        <v>9.5</v>
      </c>
      <c r="GP42" s="353" t="str">
        <f t="shared" si="181"/>
        <v>-</v>
      </c>
      <c r="GQ42" s="353" t="str">
        <f t="shared" si="182"/>
        <v>-</v>
      </c>
      <c r="GR42" s="353" t="str">
        <f t="shared" si="183"/>
        <v>-</v>
      </c>
      <c r="GS42" s="353" t="str">
        <f t="shared" si="184"/>
        <v>-</v>
      </c>
      <c r="GT42" s="353" t="str">
        <f t="shared" si="185"/>
        <v>-</v>
      </c>
      <c r="GU42" s="353" t="str">
        <f t="shared" si="186"/>
        <v>-</v>
      </c>
      <c r="GV42" s="353" t="str">
        <f t="shared" si="187"/>
        <v>-</v>
      </c>
      <c r="GW42" s="353" t="str">
        <f t="shared" si="188"/>
        <v>-</v>
      </c>
      <c r="GX42" s="353" t="str">
        <f t="shared" si="189"/>
        <v>-</v>
      </c>
      <c r="GY42" s="353" t="str">
        <f t="shared" si="190"/>
        <v>-</v>
      </c>
      <c r="GZ42" s="353" t="str">
        <f t="shared" si="191"/>
        <v>-</v>
      </c>
      <c r="HA42" s="353" t="str">
        <f t="shared" si="192"/>
        <v>-</v>
      </c>
      <c r="HB42" s="353" t="str">
        <f t="shared" si="193"/>
        <v>-</v>
      </c>
      <c r="HC42" s="353" t="str">
        <f t="shared" si="194"/>
        <v>-</v>
      </c>
      <c r="HD42" s="353" t="str">
        <f t="shared" si="195"/>
        <v>-</v>
      </c>
      <c r="HE42" s="353" t="str">
        <f t="shared" si="196"/>
        <v>-</v>
      </c>
      <c r="HF42" s="353" t="str">
        <f t="shared" si="197"/>
        <v>-</v>
      </c>
      <c r="HG42" s="353" t="str">
        <f t="shared" si="198"/>
        <v>-</v>
      </c>
      <c r="HH42" s="353" t="str">
        <f t="shared" si="199"/>
        <v>-</v>
      </c>
      <c r="HI42" s="353" t="str">
        <f t="shared" si="200"/>
        <v>-</v>
      </c>
      <c r="HJ42" s="354" t="str">
        <f t="shared" si="201"/>
        <v>-</v>
      </c>
      <c r="HK42" s="42"/>
      <c r="HL42" s="42"/>
      <c r="HM42" s="358">
        <f t="shared" si="202"/>
        <v>9.5</v>
      </c>
      <c r="HN42" s="362" t="str">
        <f t="shared" si="203"/>
        <v>-</v>
      </c>
      <c r="HO42" s="363" t="str">
        <f t="shared" si="204"/>
        <v>-</v>
      </c>
    </row>
    <row r="43" spans="22:223" x14ac:dyDescent="0.3">
      <c r="V43" s="370">
        <f t="shared" si="89"/>
        <v>9.75</v>
      </c>
      <c r="W43" s="371" t="str">
        <f t="shared" si="90"/>
        <v>-</v>
      </c>
      <c r="X43" s="348" t="str">
        <f t="shared" si="91"/>
        <v>-</v>
      </c>
      <c r="Y43" s="348" t="str">
        <f t="shared" si="92"/>
        <v>-</v>
      </c>
      <c r="Z43" s="372" t="str" cm="1">
        <f t="array" ref="Z43">IF($V43&gt;CDS.Tenor,"-",cubicInterpolation(CurveResults.Times,CurveResults.DFs,$V43))</f>
        <v>-</v>
      </c>
      <c r="AA43" s="371" t="str">
        <f t="shared" si="93"/>
        <v>-</v>
      </c>
      <c r="AB43" s="371" t="str">
        <f t="shared" si="94"/>
        <v>-</v>
      </c>
      <c r="AC43" s="373" t="str">
        <f t="shared" si="95"/>
        <v>-</v>
      </c>
      <c r="AF43" s="370">
        <f t="shared" si="96"/>
        <v>9.75</v>
      </c>
      <c r="AG43" s="371" t="str">
        <f t="shared" si="97"/>
        <v>-</v>
      </c>
      <c r="AH43" s="348" t="str">
        <f t="shared" si="98"/>
        <v>-</v>
      </c>
      <c r="AI43" s="348" t="str">
        <f t="shared" si="99"/>
        <v>-</v>
      </c>
      <c r="AJ43" s="372" t="str" cm="1">
        <f t="array" ref="AJ43">IF($AF43&gt;CDS.Tenor,"-",cubicInterpolation(CurveResults.Times,CurveResults.DFs,$V43))</f>
        <v>-</v>
      </c>
      <c r="AK43" s="373" t="str">
        <f t="shared" si="100"/>
        <v>-</v>
      </c>
      <c r="AN43" s="358">
        <f t="shared" si="101"/>
        <v>9.75</v>
      </c>
      <c r="AO43" s="343" t="str" cm="1">
        <f t="array" aca="1" ref="AO43" ca="1">IF($AN43&gt;CDS.Tenor,"-",flatInterpolation(AM43,INDIRECT(HazardRateTimes1),INDIRECT(HazardRateValues1)))</f>
        <v>-</v>
      </c>
      <c r="AP43" s="10" t="str">
        <f t="shared" si="102"/>
        <v>-</v>
      </c>
      <c r="AQ43" s="10" t="str">
        <f t="shared" si="103"/>
        <v>-</v>
      </c>
      <c r="AR43" s="81" t="str">
        <f t="shared" si="104"/>
        <v>-</v>
      </c>
      <c r="AT43" s="358">
        <f t="shared" si="105"/>
        <v>9.75</v>
      </c>
      <c r="AU43" s="353" t="str">
        <f>IF($AN43&gt;CDS.Tenor,"-",_xlfn.NORM.S.DIST(($AR43-SQRT(Correlation1)*AU$3)/SQRT(1-Correlation1),TRUE))</f>
        <v>-</v>
      </c>
      <c r="AV43" s="353" t="str">
        <f>IF($AN43&gt;CDS.Tenor,"-",_xlfn.NORM.S.DIST(($AR43-SQRT(Correlation1)*AV$3)/SQRT(1-Correlation1),TRUE))</f>
        <v>-</v>
      </c>
      <c r="AW43" s="353" t="str">
        <f>IF($AN43&gt;CDS.Tenor,"-",_xlfn.NORM.S.DIST(($AR43-SQRT(Correlation1)*AW$3)/SQRT(1-Correlation1),TRUE))</f>
        <v>-</v>
      </c>
      <c r="AX43" s="353" t="str">
        <f>IF($AN43&gt;CDS.Tenor,"-",_xlfn.NORM.S.DIST(($AR43-SQRT(Correlation1)*AX$3)/SQRT(1-Correlation1),TRUE))</f>
        <v>-</v>
      </c>
      <c r="AY43" s="353" t="str">
        <f>IF($AN43&gt;CDS.Tenor,"-",_xlfn.NORM.S.DIST(($AR43-SQRT(Correlation1)*AY$3)/SQRT(1-Correlation1),TRUE))</f>
        <v>-</v>
      </c>
      <c r="AZ43" s="353" t="str">
        <f>IF($AN43&gt;CDS.Tenor,"-",_xlfn.NORM.S.DIST(($AR43-SQRT(Correlation1)*AZ$3)/SQRT(1-Correlation1),TRUE))</f>
        <v>-</v>
      </c>
      <c r="BA43" s="353" t="str">
        <f>IF($AN43&gt;CDS.Tenor,"-",_xlfn.NORM.S.DIST(($AR43-SQRT(Correlation1)*BA$3)/SQRT(1-Correlation1),TRUE))</f>
        <v>-</v>
      </c>
      <c r="BB43" s="353" t="str">
        <f>IF($AN43&gt;CDS.Tenor,"-",_xlfn.NORM.S.DIST(($AR43-SQRT(Correlation1)*BB$3)/SQRT(1-Correlation1),TRUE))</f>
        <v>-</v>
      </c>
      <c r="BC43" s="353" t="str">
        <f>IF($AN43&gt;CDS.Tenor,"-",_xlfn.NORM.S.DIST(($AR43-SQRT(Correlation1)*BC$3)/SQRT(1-Correlation1),TRUE))</f>
        <v>-</v>
      </c>
      <c r="BD43" s="353" t="str">
        <f>IF($AN43&gt;CDS.Tenor,"-",_xlfn.NORM.S.DIST(($AR43-SQRT(Correlation1)*BD$3)/SQRT(1-Correlation1),TRUE))</f>
        <v>-</v>
      </c>
      <c r="BE43" s="353" t="str">
        <f>IF($AN43&gt;CDS.Tenor,"-",_xlfn.NORM.S.DIST(($AR43-SQRT(Correlation1)*BE$3)/SQRT(1-Correlation1),TRUE))</f>
        <v>-</v>
      </c>
      <c r="BF43" s="353" t="str">
        <f>IF($AN43&gt;CDS.Tenor,"-",_xlfn.NORM.S.DIST(($AR43-SQRT(Correlation1)*BF$3)/SQRT(1-Correlation1),TRUE))</f>
        <v>-</v>
      </c>
      <c r="BG43" s="353" t="str">
        <f>IF($AN43&gt;CDS.Tenor,"-",_xlfn.NORM.S.DIST(($AR43-SQRT(Correlation1)*BG$3)/SQRT(1-Correlation1),TRUE))</f>
        <v>-</v>
      </c>
      <c r="BH43" s="353" t="str">
        <f>IF($AN43&gt;CDS.Tenor,"-",_xlfn.NORM.S.DIST(($AR43-SQRT(Correlation1)*BH$3)/SQRT(1-Correlation1),TRUE))</f>
        <v>-</v>
      </c>
      <c r="BI43" s="353" t="str">
        <f>IF($AN43&gt;CDS.Tenor,"-",_xlfn.NORM.S.DIST(($AR43-SQRT(Correlation1)*BI$3)/SQRT(1-Correlation1),TRUE))</f>
        <v>-</v>
      </c>
      <c r="BJ43" s="353" t="str">
        <f>IF($AN43&gt;CDS.Tenor,"-",_xlfn.NORM.S.DIST(($AR43-SQRT(Correlation1)*BJ$3)/SQRT(1-Correlation1),TRUE))</f>
        <v>-</v>
      </c>
      <c r="BK43" s="353" t="str">
        <f>IF($AN43&gt;CDS.Tenor,"-",_xlfn.NORM.S.DIST(($AR43-SQRT(Correlation1)*BK$3)/SQRT(1-Correlation1),TRUE))</f>
        <v>-</v>
      </c>
      <c r="BL43" s="353" t="str">
        <f>IF($AN43&gt;CDS.Tenor,"-",_xlfn.NORM.S.DIST(($AR43-SQRT(Correlation1)*BL$3)/SQRT(1-Correlation1),TRUE))</f>
        <v>-</v>
      </c>
      <c r="BM43" s="353" t="str">
        <f>IF($AN43&gt;CDS.Tenor,"-",_xlfn.NORM.S.DIST(($AR43-SQRT(Correlation1)*BM$3)/SQRT(1-Correlation1),TRUE))</f>
        <v>-</v>
      </c>
      <c r="BN43" s="353" t="str">
        <f>IF($AN43&gt;CDS.Tenor,"-",_xlfn.NORM.S.DIST(($AR43-SQRT(Correlation1)*BN$3)/SQRT(1-Correlation1),TRUE))</f>
        <v>-</v>
      </c>
      <c r="BO43" s="354" t="str">
        <f>IF($AN43&gt;CDS.Tenor,"-",_xlfn.NORM.S.DIST(($AR43-SQRT(Correlation1)*BO$3)/SQRT(1-Correlation1),TRUE))</f>
        <v>-</v>
      </c>
      <c r="BQ43" s="358">
        <f t="shared" si="106"/>
        <v>9.75</v>
      </c>
      <c r="BR43" s="353" t="str">
        <f t="shared" si="107"/>
        <v>-</v>
      </c>
      <c r="BS43" s="353" t="str">
        <f t="shared" si="108"/>
        <v>-</v>
      </c>
      <c r="BT43" s="353" t="str">
        <f t="shared" si="109"/>
        <v>-</v>
      </c>
      <c r="BU43" s="353" t="str">
        <f t="shared" si="110"/>
        <v>-</v>
      </c>
      <c r="BV43" s="353" t="str">
        <f t="shared" si="111"/>
        <v>-</v>
      </c>
      <c r="BW43" s="353" t="str">
        <f t="shared" si="112"/>
        <v>-</v>
      </c>
      <c r="BX43" s="353" t="str">
        <f t="shared" si="113"/>
        <v>-</v>
      </c>
      <c r="BY43" s="353" t="str">
        <f t="shared" si="114"/>
        <v>-</v>
      </c>
      <c r="BZ43" s="353" t="str">
        <f t="shared" si="115"/>
        <v>-</v>
      </c>
      <c r="CA43" s="353" t="str">
        <f t="shared" si="116"/>
        <v>-</v>
      </c>
      <c r="CB43" s="353" t="str">
        <f t="shared" si="117"/>
        <v>-</v>
      </c>
      <c r="CC43" s="353" t="str">
        <f t="shared" si="118"/>
        <v>-</v>
      </c>
      <c r="CD43" s="353" t="str">
        <f t="shared" si="119"/>
        <v>-</v>
      </c>
      <c r="CE43" s="353" t="str">
        <f t="shared" si="120"/>
        <v>-</v>
      </c>
      <c r="CF43" s="353" t="str">
        <f t="shared" si="121"/>
        <v>-</v>
      </c>
      <c r="CG43" s="353" t="str">
        <f t="shared" si="122"/>
        <v>-</v>
      </c>
      <c r="CH43" s="353" t="str">
        <f t="shared" si="123"/>
        <v>-</v>
      </c>
      <c r="CI43" s="353" t="str">
        <f t="shared" si="124"/>
        <v>-</v>
      </c>
      <c r="CJ43" s="353" t="str">
        <f t="shared" si="125"/>
        <v>-</v>
      </c>
      <c r="CK43" s="353" t="str">
        <f t="shared" si="126"/>
        <v>-</v>
      </c>
      <c r="CL43" s="354" t="str">
        <f t="shared" si="127"/>
        <v>-</v>
      </c>
      <c r="CM43" s="17"/>
      <c r="CN43" s="17"/>
      <c r="CO43" s="343" t="str" cm="1">
        <f t="array" aca="1" ref="CO43" ca="1">IF($AN43&gt;CDS.Tenor,"-",flatInterpolation(AN43,INDIRECT(HazardRateTimes2),INDIRECT(HazardRateValues2)))</f>
        <v>-</v>
      </c>
      <c r="CP43" s="10" t="str">
        <f t="shared" si="128"/>
        <v>-</v>
      </c>
      <c r="CQ43" s="10" t="str">
        <f t="shared" si="129"/>
        <v>-</v>
      </c>
      <c r="CR43" s="81" t="str">
        <f t="shared" si="130"/>
        <v>-</v>
      </c>
      <c r="CT43" s="358">
        <f t="shared" si="131"/>
        <v>9.75</v>
      </c>
      <c r="CU43" s="353" t="str">
        <f>IF($AN43&gt;CDS.Tenor,"-",_xlfn.NORM.S.DIST(($CR43-SQRT(Correlation2)*CU$3)/SQRT(1-Correlation2),TRUE))</f>
        <v>-</v>
      </c>
      <c r="CV43" s="353" t="str">
        <f>IF($AN43&gt;CDS.Tenor,"-",_xlfn.NORM.S.DIST(($CR43-SQRT(Correlation2)*CV$3)/SQRT(1-Correlation2),TRUE))</f>
        <v>-</v>
      </c>
      <c r="CW43" s="353" t="str">
        <f>IF($AN43&gt;CDS.Tenor,"-",_xlfn.NORM.S.DIST(($CR43-SQRT(Correlation2)*CW$3)/SQRT(1-Correlation2),TRUE))</f>
        <v>-</v>
      </c>
      <c r="CX43" s="353" t="str">
        <f>IF($AN43&gt;CDS.Tenor,"-",_xlfn.NORM.S.DIST(($CR43-SQRT(Correlation2)*CX$3)/SQRT(1-Correlation2),TRUE))</f>
        <v>-</v>
      </c>
      <c r="CY43" s="353" t="str">
        <f>IF($AN43&gt;CDS.Tenor,"-",_xlfn.NORM.S.DIST(($CR43-SQRT(Correlation2)*CY$3)/SQRT(1-Correlation2),TRUE))</f>
        <v>-</v>
      </c>
      <c r="CZ43" s="353" t="str">
        <f>IF($AN43&gt;CDS.Tenor,"-",_xlfn.NORM.S.DIST(($CR43-SQRT(Correlation2)*CZ$3)/SQRT(1-Correlation2),TRUE))</f>
        <v>-</v>
      </c>
      <c r="DA43" s="353" t="str">
        <f>IF($AN43&gt;CDS.Tenor,"-",_xlfn.NORM.S.DIST(($CR43-SQRT(Correlation2)*DA$3)/SQRT(1-Correlation2),TRUE))</f>
        <v>-</v>
      </c>
      <c r="DB43" s="353" t="str">
        <f>IF($AN43&gt;CDS.Tenor,"-",_xlfn.NORM.S.DIST(($CR43-SQRT(Correlation2)*DB$3)/SQRT(1-Correlation2),TRUE))</f>
        <v>-</v>
      </c>
      <c r="DC43" s="353" t="str">
        <f>IF($AN43&gt;CDS.Tenor,"-",_xlfn.NORM.S.DIST(($CR43-SQRT(Correlation2)*DC$3)/SQRT(1-Correlation2),TRUE))</f>
        <v>-</v>
      </c>
      <c r="DD43" s="353" t="str">
        <f>IF($AN43&gt;CDS.Tenor,"-",_xlfn.NORM.S.DIST(($CR43-SQRT(Correlation2)*DD$3)/SQRT(1-Correlation2),TRUE))</f>
        <v>-</v>
      </c>
      <c r="DE43" s="353" t="str">
        <f>IF($AN43&gt;CDS.Tenor,"-",_xlfn.NORM.S.DIST(($CR43-SQRT(Correlation2)*DE$3)/SQRT(1-Correlation2),TRUE))</f>
        <v>-</v>
      </c>
      <c r="DF43" s="353" t="str">
        <f>IF($AN43&gt;CDS.Tenor,"-",_xlfn.NORM.S.DIST(($CR43-SQRT(Correlation2)*DF$3)/SQRT(1-Correlation2),TRUE))</f>
        <v>-</v>
      </c>
      <c r="DG43" s="353" t="str">
        <f>IF($AN43&gt;CDS.Tenor,"-",_xlfn.NORM.S.DIST(($CR43-SQRT(Correlation2)*DG$3)/SQRT(1-Correlation2),TRUE))</f>
        <v>-</v>
      </c>
      <c r="DH43" s="353" t="str">
        <f>IF($AN43&gt;CDS.Tenor,"-",_xlfn.NORM.S.DIST(($CR43-SQRT(Correlation2)*DH$3)/SQRT(1-Correlation2),TRUE))</f>
        <v>-</v>
      </c>
      <c r="DI43" s="353" t="str">
        <f>IF($AN43&gt;CDS.Tenor,"-",_xlfn.NORM.S.DIST(($CR43-SQRT(Correlation2)*DI$3)/SQRT(1-Correlation2),TRUE))</f>
        <v>-</v>
      </c>
      <c r="DJ43" s="353" t="str">
        <f>IF($AN43&gt;CDS.Tenor,"-",_xlfn.NORM.S.DIST(($CR43-SQRT(Correlation2)*DJ$3)/SQRT(1-Correlation2),TRUE))</f>
        <v>-</v>
      </c>
      <c r="DK43" s="353" t="str">
        <f>IF($AN43&gt;CDS.Tenor,"-",_xlfn.NORM.S.DIST(($CR43-SQRT(Correlation2)*DK$3)/SQRT(1-Correlation2),TRUE))</f>
        <v>-</v>
      </c>
      <c r="DL43" s="353" t="str">
        <f>IF($AN43&gt;CDS.Tenor,"-",_xlfn.NORM.S.DIST(($CR43-SQRT(Correlation2)*DL$3)/SQRT(1-Correlation2),TRUE))</f>
        <v>-</v>
      </c>
      <c r="DM43" s="353" t="str">
        <f>IF($AN43&gt;CDS.Tenor,"-",_xlfn.NORM.S.DIST(($CR43-SQRT(Correlation2)*DM$3)/SQRT(1-Correlation2),TRUE))</f>
        <v>-</v>
      </c>
      <c r="DN43" s="353" t="str">
        <f>IF($AN43&gt;CDS.Tenor,"-",_xlfn.NORM.S.DIST(($CR43-SQRT(Correlation2)*DN$3)/SQRT(1-Correlation2),TRUE))</f>
        <v>-</v>
      </c>
      <c r="DO43" s="354" t="str">
        <f>IF($AN43&gt;CDS.Tenor,"-",_xlfn.NORM.S.DIST(($CR43-SQRT(Correlation2)*DO$3)/SQRT(1-Correlation2),TRUE))</f>
        <v>-</v>
      </c>
      <c r="DQ43" s="358">
        <f t="shared" si="132"/>
        <v>9.75</v>
      </c>
      <c r="DR43" s="353" t="str">
        <f t="shared" si="133"/>
        <v>-</v>
      </c>
      <c r="DS43" s="353" t="str">
        <f t="shared" si="134"/>
        <v>-</v>
      </c>
      <c r="DT43" s="353" t="str">
        <f t="shared" si="135"/>
        <v>-</v>
      </c>
      <c r="DU43" s="353" t="str">
        <f t="shared" si="136"/>
        <v>-</v>
      </c>
      <c r="DV43" s="353" t="str">
        <f t="shared" si="137"/>
        <v>-</v>
      </c>
      <c r="DW43" s="353" t="str">
        <f t="shared" si="138"/>
        <v>-</v>
      </c>
      <c r="DX43" s="353" t="str">
        <f t="shared" si="139"/>
        <v>-</v>
      </c>
      <c r="DY43" s="353" t="str">
        <f t="shared" si="140"/>
        <v>-</v>
      </c>
      <c r="DZ43" s="353" t="str">
        <f t="shared" si="141"/>
        <v>-</v>
      </c>
      <c r="EA43" s="353" t="str">
        <f t="shared" si="142"/>
        <v>-</v>
      </c>
      <c r="EB43" s="353" t="str">
        <f t="shared" si="143"/>
        <v>-</v>
      </c>
      <c r="EC43" s="353" t="str">
        <f t="shared" si="144"/>
        <v>-</v>
      </c>
      <c r="ED43" s="353" t="str">
        <f t="shared" si="145"/>
        <v>-</v>
      </c>
      <c r="EE43" s="353" t="str">
        <f t="shared" si="146"/>
        <v>-</v>
      </c>
      <c r="EF43" s="353" t="str">
        <f t="shared" si="147"/>
        <v>-</v>
      </c>
      <c r="EG43" s="353" t="str">
        <f t="shared" si="148"/>
        <v>-</v>
      </c>
      <c r="EH43" s="353" t="str">
        <f t="shared" si="149"/>
        <v>-</v>
      </c>
      <c r="EI43" s="353" t="str">
        <f t="shared" si="150"/>
        <v>-</v>
      </c>
      <c r="EJ43" s="353" t="str">
        <f t="shared" si="151"/>
        <v>-</v>
      </c>
      <c r="EK43" s="353" t="str">
        <f t="shared" si="152"/>
        <v>-</v>
      </c>
      <c r="EL43" s="354" t="str">
        <f t="shared" si="153"/>
        <v>-</v>
      </c>
      <c r="EM43" s="17"/>
      <c r="EN43" s="17"/>
      <c r="EO43" s="343" t="str" cm="1">
        <f t="array" aca="1" ref="EO43" ca="1">IF($AN43&gt;CDS.Tenor,"-",flatInterpolation(CP43,INDIRECT(HazardRateTimes3),INDIRECT(HazardRateValues3)))</f>
        <v>-</v>
      </c>
      <c r="EP43" s="10" t="str">
        <f t="shared" si="154"/>
        <v>-</v>
      </c>
      <c r="EQ43" s="10" t="str">
        <f t="shared" si="155"/>
        <v>-</v>
      </c>
      <c r="ER43" s="81" t="str">
        <f t="shared" si="156"/>
        <v>-</v>
      </c>
      <c r="ET43" s="358">
        <f t="shared" si="157"/>
        <v>9.75</v>
      </c>
      <c r="EU43" s="353" t="str">
        <f>IF($AN43&gt;CDS.Tenor,"-",_xlfn.NORM.S.DIST(($ER43-SQRT(Correlation3)*EU$3)/SQRT(1-Correlation3),TRUE))</f>
        <v>-</v>
      </c>
      <c r="EV43" s="353" t="str">
        <f>IF($AN43&gt;CDS.Tenor,"-",_xlfn.NORM.S.DIST(($ER43-SQRT(Correlation3)*EV$3)/SQRT(1-Correlation3),TRUE))</f>
        <v>-</v>
      </c>
      <c r="EW43" s="353" t="str">
        <f>IF($AN43&gt;CDS.Tenor,"-",_xlfn.NORM.S.DIST(($ER43-SQRT(Correlation3)*EW$3)/SQRT(1-Correlation3),TRUE))</f>
        <v>-</v>
      </c>
      <c r="EX43" s="353" t="str">
        <f>IF($AN43&gt;CDS.Tenor,"-",_xlfn.NORM.S.DIST(($ER43-SQRT(Correlation3)*EX$3)/SQRT(1-Correlation3),TRUE))</f>
        <v>-</v>
      </c>
      <c r="EY43" s="353" t="str">
        <f>IF($AN43&gt;CDS.Tenor,"-",_xlfn.NORM.S.DIST(($ER43-SQRT(Correlation3)*EY$3)/SQRT(1-Correlation3),TRUE))</f>
        <v>-</v>
      </c>
      <c r="EZ43" s="353" t="str">
        <f>IF($AN43&gt;CDS.Tenor,"-",_xlfn.NORM.S.DIST(($ER43-SQRT(Correlation3)*EZ$3)/SQRT(1-Correlation3),TRUE))</f>
        <v>-</v>
      </c>
      <c r="FA43" s="353" t="str">
        <f>IF($AN43&gt;CDS.Tenor,"-",_xlfn.NORM.S.DIST(($ER43-SQRT(Correlation3)*FA$3)/SQRT(1-Correlation3),TRUE))</f>
        <v>-</v>
      </c>
      <c r="FB43" s="353" t="str">
        <f>IF($AN43&gt;CDS.Tenor,"-",_xlfn.NORM.S.DIST(($ER43-SQRT(Correlation3)*FB$3)/SQRT(1-Correlation3),TRUE))</f>
        <v>-</v>
      </c>
      <c r="FC43" s="353" t="str">
        <f>IF($AN43&gt;CDS.Tenor,"-",_xlfn.NORM.S.DIST(($ER43-SQRT(Correlation3)*FC$3)/SQRT(1-Correlation3),TRUE))</f>
        <v>-</v>
      </c>
      <c r="FD43" s="353" t="str">
        <f>IF($AN43&gt;CDS.Tenor,"-",_xlfn.NORM.S.DIST(($ER43-SQRT(Correlation3)*FD$3)/SQRT(1-Correlation3),TRUE))</f>
        <v>-</v>
      </c>
      <c r="FE43" s="353" t="str">
        <f>IF($AN43&gt;CDS.Tenor,"-",_xlfn.NORM.S.DIST(($ER43-SQRT(Correlation3)*FE$3)/SQRT(1-Correlation3),TRUE))</f>
        <v>-</v>
      </c>
      <c r="FF43" s="353" t="str">
        <f>IF($AN43&gt;CDS.Tenor,"-",_xlfn.NORM.S.DIST(($ER43-SQRT(Correlation3)*FF$3)/SQRT(1-Correlation3),TRUE))</f>
        <v>-</v>
      </c>
      <c r="FG43" s="353" t="str">
        <f>IF($AN43&gt;CDS.Tenor,"-",_xlfn.NORM.S.DIST(($ER43-SQRT(Correlation3)*FG$3)/SQRT(1-Correlation3),TRUE))</f>
        <v>-</v>
      </c>
      <c r="FH43" s="353" t="str">
        <f>IF($AN43&gt;CDS.Tenor,"-",_xlfn.NORM.S.DIST(($ER43-SQRT(Correlation3)*FH$3)/SQRT(1-Correlation3),TRUE))</f>
        <v>-</v>
      </c>
      <c r="FI43" s="353" t="str">
        <f>IF($AN43&gt;CDS.Tenor,"-",_xlfn.NORM.S.DIST(($ER43-SQRT(Correlation3)*FI$3)/SQRT(1-Correlation3),TRUE))</f>
        <v>-</v>
      </c>
      <c r="FJ43" s="353" t="str">
        <f>IF($AN43&gt;CDS.Tenor,"-",_xlfn.NORM.S.DIST(($ER43-SQRT(Correlation3)*FJ$3)/SQRT(1-Correlation3),TRUE))</f>
        <v>-</v>
      </c>
      <c r="FK43" s="353" t="str">
        <f>IF($AN43&gt;CDS.Tenor,"-",_xlfn.NORM.S.DIST(($ER43-SQRT(Correlation3)*FK$3)/SQRT(1-Correlation3),TRUE))</f>
        <v>-</v>
      </c>
      <c r="FL43" s="353" t="str">
        <f>IF($AN43&gt;CDS.Tenor,"-",_xlfn.NORM.S.DIST(($ER43-SQRT(Correlation3)*FL$3)/SQRT(1-Correlation3),TRUE))</f>
        <v>-</v>
      </c>
      <c r="FM43" s="353" t="str">
        <f>IF($AN43&gt;CDS.Tenor,"-",_xlfn.NORM.S.DIST(($ER43-SQRT(Correlation3)*FM$3)/SQRT(1-Correlation3),TRUE))</f>
        <v>-</v>
      </c>
      <c r="FN43" s="353" t="str">
        <f>IF($AN43&gt;CDS.Tenor,"-",_xlfn.NORM.S.DIST(($ER43-SQRT(Correlation3)*FN$3)/SQRT(1-Correlation3),TRUE))</f>
        <v>-</v>
      </c>
      <c r="FO43" s="354" t="str">
        <f>IF($AN43&gt;CDS.Tenor,"-",_xlfn.NORM.S.DIST(($ER43-SQRT(Correlation3)*FO$3)/SQRT(1-Correlation3),TRUE))</f>
        <v>-</v>
      </c>
      <c r="FQ43" s="358">
        <f t="shared" si="158"/>
        <v>9.75</v>
      </c>
      <c r="FR43" s="353" t="str">
        <f t="shared" si="159"/>
        <v>-</v>
      </c>
      <c r="FS43" s="353" t="str">
        <f t="shared" si="160"/>
        <v>-</v>
      </c>
      <c r="FT43" s="353" t="str">
        <f t="shared" si="161"/>
        <v>-</v>
      </c>
      <c r="FU43" s="353" t="str">
        <f t="shared" si="162"/>
        <v>-</v>
      </c>
      <c r="FV43" s="353" t="str">
        <f t="shared" si="163"/>
        <v>-</v>
      </c>
      <c r="FW43" s="353" t="str">
        <f t="shared" si="164"/>
        <v>-</v>
      </c>
      <c r="FX43" s="353" t="str">
        <f t="shared" si="165"/>
        <v>-</v>
      </c>
      <c r="FY43" s="353" t="str">
        <f t="shared" si="166"/>
        <v>-</v>
      </c>
      <c r="FZ43" s="353" t="str">
        <f t="shared" si="167"/>
        <v>-</v>
      </c>
      <c r="GA43" s="353" t="str">
        <f t="shared" si="168"/>
        <v>-</v>
      </c>
      <c r="GB43" s="353" t="str">
        <f t="shared" si="169"/>
        <v>-</v>
      </c>
      <c r="GC43" s="353" t="str">
        <f t="shared" si="170"/>
        <v>-</v>
      </c>
      <c r="GD43" s="353" t="str">
        <f t="shared" si="171"/>
        <v>-</v>
      </c>
      <c r="GE43" s="353" t="str">
        <f t="shared" si="172"/>
        <v>-</v>
      </c>
      <c r="GF43" s="353" t="str">
        <f t="shared" si="173"/>
        <v>-</v>
      </c>
      <c r="GG43" s="353" t="str">
        <f t="shared" si="174"/>
        <v>-</v>
      </c>
      <c r="GH43" s="353" t="str">
        <f t="shared" si="175"/>
        <v>-</v>
      </c>
      <c r="GI43" s="353" t="str">
        <f t="shared" si="176"/>
        <v>-</v>
      </c>
      <c r="GJ43" s="353" t="str">
        <f t="shared" si="177"/>
        <v>-</v>
      </c>
      <c r="GK43" s="353" t="str">
        <f t="shared" si="178"/>
        <v>-</v>
      </c>
      <c r="GL43" s="354" t="str">
        <f t="shared" si="179"/>
        <v>-</v>
      </c>
      <c r="GO43" s="358">
        <f t="shared" si="180"/>
        <v>9.75</v>
      </c>
      <c r="GP43" s="353" t="str">
        <f t="shared" si="181"/>
        <v>-</v>
      </c>
      <c r="GQ43" s="353" t="str">
        <f t="shared" si="182"/>
        <v>-</v>
      </c>
      <c r="GR43" s="353" t="str">
        <f t="shared" si="183"/>
        <v>-</v>
      </c>
      <c r="GS43" s="353" t="str">
        <f t="shared" si="184"/>
        <v>-</v>
      </c>
      <c r="GT43" s="353" t="str">
        <f t="shared" si="185"/>
        <v>-</v>
      </c>
      <c r="GU43" s="353" t="str">
        <f t="shared" si="186"/>
        <v>-</v>
      </c>
      <c r="GV43" s="353" t="str">
        <f t="shared" si="187"/>
        <v>-</v>
      </c>
      <c r="GW43" s="353" t="str">
        <f t="shared" si="188"/>
        <v>-</v>
      </c>
      <c r="GX43" s="353" t="str">
        <f t="shared" si="189"/>
        <v>-</v>
      </c>
      <c r="GY43" s="353" t="str">
        <f t="shared" si="190"/>
        <v>-</v>
      </c>
      <c r="GZ43" s="353" t="str">
        <f t="shared" si="191"/>
        <v>-</v>
      </c>
      <c r="HA43" s="353" t="str">
        <f t="shared" si="192"/>
        <v>-</v>
      </c>
      <c r="HB43" s="353" t="str">
        <f t="shared" si="193"/>
        <v>-</v>
      </c>
      <c r="HC43" s="353" t="str">
        <f t="shared" si="194"/>
        <v>-</v>
      </c>
      <c r="HD43" s="353" t="str">
        <f t="shared" si="195"/>
        <v>-</v>
      </c>
      <c r="HE43" s="353" t="str">
        <f t="shared" si="196"/>
        <v>-</v>
      </c>
      <c r="HF43" s="353" t="str">
        <f t="shared" si="197"/>
        <v>-</v>
      </c>
      <c r="HG43" s="353" t="str">
        <f t="shared" si="198"/>
        <v>-</v>
      </c>
      <c r="HH43" s="353" t="str">
        <f t="shared" si="199"/>
        <v>-</v>
      </c>
      <c r="HI43" s="353" t="str">
        <f t="shared" si="200"/>
        <v>-</v>
      </c>
      <c r="HJ43" s="354" t="str">
        <f t="shared" si="201"/>
        <v>-</v>
      </c>
      <c r="HK43" s="42"/>
      <c r="HL43" s="42"/>
      <c r="HM43" s="358">
        <f t="shared" si="202"/>
        <v>9.75</v>
      </c>
      <c r="HN43" s="362" t="str">
        <f t="shared" si="203"/>
        <v>-</v>
      </c>
      <c r="HO43" s="363" t="str">
        <f t="shared" si="204"/>
        <v>-</v>
      </c>
    </row>
    <row r="44" spans="22:223" x14ac:dyDescent="0.3">
      <c r="V44" s="374">
        <f t="shared" si="89"/>
        <v>10</v>
      </c>
      <c r="W44" s="375" t="str">
        <f t="shared" si="90"/>
        <v>-</v>
      </c>
      <c r="X44" s="349" t="str">
        <f t="shared" si="91"/>
        <v>-</v>
      </c>
      <c r="Y44" s="349" t="str">
        <f t="shared" si="92"/>
        <v>-</v>
      </c>
      <c r="Z44" s="376" t="str" cm="1">
        <f t="array" ref="Z44">IF($V44&gt;CDS.Tenor,"-",cubicInterpolation(CurveResults.Times,CurveResults.DFs,$V44))</f>
        <v>-</v>
      </c>
      <c r="AA44" s="375" t="str">
        <f t="shared" si="93"/>
        <v>-</v>
      </c>
      <c r="AB44" s="375" t="str">
        <f t="shared" si="94"/>
        <v>-</v>
      </c>
      <c r="AC44" s="377" t="str">
        <f t="shared" si="95"/>
        <v>-</v>
      </c>
      <c r="AF44" s="374">
        <f t="shared" si="96"/>
        <v>10</v>
      </c>
      <c r="AG44" s="375" t="str">
        <f t="shared" si="97"/>
        <v>-</v>
      </c>
      <c r="AH44" s="349" t="str">
        <f t="shared" si="98"/>
        <v>-</v>
      </c>
      <c r="AI44" s="349" t="str">
        <f t="shared" si="99"/>
        <v>-</v>
      </c>
      <c r="AJ44" s="376" t="str" cm="1">
        <f t="array" ref="AJ44">IF($AF44&gt;CDS.Tenor,"-",cubicInterpolation(CurveResults.Times,CurveResults.DFs,$V44))</f>
        <v>-</v>
      </c>
      <c r="AK44" s="377" t="str">
        <f t="shared" si="100"/>
        <v>-</v>
      </c>
      <c r="AN44" s="359">
        <f t="shared" si="101"/>
        <v>10</v>
      </c>
      <c r="AO44" s="344" t="str" cm="1">
        <f t="array" aca="1" ref="AO44" ca="1">IF($AN44&gt;CDS.Tenor,"-",flatInterpolation(AM44,INDIRECT(HazardRateTimes1),INDIRECT(HazardRateValues1)))</f>
        <v>-</v>
      </c>
      <c r="AP44" s="131" t="str">
        <f t="shared" si="102"/>
        <v>-</v>
      </c>
      <c r="AQ44" s="131" t="str">
        <f t="shared" si="103"/>
        <v>-</v>
      </c>
      <c r="AR44" s="82" t="str">
        <f t="shared" si="104"/>
        <v>-</v>
      </c>
      <c r="AS44" s="17"/>
      <c r="AT44" s="359">
        <f t="shared" si="105"/>
        <v>10</v>
      </c>
      <c r="AU44" s="355" t="str">
        <f>IF($AN44&gt;CDS.Tenor,"-",_xlfn.NORM.S.DIST(($AR44-SQRT(Correlation1)*AU$3)/SQRT(1-Correlation1),TRUE))</f>
        <v>-</v>
      </c>
      <c r="AV44" s="355" t="str">
        <f>IF($AN44&gt;CDS.Tenor,"-",_xlfn.NORM.S.DIST(($AR44-SQRT(Correlation1)*AV$3)/SQRT(1-Correlation1),TRUE))</f>
        <v>-</v>
      </c>
      <c r="AW44" s="355" t="str">
        <f>IF($AN44&gt;CDS.Tenor,"-",_xlfn.NORM.S.DIST(($AR44-SQRT(Correlation1)*AW$3)/SQRT(1-Correlation1),TRUE))</f>
        <v>-</v>
      </c>
      <c r="AX44" s="355" t="str">
        <f>IF($AN44&gt;CDS.Tenor,"-",_xlfn.NORM.S.DIST(($AR44-SQRT(Correlation1)*AX$3)/SQRT(1-Correlation1),TRUE))</f>
        <v>-</v>
      </c>
      <c r="AY44" s="355" t="str">
        <f>IF($AN44&gt;CDS.Tenor,"-",_xlfn.NORM.S.DIST(($AR44-SQRT(Correlation1)*AY$3)/SQRT(1-Correlation1),TRUE))</f>
        <v>-</v>
      </c>
      <c r="AZ44" s="355" t="str">
        <f>IF($AN44&gt;CDS.Tenor,"-",_xlfn.NORM.S.DIST(($AR44-SQRT(Correlation1)*AZ$3)/SQRT(1-Correlation1),TRUE))</f>
        <v>-</v>
      </c>
      <c r="BA44" s="355" t="str">
        <f>IF($AN44&gt;CDS.Tenor,"-",_xlfn.NORM.S.DIST(($AR44-SQRT(Correlation1)*BA$3)/SQRT(1-Correlation1),TRUE))</f>
        <v>-</v>
      </c>
      <c r="BB44" s="355" t="str">
        <f>IF($AN44&gt;CDS.Tenor,"-",_xlfn.NORM.S.DIST(($AR44-SQRT(Correlation1)*BB$3)/SQRT(1-Correlation1),TRUE))</f>
        <v>-</v>
      </c>
      <c r="BC44" s="355" t="str">
        <f>IF($AN44&gt;CDS.Tenor,"-",_xlfn.NORM.S.DIST(($AR44-SQRT(Correlation1)*BC$3)/SQRT(1-Correlation1),TRUE))</f>
        <v>-</v>
      </c>
      <c r="BD44" s="355" t="str">
        <f>IF($AN44&gt;CDS.Tenor,"-",_xlfn.NORM.S.DIST(($AR44-SQRT(Correlation1)*BD$3)/SQRT(1-Correlation1),TRUE))</f>
        <v>-</v>
      </c>
      <c r="BE44" s="355" t="str">
        <f>IF($AN44&gt;CDS.Tenor,"-",_xlfn.NORM.S.DIST(($AR44-SQRT(Correlation1)*BE$3)/SQRT(1-Correlation1),TRUE))</f>
        <v>-</v>
      </c>
      <c r="BF44" s="355" t="str">
        <f>IF($AN44&gt;CDS.Tenor,"-",_xlfn.NORM.S.DIST(($AR44-SQRT(Correlation1)*BF$3)/SQRT(1-Correlation1),TRUE))</f>
        <v>-</v>
      </c>
      <c r="BG44" s="355" t="str">
        <f>IF($AN44&gt;CDS.Tenor,"-",_xlfn.NORM.S.DIST(($AR44-SQRT(Correlation1)*BG$3)/SQRT(1-Correlation1),TRUE))</f>
        <v>-</v>
      </c>
      <c r="BH44" s="355" t="str">
        <f>IF($AN44&gt;CDS.Tenor,"-",_xlfn.NORM.S.DIST(($AR44-SQRT(Correlation1)*BH$3)/SQRT(1-Correlation1),TRUE))</f>
        <v>-</v>
      </c>
      <c r="BI44" s="355" t="str">
        <f>IF($AN44&gt;CDS.Tenor,"-",_xlfn.NORM.S.DIST(($AR44-SQRT(Correlation1)*BI$3)/SQRT(1-Correlation1),TRUE))</f>
        <v>-</v>
      </c>
      <c r="BJ44" s="355" t="str">
        <f>IF($AN44&gt;CDS.Tenor,"-",_xlfn.NORM.S.DIST(($AR44-SQRT(Correlation1)*BJ$3)/SQRT(1-Correlation1),TRUE))</f>
        <v>-</v>
      </c>
      <c r="BK44" s="355" t="str">
        <f>IF($AN44&gt;CDS.Tenor,"-",_xlfn.NORM.S.DIST(($AR44-SQRT(Correlation1)*BK$3)/SQRT(1-Correlation1),TRUE))</f>
        <v>-</v>
      </c>
      <c r="BL44" s="355" t="str">
        <f>IF($AN44&gt;CDS.Tenor,"-",_xlfn.NORM.S.DIST(($AR44-SQRT(Correlation1)*BL$3)/SQRT(1-Correlation1),TRUE))</f>
        <v>-</v>
      </c>
      <c r="BM44" s="355" t="str">
        <f>IF($AN44&gt;CDS.Tenor,"-",_xlfn.NORM.S.DIST(($AR44-SQRT(Correlation1)*BM$3)/SQRT(1-Correlation1),TRUE))</f>
        <v>-</v>
      </c>
      <c r="BN44" s="355" t="str">
        <f>IF($AN44&gt;CDS.Tenor,"-",_xlfn.NORM.S.DIST(($AR44-SQRT(Correlation1)*BN$3)/SQRT(1-Correlation1),TRUE))</f>
        <v>-</v>
      </c>
      <c r="BO44" s="356" t="str">
        <f>IF($AN44&gt;CDS.Tenor,"-",_xlfn.NORM.S.DIST(($AR44-SQRT(Correlation1)*BO$3)/SQRT(1-Correlation1),TRUE))</f>
        <v>-</v>
      </c>
      <c r="BP44" s="17"/>
      <c r="BQ44" s="359">
        <f t="shared" si="106"/>
        <v>10</v>
      </c>
      <c r="BR44" s="355" t="str">
        <f t="shared" si="107"/>
        <v>-</v>
      </c>
      <c r="BS44" s="355" t="str">
        <f t="shared" si="108"/>
        <v>-</v>
      </c>
      <c r="BT44" s="355" t="str">
        <f t="shared" si="109"/>
        <v>-</v>
      </c>
      <c r="BU44" s="355" t="str">
        <f t="shared" si="110"/>
        <v>-</v>
      </c>
      <c r="BV44" s="355" t="str">
        <f t="shared" si="111"/>
        <v>-</v>
      </c>
      <c r="BW44" s="355" t="str">
        <f t="shared" si="112"/>
        <v>-</v>
      </c>
      <c r="BX44" s="355" t="str">
        <f t="shared" si="113"/>
        <v>-</v>
      </c>
      <c r="BY44" s="355" t="str">
        <f t="shared" si="114"/>
        <v>-</v>
      </c>
      <c r="BZ44" s="355" t="str">
        <f t="shared" si="115"/>
        <v>-</v>
      </c>
      <c r="CA44" s="355" t="str">
        <f t="shared" si="116"/>
        <v>-</v>
      </c>
      <c r="CB44" s="355" t="str">
        <f t="shared" si="117"/>
        <v>-</v>
      </c>
      <c r="CC44" s="355" t="str">
        <f t="shared" si="118"/>
        <v>-</v>
      </c>
      <c r="CD44" s="355" t="str">
        <f t="shared" si="119"/>
        <v>-</v>
      </c>
      <c r="CE44" s="355" t="str">
        <f t="shared" si="120"/>
        <v>-</v>
      </c>
      <c r="CF44" s="355" t="str">
        <f t="shared" si="121"/>
        <v>-</v>
      </c>
      <c r="CG44" s="355" t="str">
        <f t="shared" si="122"/>
        <v>-</v>
      </c>
      <c r="CH44" s="355" t="str">
        <f t="shared" si="123"/>
        <v>-</v>
      </c>
      <c r="CI44" s="355" t="str">
        <f t="shared" si="124"/>
        <v>-</v>
      </c>
      <c r="CJ44" s="355" t="str">
        <f t="shared" si="125"/>
        <v>-</v>
      </c>
      <c r="CK44" s="355" t="str">
        <f t="shared" si="126"/>
        <v>-</v>
      </c>
      <c r="CL44" s="356" t="str">
        <f t="shared" si="127"/>
        <v>-</v>
      </c>
      <c r="CM44" s="17"/>
      <c r="CN44" s="17"/>
      <c r="CO44" s="344" t="str" cm="1">
        <f t="array" aca="1" ref="CO44" ca="1">IF($AN44&gt;CDS.Tenor,"-",flatInterpolation(AN44,INDIRECT(HazardRateTimes2),INDIRECT(HazardRateValues2)))</f>
        <v>-</v>
      </c>
      <c r="CP44" s="131" t="str">
        <f t="shared" si="128"/>
        <v>-</v>
      </c>
      <c r="CQ44" s="131" t="str">
        <f t="shared" si="129"/>
        <v>-</v>
      </c>
      <c r="CR44" s="82" t="str">
        <f t="shared" si="130"/>
        <v>-</v>
      </c>
      <c r="CS44" s="17"/>
      <c r="CT44" s="359">
        <f t="shared" si="131"/>
        <v>10</v>
      </c>
      <c r="CU44" s="355" t="str">
        <f>IF($AN44&gt;CDS.Tenor,"-",_xlfn.NORM.S.DIST(($CR44-SQRT(Correlation2)*CU$3)/SQRT(1-Correlation2),TRUE))</f>
        <v>-</v>
      </c>
      <c r="CV44" s="355" t="str">
        <f>IF($AN44&gt;CDS.Tenor,"-",_xlfn.NORM.S.DIST(($CR44-SQRT(Correlation2)*CV$3)/SQRT(1-Correlation2),TRUE))</f>
        <v>-</v>
      </c>
      <c r="CW44" s="355" t="str">
        <f>IF($AN44&gt;CDS.Tenor,"-",_xlfn.NORM.S.DIST(($CR44-SQRT(Correlation2)*CW$3)/SQRT(1-Correlation2),TRUE))</f>
        <v>-</v>
      </c>
      <c r="CX44" s="355" t="str">
        <f>IF($AN44&gt;CDS.Tenor,"-",_xlfn.NORM.S.DIST(($CR44-SQRT(Correlation2)*CX$3)/SQRT(1-Correlation2),TRUE))</f>
        <v>-</v>
      </c>
      <c r="CY44" s="355" t="str">
        <f>IF($AN44&gt;CDS.Tenor,"-",_xlfn.NORM.S.DIST(($CR44-SQRT(Correlation2)*CY$3)/SQRT(1-Correlation2),TRUE))</f>
        <v>-</v>
      </c>
      <c r="CZ44" s="355" t="str">
        <f>IF($AN44&gt;CDS.Tenor,"-",_xlfn.NORM.S.DIST(($CR44-SQRT(Correlation2)*CZ$3)/SQRT(1-Correlation2),TRUE))</f>
        <v>-</v>
      </c>
      <c r="DA44" s="355" t="str">
        <f>IF($AN44&gt;CDS.Tenor,"-",_xlfn.NORM.S.DIST(($CR44-SQRT(Correlation2)*DA$3)/SQRT(1-Correlation2),TRUE))</f>
        <v>-</v>
      </c>
      <c r="DB44" s="355" t="str">
        <f>IF($AN44&gt;CDS.Tenor,"-",_xlfn.NORM.S.DIST(($CR44-SQRT(Correlation2)*DB$3)/SQRT(1-Correlation2),TRUE))</f>
        <v>-</v>
      </c>
      <c r="DC44" s="355" t="str">
        <f>IF($AN44&gt;CDS.Tenor,"-",_xlfn.NORM.S.DIST(($CR44-SQRT(Correlation2)*DC$3)/SQRT(1-Correlation2),TRUE))</f>
        <v>-</v>
      </c>
      <c r="DD44" s="355" t="str">
        <f>IF($AN44&gt;CDS.Tenor,"-",_xlfn.NORM.S.DIST(($CR44-SQRT(Correlation2)*DD$3)/SQRT(1-Correlation2),TRUE))</f>
        <v>-</v>
      </c>
      <c r="DE44" s="355" t="str">
        <f>IF($AN44&gt;CDS.Tenor,"-",_xlfn.NORM.S.DIST(($CR44-SQRT(Correlation2)*DE$3)/SQRT(1-Correlation2),TRUE))</f>
        <v>-</v>
      </c>
      <c r="DF44" s="355" t="str">
        <f>IF($AN44&gt;CDS.Tenor,"-",_xlfn.NORM.S.DIST(($CR44-SQRT(Correlation2)*DF$3)/SQRT(1-Correlation2),TRUE))</f>
        <v>-</v>
      </c>
      <c r="DG44" s="355" t="str">
        <f>IF($AN44&gt;CDS.Tenor,"-",_xlfn.NORM.S.DIST(($CR44-SQRT(Correlation2)*DG$3)/SQRT(1-Correlation2),TRUE))</f>
        <v>-</v>
      </c>
      <c r="DH44" s="355" t="str">
        <f>IF($AN44&gt;CDS.Tenor,"-",_xlfn.NORM.S.DIST(($CR44-SQRT(Correlation2)*DH$3)/SQRT(1-Correlation2),TRUE))</f>
        <v>-</v>
      </c>
      <c r="DI44" s="355" t="str">
        <f>IF($AN44&gt;CDS.Tenor,"-",_xlfn.NORM.S.DIST(($CR44-SQRT(Correlation2)*DI$3)/SQRT(1-Correlation2),TRUE))</f>
        <v>-</v>
      </c>
      <c r="DJ44" s="355" t="str">
        <f>IF($AN44&gt;CDS.Tenor,"-",_xlfn.NORM.S.DIST(($CR44-SQRT(Correlation2)*DJ$3)/SQRT(1-Correlation2),TRUE))</f>
        <v>-</v>
      </c>
      <c r="DK44" s="355" t="str">
        <f>IF($AN44&gt;CDS.Tenor,"-",_xlfn.NORM.S.DIST(($CR44-SQRT(Correlation2)*DK$3)/SQRT(1-Correlation2),TRUE))</f>
        <v>-</v>
      </c>
      <c r="DL44" s="355" t="str">
        <f>IF($AN44&gt;CDS.Tenor,"-",_xlfn.NORM.S.DIST(($CR44-SQRT(Correlation2)*DL$3)/SQRT(1-Correlation2),TRUE))</f>
        <v>-</v>
      </c>
      <c r="DM44" s="355" t="str">
        <f>IF($AN44&gt;CDS.Tenor,"-",_xlfn.NORM.S.DIST(($CR44-SQRT(Correlation2)*DM$3)/SQRT(1-Correlation2),TRUE))</f>
        <v>-</v>
      </c>
      <c r="DN44" s="355" t="str">
        <f>IF($AN44&gt;CDS.Tenor,"-",_xlfn.NORM.S.DIST(($CR44-SQRT(Correlation2)*DN$3)/SQRT(1-Correlation2),TRUE))</f>
        <v>-</v>
      </c>
      <c r="DO44" s="356" t="str">
        <f>IF($AN44&gt;CDS.Tenor,"-",_xlfn.NORM.S.DIST(($CR44-SQRT(Correlation2)*DO$3)/SQRT(1-Correlation2),TRUE))</f>
        <v>-</v>
      </c>
      <c r="DP44" s="17"/>
      <c r="DQ44" s="359">
        <f t="shared" si="132"/>
        <v>10</v>
      </c>
      <c r="DR44" s="355" t="str">
        <f t="shared" si="133"/>
        <v>-</v>
      </c>
      <c r="DS44" s="355" t="str">
        <f t="shared" si="134"/>
        <v>-</v>
      </c>
      <c r="DT44" s="355" t="str">
        <f t="shared" si="135"/>
        <v>-</v>
      </c>
      <c r="DU44" s="355" t="str">
        <f t="shared" si="136"/>
        <v>-</v>
      </c>
      <c r="DV44" s="355" t="str">
        <f t="shared" si="137"/>
        <v>-</v>
      </c>
      <c r="DW44" s="355" t="str">
        <f t="shared" si="138"/>
        <v>-</v>
      </c>
      <c r="DX44" s="355" t="str">
        <f t="shared" si="139"/>
        <v>-</v>
      </c>
      <c r="DY44" s="355" t="str">
        <f t="shared" si="140"/>
        <v>-</v>
      </c>
      <c r="DZ44" s="355" t="str">
        <f t="shared" si="141"/>
        <v>-</v>
      </c>
      <c r="EA44" s="355" t="str">
        <f t="shared" si="142"/>
        <v>-</v>
      </c>
      <c r="EB44" s="355" t="str">
        <f t="shared" si="143"/>
        <v>-</v>
      </c>
      <c r="EC44" s="355" t="str">
        <f t="shared" si="144"/>
        <v>-</v>
      </c>
      <c r="ED44" s="355" t="str">
        <f t="shared" si="145"/>
        <v>-</v>
      </c>
      <c r="EE44" s="355" t="str">
        <f t="shared" si="146"/>
        <v>-</v>
      </c>
      <c r="EF44" s="355" t="str">
        <f t="shared" si="147"/>
        <v>-</v>
      </c>
      <c r="EG44" s="355" t="str">
        <f t="shared" si="148"/>
        <v>-</v>
      </c>
      <c r="EH44" s="355" t="str">
        <f t="shared" si="149"/>
        <v>-</v>
      </c>
      <c r="EI44" s="355" t="str">
        <f t="shared" si="150"/>
        <v>-</v>
      </c>
      <c r="EJ44" s="355" t="str">
        <f t="shared" si="151"/>
        <v>-</v>
      </c>
      <c r="EK44" s="355" t="str">
        <f t="shared" si="152"/>
        <v>-</v>
      </c>
      <c r="EL44" s="356" t="str">
        <f t="shared" si="153"/>
        <v>-</v>
      </c>
      <c r="EM44" s="17"/>
      <c r="EN44" s="17"/>
      <c r="EO44" s="344" t="str" cm="1">
        <f t="array" aca="1" ref="EO44" ca="1">IF($AN44&gt;CDS.Tenor,"-",flatInterpolation(CP44,INDIRECT(HazardRateTimes3),INDIRECT(HazardRateValues3)))</f>
        <v>-</v>
      </c>
      <c r="EP44" s="131" t="str">
        <f t="shared" si="154"/>
        <v>-</v>
      </c>
      <c r="EQ44" s="131" t="str">
        <f t="shared" si="155"/>
        <v>-</v>
      </c>
      <c r="ER44" s="82" t="str">
        <f t="shared" si="156"/>
        <v>-</v>
      </c>
      <c r="ES44" s="17"/>
      <c r="ET44" s="359">
        <f t="shared" si="157"/>
        <v>10</v>
      </c>
      <c r="EU44" s="355" t="str">
        <f>IF($AN44&gt;CDS.Tenor,"-",_xlfn.NORM.S.DIST(($ER44-SQRT(Correlation3)*EU$3)/SQRT(1-Correlation3),TRUE))</f>
        <v>-</v>
      </c>
      <c r="EV44" s="355" t="str">
        <f>IF($AN44&gt;CDS.Tenor,"-",_xlfn.NORM.S.DIST(($ER44-SQRT(Correlation3)*EV$3)/SQRT(1-Correlation3),TRUE))</f>
        <v>-</v>
      </c>
      <c r="EW44" s="355" t="str">
        <f>IF($AN44&gt;CDS.Tenor,"-",_xlfn.NORM.S.DIST(($ER44-SQRT(Correlation3)*EW$3)/SQRT(1-Correlation3),TRUE))</f>
        <v>-</v>
      </c>
      <c r="EX44" s="355" t="str">
        <f>IF($AN44&gt;CDS.Tenor,"-",_xlfn.NORM.S.DIST(($ER44-SQRT(Correlation3)*EX$3)/SQRT(1-Correlation3),TRUE))</f>
        <v>-</v>
      </c>
      <c r="EY44" s="355" t="str">
        <f>IF($AN44&gt;CDS.Tenor,"-",_xlfn.NORM.S.DIST(($ER44-SQRT(Correlation3)*EY$3)/SQRT(1-Correlation3),TRUE))</f>
        <v>-</v>
      </c>
      <c r="EZ44" s="355" t="str">
        <f>IF($AN44&gt;CDS.Tenor,"-",_xlfn.NORM.S.DIST(($ER44-SQRT(Correlation3)*EZ$3)/SQRT(1-Correlation3),TRUE))</f>
        <v>-</v>
      </c>
      <c r="FA44" s="355" t="str">
        <f>IF($AN44&gt;CDS.Tenor,"-",_xlfn.NORM.S.DIST(($ER44-SQRT(Correlation3)*FA$3)/SQRT(1-Correlation3),TRUE))</f>
        <v>-</v>
      </c>
      <c r="FB44" s="355" t="str">
        <f>IF($AN44&gt;CDS.Tenor,"-",_xlfn.NORM.S.DIST(($ER44-SQRT(Correlation3)*FB$3)/SQRT(1-Correlation3),TRUE))</f>
        <v>-</v>
      </c>
      <c r="FC44" s="355" t="str">
        <f>IF($AN44&gt;CDS.Tenor,"-",_xlfn.NORM.S.DIST(($ER44-SQRT(Correlation3)*FC$3)/SQRT(1-Correlation3),TRUE))</f>
        <v>-</v>
      </c>
      <c r="FD44" s="355" t="str">
        <f>IF($AN44&gt;CDS.Tenor,"-",_xlfn.NORM.S.DIST(($ER44-SQRT(Correlation3)*FD$3)/SQRT(1-Correlation3),TRUE))</f>
        <v>-</v>
      </c>
      <c r="FE44" s="355" t="str">
        <f>IF($AN44&gt;CDS.Tenor,"-",_xlfn.NORM.S.DIST(($ER44-SQRT(Correlation3)*FE$3)/SQRT(1-Correlation3),TRUE))</f>
        <v>-</v>
      </c>
      <c r="FF44" s="355" t="str">
        <f>IF($AN44&gt;CDS.Tenor,"-",_xlfn.NORM.S.DIST(($ER44-SQRT(Correlation3)*FF$3)/SQRT(1-Correlation3),TRUE))</f>
        <v>-</v>
      </c>
      <c r="FG44" s="355" t="str">
        <f>IF($AN44&gt;CDS.Tenor,"-",_xlfn.NORM.S.DIST(($ER44-SQRT(Correlation3)*FG$3)/SQRT(1-Correlation3),TRUE))</f>
        <v>-</v>
      </c>
      <c r="FH44" s="355" t="str">
        <f>IF($AN44&gt;CDS.Tenor,"-",_xlfn.NORM.S.DIST(($ER44-SQRT(Correlation3)*FH$3)/SQRT(1-Correlation3),TRUE))</f>
        <v>-</v>
      </c>
      <c r="FI44" s="355" t="str">
        <f>IF($AN44&gt;CDS.Tenor,"-",_xlfn.NORM.S.DIST(($ER44-SQRT(Correlation3)*FI$3)/SQRT(1-Correlation3),TRUE))</f>
        <v>-</v>
      </c>
      <c r="FJ44" s="355" t="str">
        <f>IF($AN44&gt;CDS.Tenor,"-",_xlfn.NORM.S.DIST(($ER44-SQRT(Correlation3)*FJ$3)/SQRT(1-Correlation3),TRUE))</f>
        <v>-</v>
      </c>
      <c r="FK44" s="355" t="str">
        <f>IF($AN44&gt;CDS.Tenor,"-",_xlfn.NORM.S.DIST(($ER44-SQRT(Correlation3)*FK$3)/SQRT(1-Correlation3),TRUE))</f>
        <v>-</v>
      </c>
      <c r="FL44" s="355" t="str">
        <f>IF($AN44&gt;CDS.Tenor,"-",_xlfn.NORM.S.DIST(($ER44-SQRT(Correlation3)*FL$3)/SQRT(1-Correlation3),TRUE))</f>
        <v>-</v>
      </c>
      <c r="FM44" s="355" t="str">
        <f>IF($AN44&gt;CDS.Tenor,"-",_xlfn.NORM.S.DIST(($ER44-SQRT(Correlation3)*FM$3)/SQRT(1-Correlation3),TRUE))</f>
        <v>-</v>
      </c>
      <c r="FN44" s="355" t="str">
        <f>IF($AN44&gt;CDS.Tenor,"-",_xlfn.NORM.S.DIST(($ER44-SQRT(Correlation3)*FN$3)/SQRT(1-Correlation3),TRUE))</f>
        <v>-</v>
      </c>
      <c r="FO44" s="356" t="str">
        <f>IF($AN44&gt;CDS.Tenor,"-",_xlfn.NORM.S.DIST(($ER44-SQRT(Correlation3)*FO$3)/SQRT(1-Correlation3),TRUE))</f>
        <v>-</v>
      </c>
      <c r="FP44" s="17"/>
      <c r="FQ44" s="359">
        <f t="shared" si="158"/>
        <v>10</v>
      </c>
      <c r="FR44" s="355" t="str">
        <f t="shared" si="159"/>
        <v>-</v>
      </c>
      <c r="FS44" s="355" t="str">
        <f t="shared" si="160"/>
        <v>-</v>
      </c>
      <c r="FT44" s="355" t="str">
        <f t="shared" si="161"/>
        <v>-</v>
      </c>
      <c r="FU44" s="355" t="str">
        <f t="shared" si="162"/>
        <v>-</v>
      </c>
      <c r="FV44" s="355" t="str">
        <f t="shared" si="163"/>
        <v>-</v>
      </c>
      <c r="FW44" s="355" t="str">
        <f t="shared" si="164"/>
        <v>-</v>
      </c>
      <c r="FX44" s="355" t="str">
        <f t="shared" si="165"/>
        <v>-</v>
      </c>
      <c r="FY44" s="355" t="str">
        <f t="shared" si="166"/>
        <v>-</v>
      </c>
      <c r="FZ44" s="355" t="str">
        <f t="shared" si="167"/>
        <v>-</v>
      </c>
      <c r="GA44" s="355" t="str">
        <f t="shared" si="168"/>
        <v>-</v>
      </c>
      <c r="GB44" s="355" t="str">
        <f t="shared" si="169"/>
        <v>-</v>
      </c>
      <c r="GC44" s="355" t="str">
        <f t="shared" si="170"/>
        <v>-</v>
      </c>
      <c r="GD44" s="355" t="str">
        <f t="shared" si="171"/>
        <v>-</v>
      </c>
      <c r="GE44" s="355" t="str">
        <f t="shared" si="172"/>
        <v>-</v>
      </c>
      <c r="GF44" s="355" t="str">
        <f t="shared" si="173"/>
        <v>-</v>
      </c>
      <c r="GG44" s="355" t="str">
        <f t="shared" si="174"/>
        <v>-</v>
      </c>
      <c r="GH44" s="355" t="str">
        <f t="shared" si="175"/>
        <v>-</v>
      </c>
      <c r="GI44" s="355" t="str">
        <f t="shared" si="176"/>
        <v>-</v>
      </c>
      <c r="GJ44" s="355" t="str">
        <f t="shared" si="177"/>
        <v>-</v>
      </c>
      <c r="GK44" s="355" t="str">
        <f t="shared" si="178"/>
        <v>-</v>
      </c>
      <c r="GL44" s="356" t="str">
        <f t="shared" si="179"/>
        <v>-</v>
      </c>
      <c r="GO44" s="359">
        <f t="shared" si="180"/>
        <v>10</v>
      </c>
      <c r="GP44" s="355" t="str">
        <f t="shared" si="181"/>
        <v>-</v>
      </c>
      <c r="GQ44" s="355" t="str">
        <f t="shared" si="182"/>
        <v>-</v>
      </c>
      <c r="GR44" s="355" t="str">
        <f t="shared" si="183"/>
        <v>-</v>
      </c>
      <c r="GS44" s="355" t="str">
        <f t="shared" si="184"/>
        <v>-</v>
      </c>
      <c r="GT44" s="355" t="str">
        <f t="shared" si="185"/>
        <v>-</v>
      </c>
      <c r="GU44" s="355" t="str">
        <f t="shared" si="186"/>
        <v>-</v>
      </c>
      <c r="GV44" s="355" t="str">
        <f t="shared" si="187"/>
        <v>-</v>
      </c>
      <c r="GW44" s="355" t="str">
        <f t="shared" si="188"/>
        <v>-</v>
      </c>
      <c r="GX44" s="355" t="str">
        <f t="shared" si="189"/>
        <v>-</v>
      </c>
      <c r="GY44" s="355" t="str">
        <f t="shared" si="190"/>
        <v>-</v>
      </c>
      <c r="GZ44" s="355" t="str">
        <f t="shared" si="191"/>
        <v>-</v>
      </c>
      <c r="HA44" s="355" t="str">
        <f t="shared" si="192"/>
        <v>-</v>
      </c>
      <c r="HB44" s="355" t="str">
        <f t="shared" si="193"/>
        <v>-</v>
      </c>
      <c r="HC44" s="355" t="str">
        <f t="shared" si="194"/>
        <v>-</v>
      </c>
      <c r="HD44" s="355" t="str">
        <f t="shared" si="195"/>
        <v>-</v>
      </c>
      <c r="HE44" s="355" t="str">
        <f t="shared" si="196"/>
        <v>-</v>
      </c>
      <c r="HF44" s="355" t="str">
        <f t="shared" si="197"/>
        <v>-</v>
      </c>
      <c r="HG44" s="355" t="str">
        <f t="shared" si="198"/>
        <v>-</v>
      </c>
      <c r="HH44" s="355" t="str">
        <f t="shared" si="199"/>
        <v>-</v>
      </c>
      <c r="HI44" s="355" t="str">
        <f t="shared" si="200"/>
        <v>-</v>
      </c>
      <c r="HJ44" s="356" t="str">
        <f t="shared" si="201"/>
        <v>-</v>
      </c>
      <c r="HK44" s="42"/>
      <c r="HL44" s="42"/>
      <c r="HM44" s="359">
        <f t="shared" si="202"/>
        <v>10</v>
      </c>
      <c r="HN44" s="364" t="str">
        <f t="shared" si="203"/>
        <v>-</v>
      </c>
      <c r="HO44" s="365" t="str">
        <f t="shared" si="204"/>
        <v>-</v>
      </c>
    </row>
    <row r="45" spans="22:223" x14ac:dyDescent="0.3">
      <c r="HK45" s="42"/>
      <c r="HL45" s="42"/>
    </row>
    <row r="46" spans="22:223" x14ac:dyDescent="0.3">
      <c r="HK46" s="42"/>
      <c r="HL46" s="42"/>
    </row>
    <row r="47" spans="22:223" x14ac:dyDescent="0.3">
      <c r="AN47" s="1" t="s">
        <v>359</v>
      </c>
      <c r="CO47" s="1" t="s">
        <v>359</v>
      </c>
      <c r="EO47" s="1" t="s">
        <v>359</v>
      </c>
      <c r="HK47" s="42"/>
      <c r="HL47" s="42"/>
    </row>
    <row r="48" spans="22:223" x14ac:dyDescent="0.3">
      <c r="HK48" s="42"/>
      <c r="HL48" s="42"/>
    </row>
    <row r="49" spans="4:220" x14ac:dyDescent="0.3">
      <c r="AN49" s="391" t="str">
        <f>CreditRef1</f>
        <v>AAPL</v>
      </c>
      <c r="CO49" s="391" t="str">
        <f>CreditRef2</f>
        <v>MSFT</v>
      </c>
      <c r="EO49" s="391" t="str">
        <f>CreditRef3</f>
        <v>NVDA</v>
      </c>
      <c r="HK49" s="42"/>
      <c r="HL49" s="42"/>
    </row>
    <row r="50" spans="4:220" x14ac:dyDescent="0.3">
      <c r="AN50" s="390" t="str">
        <f>"'Credit Curve "&amp;CreditRef1&amp;"'!Calibration.Times"</f>
        <v>'Credit Curve AAPL'!Calibration.Times</v>
      </c>
      <c r="CO50" s="390" t="str">
        <f>"'Credit Curve "&amp;CreditRef2&amp;"'!Calibration.Times"</f>
        <v>'Credit Curve MSFT'!Calibration.Times</v>
      </c>
      <c r="EO50" s="390" t="str">
        <f>"'Credit Curve "&amp;CreditRef3&amp;"'!Calibration.Times"</f>
        <v>'Credit Curve NVDA'!Calibration.Times</v>
      </c>
      <c r="HK50" s="42"/>
      <c r="HL50" s="42"/>
    </row>
    <row r="51" spans="4:220" x14ac:dyDescent="0.3">
      <c r="AN51" s="390" t="str">
        <f>"'Credit Curve "&amp;CreditRef1&amp;"'!Calibration.HazardRates"</f>
        <v>'Credit Curve AAPL'!Calibration.HazardRates</v>
      </c>
      <c r="CO51" s="390" t="str">
        <f>"'Credit Curve "&amp;CreditRef2&amp;"'!Calibration.HazardRates"</f>
        <v>'Credit Curve MSFT'!Calibration.HazardRates</v>
      </c>
      <c r="EO51" s="390" t="str">
        <f>"'Credit Curve "&amp;CreditRef3&amp;"'!Calibration.HazardRates"</f>
        <v>'Credit Curve NVDA'!Calibration.HazardRates</v>
      </c>
      <c r="HK51" s="42"/>
      <c r="HL51" s="42"/>
    </row>
    <row r="52" spans="4:220" x14ac:dyDescent="0.3">
      <c r="D52" s="125"/>
      <c r="CO52" s="390"/>
      <c r="HK52" s="42"/>
      <c r="HL52" s="42"/>
    </row>
  </sheetData>
  <dataValidations count="2">
    <dataValidation type="list" allowBlank="1" showInputMessage="1" showErrorMessage="1" sqref="D7" xr:uid="{F3C77BDB-71DC-4B52-8456-839673ABF947}">
      <formula1>"AAPL,MSFT,NVDA"</formula1>
    </dataValidation>
    <dataValidation type="list" allowBlank="1" showInputMessage="1" showErrorMessage="1" sqref="D6" xr:uid="{39203EBE-B6BA-4187-BDCA-1B1E05B79462}">
      <formula1>"BUY,SELL"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253</vt:i4>
      </vt:variant>
    </vt:vector>
  </HeadingPairs>
  <TitlesOfParts>
    <vt:vector size="260" baseType="lpstr">
      <vt:lpstr>IR Yield Curve</vt:lpstr>
      <vt:lpstr>IR Swap</vt:lpstr>
      <vt:lpstr>Credit Curve AAPL</vt:lpstr>
      <vt:lpstr>Credit Curve MSFT</vt:lpstr>
      <vt:lpstr>Credit Curve NVDA</vt:lpstr>
      <vt:lpstr>Credit Default Swap</vt:lpstr>
      <vt:lpstr>First-to-Default CDS</vt:lpstr>
      <vt:lpstr>AnalyticalDV01</vt:lpstr>
      <vt:lpstr>Annuity_Fixed</vt:lpstr>
      <vt:lpstr>Annuity_Float</vt:lpstr>
      <vt:lpstr>ApplyBump</vt:lpstr>
      <vt:lpstr>AsOfDate</vt:lpstr>
      <vt:lpstr>'Credit Curve MSFT'!Calibration.HazardRates</vt:lpstr>
      <vt:lpstr>'Credit Curve NVDA'!Calibration.HazardRates</vt:lpstr>
      <vt:lpstr>Calibration.HazardRates</vt:lpstr>
      <vt:lpstr>'Credit Curve MSFT'!Calibration.Times</vt:lpstr>
      <vt:lpstr>'Credit Curve NVDA'!Calibration.Times</vt:lpstr>
      <vt:lpstr>Calibration.Times</vt:lpstr>
      <vt:lpstr>'First-to-Default CDS'!CDS.BuySell</vt:lpstr>
      <vt:lpstr>CDS.BuySell</vt:lpstr>
      <vt:lpstr>'First-to-Default CDS'!CDS.CreditSpread</vt:lpstr>
      <vt:lpstr>CDS.CreditSpread</vt:lpstr>
      <vt:lpstr>'First-to-Default CDS'!CDS.Notional</vt:lpstr>
      <vt:lpstr>CDS.Notional</vt:lpstr>
      <vt:lpstr>'First-to-Default CDS'!CDS.PremiumLegPV</vt:lpstr>
      <vt:lpstr>CDS.PremiumLegPV</vt:lpstr>
      <vt:lpstr>'First-to-Default CDS'!CDS.PremiumSign</vt:lpstr>
      <vt:lpstr>CDS.PremiumSign</vt:lpstr>
      <vt:lpstr>'First-to-Default CDS'!CDS.ProtectionSign</vt:lpstr>
      <vt:lpstr>CDS.ProtectionSign</vt:lpstr>
      <vt:lpstr>'First-to-Default CDS'!CDS.RecoveryRate</vt:lpstr>
      <vt:lpstr>CDS.RecoveryRate</vt:lpstr>
      <vt:lpstr>'First-to-Default CDS'!CDS.Spread</vt:lpstr>
      <vt:lpstr>CDS.Spread</vt:lpstr>
      <vt:lpstr>'First-to-Default CDS'!CDS.Tenor</vt:lpstr>
      <vt:lpstr>CDS.Tenor</vt:lpstr>
      <vt:lpstr>'First-to-Default CDS'!CDS.YearFraction</vt:lpstr>
      <vt:lpstr>CDS.YearFraction</vt:lpstr>
      <vt:lpstr>'First-to-Default CDS'!Correlation1</vt:lpstr>
      <vt:lpstr>'First-to-Default CDS'!Correlation2</vt:lpstr>
      <vt:lpstr>Correlation3</vt:lpstr>
      <vt:lpstr>'Credit Default Swap'!CreditCurve</vt:lpstr>
      <vt:lpstr>'Credit Curve MSFT'!CreditName</vt:lpstr>
      <vt:lpstr>'Credit Curve NVDA'!CreditName</vt:lpstr>
      <vt:lpstr>CreditName</vt:lpstr>
      <vt:lpstr>'First-to-Default CDS'!CreditRef1</vt:lpstr>
      <vt:lpstr>'First-to-Default CDS'!CreditRef2</vt:lpstr>
      <vt:lpstr>'First-to-Default CDS'!CreditRef3</vt:lpstr>
      <vt:lpstr>'Credit Curve MSFT'!Currency</vt:lpstr>
      <vt:lpstr>'Credit Curve NVDA'!Currency</vt:lpstr>
      <vt:lpstr>'IR Swap'!Currency</vt:lpstr>
      <vt:lpstr>Currency</vt:lpstr>
      <vt:lpstr>CurveResults.DF.Bumped</vt:lpstr>
      <vt:lpstr>CurveResults.DFs</vt:lpstr>
      <vt:lpstr>CurveResults.Times</vt:lpstr>
      <vt:lpstr>CurveResults.USDSOFR</vt:lpstr>
      <vt:lpstr>'Credit Curve MSFT'!DiscFactors10Y</vt:lpstr>
      <vt:lpstr>'Credit Curve NVDA'!DiscFactors10Y</vt:lpstr>
      <vt:lpstr>DiscFactors10Y</vt:lpstr>
      <vt:lpstr>'Credit Curve MSFT'!DiscFactors1Y</vt:lpstr>
      <vt:lpstr>'Credit Curve NVDA'!DiscFactors1Y</vt:lpstr>
      <vt:lpstr>DiscFactors1Y</vt:lpstr>
      <vt:lpstr>'Credit Curve MSFT'!DiscFactors2Y</vt:lpstr>
      <vt:lpstr>'Credit Curve NVDA'!DiscFactors2Y</vt:lpstr>
      <vt:lpstr>DiscFactors2Y</vt:lpstr>
      <vt:lpstr>'Credit Curve MSFT'!DiscFactors3Y</vt:lpstr>
      <vt:lpstr>'Credit Curve NVDA'!DiscFactors3Y</vt:lpstr>
      <vt:lpstr>DiscFactors3Y</vt:lpstr>
      <vt:lpstr>'Credit Curve MSFT'!DiscFactors4Y</vt:lpstr>
      <vt:lpstr>'Credit Curve NVDA'!DiscFactors4Y</vt:lpstr>
      <vt:lpstr>DiscFactors4Y</vt:lpstr>
      <vt:lpstr>'Credit Curve MSFT'!DiscFactors5Y</vt:lpstr>
      <vt:lpstr>'Credit Curve NVDA'!DiscFactors5Y</vt:lpstr>
      <vt:lpstr>DiscFactors5Y</vt:lpstr>
      <vt:lpstr>'First-to-Default CDS'!dm</vt:lpstr>
      <vt:lpstr>DurationFixed</vt:lpstr>
      <vt:lpstr>DurationFloat</vt:lpstr>
      <vt:lpstr>'Credit Curve MSFT'!Epsilon</vt:lpstr>
      <vt:lpstr>'Credit Curve NVDA'!Epsilon</vt:lpstr>
      <vt:lpstr>'IR Swap'!Epsilon</vt:lpstr>
      <vt:lpstr>'IR Yield Curve'!Epsilon</vt:lpstr>
      <vt:lpstr>Epsilon</vt:lpstr>
      <vt:lpstr>'Credit Curve MSFT'!Frequency</vt:lpstr>
      <vt:lpstr>'Credit Curve NVDA'!Frequency</vt:lpstr>
      <vt:lpstr>Frequency</vt:lpstr>
      <vt:lpstr>'Credit Curve MSFT'!HazardRate10Y</vt:lpstr>
      <vt:lpstr>'Credit Curve NVDA'!HazardRate10Y</vt:lpstr>
      <vt:lpstr>HazardRate10Y</vt:lpstr>
      <vt:lpstr>'Credit Curve MSFT'!HazardRate1Y</vt:lpstr>
      <vt:lpstr>'Credit Curve NVDA'!HazardRate1Y</vt:lpstr>
      <vt:lpstr>HazardRate1Y</vt:lpstr>
      <vt:lpstr>'Credit Curve MSFT'!HazardRate2Y</vt:lpstr>
      <vt:lpstr>'Credit Curve NVDA'!HazardRate2Y</vt:lpstr>
      <vt:lpstr>HazardRate2Y</vt:lpstr>
      <vt:lpstr>'Credit Curve MSFT'!HazardRate3Y</vt:lpstr>
      <vt:lpstr>'Credit Curve NVDA'!HazardRate3Y</vt:lpstr>
      <vt:lpstr>HazardRate3Y</vt:lpstr>
      <vt:lpstr>'Credit Curve MSFT'!HazardRate4Y</vt:lpstr>
      <vt:lpstr>'Credit Curve NVDA'!HazardRate4Y</vt:lpstr>
      <vt:lpstr>HazardRate4Y</vt:lpstr>
      <vt:lpstr>'Credit Curve MSFT'!HazardRate5Y</vt:lpstr>
      <vt:lpstr>'Credit Curve NVDA'!HazardRate5Y</vt:lpstr>
      <vt:lpstr>HazardRate5Y</vt:lpstr>
      <vt:lpstr>'Credit Default Swap'!HazardRateTimes</vt:lpstr>
      <vt:lpstr>HazardRateTimes1</vt:lpstr>
      <vt:lpstr>HazardRateTimes2</vt:lpstr>
      <vt:lpstr>HazardRateTimes3</vt:lpstr>
      <vt:lpstr>'Credit Default Swap'!HazardRateValues</vt:lpstr>
      <vt:lpstr>HazardRateValues1</vt:lpstr>
      <vt:lpstr>HazardRateValues2</vt:lpstr>
      <vt:lpstr>HazardRateValues3</vt:lpstr>
      <vt:lpstr>'First-to-Default CDS'!ImpliedCorrelation</vt:lpstr>
      <vt:lpstr>'Credit Curve MSFT'!InterationResults</vt:lpstr>
      <vt:lpstr>'Credit Curve NVDA'!InterationResults</vt:lpstr>
      <vt:lpstr>'IR Swap'!InterationResults</vt:lpstr>
      <vt:lpstr>'IR Yield Curve'!InterationResults</vt:lpstr>
      <vt:lpstr>InterationResults</vt:lpstr>
      <vt:lpstr>'Credit Curve MSFT'!InterationResults1</vt:lpstr>
      <vt:lpstr>'Credit Curve NVDA'!InterationResults1</vt:lpstr>
      <vt:lpstr>'IR Swap'!InterationResults1</vt:lpstr>
      <vt:lpstr>'IR Yield Curve'!InterationResults1</vt:lpstr>
      <vt:lpstr>InterationResults1</vt:lpstr>
      <vt:lpstr>'Credit Curve MSFT'!IterationCount</vt:lpstr>
      <vt:lpstr>'Credit Curve NVDA'!IterationCount</vt:lpstr>
      <vt:lpstr>'IR Swap'!IterationCount</vt:lpstr>
      <vt:lpstr>'IR Yield Curve'!IterationCount</vt:lpstr>
      <vt:lpstr>IterationCount</vt:lpstr>
      <vt:lpstr>'Credit Curve MSFT'!LGD</vt:lpstr>
      <vt:lpstr>'Credit Curve NVDA'!LGD</vt:lpstr>
      <vt:lpstr>LGD</vt:lpstr>
      <vt:lpstr>N</vt:lpstr>
      <vt:lpstr>'Credit Curve MSFT'!Notional</vt:lpstr>
      <vt:lpstr>'Credit Curve NVDA'!Notional</vt:lpstr>
      <vt:lpstr>Notional</vt:lpstr>
      <vt:lpstr>NumericalDV01</vt:lpstr>
      <vt:lpstr>p</vt:lpstr>
      <vt:lpstr>PAYREC</vt:lpstr>
      <vt:lpstr>'Credit Curve MSFT'!PDefault10Y</vt:lpstr>
      <vt:lpstr>'Credit Curve NVDA'!PDefault10Y</vt:lpstr>
      <vt:lpstr>PDefault10Y</vt:lpstr>
      <vt:lpstr>'Credit Curve MSFT'!PDefault1Y</vt:lpstr>
      <vt:lpstr>'Credit Curve NVDA'!PDefault1Y</vt:lpstr>
      <vt:lpstr>PDefault1Y</vt:lpstr>
      <vt:lpstr>'Credit Curve MSFT'!PDefault2Y</vt:lpstr>
      <vt:lpstr>'Credit Curve NVDA'!PDefault2Y</vt:lpstr>
      <vt:lpstr>PDefault2Y</vt:lpstr>
      <vt:lpstr>'Credit Curve MSFT'!PDefault3Y</vt:lpstr>
      <vt:lpstr>'Credit Curve NVDA'!PDefault3Y</vt:lpstr>
      <vt:lpstr>PDefault3Y</vt:lpstr>
      <vt:lpstr>'Credit Curve MSFT'!PDefault4Y</vt:lpstr>
      <vt:lpstr>'Credit Curve NVDA'!PDefault4Y</vt:lpstr>
      <vt:lpstr>PDefault4Y</vt:lpstr>
      <vt:lpstr>'Credit Curve MSFT'!PDefault5Y</vt:lpstr>
      <vt:lpstr>'Credit Curve NVDA'!PDefault5Y</vt:lpstr>
      <vt:lpstr>PDefault5Y</vt:lpstr>
      <vt:lpstr>Phi</vt:lpstr>
      <vt:lpstr>'Credit Curve MSFT'!Protection10Y</vt:lpstr>
      <vt:lpstr>'Credit Curve NVDA'!Protection10Y</vt:lpstr>
      <vt:lpstr>Protection10Y</vt:lpstr>
      <vt:lpstr>'Credit Curve MSFT'!Protection1Y</vt:lpstr>
      <vt:lpstr>'Credit Curve NVDA'!Protection1Y</vt:lpstr>
      <vt:lpstr>Protection1Y</vt:lpstr>
      <vt:lpstr>'Credit Curve MSFT'!Protection2Y</vt:lpstr>
      <vt:lpstr>'Credit Curve NVDA'!Protection2Y</vt:lpstr>
      <vt:lpstr>Protection2Y</vt:lpstr>
      <vt:lpstr>'Credit Curve MSFT'!Protection3Y</vt:lpstr>
      <vt:lpstr>'Credit Curve NVDA'!Protection3Y</vt:lpstr>
      <vt:lpstr>Protection3Y</vt:lpstr>
      <vt:lpstr>'Credit Curve MSFT'!Protection4Y</vt:lpstr>
      <vt:lpstr>'Credit Curve NVDA'!Protection4Y</vt:lpstr>
      <vt:lpstr>Protection4Y</vt:lpstr>
      <vt:lpstr>'Credit Curve MSFT'!Protection5Y</vt:lpstr>
      <vt:lpstr>'Credit Curve NVDA'!Protection5Y</vt:lpstr>
      <vt:lpstr>Protection5Y</vt:lpstr>
      <vt:lpstr>'Credit Curve MSFT'!PSurvival10Y</vt:lpstr>
      <vt:lpstr>'Credit Curve NVDA'!PSurvival10Y</vt:lpstr>
      <vt:lpstr>PSurvival10Y</vt:lpstr>
      <vt:lpstr>'Credit Curve MSFT'!PSurvival1Y</vt:lpstr>
      <vt:lpstr>'Credit Curve NVDA'!PSurvival1Y</vt:lpstr>
      <vt:lpstr>PSurvival1Y</vt:lpstr>
      <vt:lpstr>'Credit Curve MSFT'!PSurvival2Y</vt:lpstr>
      <vt:lpstr>'Credit Curve NVDA'!PSurvival2Y</vt:lpstr>
      <vt:lpstr>PSurvival2Y</vt:lpstr>
      <vt:lpstr>'Credit Curve MSFT'!PSurvival3Y</vt:lpstr>
      <vt:lpstr>'Credit Curve NVDA'!PSurvival3Y</vt:lpstr>
      <vt:lpstr>PSurvival3Y</vt:lpstr>
      <vt:lpstr>'Credit Curve MSFT'!PSurvival4Y</vt:lpstr>
      <vt:lpstr>'Credit Curve NVDA'!PSurvival4Y</vt:lpstr>
      <vt:lpstr>PSurvival4Y</vt:lpstr>
      <vt:lpstr>'Credit Curve MSFT'!PSurvival5Y</vt:lpstr>
      <vt:lpstr>'Credit Curve NVDA'!PSurvival5Y</vt:lpstr>
      <vt:lpstr>PSurvival5Y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'Credit Curve MSFT'!RecoveryRate</vt:lpstr>
      <vt:lpstr>'Credit Curve NVDA'!RecoveryRate</vt:lpstr>
      <vt:lpstr>RecoveryRate</vt:lpstr>
      <vt:lpstr>RiskPV_NoBump</vt:lpstr>
      <vt:lpstr>RiskPV_WithBump</vt:lpstr>
      <vt:lpstr>'Credit Curve MSFT'!RiskyAnnuity10Y</vt:lpstr>
      <vt:lpstr>'Credit Curve NVDA'!RiskyAnnuity10Y</vt:lpstr>
      <vt:lpstr>RiskyAnnuity10Y</vt:lpstr>
      <vt:lpstr>'Credit Curve MSFT'!RiskyAnnuity1Y</vt:lpstr>
      <vt:lpstr>'Credit Curve NVDA'!RiskyAnnuity1Y</vt:lpstr>
      <vt:lpstr>RiskyAnnuity1Y</vt:lpstr>
      <vt:lpstr>'Credit Curve MSFT'!RiskyAnnuity2Y</vt:lpstr>
      <vt:lpstr>'Credit Curve NVDA'!RiskyAnnuity2Y</vt:lpstr>
      <vt:lpstr>RiskyAnnuity2Y</vt:lpstr>
      <vt:lpstr>'Credit Curve MSFT'!RiskyAnnuity3Y</vt:lpstr>
      <vt:lpstr>'Credit Curve NVDA'!RiskyAnnuity3Y</vt:lpstr>
      <vt:lpstr>RiskyAnnuity3Y</vt:lpstr>
      <vt:lpstr>'Credit Curve MSFT'!RiskyAnnuity4Y</vt:lpstr>
      <vt:lpstr>'Credit Curve NVDA'!RiskyAnnuity4Y</vt:lpstr>
      <vt:lpstr>RiskyAnnuity4Y</vt:lpstr>
      <vt:lpstr>'Credit Curve MSFT'!RiskyAnnuity5Y</vt:lpstr>
      <vt:lpstr>'Credit Curve NVDA'!RiskyAnnuity5Y</vt:lpstr>
      <vt:lpstr>RiskyAnnuity5Y</vt:lpstr>
      <vt:lpstr>s</vt:lpstr>
      <vt:lpstr>'Credit Curve MSFT'!ShiftSize</vt:lpstr>
      <vt:lpstr>'Credit Curve NVDA'!ShiftSize</vt:lpstr>
      <vt:lpstr>ShiftSize</vt:lpstr>
      <vt:lpstr>'Credit Curve MSFT'!ShowIterations</vt:lpstr>
      <vt:lpstr>'Credit Curve NVDA'!ShowIterations</vt:lpstr>
      <vt:lpstr>'IR Swap'!ShowIterations</vt:lpstr>
      <vt:lpstr>'IR Yield Curve'!ShowIterations</vt:lpstr>
      <vt:lpstr>ShowIterations</vt:lpstr>
      <vt:lpstr>T</vt:lpstr>
      <vt:lpstr>tau_i</vt:lpstr>
      <vt:lpstr>tau_j</vt:lpstr>
      <vt:lpstr>'Credit Curve MSFT'!Tolerance</vt:lpstr>
      <vt:lpstr>'Credit Curve NVDA'!Tolerance</vt:lpstr>
      <vt:lpstr>'IR Swap'!Tolerance</vt:lpstr>
      <vt:lpstr>'IR Yield Curve'!Tolerance</vt:lpstr>
      <vt:lpstr>Tolerance</vt:lpstr>
      <vt:lpstr>'Credit Curve MSFT'!X0</vt:lpstr>
      <vt:lpstr>'Credit Curve NVDA'!X0</vt:lpstr>
      <vt:lpstr>'IR Swap'!X0</vt:lpstr>
      <vt:lpstr>'IR Yield Curve'!X0</vt:lpstr>
      <vt:lpstr>X0</vt:lpstr>
      <vt:lpstr>'Credit Curve MSFT'!Xn</vt:lpstr>
      <vt:lpstr>'Credit Curve NVDA'!Xn</vt:lpstr>
      <vt:lpstr>'IR Swap'!Xn</vt:lpstr>
      <vt:lpstr>'IR Yield Curve'!Xn</vt:lpstr>
      <vt:lpstr>Xn</vt:lpstr>
      <vt:lpstr>'Credit Curve MSFT'!XnPlus1</vt:lpstr>
      <vt:lpstr>'Credit Curve NVDA'!XnPlus1</vt:lpstr>
      <vt:lpstr>'IR Swap'!XnPlus1</vt:lpstr>
      <vt:lpstr>'IR Yield Curve'!XnPlus1</vt:lpstr>
      <vt:lpstr>XnPlus1</vt:lpstr>
      <vt:lpstr>'Credit Curve MSFT'!YearFraction</vt:lpstr>
      <vt:lpstr>'Credit Curve NVDA'!YearFraction</vt:lpstr>
      <vt:lpstr>YearFraction</vt:lpstr>
      <vt:lpstr>YieldCurveDates</vt:lpstr>
      <vt:lpstr>YieldCurveForwards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2026-02-13T01:48:48Z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a9157b-bcf3-4eac-b03e-7cf007ba9fdf_Enabled">
    <vt:lpwstr>true</vt:lpwstr>
  </property>
  <property fmtid="{D5CDD505-2E9C-101B-9397-08002B2CF9AE}" pid="3" name="MSIP_Label_e6a9157b-bcf3-4eac-b03e-7cf007ba9fdf_SetDate">
    <vt:lpwstr>2026-02-09T22:33:03Z</vt:lpwstr>
  </property>
  <property fmtid="{D5CDD505-2E9C-101B-9397-08002B2CF9AE}" pid="4" name="MSIP_Label_e6a9157b-bcf3-4eac-b03e-7cf007ba9fdf_Method">
    <vt:lpwstr>Standard</vt:lpwstr>
  </property>
  <property fmtid="{D5CDD505-2E9C-101B-9397-08002B2CF9AE}" pid="5" name="MSIP_Label_e6a9157b-bcf3-4eac-b03e-7cf007ba9fdf_Name">
    <vt:lpwstr>Publica</vt:lpwstr>
  </property>
  <property fmtid="{D5CDD505-2E9C-101B-9397-08002B2CF9AE}" pid="6" name="MSIP_Label_e6a9157b-bcf3-4eac-b03e-7cf007ba9fdf_SiteId">
    <vt:lpwstr>cf56e405-d2b0-4266-b210-aa04636b6161</vt:lpwstr>
  </property>
  <property fmtid="{D5CDD505-2E9C-101B-9397-08002B2CF9AE}" pid="7" name="MSIP_Label_e6a9157b-bcf3-4eac-b03e-7cf007ba9fdf_ActionId">
    <vt:lpwstr>5eaef4ed-1353-4d7a-94b2-b8ca7c6953ae</vt:lpwstr>
  </property>
  <property fmtid="{D5CDD505-2E9C-101B-9397-08002B2CF9AE}" pid="8" name="MSIP_Label_e6a9157b-bcf3-4eac-b03e-7cf007ba9fdf_ContentBits">
    <vt:lpwstr>2</vt:lpwstr>
  </property>
  <property fmtid="{D5CDD505-2E9C-101B-9397-08002B2CF9AE}" pid="9" name="MSIP_Label_e6a9157b-bcf3-4eac-b03e-7cf007ba9fdf_Tag">
    <vt:lpwstr>10, 3, 0, 1</vt:lpwstr>
  </property>
</Properties>
</file>