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cholas Burgess\Desktop\"/>
    </mc:Choice>
  </mc:AlternateContent>
  <xr:revisionPtr revIDLastSave="0" documentId="13_ncr:1_{106E09FE-2388-4378-AC75-9EE1A2B9F020}" xr6:coauthVersionLast="47" xr6:coauthVersionMax="47" xr10:uidLastSave="{00000000-0000-0000-0000-000000000000}"/>
  <bookViews>
    <workbookView xWindow="-108" yWindow="-108" windowWidth="23256" windowHeight="12456" firstSheet="2" activeTab="6" xr2:uid="{240FB811-79B9-4413-B467-37154B088B69}"/>
  </bookViews>
  <sheets>
    <sheet name="IR Yield Curve" sheetId="4" r:id="rId1"/>
    <sheet name="IR Swap" sheetId="5" r:id="rId2"/>
    <sheet name="Credit Curve AAPL" sheetId="1" r:id="rId3"/>
    <sheet name="Credit Curve MSFT" sheetId="6" r:id="rId4"/>
    <sheet name="Credit Curve NVDA" sheetId="7" r:id="rId5"/>
    <sheet name="Credit Default Swap" sheetId="3" r:id="rId6"/>
    <sheet name="First-to-Default CDS" sheetId="8" r:id="rId7"/>
  </sheets>
  <functionGroups builtInGroupCount="19"/>
  <definedNames>
    <definedName name="_xlnm._FilterDatabase" localSheetId="6" hidden="1">'First-to-Default CDS'!$AA$1:$BY$44</definedName>
    <definedName name="AnalyticalDV01">'IR Swap'!$AH$22</definedName>
    <definedName name="Annuity_Fixed">'IR Swap'!$AH$15</definedName>
    <definedName name="Annuity_Float">'IR Swap'!$AH$16</definedName>
    <definedName name="ApplyBump">'IR Swap'!$AH$25</definedName>
    <definedName name="AsOfDate">'IR Yield Curve'!$M$2</definedName>
    <definedName name="Calibration.HazardRates" localSheetId="3">'Credit Curve MSFT'!$T$4:$T$9</definedName>
    <definedName name="Calibration.HazardRates" localSheetId="4">'Credit Curve NVDA'!$T$4:$T$9</definedName>
    <definedName name="Calibration.HazardRates">'Credit Curve AAPL'!$T$4:$T$9</definedName>
    <definedName name="Calibration.Times" localSheetId="3">'Credit Curve MSFT'!$S$4:$S$9</definedName>
    <definedName name="Calibration.Times" localSheetId="4">'Credit Curve NVDA'!$S$4:$S$9</definedName>
    <definedName name="Calibration.Times">'Credit Curve AAPL'!$S$4:$S$9</definedName>
    <definedName name="CDS.BuySell" localSheetId="6">'First-to-Default CDS'!$D$6</definedName>
    <definedName name="CDS.BuySell">'Credit Default Swap'!$D$6</definedName>
    <definedName name="CDS.CreditSpread" localSheetId="6">'First-to-Default CDS'!$D$16</definedName>
    <definedName name="CDS.CreditSpread">'Credit Default Swap'!$D$16</definedName>
    <definedName name="CDS.Notional" localSheetId="6">'First-to-Default CDS'!$D$8</definedName>
    <definedName name="CDS.Notional">'Credit Default Swap'!$D$8</definedName>
    <definedName name="CDS.PremiumLegPV" localSheetId="6">'First-to-Default CDS'!$D$21</definedName>
    <definedName name="CDS.PremiumLegPV">'Credit Default Swap'!$D$21</definedName>
    <definedName name="CDS.PremiumSign" localSheetId="6">'First-to-Default CDS'!$D$14</definedName>
    <definedName name="CDS.PremiumSign">'Credit Default Swap'!$D$14</definedName>
    <definedName name="CDS.ProtectionSign" localSheetId="6">'First-to-Default CDS'!$D$15</definedName>
    <definedName name="CDS.ProtectionSign">'Credit Default Swap'!$D$15</definedName>
    <definedName name="CDS.RecoveryRate" localSheetId="6">'First-to-Default CDS'!$D$11</definedName>
    <definedName name="CDS.RecoveryRate">'Credit Default Swap'!$D$11</definedName>
    <definedName name="CDS.Spread" localSheetId="6">'First-to-Default CDS'!$D$9</definedName>
    <definedName name="CDS.Spread">'Credit Default Swap'!$D$9</definedName>
    <definedName name="CDS.Tenor" localSheetId="6">'First-to-Default CDS'!$D$10</definedName>
    <definedName name="CDS.Tenor">'Credit Default Swap'!$D$10</definedName>
    <definedName name="CDS.YearFraction" localSheetId="6">'First-to-Default CDS'!$D$17</definedName>
    <definedName name="CDS.YearFraction">'Credit Default Swap'!$D$17</definedName>
    <definedName name="CreditCurve" localSheetId="5">'Credit Default Swap'!$B$29</definedName>
    <definedName name="CreditName" localSheetId="3">'Credit Curve MSFT'!$M$3</definedName>
    <definedName name="CreditName" localSheetId="4">'Credit Curve NVDA'!$M$3</definedName>
    <definedName name="CreditName">'Credit Curve AAPL'!$M$3</definedName>
    <definedName name="CreditRef1" localSheetId="6">'First-to-Default CDS'!$F$9</definedName>
    <definedName name="CreditRef2" localSheetId="6">'First-to-Default CDS'!$F$10</definedName>
    <definedName name="CreditRef3" localSheetId="6">'First-to-Default CDS'!$F$11</definedName>
    <definedName name="Currency" localSheetId="3">'Credit Curve MSFT'!$M$4</definedName>
    <definedName name="Currency" localSheetId="4">'Credit Curve NVDA'!$M$4</definedName>
    <definedName name="Currency" localSheetId="1">'IR Swap'!$C$6</definedName>
    <definedName name="Currency">'Credit Curve AAPL'!$M$4</definedName>
    <definedName name="CurveResults.DF.Bumped">'IR Yield Curve'!$AL$24:$AL$34</definedName>
    <definedName name="CurveResults.DFs">'IR Yield Curve'!$AK$24:$AK$34</definedName>
    <definedName name="CurveResults.Times">'IR Yield Curve'!$AD$24:$AD$34</definedName>
    <definedName name="CurveResults.USDSOFR">'IR Yield Curve'!$AE$24:$AE$34</definedName>
    <definedName name="DiscFactors10Y" localSheetId="3">'Credit Curve MSFT'!$AB$5:$AB$44</definedName>
    <definedName name="DiscFactors10Y" localSheetId="4">'Credit Curve NVDA'!$AB$5:$AB$44</definedName>
    <definedName name="DiscFactors10Y">'Credit Curve AAPL'!$AB$5:$AB$44</definedName>
    <definedName name="DiscFactors1Y" localSheetId="3">'Credit Curve MSFT'!$AB$5:$AB$8</definedName>
    <definedName name="DiscFactors1Y" localSheetId="4">'Credit Curve NVDA'!$AB$5:$AB$8</definedName>
    <definedName name="DiscFactors1Y">'Credit Curve AAPL'!$AB$5:$AB$8</definedName>
    <definedName name="DiscFactors2Y" localSheetId="3">'Credit Curve MSFT'!$AB$5:$AB$12</definedName>
    <definedName name="DiscFactors2Y" localSheetId="4">'Credit Curve NVDA'!$AB$5:$AB$12</definedName>
    <definedName name="DiscFactors2Y">'Credit Curve AAPL'!$AB$5:$AB$12</definedName>
    <definedName name="DiscFactors3Y" localSheetId="3">'Credit Curve MSFT'!$AB$5:$AB$16</definedName>
    <definedName name="DiscFactors3Y" localSheetId="4">'Credit Curve NVDA'!$AB$5:$AB$16</definedName>
    <definedName name="DiscFactors3Y">'Credit Curve AAPL'!$AB$5:$AB$16</definedName>
    <definedName name="DiscFactors4Y" localSheetId="3">'Credit Curve MSFT'!$AB$5:$AB$20</definedName>
    <definedName name="DiscFactors4Y" localSheetId="4">'Credit Curve NVDA'!$AB$5:$AB$20</definedName>
    <definedName name="DiscFactors4Y">'Credit Curve AAPL'!$AB$5:$AB$20</definedName>
    <definedName name="DiscFactors5Y" localSheetId="3">'Credit Curve MSFT'!$AB$5:$AB$24</definedName>
    <definedName name="DiscFactors5Y" localSheetId="4">'Credit Curve NVDA'!$AB$5:$AB$24</definedName>
    <definedName name="DiscFactors5Y">'Credit Curve AAPL'!$AB$5:$AB$24</definedName>
    <definedName name="dm" localSheetId="6">'First-to-Default CDS'!$F$17</definedName>
    <definedName name="DurationFixed">'IR Swap'!$AH$19</definedName>
    <definedName name="DurationFloat">'IR Swap'!$AH$20</definedName>
    <definedName name="Epsilon" localSheetId="3">'Credit Curve MSFT'!$Q$23</definedName>
    <definedName name="Epsilon" localSheetId="4">'Credit Curve NVDA'!$Q$23</definedName>
    <definedName name="Epsilon" localSheetId="1">'IR Yield Curve'!$X$4</definedName>
    <definedName name="Epsilon" localSheetId="0">'IR Yield Curve'!$X$4</definedName>
    <definedName name="Epsilon">'Credit Curve AAPL'!$Q$23</definedName>
    <definedName name="Frequency" localSheetId="3">'Credit Curve MSFT'!$M$5</definedName>
    <definedName name="Frequency" localSheetId="4">'Credit Curve NVDA'!$M$5</definedName>
    <definedName name="Frequency">'Credit Curve AAPL'!$M$5</definedName>
    <definedName name="HazardRate10Y" localSheetId="3">'Credit Curve MSFT'!$T$9</definedName>
    <definedName name="HazardRate10Y" localSheetId="4">'Credit Curve NVDA'!$T$9</definedName>
    <definedName name="HazardRate10Y">'Credit Curve AAPL'!$T$9</definedName>
    <definedName name="HazardRate1Y" localSheetId="3">'Credit Curve MSFT'!$T$4</definedName>
    <definedName name="HazardRate1Y" localSheetId="4">'Credit Curve NVDA'!$T$4</definedName>
    <definedName name="HazardRate1Y">'Credit Curve AAPL'!$T$4</definedName>
    <definedName name="HazardRate2Y" localSheetId="3">'Credit Curve MSFT'!$T$5</definedName>
    <definedName name="HazardRate2Y" localSheetId="4">'Credit Curve NVDA'!$T$5</definedName>
    <definedName name="HazardRate2Y">'Credit Curve AAPL'!$T$5</definedName>
    <definedName name="HazardRate3Y" localSheetId="3">'Credit Curve MSFT'!$T$6</definedName>
    <definedName name="HazardRate3Y" localSheetId="4">'Credit Curve NVDA'!$T$6</definedName>
    <definedName name="HazardRate3Y">'Credit Curve AAPL'!$T$6</definedName>
    <definedName name="HazardRate4Y" localSheetId="3">'Credit Curve MSFT'!$T$7</definedName>
    <definedName name="HazardRate4Y" localSheetId="4">'Credit Curve NVDA'!$T$7</definedName>
    <definedName name="HazardRate4Y">'Credit Curve AAPL'!$T$7</definedName>
    <definedName name="HazardRate5Y" localSheetId="3">'Credit Curve MSFT'!$T$8</definedName>
    <definedName name="HazardRate5Y" localSheetId="4">'Credit Curve NVDA'!$T$8</definedName>
    <definedName name="HazardRate5Y">'Credit Curve AAPL'!$T$8</definedName>
    <definedName name="HazardRateTimes" localSheetId="5">'Credit Default Swap'!$B$30</definedName>
    <definedName name="HazardRateTimes1">'First-to-Default CDS'!$AA$50</definedName>
    <definedName name="HazardRateTimes2">'First-to-Default CDS'!$CB$50</definedName>
    <definedName name="HazardRateTimes3">'First-to-Default CDS'!$EB$50</definedName>
    <definedName name="HazardRateValues" localSheetId="5">'Credit Default Swap'!$B$31</definedName>
    <definedName name="HazardRateValues1">'First-to-Default CDS'!$AA$51</definedName>
    <definedName name="HazardRateValues2">'First-to-Default CDS'!$CB$51</definedName>
    <definedName name="HazardRateValues3">'First-to-Default CDS'!$EB$51</definedName>
    <definedName name="ImpliedCorrelation" localSheetId="6">'First-to-Default CDS'!$F$5</definedName>
    <definedName name="InterationResults" localSheetId="3">'Credit Curve MSFT'!$K$42:$U$47</definedName>
    <definedName name="InterationResults" localSheetId="4">'Credit Curve NVDA'!$K$42:$U$47</definedName>
    <definedName name="InterationResults" localSheetId="1">'IR Yield Curve'!$N$23:$X$32</definedName>
    <definedName name="InterationResults" localSheetId="0">'IR Yield Curve'!$N$23:$X$32</definedName>
    <definedName name="InterationResults">'Credit Curve AAPL'!$K$42:$U$47</definedName>
    <definedName name="InterationResults1" localSheetId="3">'Credit Curve MSFT'!$K$42:$K$47</definedName>
    <definedName name="InterationResults1" localSheetId="4">'Credit Curve NVDA'!$K$42:$K$47</definedName>
    <definedName name="InterationResults1" localSheetId="1">'IR Yield Curve'!$N$23:$N$32</definedName>
    <definedName name="InterationResults1" localSheetId="0">'IR Yield Curve'!$N$23:$N$32</definedName>
    <definedName name="InterationResults1">'Credit Curve AAPL'!$K$42:$K$47</definedName>
    <definedName name="IterationCount" localSheetId="3">'Credit Curve MSFT'!$K$25</definedName>
    <definedName name="IterationCount" localSheetId="4">'Credit Curve NVDA'!$K$25</definedName>
    <definedName name="IterationCount" localSheetId="1">'IR Yield Curve'!$Q$6</definedName>
    <definedName name="IterationCount" localSheetId="0">'IR Yield Curve'!$Q$6</definedName>
    <definedName name="IterationCount">'Credit Curve AAPL'!$K$25</definedName>
    <definedName name="LGD" localSheetId="3">'Credit Curve MSFT'!$M$9</definedName>
    <definedName name="LGD" localSheetId="4">'Credit Curve NVDA'!$M$9</definedName>
    <definedName name="LGD">'Credit Curve AAPL'!$M$9</definedName>
    <definedName name="N">'IR Swap'!$C$7</definedName>
    <definedName name="Notional" localSheetId="3">'Credit Curve MSFT'!$M$8</definedName>
    <definedName name="Notional" localSheetId="4">'Credit Curve NVDA'!$M$8</definedName>
    <definedName name="Notional">'Credit Curve AAPL'!$M$8</definedName>
    <definedName name="NumericalDV01">'IR Swap'!$AH$28</definedName>
    <definedName name="p">'IR Swap'!$AH$10</definedName>
    <definedName name="PAYREC">'IR Swap'!$C$5</definedName>
    <definedName name="PDefault10Y" localSheetId="3">'Credit Curve MSFT'!$AA$5:$AA$44</definedName>
    <definedName name="PDefault10Y" localSheetId="4">'Credit Curve NVDA'!$AA$5:$AA$44</definedName>
    <definedName name="PDefault10Y">'Credit Curve AAPL'!$AA$5:$AA$44</definedName>
    <definedName name="PDefault1Y" localSheetId="3">'Credit Curve MSFT'!$AA$5:$AA$8</definedName>
    <definedName name="PDefault1Y" localSheetId="4">'Credit Curve NVDA'!$AA$5:$AA$8</definedName>
    <definedName name="PDefault1Y">'Credit Curve AAPL'!$AA$5:$AA$8</definedName>
    <definedName name="PDefault2Y" localSheetId="3">'Credit Curve MSFT'!$AA$5:$AA$12</definedName>
    <definedName name="PDefault2Y" localSheetId="4">'Credit Curve NVDA'!$AA$5:$AA$12</definedName>
    <definedName name="PDefault2Y">'Credit Curve AAPL'!$AA$5:$AA$12</definedName>
    <definedName name="PDefault3Y" localSheetId="3">'Credit Curve MSFT'!$AA$5:$AA$16</definedName>
    <definedName name="PDefault3Y" localSheetId="4">'Credit Curve NVDA'!$AA$5:$AA$16</definedName>
    <definedName name="PDefault3Y">'Credit Curve AAPL'!$AA$5:$AA$16</definedName>
    <definedName name="PDefault4Y" localSheetId="3">'Credit Curve MSFT'!$AA$5:$AA$20</definedName>
    <definedName name="PDefault4Y" localSheetId="4">'Credit Curve NVDA'!$AA$5:$AA$20</definedName>
    <definedName name="PDefault4Y">'Credit Curve AAPL'!$AA$5:$AA$20</definedName>
    <definedName name="PDefault5Y" localSheetId="3">'Credit Curve MSFT'!$AA$5:$AA$24</definedName>
    <definedName name="PDefault5Y" localSheetId="4">'Credit Curve NVDA'!$AA$5:$AA$24</definedName>
    <definedName name="PDefault5Y">'Credit Curve AAPL'!$AA$5:$AA$24</definedName>
    <definedName name="Phi">'IR Swap'!$A$5</definedName>
    <definedName name="Protection10Y" localSheetId="3">'Credit Curve MSFT'!$P$19</definedName>
    <definedName name="Protection10Y" localSheetId="4">'Credit Curve NVDA'!$P$19</definedName>
    <definedName name="Protection10Y">'Credit Curve AAPL'!$P$19</definedName>
    <definedName name="Protection1Y" localSheetId="3">'Credit Curve MSFT'!$P$14</definedName>
    <definedName name="Protection1Y" localSheetId="4">'Credit Curve NVDA'!$P$14</definedName>
    <definedName name="Protection1Y">'Credit Curve AAPL'!$P$14</definedName>
    <definedName name="Protection2Y" localSheetId="3">'Credit Curve MSFT'!$P$15</definedName>
    <definedName name="Protection2Y" localSheetId="4">'Credit Curve NVDA'!$P$15</definedName>
    <definedName name="Protection2Y">'Credit Curve AAPL'!$P$15</definedName>
    <definedName name="Protection3Y" localSheetId="3">'Credit Curve MSFT'!$P$16</definedName>
    <definedName name="Protection3Y" localSheetId="4">'Credit Curve NVDA'!$P$16</definedName>
    <definedName name="Protection3Y">'Credit Curve AAPL'!$P$16</definedName>
    <definedName name="Protection4Y" localSheetId="3">'Credit Curve MSFT'!$P$17</definedName>
    <definedName name="Protection4Y" localSheetId="4">'Credit Curve NVDA'!$P$17</definedName>
    <definedName name="Protection4Y">'Credit Curve AAPL'!$P$17</definedName>
    <definedName name="Protection5Y" localSheetId="3">'Credit Curve MSFT'!$P$18</definedName>
    <definedName name="Protection5Y" localSheetId="4">'Credit Curve NVDA'!$P$18</definedName>
    <definedName name="Protection5Y">'Credit Curve AAPL'!$P$18</definedName>
    <definedName name="PSurvival10Y" localSheetId="3">'Credit Curve MSFT'!$Z$5:$Z$44</definedName>
    <definedName name="PSurvival10Y" localSheetId="4">'Credit Curve NVDA'!$Z$5:$Z$44</definedName>
    <definedName name="PSurvival10Y">'Credit Curve AAPL'!$Z$5:$Z$44</definedName>
    <definedName name="PSurvival1Y" localSheetId="3">'Credit Curve MSFT'!$Z$5:$Z$8</definedName>
    <definedName name="PSurvival1Y" localSheetId="4">'Credit Curve NVDA'!$Z$5:$Z$8</definedName>
    <definedName name="PSurvival1Y">'Credit Curve AAPL'!$Z$5:$Z$8</definedName>
    <definedName name="PSurvival2Y" localSheetId="3">'Credit Curve MSFT'!$Z$5:$Z$12</definedName>
    <definedName name="PSurvival2Y" localSheetId="4">'Credit Curve NVDA'!$Z$5:$Z$12</definedName>
    <definedName name="PSurvival2Y">'Credit Curve AAPL'!$Z$5:$Z$12</definedName>
    <definedName name="PSurvival3Y" localSheetId="3">'Credit Curve MSFT'!$Z$5:$Z$16</definedName>
    <definedName name="PSurvival3Y" localSheetId="4">'Credit Curve NVDA'!$Z$5:$Z$16</definedName>
    <definedName name="PSurvival3Y">'Credit Curve AAPL'!$Z$5:$Z$16</definedName>
    <definedName name="PSurvival4Y" localSheetId="3">'Credit Curve MSFT'!$Z$5:$Z$20</definedName>
    <definedName name="PSurvival4Y" localSheetId="4">'Credit Curve NVDA'!$Z$5:$Z$20</definedName>
    <definedName name="PSurvival4Y">'Credit Curve AAPL'!$Z$5:$Z$20</definedName>
    <definedName name="PSurvival5Y" localSheetId="3">'Credit Curve MSFT'!$Z$5:$Z$24</definedName>
    <definedName name="PSurvival5Y" localSheetId="4">'Credit Curve NVDA'!$Z$5:$Z$24</definedName>
    <definedName name="PSurvival5Y">'Credit Curve AAPL'!$Z$5:$Z$24</definedName>
    <definedName name="PV_FixedLeg">'IR Swap'!$AH$6</definedName>
    <definedName name="PV_FloatLeg">'IR Swap'!$AH$7</definedName>
    <definedName name="PV_FloatSpread">'IR Swap'!$AH$8</definedName>
    <definedName name="PV_Swap">'IR Swap'!$AH$9</definedName>
    <definedName name="PV01_">'IR Swap'!$AH$21</definedName>
    <definedName name="PVlets_Fixed">'IR Swap'!$M$6:$M$55</definedName>
    <definedName name="PVlets_Float">'IR Swap'!$AA$6:$AA$55</definedName>
    <definedName name="r_fixed">'IR Swap'!$C$8</definedName>
    <definedName name="RecoveryRate" localSheetId="3">'Credit Curve MSFT'!$M$6</definedName>
    <definedName name="RecoveryRate" localSheetId="4">'Credit Curve NVDA'!$M$6</definedName>
    <definedName name="RecoveryRate">'Credit Curve AAPL'!$M$6</definedName>
    <definedName name="RiskPV_NoBump">'IR Swap'!$AH$26</definedName>
    <definedName name="RiskPV_WithBump">'IR Swap'!$AH$27</definedName>
    <definedName name="RiskyAnnuity10Y" localSheetId="3">'Credit Curve MSFT'!$S$19</definedName>
    <definedName name="RiskyAnnuity10Y" localSheetId="4">'Credit Curve NVDA'!$S$19</definedName>
    <definedName name="RiskyAnnuity10Y">'Credit Curve AAPL'!$S$19</definedName>
    <definedName name="RiskyAnnuity1Y" localSheetId="3">'Credit Curve MSFT'!$S$14</definedName>
    <definedName name="RiskyAnnuity1Y" localSheetId="4">'Credit Curve NVDA'!$S$14</definedName>
    <definedName name="RiskyAnnuity1Y">'Credit Curve AAPL'!$S$14</definedName>
    <definedName name="RiskyAnnuity2Y" localSheetId="3">'Credit Curve MSFT'!$S$15</definedName>
    <definedName name="RiskyAnnuity2Y" localSheetId="4">'Credit Curve NVDA'!$S$15</definedName>
    <definedName name="RiskyAnnuity2Y">'Credit Curve AAPL'!$S$15</definedName>
    <definedName name="RiskyAnnuity3Y" localSheetId="3">'Credit Curve MSFT'!$S$16</definedName>
    <definedName name="RiskyAnnuity3Y" localSheetId="4">'Credit Curve NVDA'!$S$16</definedName>
    <definedName name="RiskyAnnuity3Y">'Credit Curve AAPL'!$S$16</definedName>
    <definedName name="RiskyAnnuity4Y" localSheetId="3">'Credit Curve MSFT'!$S$17</definedName>
    <definedName name="RiskyAnnuity4Y" localSheetId="4">'Credit Curve NVDA'!$S$17</definedName>
    <definedName name="RiskyAnnuity4Y">'Credit Curve AAPL'!$S$17</definedName>
    <definedName name="RiskyAnnuity5Y" localSheetId="3">'Credit Curve MSFT'!$S$18</definedName>
    <definedName name="RiskyAnnuity5Y" localSheetId="4">'Credit Curve NVDA'!$S$18</definedName>
    <definedName name="RiskyAnnuity5Y">'Credit Curve AAPL'!$S$18</definedName>
    <definedName name="s">'IR Swap'!$C$11</definedName>
    <definedName name="ShiftSize" localSheetId="3">'Credit Curve MSFT'!$AH$48</definedName>
    <definedName name="ShiftSize" localSheetId="4">'Credit Curve NVDA'!$AH$48</definedName>
    <definedName name="ShiftSize">'Credit Curve AAPL'!$AH$48</definedName>
    <definedName name="ShowIterations" localSheetId="3">'Credit Curve MSFT'!$O$37</definedName>
    <definedName name="ShowIterations" localSheetId="4">'Credit Curve NVDA'!$O$37</definedName>
    <definedName name="ShowIterations" localSheetId="1">'IR Yield Curve'!$Z$23</definedName>
    <definedName name="ShowIterations" localSheetId="0">'IR Yield Curve'!$Z$23</definedName>
    <definedName name="ShowIterations">'Credit Curve AAPL'!$O$37</definedName>
    <definedName name="T">'IR Swap'!$C$12</definedName>
    <definedName name="tau_i">'IR Swap'!$A$9</definedName>
    <definedName name="tau_j">'IR Swap'!$A$10</definedName>
    <definedName name="Tolerance" localSheetId="3">'Credit Curve MSFT'!$O$23</definedName>
    <definedName name="Tolerance" localSheetId="4">'Credit Curve NVDA'!$O$23</definedName>
    <definedName name="Tolerance" localSheetId="1">'IR Yield Curve'!$V$4</definedName>
    <definedName name="Tolerance" localSheetId="0">'IR Yield Curve'!$V$4</definedName>
    <definedName name="Tolerance">'Credit Curve AAPL'!$O$23</definedName>
    <definedName name="X0" localSheetId="3">'Credit Curve MSFT'!$O$27:$O$32</definedName>
    <definedName name="X0" localSheetId="4">'Credit Curve NVDA'!$O$27:$O$32</definedName>
    <definedName name="X0" localSheetId="1">'IR Yield Curve'!$V$8:$V$17</definedName>
    <definedName name="X0" localSheetId="0">'IR Yield Curve'!$V$8:$V$17</definedName>
    <definedName name="X0">'Credit Curve AAPL'!$O$27:$O$32</definedName>
    <definedName name="Xn" localSheetId="3">'Credit Curve MSFT'!$N$27:$N$32</definedName>
    <definedName name="Xn" localSheetId="4">'Credit Curve NVDA'!$N$27:$N$32</definedName>
    <definedName name="Xn" localSheetId="1">'IR Yield Curve'!$U$8:$U$17</definedName>
    <definedName name="Xn" localSheetId="0">'IR Yield Curve'!$U$8:$U$17</definedName>
    <definedName name="Xn">'Credit Curve AAPL'!$N$27:$N$32</definedName>
    <definedName name="XnPlus1" localSheetId="3">'Credit Curve MSFT'!$M$27:$M$32</definedName>
    <definedName name="XnPlus1" localSheetId="4">'Credit Curve NVDA'!$M$27:$M$32</definedName>
    <definedName name="XnPlus1" localSheetId="1">'IR Yield Curve'!$T$8:$T$17</definedName>
    <definedName name="XnPlus1" localSheetId="0">'IR Yield Curve'!$T$8:$T$17</definedName>
    <definedName name="XnPlus1">'Credit Curve AAPL'!$M$27:$M$32</definedName>
    <definedName name="YearFraction" localSheetId="3">'Credit Curve MSFT'!$M$7</definedName>
    <definedName name="YearFraction" localSheetId="4">'Credit Curve NVDA'!$M$7</definedName>
    <definedName name="YearFraction">'Credit Curve AAPL'!$M$7</definedName>
    <definedName name="YieldCurveDates">'IR Yield Curve'!$AD$24:$AD$34</definedName>
    <definedName name="YieldCurveForwards">'IR Yield Curve'!$AE$24:$AE$34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" i="8" l="1"/>
  <c r="G10" i="8"/>
  <c r="G9" i="8"/>
  <c r="FD2" i="8"/>
  <c r="EG2" i="8"/>
  <c r="EB2" i="8"/>
  <c r="DD2" i="8"/>
  <c r="CG2" i="8"/>
  <c r="CB2" i="8"/>
  <c r="BD2" i="8"/>
  <c r="AA2" i="8"/>
  <c r="AG2" i="8"/>
  <c r="EI3" i="8"/>
  <c r="EJ3" i="8" s="1"/>
  <c r="EK3" i="8" s="1"/>
  <c r="EL3" i="8" s="1"/>
  <c r="EM3" i="8" s="1"/>
  <c r="EN3" i="8" s="1"/>
  <c r="EO3" i="8" s="1"/>
  <c r="EP3" i="8" s="1"/>
  <c r="EQ3" i="8" s="1"/>
  <c r="ER3" i="8" s="1"/>
  <c r="ES3" i="8" s="1"/>
  <c r="ET3" i="8" s="1"/>
  <c r="EU3" i="8" s="1"/>
  <c r="EV3" i="8" s="1"/>
  <c r="EW3" i="8" s="1"/>
  <c r="EX3" i="8" s="1"/>
  <c r="EY3" i="8" s="1"/>
  <c r="EZ3" i="8" s="1"/>
  <c r="FA3" i="8" s="1"/>
  <c r="FB3" i="8" s="1"/>
  <c r="CI3" i="8"/>
  <c r="CJ3" i="8" s="1"/>
  <c r="CK3" i="8" s="1"/>
  <c r="CL3" i="8" s="1"/>
  <c r="CM3" i="8" s="1"/>
  <c r="CN3" i="8" s="1"/>
  <c r="CO3" i="8" s="1"/>
  <c r="CP3" i="8" s="1"/>
  <c r="CQ3" i="8" s="1"/>
  <c r="CR3" i="8" s="1"/>
  <c r="CS3" i="8" s="1"/>
  <c r="CT3" i="8" s="1"/>
  <c r="CU3" i="8" s="1"/>
  <c r="CV3" i="8" s="1"/>
  <c r="CW3" i="8" s="1"/>
  <c r="CX3" i="8" s="1"/>
  <c r="CY3" i="8" s="1"/>
  <c r="CZ3" i="8" s="1"/>
  <c r="DA3" i="8" s="1"/>
  <c r="DB3" i="8" s="1"/>
  <c r="AI3" i="8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FZ1" i="8"/>
  <c r="FE3" i="8"/>
  <c r="GC3" i="8" s="1"/>
  <c r="DZ1" i="8"/>
  <c r="DE3" i="8"/>
  <c r="BZ1" i="8"/>
  <c r="BE3" i="8"/>
  <c r="CH4" i="8"/>
  <c r="DE4" i="8" s="1"/>
  <c r="EH4" i="8"/>
  <c r="FE4" i="8" s="1"/>
  <c r="GC4" i="8" s="1"/>
  <c r="AH4" i="8"/>
  <c r="BE4" i="8" s="1"/>
  <c r="EB51" i="8"/>
  <c r="EB50" i="8"/>
  <c r="CB51" i="8"/>
  <c r="CB50" i="8"/>
  <c r="AA51" i="8"/>
  <c r="AA50" i="8"/>
  <c r="EB49" i="8"/>
  <c r="CB49" i="8"/>
  <c r="AA49" i="8"/>
  <c r="AA5" i="8"/>
  <c r="CB5" i="8" a="1"/>
  <c r="G14" i="8" l="1"/>
  <c r="G13" i="8"/>
  <c r="AI4" i="8"/>
  <c r="BF4" i="8" s="1"/>
  <c r="GZ5" i="8"/>
  <c r="FF3" i="8"/>
  <c r="GD3" i="8" s="1"/>
  <c r="CI4" i="8"/>
  <c r="DF4" i="8" s="1"/>
  <c r="AJ4" i="8"/>
  <c r="BG4" i="8" s="1"/>
  <c r="DF3" i="8"/>
  <c r="DD5" i="8"/>
  <c r="GB5" i="8"/>
  <c r="CG5" i="8"/>
  <c r="EG5" i="8"/>
  <c r="BD5" i="8"/>
  <c r="AG5" i="8"/>
  <c r="FD5" i="8"/>
  <c r="BF3" i="8"/>
  <c r="AA6" i="8"/>
  <c r="EI4" i="8"/>
  <c r="FF4" i="8" s="1"/>
  <c r="GD4" i="8" s="1"/>
  <c r="FG3" i="8"/>
  <c r="GE3" i="8" s="1"/>
  <c r="CB5" i="8"/>
  <c r="CC5" i="8" s="1"/>
  <c r="D16" i="8"/>
  <c r="D14" i="8"/>
  <c r="D15" i="8" s="1"/>
  <c r="S5" i="8"/>
  <c r="I5" i="8"/>
  <c r="X4" i="8"/>
  <c r="T4" i="8"/>
  <c r="AB6" i="8" a="1"/>
  <c r="AB5" i="8" a="1"/>
  <c r="EB5" i="8" a="1"/>
  <c r="GZ6" i="8" l="1"/>
  <c r="CD5" i="8"/>
  <c r="BI3" i="8"/>
  <c r="BG3" i="8"/>
  <c r="DD6" i="8"/>
  <c r="FD6" i="8"/>
  <c r="GB6" i="8"/>
  <c r="EG6" i="8"/>
  <c r="BD6" i="8"/>
  <c r="AG6" i="8"/>
  <c r="CG6" i="8"/>
  <c r="DH3" i="8"/>
  <c r="DG3" i="8"/>
  <c r="CJ4" i="8"/>
  <c r="DG4" i="8" s="1"/>
  <c r="DI3" i="8"/>
  <c r="CK4" i="8"/>
  <c r="DH4" i="8" s="1"/>
  <c r="FH3" i="8"/>
  <c r="GF3" i="8" s="1"/>
  <c r="EJ4" i="8"/>
  <c r="FG4" i="8" s="1"/>
  <c r="GE4" i="8" s="1"/>
  <c r="AA7" i="8"/>
  <c r="AB6" i="8"/>
  <c r="AB5" i="8"/>
  <c r="AC5" i="8" s="1"/>
  <c r="AD5" i="8" s="1"/>
  <c r="AE5" i="8" s="1"/>
  <c r="AH5" i="8" s="1"/>
  <c r="EB5" i="8"/>
  <c r="EC5" i="8" s="1"/>
  <c r="ED5" i="8" s="1"/>
  <c r="EE5" i="8" s="1"/>
  <c r="I6" i="8"/>
  <c r="T5" i="8"/>
  <c r="J5" i="8"/>
  <c r="S6" i="8"/>
  <c r="CB6" i="8" a="1"/>
  <c r="CB7" i="8" a="1"/>
  <c r="AB7" i="8" a="1"/>
  <c r="CB6" i="8" l="1"/>
  <c r="CC6" i="8" s="1"/>
  <c r="EH5" i="8"/>
  <c r="FE5" i="8" s="1"/>
  <c r="EX5" i="8"/>
  <c r="EI5" i="8"/>
  <c r="FF5" i="8" s="1"/>
  <c r="EY5" i="8"/>
  <c r="EJ5" i="8"/>
  <c r="FG5" i="8" s="1"/>
  <c r="EZ5" i="8"/>
  <c r="EK5" i="8"/>
  <c r="FH5" i="8" s="1"/>
  <c r="FA5" i="8"/>
  <c r="EL5" i="8"/>
  <c r="FB5" i="8"/>
  <c r="EM5" i="8"/>
  <c r="EN5" i="8"/>
  <c r="EO5" i="8"/>
  <c r="EP5" i="8"/>
  <c r="EQ5" i="8"/>
  <c r="ER5" i="8"/>
  <c r="ES5" i="8"/>
  <c r="EU5" i="8"/>
  <c r="ET5" i="8"/>
  <c r="EV5" i="8"/>
  <c r="EW5" i="8"/>
  <c r="BE5" i="8"/>
  <c r="AX5" i="8"/>
  <c r="AI5" i="8"/>
  <c r="BF5" i="8" s="1"/>
  <c r="AY5" i="8"/>
  <c r="AJ5" i="8"/>
  <c r="BG5" i="8" s="1"/>
  <c r="AZ5" i="8"/>
  <c r="AK5" i="8"/>
  <c r="BH5" i="8" s="1"/>
  <c r="BA5" i="8"/>
  <c r="AL5" i="8"/>
  <c r="BI5" i="8" s="1"/>
  <c r="BB5" i="8"/>
  <c r="AM5" i="8"/>
  <c r="AN5" i="8"/>
  <c r="AO5" i="8"/>
  <c r="AP5" i="8"/>
  <c r="AQ5" i="8"/>
  <c r="AT5" i="8"/>
  <c r="AR5" i="8"/>
  <c r="AS5" i="8"/>
  <c r="AU5" i="8"/>
  <c r="AV5" i="8"/>
  <c r="AW5" i="8"/>
  <c r="J6" i="8"/>
  <c r="GZ7" i="8"/>
  <c r="CE5" i="8"/>
  <c r="AK4" i="8"/>
  <c r="BH4" i="8" s="1"/>
  <c r="BH3" i="8"/>
  <c r="DD7" i="8"/>
  <c r="FD7" i="8"/>
  <c r="EG7" i="8"/>
  <c r="GB7" i="8"/>
  <c r="BD7" i="8"/>
  <c r="AG7" i="8"/>
  <c r="CG7" i="8"/>
  <c r="AL4" i="8"/>
  <c r="BI4" i="8" s="1"/>
  <c r="BJ3" i="8"/>
  <c r="DJ3" i="8"/>
  <c r="CL4" i="8"/>
  <c r="DI4" i="8" s="1"/>
  <c r="CB7" i="8"/>
  <c r="AB7" i="8"/>
  <c r="AA8" i="8"/>
  <c r="EK4" i="8"/>
  <c r="FH4" i="8" s="1"/>
  <c r="GF4" i="8" s="1"/>
  <c r="FI3" i="8"/>
  <c r="GG3" i="8" s="1"/>
  <c r="T6" i="8"/>
  <c r="AC6" i="8"/>
  <c r="AD6" i="8" s="1"/>
  <c r="AE6" i="8" s="1"/>
  <c r="I7" i="8"/>
  <c r="S7" i="8"/>
  <c r="AB8" i="8" a="1"/>
  <c r="EB6" i="8" a="1"/>
  <c r="EB6" i="8" l="1"/>
  <c r="EC6" i="8" s="1"/>
  <c r="ED6" i="8" s="1"/>
  <c r="EE6" i="8" s="1"/>
  <c r="EM6" i="8" s="1"/>
  <c r="CD6" i="8"/>
  <c r="CE6" i="8" s="1"/>
  <c r="CC7" i="8"/>
  <c r="CD7" i="8" s="1"/>
  <c r="EN6" i="8"/>
  <c r="EO6" i="8"/>
  <c r="CH5" i="8"/>
  <c r="CX5" i="8"/>
  <c r="CI5" i="8"/>
  <c r="CY5" i="8"/>
  <c r="CJ5" i="8"/>
  <c r="CZ5" i="8"/>
  <c r="CK5" i="8"/>
  <c r="DA5" i="8"/>
  <c r="CL5" i="8"/>
  <c r="DI5" i="8" s="1"/>
  <c r="DB5" i="8"/>
  <c r="CM5" i="8"/>
  <c r="CN5" i="8"/>
  <c r="CO5" i="8"/>
  <c r="CP5" i="8"/>
  <c r="CQ5" i="8"/>
  <c r="CR5" i="8"/>
  <c r="CS5" i="8"/>
  <c r="CT5" i="8"/>
  <c r="CU5" i="8"/>
  <c r="CV5" i="8"/>
  <c r="CW5" i="8"/>
  <c r="AS6" i="8"/>
  <c r="AT6" i="8"/>
  <c r="AU6" i="8"/>
  <c r="AV6" i="8"/>
  <c r="AW6" i="8"/>
  <c r="AH6" i="8"/>
  <c r="BE6" i="8" s="1"/>
  <c r="AX6" i="8"/>
  <c r="AI6" i="8"/>
  <c r="BF6" i="8" s="1"/>
  <c r="AY6" i="8"/>
  <c r="AJ6" i="8"/>
  <c r="BG6" i="8" s="1"/>
  <c r="AZ6" i="8"/>
  <c r="AK6" i="8"/>
  <c r="BH6" i="8" s="1"/>
  <c r="BA6" i="8"/>
  <c r="AO6" i="8"/>
  <c r="AL6" i="8"/>
  <c r="BI6" i="8" s="1"/>
  <c r="BB6" i="8"/>
  <c r="AM6" i="8"/>
  <c r="BJ6" i="8" s="1"/>
  <c r="AN6" i="8"/>
  <c r="BK6" i="8" s="1"/>
  <c r="AP6" i="8"/>
  <c r="AR6" i="8"/>
  <c r="AQ6" i="8"/>
  <c r="I8" i="8"/>
  <c r="I9" i="8" s="1"/>
  <c r="GZ8" i="8"/>
  <c r="BJ5" i="8"/>
  <c r="DD8" i="8"/>
  <c r="GB8" i="8"/>
  <c r="FD8" i="8"/>
  <c r="EG8" i="8"/>
  <c r="BD8" i="8"/>
  <c r="CG8" i="8"/>
  <c r="AG8" i="8"/>
  <c r="AM4" i="8"/>
  <c r="BJ4" i="8" s="1"/>
  <c r="J7" i="8"/>
  <c r="T7" i="8"/>
  <c r="DK3" i="8"/>
  <c r="CM4" i="8"/>
  <c r="DJ4" i="8" s="1"/>
  <c r="AB8" i="8"/>
  <c r="EL4" i="8"/>
  <c r="FI4" i="8" s="1"/>
  <c r="GG4" i="8" s="1"/>
  <c r="AA9" i="8"/>
  <c r="FI5" i="8"/>
  <c r="AC7" i="8"/>
  <c r="AD7" i="8" s="1"/>
  <c r="AE7" i="8" s="1"/>
  <c r="S8" i="8"/>
  <c r="EB7" i="8" a="1"/>
  <c r="CB8" i="8" a="1"/>
  <c r="CB9" i="8" a="1"/>
  <c r="AB9" i="8" a="1"/>
  <c r="EL6" i="8" l="1"/>
  <c r="FI6" i="8" s="1"/>
  <c r="FA6" i="8"/>
  <c r="EK6" i="8"/>
  <c r="FH6" i="8" s="1"/>
  <c r="EZ6" i="8"/>
  <c r="EJ6" i="8"/>
  <c r="FG6" i="8" s="1"/>
  <c r="EY6" i="8"/>
  <c r="EI6" i="8"/>
  <c r="FF6" i="8" s="1"/>
  <c r="EX6" i="8"/>
  <c r="EH6" i="8"/>
  <c r="FE6" i="8" s="1"/>
  <c r="EW6" i="8"/>
  <c r="EV6" i="8"/>
  <c r="EU6" i="8"/>
  <c r="ER6" i="8"/>
  <c r="ET6" i="8"/>
  <c r="EQ6" i="8"/>
  <c r="ES6" i="8"/>
  <c r="EP6" i="8"/>
  <c r="FB6" i="8"/>
  <c r="EB7" i="8"/>
  <c r="EC7" i="8" s="1"/>
  <c r="ED7" i="8" s="1"/>
  <c r="EE7" i="8" s="1"/>
  <c r="EI7" i="8" s="1"/>
  <c r="FF7" i="8" s="1"/>
  <c r="CB8" i="8"/>
  <c r="CC8" i="8" s="1"/>
  <c r="GG5" i="8"/>
  <c r="EO7" i="8"/>
  <c r="CS6" i="8"/>
  <c r="CT6" i="8"/>
  <c r="CU6" i="8"/>
  <c r="CV6" i="8"/>
  <c r="CW6" i="8"/>
  <c r="CH6" i="8"/>
  <c r="CX6" i="8"/>
  <c r="CI6" i="8"/>
  <c r="CY6" i="8"/>
  <c r="CJ6" i="8"/>
  <c r="CZ6" i="8"/>
  <c r="CK6" i="8"/>
  <c r="DA6" i="8"/>
  <c r="CL6" i="8"/>
  <c r="DB6" i="8"/>
  <c r="CM6" i="8"/>
  <c r="CN6" i="8"/>
  <c r="CO6" i="8"/>
  <c r="CP6" i="8"/>
  <c r="CQ6" i="8"/>
  <c r="CR6" i="8"/>
  <c r="AN7" i="8"/>
  <c r="BK7" i="8" s="1"/>
  <c r="AO7" i="8"/>
  <c r="BL7" i="8" s="1"/>
  <c r="AP7" i="8"/>
  <c r="AQ7" i="8"/>
  <c r="AR7" i="8"/>
  <c r="AS7" i="8"/>
  <c r="AT7" i="8"/>
  <c r="AU7" i="8"/>
  <c r="AV7" i="8"/>
  <c r="AW7" i="8"/>
  <c r="AH7" i="8"/>
  <c r="BE7" i="8" s="1"/>
  <c r="AX7" i="8"/>
  <c r="AZ7" i="8"/>
  <c r="AM7" i="8"/>
  <c r="BJ7" i="8" s="1"/>
  <c r="AI7" i="8"/>
  <c r="BF7" i="8" s="1"/>
  <c r="AY7" i="8"/>
  <c r="AJ7" i="8"/>
  <c r="BG7" i="8" s="1"/>
  <c r="AK7" i="8"/>
  <c r="BH7" i="8" s="1"/>
  <c r="BA7" i="8"/>
  <c r="AL7" i="8"/>
  <c r="BI7" i="8" s="1"/>
  <c r="BB7" i="8"/>
  <c r="J8" i="8"/>
  <c r="T8" i="8"/>
  <c r="GZ9" i="8"/>
  <c r="DJ5" i="8"/>
  <c r="DE5" i="8"/>
  <c r="GC5" i="8" s="1"/>
  <c r="DH5" i="8"/>
  <c r="GF5" i="8" s="1"/>
  <c r="DF5" i="8"/>
  <c r="GD5" i="8" s="1"/>
  <c r="DG5" i="8"/>
  <c r="GE5" i="8" s="1"/>
  <c r="CE7" i="8"/>
  <c r="AN4" i="8"/>
  <c r="BK4" i="8" s="1"/>
  <c r="BK3" i="8"/>
  <c r="BK5" i="8"/>
  <c r="DD9" i="8"/>
  <c r="GB9" i="8"/>
  <c r="FD9" i="8"/>
  <c r="EG9" i="8"/>
  <c r="BD9" i="8"/>
  <c r="AG9" i="8"/>
  <c r="CG9" i="8"/>
  <c r="FJ6" i="8"/>
  <c r="FJ3" i="8"/>
  <c r="GH3" i="8" s="1"/>
  <c r="BL6" i="8"/>
  <c r="BL3" i="8"/>
  <c r="DL3" i="8"/>
  <c r="CN4" i="8"/>
  <c r="DK4" i="8" s="1"/>
  <c r="CB9" i="8"/>
  <c r="CC9" i="8" s="1"/>
  <c r="AB9" i="8"/>
  <c r="AA10" i="8"/>
  <c r="AO4" i="8"/>
  <c r="BL4" i="8" s="1"/>
  <c r="BL5" i="8"/>
  <c r="EM4" i="8"/>
  <c r="FJ4" i="8" s="1"/>
  <c r="GH4" i="8" s="1"/>
  <c r="FK3" i="8"/>
  <c r="GI3" i="8" s="1"/>
  <c r="FJ5" i="8"/>
  <c r="AC8" i="8"/>
  <c r="AD8" i="8" s="1"/>
  <c r="AE8" i="8" s="1"/>
  <c r="CD8" i="8"/>
  <c r="T9" i="8"/>
  <c r="J9" i="8"/>
  <c r="I10" i="8"/>
  <c r="S9" i="8"/>
  <c r="EB8" i="8" a="1"/>
  <c r="AB10" i="8" a="1"/>
  <c r="EB9" i="8" a="1"/>
  <c r="EX7" i="8" l="1"/>
  <c r="EH7" i="8"/>
  <c r="FE7" i="8" s="1"/>
  <c r="EW7" i="8"/>
  <c r="EV7" i="8"/>
  <c r="EU7" i="8"/>
  <c r="EK7" i="8"/>
  <c r="FH7" i="8" s="1"/>
  <c r="ET7" i="8"/>
  <c r="ES7" i="8"/>
  <c r="ER7" i="8"/>
  <c r="EN7" i="8"/>
  <c r="FK7" i="8" s="1"/>
  <c r="EL7" i="8"/>
  <c r="FI7" i="8" s="1"/>
  <c r="EJ7" i="8"/>
  <c r="FG7" i="8" s="1"/>
  <c r="EY7" i="8"/>
  <c r="EB8" i="8"/>
  <c r="EC8" i="8" s="1"/>
  <c r="ED8" i="8" s="1"/>
  <c r="EE8" i="8" s="1"/>
  <c r="EL8" i="8" s="1"/>
  <c r="FI8" i="8" s="1"/>
  <c r="EM7" i="8"/>
  <c r="FJ7" i="8" s="1"/>
  <c r="EQ7" i="8"/>
  <c r="FB7" i="8"/>
  <c r="EP7" i="8"/>
  <c r="EZ7" i="8"/>
  <c r="FA7" i="8"/>
  <c r="GH5" i="8"/>
  <c r="CN7" i="8"/>
  <c r="CO7" i="8"/>
  <c r="CP7" i="8"/>
  <c r="CQ7" i="8"/>
  <c r="CR7" i="8"/>
  <c r="CS7" i="8"/>
  <c r="CT7" i="8"/>
  <c r="CU7" i="8"/>
  <c r="CV7" i="8"/>
  <c r="CW7" i="8"/>
  <c r="DA7" i="8"/>
  <c r="CH7" i="8"/>
  <c r="CX7" i="8"/>
  <c r="CI7" i="8"/>
  <c r="CY7" i="8"/>
  <c r="CJ7" i="8"/>
  <c r="CZ7" i="8"/>
  <c r="CK7" i="8"/>
  <c r="CL7" i="8"/>
  <c r="DB7" i="8"/>
  <c r="CM7" i="8"/>
  <c r="AI8" i="8"/>
  <c r="BF8" i="8" s="1"/>
  <c r="AY8" i="8"/>
  <c r="AJ8" i="8"/>
  <c r="BG8" i="8" s="1"/>
  <c r="AZ8" i="8"/>
  <c r="AK8" i="8"/>
  <c r="BH8" i="8" s="1"/>
  <c r="BA8" i="8"/>
  <c r="AL8" i="8"/>
  <c r="BI8" i="8" s="1"/>
  <c r="BB8" i="8"/>
  <c r="AM8" i="8"/>
  <c r="BJ8" i="8" s="1"/>
  <c r="AN8" i="8"/>
  <c r="BK8" i="8" s="1"/>
  <c r="AO8" i="8"/>
  <c r="BL8" i="8" s="1"/>
  <c r="AP8" i="8"/>
  <c r="BM8" i="8" s="1"/>
  <c r="AQ8" i="8"/>
  <c r="AR8" i="8"/>
  <c r="AU8" i="8"/>
  <c r="AS8" i="8"/>
  <c r="AT8" i="8"/>
  <c r="AH8" i="8"/>
  <c r="BE8" i="8" s="1"/>
  <c r="AV8" i="8"/>
  <c r="AX8" i="8"/>
  <c r="AW8" i="8"/>
  <c r="GZ10" i="8"/>
  <c r="CE8" i="8"/>
  <c r="DK5" i="8"/>
  <c r="DI6" i="8"/>
  <c r="GG6" i="8" s="1"/>
  <c r="DH6" i="8"/>
  <c r="GF6" i="8" s="1"/>
  <c r="DK6" i="8"/>
  <c r="DJ6" i="8"/>
  <c r="GH6" i="8" s="1"/>
  <c r="DG6" i="8"/>
  <c r="GE6" i="8" s="1"/>
  <c r="DE6" i="8"/>
  <c r="GC6" i="8" s="1"/>
  <c r="DF6" i="8"/>
  <c r="GD6" i="8" s="1"/>
  <c r="GB10" i="8"/>
  <c r="EG10" i="8"/>
  <c r="BD10" i="8"/>
  <c r="DD10" i="8"/>
  <c r="FD10" i="8"/>
  <c r="CG10" i="8"/>
  <c r="AG10" i="8"/>
  <c r="BM7" i="8"/>
  <c r="BM3" i="8"/>
  <c r="CO4" i="8"/>
  <c r="DL4" i="8" s="1"/>
  <c r="DM3" i="8"/>
  <c r="EB9" i="8"/>
  <c r="AB10" i="8"/>
  <c r="EN4" i="8"/>
  <c r="FK4" i="8" s="1"/>
  <c r="GI4" i="8" s="1"/>
  <c r="FK5" i="8"/>
  <c r="FK6" i="8"/>
  <c r="CD9" i="8"/>
  <c r="AA11" i="8"/>
  <c r="AP4" i="8"/>
  <c r="BM4" i="8" s="1"/>
  <c r="BM5" i="8"/>
  <c r="BM6" i="8"/>
  <c r="AC9" i="8"/>
  <c r="AD9" i="8" s="1"/>
  <c r="AE9" i="8" s="1"/>
  <c r="J10" i="8"/>
  <c r="I11" i="8"/>
  <c r="T10" i="8"/>
  <c r="S10" i="8"/>
  <c r="CB10" i="8" a="1"/>
  <c r="AB11" i="8" a="1"/>
  <c r="CB11" i="8" a="1"/>
  <c r="EH8" i="8" l="1"/>
  <c r="FE8" i="8" s="1"/>
  <c r="EC9" i="8"/>
  <c r="ED9" i="8" s="1"/>
  <c r="EE9" i="8" s="1"/>
  <c r="EX8" i="8"/>
  <c r="EW8" i="8"/>
  <c r="EV8" i="8"/>
  <c r="ET8" i="8"/>
  <c r="EU8" i="8"/>
  <c r="ES8" i="8"/>
  <c r="EK8" i="8"/>
  <c r="FH8" i="8" s="1"/>
  <c r="EZ8" i="8"/>
  <c r="EY8" i="8"/>
  <c r="EI8" i="8"/>
  <c r="FF8" i="8" s="1"/>
  <c r="EJ8" i="8"/>
  <c r="FG8" i="8" s="1"/>
  <c r="ER8" i="8"/>
  <c r="EQ8" i="8"/>
  <c r="EO8" i="8"/>
  <c r="FL8" i="8" s="1"/>
  <c r="EP8" i="8"/>
  <c r="EN8" i="8"/>
  <c r="FK8" i="8" s="1"/>
  <c r="EM8" i="8"/>
  <c r="FJ8" i="8" s="1"/>
  <c r="FA8" i="8"/>
  <c r="FB8" i="8"/>
  <c r="CB10" i="8"/>
  <c r="CC10" i="8" s="1"/>
  <c r="CD10" i="8" s="1"/>
  <c r="GI5" i="8"/>
  <c r="GI6" i="8"/>
  <c r="ET9" i="8"/>
  <c r="EU9" i="8"/>
  <c r="EV9" i="8"/>
  <c r="EW9" i="8"/>
  <c r="EH9" i="8"/>
  <c r="FE9" i="8" s="1"/>
  <c r="EX9" i="8"/>
  <c r="EI9" i="8"/>
  <c r="FF9" i="8" s="1"/>
  <c r="EY9" i="8"/>
  <c r="EJ9" i="8"/>
  <c r="FG9" i="8" s="1"/>
  <c r="EZ9" i="8"/>
  <c r="EK9" i="8"/>
  <c r="FH9" i="8" s="1"/>
  <c r="FA9" i="8"/>
  <c r="EL9" i="8"/>
  <c r="FI9" i="8" s="1"/>
  <c r="FB9" i="8"/>
  <c r="EQ9" i="8"/>
  <c r="EM9" i="8"/>
  <c r="FJ9" i="8" s="1"/>
  <c r="EN9" i="8"/>
  <c r="FK9" i="8" s="1"/>
  <c r="EO9" i="8"/>
  <c r="FL9" i="8" s="1"/>
  <c r="EP9" i="8"/>
  <c r="ER9" i="8"/>
  <c r="ES9" i="8"/>
  <c r="CI8" i="8"/>
  <c r="DF8" i="8" s="1"/>
  <c r="GD8" i="8" s="1"/>
  <c r="CY8" i="8"/>
  <c r="CJ8" i="8"/>
  <c r="DG8" i="8" s="1"/>
  <c r="GE8" i="8" s="1"/>
  <c r="CZ8" i="8"/>
  <c r="CK8" i="8"/>
  <c r="DH8" i="8" s="1"/>
  <c r="GF8" i="8" s="1"/>
  <c r="DA8" i="8"/>
  <c r="CL8" i="8"/>
  <c r="DI8" i="8" s="1"/>
  <c r="GG8" i="8" s="1"/>
  <c r="DB8" i="8"/>
  <c r="CM8" i="8"/>
  <c r="DJ8" i="8" s="1"/>
  <c r="GH8" i="8" s="1"/>
  <c r="CN8" i="8"/>
  <c r="DK8" i="8" s="1"/>
  <c r="GI8" i="8" s="1"/>
  <c r="CO8" i="8"/>
  <c r="DL8" i="8" s="1"/>
  <c r="CP8" i="8"/>
  <c r="DM8" i="8" s="1"/>
  <c r="CQ8" i="8"/>
  <c r="CV8" i="8"/>
  <c r="CR8" i="8"/>
  <c r="CS8" i="8"/>
  <c r="CT8" i="8"/>
  <c r="CU8" i="8"/>
  <c r="CW8" i="8"/>
  <c r="CH8" i="8"/>
  <c r="DE8" i="8" s="1"/>
  <c r="GC8" i="8" s="1"/>
  <c r="CX8" i="8"/>
  <c r="AT9" i="8"/>
  <c r="AU9" i="8"/>
  <c r="AH9" i="8"/>
  <c r="BE9" i="8" s="1"/>
  <c r="AV9" i="8"/>
  <c r="AW9" i="8"/>
  <c r="AI9" i="8"/>
  <c r="BF9" i="8" s="1"/>
  <c r="AY9" i="8"/>
  <c r="AJ9" i="8"/>
  <c r="BG9" i="8" s="1"/>
  <c r="AZ9" i="8"/>
  <c r="BA9" i="8"/>
  <c r="AK9" i="8"/>
  <c r="BH9" i="8" s="1"/>
  <c r="AL9" i="8"/>
  <c r="BI9" i="8" s="1"/>
  <c r="BB9" i="8"/>
  <c r="AP9" i="8"/>
  <c r="BM9" i="8" s="1"/>
  <c r="AS9" i="8"/>
  <c r="AM9" i="8"/>
  <c r="BJ9" i="8" s="1"/>
  <c r="AN9" i="8"/>
  <c r="BK9" i="8" s="1"/>
  <c r="AO9" i="8"/>
  <c r="BL9" i="8" s="1"/>
  <c r="AX9" i="8"/>
  <c r="AQ9" i="8"/>
  <c r="BN9" i="8" s="1"/>
  <c r="AR9" i="8"/>
  <c r="GZ11" i="8"/>
  <c r="DF7" i="8"/>
  <c r="GD7" i="8" s="1"/>
  <c r="DL6" i="8"/>
  <c r="DL7" i="8"/>
  <c r="CE9" i="8"/>
  <c r="DI7" i="8"/>
  <c r="GG7" i="8" s="1"/>
  <c r="DJ7" i="8"/>
  <c r="GH7" i="8" s="1"/>
  <c r="DH7" i="8"/>
  <c r="GF7" i="8" s="1"/>
  <c r="DK7" i="8"/>
  <c r="GI7" i="8" s="1"/>
  <c r="DG7" i="8"/>
  <c r="GE7" i="8" s="1"/>
  <c r="DE7" i="8"/>
  <c r="GC7" i="8" s="1"/>
  <c r="DL5" i="8"/>
  <c r="FD11" i="8"/>
  <c r="DD11" i="8"/>
  <c r="EG11" i="8"/>
  <c r="BD11" i="8"/>
  <c r="CG11" i="8"/>
  <c r="AG11" i="8"/>
  <c r="GB11" i="8"/>
  <c r="FL3" i="8"/>
  <c r="GJ3" i="8" s="1"/>
  <c r="BN8" i="8"/>
  <c r="BN3" i="8"/>
  <c r="CP4" i="8"/>
  <c r="DM4" i="8" s="1"/>
  <c r="CB11" i="8"/>
  <c r="AB11" i="8"/>
  <c r="EO4" i="8"/>
  <c r="FL4" i="8" s="1"/>
  <c r="GJ4" i="8" s="1"/>
  <c r="FM3" i="8"/>
  <c r="GK3" i="8" s="1"/>
  <c r="FL5" i="8"/>
  <c r="FL6" i="8"/>
  <c r="FL7" i="8"/>
  <c r="AQ4" i="8"/>
  <c r="BN4" i="8" s="1"/>
  <c r="BN5" i="8"/>
  <c r="BN6" i="8"/>
  <c r="BN7" i="8"/>
  <c r="AA12" i="8"/>
  <c r="AC10" i="8"/>
  <c r="AD10" i="8" s="1"/>
  <c r="AE10" i="8" s="1"/>
  <c r="I12" i="8"/>
  <c r="T11" i="8"/>
  <c r="J11" i="8"/>
  <c r="S11" i="8"/>
  <c r="EB10" i="8" a="1"/>
  <c r="CB12" i="8" a="1"/>
  <c r="AB12" i="8" a="1"/>
  <c r="CC11" i="8" l="1"/>
  <c r="CD11" i="8" s="1"/>
  <c r="EB10" i="8"/>
  <c r="EC10" i="8" s="1"/>
  <c r="ED10" i="8" s="1"/>
  <c r="EE10" i="8" s="1"/>
  <c r="EX10" i="8" s="1"/>
  <c r="GJ6" i="8"/>
  <c r="GJ8" i="8"/>
  <c r="GJ5" i="8"/>
  <c r="GJ7" i="8"/>
  <c r="CT9" i="8"/>
  <c r="CU9" i="8"/>
  <c r="CV9" i="8"/>
  <c r="CW9" i="8"/>
  <c r="CH9" i="8"/>
  <c r="CX9" i="8"/>
  <c r="CI9" i="8"/>
  <c r="CY9" i="8"/>
  <c r="CJ9" i="8"/>
  <c r="CZ9" i="8"/>
  <c r="CK9" i="8"/>
  <c r="DA9" i="8"/>
  <c r="CQ9" i="8"/>
  <c r="CL9" i="8"/>
  <c r="DB9" i="8"/>
  <c r="CM9" i="8"/>
  <c r="CN9" i="8"/>
  <c r="CO9" i="8"/>
  <c r="DL9" i="8" s="1"/>
  <c r="GJ9" i="8" s="1"/>
  <c r="CP9" i="8"/>
  <c r="CR9" i="8"/>
  <c r="CS9" i="8"/>
  <c r="AO10" i="8"/>
  <c r="BL10" i="8" s="1"/>
  <c r="AP10" i="8"/>
  <c r="BM10" i="8" s="1"/>
  <c r="AQ10" i="8"/>
  <c r="BN10" i="8" s="1"/>
  <c r="AR10" i="8"/>
  <c r="BO10" i="8" s="1"/>
  <c r="AT10" i="8"/>
  <c r="AU10" i="8"/>
  <c r="AV10" i="8"/>
  <c r="AW10" i="8"/>
  <c r="AK10" i="8"/>
  <c r="BH10" i="8" s="1"/>
  <c r="AS10" i="8"/>
  <c r="AH10" i="8"/>
  <c r="BE10" i="8" s="1"/>
  <c r="AX10" i="8"/>
  <c r="BA10" i="8"/>
  <c r="AI10" i="8"/>
  <c r="BF10" i="8" s="1"/>
  <c r="AY10" i="8"/>
  <c r="AJ10" i="8"/>
  <c r="BG10" i="8" s="1"/>
  <c r="AZ10" i="8"/>
  <c r="AL10" i="8"/>
  <c r="BI10" i="8" s="1"/>
  <c r="BB10" i="8"/>
  <c r="AM10" i="8"/>
  <c r="BJ10" i="8" s="1"/>
  <c r="AN10" i="8"/>
  <c r="BK10" i="8" s="1"/>
  <c r="GZ12" i="8"/>
  <c r="DM6" i="8"/>
  <c r="CE10" i="8"/>
  <c r="DM5" i="8"/>
  <c r="DM7" i="8"/>
  <c r="FD12" i="8"/>
  <c r="GB12" i="8"/>
  <c r="AG12" i="8"/>
  <c r="DD12" i="8"/>
  <c r="CG12" i="8"/>
  <c r="EG12" i="8"/>
  <c r="BD12" i="8"/>
  <c r="DN3" i="8"/>
  <c r="BO9" i="8"/>
  <c r="BO3" i="8"/>
  <c r="DO3" i="8"/>
  <c r="CQ4" i="8"/>
  <c r="DN4" i="8" s="1"/>
  <c r="CB12" i="8"/>
  <c r="AB12" i="8"/>
  <c r="EP4" i="8"/>
  <c r="FM4" i="8" s="1"/>
  <c r="GK4" i="8" s="1"/>
  <c r="FN3" i="8"/>
  <c r="GL3" i="8" s="1"/>
  <c r="FM5" i="8"/>
  <c r="FM6" i="8"/>
  <c r="FM7" i="8"/>
  <c r="AA13" i="8"/>
  <c r="AR4" i="8"/>
  <c r="BO4" i="8" s="1"/>
  <c r="BO5" i="8"/>
  <c r="BO6" i="8"/>
  <c r="BO7" i="8"/>
  <c r="BO8" i="8"/>
  <c r="FM9" i="8"/>
  <c r="AC11" i="8"/>
  <c r="AD11" i="8" s="1"/>
  <c r="AE11" i="8" s="1"/>
  <c r="I13" i="8"/>
  <c r="T12" i="8"/>
  <c r="J12" i="8"/>
  <c r="S12" i="8"/>
  <c r="EB11" i="8" a="1"/>
  <c r="AB13" i="8" a="1"/>
  <c r="EW10" i="8" l="1"/>
  <c r="EM10" i="8"/>
  <c r="FJ10" i="8" s="1"/>
  <c r="ES10" i="8"/>
  <c r="EH10" i="8"/>
  <c r="FE10" i="8" s="1"/>
  <c r="CC12" i="8"/>
  <c r="CD12" i="8" s="1"/>
  <c r="EL10" i="8"/>
  <c r="FI10" i="8" s="1"/>
  <c r="EU10" i="8"/>
  <c r="FB10" i="8"/>
  <c r="EV10" i="8"/>
  <c r="ET10" i="8"/>
  <c r="ER10" i="8"/>
  <c r="EQ10" i="8"/>
  <c r="FN10" i="8" s="1"/>
  <c r="EB11" i="8"/>
  <c r="EC11" i="8" s="1"/>
  <c r="ED11" i="8" s="1"/>
  <c r="EE11" i="8" s="1"/>
  <c r="EO11" i="8" s="1"/>
  <c r="FL11" i="8" s="1"/>
  <c r="EN10" i="8"/>
  <c r="FK10" i="8" s="1"/>
  <c r="FA10" i="8"/>
  <c r="EO10" i="8"/>
  <c r="FL10" i="8" s="1"/>
  <c r="EK10" i="8"/>
  <c r="FH10" i="8" s="1"/>
  <c r="EJ10" i="8"/>
  <c r="FG10" i="8" s="1"/>
  <c r="EY10" i="8"/>
  <c r="EP10" i="8"/>
  <c r="FM10" i="8" s="1"/>
  <c r="EZ10" i="8"/>
  <c r="EI10" i="8"/>
  <c r="FF10" i="8" s="1"/>
  <c r="GK7" i="8"/>
  <c r="GK5" i="8"/>
  <c r="GK6" i="8"/>
  <c r="CO10" i="8"/>
  <c r="CP10" i="8"/>
  <c r="CQ10" i="8"/>
  <c r="CR10" i="8"/>
  <c r="DO10" i="8" s="1"/>
  <c r="CS10" i="8"/>
  <c r="CT10" i="8"/>
  <c r="CU10" i="8"/>
  <c r="CV10" i="8"/>
  <c r="CW10" i="8"/>
  <c r="CH10" i="8"/>
  <c r="DE10" i="8" s="1"/>
  <c r="GC10" i="8" s="1"/>
  <c r="CX10" i="8"/>
  <c r="CI10" i="8"/>
  <c r="CY10" i="8"/>
  <c r="DB10" i="8"/>
  <c r="CJ10" i="8"/>
  <c r="DG10" i="8" s="1"/>
  <c r="CZ10" i="8"/>
  <c r="CK10" i="8"/>
  <c r="DA10" i="8"/>
  <c r="CL10" i="8"/>
  <c r="CM10" i="8"/>
  <c r="CN10" i="8"/>
  <c r="AJ11" i="8"/>
  <c r="BG11" i="8" s="1"/>
  <c r="AZ11" i="8"/>
  <c r="AK11" i="8"/>
  <c r="BH11" i="8" s="1"/>
  <c r="BA11" i="8"/>
  <c r="AL11" i="8"/>
  <c r="BI11" i="8" s="1"/>
  <c r="BB11" i="8"/>
  <c r="AM11" i="8"/>
  <c r="BJ11" i="8" s="1"/>
  <c r="AN11" i="8"/>
  <c r="BK11" i="8" s="1"/>
  <c r="AO11" i="8"/>
  <c r="BL11" i="8" s="1"/>
  <c r="AP11" i="8"/>
  <c r="BM11" i="8" s="1"/>
  <c r="AQ11" i="8"/>
  <c r="BN11" i="8" s="1"/>
  <c r="AR11" i="8"/>
  <c r="BO11" i="8" s="1"/>
  <c r="AS11" i="8"/>
  <c r="BP11" i="8" s="1"/>
  <c r="AI11" i="8"/>
  <c r="BF11" i="8" s="1"/>
  <c r="AT11" i="8"/>
  <c r="AV11" i="8"/>
  <c r="AU11" i="8"/>
  <c r="AW11" i="8"/>
  <c r="AY11" i="8"/>
  <c r="AH11" i="8"/>
  <c r="BE11" i="8" s="1"/>
  <c r="AX11" i="8"/>
  <c r="GZ13" i="8"/>
  <c r="DH9" i="8"/>
  <c r="GF9" i="8" s="1"/>
  <c r="DK9" i="8"/>
  <c r="GI9" i="8" s="1"/>
  <c r="DI9" i="8"/>
  <c r="GG9" i="8" s="1"/>
  <c r="DM9" i="8"/>
  <c r="GK9" i="8" s="1"/>
  <c r="DN6" i="8"/>
  <c r="DN8" i="8"/>
  <c r="FM8" i="8"/>
  <c r="GK8" i="8" s="1"/>
  <c r="DF9" i="8"/>
  <c r="GD9" i="8" s="1"/>
  <c r="DN5" i="8"/>
  <c r="DE9" i="8"/>
  <c r="GC9" i="8" s="1"/>
  <c r="DJ9" i="8"/>
  <c r="GH9" i="8" s="1"/>
  <c r="DN9" i="8"/>
  <c r="DG9" i="8"/>
  <c r="GE9" i="8" s="1"/>
  <c r="DN7" i="8"/>
  <c r="CE11" i="8"/>
  <c r="FD13" i="8"/>
  <c r="GB13" i="8"/>
  <c r="EG13" i="8"/>
  <c r="BD13" i="8"/>
  <c r="CG13" i="8"/>
  <c r="DD13" i="8"/>
  <c r="AG13" i="8"/>
  <c r="BP10" i="8"/>
  <c r="BP3" i="8"/>
  <c r="DP3" i="8"/>
  <c r="CR4" i="8"/>
  <c r="DO4" i="8" s="1"/>
  <c r="AB13" i="8"/>
  <c r="EQ4" i="8"/>
  <c r="FN4" i="8" s="1"/>
  <c r="GL4" i="8" s="1"/>
  <c r="FN5" i="8"/>
  <c r="FN6" i="8"/>
  <c r="FN7" i="8"/>
  <c r="FN8" i="8"/>
  <c r="FN9" i="8"/>
  <c r="AA14" i="8"/>
  <c r="AS4" i="8"/>
  <c r="BP4" i="8" s="1"/>
  <c r="BP5" i="8"/>
  <c r="BP6" i="8"/>
  <c r="BP7" i="8"/>
  <c r="BP8" i="8"/>
  <c r="BP9" i="8"/>
  <c r="AC12" i="8"/>
  <c r="AD12" i="8" s="1"/>
  <c r="AE12" i="8" s="1"/>
  <c r="S13" i="8"/>
  <c r="T13" i="8"/>
  <c r="J13" i="8"/>
  <c r="I14" i="8"/>
  <c r="EB12" i="8" a="1"/>
  <c r="CB13" i="8" a="1"/>
  <c r="AB14" i="8" a="1"/>
  <c r="FB11" i="8" l="1"/>
  <c r="EL11" i="8"/>
  <c r="FI11" i="8" s="1"/>
  <c r="EM11" i="8"/>
  <c r="FJ11" i="8" s="1"/>
  <c r="EN11" i="8"/>
  <c r="FK11" i="8" s="1"/>
  <c r="EB12" i="8"/>
  <c r="EC12" i="8" s="1"/>
  <c r="ED12" i="8" s="1"/>
  <c r="EE12" i="8" s="1"/>
  <c r="EK12" i="8" s="1"/>
  <c r="FH12" i="8" s="1"/>
  <c r="EY11" i="8"/>
  <c r="FA11" i="8"/>
  <c r="EK11" i="8"/>
  <c r="FH11" i="8" s="1"/>
  <c r="EZ11" i="8"/>
  <c r="EW11" i="8"/>
  <c r="EV11" i="8"/>
  <c r="EX11" i="8"/>
  <c r="EU11" i="8"/>
  <c r="EH11" i="8"/>
  <c r="FE11" i="8" s="1"/>
  <c r="ET11" i="8"/>
  <c r="ES11" i="8"/>
  <c r="ER11" i="8"/>
  <c r="EQ11" i="8"/>
  <c r="FN11" i="8" s="1"/>
  <c r="EI11" i="8"/>
  <c r="FF11" i="8" s="1"/>
  <c r="EJ11" i="8"/>
  <c r="FG11" i="8" s="1"/>
  <c r="EP11" i="8"/>
  <c r="FM11" i="8" s="1"/>
  <c r="GE10" i="8"/>
  <c r="CB13" i="8"/>
  <c r="CC13" i="8" s="1"/>
  <c r="CD13" i="8" s="1"/>
  <c r="GL7" i="8"/>
  <c r="GL8" i="8"/>
  <c r="GL6" i="8"/>
  <c r="GL9" i="8"/>
  <c r="GL5" i="8"/>
  <c r="CJ11" i="8"/>
  <c r="CZ11" i="8"/>
  <c r="CK11" i="8"/>
  <c r="DA11" i="8"/>
  <c r="CL11" i="8"/>
  <c r="DB11" i="8"/>
  <c r="CM11" i="8"/>
  <c r="CN11" i="8"/>
  <c r="CO11" i="8"/>
  <c r="CP11" i="8"/>
  <c r="CQ11" i="8"/>
  <c r="CR11" i="8"/>
  <c r="DO11" i="8" s="1"/>
  <c r="CS11" i="8"/>
  <c r="CT11" i="8"/>
  <c r="CU11" i="8"/>
  <c r="CV11" i="8"/>
  <c r="CW11" i="8"/>
  <c r="CH11" i="8"/>
  <c r="CX11" i="8"/>
  <c r="CI11" i="8"/>
  <c r="CY11" i="8"/>
  <c r="AU12" i="8"/>
  <c r="AV12" i="8"/>
  <c r="AW12" i="8"/>
  <c r="AH12" i="8"/>
  <c r="BE12" i="8" s="1"/>
  <c r="AX12" i="8"/>
  <c r="AY12" i="8"/>
  <c r="AJ12" i="8"/>
  <c r="BG12" i="8" s="1"/>
  <c r="AZ12" i="8"/>
  <c r="AK12" i="8"/>
  <c r="BH12" i="8" s="1"/>
  <c r="BA12" i="8"/>
  <c r="BB12" i="8"/>
  <c r="AL12" i="8"/>
  <c r="BI12" i="8" s="1"/>
  <c r="AM12" i="8"/>
  <c r="BJ12" i="8" s="1"/>
  <c r="AN12" i="8"/>
  <c r="BK12" i="8" s="1"/>
  <c r="AO12" i="8"/>
  <c r="BL12" i="8" s="1"/>
  <c r="AP12" i="8"/>
  <c r="BM12" i="8" s="1"/>
  <c r="AQ12" i="8"/>
  <c r="BN12" i="8" s="1"/>
  <c r="AI12" i="8"/>
  <c r="BF12" i="8" s="1"/>
  <c r="AR12" i="8"/>
  <c r="BO12" i="8" s="1"/>
  <c r="AS12" i="8"/>
  <c r="BP12" i="8" s="1"/>
  <c r="AT12" i="8"/>
  <c r="BQ12" i="8" s="1"/>
  <c r="GZ14" i="8"/>
  <c r="DN10" i="8"/>
  <c r="GL10" i="8" s="1"/>
  <c r="DF10" i="8"/>
  <c r="GD10" i="8" s="1"/>
  <c r="DO7" i="8"/>
  <c r="DL10" i="8"/>
  <c r="GJ10" i="8" s="1"/>
  <c r="DO6" i="8"/>
  <c r="DI10" i="8"/>
  <c r="GG10" i="8" s="1"/>
  <c r="DO5" i="8"/>
  <c r="DO9" i="8"/>
  <c r="DK10" i="8"/>
  <c r="GI10" i="8" s="1"/>
  <c r="DJ10" i="8"/>
  <c r="GH10" i="8" s="1"/>
  <c r="DM10" i="8"/>
  <c r="GK10" i="8" s="1"/>
  <c r="DO8" i="8"/>
  <c r="CE12" i="8"/>
  <c r="DH10" i="8"/>
  <c r="GF10" i="8" s="1"/>
  <c r="FD14" i="8"/>
  <c r="GB14" i="8"/>
  <c r="DD14" i="8"/>
  <c r="AG14" i="8"/>
  <c r="CG14" i="8"/>
  <c r="EG14" i="8"/>
  <c r="BD14" i="8"/>
  <c r="FO11" i="8"/>
  <c r="FO3" i="8"/>
  <c r="GM3" i="8" s="1"/>
  <c r="BQ11" i="8"/>
  <c r="BQ3" i="8"/>
  <c r="CS4" i="8"/>
  <c r="DP4" i="8" s="1"/>
  <c r="AB14" i="8"/>
  <c r="ER4" i="8"/>
  <c r="FO4" i="8" s="1"/>
  <c r="GM4" i="8" s="1"/>
  <c r="FP3" i="8"/>
  <c r="GN3" i="8" s="1"/>
  <c r="FO5" i="8"/>
  <c r="FO6" i="8"/>
  <c r="FO7" i="8"/>
  <c r="FO8" i="8"/>
  <c r="FO9" i="8"/>
  <c r="AT4" i="8"/>
  <c r="BQ4" i="8" s="1"/>
  <c r="BQ5" i="8"/>
  <c r="BQ6" i="8"/>
  <c r="BQ7" i="8"/>
  <c r="BQ8" i="8"/>
  <c r="BQ9" i="8"/>
  <c r="BQ10" i="8"/>
  <c r="AA15" i="8"/>
  <c r="AC13" i="8"/>
  <c r="AD13" i="8" s="1"/>
  <c r="AE13" i="8" s="1"/>
  <c r="S14" i="8"/>
  <c r="I15" i="8"/>
  <c r="J14" i="8"/>
  <c r="T14" i="8"/>
  <c r="CB14" i="8" a="1"/>
  <c r="AB15" i="8" a="1"/>
  <c r="EB13" i="8" a="1"/>
  <c r="CB15" i="8" a="1"/>
  <c r="EZ12" i="8" l="1"/>
  <c r="EJ12" i="8"/>
  <c r="FG12" i="8" s="1"/>
  <c r="EY12" i="8"/>
  <c r="EM12" i="8"/>
  <c r="FJ12" i="8" s="1"/>
  <c r="EX12" i="8"/>
  <c r="EP12" i="8"/>
  <c r="FM12" i="8" s="1"/>
  <c r="ER12" i="8"/>
  <c r="FO12" i="8" s="1"/>
  <c r="EI12" i="8"/>
  <c r="FF12" i="8" s="1"/>
  <c r="EQ12" i="8"/>
  <c r="FN12" i="8" s="1"/>
  <c r="EV12" i="8"/>
  <c r="EN12" i="8"/>
  <c r="FK12" i="8" s="1"/>
  <c r="FB12" i="8"/>
  <c r="EU12" i="8"/>
  <c r="EL12" i="8"/>
  <c r="FI12" i="8" s="1"/>
  <c r="ET12" i="8"/>
  <c r="ES12" i="8"/>
  <c r="FP12" i="8" s="1"/>
  <c r="EW12" i="8"/>
  <c r="FA12" i="8"/>
  <c r="EH12" i="8"/>
  <c r="FE12" i="8" s="1"/>
  <c r="EO12" i="8"/>
  <c r="FL12" i="8" s="1"/>
  <c r="CB14" i="8"/>
  <c r="CC14" i="8" s="1"/>
  <c r="EB13" i="8"/>
  <c r="EC13" i="8" s="1"/>
  <c r="ED13" i="8" s="1"/>
  <c r="EE13" i="8" s="1"/>
  <c r="EW13" i="8" s="1"/>
  <c r="GM7" i="8"/>
  <c r="GM11" i="8"/>
  <c r="GM5" i="8"/>
  <c r="GM9" i="8"/>
  <c r="GM6" i="8"/>
  <c r="GM8" i="8"/>
  <c r="EP13" i="8"/>
  <c r="FM13" i="8" s="1"/>
  <c r="EQ13" i="8"/>
  <c r="FN13" i="8" s="1"/>
  <c r="ER13" i="8"/>
  <c r="FO13" i="8" s="1"/>
  <c r="ES13" i="8"/>
  <c r="FP13" i="8" s="1"/>
  <c r="EN13" i="8"/>
  <c r="FK13" i="8" s="1"/>
  <c r="EO13" i="8"/>
  <c r="FL13" i="8" s="1"/>
  <c r="CU12" i="8"/>
  <c r="CV12" i="8"/>
  <c r="CW12" i="8"/>
  <c r="CH12" i="8"/>
  <c r="CX12" i="8"/>
  <c r="CI12" i="8"/>
  <c r="CY12" i="8"/>
  <c r="CR12" i="8"/>
  <c r="CJ12" i="8"/>
  <c r="CZ12" i="8"/>
  <c r="CK12" i="8"/>
  <c r="DA12" i="8"/>
  <c r="CL12" i="8"/>
  <c r="DB12" i="8"/>
  <c r="CM12" i="8"/>
  <c r="CN12" i="8"/>
  <c r="CO12" i="8"/>
  <c r="CP12" i="8"/>
  <c r="CQ12" i="8"/>
  <c r="CS12" i="8"/>
  <c r="CT12" i="8"/>
  <c r="AP13" i="8"/>
  <c r="BM13" i="8" s="1"/>
  <c r="AQ13" i="8"/>
  <c r="BN13" i="8" s="1"/>
  <c r="AR13" i="8"/>
  <c r="BO13" i="8" s="1"/>
  <c r="AS13" i="8"/>
  <c r="BP13" i="8" s="1"/>
  <c r="AU13" i="8"/>
  <c r="BR13" i="8" s="1"/>
  <c r="AV13" i="8"/>
  <c r="AW13" i="8"/>
  <c r="AH13" i="8"/>
  <c r="BE13" i="8" s="1"/>
  <c r="AX13" i="8"/>
  <c r="AL13" i="8"/>
  <c r="BI13" i="8" s="1"/>
  <c r="AI13" i="8"/>
  <c r="BF13" i="8" s="1"/>
  <c r="AY13" i="8"/>
  <c r="BB13" i="8"/>
  <c r="AT13" i="8"/>
  <c r="BQ13" i="8" s="1"/>
  <c r="AJ13" i="8"/>
  <c r="BG13" i="8" s="1"/>
  <c r="AZ13" i="8"/>
  <c r="AK13" i="8"/>
  <c r="BH13" i="8" s="1"/>
  <c r="BA13" i="8"/>
  <c r="AM13" i="8"/>
  <c r="BJ13" i="8" s="1"/>
  <c r="AO13" i="8"/>
  <c r="BL13" i="8" s="1"/>
  <c r="AN13" i="8"/>
  <c r="BK13" i="8" s="1"/>
  <c r="GZ15" i="8"/>
  <c r="DE11" i="8"/>
  <c r="GC11" i="8" s="1"/>
  <c r="DL11" i="8"/>
  <c r="GJ11" i="8" s="1"/>
  <c r="DP6" i="8"/>
  <c r="DP5" i="8"/>
  <c r="DP8" i="8"/>
  <c r="DP9" i="8"/>
  <c r="DK11" i="8"/>
  <c r="GI11" i="8" s="1"/>
  <c r="DH11" i="8"/>
  <c r="GF11" i="8" s="1"/>
  <c r="FO10" i="8"/>
  <c r="GM10" i="8" s="1"/>
  <c r="DN11" i="8"/>
  <c r="GL11" i="8" s="1"/>
  <c r="DP10" i="8"/>
  <c r="DG11" i="8"/>
  <c r="GE11" i="8" s="1"/>
  <c r="DI11" i="8"/>
  <c r="GG11" i="8" s="1"/>
  <c r="DP7" i="8"/>
  <c r="CE13" i="8"/>
  <c r="DJ11" i="8"/>
  <c r="GH11" i="8" s="1"/>
  <c r="DF11" i="8"/>
  <c r="GD11" i="8" s="1"/>
  <c r="DP11" i="8"/>
  <c r="DM11" i="8"/>
  <c r="GK11" i="8" s="1"/>
  <c r="DQ3" i="8"/>
  <c r="FD15" i="8"/>
  <c r="GB15" i="8"/>
  <c r="AG15" i="8"/>
  <c r="CG15" i="8"/>
  <c r="DD15" i="8"/>
  <c r="EG15" i="8"/>
  <c r="BD15" i="8"/>
  <c r="BR12" i="8"/>
  <c r="BR3" i="8"/>
  <c r="DR3" i="8"/>
  <c r="CT4" i="8"/>
  <c r="DQ4" i="8" s="1"/>
  <c r="AB15" i="8"/>
  <c r="CB15" i="8"/>
  <c r="CC15" i="8" s="1"/>
  <c r="BS3" i="8"/>
  <c r="AU4" i="8"/>
  <c r="BR4" i="8" s="1"/>
  <c r="BR5" i="8"/>
  <c r="BR6" i="8"/>
  <c r="BR7" i="8"/>
  <c r="BR8" i="8"/>
  <c r="BR9" i="8"/>
  <c r="BR10" i="8"/>
  <c r="BR11" i="8"/>
  <c r="ES4" i="8"/>
  <c r="FP4" i="8" s="1"/>
  <c r="GN4" i="8" s="1"/>
  <c r="FP5" i="8"/>
  <c r="FP6" i="8"/>
  <c r="FP7" i="8"/>
  <c r="FP8" i="8"/>
  <c r="FP9" i="8"/>
  <c r="FP10" i="8"/>
  <c r="FP11" i="8"/>
  <c r="AA16" i="8"/>
  <c r="CD14" i="8"/>
  <c r="AC14" i="8"/>
  <c r="AD14" i="8" s="1"/>
  <c r="AE14" i="8" s="1"/>
  <c r="T15" i="8"/>
  <c r="I16" i="8"/>
  <c r="J15" i="8"/>
  <c r="S15" i="8"/>
  <c r="EB14" i="8" a="1"/>
  <c r="EB15" i="8" a="1"/>
  <c r="CB16" i="8" a="1"/>
  <c r="FB13" i="8" l="1"/>
  <c r="EL13" i="8"/>
  <c r="FI13" i="8" s="1"/>
  <c r="FA13" i="8"/>
  <c r="EJ13" i="8"/>
  <c r="FG13" i="8" s="1"/>
  <c r="EK13" i="8"/>
  <c r="FH13" i="8" s="1"/>
  <c r="EY13" i="8"/>
  <c r="EZ13" i="8"/>
  <c r="ET13" i="8"/>
  <c r="EI13" i="8"/>
  <c r="FF13" i="8" s="1"/>
  <c r="EV13" i="8"/>
  <c r="EM13" i="8"/>
  <c r="FJ13" i="8" s="1"/>
  <c r="EU13" i="8"/>
  <c r="EX13" i="8"/>
  <c r="EH13" i="8"/>
  <c r="FE13" i="8" s="1"/>
  <c r="EB14" i="8"/>
  <c r="EC14" i="8" s="1"/>
  <c r="ED14" i="8" s="1"/>
  <c r="EE14" i="8" s="1"/>
  <c r="EO14" i="8" s="1"/>
  <c r="FL14" i="8" s="1"/>
  <c r="GN11" i="8"/>
  <c r="GN7" i="8"/>
  <c r="GN9" i="8"/>
  <c r="GN8" i="8"/>
  <c r="GN5" i="8"/>
  <c r="GN10" i="8"/>
  <c r="GN6" i="8"/>
  <c r="CP13" i="8"/>
  <c r="DM13" i="8" s="1"/>
  <c r="GK13" i="8" s="1"/>
  <c r="CQ13" i="8"/>
  <c r="DN13" i="8" s="1"/>
  <c r="GL13" i="8" s="1"/>
  <c r="CR13" i="8"/>
  <c r="CS13" i="8"/>
  <c r="CT13" i="8"/>
  <c r="DQ13" i="8" s="1"/>
  <c r="CU13" i="8"/>
  <c r="CV13" i="8"/>
  <c r="CW13" i="8"/>
  <c r="CH13" i="8"/>
  <c r="DE13" i="8" s="1"/>
  <c r="CX13" i="8"/>
  <c r="CI13" i="8"/>
  <c r="DF13" i="8" s="1"/>
  <c r="GD13" i="8" s="1"/>
  <c r="CY13" i="8"/>
  <c r="CJ13" i="8"/>
  <c r="DG13" i="8" s="1"/>
  <c r="GE13" i="8" s="1"/>
  <c r="CZ13" i="8"/>
  <c r="CK13" i="8"/>
  <c r="DA13" i="8"/>
  <c r="CL13" i="8"/>
  <c r="DI13" i="8" s="1"/>
  <c r="DB13" i="8"/>
  <c r="CM13" i="8"/>
  <c r="DJ13" i="8" s="1"/>
  <c r="CN13" i="8"/>
  <c r="CO13" i="8"/>
  <c r="AK14" i="8"/>
  <c r="BH14" i="8" s="1"/>
  <c r="BA14" i="8"/>
  <c r="AL14" i="8"/>
  <c r="BI14" i="8" s="1"/>
  <c r="BB14" i="8"/>
  <c r="AM14" i="8"/>
  <c r="BJ14" i="8" s="1"/>
  <c r="AN14" i="8"/>
  <c r="BK14" i="8" s="1"/>
  <c r="AP14" i="8"/>
  <c r="BM14" i="8" s="1"/>
  <c r="AQ14" i="8"/>
  <c r="BN14" i="8" s="1"/>
  <c r="AR14" i="8"/>
  <c r="BO14" i="8" s="1"/>
  <c r="AS14" i="8"/>
  <c r="BP14" i="8" s="1"/>
  <c r="AW14" i="8"/>
  <c r="AT14" i="8"/>
  <c r="BQ14" i="8" s="1"/>
  <c r="AU14" i="8"/>
  <c r="BR14" i="8" s="1"/>
  <c r="AV14" i="8"/>
  <c r="BS14" i="8" s="1"/>
  <c r="AH14" i="8"/>
  <c r="BE14" i="8" s="1"/>
  <c r="AX14" i="8"/>
  <c r="AZ14" i="8"/>
  <c r="AI14" i="8"/>
  <c r="BF14" i="8" s="1"/>
  <c r="AY14" i="8"/>
  <c r="AJ14" i="8"/>
  <c r="BG14" i="8" s="1"/>
  <c r="AO14" i="8"/>
  <c r="BL14" i="8" s="1"/>
  <c r="GZ16" i="8"/>
  <c r="DF12" i="8"/>
  <c r="GD12" i="8" s="1"/>
  <c r="DP12" i="8"/>
  <c r="GN12" i="8" s="1"/>
  <c r="DQ8" i="8"/>
  <c r="DG12" i="8"/>
  <c r="GE12" i="8" s="1"/>
  <c r="DM12" i="8"/>
  <c r="GK12" i="8" s="1"/>
  <c r="DQ7" i="8"/>
  <c r="DQ6" i="8"/>
  <c r="DL12" i="8"/>
  <c r="GJ12" i="8" s="1"/>
  <c r="DK12" i="8"/>
  <c r="GI12" i="8" s="1"/>
  <c r="DQ12" i="8"/>
  <c r="DJ12" i="8"/>
  <c r="GH12" i="8" s="1"/>
  <c r="DN12" i="8"/>
  <c r="GL12" i="8" s="1"/>
  <c r="DE12" i="8"/>
  <c r="GC12" i="8" s="1"/>
  <c r="DQ5" i="8"/>
  <c r="DQ11" i="8"/>
  <c r="DO12" i="8"/>
  <c r="GM12" i="8" s="1"/>
  <c r="DH12" i="8"/>
  <c r="GF12" i="8" s="1"/>
  <c r="DI12" i="8"/>
  <c r="GG12" i="8" s="1"/>
  <c r="DQ10" i="8"/>
  <c r="CE14" i="8"/>
  <c r="DQ9" i="8"/>
  <c r="GB16" i="8"/>
  <c r="FD16" i="8"/>
  <c r="DD16" i="8"/>
  <c r="CG16" i="8"/>
  <c r="BD16" i="8"/>
  <c r="EG16" i="8"/>
  <c r="AG16" i="8"/>
  <c r="FQ13" i="8"/>
  <c r="FQ3" i="8"/>
  <c r="GO3" i="8" s="1"/>
  <c r="CU4" i="8"/>
  <c r="DR4" i="8" s="1"/>
  <c r="DS3" i="8"/>
  <c r="CB16" i="8"/>
  <c r="CC16" i="8" s="1"/>
  <c r="EB15" i="8"/>
  <c r="EC15" i="8" s="1"/>
  <c r="ED15" i="8" s="1"/>
  <c r="EE15" i="8" s="1"/>
  <c r="AV4" i="8"/>
  <c r="BS4" i="8" s="1"/>
  <c r="BS5" i="8"/>
  <c r="BS6" i="8"/>
  <c r="BS7" i="8"/>
  <c r="BS8" i="8"/>
  <c r="BS9" i="8"/>
  <c r="BS10" i="8"/>
  <c r="BS11" i="8"/>
  <c r="BS12" i="8"/>
  <c r="AA17" i="8"/>
  <c r="ET4" i="8"/>
  <c r="FQ4" i="8" s="1"/>
  <c r="GO4" i="8" s="1"/>
  <c r="FQ5" i="8"/>
  <c r="FQ6" i="8"/>
  <c r="FQ7" i="8"/>
  <c r="FQ8" i="8"/>
  <c r="FQ9" i="8"/>
  <c r="FQ10" i="8"/>
  <c r="FQ11" i="8"/>
  <c r="FQ12" i="8"/>
  <c r="BS13" i="8"/>
  <c r="CD15" i="8"/>
  <c r="AC15" i="8"/>
  <c r="AD15" i="8" s="1"/>
  <c r="AE15" i="8" s="1"/>
  <c r="S16" i="8"/>
  <c r="I17" i="8"/>
  <c r="T16" i="8"/>
  <c r="J16" i="8"/>
  <c r="EB16" i="8" a="1"/>
  <c r="AB16" i="8" a="1"/>
  <c r="AB17" i="8" a="1"/>
  <c r="CB17" i="8" a="1"/>
  <c r="EW14" i="8" l="1"/>
  <c r="ET14" i="8"/>
  <c r="FQ14" i="8" s="1"/>
  <c r="EI14" i="8"/>
  <c r="FF14" i="8" s="1"/>
  <c r="EV14" i="8"/>
  <c r="ES14" i="8"/>
  <c r="FP14" i="8" s="1"/>
  <c r="GC13" i="8"/>
  <c r="EU14" i="8"/>
  <c r="FA14" i="8"/>
  <c r="GH13" i="8"/>
  <c r="EK14" i="8"/>
  <c r="FH14" i="8" s="1"/>
  <c r="GG13" i="8"/>
  <c r="EH14" i="8"/>
  <c r="FE14" i="8" s="1"/>
  <c r="EJ14" i="8"/>
  <c r="FG14" i="8" s="1"/>
  <c r="EX14" i="8"/>
  <c r="EY14" i="8"/>
  <c r="ER14" i="8"/>
  <c r="FO14" i="8" s="1"/>
  <c r="EQ14" i="8"/>
  <c r="FN14" i="8" s="1"/>
  <c r="EN14" i="8"/>
  <c r="FK14" i="8" s="1"/>
  <c r="EM14" i="8"/>
  <c r="FJ14" i="8" s="1"/>
  <c r="FB14" i="8"/>
  <c r="EZ14" i="8"/>
  <c r="EL14" i="8"/>
  <c r="FI14" i="8" s="1"/>
  <c r="EP14" i="8"/>
  <c r="FM14" i="8" s="1"/>
  <c r="AB16" i="8"/>
  <c r="GO6" i="8"/>
  <c r="GO13" i="8"/>
  <c r="GO8" i="8"/>
  <c r="GO11" i="8"/>
  <c r="GO12" i="8"/>
  <c r="GO10" i="8"/>
  <c r="GO5" i="8"/>
  <c r="GO7" i="8"/>
  <c r="GO9" i="8"/>
  <c r="EV15" i="8"/>
  <c r="EW15" i="8"/>
  <c r="EH15" i="8"/>
  <c r="FE15" i="8" s="1"/>
  <c r="EX15" i="8"/>
  <c r="EI15" i="8"/>
  <c r="FF15" i="8" s="1"/>
  <c r="EY15" i="8"/>
  <c r="EJ15" i="8"/>
  <c r="FG15" i="8" s="1"/>
  <c r="EZ15" i="8"/>
  <c r="EK15" i="8"/>
  <c r="FH15" i="8" s="1"/>
  <c r="FA15" i="8"/>
  <c r="EL15" i="8"/>
  <c r="FI15" i="8" s="1"/>
  <c r="FB15" i="8"/>
  <c r="EM15" i="8"/>
  <c r="FJ15" i="8" s="1"/>
  <c r="EN15" i="8"/>
  <c r="FK15" i="8" s="1"/>
  <c r="EO15" i="8"/>
  <c r="FL15" i="8" s="1"/>
  <c r="EP15" i="8"/>
  <c r="FM15" i="8" s="1"/>
  <c r="ES15" i="8"/>
  <c r="FP15" i="8" s="1"/>
  <c r="EQ15" i="8"/>
  <c r="FN15" i="8" s="1"/>
  <c r="ER15" i="8"/>
  <c r="FO15" i="8" s="1"/>
  <c r="ET15" i="8"/>
  <c r="FQ15" i="8" s="1"/>
  <c r="EU15" i="8"/>
  <c r="FR15" i="8" s="1"/>
  <c r="CK14" i="8"/>
  <c r="DH14" i="8" s="1"/>
  <c r="DA14" i="8"/>
  <c r="CL14" i="8"/>
  <c r="DI14" i="8" s="1"/>
  <c r="DB14" i="8"/>
  <c r="CX14" i="8"/>
  <c r="CM14" i="8"/>
  <c r="DJ14" i="8" s="1"/>
  <c r="GH14" i="8" s="1"/>
  <c r="CH14" i="8"/>
  <c r="DE14" i="8" s="1"/>
  <c r="GC14" i="8" s="1"/>
  <c r="CN14" i="8"/>
  <c r="DK14" i="8" s="1"/>
  <c r="GI14" i="8" s="1"/>
  <c r="CO14" i="8"/>
  <c r="DL14" i="8" s="1"/>
  <c r="GJ14" i="8" s="1"/>
  <c r="CP14" i="8"/>
  <c r="DM14" i="8" s="1"/>
  <c r="CQ14" i="8"/>
  <c r="DN14" i="8" s="1"/>
  <c r="GL14" i="8" s="1"/>
  <c r="CR14" i="8"/>
  <c r="DO14" i="8" s="1"/>
  <c r="CS14" i="8"/>
  <c r="DP14" i="8" s="1"/>
  <c r="CT14" i="8"/>
  <c r="DQ14" i="8" s="1"/>
  <c r="GO14" i="8" s="1"/>
  <c r="CU14" i="8"/>
  <c r="DR14" i="8" s="1"/>
  <c r="CV14" i="8"/>
  <c r="DS14" i="8" s="1"/>
  <c r="CW14" i="8"/>
  <c r="CI14" i="8"/>
  <c r="DF14" i="8" s="1"/>
  <c r="GD14" i="8" s="1"/>
  <c r="CY14" i="8"/>
  <c r="CJ14" i="8"/>
  <c r="DG14" i="8" s="1"/>
  <c r="CZ14" i="8"/>
  <c r="AV15" i="8"/>
  <c r="BS15" i="8" s="1"/>
  <c r="AW15" i="8"/>
  <c r="BT15" i="8" s="1"/>
  <c r="AH15" i="8"/>
  <c r="BE15" i="8" s="1"/>
  <c r="AX15" i="8"/>
  <c r="AI15" i="8"/>
  <c r="BF15" i="8" s="1"/>
  <c r="AY15" i="8"/>
  <c r="AK15" i="8"/>
  <c r="BH15" i="8" s="1"/>
  <c r="BA15" i="8"/>
  <c r="AL15" i="8"/>
  <c r="BI15" i="8" s="1"/>
  <c r="BB15" i="8"/>
  <c r="AM15" i="8"/>
  <c r="BJ15" i="8" s="1"/>
  <c r="AN15" i="8"/>
  <c r="BK15" i="8" s="1"/>
  <c r="AO15" i="8"/>
  <c r="BL15" i="8" s="1"/>
  <c r="AP15" i="8"/>
  <c r="BM15" i="8" s="1"/>
  <c r="AR15" i="8"/>
  <c r="BO15" i="8" s="1"/>
  <c r="AJ15" i="8"/>
  <c r="BG15" i="8" s="1"/>
  <c r="AQ15" i="8"/>
  <c r="BN15" i="8" s="1"/>
  <c r="AS15" i="8"/>
  <c r="BP15" i="8" s="1"/>
  <c r="AZ15" i="8"/>
  <c r="AT15" i="8"/>
  <c r="BQ15" i="8" s="1"/>
  <c r="AU15" i="8"/>
  <c r="BR15" i="8" s="1"/>
  <c r="GZ17" i="8"/>
  <c r="DR9" i="8"/>
  <c r="DR8" i="8"/>
  <c r="DP13" i="8"/>
  <c r="GN13" i="8" s="1"/>
  <c r="DK13" i="8"/>
  <c r="GI13" i="8" s="1"/>
  <c r="DR5" i="8"/>
  <c r="DO13" i="8"/>
  <c r="GM13" i="8" s="1"/>
  <c r="DL13" i="8"/>
  <c r="GJ13" i="8" s="1"/>
  <c r="DR6" i="8"/>
  <c r="DH13" i="8"/>
  <c r="GF13" i="8" s="1"/>
  <c r="DR10" i="8"/>
  <c r="DR12" i="8"/>
  <c r="DR7" i="8"/>
  <c r="DR11" i="8"/>
  <c r="DR13" i="8"/>
  <c r="CE15" i="8"/>
  <c r="FR14" i="8"/>
  <c r="FR3" i="8"/>
  <c r="GP3" i="8" s="1"/>
  <c r="GB17" i="8"/>
  <c r="FD17" i="8"/>
  <c r="DD17" i="8"/>
  <c r="AG17" i="8"/>
  <c r="CG17" i="8"/>
  <c r="EG17" i="8"/>
  <c r="BD17" i="8"/>
  <c r="BT14" i="8"/>
  <c r="BT3" i="8"/>
  <c r="DT3" i="8"/>
  <c r="CV4" i="8"/>
  <c r="DS4" i="8" s="1"/>
  <c r="EB16" i="8"/>
  <c r="EC16" i="8" s="1"/>
  <c r="ED16" i="8" s="1"/>
  <c r="EE16" i="8" s="1"/>
  <c r="CB17" i="8"/>
  <c r="CC17" i="8" s="1"/>
  <c r="AB17" i="8"/>
  <c r="CD16" i="8"/>
  <c r="BU3" i="8"/>
  <c r="AW4" i="8"/>
  <c r="BT4" i="8" s="1"/>
  <c r="BT5" i="8"/>
  <c r="BT6" i="8"/>
  <c r="BT7" i="8"/>
  <c r="BT8" i="8"/>
  <c r="BT9" i="8"/>
  <c r="BT10" i="8"/>
  <c r="BT11" i="8"/>
  <c r="BT12" i="8"/>
  <c r="BT13" i="8"/>
  <c r="EU4" i="8"/>
  <c r="FR4" i="8" s="1"/>
  <c r="GP4" i="8" s="1"/>
  <c r="FR5" i="8"/>
  <c r="FR6" i="8"/>
  <c r="FR7" i="8"/>
  <c r="FR8" i="8"/>
  <c r="FR9" i="8"/>
  <c r="FR10" i="8"/>
  <c r="FR11" i="8"/>
  <c r="FR12" i="8"/>
  <c r="FR13" i="8"/>
  <c r="AA18" i="8"/>
  <c r="AC16" i="8"/>
  <c r="AD16" i="8" s="1"/>
  <c r="AE16" i="8" s="1"/>
  <c r="T17" i="8"/>
  <c r="J17" i="8"/>
  <c r="I18" i="8"/>
  <c r="S17" i="8"/>
  <c r="EB17" i="8" a="1"/>
  <c r="CB18" i="8" a="1"/>
  <c r="AB18" i="8" a="1"/>
  <c r="GG14" i="8" l="1"/>
  <c r="GE14" i="8"/>
  <c r="GF14" i="8"/>
  <c r="GN14" i="8"/>
  <c r="GM14" i="8"/>
  <c r="GK14" i="8"/>
  <c r="GP11" i="8"/>
  <c r="GP14" i="8"/>
  <c r="GP7" i="8"/>
  <c r="GP12" i="8"/>
  <c r="GP10" i="8"/>
  <c r="GP8" i="8"/>
  <c r="GP6" i="8"/>
  <c r="GP9" i="8"/>
  <c r="GP13" i="8"/>
  <c r="GP5" i="8"/>
  <c r="EQ16" i="8"/>
  <c r="FN16" i="8" s="1"/>
  <c r="ER16" i="8"/>
  <c r="FO16" i="8" s="1"/>
  <c r="ES16" i="8"/>
  <c r="FP16" i="8" s="1"/>
  <c r="ET16" i="8"/>
  <c r="FQ16" i="8" s="1"/>
  <c r="EU16" i="8"/>
  <c r="FR16" i="8" s="1"/>
  <c r="EV16" i="8"/>
  <c r="FS16" i="8" s="1"/>
  <c r="EW16" i="8"/>
  <c r="EH16" i="8"/>
  <c r="FE16" i="8" s="1"/>
  <c r="EX16" i="8"/>
  <c r="EI16" i="8"/>
  <c r="FF16" i="8" s="1"/>
  <c r="EY16" i="8"/>
  <c r="EJ16" i="8"/>
  <c r="FG16" i="8" s="1"/>
  <c r="EZ16" i="8"/>
  <c r="EK16" i="8"/>
  <c r="FH16" i="8" s="1"/>
  <c r="FA16" i="8"/>
  <c r="EN16" i="8"/>
  <c r="FK16" i="8" s="1"/>
  <c r="EL16" i="8"/>
  <c r="FI16" i="8" s="1"/>
  <c r="FB16" i="8"/>
  <c r="EM16" i="8"/>
  <c r="FJ16" i="8" s="1"/>
  <c r="EO16" i="8"/>
  <c r="FL16" i="8" s="1"/>
  <c r="EP16" i="8"/>
  <c r="FM16" i="8" s="1"/>
  <c r="CV15" i="8"/>
  <c r="DS15" i="8" s="1"/>
  <c r="CW15" i="8"/>
  <c r="CH15" i="8"/>
  <c r="DE15" i="8" s="1"/>
  <c r="GC15" i="8" s="1"/>
  <c r="CX15" i="8"/>
  <c r="CI15" i="8"/>
  <c r="DF15" i="8" s="1"/>
  <c r="GD15" i="8" s="1"/>
  <c r="CY15" i="8"/>
  <c r="CJ15" i="8"/>
  <c r="DG15" i="8" s="1"/>
  <c r="GE15" i="8" s="1"/>
  <c r="CZ15" i="8"/>
  <c r="CK15" i="8"/>
  <c r="DH15" i="8" s="1"/>
  <c r="GF15" i="8" s="1"/>
  <c r="DA15" i="8"/>
  <c r="CS15" i="8"/>
  <c r="CL15" i="8"/>
  <c r="DI15" i="8" s="1"/>
  <c r="GG15" i="8" s="1"/>
  <c r="DB15" i="8"/>
  <c r="CM15" i="8"/>
  <c r="DJ15" i="8" s="1"/>
  <c r="GH15" i="8" s="1"/>
  <c r="CN15" i="8"/>
  <c r="CO15" i="8"/>
  <c r="DL15" i="8" s="1"/>
  <c r="GJ15" i="8" s="1"/>
  <c r="CP15" i="8"/>
  <c r="DM15" i="8" s="1"/>
  <c r="GK15" i="8" s="1"/>
  <c r="CQ15" i="8"/>
  <c r="DN15" i="8" s="1"/>
  <c r="GL15" i="8" s="1"/>
  <c r="CR15" i="8"/>
  <c r="DO15" i="8" s="1"/>
  <c r="GM15" i="8" s="1"/>
  <c r="CT15" i="8"/>
  <c r="DQ15" i="8" s="1"/>
  <c r="GO15" i="8" s="1"/>
  <c r="CU15" i="8"/>
  <c r="DR15" i="8" s="1"/>
  <c r="GP15" i="8" s="1"/>
  <c r="AQ16" i="8"/>
  <c r="BN16" i="8" s="1"/>
  <c r="AR16" i="8"/>
  <c r="BO16" i="8" s="1"/>
  <c r="AU16" i="8"/>
  <c r="BR16" i="8" s="1"/>
  <c r="AS16" i="8"/>
  <c r="BP16" i="8" s="1"/>
  <c r="AT16" i="8"/>
  <c r="BQ16" i="8" s="1"/>
  <c r="AV16" i="8"/>
  <c r="BS16" i="8" s="1"/>
  <c r="AH16" i="8"/>
  <c r="BE16" i="8" s="1"/>
  <c r="AW16" i="8"/>
  <c r="BT16" i="8" s="1"/>
  <c r="AX16" i="8"/>
  <c r="BU16" i="8" s="1"/>
  <c r="AI16" i="8"/>
  <c r="BF16" i="8" s="1"/>
  <c r="AY16" i="8"/>
  <c r="AJ16" i="8"/>
  <c r="BG16" i="8" s="1"/>
  <c r="AZ16" i="8"/>
  <c r="AM16" i="8"/>
  <c r="BJ16" i="8" s="1"/>
  <c r="AK16" i="8"/>
  <c r="BH16" i="8" s="1"/>
  <c r="BA16" i="8"/>
  <c r="AL16" i="8"/>
  <c r="BI16" i="8" s="1"/>
  <c r="BB16" i="8"/>
  <c r="AN16" i="8"/>
  <c r="BK16" i="8" s="1"/>
  <c r="AP16" i="8"/>
  <c r="BM16" i="8" s="1"/>
  <c r="AO16" i="8"/>
  <c r="BL16" i="8" s="1"/>
  <c r="GZ18" i="8"/>
  <c r="CE16" i="8"/>
  <c r="DS7" i="8"/>
  <c r="DS5" i="8"/>
  <c r="DS8" i="8"/>
  <c r="DS6" i="8"/>
  <c r="DS13" i="8"/>
  <c r="DS10" i="8"/>
  <c r="DS11" i="8"/>
  <c r="DS9" i="8"/>
  <c r="DS12" i="8"/>
  <c r="FS15" i="8"/>
  <c r="FS3" i="8"/>
  <c r="GQ3" i="8" s="1"/>
  <c r="FD18" i="8"/>
  <c r="CG18" i="8"/>
  <c r="GB18" i="8"/>
  <c r="DD18" i="8"/>
  <c r="EG18" i="8"/>
  <c r="BD18" i="8"/>
  <c r="AG18" i="8"/>
  <c r="DU3" i="8"/>
  <c r="CW4" i="8"/>
  <c r="DT4" i="8" s="1"/>
  <c r="CB18" i="8"/>
  <c r="CC18" i="8" s="1"/>
  <c r="AB18" i="8"/>
  <c r="EB17" i="8"/>
  <c r="EC17" i="8" s="1"/>
  <c r="ED17" i="8" s="1"/>
  <c r="EE17" i="8" s="1"/>
  <c r="FT3" i="8"/>
  <c r="GR3" i="8" s="1"/>
  <c r="EV4" i="8"/>
  <c r="FS4" i="8" s="1"/>
  <c r="GQ4" i="8" s="1"/>
  <c r="FS5" i="8"/>
  <c r="FS6" i="8"/>
  <c r="FS7" i="8"/>
  <c r="FS8" i="8"/>
  <c r="FS9" i="8"/>
  <c r="FS10" i="8"/>
  <c r="FS11" i="8"/>
  <c r="FS12" i="8"/>
  <c r="FS13" i="8"/>
  <c r="BV3" i="8"/>
  <c r="AX4" i="8"/>
  <c r="BU4" i="8" s="1"/>
  <c r="BU5" i="8"/>
  <c r="BU6" i="8"/>
  <c r="BU7" i="8"/>
  <c r="BU8" i="8"/>
  <c r="BU9" i="8"/>
  <c r="BU10" i="8"/>
  <c r="BU11" i="8"/>
  <c r="BU12" i="8"/>
  <c r="BU13" i="8"/>
  <c r="BU14" i="8"/>
  <c r="AA19" i="8"/>
  <c r="BU15" i="8"/>
  <c r="CD17" i="8"/>
  <c r="AC17" i="8"/>
  <c r="AD17" i="8" s="1"/>
  <c r="AE17" i="8" s="1"/>
  <c r="S18" i="8"/>
  <c r="I19" i="8"/>
  <c r="T18" i="8"/>
  <c r="J18" i="8"/>
  <c r="EB18" i="8" a="1"/>
  <c r="AB19" i="8" a="1"/>
  <c r="GQ15" i="8" l="1"/>
  <c r="GQ13" i="8"/>
  <c r="GQ11" i="8"/>
  <c r="GQ6" i="8"/>
  <c r="GQ10" i="8"/>
  <c r="GQ5" i="8"/>
  <c r="GQ12" i="8"/>
  <c r="GQ7" i="8"/>
  <c r="GQ8" i="8"/>
  <c r="GQ9" i="8"/>
  <c r="EL17" i="8"/>
  <c r="FI17" i="8" s="1"/>
  <c r="FB17" i="8"/>
  <c r="EM17" i="8"/>
  <c r="FJ17" i="8" s="1"/>
  <c r="EN17" i="8"/>
  <c r="FK17" i="8" s="1"/>
  <c r="EY17" i="8"/>
  <c r="EO17" i="8"/>
  <c r="FL17" i="8" s="1"/>
  <c r="EP17" i="8"/>
  <c r="FM17" i="8" s="1"/>
  <c r="EQ17" i="8"/>
  <c r="FN17" i="8" s="1"/>
  <c r="ER17" i="8"/>
  <c r="FO17" i="8" s="1"/>
  <c r="ES17" i="8"/>
  <c r="FP17" i="8" s="1"/>
  <c r="ET17" i="8"/>
  <c r="FQ17" i="8" s="1"/>
  <c r="EU17" i="8"/>
  <c r="FR17" i="8" s="1"/>
  <c r="EV17" i="8"/>
  <c r="FS17" i="8" s="1"/>
  <c r="EI17" i="8"/>
  <c r="FF17" i="8" s="1"/>
  <c r="EW17" i="8"/>
  <c r="FT17" i="8" s="1"/>
  <c r="EH17" i="8"/>
  <c r="FE17" i="8" s="1"/>
  <c r="EX17" i="8"/>
  <c r="FU17" i="8" s="1"/>
  <c r="EJ17" i="8"/>
  <c r="FG17" i="8" s="1"/>
  <c r="EZ17" i="8"/>
  <c r="EK17" i="8"/>
  <c r="FH17" i="8" s="1"/>
  <c r="FA17" i="8"/>
  <c r="CQ16" i="8"/>
  <c r="DN16" i="8" s="1"/>
  <c r="GL16" i="8" s="1"/>
  <c r="CR16" i="8"/>
  <c r="DO16" i="8" s="1"/>
  <c r="GM16" i="8" s="1"/>
  <c r="CS16" i="8"/>
  <c r="DP16" i="8" s="1"/>
  <c r="GN16" i="8" s="1"/>
  <c r="CT16" i="8"/>
  <c r="DQ16" i="8" s="1"/>
  <c r="GO16" i="8" s="1"/>
  <c r="CU16" i="8"/>
  <c r="DR16" i="8" s="1"/>
  <c r="GP16" i="8" s="1"/>
  <c r="CV16" i="8"/>
  <c r="DS16" i="8" s="1"/>
  <c r="GQ16" i="8" s="1"/>
  <c r="CW16" i="8"/>
  <c r="DT16" i="8" s="1"/>
  <c r="CH16" i="8"/>
  <c r="DE16" i="8" s="1"/>
  <c r="GC16" i="8" s="1"/>
  <c r="CX16" i="8"/>
  <c r="DU16" i="8" s="1"/>
  <c r="CI16" i="8"/>
  <c r="DF16" i="8" s="1"/>
  <c r="GD16" i="8" s="1"/>
  <c r="CY16" i="8"/>
  <c r="CJ16" i="8"/>
  <c r="DG16" i="8" s="1"/>
  <c r="GE16" i="8" s="1"/>
  <c r="CZ16" i="8"/>
  <c r="CK16" i="8"/>
  <c r="DH16" i="8" s="1"/>
  <c r="GF16" i="8" s="1"/>
  <c r="DA16" i="8"/>
  <c r="CL16" i="8"/>
  <c r="DI16" i="8" s="1"/>
  <c r="GG16" i="8" s="1"/>
  <c r="DB16" i="8"/>
  <c r="CN16" i="8"/>
  <c r="DK16" i="8" s="1"/>
  <c r="GI16" i="8" s="1"/>
  <c r="CM16" i="8"/>
  <c r="DJ16" i="8" s="1"/>
  <c r="GH16" i="8" s="1"/>
  <c r="CO16" i="8"/>
  <c r="DL16" i="8" s="1"/>
  <c r="GJ16" i="8" s="1"/>
  <c r="CP16" i="8"/>
  <c r="DM16" i="8" s="1"/>
  <c r="GK16" i="8" s="1"/>
  <c r="AL17" i="8"/>
  <c r="BI17" i="8" s="1"/>
  <c r="BB17" i="8"/>
  <c r="AM17" i="8"/>
  <c r="BJ17" i="8" s="1"/>
  <c r="AN17" i="8"/>
  <c r="BK17" i="8" s="1"/>
  <c r="AO17" i="8"/>
  <c r="BL17" i="8" s="1"/>
  <c r="AP17" i="8"/>
  <c r="BM17" i="8" s="1"/>
  <c r="AQ17" i="8"/>
  <c r="BN17" i="8" s="1"/>
  <c r="AR17" i="8"/>
  <c r="BO17" i="8" s="1"/>
  <c r="AS17" i="8"/>
  <c r="BP17" i="8" s="1"/>
  <c r="AT17" i="8"/>
  <c r="BQ17" i="8" s="1"/>
  <c r="AX17" i="8"/>
  <c r="BU17" i="8" s="1"/>
  <c r="AU17" i="8"/>
  <c r="BR17" i="8" s="1"/>
  <c r="AV17" i="8"/>
  <c r="BS17" i="8" s="1"/>
  <c r="AW17" i="8"/>
  <c r="BT17" i="8" s="1"/>
  <c r="AH17" i="8"/>
  <c r="BE17" i="8" s="1"/>
  <c r="AI17" i="8"/>
  <c r="BF17" i="8" s="1"/>
  <c r="AY17" i="8"/>
  <c r="BV17" i="8" s="1"/>
  <c r="BA17" i="8"/>
  <c r="AJ17" i="8"/>
  <c r="BG17" i="8" s="1"/>
  <c r="AZ17" i="8"/>
  <c r="BW17" i="8" s="1"/>
  <c r="AK17" i="8"/>
  <c r="BH17" i="8" s="1"/>
  <c r="GZ19" i="8"/>
  <c r="DT8" i="8"/>
  <c r="DT10" i="8"/>
  <c r="DT9" i="8"/>
  <c r="DT6" i="8"/>
  <c r="DT14" i="8"/>
  <c r="DT11" i="8"/>
  <c r="DT5" i="8"/>
  <c r="DK15" i="8"/>
  <c r="GI15" i="8" s="1"/>
  <c r="DP15" i="8"/>
  <c r="GN15" i="8" s="1"/>
  <c r="DT7" i="8"/>
  <c r="DT13" i="8"/>
  <c r="DT15" i="8"/>
  <c r="CE17" i="8"/>
  <c r="FS14" i="8"/>
  <c r="GQ14" i="8" s="1"/>
  <c r="DT12" i="8"/>
  <c r="GB19" i="8"/>
  <c r="DD19" i="8"/>
  <c r="CG19" i="8"/>
  <c r="FD19" i="8"/>
  <c r="EG19" i="8"/>
  <c r="BD19" i="8"/>
  <c r="AG19" i="8"/>
  <c r="BV16" i="8"/>
  <c r="AC18" i="8"/>
  <c r="AD18" i="8" s="1"/>
  <c r="AE18" i="8" s="1"/>
  <c r="DU14" i="8"/>
  <c r="DU13" i="8"/>
  <c r="DU6" i="8"/>
  <c r="DU8" i="8"/>
  <c r="DU9" i="8"/>
  <c r="DU10" i="8"/>
  <c r="DU12" i="8"/>
  <c r="DU15" i="8"/>
  <c r="DU5" i="8"/>
  <c r="DU7" i="8"/>
  <c r="CX4" i="8"/>
  <c r="DU4" i="8" s="1"/>
  <c r="DU11" i="8"/>
  <c r="AB19" i="8"/>
  <c r="EB18" i="8"/>
  <c r="EC18" i="8" s="1"/>
  <c r="ED18" i="8" s="1"/>
  <c r="EE18" i="8" s="1"/>
  <c r="FU3" i="8"/>
  <c r="GS3" i="8" s="1"/>
  <c r="EW4" i="8"/>
  <c r="FT4" i="8" s="1"/>
  <c r="GR4" i="8" s="1"/>
  <c r="FT5" i="8"/>
  <c r="FT6" i="8"/>
  <c r="FT7" i="8"/>
  <c r="FT8" i="8"/>
  <c r="FT9" i="8"/>
  <c r="FT10" i="8"/>
  <c r="FT11" i="8"/>
  <c r="FT12" i="8"/>
  <c r="FT13" i="8"/>
  <c r="FT14" i="8"/>
  <c r="FT15" i="8"/>
  <c r="AA20" i="8"/>
  <c r="BW3" i="8"/>
  <c r="AY4" i="8"/>
  <c r="BV4" i="8" s="1"/>
  <c r="BV5" i="8"/>
  <c r="BV6" i="8"/>
  <c r="BV7" i="8"/>
  <c r="BV8" i="8"/>
  <c r="BV9" i="8"/>
  <c r="BV10" i="8"/>
  <c r="BV11" i="8"/>
  <c r="BV12" i="8"/>
  <c r="BV13" i="8"/>
  <c r="BV14" i="8"/>
  <c r="BV15" i="8"/>
  <c r="FT16" i="8"/>
  <c r="CD18" i="8"/>
  <c r="J19" i="8"/>
  <c r="I20" i="8"/>
  <c r="T19" i="8"/>
  <c r="S19" i="8"/>
  <c r="CB19" i="8" a="1"/>
  <c r="CB20" i="8" a="1"/>
  <c r="CB19" i="8" l="1"/>
  <c r="CC19" i="8" s="1"/>
  <c r="CD19" i="8" s="1"/>
  <c r="GR16" i="8"/>
  <c r="GR9" i="8"/>
  <c r="GR14" i="8"/>
  <c r="GR7" i="8"/>
  <c r="GR10" i="8"/>
  <c r="GR15" i="8"/>
  <c r="GR8" i="8"/>
  <c r="GR6" i="8"/>
  <c r="GR13" i="8"/>
  <c r="GR12" i="8"/>
  <c r="GR5" i="8"/>
  <c r="GR11" i="8"/>
  <c r="EW18" i="8"/>
  <c r="FT18" i="8" s="1"/>
  <c r="EH18" i="8"/>
  <c r="FE18" i="8" s="1"/>
  <c r="EX18" i="8"/>
  <c r="FU18" i="8" s="1"/>
  <c r="EI18" i="8"/>
  <c r="FF18" i="8" s="1"/>
  <c r="EY18" i="8"/>
  <c r="FV18" i="8" s="1"/>
  <c r="EJ18" i="8"/>
  <c r="FG18" i="8" s="1"/>
  <c r="EZ18" i="8"/>
  <c r="EK18" i="8"/>
  <c r="FH18" i="8" s="1"/>
  <c r="FA18" i="8"/>
  <c r="EL18" i="8"/>
  <c r="FI18" i="8" s="1"/>
  <c r="FB18" i="8"/>
  <c r="EM18" i="8"/>
  <c r="FJ18" i="8" s="1"/>
  <c r="EN18" i="8"/>
  <c r="FK18" i="8" s="1"/>
  <c r="EO18" i="8"/>
  <c r="FL18" i="8" s="1"/>
  <c r="EP18" i="8"/>
  <c r="FM18" i="8" s="1"/>
  <c r="EQ18" i="8"/>
  <c r="FN18" i="8" s="1"/>
  <c r="ET18" i="8"/>
  <c r="FQ18" i="8" s="1"/>
  <c r="ER18" i="8"/>
  <c r="FO18" i="8" s="1"/>
  <c r="ES18" i="8"/>
  <c r="FP18" i="8" s="1"/>
  <c r="EU18" i="8"/>
  <c r="FR18" i="8" s="1"/>
  <c r="EV18" i="8"/>
  <c r="FS18" i="8" s="1"/>
  <c r="CL17" i="8"/>
  <c r="DI17" i="8" s="1"/>
  <c r="GG17" i="8" s="1"/>
  <c r="DB17" i="8"/>
  <c r="CM17" i="8"/>
  <c r="DJ17" i="8" s="1"/>
  <c r="GH17" i="8" s="1"/>
  <c r="CN17" i="8"/>
  <c r="DK17" i="8" s="1"/>
  <c r="GI17" i="8" s="1"/>
  <c r="CO17" i="8"/>
  <c r="DL17" i="8" s="1"/>
  <c r="GJ17" i="8" s="1"/>
  <c r="CI17" i="8"/>
  <c r="DF17" i="8" s="1"/>
  <c r="GD17" i="8" s="1"/>
  <c r="CP17" i="8"/>
  <c r="DM17" i="8" s="1"/>
  <c r="GK17" i="8" s="1"/>
  <c r="CQ17" i="8"/>
  <c r="DN17" i="8" s="1"/>
  <c r="GL17" i="8" s="1"/>
  <c r="CR17" i="8"/>
  <c r="DO17" i="8" s="1"/>
  <c r="GM17" i="8" s="1"/>
  <c r="CS17" i="8"/>
  <c r="DP17" i="8" s="1"/>
  <c r="GN17" i="8" s="1"/>
  <c r="CT17" i="8"/>
  <c r="DQ17" i="8" s="1"/>
  <c r="GO17" i="8" s="1"/>
  <c r="CU17" i="8"/>
  <c r="DR17" i="8" s="1"/>
  <c r="GP17" i="8" s="1"/>
  <c r="CV17" i="8"/>
  <c r="DS17" i="8" s="1"/>
  <c r="GQ17" i="8" s="1"/>
  <c r="CW17" i="8"/>
  <c r="DT17" i="8" s="1"/>
  <c r="GR17" i="8" s="1"/>
  <c r="CH17" i="8"/>
  <c r="DE17" i="8" s="1"/>
  <c r="GC17" i="8" s="1"/>
  <c r="CX17" i="8"/>
  <c r="DU17" i="8" s="1"/>
  <c r="GS17" i="8" s="1"/>
  <c r="CY17" i="8"/>
  <c r="DV17" i="8" s="1"/>
  <c r="CJ17" i="8"/>
  <c r="DG17" i="8" s="1"/>
  <c r="GE17" i="8" s="1"/>
  <c r="CZ17" i="8"/>
  <c r="CK17" i="8"/>
  <c r="DH17" i="8" s="1"/>
  <c r="GF17" i="8" s="1"/>
  <c r="DA17" i="8"/>
  <c r="AW18" i="8"/>
  <c r="BT18" i="8" s="1"/>
  <c r="AH18" i="8"/>
  <c r="BE18" i="8" s="1"/>
  <c r="AX18" i="8"/>
  <c r="BU18" i="8" s="1"/>
  <c r="AI18" i="8"/>
  <c r="BF18" i="8" s="1"/>
  <c r="AY18" i="8"/>
  <c r="BV18" i="8" s="1"/>
  <c r="AJ18" i="8"/>
  <c r="BG18" i="8" s="1"/>
  <c r="AZ18" i="8"/>
  <c r="BW18" i="8" s="1"/>
  <c r="AL18" i="8"/>
  <c r="BI18" i="8" s="1"/>
  <c r="BB18" i="8"/>
  <c r="AM18" i="8"/>
  <c r="BJ18" i="8" s="1"/>
  <c r="AN18" i="8"/>
  <c r="BK18" i="8" s="1"/>
  <c r="AO18" i="8"/>
  <c r="BL18" i="8" s="1"/>
  <c r="AP18" i="8"/>
  <c r="BM18" i="8" s="1"/>
  <c r="AS18" i="8"/>
  <c r="BP18" i="8" s="1"/>
  <c r="BA18" i="8"/>
  <c r="AQ18" i="8"/>
  <c r="BN18" i="8" s="1"/>
  <c r="AR18" i="8"/>
  <c r="BO18" i="8" s="1"/>
  <c r="AT18" i="8"/>
  <c r="BQ18" i="8" s="1"/>
  <c r="AK18" i="8"/>
  <c r="BH18" i="8" s="1"/>
  <c r="AU18" i="8"/>
  <c r="BR18" i="8" s="1"/>
  <c r="AV18" i="8"/>
  <c r="BS18" i="8" s="1"/>
  <c r="GZ20" i="8"/>
  <c r="CE18" i="8"/>
  <c r="AC19" i="8"/>
  <c r="AD19" i="8" s="1"/>
  <c r="AE19" i="8" s="1"/>
  <c r="FD20" i="8"/>
  <c r="DD20" i="8"/>
  <c r="GB20" i="8"/>
  <c r="AG20" i="8"/>
  <c r="CG20" i="8"/>
  <c r="BD20" i="8"/>
  <c r="EG20" i="8"/>
  <c r="DV3" i="8"/>
  <c r="CY4" i="8"/>
  <c r="DV4" i="8" s="1"/>
  <c r="DV7" i="8"/>
  <c r="DV15" i="8"/>
  <c r="DW3" i="8"/>
  <c r="DV8" i="8"/>
  <c r="DV5" i="8"/>
  <c r="DV16" i="8"/>
  <c r="DV9" i="8"/>
  <c r="DV6" i="8"/>
  <c r="DV12" i="8"/>
  <c r="DV14" i="8"/>
  <c r="DV10" i="8"/>
  <c r="DV11" i="8"/>
  <c r="DV13" i="8"/>
  <c r="CB20" i="8"/>
  <c r="EX4" i="8"/>
  <c r="FU4" i="8" s="1"/>
  <c r="GS4" i="8" s="1"/>
  <c r="FV3" i="8"/>
  <c r="GT3" i="8" s="1"/>
  <c r="FU5" i="8"/>
  <c r="GS5" i="8" s="1"/>
  <c r="FU6" i="8"/>
  <c r="GS6" i="8" s="1"/>
  <c r="FU7" i="8"/>
  <c r="GS7" i="8" s="1"/>
  <c r="FU8" i="8"/>
  <c r="GS8" i="8" s="1"/>
  <c r="FU9" i="8"/>
  <c r="GS9" i="8" s="1"/>
  <c r="FU10" i="8"/>
  <c r="GS10" i="8" s="1"/>
  <c r="FU11" i="8"/>
  <c r="GS11" i="8" s="1"/>
  <c r="FU12" i="8"/>
  <c r="GS12" i="8" s="1"/>
  <c r="FU13" i="8"/>
  <c r="GS13" i="8" s="1"/>
  <c r="FU14" i="8"/>
  <c r="GS14" i="8" s="1"/>
  <c r="FU15" i="8"/>
  <c r="GS15" i="8" s="1"/>
  <c r="FU16" i="8"/>
  <c r="GS16" i="8" s="1"/>
  <c r="AZ4" i="8"/>
  <c r="BW4" i="8" s="1"/>
  <c r="BW5" i="8"/>
  <c r="BW6" i="8"/>
  <c r="BW7" i="8"/>
  <c r="BW8" i="8"/>
  <c r="BW9" i="8"/>
  <c r="BW10" i="8"/>
  <c r="BW11" i="8"/>
  <c r="BW12" i="8"/>
  <c r="BW13" i="8"/>
  <c r="BW14" i="8"/>
  <c r="BW15" i="8"/>
  <c r="BW16" i="8"/>
  <c r="AA21" i="8"/>
  <c r="T20" i="8"/>
  <c r="I21" i="8"/>
  <c r="J20" i="8"/>
  <c r="S20" i="8"/>
  <c r="EB19" i="8" a="1"/>
  <c r="AB21" i="8" a="1"/>
  <c r="AB20" i="8" a="1"/>
  <c r="CB21" i="8" a="1"/>
  <c r="CC20" i="8" l="1"/>
  <c r="AB20" i="8"/>
  <c r="EB19" i="8"/>
  <c r="EC19" i="8" s="1"/>
  <c r="ED19" i="8" s="1"/>
  <c r="EE19" i="8" s="1"/>
  <c r="FA19" i="8" s="1"/>
  <c r="EO19" i="8"/>
  <c r="FL19" i="8" s="1"/>
  <c r="ES19" i="8"/>
  <c r="FP19" i="8" s="1"/>
  <c r="ET19" i="8"/>
  <c r="FQ19" i="8" s="1"/>
  <c r="EU19" i="8"/>
  <c r="FR19" i="8" s="1"/>
  <c r="EV19" i="8"/>
  <c r="FS19" i="8" s="1"/>
  <c r="EH19" i="8"/>
  <c r="FE19" i="8" s="1"/>
  <c r="EX19" i="8"/>
  <c r="FU19" i="8" s="1"/>
  <c r="EI19" i="8"/>
  <c r="FF19" i="8" s="1"/>
  <c r="EY19" i="8"/>
  <c r="FV19" i="8" s="1"/>
  <c r="EJ19" i="8"/>
  <c r="FG19" i="8" s="1"/>
  <c r="EZ19" i="8"/>
  <c r="EK19" i="8"/>
  <c r="FH19" i="8" s="1"/>
  <c r="CW18" i="8"/>
  <c r="DT18" i="8" s="1"/>
  <c r="GR18" i="8" s="1"/>
  <c r="CH18" i="8"/>
  <c r="DE18" i="8" s="1"/>
  <c r="GC18" i="8" s="1"/>
  <c r="CX18" i="8"/>
  <c r="DU18" i="8" s="1"/>
  <c r="GS18" i="8" s="1"/>
  <c r="CI18" i="8"/>
  <c r="DF18" i="8" s="1"/>
  <c r="GD18" i="8" s="1"/>
  <c r="CY18" i="8"/>
  <c r="DV18" i="8" s="1"/>
  <c r="GT18" i="8" s="1"/>
  <c r="CJ18" i="8"/>
  <c r="DG18" i="8" s="1"/>
  <c r="GE18" i="8" s="1"/>
  <c r="CZ18" i="8"/>
  <c r="DW18" i="8" s="1"/>
  <c r="CK18" i="8"/>
  <c r="DA18" i="8"/>
  <c r="CL18" i="8"/>
  <c r="DI18" i="8" s="1"/>
  <c r="GG18" i="8" s="1"/>
  <c r="DB18" i="8"/>
  <c r="CM18" i="8"/>
  <c r="DJ18" i="8" s="1"/>
  <c r="GH18" i="8" s="1"/>
  <c r="CN18" i="8"/>
  <c r="CO18" i="8"/>
  <c r="DL18" i="8" s="1"/>
  <c r="GJ18" i="8" s="1"/>
  <c r="CP18" i="8"/>
  <c r="DM18" i="8" s="1"/>
  <c r="GK18" i="8" s="1"/>
  <c r="CQ18" i="8"/>
  <c r="DN18" i="8" s="1"/>
  <c r="GL18" i="8" s="1"/>
  <c r="CR18" i="8"/>
  <c r="DO18" i="8" s="1"/>
  <c r="GM18" i="8" s="1"/>
  <c r="CS18" i="8"/>
  <c r="DP18" i="8" s="1"/>
  <c r="GN18" i="8" s="1"/>
  <c r="CU18" i="8"/>
  <c r="DR18" i="8" s="1"/>
  <c r="GP18" i="8" s="1"/>
  <c r="CT18" i="8"/>
  <c r="CV18" i="8"/>
  <c r="AR19" i="8"/>
  <c r="BO19" i="8" s="1"/>
  <c r="AS19" i="8"/>
  <c r="BP19" i="8" s="1"/>
  <c r="AT19" i="8"/>
  <c r="BQ19" i="8" s="1"/>
  <c r="AU19" i="8"/>
  <c r="BR19" i="8" s="1"/>
  <c r="AW19" i="8"/>
  <c r="BT19" i="8" s="1"/>
  <c r="AH19" i="8"/>
  <c r="BE19" i="8" s="1"/>
  <c r="AX19" i="8"/>
  <c r="BU19" i="8" s="1"/>
  <c r="AY19" i="8"/>
  <c r="BV19" i="8" s="1"/>
  <c r="AI19" i="8"/>
  <c r="BF19" i="8" s="1"/>
  <c r="AJ19" i="8"/>
  <c r="BG19" i="8" s="1"/>
  <c r="AZ19" i="8"/>
  <c r="BW19" i="8" s="1"/>
  <c r="AK19" i="8"/>
  <c r="BH19" i="8" s="1"/>
  <c r="BA19" i="8"/>
  <c r="BX19" i="8" s="1"/>
  <c r="AL19" i="8"/>
  <c r="BI19" i="8" s="1"/>
  <c r="BB19" i="8"/>
  <c r="AN19" i="8"/>
  <c r="BK19" i="8" s="1"/>
  <c r="AM19" i="8"/>
  <c r="BJ19" i="8" s="1"/>
  <c r="AO19" i="8"/>
  <c r="BL19" i="8" s="1"/>
  <c r="AQ19" i="8"/>
  <c r="BN19" i="8" s="1"/>
  <c r="AP19" i="8"/>
  <c r="BM19" i="8" s="1"/>
  <c r="AV19" i="8"/>
  <c r="BS19" i="8" s="1"/>
  <c r="GZ21" i="8"/>
  <c r="CE19" i="8"/>
  <c r="AC20" i="8"/>
  <c r="AD20" i="8" s="1"/>
  <c r="AE20" i="8" s="1"/>
  <c r="DD21" i="8"/>
  <c r="GB21" i="8"/>
  <c r="FD21" i="8"/>
  <c r="CG21" i="8"/>
  <c r="EG21" i="8"/>
  <c r="BD21" i="8"/>
  <c r="AG21" i="8"/>
  <c r="BX3" i="8"/>
  <c r="DW16" i="8"/>
  <c r="DW9" i="8"/>
  <c r="DW10" i="8"/>
  <c r="DW12" i="8"/>
  <c r="DW6" i="8"/>
  <c r="DW13" i="8"/>
  <c r="DW14" i="8"/>
  <c r="DW11" i="8"/>
  <c r="DW7" i="8"/>
  <c r="DW15" i="8"/>
  <c r="DW8" i="8"/>
  <c r="DW17" i="8"/>
  <c r="CZ4" i="8"/>
  <c r="DW4" i="8" s="1"/>
  <c r="DX3" i="8"/>
  <c r="DW5" i="8"/>
  <c r="CB21" i="8"/>
  <c r="AB21" i="8"/>
  <c r="EY4" i="8"/>
  <c r="FV4" i="8" s="1"/>
  <c r="GT4" i="8" s="1"/>
  <c r="FV5" i="8"/>
  <c r="GT5" i="8" s="1"/>
  <c r="FV6" i="8"/>
  <c r="GT6" i="8" s="1"/>
  <c r="FV7" i="8"/>
  <c r="GT7" i="8" s="1"/>
  <c r="FV8" i="8"/>
  <c r="GT8" i="8" s="1"/>
  <c r="FV9" i="8"/>
  <c r="GT9" i="8" s="1"/>
  <c r="FV10" i="8"/>
  <c r="GT10" i="8" s="1"/>
  <c r="FV11" i="8"/>
  <c r="GT11" i="8" s="1"/>
  <c r="FV12" i="8"/>
  <c r="GT12" i="8" s="1"/>
  <c r="FV13" i="8"/>
  <c r="GT13" i="8" s="1"/>
  <c r="FV14" i="8"/>
  <c r="GT14" i="8" s="1"/>
  <c r="FV15" i="8"/>
  <c r="GT15" i="8" s="1"/>
  <c r="FV16" i="8"/>
  <c r="GT16" i="8" s="1"/>
  <c r="FV17" i="8"/>
  <c r="GT17" i="8" s="1"/>
  <c r="AA22" i="8"/>
  <c r="BY3" i="8"/>
  <c r="BA4" i="8"/>
  <c r="BX4" i="8" s="1"/>
  <c r="BX5" i="8"/>
  <c r="BX6" i="8"/>
  <c r="BX7" i="8"/>
  <c r="BX8" i="8"/>
  <c r="BX9" i="8"/>
  <c r="BX10" i="8"/>
  <c r="BX11" i="8"/>
  <c r="BX12" i="8"/>
  <c r="BX13" i="8"/>
  <c r="BX14" i="8"/>
  <c r="BX15" i="8"/>
  <c r="BX16" i="8"/>
  <c r="BX18" i="8"/>
  <c r="BX17" i="8"/>
  <c r="I22" i="8"/>
  <c r="J21" i="8"/>
  <c r="T21" i="8"/>
  <c r="S21" i="8"/>
  <c r="EB20" i="8" a="1"/>
  <c r="AB22" i="8" a="1"/>
  <c r="EW19" i="8" l="1"/>
  <c r="FT19" i="8" s="1"/>
  <c r="EQ19" i="8"/>
  <c r="FN19" i="8" s="1"/>
  <c r="EP19" i="8"/>
  <c r="FM19" i="8" s="1"/>
  <c r="EN19" i="8"/>
  <c r="FK19" i="8" s="1"/>
  <c r="EM19" i="8"/>
  <c r="FJ19" i="8" s="1"/>
  <c r="FB19" i="8"/>
  <c r="EB20" i="8"/>
  <c r="EC20" i="8" s="1"/>
  <c r="ED20" i="8" s="1"/>
  <c r="EE20" i="8" s="1"/>
  <c r="EZ20" i="8" s="1"/>
  <c r="FW20" i="8" s="1"/>
  <c r="CD20" i="8"/>
  <c r="CC21" i="8"/>
  <c r="CD21" i="8" s="1"/>
  <c r="ER19" i="8"/>
  <c r="FO19" i="8" s="1"/>
  <c r="EL19" i="8"/>
  <c r="FI19" i="8" s="1"/>
  <c r="CR19" i="8"/>
  <c r="CS19" i="8"/>
  <c r="CT19" i="8"/>
  <c r="DQ19" i="8" s="1"/>
  <c r="GO19" i="8" s="1"/>
  <c r="CU19" i="8"/>
  <c r="CV19" i="8"/>
  <c r="CW19" i="8"/>
  <c r="CH19" i="8"/>
  <c r="DE19" i="8" s="1"/>
  <c r="GC19" i="8" s="1"/>
  <c r="CX19" i="8"/>
  <c r="DU19" i="8" s="1"/>
  <c r="GS19" i="8" s="1"/>
  <c r="CI19" i="8"/>
  <c r="CY19" i="8"/>
  <c r="DV19" i="8" s="1"/>
  <c r="GT19" i="8" s="1"/>
  <c r="CJ19" i="8"/>
  <c r="DG19" i="8" s="1"/>
  <c r="GE19" i="8" s="1"/>
  <c r="CZ19" i="8"/>
  <c r="DW19" i="8" s="1"/>
  <c r="CK19" i="8"/>
  <c r="DA19" i="8"/>
  <c r="DX19" i="8" s="1"/>
  <c r="CL19" i="8"/>
  <c r="DB19" i="8"/>
  <c r="CM19" i="8"/>
  <c r="CN19" i="8"/>
  <c r="CP19" i="8"/>
  <c r="CQ19" i="8"/>
  <c r="DN19" i="8" s="1"/>
  <c r="GL19" i="8" s="1"/>
  <c r="CO19" i="8"/>
  <c r="AM20" i="8"/>
  <c r="BJ20" i="8" s="1"/>
  <c r="AN20" i="8"/>
  <c r="BK20" i="8" s="1"/>
  <c r="AO20" i="8"/>
  <c r="BL20" i="8" s="1"/>
  <c r="AP20" i="8"/>
  <c r="BM20" i="8" s="1"/>
  <c r="AR20" i="8"/>
  <c r="BO20" i="8" s="1"/>
  <c r="AS20" i="8"/>
  <c r="BP20" i="8" s="1"/>
  <c r="AT20" i="8"/>
  <c r="BQ20" i="8" s="1"/>
  <c r="AU20" i="8"/>
  <c r="BR20" i="8" s="1"/>
  <c r="AY20" i="8"/>
  <c r="BV20" i="8" s="1"/>
  <c r="AL20" i="8"/>
  <c r="BI20" i="8" s="1"/>
  <c r="AV20" i="8"/>
  <c r="BS20" i="8" s="1"/>
  <c r="BB20" i="8"/>
  <c r="BY20" i="8" s="1"/>
  <c r="AW20" i="8"/>
  <c r="BT20" i="8" s="1"/>
  <c r="AQ20" i="8"/>
  <c r="BN20" i="8" s="1"/>
  <c r="AH20" i="8"/>
  <c r="BE20" i="8" s="1"/>
  <c r="AX20" i="8"/>
  <c r="BU20" i="8" s="1"/>
  <c r="AI20" i="8"/>
  <c r="BF20" i="8" s="1"/>
  <c r="AJ20" i="8"/>
  <c r="BG20" i="8" s="1"/>
  <c r="AZ20" i="8"/>
  <c r="BW20" i="8" s="1"/>
  <c r="AK20" i="8"/>
  <c r="BH20" i="8" s="1"/>
  <c r="BA20" i="8"/>
  <c r="BX20" i="8" s="1"/>
  <c r="GZ22" i="8"/>
  <c r="AC21" i="8"/>
  <c r="AD21" i="8" s="1"/>
  <c r="AE21" i="8" s="1"/>
  <c r="DQ18" i="8"/>
  <c r="GO18" i="8" s="1"/>
  <c r="DH18" i="8"/>
  <c r="GF18" i="8" s="1"/>
  <c r="CE20" i="8"/>
  <c r="DK18" i="8"/>
  <c r="GI18" i="8" s="1"/>
  <c r="DS18" i="8"/>
  <c r="GQ18" i="8" s="1"/>
  <c r="DD22" i="8"/>
  <c r="FD22" i="8"/>
  <c r="GB22" i="8"/>
  <c r="CG22" i="8"/>
  <c r="BD22" i="8"/>
  <c r="EG22" i="8"/>
  <c r="AG22" i="8"/>
  <c r="FW19" i="8"/>
  <c r="FW3" i="8"/>
  <c r="GU3" i="8" s="1"/>
  <c r="DX17" i="8"/>
  <c r="DX16" i="8"/>
  <c r="DA4" i="8"/>
  <c r="DX4" i="8" s="1"/>
  <c r="DY3" i="8"/>
  <c r="DX9" i="8"/>
  <c r="DX12" i="8"/>
  <c r="DX18" i="8"/>
  <c r="DX5" i="8"/>
  <c r="DX8" i="8"/>
  <c r="DX11" i="8"/>
  <c r="DX13" i="8"/>
  <c r="DX14" i="8"/>
  <c r="DX15" i="8"/>
  <c r="DX6" i="8"/>
  <c r="DX7" i="8"/>
  <c r="DX10" i="8"/>
  <c r="AB22" i="8"/>
  <c r="BB4" i="8"/>
  <c r="BY4" i="8" s="1"/>
  <c r="BY5" i="8"/>
  <c r="BY6" i="8"/>
  <c r="BY7" i="8"/>
  <c r="BY8" i="8"/>
  <c r="BY9" i="8"/>
  <c r="BY10" i="8"/>
  <c r="BY11" i="8"/>
  <c r="BY12" i="8"/>
  <c r="BY13" i="8"/>
  <c r="BY14" i="8"/>
  <c r="BY15" i="8"/>
  <c r="BY16" i="8"/>
  <c r="BY19" i="8"/>
  <c r="BY17" i="8"/>
  <c r="BY18" i="8"/>
  <c r="AA23" i="8"/>
  <c r="EZ4" i="8"/>
  <c r="FW4" i="8" s="1"/>
  <c r="GU4" i="8" s="1"/>
  <c r="FX3" i="8"/>
  <c r="GV3" i="8" s="1"/>
  <c r="FW5" i="8"/>
  <c r="GU5" i="8" s="1"/>
  <c r="FW6" i="8"/>
  <c r="GU6" i="8" s="1"/>
  <c r="FW7" i="8"/>
  <c r="GU7" i="8" s="1"/>
  <c r="FW8" i="8"/>
  <c r="GU8" i="8" s="1"/>
  <c r="FW9" i="8"/>
  <c r="GU9" i="8" s="1"/>
  <c r="FW10" i="8"/>
  <c r="GU10" i="8" s="1"/>
  <c r="FW11" i="8"/>
  <c r="GU11" i="8" s="1"/>
  <c r="FW12" i="8"/>
  <c r="GU12" i="8" s="1"/>
  <c r="FW13" i="8"/>
  <c r="GU13" i="8" s="1"/>
  <c r="FW14" i="8"/>
  <c r="GU14" i="8" s="1"/>
  <c r="FW15" i="8"/>
  <c r="GU15" i="8" s="1"/>
  <c r="FW16" i="8"/>
  <c r="GU16" i="8" s="1"/>
  <c r="FW17" i="8"/>
  <c r="GU17" i="8" s="1"/>
  <c r="FW18" i="8"/>
  <c r="GU18" i="8" s="1"/>
  <c r="J22" i="8"/>
  <c r="T22" i="8"/>
  <c r="I23" i="8"/>
  <c r="S22" i="8"/>
  <c r="EB21" i="8" a="1"/>
  <c r="CB23" i="8" a="1"/>
  <c r="AB23" i="8" a="1"/>
  <c r="CB22" i="8" a="1"/>
  <c r="EB21" i="8" l="1"/>
  <c r="EC21" i="8" s="1"/>
  <c r="ED21" i="8" s="1"/>
  <c r="EE21" i="8" s="1"/>
  <c r="EO21" i="8" s="1"/>
  <c r="FL21" i="8" s="1"/>
  <c r="EJ20" i="8"/>
  <c r="FG20" i="8" s="1"/>
  <c r="ES20" i="8"/>
  <c r="FP20" i="8" s="1"/>
  <c r="EU20" i="8"/>
  <c r="FR20" i="8" s="1"/>
  <c r="FB20" i="8"/>
  <c r="EQ20" i="8"/>
  <c r="FN20" i="8" s="1"/>
  <c r="FA20" i="8"/>
  <c r="EO20" i="8"/>
  <c r="FL20" i="8" s="1"/>
  <c r="EK20" i="8"/>
  <c r="FH20" i="8" s="1"/>
  <c r="EN20" i="8"/>
  <c r="FK20" i="8" s="1"/>
  <c r="EL20" i="8"/>
  <c r="FI20" i="8" s="1"/>
  <c r="EY20" i="8"/>
  <c r="FV20" i="8" s="1"/>
  <c r="EM20" i="8"/>
  <c r="FJ20" i="8" s="1"/>
  <c r="EV20" i="8"/>
  <c r="FS20" i="8" s="1"/>
  <c r="EI20" i="8"/>
  <c r="FF20" i="8" s="1"/>
  <c r="EW20" i="8"/>
  <c r="FT20" i="8" s="1"/>
  <c r="ET20" i="8"/>
  <c r="FQ20" i="8" s="1"/>
  <c r="EP20" i="8"/>
  <c r="FM20" i="8" s="1"/>
  <c r="EX20" i="8"/>
  <c r="FU20" i="8" s="1"/>
  <c r="ER20" i="8"/>
  <c r="FO20" i="8" s="1"/>
  <c r="EH20" i="8"/>
  <c r="FE20" i="8" s="1"/>
  <c r="CB22" i="8"/>
  <c r="CC22" i="8" s="1"/>
  <c r="GU19" i="8"/>
  <c r="EI21" i="8"/>
  <c r="FF21" i="8" s="1"/>
  <c r="EY21" i="8"/>
  <c r="FV21" i="8" s="1"/>
  <c r="EJ21" i="8"/>
  <c r="FG21" i="8" s="1"/>
  <c r="EZ21" i="8"/>
  <c r="FW21" i="8" s="1"/>
  <c r="EK21" i="8"/>
  <c r="FH21" i="8" s="1"/>
  <c r="FA21" i="8"/>
  <c r="FX21" i="8" s="1"/>
  <c r="EU21" i="8"/>
  <c r="FR21" i="8" s="1"/>
  <c r="EL21" i="8"/>
  <c r="FI21" i="8" s="1"/>
  <c r="FB21" i="8"/>
  <c r="EM21" i="8"/>
  <c r="FJ21" i="8" s="1"/>
  <c r="EN21" i="8"/>
  <c r="FK21" i="8" s="1"/>
  <c r="EV21" i="8"/>
  <c r="FS21" i="8" s="1"/>
  <c r="CM20" i="8"/>
  <c r="DJ20" i="8" s="1"/>
  <c r="CN20" i="8"/>
  <c r="DK20" i="8" s="1"/>
  <c r="CO20" i="8"/>
  <c r="DL20" i="8" s="1"/>
  <c r="GJ20" i="8" s="1"/>
  <c r="CP20" i="8"/>
  <c r="DM20" i="8" s="1"/>
  <c r="GK20" i="8" s="1"/>
  <c r="CQ20" i="8"/>
  <c r="DN20" i="8" s="1"/>
  <c r="GL20" i="8" s="1"/>
  <c r="CR20" i="8"/>
  <c r="DO20" i="8" s="1"/>
  <c r="CS20" i="8"/>
  <c r="DP20" i="8" s="1"/>
  <c r="GN20" i="8" s="1"/>
  <c r="CZ20" i="8"/>
  <c r="DW20" i="8" s="1"/>
  <c r="GU20" i="8" s="1"/>
  <c r="CT20" i="8"/>
  <c r="DQ20" i="8" s="1"/>
  <c r="CU20" i="8"/>
  <c r="DR20" i="8" s="1"/>
  <c r="CV20" i="8"/>
  <c r="DS20" i="8" s="1"/>
  <c r="CW20" i="8"/>
  <c r="DT20" i="8" s="1"/>
  <c r="CH20" i="8"/>
  <c r="DE20" i="8" s="1"/>
  <c r="CX20" i="8"/>
  <c r="DU20" i="8" s="1"/>
  <c r="CI20" i="8"/>
  <c r="DF20" i="8" s="1"/>
  <c r="CY20" i="8"/>
  <c r="DV20" i="8" s="1"/>
  <c r="CJ20" i="8"/>
  <c r="DG20" i="8" s="1"/>
  <c r="GE20" i="8" s="1"/>
  <c r="CK20" i="8"/>
  <c r="DH20" i="8" s="1"/>
  <c r="DA20" i="8"/>
  <c r="DX20" i="8" s="1"/>
  <c r="CL20" i="8"/>
  <c r="DI20" i="8" s="1"/>
  <c r="DB20" i="8"/>
  <c r="DY20" i="8" s="1"/>
  <c r="AH21" i="8"/>
  <c r="BE21" i="8" s="1"/>
  <c r="AX21" i="8"/>
  <c r="BU21" i="8" s="1"/>
  <c r="AI21" i="8"/>
  <c r="BF21" i="8" s="1"/>
  <c r="AY21" i="8"/>
  <c r="BV21" i="8" s="1"/>
  <c r="AJ21" i="8"/>
  <c r="BG21" i="8" s="1"/>
  <c r="AZ21" i="8"/>
  <c r="BW21" i="8" s="1"/>
  <c r="AK21" i="8"/>
  <c r="BH21" i="8" s="1"/>
  <c r="BA21" i="8"/>
  <c r="BX21" i="8" s="1"/>
  <c r="AL21" i="8"/>
  <c r="BI21" i="8" s="1"/>
  <c r="AM21" i="8"/>
  <c r="BJ21" i="8" s="1"/>
  <c r="AN21" i="8"/>
  <c r="BK21" i="8" s="1"/>
  <c r="AO21" i="8"/>
  <c r="BL21" i="8" s="1"/>
  <c r="AP21" i="8"/>
  <c r="BM21" i="8" s="1"/>
  <c r="AQ21" i="8"/>
  <c r="BN21" i="8" s="1"/>
  <c r="AT21" i="8"/>
  <c r="BQ21" i="8" s="1"/>
  <c r="AR21" i="8"/>
  <c r="BO21" i="8" s="1"/>
  <c r="AS21" i="8"/>
  <c r="BP21" i="8" s="1"/>
  <c r="AU21" i="8"/>
  <c r="BR21" i="8" s="1"/>
  <c r="BB21" i="8"/>
  <c r="BY21" i="8" s="1"/>
  <c r="AV21" i="8"/>
  <c r="BS21" i="8" s="1"/>
  <c r="AW21" i="8"/>
  <c r="BT21" i="8" s="1"/>
  <c r="GZ23" i="8"/>
  <c r="AC22" i="8"/>
  <c r="AD22" i="8" s="1"/>
  <c r="AE22" i="8" s="1"/>
  <c r="DO19" i="8"/>
  <c r="GM19" i="8" s="1"/>
  <c r="DS19" i="8"/>
  <c r="GQ19" i="8" s="1"/>
  <c r="DF19" i="8"/>
  <c r="GD19" i="8" s="1"/>
  <c r="DJ19" i="8"/>
  <c r="GH19" i="8" s="1"/>
  <c r="DK19" i="8"/>
  <c r="GI19" i="8" s="1"/>
  <c r="DH19" i="8"/>
  <c r="GF19" i="8" s="1"/>
  <c r="DM19" i="8"/>
  <c r="GK19" i="8" s="1"/>
  <c r="DR19" i="8"/>
  <c r="GP19" i="8" s="1"/>
  <c r="CE21" i="8"/>
  <c r="DP19" i="8"/>
  <c r="GN19" i="8" s="1"/>
  <c r="DL19" i="8"/>
  <c r="GJ19" i="8" s="1"/>
  <c r="DI19" i="8"/>
  <c r="GG19" i="8" s="1"/>
  <c r="DT19" i="8"/>
  <c r="GR19" i="8" s="1"/>
  <c r="GB23" i="8"/>
  <c r="DD23" i="8"/>
  <c r="FD23" i="8"/>
  <c r="EG23" i="8"/>
  <c r="AG23" i="8"/>
  <c r="CG23" i="8"/>
  <c r="BD23" i="8"/>
  <c r="DY18" i="8"/>
  <c r="DB4" i="8"/>
  <c r="DY4" i="8" s="1"/>
  <c r="DY12" i="8"/>
  <c r="DY6" i="8"/>
  <c r="DY5" i="8"/>
  <c r="DY19" i="8"/>
  <c r="DY8" i="8"/>
  <c r="DY10" i="8"/>
  <c r="DY7" i="8"/>
  <c r="DY9" i="8"/>
  <c r="DY11" i="8"/>
  <c r="DY13" i="8"/>
  <c r="DY14" i="8"/>
  <c r="DY15" i="8"/>
  <c r="DY17" i="8"/>
  <c r="DY16" i="8"/>
  <c r="CB23" i="8"/>
  <c r="CC23" i="8" s="1"/>
  <c r="AB23" i="8"/>
  <c r="AA24" i="8"/>
  <c r="FA4" i="8"/>
  <c r="FX4" i="8" s="1"/>
  <c r="GV4" i="8" s="1"/>
  <c r="FY3" i="8"/>
  <c r="GW3" i="8" s="1"/>
  <c r="FX5" i="8"/>
  <c r="GV5" i="8" s="1"/>
  <c r="FX6" i="8"/>
  <c r="GV6" i="8" s="1"/>
  <c r="FX7" i="8"/>
  <c r="GV7" i="8" s="1"/>
  <c r="FX8" i="8"/>
  <c r="GV8" i="8" s="1"/>
  <c r="FX9" i="8"/>
  <c r="GV9" i="8" s="1"/>
  <c r="FX10" i="8"/>
  <c r="GV10" i="8" s="1"/>
  <c r="FX11" i="8"/>
  <c r="GV11" i="8" s="1"/>
  <c r="FX12" i="8"/>
  <c r="GV12" i="8" s="1"/>
  <c r="FX13" i="8"/>
  <c r="GV13" i="8" s="1"/>
  <c r="FX14" i="8"/>
  <c r="GV14" i="8" s="1"/>
  <c r="FX15" i="8"/>
  <c r="GV15" i="8" s="1"/>
  <c r="FX16" i="8"/>
  <c r="GV16" i="8" s="1"/>
  <c r="FX17" i="8"/>
  <c r="GV17" i="8" s="1"/>
  <c r="FX18" i="8"/>
  <c r="GV18" i="8" s="1"/>
  <c r="FX19" i="8"/>
  <c r="GV19" i="8" s="1"/>
  <c r="FX20" i="8"/>
  <c r="CD22" i="8"/>
  <c r="T23" i="8"/>
  <c r="J23" i="8"/>
  <c r="I24" i="8"/>
  <c r="S23" i="8"/>
  <c r="EB23" i="8" a="1"/>
  <c r="CB24" i="8" a="1"/>
  <c r="EB22" i="8" a="1"/>
  <c r="EW21" i="8" l="1"/>
  <c r="FT21" i="8" s="1"/>
  <c r="ET21" i="8"/>
  <c r="FQ21" i="8" s="1"/>
  <c r="GI20" i="8"/>
  <c r="GT20" i="8"/>
  <c r="GH20" i="8"/>
  <c r="GG20" i="8"/>
  <c r="GF20" i="8"/>
  <c r="GC20" i="8"/>
  <c r="ER21" i="8"/>
  <c r="FO21" i="8" s="1"/>
  <c r="EH21" i="8"/>
  <c r="FE21" i="8" s="1"/>
  <c r="GS20" i="8"/>
  <c r="ES21" i="8"/>
  <c r="FP21" i="8" s="1"/>
  <c r="GQ20" i="8"/>
  <c r="EQ21" i="8"/>
  <c r="FN21" i="8" s="1"/>
  <c r="GP20" i="8"/>
  <c r="EP21" i="8"/>
  <c r="FM21" i="8" s="1"/>
  <c r="GD20" i="8"/>
  <c r="EX21" i="8"/>
  <c r="FU21" i="8" s="1"/>
  <c r="GR20" i="8"/>
  <c r="GO20" i="8"/>
  <c r="GM20" i="8"/>
  <c r="EB22" i="8"/>
  <c r="EC22" i="8" s="1"/>
  <c r="ED22" i="8" s="1"/>
  <c r="EE22" i="8" s="1"/>
  <c r="ET22" i="8" s="1"/>
  <c r="FQ22" i="8" s="1"/>
  <c r="GV20" i="8"/>
  <c r="CH21" i="8"/>
  <c r="DE21" i="8" s="1"/>
  <c r="CX21" i="8"/>
  <c r="DU21" i="8" s="1"/>
  <c r="CU21" i="8"/>
  <c r="DR21" i="8" s="1"/>
  <c r="GP21" i="8" s="1"/>
  <c r="CI21" i="8"/>
  <c r="DF21" i="8" s="1"/>
  <c r="GD21" i="8" s="1"/>
  <c r="CY21" i="8"/>
  <c r="DV21" i="8" s="1"/>
  <c r="GT21" i="8" s="1"/>
  <c r="CJ21" i="8"/>
  <c r="DG21" i="8" s="1"/>
  <c r="GE21" i="8" s="1"/>
  <c r="CZ21" i="8"/>
  <c r="DW21" i="8" s="1"/>
  <c r="GU21" i="8" s="1"/>
  <c r="CK21" i="8"/>
  <c r="DH21" i="8" s="1"/>
  <c r="GF21" i="8" s="1"/>
  <c r="DA21" i="8"/>
  <c r="DX21" i="8" s="1"/>
  <c r="GV21" i="8" s="1"/>
  <c r="CL21" i="8"/>
  <c r="DI21" i="8" s="1"/>
  <c r="GG21" i="8" s="1"/>
  <c r="DB21" i="8"/>
  <c r="DY21" i="8" s="1"/>
  <c r="CM21" i="8"/>
  <c r="DJ21" i="8" s="1"/>
  <c r="GH21" i="8" s="1"/>
  <c r="CN21" i="8"/>
  <c r="DK21" i="8" s="1"/>
  <c r="GI21" i="8" s="1"/>
  <c r="CO21" i="8"/>
  <c r="DL21" i="8" s="1"/>
  <c r="GJ21" i="8" s="1"/>
  <c r="CP21" i="8"/>
  <c r="DM21" i="8" s="1"/>
  <c r="CQ21" i="8"/>
  <c r="DN21" i="8" s="1"/>
  <c r="CR21" i="8"/>
  <c r="DO21" i="8" s="1"/>
  <c r="CS21" i="8"/>
  <c r="DP21" i="8" s="1"/>
  <c r="CT21" i="8"/>
  <c r="DQ21" i="8" s="1"/>
  <c r="GO21" i="8" s="1"/>
  <c r="CV21" i="8"/>
  <c r="DS21" i="8" s="1"/>
  <c r="GQ21" i="8" s="1"/>
  <c r="CW21" i="8"/>
  <c r="DT21" i="8" s="1"/>
  <c r="GR21" i="8" s="1"/>
  <c r="AC23" i="8"/>
  <c r="AD23" i="8" s="1"/>
  <c r="AE23" i="8" s="1"/>
  <c r="AJ23" i="8" s="1"/>
  <c r="BG23" i="8" s="1"/>
  <c r="AS22" i="8"/>
  <c r="BP22" i="8" s="1"/>
  <c r="AT22" i="8"/>
  <c r="BQ22" i="8" s="1"/>
  <c r="AU22" i="8"/>
  <c r="BR22" i="8" s="1"/>
  <c r="AV22" i="8"/>
  <c r="BS22" i="8" s="1"/>
  <c r="AW22" i="8"/>
  <c r="BT22" i="8" s="1"/>
  <c r="AH22" i="8"/>
  <c r="BE22" i="8" s="1"/>
  <c r="AX22" i="8"/>
  <c r="BU22" i="8" s="1"/>
  <c r="AI22" i="8"/>
  <c r="BF22" i="8" s="1"/>
  <c r="AY22" i="8"/>
  <c r="BV22" i="8" s="1"/>
  <c r="AJ22" i="8"/>
  <c r="BG22" i="8" s="1"/>
  <c r="AZ22" i="8"/>
  <c r="BW22" i="8" s="1"/>
  <c r="AK22" i="8"/>
  <c r="BH22" i="8" s="1"/>
  <c r="BA22" i="8"/>
  <c r="BX22" i="8" s="1"/>
  <c r="AL22" i="8"/>
  <c r="BI22" i="8" s="1"/>
  <c r="BB22" i="8"/>
  <c r="BY22" i="8" s="1"/>
  <c r="AM22" i="8"/>
  <c r="BJ22" i="8" s="1"/>
  <c r="AO22" i="8"/>
  <c r="BL22" i="8" s="1"/>
  <c r="AR22" i="8"/>
  <c r="BO22" i="8" s="1"/>
  <c r="AN22" i="8"/>
  <c r="BK22" i="8" s="1"/>
  <c r="AP22" i="8"/>
  <c r="BM22" i="8" s="1"/>
  <c r="AQ22" i="8"/>
  <c r="BN22" i="8" s="1"/>
  <c r="GZ24" i="8"/>
  <c r="CE22" i="8"/>
  <c r="DD24" i="8"/>
  <c r="GB24" i="8"/>
  <c r="FD24" i="8"/>
  <c r="EG24" i="8"/>
  <c r="BD24" i="8"/>
  <c r="AG24" i="8"/>
  <c r="CG24" i="8"/>
  <c r="CB24" i="8"/>
  <c r="CC24" i="8" s="1"/>
  <c r="EB23" i="8"/>
  <c r="AA25" i="8"/>
  <c r="CD23" i="8"/>
  <c r="FB4" i="8"/>
  <c r="FY4" i="8" s="1"/>
  <c r="GW4" i="8" s="1"/>
  <c r="FY5" i="8"/>
  <c r="GW5" i="8" s="1"/>
  <c r="FY6" i="8"/>
  <c r="GW6" i="8" s="1"/>
  <c r="FY7" i="8"/>
  <c r="GW7" i="8" s="1"/>
  <c r="FY8" i="8"/>
  <c r="GW8" i="8" s="1"/>
  <c r="FY9" i="8"/>
  <c r="GW9" i="8" s="1"/>
  <c r="FY10" i="8"/>
  <c r="GW10" i="8" s="1"/>
  <c r="FY11" i="8"/>
  <c r="GW11" i="8" s="1"/>
  <c r="FY12" i="8"/>
  <c r="GW12" i="8" s="1"/>
  <c r="FY13" i="8"/>
  <c r="GW13" i="8" s="1"/>
  <c r="FY14" i="8"/>
  <c r="GW14" i="8" s="1"/>
  <c r="FY15" i="8"/>
  <c r="GW15" i="8" s="1"/>
  <c r="FY16" i="8"/>
  <c r="GW16" i="8" s="1"/>
  <c r="FY17" i="8"/>
  <c r="GW17" i="8" s="1"/>
  <c r="FY18" i="8"/>
  <c r="GW18" i="8" s="1"/>
  <c r="FY19" i="8"/>
  <c r="GW19" i="8" s="1"/>
  <c r="FY20" i="8"/>
  <c r="GW20" i="8" s="1"/>
  <c r="FY21" i="8"/>
  <c r="S24" i="8"/>
  <c r="J24" i="8"/>
  <c r="I25" i="8"/>
  <c r="U25" i="8" s="1"/>
  <c r="T24" i="8"/>
  <c r="EB24" i="8" a="1"/>
  <c r="AB24" i="8" a="1"/>
  <c r="GN21" i="8" l="1"/>
  <c r="GC21" i="8"/>
  <c r="HA12" i="8"/>
  <c r="GM21" i="8"/>
  <c r="GS21" i="8"/>
  <c r="GL21" i="8"/>
  <c r="GK21" i="8"/>
  <c r="ES22" i="8"/>
  <c r="FP22" i="8" s="1"/>
  <c r="EM22" i="8"/>
  <c r="FJ22" i="8" s="1"/>
  <c r="FB22" i="8"/>
  <c r="FY22" i="8" s="1"/>
  <c r="EZ22" i="8"/>
  <c r="FW22" i="8" s="1"/>
  <c r="EP22" i="8"/>
  <c r="FM22" i="8" s="1"/>
  <c r="EJ22" i="8"/>
  <c r="FG22" i="8" s="1"/>
  <c r="EY22" i="8"/>
  <c r="FV22" i="8" s="1"/>
  <c r="FA22" i="8"/>
  <c r="FX22" i="8" s="1"/>
  <c r="EK22" i="8"/>
  <c r="FH22" i="8" s="1"/>
  <c r="EI22" i="8"/>
  <c r="FF22" i="8" s="1"/>
  <c r="EC23" i="8"/>
  <c r="ED23" i="8" s="1"/>
  <c r="EE23" i="8" s="1"/>
  <c r="EK23" i="8" s="1"/>
  <c r="FH23" i="8" s="1"/>
  <c r="EX22" i="8"/>
  <c r="FU22" i="8" s="1"/>
  <c r="EL22" i="8"/>
  <c r="FI22" i="8" s="1"/>
  <c r="EH22" i="8"/>
  <c r="FE22" i="8" s="1"/>
  <c r="ER22" i="8"/>
  <c r="FO22" i="8" s="1"/>
  <c r="EW22" i="8"/>
  <c r="FT22" i="8" s="1"/>
  <c r="EQ22" i="8"/>
  <c r="FN22" i="8" s="1"/>
  <c r="EV22" i="8"/>
  <c r="FS22" i="8" s="1"/>
  <c r="EO22" i="8"/>
  <c r="FL22" i="8" s="1"/>
  <c r="EU22" i="8"/>
  <c r="FR22" i="8" s="1"/>
  <c r="EN22" i="8"/>
  <c r="FK22" i="8" s="1"/>
  <c r="AB24" i="8"/>
  <c r="AC24" i="8" s="1"/>
  <c r="AD24" i="8" s="1"/>
  <c r="AE24" i="8" s="1"/>
  <c r="AZ24" i="8" s="1"/>
  <c r="BW24" i="8" s="1"/>
  <c r="HA18" i="8"/>
  <c r="U18" i="8" s="1"/>
  <c r="HA10" i="8"/>
  <c r="HA17" i="8"/>
  <c r="HA9" i="8"/>
  <c r="HA19" i="8"/>
  <c r="U19" i="8" s="1"/>
  <c r="HA8" i="8"/>
  <c r="HB9" i="8" s="1"/>
  <c r="HA7" i="8"/>
  <c r="U7" i="8" s="1"/>
  <c r="HA14" i="8"/>
  <c r="HA6" i="8"/>
  <c r="HA16" i="8"/>
  <c r="HA15" i="8"/>
  <c r="HA5" i="8"/>
  <c r="HA20" i="8"/>
  <c r="GW21" i="8"/>
  <c r="HA21" i="8" s="1"/>
  <c r="HA13" i="8"/>
  <c r="HA11" i="8"/>
  <c r="HB12" i="8" s="1"/>
  <c r="AT23" i="8"/>
  <c r="BQ23" i="8" s="1"/>
  <c r="AS23" i="8"/>
  <c r="BP23" i="8" s="1"/>
  <c r="AQ23" i="8"/>
  <c r="BN23" i="8" s="1"/>
  <c r="AP23" i="8"/>
  <c r="BM23" i="8" s="1"/>
  <c r="AO23" i="8"/>
  <c r="BL23" i="8" s="1"/>
  <c r="EI25" i="8"/>
  <c r="EY25" i="8"/>
  <c r="CU25" i="8"/>
  <c r="AQ25" i="8"/>
  <c r="EJ25" i="8"/>
  <c r="EZ25" i="8"/>
  <c r="EK25" i="8"/>
  <c r="FA25" i="8"/>
  <c r="CW25" i="8"/>
  <c r="EM25" i="8"/>
  <c r="CI25" i="8"/>
  <c r="CY25" i="8"/>
  <c r="AU25" i="8"/>
  <c r="EN25" i="8"/>
  <c r="EO25" i="8"/>
  <c r="CK25" i="8"/>
  <c r="DA25" i="8"/>
  <c r="AW25" i="8"/>
  <c r="EP25" i="8"/>
  <c r="CL25" i="8"/>
  <c r="DB25" i="8"/>
  <c r="AH25" i="8"/>
  <c r="AX25" i="8"/>
  <c r="EQ25" i="8"/>
  <c r="ES25" i="8"/>
  <c r="CO25" i="8"/>
  <c r="AK25" i="8"/>
  <c r="BA25" i="8"/>
  <c r="EW25" i="8"/>
  <c r="CS25" i="8"/>
  <c r="AO25" i="8"/>
  <c r="EH25" i="8"/>
  <c r="EX25" i="8"/>
  <c r="EU25" i="8"/>
  <c r="AY25" i="8"/>
  <c r="EV25" i="8"/>
  <c r="AZ25" i="8"/>
  <c r="FB25" i="8"/>
  <c r="BB25" i="8"/>
  <c r="CN25" i="8"/>
  <c r="AL25" i="8"/>
  <c r="CP25" i="8"/>
  <c r="AM25" i="8"/>
  <c r="CQ25" i="8"/>
  <c r="AN25" i="8"/>
  <c r="CR25" i="8"/>
  <c r="AP25" i="8"/>
  <c r="ER25" i="8"/>
  <c r="CT25" i="8"/>
  <c r="AR25" i="8"/>
  <c r="CX25" i="8"/>
  <c r="AT25" i="8"/>
  <c r="CZ25" i="8"/>
  <c r="AV25" i="8"/>
  <c r="AS25" i="8"/>
  <c r="CH25" i="8"/>
  <c r="CV25" i="8"/>
  <c r="CJ25" i="8"/>
  <c r="AI25" i="8"/>
  <c r="EL25" i="8"/>
  <c r="CM25" i="8"/>
  <c r="AJ25" i="8"/>
  <c r="ET25" i="8"/>
  <c r="AL23" i="8"/>
  <c r="BI23" i="8" s="1"/>
  <c r="BA23" i="8"/>
  <c r="BX23" i="8" s="1"/>
  <c r="AK23" i="8"/>
  <c r="BH23" i="8" s="1"/>
  <c r="AW23" i="8"/>
  <c r="BT23" i="8" s="1"/>
  <c r="AR23" i="8"/>
  <c r="BO23" i="8" s="1"/>
  <c r="AM23" i="8"/>
  <c r="BJ23" i="8" s="1"/>
  <c r="BB23" i="8"/>
  <c r="BY23" i="8" s="1"/>
  <c r="AV23" i="8"/>
  <c r="BS23" i="8" s="1"/>
  <c r="AZ23" i="8"/>
  <c r="BW23" i="8" s="1"/>
  <c r="AU23" i="8"/>
  <c r="BR23" i="8" s="1"/>
  <c r="AN23" i="8"/>
  <c r="BK23" i="8" s="1"/>
  <c r="CS22" i="8"/>
  <c r="DP22" i="8" s="1"/>
  <c r="GN22" i="8" s="1"/>
  <c r="CT22" i="8"/>
  <c r="DQ22" i="8" s="1"/>
  <c r="GO22" i="8" s="1"/>
  <c r="CU22" i="8"/>
  <c r="DR22" i="8" s="1"/>
  <c r="CV22" i="8"/>
  <c r="DS22" i="8" s="1"/>
  <c r="CW22" i="8"/>
  <c r="DT22" i="8" s="1"/>
  <c r="GR22" i="8" s="1"/>
  <c r="CH22" i="8"/>
  <c r="DE22" i="8" s="1"/>
  <c r="CX22" i="8"/>
  <c r="DU22" i="8" s="1"/>
  <c r="CI22" i="8"/>
  <c r="DF22" i="8" s="1"/>
  <c r="CY22" i="8"/>
  <c r="DV22" i="8" s="1"/>
  <c r="CJ22" i="8"/>
  <c r="DG22" i="8" s="1"/>
  <c r="CZ22" i="8"/>
  <c r="DW22" i="8" s="1"/>
  <c r="CK22" i="8"/>
  <c r="DH22" i="8" s="1"/>
  <c r="DA22" i="8"/>
  <c r="DX22" i="8" s="1"/>
  <c r="CL22" i="8"/>
  <c r="DI22" i="8" s="1"/>
  <c r="DB22" i="8"/>
  <c r="DY22" i="8" s="1"/>
  <c r="GW22" i="8" s="1"/>
  <c r="CM22" i="8"/>
  <c r="DJ22" i="8" s="1"/>
  <c r="GH22" i="8" s="1"/>
  <c r="CN22" i="8"/>
  <c r="DK22" i="8" s="1"/>
  <c r="CO22" i="8"/>
  <c r="DL22" i="8" s="1"/>
  <c r="CP22" i="8"/>
  <c r="DM22" i="8" s="1"/>
  <c r="CQ22" i="8"/>
  <c r="DN22" i="8" s="1"/>
  <c r="CR22" i="8"/>
  <c r="DO22" i="8" s="1"/>
  <c r="AY23" i="8"/>
  <c r="BV23" i="8" s="1"/>
  <c r="AI23" i="8"/>
  <c r="BF23" i="8" s="1"/>
  <c r="AX23" i="8"/>
  <c r="BU23" i="8" s="1"/>
  <c r="AH23" i="8"/>
  <c r="BE23" i="8" s="1"/>
  <c r="U15" i="8"/>
  <c r="GZ25" i="8"/>
  <c r="CE23" i="8"/>
  <c r="DD25" i="8"/>
  <c r="FL25" i="8"/>
  <c r="FJ25" i="8"/>
  <c r="FY25" i="8"/>
  <c r="FI25" i="8"/>
  <c r="GB25" i="8"/>
  <c r="FW25" i="8"/>
  <c r="FG25" i="8"/>
  <c r="FD25" i="8"/>
  <c r="FH25" i="8"/>
  <c r="DU25" i="8"/>
  <c r="DE25" i="8"/>
  <c r="FE25" i="8"/>
  <c r="DS25" i="8"/>
  <c r="DR25" i="8"/>
  <c r="FV25" i="8"/>
  <c r="FU25" i="8"/>
  <c r="FS25" i="8"/>
  <c r="FQ25" i="8"/>
  <c r="DG25" i="8"/>
  <c r="DX25" i="8"/>
  <c r="DW25" i="8"/>
  <c r="FT25" i="8"/>
  <c r="DT25" i="8"/>
  <c r="FR25" i="8"/>
  <c r="DQ25" i="8"/>
  <c r="FO25" i="8"/>
  <c r="DO25" i="8"/>
  <c r="FM25" i="8"/>
  <c r="DM25" i="8"/>
  <c r="FK25" i="8"/>
  <c r="DL25" i="8"/>
  <c r="DJ25" i="8"/>
  <c r="DI25" i="8"/>
  <c r="DP25" i="8"/>
  <c r="FX25" i="8"/>
  <c r="DN25" i="8"/>
  <c r="FP25" i="8"/>
  <c r="DK25" i="8"/>
  <c r="AG25" i="8"/>
  <c r="FF25" i="8"/>
  <c r="FN25" i="8"/>
  <c r="DH25" i="8"/>
  <c r="DF25" i="8"/>
  <c r="BD25" i="8"/>
  <c r="EG25" i="8"/>
  <c r="DV25" i="8"/>
  <c r="CG25" i="8"/>
  <c r="DY25" i="8"/>
  <c r="BQ25" i="8"/>
  <c r="BR25" i="8"/>
  <c r="BS25" i="8"/>
  <c r="BT25" i="8"/>
  <c r="BN25" i="8"/>
  <c r="BE25" i="8"/>
  <c r="BF25" i="8"/>
  <c r="BG25" i="8"/>
  <c r="BH25" i="8"/>
  <c r="BI25" i="8"/>
  <c r="BW25" i="8"/>
  <c r="BJ25" i="8"/>
  <c r="BK25" i="8"/>
  <c r="BP25" i="8"/>
  <c r="BU25" i="8"/>
  <c r="BV25" i="8"/>
  <c r="BL25" i="8"/>
  <c r="BM25" i="8"/>
  <c r="BO25" i="8"/>
  <c r="BX25" i="8"/>
  <c r="BY25" i="8"/>
  <c r="EB24" i="8"/>
  <c r="AA26" i="8"/>
  <c r="EE25" i="8"/>
  <c r="AC25" i="8"/>
  <c r="CB25" i="8" a="1"/>
  <c r="CB25" i="8" s="1"/>
  <c r="AE25" i="8"/>
  <c r="EB25" i="8" a="1"/>
  <c r="EB25" i="8" s="1"/>
  <c r="CC25" i="8"/>
  <c r="AB25" i="8" a="1"/>
  <c r="AB25" i="8" s="1"/>
  <c r="AD25" i="8"/>
  <c r="CD25" i="8"/>
  <c r="ED25" i="8"/>
  <c r="CE25" i="8"/>
  <c r="EC25" i="8"/>
  <c r="CD24" i="8"/>
  <c r="CE24" i="8" s="1"/>
  <c r="X25" i="8"/>
  <c r="J25" i="8"/>
  <c r="T25" i="8"/>
  <c r="O25" i="8"/>
  <c r="N25" i="8"/>
  <c r="M25" i="8" a="1"/>
  <c r="M25" i="8" s="1"/>
  <c r="I26" i="8"/>
  <c r="U26" i="8" s="1"/>
  <c r="L25" i="8"/>
  <c r="P25" i="8"/>
  <c r="V25" i="8"/>
  <c r="S25" i="8"/>
  <c r="GV22" i="8" l="1"/>
  <c r="GU22" i="8"/>
  <c r="GM22" i="8"/>
  <c r="GE22" i="8"/>
  <c r="GF22" i="8"/>
  <c r="GT22" i="8"/>
  <c r="GL22" i="8"/>
  <c r="GQ22" i="8"/>
  <c r="EX23" i="8"/>
  <c r="FU23" i="8" s="1"/>
  <c r="EH23" i="8"/>
  <c r="FE23" i="8" s="1"/>
  <c r="ES23" i="8"/>
  <c r="FP23" i="8" s="1"/>
  <c r="EV23" i="8"/>
  <c r="FS23" i="8" s="1"/>
  <c r="EU23" i="8"/>
  <c r="FR23" i="8" s="1"/>
  <c r="EW23" i="8"/>
  <c r="FT23" i="8" s="1"/>
  <c r="ET23" i="8"/>
  <c r="FQ23" i="8" s="1"/>
  <c r="GK22" i="8"/>
  <c r="GP22" i="8"/>
  <c r="GJ22" i="8"/>
  <c r="EC24" i="8"/>
  <c r="ED24" i="8" s="1"/>
  <c r="EE24" i="8" s="1"/>
  <c r="FA24" i="8" s="1"/>
  <c r="FX24" i="8" s="1"/>
  <c r="GI22" i="8"/>
  <c r="ER23" i="8"/>
  <c r="FO23" i="8" s="1"/>
  <c r="FB23" i="8"/>
  <c r="FY23" i="8" s="1"/>
  <c r="FA23" i="8"/>
  <c r="FX23" i="8" s="1"/>
  <c r="GG22" i="8"/>
  <c r="EM23" i="8"/>
  <c r="FJ23" i="8" s="1"/>
  <c r="EP23" i="8"/>
  <c r="FM23" i="8" s="1"/>
  <c r="EZ23" i="8"/>
  <c r="FW23" i="8" s="1"/>
  <c r="EQ23" i="8"/>
  <c r="FN23" i="8" s="1"/>
  <c r="EO23" i="8"/>
  <c r="FL23" i="8" s="1"/>
  <c r="EJ23" i="8"/>
  <c r="FG23" i="8" s="1"/>
  <c r="EN23" i="8"/>
  <c r="FK23" i="8" s="1"/>
  <c r="GD22" i="8"/>
  <c r="EY23" i="8"/>
  <c r="FV23" i="8" s="1"/>
  <c r="GS22" i="8"/>
  <c r="EI23" i="8"/>
  <c r="FF23" i="8" s="1"/>
  <c r="EL23" i="8"/>
  <c r="FI23" i="8" s="1"/>
  <c r="GC22" i="8"/>
  <c r="HB17" i="8"/>
  <c r="HB15" i="8"/>
  <c r="HB18" i="8"/>
  <c r="HB21" i="8"/>
  <c r="HB8" i="8"/>
  <c r="HB6" i="8"/>
  <c r="HB7" i="8"/>
  <c r="HB19" i="8"/>
  <c r="HB20" i="8"/>
  <c r="K19" i="8"/>
  <c r="HB16" i="8"/>
  <c r="HB10" i="8"/>
  <c r="HB5" i="8"/>
  <c r="U10" i="8"/>
  <c r="HB14" i="8"/>
  <c r="GE25" i="8"/>
  <c r="GM25" i="8"/>
  <c r="GU25" i="8"/>
  <c r="GF25" i="8"/>
  <c r="GN25" i="8"/>
  <c r="GV25" i="8"/>
  <c r="GK25" i="8"/>
  <c r="GW25" i="8"/>
  <c r="GL25" i="8"/>
  <c r="GG25" i="8"/>
  <c r="GQ25" i="8"/>
  <c r="GH25" i="8"/>
  <c r="GJ25" i="8"/>
  <c r="GO25" i="8"/>
  <c r="GP25" i="8"/>
  <c r="GR25" i="8"/>
  <c r="GC25" i="8"/>
  <c r="GS25" i="8"/>
  <c r="GD25" i="8"/>
  <c r="GI25" i="8"/>
  <c r="GT25" i="8"/>
  <c r="HB25" i="8"/>
  <c r="HA25" i="8"/>
  <c r="K25" i="8" s="1"/>
  <c r="HB11" i="8"/>
  <c r="HB13" i="8"/>
  <c r="U13" i="8"/>
  <c r="AY24" i="8"/>
  <c r="BV24" i="8" s="1"/>
  <c r="AI24" i="8"/>
  <c r="BF24" i="8" s="1"/>
  <c r="AW24" i="8"/>
  <c r="BT24" i="8" s="1"/>
  <c r="AV24" i="8"/>
  <c r="BS24" i="8" s="1"/>
  <c r="AH24" i="8"/>
  <c r="BE24" i="8" s="1"/>
  <c r="AT24" i="8"/>
  <c r="BQ24" i="8" s="1"/>
  <c r="AS24" i="8"/>
  <c r="BP24" i="8" s="1"/>
  <c r="AR24" i="8"/>
  <c r="BO24" i="8" s="1"/>
  <c r="AU24" i="8"/>
  <c r="BR24" i="8" s="1"/>
  <c r="AQ24" i="8"/>
  <c r="BN24" i="8" s="1"/>
  <c r="AP24" i="8"/>
  <c r="BM24" i="8" s="1"/>
  <c r="AO24" i="8"/>
  <c r="BL24" i="8" s="1"/>
  <c r="AN24" i="8"/>
  <c r="BK24" i="8" s="1"/>
  <c r="V19" i="8"/>
  <c r="BB24" i="8"/>
  <c r="BY24" i="8" s="1"/>
  <c r="AL24" i="8"/>
  <c r="BI24" i="8" s="1"/>
  <c r="BA24" i="8"/>
  <c r="BX24" i="8" s="1"/>
  <c r="AK24" i="8"/>
  <c r="BH24" i="8" s="1"/>
  <c r="AX24" i="8"/>
  <c r="BU24" i="8" s="1"/>
  <c r="AJ24" i="8"/>
  <c r="BG24" i="8" s="1"/>
  <c r="AM24" i="8"/>
  <c r="BJ24" i="8" s="1"/>
  <c r="ET26" i="8"/>
  <c r="CP26" i="8"/>
  <c r="AL26" i="8"/>
  <c r="BB26" i="8"/>
  <c r="EU26" i="8"/>
  <c r="EV26" i="8"/>
  <c r="CR26" i="8"/>
  <c r="EH26" i="8"/>
  <c r="EX26" i="8"/>
  <c r="CT26" i="8"/>
  <c r="AP26" i="8"/>
  <c r="EI26" i="8"/>
  <c r="EY26" i="8"/>
  <c r="EJ26" i="8"/>
  <c r="EZ26" i="8"/>
  <c r="CV26" i="8"/>
  <c r="AR26" i="8"/>
  <c r="EL26" i="8"/>
  <c r="FB26" i="8"/>
  <c r="EK26" i="8"/>
  <c r="FA26" i="8"/>
  <c r="CW26" i="8"/>
  <c r="AS26" i="8"/>
  <c r="EN26" i="8"/>
  <c r="CJ26" i="8"/>
  <c r="CZ26" i="8"/>
  <c r="AV26" i="8"/>
  <c r="ER26" i="8"/>
  <c r="CN26" i="8"/>
  <c r="AJ26" i="8"/>
  <c r="AZ26" i="8"/>
  <c r="CH26" i="8"/>
  <c r="CI26" i="8"/>
  <c r="CK26" i="8"/>
  <c r="EM26" i="8"/>
  <c r="CL26" i="8"/>
  <c r="AH26" i="8"/>
  <c r="EO26" i="8"/>
  <c r="CM26" i="8"/>
  <c r="AI26" i="8"/>
  <c r="EW26" i="8"/>
  <c r="CU26" i="8"/>
  <c r="AO26" i="8"/>
  <c r="CX26" i="8"/>
  <c r="AQ26" i="8"/>
  <c r="CY26" i="8"/>
  <c r="AT26" i="8"/>
  <c r="DA26" i="8"/>
  <c r="AU26" i="8"/>
  <c r="EP26" i="8"/>
  <c r="EQ26" i="8"/>
  <c r="AW26" i="8"/>
  <c r="ES26" i="8"/>
  <c r="CO26" i="8"/>
  <c r="AK26" i="8"/>
  <c r="CQ26" i="8"/>
  <c r="AM26" i="8"/>
  <c r="DB26" i="8"/>
  <c r="CS26" i="8"/>
  <c r="AN26" i="8"/>
  <c r="AX26" i="8"/>
  <c r="AY26" i="8"/>
  <c r="BA26" i="8"/>
  <c r="CI24" i="8"/>
  <c r="DF24" i="8" s="1"/>
  <c r="CY24" i="8"/>
  <c r="DV24" i="8" s="1"/>
  <c r="CJ24" i="8"/>
  <c r="DG24" i="8" s="1"/>
  <c r="CZ24" i="8"/>
  <c r="DW24" i="8" s="1"/>
  <c r="CK24" i="8"/>
  <c r="DH24" i="8" s="1"/>
  <c r="DA24" i="8"/>
  <c r="DX24" i="8" s="1"/>
  <c r="CL24" i="8"/>
  <c r="DI24" i="8" s="1"/>
  <c r="DB24" i="8"/>
  <c r="DY24" i="8" s="1"/>
  <c r="CM24" i="8"/>
  <c r="DJ24" i="8" s="1"/>
  <c r="CN24" i="8"/>
  <c r="DK24" i="8" s="1"/>
  <c r="CO24" i="8"/>
  <c r="DL24" i="8" s="1"/>
  <c r="CP24" i="8"/>
  <c r="DM24" i="8" s="1"/>
  <c r="CV24" i="8"/>
  <c r="DS24" i="8" s="1"/>
  <c r="CQ24" i="8"/>
  <c r="DN24" i="8" s="1"/>
  <c r="CR24" i="8"/>
  <c r="DO24" i="8" s="1"/>
  <c r="CS24" i="8"/>
  <c r="DP24" i="8" s="1"/>
  <c r="CT24" i="8"/>
  <c r="DQ24" i="8" s="1"/>
  <c r="CU24" i="8"/>
  <c r="DR24" i="8" s="1"/>
  <c r="CW24" i="8"/>
  <c r="DT24" i="8" s="1"/>
  <c r="CH24" i="8"/>
  <c r="DE24" i="8" s="1"/>
  <c r="CX24" i="8"/>
  <c r="DU24" i="8" s="1"/>
  <c r="CN23" i="8"/>
  <c r="CO23" i="8"/>
  <c r="CP23" i="8"/>
  <c r="CQ23" i="8"/>
  <c r="DN23" i="8" s="1"/>
  <c r="CR23" i="8"/>
  <c r="CS23" i="8"/>
  <c r="CT23" i="8"/>
  <c r="CU23" i="8"/>
  <c r="CV23" i="8"/>
  <c r="CK23" i="8"/>
  <c r="CW23" i="8"/>
  <c r="CH23" i="8"/>
  <c r="DE23" i="8" s="1"/>
  <c r="CX23" i="8"/>
  <c r="DU23" i="8" s="1"/>
  <c r="CI23" i="8"/>
  <c r="CY23" i="8"/>
  <c r="DV23" i="8" s="1"/>
  <c r="CJ23" i="8"/>
  <c r="CZ23" i="8"/>
  <c r="DW23" i="8" s="1"/>
  <c r="DA23" i="8"/>
  <c r="DX23" i="8" s="1"/>
  <c r="CL23" i="8"/>
  <c r="DB23" i="8"/>
  <c r="DY23" i="8" s="1"/>
  <c r="CM23" i="8"/>
  <c r="K12" i="8"/>
  <c r="U12" i="8"/>
  <c r="K20" i="8"/>
  <c r="U20" i="8"/>
  <c r="V20" i="8" s="1"/>
  <c r="K11" i="8"/>
  <c r="U11" i="8"/>
  <c r="K8" i="8"/>
  <c r="U8" i="8"/>
  <c r="K14" i="8"/>
  <c r="U14" i="8"/>
  <c r="V15" i="8" s="1"/>
  <c r="K21" i="8"/>
  <c r="U21" i="8"/>
  <c r="K5" i="8"/>
  <c r="U5" i="8"/>
  <c r="K6" i="8"/>
  <c r="U6" i="8"/>
  <c r="V7" i="8" s="1"/>
  <c r="K9" i="8"/>
  <c r="U9" i="8"/>
  <c r="K17" i="8"/>
  <c r="U17" i="8"/>
  <c r="V18" i="8" s="1"/>
  <c r="K16" i="8"/>
  <c r="U16" i="8"/>
  <c r="K15" i="8"/>
  <c r="K10" i="8"/>
  <c r="K18" i="8"/>
  <c r="K7" i="8"/>
  <c r="K13" i="8"/>
  <c r="GZ26" i="8"/>
  <c r="FW26" i="8"/>
  <c r="FG26" i="8"/>
  <c r="FU26" i="8"/>
  <c r="FE26" i="8"/>
  <c r="FT26" i="8"/>
  <c r="FR26" i="8"/>
  <c r="FJ26" i="8"/>
  <c r="DP26" i="8"/>
  <c r="FH26" i="8"/>
  <c r="DN26" i="8"/>
  <c r="FD26" i="8"/>
  <c r="FF26" i="8"/>
  <c r="DM26" i="8"/>
  <c r="GB26" i="8"/>
  <c r="FY26" i="8"/>
  <c r="FX26" i="8"/>
  <c r="FS26" i="8"/>
  <c r="FP26" i="8"/>
  <c r="FM26" i="8"/>
  <c r="DX26" i="8"/>
  <c r="DE26" i="8"/>
  <c r="FK26" i="8"/>
  <c r="DV26" i="8"/>
  <c r="FI26" i="8"/>
  <c r="DU26" i="8"/>
  <c r="EG26" i="8"/>
  <c r="BD26" i="8"/>
  <c r="DS26" i="8"/>
  <c r="DR26" i="8"/>
  <c r="DO26" i="8"/>
  <c r="DK26" i="8"/>
  <c r="DJ26" i="8"/>
  <c r="FQ26" i="8"/>
  <c r="DH26" i="8"/>
  <c r="FO26" i="8"/>
  <c r="DG26" i="8"/>
  <c r="FN26" i="8"/>
  <c r="FL26" i="8"/>
  <c r="DD26" i="8"/>
  <c r="DY26" i="8"/>
  <c r="AG26" i="8"/>
  <c r="CG26" i="8"/>
  <c r="DW26" i="8"/>
  <c r="DT26" i="8"/>
  <c r="DQ26" i="8"/>
  <c r="DI26" i="8"/>
  <c r="DL26" i="8"/>
  <c r="DF26" i="8"/>
  <c r="FV26" i="8"/>
  <c r="BL26" i="8"/>
  <c r="BM26" i="8"/>
  <c r="BN26" i="8"/>
  <c r="BO26" i="8"/>
  <c r="BI26" i="8"/>
  <c r="BY26" i="8"/>
  <c r="BE26" i="8"/>
  <c r="BW26" i="8"/>
  <c r="BF26" i="8"/>
  <c r="BG26" i="8"/>
  <c r="BH26" i="8"/>
  <c r="BJ26" i="8"/>
  <c r="BV26" i="8"/>
  <c r="BK26" i="8"/>
  <c r="BT26" i="8"/>
  <c r="BP26" i="8"/>
  <c r="BQ26" i="8"/>
  <c r="BR26" i="8"/>
  <c r="BU26" i="8"/>
  <c r="BS26" i="8"/>
  <c r="BX26" i="8"/>
  <c r="AA27" i="8"/>
  <c r="AD26" i="8"/>
  <c r="EB26" i="8" a="1"/>
  <c r="EB26" i="8" s="1"/>
  <c r="CB26" i="8" a="1"/>
  <c r="CB26" i="8" s="1"/>
  <c r="EC26" i="8"/>
  <c r="AB26" i="8" a="1"/>
  <c r="AB26" i="8" s="1"/>
  <c r="CC26" i="8"/>
  <c r="EE26" i="8"/>
  <c r="CE26" i="8"/>
  <c r="CD26" i="8"/>
  <c r="ED26" i="8"/>
  <c r="AE26" i="8"/>
  <c r="AC26" i="8"/>
  <c r="T26" i="8"/>
  <c r="N26" i="8"/>
  <c r="I27" i="8"/>
  <c r="U27" i="8" s="1"/>
  <c r="X26" i="8"/>
  <c r="J26" i="8"/>
  <c r="V26" i="8"/>
  <c r="P26" i="8"/>
  <c r="O26" i="8"/>
  <c r="L26" i="8"/>
  <c r="M26" i="8" a="1"/>
  <c r="M26" i="8" s="1"/>
  <c r="W25" i="8" a="1"/>
  <c r="W25" i="8" s="1"/>
  <c r="S26" i="8"/>
  <c r="GS23" i="8" l="1"/>
  <c r="GC23" i="8"/>
  <c r="EX24" i="8"/>
  <c r="FU24" i="8" s="1"/>
  <c r="EW24" i="8"/>
  <c r="FT24" i="8" s="1"/>
  <c r="EI24" i="8"/>
  <c r="FF24" i="8" s="1"/>
  <c r="GD24" i="8" s="1"/>
  <c r="EU24" i="8"/>
  <c r="FR24" i="8" s="1"/>
  <c r="ET24" i="8"/>
  <c r="FQ24" i="8" s="1"/>
  <c r="EK24" i="8"/>
  <c r="FH24" i="8" s="1"/>
  <c r="GF24" i="8" s="1"/>
  <c r="EH24" i="8"/>
  <c r="FE24" i="8" s="1"/>
  <c r="ES24" i="8"/>
  <c r="FP24" i="8" s="1"/>
  <c r="GN24" i="8" s="1"/>
  <c r="GL23" i="8"/>
  <c r="EV24" i="8"/>
  <c r="FS24" i="8" s="1"/>
  <c r="V13" i="8"/>
  <c r="EZ24" i="8"/>
  <c r="FW24" i="8" s="1"/>
  <c r="GU24" i="8" s="1"/>
  <c r="EJ24" i="8"/>
  <c r="FG24" i="8" s="1"/>
  <c r="GE24" i="8" s="1"/>
  <c r="V10" i="8"/>
  <c r="GU23" i="8"/>
  <c r="EY24" i="8"/>
  <c r="FV24" i="8" s="1"/>
  <c r="GT24" i="8" s="1"/>
  <c r="HA22" i="8"/>
  <c r="EQ24" i="8"/>
  <c r="FN24" i="8" s="1"/>
  <c r="GL24" i="8" s="1"/>
  <c r="EP24" i="8"/>
  <c r="FM24" i="8" s="1"/>
  <c r="GK24" i="8" s="1"/>
  <c r="ER24" i="8"/>
  <c r="FO24" i="8" s="1"/>
  <c r="GM24" i="8" s="1"/>
  <c r="EO24" i="8"/>
  <c r="FL24" i="8" s="1"/>
  <c r="GJ24" i="8" s="1"/>
  <c r="EN24" i="8"/>
  <c r="FK24" i="8" s="1"/>
  <c r="GW23" i="8"/>
  <c r="EM24" i="8"/>
  <c r="FJ24" i="8" s="1"/>
  <c r="GH24" i="8" s="1"/>
  <c r="FB24" i="8"/>
  <c r="FY24" i="8" s="1"/>
  <c r="GW24" i="8" s="1"/>
  <c r="EL24" i="8"/>
  <c r="FI24" i="8" s="1"/>
  <c r="GG24" i="8" s="1"/>
  <c r="GV23" i="8"/>
  <c r="GT23" i="8"/>
  <c r="GV24" i="8"/>
  <c r="GP24" i="8"/>
  <c r="HA26" i="8"/>
  <c r="K26" i="8" s="1"/>
  <c r="HB26" i="8"/>
  <c r="GH26" i="8"/>
  <c r="GP26" i="8"/>
  <c r="GI26" i="8"/>
  <c r="GQ26" i="8"/>
  <c r="GL26" i="8"/>
  <c r="GV26" i="8"/>
  <c r="GC26" i="8"/>
  <c r="GM26" i="8"/>
  <c r="GW26" i="8"/>
  <c r="GF26" i="8"/>
  <c r="GR26" i="8"/>
  <c r="GD26" i="8"/>
  <c r="GT26" i="8"/>
  <c r="GG26" i="8"/>
  <c r="GJ26" i="8"/>
  <c r="GK26" i="8"/>
  <c r="GN26" i="8"/>
  <c r="GO26" i="8"/>
  <c r="GE26" i="8"/>
  <c r="GS26" i="8"/>
  <c r="GU26" i="8"/>
  <c r="GO24" i="8"/>
  <c r="GI24" i="8"/>
  <c r="GC24" i="8"/>
  <c r="HB22" i="8"/>
  <c r="GQ24" i="8"/>
  <c r="GS24" i="8"/>
  <c r="GR24" i="8"/>
  <c r="V14" i="8"/>
  <c r="V12" i="8"/>
  <c r="EO27" i="8"/>
  <c r="CK27" i="8"/>
  <c r="DA27" i="8"/>
  <c r="AW27" i="8"/>
  <c r="EP27" i="8"/>
  <c r="EQ27" i="8"/>
  <c r="CM27" i="8"/>
  <c r="ES27" i="8"/>
  <c r="CO27" i="8"/>
  <c r="AK27" i="8"/>
  <c r="BA27" i="8"/>
  <c r="ET27" i="8"/>
  <c r="EU27" i="8"/>
  <c r="CQ27" i="8"/>
  <c r="AM27" i="8"/>
  <c r="EW27" i="8"/>
  <c r="EV27" i="8"/>
  <c r="CR27" i="8"/>
  <c r="AN27" i="8"/>
  <c r="EI27" i="8"/>
  <c r="EY27" i="8"/>
  <c r="CU27" i="8"/>
  <c r="AQ27" i="8"/>
  <c r="EM27" i="8"/>
  <c r="CI27" i="8"/>
  <c r="CY27" i="8"/>
  <c r="AU27" i="8"/>
  <c r="EZ27" i="8"/>
  <c r="CN27" i="8"/>
  <c r="AH27" i="8"/>
  <c r="FA27" i="8"/>
  <c r="CP27" i="8"/>
  <c r="AI27" i="8"/>
  <c r="FB27" i="8"/>
  <c r="CS27" i="8"/>
  <c r="AJ27" i="8"/>
  <c r="CT27" i="8"/>
  <c r="AL27" i="8"/>
  <c r="CV27" i="8"/>
  <c r="AO27" i="8"/>
  <c r="DB27" i="8"/>
  <c r="AT27" i="8"/>
  <c r="EH27" i="8"/>
  <c r="AV27" i="8"/>
  <c r="EJ27" i="8"/>
  <c r="AX27" i="8"/>
  <c r="EK27" i="8"/>
  <c r="AY27" i="8"/>
  <c r="EL27" i="8"/>
  <c r="ER27" i="8"/>
  <c r="EN27" i="8"/>
  <c r="EX27" i="8"/>
  <c r="CH27" i="8"/>
  <c r="CL27" i="8"/>
  <c r="CX27" i="8"/>
  <c r="CW27" i="8"/>
  <c r="AP27" i="8"/>
  <c r="AR27" i="8"/>
  <c r="CJ27" i="8"/>
  <c r="CZ27" i="8"/>
  <c r="AS27" i="8"/>
  <c r="AZ27" i="8"/>
  <c r="BB27" i="8"/>
  <c r="V11" i="8"/>
  <c r="V17" i="8"/>
  <c r="V9" i="8"/>
  <c r="L6" i="8"/>
  <c r="L5" i="8"/>
  <c r="V5" i="8"/>
  <c r="V6" i="8"/>
  <c r="V16" i="8"/>
  <c r="V8" i="8"/>
  <c r="V21" i="8"/>
  <c r="K22" i="8"/>
  <c r="U22" i="8"/>
  <c r="V22" i="8" s="1"/>
  <c r="L8" i="8"/>
  <c r="L7" i="8"/>
  <c r="GZ27" i="8"/>
  <c r="DK23" i="8"/>
  <c r="GI23" i="8" s="1"/>
  <c r="DS23" i="8"/>
  <c r="GQ23" i="8" s="1"/>
  <c r="DP23" i="8"/>
  <c r="GN23" i="8" s="1"/>
  <c r="DF23" i="8"/>
  <c r="GD23" i="8" s="1"/>
  <c r="DT23" i="8"/>
  <c r="GR23" i="8" s="1"/>
  <c r="DJ23" i="8"/>
  <c r="GH23" i="8" s="1"/>
  <c r="DI23" i="8"/>
  <c r="GG23" i="8" s="1"/>
  <c r="DH23" i="8"/>
  <c r="GF23" i="8" s="1"/>
  <c r="DQ23" i="8"/>
  <c r="GO23" i="8" s="1"/>
  <c r="DR23" i="8"/>
  <c r="GP23" i="8" s="1"/>
  <c r="DM23" i="8"/>
  <c r="GK23" i="8" s="1"/>
  <c r="DL23" i="8"/>
  <c r="GJ23" i="8" s="1"/>
  <c r="DO23" i="8"/>
  <c r="GM23" i="8" s="1"/>
  <c r="DG23" i="8"/>
  <c r="GE23" i="8" s="1"/>
  <c r="FR27" i="8"/>
  <c r="DD27" i="8"/>
  <c r="FP27" i="8"/>
  <c r="GB27" i="8"/>
  <c r="FO27" i="8"/>
  <c r="FM27" i="8"/>
  <c r="FI27" i="8"/>
  <c r="DK27" i="8"/>
  <c r="FG27" i="8"/>
  <c r="DY27" i="8"/>
  <c r="DI27" i="8"/>
  <c r="FF27" i="8"/>
  <c r="DX27" i="8"/>
  <c r="DH27" i="8"/>
  <c r="FX27" i="8"/>
  <c r="DV27" i="8"/>
  <c r="DF27" i="8"/>
  <c r="FW27" i="8"/>
  <c r="FU27" i="8"/>
  <c r="FS27" i="8"/>
  <c r="FY27" i="8"/>
  <c r="DU27" i="8"/>
  <c r="EG27" i="8"/>
  <c r="BD27" i="8"/>
  <c r="FV27" i="8"/>
  <c r="DT27" i="8"/>
  <c r="FQ27" i="8"/>
  <c r="DR27" i="8"/>
  <c r="FD27" i="8"/>
  <c r="FN27" i="8"/>
  <c r="DQ27" i="8"/>
  <c r="FK27" i="8"/>
  <c r="DO27" i="8"/>
  <c r="FH27" i="8"/>
  <c r="DM27" i="8"/>
  <c r="CG27" i="8"/>
  <c r="FE27" i="8"/>
  <c r="DL27" i="8"/>
  <c r="DG27" i="8"/>
  <c r="DE27" i="8"/>
  <c r="DW27" i="8"/>
  <c r="AG27" i="8"/>
  <c r="DS27" i="8"/>
  <c r="DP27" i="8"/>
  <c r="DN27" i="8"/>
  <c r="DJ27" i="8"/>
  <c r="FL27" i="8"/>
  <c r="FT27" i="8"/>
  <c r="FJ27" i="8"/>
  <c r="BG27" i="8"/>
  <c r="BW27" i="8"/>
  <c r="BH27" i="8"/>
  <c r="BX27" i="8"/>
  <c r="BJ27" i="8"/>
  <c r="BT27" i="8"/>
  <c r="BF27" i="8"/>
  <c r="BK27" i="8"/>
  <c r="BI27" i="8"/>
  <c r="BL27" i="8"/>
  <c r="BM27" i="8"/>
  <c r="BU27" i="8"/>
  <c r="BN27" i="8"/>
  <c r="BO27" i="8"/>
  <c r="BP27" i="8"/>
  <c r="BY27" i="8"/>
  <c r="BQ27" i="8"/>
  <c r="BS27" i="8"/>
  <c r="BV27" i="8"/>
  <c r="BR27" i="8"/>
  <c r="BE27" i="8"/>
  <c r="AA28" i="8"/>
  <c r="ED27" i="8"/>
  <c r="AC27" i="8"/>
  <c r="AB27" i="8" a="1"/>
  <c r="AB27" i="8" s="1"/>
  <c r="EC27" i="8"/>
  <c r="CB27" i="8" a="1"/>
  <c r="CB27" i="8" s="1"/>
  <c r="AE27" i="8"/>
  <c r="AD27" i="8"/>
  <c r="EB27" i="8" a="1"/>
  <c r="EB27" i="8" s="1"/>
  <c r="CE27" i="8"/>
  <c r="CC27" i="8"/>
  <c r="EE27" i="8"/>
  <c r="CD27" i="8"/>
  <c r="P27" i="8"/>
  <c r="O27" i="8"/>
  <c r="N27" i="8"/>
  <c r="I28" i="8"/>
  <c r="U28" i="8" s="1"/>
  <c r="X27" i="8"/>
  <c r="V27" i="8"/>
  <c r="T27" i="8"/>
  <c r="M27" i="8" a="1"/>
  <c r="M27" i="8" s="1"/>
  <c r="L27" i="8"/>
  <c r="J27" i="8"/>
  <c r="W26" i="8" a="1"/>
  <c r="W26" i="8" s="1"/>
  <c r="S27" i="8"/>
  <c r="HA23" i="8" l="1"/>
  <c r="HB23" i="8" s="1"/>
  <c r="HB27" i="8"/>
  <c r="HA27" i="8"/>
  <c r="K27" i="8" s="1"/>
  <c r="GC27" i="8"/>
  <c r="GK27" i="8"/>
  <c r="GS27" i="8"/>
  <c r="GD27" i="8"/>
  <c r="GL27" i="8"/>
  <c r="GT27" i="8"/>
  <c r="GM27" i="8"/>
  <c r="GW27" i="8"/>
  <c r="GN27" i="8"/>
  <c r="GG27" i="8"/>
  <c r="GQ27" i="8"/>
  <c r="GP27" i="8"/>
  <c r="GE27" i="8"/>
  <c r="GU27" i="8"/>
  <c r="GF27" i="8"/>
  <c r="GV27" i="8"/>
  <c r="GH27" i="8"/>
  <c r="GI27" i="8"/>
  <c r="GJ27" i="8"/>
  <c r="GO27" i="8"/>
  <c r="GR27" i="8"/>
  <c r="HA24" i="8"/>
  <c r="EJ28" i="8"/>
  <c r="EZ28" i="8"/>
  <c r="CV28" i="8"/>
  <c r="AR28" i="8"/>
  <c r="EK28" i="8"/>
  <c r="FA28" i="8"/>
  <c r="EL28" i="8"/>
  <c r="FB28" i="8"/>
  <c r="CH28" i="8"/>
  <c r="CX28" i="8"/>
  <c r="EN28" i="8"/>
  <c r="CJ28" i="8"/>
  <c r="CZ28" i="8"/>
  <c r="AV28" i="8"/>
  <c r="EO28" i="8"/>
  <c r="EP28" i="8"/>
  <c r="CL28" i="8"/>
  <c r="DB28" i="8"/>
  <c r="AH28" i="8"/>
  <c r="AX28" i="8"/>
  <c r="ER28" i="8"/>
  <c r="EQ28" i="8"/>
  <c r="CM28" i="8"/>
  <c r="AI28" i="8"/>
  <c r="AY28" i="8"/>
  <c r="ET28" i="8"/>
  <c r="CP28" i="8"/>
  <c r="AL28" i="8"/>
  <c r="BB28" i="8"/>
  <c r="EH28" i="8"/>
  <c r="EX28" i="8"/>
  <c r="CT28" i="8"/>
  <c r="AP28" i="8"/>
  <c r="CU28" i="8"/>
  <c r="AM28" i="8"/>
  <c r="CW28" i="8"/>
  <c r="AN28" i="8"/>
  <c r="CY28" i="8"/>
  <c r="AO28" i="8"/>
  <c r="EI28" i="8"/>
  <c r="DA28" i="8"/>
  <c r="AQ28" i="8"/>
  <c r="EM28" i="8"/>
  <c r="AS28" i="8"/>
  <c r="EW28" i="8"/>
  <c r="AZ28" i="8"/>
  <c r="EY28" i="8"/>
  <c r="CI28" i="8"/>
  <c r="BA28" i="8"/>
  <c r="CK28" i="8"/>
  <c r="CN28" i="8"/>
  <c r="CR28" i="8"/>
  <c r="AJ28" i="8"/>
  <c r="AT28" i="8"/>
  <c r="AU28" i="8"/>
  <c r="ES28" i="8"/>
  <c r="AW28" i="8"/>
  <c r="EU28" i="8"/>
  <c r="EV28" i="8"/>
  <c r="AK28" i="8"/>
  <c r="CO28" i="8"/>
  <c r="CQ28" i="8"/>
  <c r="CS28" i="8"/>
  <c r="GZ28" i="8"/>
  <c r="FO28" i="8"/>
  <c r="FN28" i="8"/>
  <c r="GB28" i="8"/>
  <c r="FY28" i="8"/>
  <c r="FI28" i="8"/>
  <c r="FW28" i="8"/>
  <c r="FG28" i="8"/>
  <c r="FQ28" i="8"/>
  <c r="FM28" i="8"/>
  <c r="DD28" i="8"/>
  <c r="FL28" i="8"/>
  <c r="FJ28" i="8"/>
  <c r="FE28" i="8"/>
  <c r="FP28" i="8"/>
  <c r="DV28" i="8"/>
  <c r="DF28" i="8"/>
  <c r="FH28" i="8"/>
  <c r="DT28" i="8"/>
  <c r="FF28" i="8"/>
  <c r="DS28" i="8"/>
  <c r="FD28" i="8"/>
  <c r="DQ28" i="8"/>
  <c r="FX28" i="8"/>
  <c r="FR28" i="8"/>
  <c r="DE28" i="8"/>
  <c r="AG28" i="8"/>
  <c r="DX28" i="8"/>
  <c r="DW28" i="8"/>
  <c r="DR28" i="8"/>
  <c r="DP28" i="8"/>
  <c r="DN28" i="8"/>
  <c r="DL28" i="8"/>
  <c r="DK28" i="8"/>
  <c r="FU28" i="8"/>
  <c r="DI28" i="8"/>
  <c r="FT28" i="8"/>
  <c r="DH28" i="8"/>
  <c r="DJ28" i="8"/>
  <c r="DG28" i="8"/>
  <c r="BD28" i="8"/>
  <c r="EG28" i="8"/>
  <c r="FV28" i="8"/>
  <c r="FS28" i="8"/>
  <c r="FK28" i="8"/>
  <c r="CG28" i="8"/>
  <c r="DY28" i="8"/>
  <c r="DU28" i="8"/>
  <c r="DM28" i="8"/>
  <c r="DO28" i="8"/>
  <c r="BR28" i="8"/>
  <c r="BS28" i="8"/>
  <c r="BE28" i="8"/>
  <c r="BU28" i="8"/>
  <c r="BO28" i="8"/>
  <c r="BH28" i="8"/>
  <c r="BI28" i="8"/>
  <c r="BJ28" i="8"/>
  <c r="BK28" i="8"/>
  <c r="BL28" i="8"/>
  <c r="BV28" i="8"/>
  <c r="BM28" i="8"/>
  <c r="BX28" i="8"/>
  <c r="BY28" i="8"/>
  <c r="BN28" i="8"/>
  <c r="BP28" i="8"/>
  <c r="BQ28" i="8"/>
  <c r="BT28" i="8"/>
  <c r="BW28" i="8"/>
  <c r="BF28" i="8"/>
  <c r="BG28" i="8"/>
  <c r="AA29" i="8"/>
  <c r="CB28" i="8" a="1"/>
  <c r="CB28" i="8" s="1"/>
  <c r="AC28" i="8"/>
  <c r="EE28" i="8"/>
  <c r="EB28" i="8" a="1"/>
  <c r="EB28" i="8" s="1"/>
  <c r="CD28" i="8"/>
  <c r="CC28" i="8"/>
  <c r="AD28" i="8"/>
  <c r="AB28" i="8" a="1"/>
  <c r="AB28" i="8" s="1"/>
  <c r="AE28" i="8"/>
  <c r="EC28" i="8"/>
  <c r="ED28" i="8"/>
  <c r="CE28" i="8"/>
  <c r="S28" i="8"/>
  <c r="W27" i="8" a="1"/>
  <c r="W27" i="8" s="1"/>
  <c r="M28" i="8" a="1"/>
  <c r="M28" i="8" s="1"/>
  <c r="I29" i="8"/>
  <c r="U29" i="8" s="1"/>
  <c r="L28" i="8"/>
  <c r="V28" i="8"/>
  <c r="T28" i="8"/>
  <c r="O28" i="8"/>
  <c r="N28" i="8"/>
  <c r="X28" i="8"/>
  <c r="P28" i="8"/>
  <c r="J28" i="8"/>
  <c r="HB24" i="8" l="1"/>
  <c r="GF28" i="8"/>
  <c r="GN28" i="8"/>
  <c r="GV28" i="8"/>
  <c r="GG28" i="8"/>
  <c r="GO28" i="8"/>
  <c r="GW28" i="8"/>
  <c r="GL28" i="8"/>
  <c r="GC28" i="8"/>
  <c r="GM28" i="8"/>
  <c r="GH28" i="8"/>
  <c r="GR28" i="8"/>
  <c r="GK28" i="8"/>
  <c r="GQ28" i="8"/>
  <c r="GS28" i="8"/>
  <c r="GD28" i="8"/>
  <c r="GT28" i="8"/>
  <c r="GE28" i="8"/>
  <c r="GU28" i="8"/>
  <c r="GI28" i="8"/>
  <c r="GJ28" i="8"/>
  <c r="GP28" i="8"/>
  <c r="HA28" i="8"/>
  <c r="K28" i="8" s="1"/>
  <c r="HB28" i="8"/>
  <c r="EU29" i="8"/>
  <c r="CQ29" i="8"/>
  <c r="AM29" i="8"/>
  <c r="EW29" i="8"/>
  <c r="EI29" i="8"/>
  <c r="EY29" i="8"/>
  <c r="CU29" i="8"/>
  <c r="AQ29" i="8"/>
  <c r="EJ29" i="8"/>
  <c r="EK29" i="8"/>
  <c r="FA29" i="8"/>
  <c r="CW29" i="8"/>
  <c r="AS29" i="8"/>
  <c r="EL29" i="8"/>
  <c r="FB29" i="8"/>
  <c r="CH29" i="8"/>
  <c r="CX29" i="8"/>
  <c r="AT29" i="8"/>
  <c r="EM29" i="8"/>
  <c r="EO29" i="8"/>
  <c r="CK29" i="8"/>
  <c r="DA29" i="8"/>
  <c r="AW29" i="8"/>
  <c r="ES29" i="8"/>
  <c r="CO29" i="8"/>
  <c r="AK29" i="8"/>
  <c r="BA29" i="8"/>
  <c r="EV29" i="8"/>
  <c r="DB29" i="8"/>
  <c r="AP29" i="8"/>
  <c r="EX29" i="8"/>
  <c r="AR29" i="8"/>
  <c r="EZ29" i="8"/>
  <c r="AU29" i="8"/>
  <c r="AV29" i="8"/>
  <c r="CI29" i="8"/>
  <c r="AX29" i="8"/>
  <c r="CN29" i="8"/>
  <c r="CP29" i="8"/>
  <c r="EH29" i="8"/>
  <c r="CR29" i="8"/>
  <c r="AH29" i="8"/>
  <c r="EN29" i="8"/>
  <c r="CS29" i="8"/>
  <c r="AI29" i="8"/>
  <c r="CJ29" i="8"/>
  <c r="CL29" i="8"/>
  <c r="CY29" i="8"/>
  <c r="CM29" i="8"/>
  <c r="CT29" i="8"/>
  <c r="AJ29" i="8"/>
  <c r="AN29" i="8"/>
  <c r="AY29" i="8"/>
  <c r="CV29" i="8"/>
  <c r="AL29" i="8"/>
  <c r="CZ29" i="8"/>
  <c r="AO29" i="8"/>
  <c r="AZ29" i="8"/>
  <c r="EP29" i="8"/>
  <c r="BB29" i="8"/>
  <c r="EQ29" i="8"/>
  <c r="ER29" i="8"/>
  <c r="ET29" i="8"/>
  <c r="K24" i="8"/>
  <c r="U24" i="8"/>
  <c r="K23" i="8"/>
  <c r="U23" i="8"/>
  <c r="L9" i="8"/>
  <c r="GZ29" i="8"/>
  <c r="FD29" i="8"/>
  <c r="FJ29" i="8"/>
  <c r="GB29" i="8"/>
  <c r="FY29" i="8"/>
  <c r="FI29" i="8"/>
  <c r="FT29" i="8"/>
  <c r="FR29" i="8"/>
  <c r="FP29" i="8"/>
  <c r="FN29" i="8"/>
  <c r="FM29" i="8"/>
  <c r="FK29" i="8"/>
  <c r="FF29" i="8"/>
  <c r="FW29" i="8"/>
  <c r="DQ29" i="8"/>
  <c r="FU29" i="8"/>
  <c r="DO29" i="8"/>
  <c r="FS29" i="8"/>
  <c r="DN29" i="8"/>
  <c r="DD29" i="8"/>
  <c r="FO29" i="8"/>
  <c r="DL29" i="8"/>
  <c r="FL29" i="8"/>
  <c r="FG29" i="8"/>
  <c r="DY29" i="8"/>
  <c r="DE29" i="8"/>
  <c r="EG29" i="8"/>
  <c r="BD29" i="8"/>
  <c r="DW29" i="8"/>
  <c r="DV29" i="8"/>
  <c r="DT29" i="8"/>
  <c r="DS29" i="8"/>
  <c r="FV29" i="8"/>
  <c r="DP29" i="8"/>
  <c r="CG29" i="8"/>
  <c r="FH29" i="8"/>
  <c r="DK29" i="8"/>
  <c r="FE29" i="8"/>
  <c r="DJ29" i="8"/>
  <c r="DH29" i="8"/>
  <c r="DG29" i="8"/>
  <c r="FQ29" i="8"/>
  <c r="DU29" i="8"/>
  <c r="AG29" i="8"/>
  <c r="FX29" i="8"/>
  <c r="DX29" i="8"/>
  <c r="DR29" i="8"/>
  <c r="DM29" i="8"/>
  <c r="DI29" i="8"/>
  <c r="DF29" i="8"/>
  <c r="BM29" i="8"/>
  <c r="BN29" i="8"/>
  <c r="BP29" i="8"/>
  <c r="BJ29" i="8"/>
  <c r="BG29" i="8"/>
  <c r="BH29" i="8"/>
  <c r="BI29" i="8"/>
  <c r="BK29" i="8"/>
  <c r="BL29" i="8"/>
  <c r="BO29" i="8"/>
  <c r="BV29" i="8"/>
  <c r="BQ29" i="8"/>
  <c r="BU29" i="8"/>
  <c r="BX29" i="8"/>
  <c r="BR29" i="8"/>
  <c r="BS29" i="8"/>
  <c r="BT29" i="8"/>
  <c r="BW29" i="8"/>
  <c r="BE29" i="8"/>
  <c r="BY29" i="8"/>
  <c r="BF29" i="8"/>
  <c r="AA30" i="8"/>
  <c r="AB29" i="8" a="1"/>
  <c r="AB29" i="8" s="1"/>
  <c r="EB29" i="8" a="1"/>
  <c r="EB29" i="8" s="1"/>
  <c r="CC29" i="8"/>
  <c r="EC29" i="8"/>
  <c r="CD29" i="8"/>
  <c r="CB29" i="8" a="1"/>
  <c r="CB29" i="8" s="1"/>
  <c r="CE29" i="8"/>
  <c r="ED29" i="8"/>
  <c r="EE29" i="8"/>
  <c r="AE29" i="8"/>
  <c r="AD29" i="8"/>
  <c r="AC29" i="8"/>
  <c r="J29" i="8"/>
  <c r="V29" i="8"/>
  <c r="P29" i="8"/>
  <c r="M29" i="8" a="1"/>
  <c r="M29" i="8" s="1"/>
  <c r="X29" i="8"/>
  <c r="I30" i="8"/>
  <c r="U30" i="8" s="1"/>
  <c r="T29" i="8"/>
  <c r="O29" i="8"/>
  <c r="N29" i="8"/>
  <c r="L29" i="8"/>
  <c r="S29" i="8"/>
  <c r="W28" i="8" a="1"/>
  <c r="W28" i="8" s="1"/>
  <c r="HB29" i="8" l="1"/>
  <c r="HA29" i="8"/>
  <c r="K29" i="8" s="1"/>
  <c r="GI29" i="8"/>
  <c r="GQ29" i="8"/>
  <c r="GJ29" i="8"/>
  <c r="GR29" i="8"/>
  <c r="GC29" i="8"/>
  <c r="GM29" i="8"/>
  <c r="GW29" i="8"/>
  <c r="GD29" i="8"/>
  <c r="GN29" i="8"/>
  <c r="GG29" i="8"/>
  <c r="GS29" i="8"/>
  <c r="GH29" i="8"/>
  <c r="GL29" i="8"/>
  <c r="GO29" i="8"/>
  <c r="GP29" i="8"/>
  <c r="GT29" i="8"/>
  <c r="GE29" i="8"/>
  <c r="GU29" i="8"/>
  <c r="GK29" i="8"/>
  <c r="GV29" i="8"/>
  <c r="GF29" i="8"/>
  <c r="EP30" i="8"/>
  <c r="CL30" i="8"/>
  <c r="DB30" i="8"/>
  <c r="AH30" i="8"/>
  <c r="AX30" i="8"/>
  <c r="ER30" i="8"/>
  <c r="ET30" i="8"/>
  <c r="CP30" i="8"/>
  <c r="AL30" i="8"/>
  <c r="BB30" i="8"/>
  <c r="EV30" i="8"/>
  <c r="CR30" i="8"/>
  <c r="AN30" i="8"/>
  <c r="EW30" i="8"/>
  <c r="CS30" i="8"/>
  <c r="AO30" i="8"/>
  <c r="EJ30" i="8"/>
  <c r="EZ30" i="8"/>
  <c r="CV30" i="8"/>
  <c r="AR30" i="8"/>
  <c r="EN30" i="8"/>
  <c r="CJ30" i="8"/>
  <c r="CZ30" i="8"/>
  <c r="AV30" i="8"/>
  <c r="AU30" i="8"/>
  <c r="CH30" i="8"/>
  <c r="AW30" i="8"/>
  <c r="CI30" i="8"/>
  <c r="AY30" i="8"/>
  <c r="EH30" i="8"/>
  <c r="CK30" i="8"/>
  <c r="AZ30" i="8"/>
  <c r="EI30" i="8"/>
  <c r="CM30" i="8"/>
  <c r="BA30" i="8"/>
  <c r="EO30" i="8"/>
  <c r="CT30" i="8"/>
  <c r="AI30" i="8"/>
  <c r="EQ30" i="8"/>
  <c r="CU30" i="8"/>
  <c r="ES30" i="8"/>
  <c r="CW30" i="8"/>
  <c r="AK30" i="8"/>
  <c r="EU30" i="8"/>
  <c r="CX30" i="8"/>
  <c r="AM30" i="8"/>
  <c r="EK30" i="8"/>
  <c r="AT30" i="8"/>
  <c r="EM30" i="8"/>
  <c r="EX30" i="8"/>
  <c r="CN30" i="8"/>
  <c r="EY30" i="8"/>
  <c r="FA30" i="8"/>
  <c r="FB30" i="8"/>
  <c r="CO30" i="8"/>
  <c r="CY30" i="8"/>
  <c r="AJ30" i="8"/>
  <c r="EL30" i="8"/>
  <c r="CQ30" i="8"/>
  <c r="DA30" i="8"/>
  <c r="AP30" i="8"/>
  <c r="AS30" i="8"/>
  <c r="AQ30" i="8"/>
  <c r="V24" i="8"/>
  <c r="V23" i="8"/>
  <c r="L10" i="8"/>
  <c r="GZ30" i="8"/>
  <c r="FD30" i="8"/>
  <c r="GB30" i="8"/>
  <c r="FU30" i="8"/>
  <c r="FE30" i="8"/>
  <c r="FT30" i="8"/>
  <c r="DD30" i="8"/>
  <c r="FO30" i="8"/>
  <c r="FM30" i="8"/>
  <c r="FQ30" i="8"/>
  <c r="FN30" i="8"/>
  <c r="FL30" i="8"/>
  <c r="FJ30" i="8"/>
  <c r="FG30" i="8"/>
  <c r="DL30" i="8"/>
  <c r="DJ30" i="8"/>
  <c r="DY30" i="8"/>
  <c r="DI30" i="8"/>
  <c r="FX30" i="8"/>
  <c r="DW30" i="8"/>
  <c r="DG30" i="8"/>
  <c r="FW30" i="8"/>
  <c r="FS30" i="8"/>
  <c r="FP30" i="8"/>
  <c r="FY30" i="8"/>
  <c r="FR30" i="8"/>
  <c r="DV30" i="8"/>
  <c r="AG30" i="8"/>
  <c r="FK30" i="8"/>
  <c r="DU30" i="8"/>
  <c r="FH30" i="8"/>
  <c r="DS30" i="8"/>
  <c r="FF30" i="8"/>
  <c r="DR30" i="8"/>
  <c r="DP30" i="8"/>
  <c r="DN30" i="8"/>
  <c r="DM30" i="8"/>
  <c r="DH30" i="8"/>
  <c r="DF30" i="8"/>
  <c r="DX30" i="8"/>
  <c r="DT30" i="8"/>
  <c r="DQ30" i="8"/>
  <c r="DK30" i="8"/>
  <c r="DO30" i="8"/>
  <c r="BD30" i="8"/>
  <c r="FV30" i="8"/>
  <c r="FI30" i="8"/>
  <c r="DE30" i="8"/>
  <c r="EG30" i="8"/>
  <c r="CG30" i="8"/>
  <c r="BH30" i="8"/>
  <c r="BX30" i="8"/>
  <c r="BI30" i="8"/>
  <c r="BY30" i="8"/>
  <c r="BK30" i="8"/>
  <c r="BE30" i="8"/>
  <c r="BU30" i="8"/>
  <c r="BG30" i="8"/>
  <c r="BL30" i="8"/>
  <c r="BJ30" i="8"/>
  <c r="BM30" i="8"/>
  <c r="BN30" i="8"/>
  <c r="BO30" i="8"/>
  <c r="BP30" i="8"/>
  <c r="BV30" i="8"/>
  <c r="BQ30" i="8"/>
  <c r="BR30" i="8"/>
  <c r="BS30" i="8"/>
  <c r="BT30" i="8"/>
  <c r="BW30" i="8"/>
  <c r="BF30" i="8"/>
  <c r="AA31" i="8"/>
  <c r="EB30" i="8" a="1"/>
  <c r="EB30" i="8" s="1"/>
  <c r="CD30" i="8"/>
  <c r="CC30" i="8"/>
  <c r="EE30" i="8"/>
  <c r="AD30" i="8"/>
  <c r="AB30" i="8" a="1"/>
  <c r="AB30" i="8" s="1"/>
  <c r="ED30" i="8"/>
  <c r="AE30" i="8"/>
  <c r="CE30" i="8"/>
  <c r="CB30" i="8" a="1"/>
  <c r="CB30" i="8" s="1"/>
  <c r="EC30" i="8"/>
  <c r="AC30" i="8"/>
  <c r="T30" i="8"/>
  <c r="P30" i="8"/>
  <c r="M30" i="8" a="1"/>
  <c r="M30" i="8" s="1"/>
  <c r="I31" i="8"/>
  <c r="U31" i="8" s="1"/>
  <c r="L30" i="8"/>
  <c r="J30" i="8"/>
  <c r="V30" i="8"/>
  <c r="O30" i="8"/>
  <c r="N30" i="8"/>
  <c r="X30" i="8"/>
  <c r="W29" i="8" a="1"/>
  <c r="W29" i="8" s="1"/>
  <c r="S30" i="8"/>
  <c r="GD30" i="8" l="1"/>
  <c r="GL30" i="8"/>
  <c r="GT30" i="8"/>
  <c r="GE30" i="8"/>
  <c r="GM30" i="8"/>
  <c r="GU30" i="8"/>
  <c r="GN30" i="8"/>
  <c r="GC30" i="8"/>
  <c r="GO30" i="8"/>
  <c r="GH30" i="8"/>
  <c r="GR30" i="8"/>
  <c r="GF30" i="8"/>
  <c r="GV30" i="8"/>
  <c r="GI30" i="8"/>
  <c r="GJ30" i="8"/>
  <c r="GK30" i="8"/>
  <c r="GP30" i="8"/>
  <c r="GQ30" i="8"/>
  <c r="GS30" i="8"/>
  <c r="GG30" i="8"/>
  <c r="GW30" i="8"/>
  <c r="HB30" i="8"/>
  <c r="HA30" i="8"/>
  <c r="K30" i="8" s="1"/>
  <c r="EK31" i="8"/>
  <c r="FA31" i="8"/>
  <c r="CW31" i="8"/>
  <c r="AS31" i="8"/>
  <c r="EM31" i="8"/>
  <c r="EO31" i="8"/>
  <c r="CK31" i="8"/>
  <c r="DA31" i="8"/>
  <c r="AW31" i="8"/>
  <c r="EQ31" i="8"/>
  <c r="CM31" i="8"/>
  <c r="AI31" i="8"/>
  <c r="AY31" i="8"/>
  <c r="ER31" i="8"/>
  <c r="CN31" i="8"/>
  <c r="AJ31" i="8"/>
  <c r="AZ31" i="8"/>
  <c r="EU31" i="8"/>
  <c r="CQ31" i="8"/>
  <c r="AM31" i="8"/>
  <c r="EI31" i="8"/>
  <c r="EY31" i="8"/>
  <c r="CU31" i="8"/>
  <c r="AQ31" i="8"/>
  <c r="EH31" i="8"/>
  <c r="CJ31" i="8"/>
  <c r="BA31" i="8"/>
  <c r="EJ31" i="8"/>
  <c r="CL31" i="8"/>
  <c r="BB31" i="8"/>
  <c r="EL31" i="8"/>
  <c r="CO31" i="8"/>
  <c r="EN31" i="8"/>
  <c r="CP31" i="8"/>
  <c r="EP31" i="8"/>
  <c r="CR31" i="8"/>
  <c r="EW31" i="8"/>
  <c r="CX31" i="8"/>
  <c r="AN31" i="8"/>
  <c r="EX31" i="8"/>
  <c r="CY31" i="8"/>
  <c r="AO31" i="8"/>
  <c r="EZ31" i="8"/>
  <c r="CZ31" i="8"/>
  <c r="AP31" i="8"/>
  <c r="FB31" i="8"/>
  <c r="DB31" i="8"/>
  <c r="AR31" i="8"/>
  <c r="CS31" i="8"/>
  <c r="AH31" i="8"/>
  <c r="CV31" i="8"/>
  <c r="AK31" i="8"/>
  <c r="AL31" i="8"/>
  <c r="AT31" i="8"/>
  <c r="AU31" i="8"/>
  <c r="AV31" i="8"/>
  <c r="ES31" i="8"/>
  <c r="AX31" i="8"/>
  <c r="ET31" i="8"/>
  <c r="EV31" i="8"/>
  <c r="CT31" i="8"/>
  <c r="CH31" i="8"/>
  <c r="CI31" i="8"/>
  <c r="L11" i="8"/>
  <c r="GZ31" i="8"/>
  <c r="FP31" i="8"/>
  <c r="FO31" i="8"/>
  <c r="FJ31" i="8"/>
  <c r="FX31" i="8"/>
  <c r="FH31" i="8"/>
  <c r="FR31" i="8"/>
  <c r="GB31" i="8"/>
  <c r="FN31" i="8"/>
  <c r="FM31" i="8"/>
  <c r="DD31" i="8"/>
  <c r="FK31" i="8"/>
  <c r="FF31" i="8"/>
  <c r="FL31" i="8"/>
  <c r="DW31" i="8"/>
  <c r="DG31" i="8"/>
  <c r="FG31" i="8"/>
  <c r="DU31" i="8"/>
  <c r="DE31" i="8"/>
  <c r="FE31" i="8"/>
  <c r="DT31" i="8"/>
  <c r="DR31" i="8"/>
  <c r="FD31" i="8"/>
  <c r="FW31" i="8"/>
  <c r="DF31" i="8"/>
  <c r="DY31" i="8"/>
  <c r="DX31" i="8"/>
  <c r="AG31" i="8"/>
  <c r="DS31" i="8"/>
  <c r="DQ31" i="8"/>
  <c r="CG31" i="8"/>
  <c r="DO31" i="8"/>
  <c r="FV31" i="8"/>
  <c r="DM31" i="8"/>
  <c r="FU31" i="8"/>
  <c r="DL31" i="8"/>
  <c r="FS31" i="8"/>
  <c r="DJ31" i="8"/>
  <c r="FQ31" i="8"/>
  <c r="DI31" i="8"/>
  <c r="FY31" i="8"/>
  <c r="FT31" i="8"/>
  <c r="BD31" i="8"/>
  <c r="DH31" i="8"/>
  <c r="FI31" i="8"/>
  <c r="EG31" i="8"/>
  <c r="DP31" i="8"/>
  <c r="DV31" i="8"/>
  <c r="DN31" i="8"/>
  <c r="DK31" i="8"/>
  <c r="BS31" i="8"/>
  <c r="BT31" i="8"/>
  <c r="BF31" i="8"/>
  <c r="BV31" i="8"/>
  <c r="BP31" i="8"/>
  <c r="BI31" i="8"/>
  <c r="BL31" i="8"/>
  <c r="BJ31" i="8"/>
  <c r="BK31" i="8"/>
  <c r="BM31" i="8"/>
  <c r="BN31" i="8"/>
  <c r="BO31" i="8"/>
  <c r="BR31" i="8"/>
  <c r="BQ31" i="8"/>
  <c r="BW31" i="8"/>
  <c r="BX31" i="8"/>
  <c r="BY31" i="8"/>
  <c r="BU31" i="8"/>
  <c r="BE31" i="8"/>
  <c r="BG31" i="8"/>
  <c r="BH31" i="8"/>
  <c r="AA32" i="8"/>
  <c r="CD31" i="8"/>
  <c r="AE31" i="8"/>
  <c r="CC31" i="8"/>
  <c r="AB31" i="8" a="1"/>
  <c r="AB31" i="8" s="1"/>
  <c r="EC31" i="8"/>
  <c r="EB31" i="8" a="1"/>
  <c r="EB31" i="8" s="1"/>
  <c r="ED31" i="8"/>
  <c r="AD31" i="8"/>
  <c r="CB31" i="8" a="1"/>
  <c r="CB31" i="8" s="1"/>
  <c r="AC31" i="8"/>
  <c r="CE31" i="8"/>
  <c r="EE31" i="8"/>
  <c r="M31" i="8" a="1"/>
  <c r="M31" i="8" s="1"/>
  <c r="L31" i="8"/>
  <c r="J31" i="8"/>
  <c r="V31" i="8"/>
  <c r="T31" i="8"/>
  <c r="P31" i="8"/>
  <c r="O31" i="8"/>
  <c r="I32" i="8"/>
  <c r="U32" i="8" s="1"/>
  <c r="X31" i="8"/>
  <c r="N31" i="8"/>
  <c r="W30" i="8" a="1"/>
  <c r="W30" i="8" s="1"/>
  <c r="S31" i="8"/>
  <c r="HA31" i="8" l="1"/>
  <c r="K31" i="8" s="1"/>
  <c r="HB31" i="8"/>
  <c r="GG31" i="8"/>
  <c r="GO31" i="8"/>
  <c r="GW31" i="8"/>
  <c r="GH31" i="8"/>
  <c r="GP31" i="8"/>
  <c r="GC31" i="8"/>
  <c r="GM31" i="8"/>
  <c r="GD31" i="8"/>
  <c r="GN31" i="8"/>
  <c r="GI31" i="8"/>
  <c r="GS31" i="8"/>
  <c r="GR31" i="8"/>
  <c r="GE31" i="8"/>
  <c r="GU31" i="8"/>
  <c r="GF31" i="8"/>
  <c r="GV31" i="8"/>
  <c r="GJ31" i="8"/>
  <c r="GK31" i="8"/>
  <c r="GL31" i="8"/>
  <c r="GQ31" i="8"/>
  <c r="GT31" i="8"/>
  <c r="EV32" i="8"/>
  <c r="CR32" i="8"/>
  <c r="AN32" i="8"/>
  <c r="EH32" i="8"/>
  <c r="EX32" i="8"/>
  <c r="EJ32" i="8"/>
  <c r="EZ32" i="8"/>
  <c r="CV32" i="8"/>
  <c r="AR32" i="8"/>
  <c r="EL32" i="8"/>
  <c r="FB32" i="8"/>
  <c r="CH32" i="8"/>
  <c r="CX32" i="8"/>
  <c r="AT32" i="8"/>
  <c r="EM32" i="8"/>
  <c r="CI32" i="8"/>
  <c r="CY32" i="8"/>
  <c r="AU32" i="8"/>
  <c r="EP32" i="8"/>
  <c r="CL32" i="8"/>
  <c r="DB32" i="8"/>
  <c r="AH32" i="8"/>
  <c r="AX32" i="8"/>
  <c r="ET32" i="8"/>
  <c r="CP32" i="8"/>
  <c r="AL32" i="8"/>
  <c r="BB32" i="8"/>
  <c r="EQ32" i="8"/>
  <c r="CO32" i="8"/>
  <c r="ER32" i="8"/>
  <c r="CQ32" i="8"/>
  <c r="ES32" i="8"/>
  <c r="CS32" i="8"/>
  <c r="AI32" i="8"/>
  <c r="EU32" i="8"/>
  <c r="CT32" i="8"/>
  <c r="AJ32" i="8"/>
  <c r="EW32" i="8"/>
  <c r="CU32" i="8"/>
  <c r="AK32" i="8"/>
  <c r="AQ32" i="8"/>
  <c r="AS32" i="8"/>
  <c r="AV32" i="8"/>
  <c r="AW32" i="8"/>
  <c r="CJ32" i="8"/>
  <c r="AO32" i="8"/>
  <c r="CK32" i="8"/>
  <c r="CM32" i="8"/>
  <c r="DA32" i="8"/>
  <c r="CN32" i="8"/>
  <c r="CW32" i="8"/>
  <c r="AM32" i="8"/>
  <c r="CZ32" i="8"/>
  <c r="EI32" i="8"/>
  <c r="AP32" i="8"/>
  <c r="AY32" i="8"/>
  <c r="AZ32" i="8"/>
  <c r="EK32" i="8"/>
  <c r="EN32" i="8"/>
  <c r="EO32" i="8"/>
  <c r="BA32" i="8"/>
  <c r="FA32" i="8"/>
  <c r="EY32" i="8"/>
  <c r="L12" i="8"/>
  <c r="GZ32" i="8"/>
  <c r="GB32" i="8"/>
  <c r="FD32" i="8"/>
  <c r="FK32" i="8"/>
  <c r="FJ32" i="8"/>
  <c r="FU32" i="8"/>
  <c r="FE32" i="8"/>
  <c r="DD32" i="8"/>
  <c r="FS32" i="8"/>
  <c r="FQ32" i="8"/>
  <c r="FO32" i="8"/>
  <c r="FN32" i="8"/>
  <c r="FL32" i="8"/>
  <c r="FG32" i="8"/>
  <c r="FW32" i="8"/>
  <c r="DR32" i="8"/>
  <c r="FT32" i="8"/>
  <c r="DP32" i="8"/>
  <c r="FR32" i="8"/>
  <c r="DO32" i="8"/>
  <c r="FM32" i="8"/>
  <c r="DM32" i="8"/>
  <c r="FI32" i="8"/>
  <c r="FF32" i="8"/>
  <c r="DF32" i="8"/>
  <c r="DX32" i="8"/>
  <c r="DW32" i="8"/>
  <c r="FX32" i="8"/>
  <c r="DU32" i="8"/>
  <c r="CG32" i="8"/>
  <c r="FV32" i="8"/>
  <c r="DT32" i="8"/>
  <c r="FH32" i="8"/>
  <c r="DQ32" i="8"/>
  <c r="DL32" i="8"/>
  <c r="DK32" i="8"/>
  <c r="DI32" i="8"/>
  <c r="DH32" i="8"/>
  <c r="FY32" i="8"/>
  <c r="FP32" i="8"/>
  <c r="BD32" i="8"/>
  <c r="DN32" i="8"/>
  <c r="EG32" i="8"/>
  <c r="DY32" i="8"/>
  <c r="DV32" i="8"/>
  <c r="DS32" i="8"/>
  <c r="AG32" i="8"/>
  <c r="DJ32" i="8"/>
  <c r="DG32" i="8"/>
  <c r="DE32" i="8"/>
  <c r="BN32" i="8"/>
  <c r="BO32" i="8"/>
  <c r="BQ32" i="8"/>
  <c r="BK32" i="8"/>
  <c r="BH32" i="8"/>
  <c r="BJ32" i="8"/>
  <c r="BI32" i="8"/>
  <c r="BL32" i="8"/>
  <c r="BM32" i="8"/>
  <c r="BW32" i="8"/>
  <c r="BY32" i="8"/>
  <c r="BP32" i="8"/>
  <c r="BR32" i="8"/>
  <c r="BV32" i="8"/>
  <c r="BS32" i="8"/>
  <c r="BT32" i="8"/>
  <c r="BE32" i="8"/>
  <c r="BU32" i="8"/>
  <c r="BX32" i="8"/>
  <c r="BF32" i="8"/>
  <c r="BG32" i="8"/>
  <c r="AA33" i="8"/>
  <c r="CE32" i="8"/>
  <c r="AC32" i="8"/>
  <c r="CB32" i="8" a="1"/>
  <c r="CB32" i="8" s="1"/>
  <c r="EE32" i="8"/>
  <c r="AB32" i="8" a="1"/>
  <c r="AB32" i="8" s="1"/>
  <c r="EC32" i="8"/>
  <c r="CD32" i="8"/>
  <c r="ED32" i="8"/>
  <c r="AE32" i="8"/>
  <c r="AD32" i="8"/>
  <c r="EB32" i="8" a="1"/>
  <c r="EB32" i="8" s="1"/>
  <c r="CC32" i="8"/>
  <c r="W31" i="8" a="1"/>
  <c r="W31" i="8" s="1"/>
  <c r="S32" i="8"/>
  <c r="X32" i="8"/>
  <c r="J32" i="8"/>
  <c r="T32" i="8"/>
  <c r="O32" i="8"/>
  <c r="N32" i="8"/>
  <c r="M32" i="8" a="1"/>
  <c r="M32" i="8" s="1"/>
  <c r="L32" i="8"/>
  <c r="P32" i="8"/>
  <c r="V32" i="8"/>
  <c r="I33" i="8"/>
  <c r="U33" i="8" s="1"/>
  <c r="GJ32" i="8" l="1"/>
  <c r="GR32" i="8"/>
  <c r="GC32" i="8"/>
  <c r="GK32" i="8"/>
  <c r="GS32" i="8"/>
  <c r="GD32" i="8"/>
  <c r="GN32" i="8"/>
  <c r="GE32" i="8"/>
  <c r="GO32" i="8"/>
  <c r="GH32" i="8"/>
  <c r="GT32" i="8"/>
  <c r="GM32" i="8"/>
  <c r="GQ32" i="8"/>
  <c r="GU32" i="8"/>
  <c r="GV32" i="8"/>
  <c r="GF32" i="8"/>
  <c r="GG32" i="8"/>
  <c r="GW32" i="8"/>
  <c r="GI32" i="8"/>
  <c r="GP32" i="8"/>
  <c r="GL32" i="8"/>
  <c r="HB32" i="8"/>
  <c r="HA32" i="8"/>
  <c r="K32" i="8" s="1"/>
  <c r="EQ33" i="8"/>
  <c r="CM33" i="8"/>
  <c r="AI33" i="8"/>
  <c r="AY33" i="8"/>
  <c r="ES33" i="8"/>
  <c r="EU33" i="8"/>
  <c r="CQ33" i="8"/>
  <c r="AM33" i="8"/>
  <c r="EW33" i="8"/>
  <c r="CS33" i="8"/>
  <c r="AO33" i="8"/>
  <c r="EH33" i="8"/>
  <c r="EX33" i="8"/>
  <c r="CT33" i="8"/>
  <c r="AP33" i="8"/>
  <c r="EK33" i="8"/>
  <c r="FA33" i="8"/>
  <c r="CW33" i="8"/>
  <c r="AS33" i="8"/>
  <c r="EO33" i="8"/>
  <c r="CK33" i="8"/>
  <c r="DA33" i="8"/>
  <c r="AW33" i="8"/>
  <c r="EY33" i="8"/>
  <c r="CU33" i="8"/>
  <c r="AJ33" i="8"/>
  <c r="EZ33" i="8"/>
  <c r="CV33" i="8"/>
  <c r="AK33" i="8"/>
  <c r="FB33" i="8"/>
  <c r="CX33" i="8"/>
  <c r="AL33" i="8"/>
  <c r="CY33" i="8"/>
  <c r="AN33" i="8"/>
  <c r="CZ33" i="8"/>
  <c r="AQ33" i="8"/>
  <c r="EJ33" i="8"/>
  <c r="CH33" i="8"/>
  <c r="AV33" i="8"/>
  <c r="EL33" i="8"/>
  <c r="CI33" i="8"/>
  <c r="AX33" i="8"/>
  <c r="EM33" i="8"/>
  <c r="CJ33" i="8"/>
  <c r="AZ33" i="8"/>
  <c r="EN33" i="8"/>
  <c r="CL33" i="8"/>
  <c r="BA33" i="8"/>
  <c r="EI33" i="8"/>
  <c r="AT33" i="8"/>
  <c r="ER33" i="8"/>
  <c r="BB33" i="8"/>
  <c r="ET33" i="8"/>
  <c r="EV33" i="8"/>
  <c r="CN33" i="8"/>
  <c r="CP33" i="8"/>
  <c r="CO33" i="8"/>
  <c r="CR33" i="8"/>
  <c r="EP33" i="8"/>
  <c r="AU33" i="8"/>
  <c r="DB33" i="8"/>
  <c r="AH33" i="8"/>
  <c r="AR33" i="8"/>
  <c r="L13" i="8"/>
  <c r="GZ33" i="8"/>
  <c r="GB33" i="8"/>
  <c r="FV33" i="8"/>
  <c r="FF33" i="8"/>
  <c r="FD33" i="8"/>
  <c r="FU33" i="8"/>
  <c r="FE33" i="8"/>
  <c r="FP33" i="8"/>
  <c r="FN33" i="8"/>
  <c r="FR33" i="8"/>
  <c r="FO33" i="8"/>
  <c r="FM33" i="8"/>
  <c r="FK33" i="8"/>
  <c r="DD33" i="8"/>
  <c r="FH33" i="8"/>
  <c r="DM33" i="8"/>
  <c r="DK33" i="8"/>
  <c r="DJ33" i="8"/>
  <c r="FX33" i="8"/>
  <c r="DX33" i="8"/>
  <c r="DH33" i="8"/>
  <c r="FW33" i="8"/>
  <c r="FS33" i="8"/>
  <c r="FL33" i="8"/>
  <c r="FQ33" i="8"/>
  <c r="DE33" i="8"/>
  <c r="FI33" i="8"/>
  <c r="DW33" i="8"/>
  <c r="FG33" i="8"/>
  <c r="DV33" i="8"/>
  <c r="DT33" i="8"/>
  <c r="AG33" i="8"/>
  <c r="DS33" i="8"/>
  <c r="DQ33" i="8"/>
  <c r="DO33" i="8"/>
  <c r="DN33" i="8"/>
  <c r="DI33" i="8"/>
  <c r="FY33" i="8"/>
  <c r="DG33" i="8"/>
  <c r="DR33" i="8"/>
  <c r="BD33" i="8"/>
  <c r="DP33" i="8"/>
  <c r="CG33" i="8"/>
  <c r="DL33" i="8"/>
  <c r="EG33" i="8"/>
  <c r="DF33" i="8"/>
  <c r="DU33" i="8"/>
  <c r="FT33" i="8"/>
  <c r="FJ33" i="8"/>
  <c r="DY33" i="8"/>
  <c r="BI33" i="8"/>
  <c r="BY33" i="8"/>
  <c r="BJ33" i="8"/>
  <c r="BL33" i="8"/>
  <c r="BF33" i="8"/>
  <c r="BV33" i="8"/>
  <c r="BH33" i="8"/>
  <c r="BK33" i="8"/>
  <c r="BM33" i="8"/>
  <c r="BN33" i="8"/>
  <c r="BX33" i="8"/>
  <c r="BO33" i="8"/>
  <c r="BP33" i="8"/>
  <c r="BQ33" i="8"/>
  <c r="BR33" i="8"/>
  <c r="BS33" i="8"/>
  <c r="BU33" i="8"/>
  <c r="BT33" i="8"/>
  <c r="BW33" i="8"/>
  <c r="BE33" i="8"/>
  <c r="BG33" i="8"/>
  <c r="AA34" i="8"/>
  <c r="AB33" i="8" a="1"/>
  <c r="AB33" i="8" s="1"/>
  <c r="CB33" i="8" a="1"/>
  <c r="CB33" i="8" s="1"/>
  <c r="AD33" i="8"/>
  <c r="CC33" i="8"/>
  <c r="AE33" i="8"/>
  <c r="CD33" i="8"/>
  <c r="EB33" i="8" a="1"/>
  <c r="EB33" i="8" s="1"/>
  <c r="EE33" i="8"/>
  <c r="AC33" i="8"/>
  <c r="EC33" i="8"/>
  <c r="ED33" i="8"/>
  <c r="CE33" i="8"/>
  <c r="O33" i="8"/>
  <c r="N33" i="8"/>
  <c r="L33" i="8"/>
  <c r="I34" i="8"/>
  <c r="U34" i="8" s="1"/>
  <c r="J33" i="8"/>
  <c r="X33" i="8"/>
  <c r="V33" i="8"/>
  <c r="T33" i="8"/>
  <c r="P33" i="8"/>
  <c r="M33" i="8" a="1"/>
  <c r="M33" i="8" s="1"/>
  <c r="W32" i="8" a="1"/>
  <c r="W32" i="8" s="1"/>
  <c r="S33" i="8"/>
  <c r="GE33" i="8" l="1"/>
  <c r="GM33" i="8"/>
  <c r="GU33" i="8"/>
  <c r="GF33" i="8"/>
  <c r="GN33" i="8"/>
  <c r="GV33" i="8"/>
  <c r="GC33" i="8"/>
  <c r="GO33" i="8"/>
  <c r="GD33" i="8"/>
  <c r="GP33" i="8"/>
  <c r="GI33" i="8"/>
  <c r="GS33" i="8"/>
  <c r="GJ33" i="8"/>
  <c r="GL33" i="8"/>
  <c r="GQ33" i="8"/>
  <c r="GR33" i="8"/>
  <c r="GT33" i="8"/>
  <c r="GG33" i="8"/>
  <c r="GW33" i="8"/>
  <c r="GH33" i="8"/>
  <c r="GK33" i="8"/>
  <c r="HB33" i="8"/>
  <c r="HA33" i="8"/>
  <c r="K33" i="8" s="1"/>
  <c r="EL34" i="8"/>
  <c r="FB34" i="8"/>
  <c r="CH34" i="8"/>
  <c r="CX34" i="8"/>
  <c r="AT34" i="8"/>
  <c r="EN34" i="8"/>
  <c r="EP34" i="8"/>
  <c r="CL34" i="8"/>
  <c r="DB34" i="8"/>
  <c r="AH34" i="8"/>
  <c r="AX34" i="8"/>
  <c r="ER34" i="8"/>
  <c r="CN34" i="8"/>
  <c r="AJ34" i="8"/>
  <c r="AZ34" i="8"/>
  <c r="ES34" i="8"/>
  <c r="CO34" i="8"/>
  <c r="AK34" i="8"/>
  <c r="BA34" i="8"/>
  <c r="EV34" i="8"/>
  <c r="CR34" i="8"/>
  <c r="AN34" i="8"/>
  <c r="EJ34" i="8"/>
  <c r="EZ34" i="8"/>
  <c r="CV34" i="8"/>
  <c r="AR34" i="8"/>
  <c r="CY34" i="8"/>
  <c r="AO34" i="8"/>
  <c r="CZ34" i="8"/>
  <c r="AP34" i="8"/>
  <c r="DA34" i="8"/>
  <c r="AQ34" i="8"/>
  <c r="EH34" i="8"/>
  <c r="AS34" i="8"/>
  <c r="EI34" i="8"/>
  <c r="AU34" i="8"/>
  <c r="EQ34" i="8"/>
  <c r="CK34" i="8"/>
  <c r="BB34" i="8"/>
  <c r="ET34" i="8"/>
  <c r="CM34" i="8"/>
  <c r="EU34" i="8"/>
  <c r="CP34" i="8"/>
  <c r="EW34" i="8"/>
  <c r="CQ34" i="8"/>
  <c r="CJ34" i="8"/>
  <c r="CT34" i="8"/>
  <c r="CU34" i="8"/>
  <c r="AI34" i="8"/>
  <c r="EO34" i="8"/>
  <c r="AW34" i="8"/>
  <c r="CW34" i="8"/>
  <c r="AL34" i="8"/>
  <c r="EK34" i="8"/>
  <c r="AM34" i="8"/>
  <c r="AY34" i="8"/>
  <c r="EY34" i="8"/>
  <c r="EM34" i="8"/>
  <c r="AV34" i="8"/>
  <c r="EX34" i="8"/>
  <c r="FA34" i="8"/>
  <c r="CS34" i="8"/>
  <c r="CI34" i="8"/>
  <c r="L14" i="8"/>
  <c r="L15" i="8"/>
  <c r="GZ34" i="8"/>
  <c r="FQ34" i="8"/>
  <c r="FP34" i="8"/>
  <c r="FK34" i="8"/>
  <c r="FY34" i="8"/>
  <c r="FI34" i="8"/>
  <c r="FS34" i="8"/>
  <c r="FO34" i="8"/>
  <c r="FN34" i="8"/>
  <c r="FL34" i="8"/>
  <c r="FG34" i="8"/>
  <c r="FJ34" i="8"/>
  <c r="DX34" i="8"/>
  <c r="DH34" i="8"/>
  <c r="FF34" i="8"/>
  <c r="DV34" i="8"/>
  <c r="DF34" i="8"/>
  <c r="FE34" i="8"/>
  <c r="DU34" i="8"/>
  <c r="DE34" i="8"/>
  <c r="DS34" i="8"/>
  <c r="DD34" i="8"/>
  <c r="FW34" i="8"/>
  <c r="DG34" i="8"/>
  <c r="DY34" i="8"/>
  <c r="CG34" i="8"/>
  <c r="GB34" i="8"/>
  <c r="DT34" i="8"/>
  <c r="DR34" i="8"/>
  <c r="FV34" i="8"/>
  <c r="DP34" i="8"/>
  <c r="FT34" i="8"/>
  <c r="DN34" i="8"/>
  <c r="FR34" i="8"/>
  <c r="DM34" i="8"/>
  <c r="EG34" i="8"/>
  <c r="FH34" i="8"/>
  <c r="DK34" i="8"/>
  <c r="DJ34" i="8"/>
  <c r="FD34" i="8"/>
  <c r="AG34" i="8"/>
  <c r="DW34" i="8"/>
  <c r="BD34" i="8"/>
  <c r="FX34" i="8"/>
  <c r="DQ34" i="8"/>
  <c r="FU34" i="8"/>
  <c r="DO34" i="8"/>
  <c r="FM34" i="8"/>
  <c r="DL34" i="8"/>
  <c r="DI34" i="8"/>
  <c r="BT34" i="8"/>
  <c r="BE34" i="8"/>
  <c r="BU34" i="8"/>
  <c r="BG34" i="8"/>
  <c r="BW34" i="8"/>
  <c r="BQ34" i="8"/>
  <c r="BJ34" i="8"/>
  <c r="BL34" i="8"/>
  <c r="BM34" i="8"/>
  <c r="BK34" i="8"/>
  <c r="BN34" i="8"/>
  <c r="BO34" i="8"/>
  <c r="BX34" i="8"/>
  <c r="BP34" i="8"/>
  <c r="BS34" i="8"/>
  <c r="BR34" i="8"/>
  <c r="BF34" i="8"/>
  <c r="BY34" i="8"/>
  <c r="BV34" i="8"/>
  <c r="BH34" i="8"/>
  <c r="BI34" i="8"/>
  <c r="AA35" i="8"/>
  <c r="AB34" i="8" a="1"/>
  <c r="AB34" i="8" s="1"/>
  <c r="CE34" i="8"/>
  <c r="EC34" i="8"/>
  <c r="CD34" i="8"/>
  <c r="AC34" i="8"/>
  <c r="AD34" i="8"/>
  <c r="EE34" i="8"/>
  <c r="CB34" i="8" a="1"/>
  <c r="CB34" i="8" s="1"/>
  <c r="CC34" i="8"/>
  <c r="ED34" i="8"/>
  <c r="EB34" i="8" a="1"/>
  <c r="EB34" i="8" s="1"/>
  <c r="AE34" i="8"/>
  <c r="P34" i="8"/>
  <c r="O34" i="8"/>
  <c r="L34" i="8"/>
  <c r="I35" i="8"/>
  <c r="U35" i="8" s="1"/>
  <c r="J34" i="8"/>
  <c r="V34" i="8"/>
  <c r="M34" i="8" a="1"/>
  <c r="M34" i="8" s="1"/>
  <c r="X34" i="8"/>
  <c r="T34" i="8"/>
  <c r="N34" i="8"/>
  <c r="S34" i="8"/>
  <c r="W33" i="8" a="1"/>
  <c r="W33" i="8" s="1"/>
  <c r="GH34" i="8" l="1"/>
  <c r="GP34" i="8"/>
  <c r="GI34" i="8"/>
  <c r="GQ34" i="8"/>
  <c r="GD34" i="8"/>
  <c r="GN34" i="8"/>
  <c r="GE34" i="8"/>
  <c r="GO34" i="8"/>
  <c r="GJ34" i="8"/>
  <c r="GT34" i="8"/>
  <c r="GF34" i="8"/>
  <c r="GV34" i="8"/>
  <c r="GK34" i="8"/>
  <c r="GL34" i="8"/>
  <c r="GM34" i="8"/>
  <c r="GR34" i="8"/>
  <c r="GS34" i="8"/>
  <c r="GU34" i="8"/>
  <c r="GW34" i="8"/>
  <c r="GC34" i="8"/>
  <c r="GG34" i="8"/>
  <c r="HB34" i="8"/>
  <c r="HA34" i="8"/>
  <c r="K34" i="8" s="1"/>
  <c r="EW35" i="8"/>
  <c r="CS35" i="8"/>
  <c r="AO35" i="8"/>
  <c r="EI35" i="8"/>
  <c r="EY35" i="8"/>
  <c r="EK35" i="8"/>
  <c r="FA35" i="8"/>
  <c r="CW35" i="8"/>
  <c r="AS35" i="8"/>
  <c r="EM35" i="8"/>
  <c r="CI35" i="8"/>
  <c r="CY35" i="8"/>
  <c r="AU35" i="8"/>
  <c r="EN35" i="8"/>
  <c r="CJ35" i="8"/>
  <c r="CZ35" i="8"/>
  <c r="AV35" i="8"/>
  <c r="EQ35" i="8"/>
  <c r="CM35" i="8"/>
  <c r="AI35" i="8"/>
  <c r="AY35" i="8"/>
  <c r="EU35" i="8"/>
  <c r="CQ35" i="8"/>
  <c r="AM35" i="8"/>
  <c r="EJ35" i="8"/>
  <c r="AR35" i="8"/>
  <c r="EL35" i="8"/>
  <c r="AT35" i="8"/>
  <c r="EO35" i="8"/>
  <c r="AW35" i="8"/>
  <c r="EP35" i="8"/>
  <c r="CH35" i="8"/>
  <c r="AX35" i="8"/>
  <c r="ER35" i="8"/>
  <c r="CK35" i="8"/>
  <c r="AZ35" i="8"/>
  <c r="EX35" i="8"/>
  <c r="CP35" i="8"/>
  <c r="EZ35" i="8"/>
  <c r="CR35" i="8"/>
  <c r="AH35" i="8"/>
  <c r="FB35" i="8"/>
  <c r="CT35" i="8"/>
  <c r="AJ35" i="8"/>
  <c r="CU35" i="8"/>
  <c r="AK35" i="8"/>
  <c r="CL35" i="8"/>
  <c r="CO35" i="8"/>
  <c r="CN35" i="8"/>
  <c r="CX35" i="8"/>
  <c r="CV35" i="8"/>
  <c r="DA35" i="8"/>
  <c r="AN35" i="8"/>
  <c r="ES35" i="8"/>
  <c r="AQ35" i="8"/>
  <c r="EH35" i="8"/>
  <c r="DB35" i="8"/>
  <c r="AP35" i="8"/>
  <c r="ET35" i="8"/>
  <c r="BA35" i="8"/>
  <c r="EV35" i="8"/>
  <c r="BB35" i="8"/>
  <c r="AL35" i="8"/>
  <c r="L16" i="8"/>
  <c r="GZ35" i="8"/>
  <c r="GB35" i="8"/>
  <c r="FL35" i="8"/>
  <c r="FK35" i="8"/>
  <c r="FV35" i="8"/>
  <c r="FF35" i="8"/>
  <c r="FT35" i="8"/>
  <c r="FR35" i="8"/>
  <c r="FP35" i="8"/>
  <c r="FO35" i="8"/>
  <c r="FM35" i="8"/>
  <c r="DD35" i="8"/>
  <c r="FH35" i="8"/>
  <c r="FW35" i="8"/>
  <c r="DS35" i="8"/>
  <c r="FS35" i="8"/>
  <c r="DQ35" i="8"/>
  <c r="FQ35" i="8"/>
  <c r="DP35" i="8"/>
  <c r="FJ35" i="8"/>
  <c r="DN35" i="8"/>
  <c r="FI35" i="8"/>
  <c r="FD35" i="8"/>
  <c r="FE35" i="8"/>
  <c r="DG35" i="8"/>
  <c r="FY35" i="8"/>
  <c r="DY35" i="8"/>
  <c r="DE35" i="8"/>
  <c r="CG35" i="8"/>
  <c r="FX35" i="8"/>
  <c r="DX35" i="8"/>
  <c r="FN35" i="8"/>
  <c r="DV35" i="8"/>
  <c r="FG35" i="8"/>
  <c r="DU35" i="8"/>
  <c r="DR35" i="8"/>
  <c r="DM35" i="8"/>
  <c r="EG35" i="8"/>
  <c r="DL35" i="8"/>
  <c r="DJ35" i="8"/>
  <c r="DI35" i="8"/>
  <c r="DH35" i="8"/>
  <c r="DT35" i="8"/>
  <c r="DW35" i="8"/>
  <c r="DO35" i="8"/>
  <c r="DK35" i="8"/>
  <c r="DF35" i="8"/>
  <c r="AG35" i="8"/>
  <c r="FU35" i="8"/>
  <c r="BD35" i="8"/>
  <c r="BO35" i="8"/>
  <c r="BP35" i="8"/>
  <c r="BR35" i="8"/>
  <c r="BL35" i="8"/>
  <c r="BI35" i="8"/>
  <c r="BE35" i="8"/>
  <c r="BJ35" i="8"/>
  <c r="BK35" i="8"/>
  <c r="BM35" i="8"/>
  <c r="BF35" i="8"/>
  <c r="BY35" i="8"/>
  <c r="BN35" i="8"/>
  <c r="BQ35" i="8"/>
  <c r="BW35" i="8"/>
  <c r="BS35" i="8"/>
  <c r="BX35" i="8"/>
  <c r="BT35" i="8"/>
  <c r="BU35" i="8"/>
  <c r="BV35" i="8"/>
  <c r="BG35" i="8"/>
  <c r="BH35" i="8"/>
  <c r="AA36" i="8"/>
  <c r="AD35" i="8"/>
  <c r="EE35" i="8"/>
  <c r="AB35" i="8" a="1"/>
  <c r="AB35" i="8" s="1"/>
  <c r="ED35" i="8"/>
  <c r="EB35" i="8" a="1"/>
  <c r="EB35" i="8" s="1"/>
  <c r="EC35" i="8"/>
  <c r="AC35" i="8"/>
  <c r="AE35" i="8"/>
  <c r="CC35" i="8"/>
  <c r="CB35" i="8" a="1"/>
  <c r="CB35" i="8" s="1"/>
  <c r="CE35" i="8"/>
  <c r="CD35" i="8"/>
  <c r="W34" i="8" a="1"/>
  <c r="W34" i="8" s="1"/>
  <c r="S35" i="8"/>
  <c r="M35" i="8" a="1"/>
  <c r="M35" i="8" s="1"/>
  <c r="L35" i="8"/>
  <c r="J35" i="8"/>
  <c r="V35" i="8"/>
  <c r="T35" i="8"/>
  <c r="P35" i="8"/>
  <c r="O35" i="8"/>
  <c r="I36" i="8"/>
  <c r="U36" i="8" s="1"/>
  <c r="X35" i="8"/>
  <c r="N35" i="8"/>
  <c r="GC35" i="8" l="1"/>
  <c r="GK35" i="8"/>
  <c r="GS35" i="8"/>
  <c r="GD35" i="8"/>
  <c r="GL35" i="8"/>
  <c r="GT35" i="8"/>
  <c r="GE35" i="8"/>
  <c r="GO35" i="8"/>
  <c r="GF35" i="8"/>
  <c r="GP35" i="8"/>
  <c r="GI35" i="8"/>
  <c r="GU35" i="8"/>
  <c r="GR35" i="8"/>
  <c r="GG35" i="8"/>
  <c r="GW35" i="8"/>
  <c r="GH35" i="8"/>
  <c r="GJ35" i="8"/>
  <c r="GM35" i="8"/>
  <c r="GN35" i="8"/>
  <c r="GV35" i="8"/>
  <c r="GQ35" i="8"/>
  <c r="HA35" i="8"/>
  <c r="K35" i="8" s="1"/>
  <c r="HB35" i="8"/>
  <c r="ER36" i="8"/>
  <c r="CN36" i="8"/>
  <c r="AJ36" i="8"/>
  <c r="AZ36" i="8"/>
  <c r="ET36" i="8"/>
  <c r="EV36" i="8"/>
  <c r="CR36" i="8"/>
  <c r="AN36" i="8"/>
  <c r="EH36" i="8"/>
  <c r="EX36" i="8"/>
  <c r="CT36" i="8"/>
  <c r="AP36" i="8"/>
  <c r="EI36" i="8"/>
  <c r="EY36" i="8"/>
  <c r="CU36" i="8"/>
  <c r="AQ36" i="8"/>
  <c r="EL36" i="8"/>
  <c r="FB36" i="8"/>
  <c r="CH36" i="8"/>
  <c r="CX36" i="8"/>
  <c r="AT36" i="8"/>
  <c r="EP36" i="8"/>
  <c r="CL36" i="8"/>
  <c r="DB36" i="8"/>
  <c r="AH36" i="8"/>
  <c r="AX36" i="8"/>
  <c r="EQ36" i="8"/>
  <c r="CI36" i="8"/>
  <c r="AW36" i="8"/>
  <c r="ES36" i="8"/>
  <c r="CJ36" i="8"/>
  <c r="EU36" i="8"/>
  <c r="CK36" i="8"/>
  <c r="BA36" i="8"/>
  <c r="EW36" i="8"/>
  <c r="CM36" i="8"/>
  <c r="BB36" i="8"/>
  <c r="EZ36" i="8"/>
  <c r="CO36" i="8"/>
  <c r="CV36" i="8"/>
  <c r="AK36" i="8"/>
  <c r="CW36" i="8"/>
  <c r="AL36" i="8"/>
  <c r="CY36" i="8"/>
  <c r="AM36" i="8"/>
  <c r="EJ36" i="8"/>
  <c r="CZ36" i="8"/>
  <c r="AO36" i="8"/>
  <c r="EM36" i="8"/>
  <c r="AR36" i="8"/>
  <c r="EO36" i="8"/>
  <c r="AU36" i="8"/>
  <c r="FA36" i="8"/>
  <c r="AV36" i="8"/>
  <c r="AY36" i="8"/>
  <c r="CP36" i="8"/>
  <c r="EN36" i="8"/>
  <c r="CQ36" i="8"/>
  <c r="AI36" i="8"/>
  <c r="CS36" i="8"/>
  <c r="EK36" i="8"/>
  <c r="DA36" i="8"/>
  <c r="AS36" i="8"/>
  <c r="L17" i="8"/>
  <c r="L18" i="8"/>
  <c r="GZ36" i="8"/>
  <c r="FW36" i="8"/>
  <c r="FG36" i="8"/>
  <c r="FV36" i="8"/>
  <c r="FF36" i="8"/>
  <c r="FQ36" i="8"/>
  <c r="FO36" i="8"/>
  <c r="GB36" i="8"/>
  <c r="FS36" i="8"/>
  <c r="FP36" i="8"/>
  <c r="FN36" i="8"/>
  <c r="FL36" i="8"/>
  <c r="FI36" i="8"/>
  <c r="DN36" i="8"/>
  <c r="DL36" i="8"/>
  <c r="DK36" i="8"/>
  <c r="FX36" i="8"/>
  <c r="DY36" i="8"/>
  <c r="DI36" i="8"/>
  <c r="FU36" i="8"/>
  <c r="FR36" i="8"/>
  <c r="FK36" i="8"/>
  <c r="DD36" i="8"/>
  <c r="FH36" i="8"/>
  <c r="DF36" i="8"/>
  <c r="DX36" i="8"/>
  <c r="DW36" i="8"/>
  <c r="DU36" i="8"/>
  <c r="DT36" i="8"/>
  <c r="FD36" i="8"/>
  <c r="DR36" i="8"/>
  <c r="AG36" i="8"/>
  <c r="DP36" i="8"/>
  <c r="DO36" i="8"/>
  <c r="FT36" i="8"/>
  <c r="DJ36" i="8"/>
  <c r="FM36" i="8"/>
  <c r="DH36" i="8"/>
  <c r="DQ36" i="8"/>
  <c r="DM36" i="8"/>
  <c r="DG36" i="8"/>
  <c r="EG36" i="8"/>
  <c r="DE36" i="8"/>
  <c r="FJ36" i="8"/>
  <c r="FY36" i="8"/>
  <c r="FE36" i="8"/>
  <c r="CG36" i="8"/>
  <c r="DV36" i="8"/>
  <c r="BD36" i="8"/>
  <c r="DS36" i="8"/>
  <c r="BJ36" i="8"/>
  <c r="BK36" i="8"/>
  <c r="BM36" i="8"/>
  <c r="BG36" i="8"/>
  <c r="BW36" i="8"/>
  <c r="BI36" i="8"/>
  <c r="BO36" i="8"/>
  <c r="BL36" i="8"/>
  <c r="BN36" i="8"/>
  <c r="BP36" i="8"/>
  <c r="BQ36" i="8"/>
  <c r="BX36" i="8"/>
  <c r="BR36" i="8"/>
  <c r="BT36" i="8"/>
  <c r="BE36" i="8"/>
  <c r="BS36" i="8"/>
  <c r="BV36" i="8"/>
  <c r="BY36" i="8"/>
  <c r="BU36" i="8"/>
  <c r="BF36" i="8"/>
  <c r="BH36" i="8"/>
  <c r="AA37" i="8"/>
  <c r="EB36" i="8" a="1"/>
  <c r="EB36" i="8" s="1"/>
  <c r="EE36" i="8"/>
  <c r="CD36" i="8"/>
  <c r="AD36" i="8"/>
  <c r="ED36" i="8"/>
  <c r="AC36" i="8"/>
  <c r="EC36" i="8"/>
  <c r="AE36" i="8"/>
  <c r="AB36" i="8" a="1"/>
  <c r="AB36" i="8" s="1"/>
  <c r="CE36" i="8"/>
  <c r="CC36" i="8"/>
  <c r="CB36" i="8" a="1"/>
  <c r="CB36" i="8" s="1"/>
  <c r="W35" i="8" a="1"/>
  <c r="W35" i="8" s="1"/>
  <c r="S36" i="8"/>
  <c r="X36" i="8"/>
  <c r="J36" i="8"/>
  <c r="V36" i="8"/>
  <c r="T36" i="8"/>
  <c r="O36" i="8"/>
  <c r="N36" i="8"/>
  <c r="M36" i="8" a="1"/>
  <c r="M36" i="8" s="1"/>
  <c r="L36" i="8"/>
  <c r="I37" i="8"/>
  <c r="U37" i="8" s="1"/>
  <c r="P36" i="8"/>
  <c r="HB36" i="8" l="1"/>
  <c r="HA36" i="8"/>
  <c r="K36" i="8" s="1"/>
  <c r="GF36" i="8"/>
  <c r="GN36" i="8"/>
  <c r="GV36" i="8"/>
  <c r="GG36" i="8"/>
  <c r="GO36" i="8"/>
  <c r="GW36" i="8"/>
  <c r="GD36" i="8"/>
  <c r="GP36" i="8"/>
  <c r="GE36" i="8"/>
  <c r="GQ36" i="8"/>
  <c r="GJ36" i="8"/>
  <c r="GT36" i="8"/>
  <c r="GM36" i="8"/>
  <c r="GS36" i="8"/>
  <c r="GC36" i="8"/>
  <c r="GU36" i="8"/>
  <c r="GH36" i="8"/>
  <c r="GI36" i="8"/>
  <c r="GK36" i="8"/>
  <c r="GL36" i="8"/>
  <c r="GR36" i="8"/>
  <c r="EM37" i="8"/>
  <c r="CI37" i="8"/>
  <c r="CY37" i="8"/>
  <c r="AU37" i="8"/>
  <c r="EO37" i="8"/>
  <c r="EQ37" i="8"/>
  <c r="CM37" i="8"/>
  <c r="AI37" i="8"/>
  <c r="AY37" i="8"/>
  <c r="ES37" i="8"/>
  <c r="CO37" i="8"/>
  <c r="AK37" i="8"/>
  <c r="BA37" i="8"/>
  <c r="ET37" i="8"/>
  <c r="CP37" i="8"/>
  <c r="AL37" i="8"/>
  <c r="BB37" i="8"/>
  <c r="EW37" i="8"/>
  <c r="CS37" i="8"/>
  <c r="AO37" i="8"/>
  <c r="EK37" i="8"/>
  <c r="FA37" i="8"/>
  <c r="CW37" i="8"/>
  <c r="AS37" i="8"/>
  <c r="EY37" i="8"/>
  <c r="CL37" i="8"/>
  <c r="EZ37" i="8"/>
  <c r="CN37" i="8"/>
  <c r="FB37" i="8"/>
  <c r="CQ37" i="8"/>
  <c r="CR37" i="8"/>
  <c r="CT37" i="8"/>
  <c r="AH37" i="8"/>
  <c r="EJ37" i="8"/>
  <c r="CZ37" i="8"/>
  <c r="AP37" i="8"/>
  <c r="EL37" i="8"/>
  <c r="DA37" i="8"/>
  <c r="AQ37" i="8"/>
  <c r="EN37" i="8"/>
  <c r="DB37" i="8"/>
  <c r="AR37" i="8"/>
  <c r="EP37" i="8"/>
  <c r="AT37" i="8"/>
  <c r="CH37" i="8"/>
  <c r="CK37" i="8"/>
  <c r="CU37" i="8"/>
  <c r="EU37" i="8"/>
  <c r="AV37" i="8"/>
  <c r="EH37" i="8"/>
  <c r="CV37" i="8"/>
  <c r="EI37" i="8"/>
  <c r="CX37" i="8"/>
  <c r="AJ37" i="8"/>
  <c r="AN37" i="8"/>
  <c r="ER37" i="8"/>
  <c r="AM37" i="8"/>
  <c r="EV37" i="8"/>
  <c r="AX37" i="8"/>
  <c r="AZ37" i="8"/>
  <c r="EX37" i="8"/>
  <c r="AW37" i="8"/>
  <c r="CJ37" i="8"/>
  <c r="L19" i="8"/>
  <c r="GZ37" i="8"/>
  <c r="DD37" i="8"/>
  <c r="FT37" i="8"/>
  <c r="FR37" i="8"/>
  <c r="FQ37" i="8"/>
  <c r="FL37" i="8"/>
  <c r="FJ37" i="8"/>
  <c r="FD37" i="8"/>
  <c r="FU37" i="8"/>
  <c r="FP37" i="8"/>
  <c r="FO37" i="8"/>
  <c r="FM37" i="8"/>
  <c r="FH37" i="8"/>
  <c r="FI37" i="8"/>
  <c r="DY37" i="8"/>
  <c r="DI37" i="8"/>
  <c r="FF37" i="8"/>
  <c r="DW37" i="8"/>
  <c r="DG37" i="8"/>
  <c r="GB37" i="8"/>
  <c r="FE37" i="8"/>
  <c r="DV37" i="8"/>
  <c r="DF37" i="8"/>
  <c r="DT37" i="8"/>
  <c r="FX37" i="8"/>
  <c r="DH37" i="8"/>
  <c r="CG37" i="8"/>
  <c r="FY37" i="8"/>
  <c r="DU37" i="8"/>
  <c r="FW37" i="8"/>
  <c r="DS37" i="8"/>
  <c r="FS37" i="8"/>
  <c r="DQ37" i="8"/>
  <c r="EG37" i="8"/>
  <c r="BD37" i="8"/>
  <c r="FK37" i="8"/>
  <c r="DO37" i="8"/>
  <c r="FG37" i="8"/>
  <c r="DN37" i="8"/>
  <c r="DL37" i="8"/>
  <c r="DK37" i="8"/>
  <c r="FV37" i="8"/>
  <c r="DX37" i="8"/>
  <c r="FN37" i="8"/>
  <c r="DR37" i="8"/>
  <c r="DP37" i="8"/>
  <c r="AG37" i="8"/>
  <c r="DM37" i="8"/>
  <c r="DE37" i="8"/>
  <c r="DJ37" i="8"/>
  <c r="BE37" i="8"/>
  <c r="BU37" i="8"/>
  <c r="BF37" i="8"/>
  <c r="BV37" i="8"/>
  <c r="BH37" i="8"/>
  <c r="BX37" i="8"/>
  <c r="BR37" i="8"/>
  <c r="BK37" i="8"/>
  <c r="BM37" i="8"/>
  <c r="BG37" i="8"/>
  <c r="BL37" i="8"/>
  <c r="BN37" i="8"/>
  <c r="BO37" i="8"/>
  <c r="BP37" i="8"/>
  <c r="BQ37" i="8"/>
  <c r="BY37" i="8"/>
  <c r="BS37" i="8"/>
  <c r="BT37" i="8"/>
  <c r="BW37" i="8"/>
  <c r="BI37" i="8"/>
  <c r="BJ37" i="8"/>
  <c r="AA38" i="8"/>
  <c r="EE37" i="8"/>
  <c r="AE37" i="8"/>
  <c r="AB37" i="8" a="1"/>
  <c r="AB37" i="8" s="1"/>
  <c r="CC37" i="8"/>
  <c r="AD37" i="8"/>
  <c r="AC37" i="8"/>
  <c r="CD37" i="8"/>
  <c r="CB37" i="8" a="1"/>
  <c r="CB37" i="8" s="1"/>
  <c r="EC37" i="8"/>
  <c r="EB37" i="8" a="1"/>
  <c r="EB37" i="8" s="1"/>
  <c r="ED37" i="8"/>
  <c r="CE37" i="8"/>
  <c r="W36" i="8" a="1"/>
  <c r="W36" i="8" s="1"/>
  <c r="S37" i="8"/>
  <c r="T37" i="8"/>
  <c r="O37" i="8"/>
  <c r="N37" i="8"/>
  <c r="L37" i="8"/>
  <c r="I38" i="8"/>
  <c r="U38" i="8" s="1"/>
  <c r="J37" i="8"/>
  <c r="X37" i="8"/>
  <c r="V37" i="8"/>
  <c r="P37" i="8"/>
  <c r="M37" i="8" a="1"/>
  <c r="M37" i="8" s="1"/>
  <c r="GI37" i="8" l="1"/>
  <c r="GJ37" i="8"/>
  <c r="GE37" i="8"/>
  <c r="GO37" i="8"/>
  <c r="GW37" i="8"/>
  <c r="GF37" i="8"/>
  <c r="GP37" i="8"/>
  <c r="GK37" i="8"/>
  <c r="GS37" i="8"/>
  <c r="GL37" i="8"/>
  <c r="GN37" i="8"/>
  <c r="GQ37" i="8"/>
  <c r="GR37" i="8"/>
  <c r="GC37" i="8"/>
  <c r="GD37" i="8"/>
  <c r="GT37" i="8"/>
  <c r="GG37" i="8"/>
  <c r="GU37" i="8"/>
  <c r="GH37" i="8"/>
  <c r="GM37" i="8"/>
  <c r="GV37" i="8"/>
  <c r="HB37" i="8"/>
  <c r="HA37" i="8"/>
  <c r="K37" i="8" s="1"/>
  <c r="EH38" i="8"/>
  <c r="EX38" i="8"/>
  <c r="CT38" i="8"/>
  <c r="AP38" i="8"/>
  <c r="EJ38" i="8"/>
  <c r="EZ38" i="8"/>
  <c r="EL38" i="8"/>
  <c r="FB38" i="8"/>
  <c r="CH38" i="8"/>
  <c r="CX38" i="8"/>
  <c r="AT38" i="8"/>
  <c r="EN38" i="8"/>
  <c r="CJ38" i="8"/>
  <c r="CZ38" i="8"/>
  <c r="AV38" i="8"/>
  <c r="EO38" i="8"/>
  <c r="CK38" i="8"/>
  <c r="DA38" i="8"/>
  <c r="AW38" i="8"/>
  <c r="ER38" i="8"/>
  <c r="CN38" i="8"/>
  <c r="AJ38" i="8"/>
  <c r="AZ38" i="8"/>
  <c r="EV38" i="8"/>
  <c r="CR38" i="8"/>
  <c r="AN38" i="8"/>
  <c r="CQ38" i="8"/>
  <c r="AH38" i="8"/>
  <c r="CS38" i="8"/>
  <c r="CU38" i="8"/>
  <c r="AK38" i="8"/>
  <c r="EI38" i="8"/>
  <c r="CV38" i="8"/>
  <c r="EK38" i="8"/>
  <c r="CW38" i="8"/>
  <c r="AM38" i="8"/>
  <c r="ES38" i="8"/>
  <c r="AS38" i="8"/>
  <c r="ET38" i="8"/>
  <c r="AU38" i="8"/>
  <c r="EU38" i="8"/>
  <c r="AX38" i="8"/>
  <c r="EW38" i="8"/>
  <c r="CI38" i="8"/>
  <c r="AY38" i="8"/>
  <c r="AR38" i="8"/>
  <c r="BB38" i="8"/>
  <c r="CM38" i="8"/>
  <c r="CP38" i="8"/>
  <c r="CL38" i="8"/>
  <c r="CO38" i="8"/>
  <c r="EM38" i="8"/>
  <c r="CY38" i="8"/>
  <c r="DB38" i="8"/>
  <c r="EQ38" i="8"/>
  <c r="BA38" i="8"/>
  <c r="EP38" i="8"/>
  <c r="AI38" i="8"/>
  <c r="EY38" i="8"/>
  <c r="AL38" i="8"/>
  <c r="FA38" i="8"/>
  <c r="AO38" i="8"/>
  <c r="AQ38" i="8"/>
  <c r="L20" i="8"/>
  <c r="GZ38" i="8"/>
  <c r="DD38" i="8"/>
  <c r="FO38" i="8"/>
  <c r="FM38" i="8"/>
  <c r="FL38" i="8"/>
  <c r="FD38" i="8"/>
  <c r="FW38" i="8"/>
  <c r="FG38" i="8"/>
  <c r="GB38" i="8"/>
  <c r="FU38" i="8"/>
  <c r="FE38" i="8"/>
  <c r="FV38" i="8"/>
  <c r="FS38" i="8"/>
  <c r="FR38" i="8"/>
  <c r="FP38" i="8"/>
  <c r="FJ38" i="8"/>
  <c r="FY38" i="8"/>
  <c r="DT38" i="8"/>
  <c r="FT38" i="8"/>
  <c r="DR38" i="8"/>
  <c r="FQ38" i="8"/>
  <c r="DQ38" i="8"/>
  <c r="FK38" i="8"/>
  <c r="DO38" i="8"/>
  <c r="FI38" i="8"/>
  <c r="FF38" i="8"/>
  <c r="DH38" i="8"/>
  <c r="FX38" i="8"/>
  <c r="DF38" i="8"/>
  <c r="FN38" i="8"/>
  <c r="DY38" i="8"/>
  <c r="DE38" i="8"/>
  <c r="DW38" i="8"/>
  <c r="DV38" i="8"/>
  <c r="DS38" i="8"/>
  <c r="DN38" i="8"/>
  <c r="DM38" i="8"/>
  <c r="DK38" i="8"/>
  <c r="DJ38" i="8"/>
  <c r="EG38" i="8"/>
  <c r="DX38" i="8"/>
  <c r="DU38" i="8"/>
  <c r="FH38" i="8"/>
  <c r="DP38" i="8"/>
  <c r="DL38" i="8"/>
  <c r="CG38" i="8"/>
  <c r="DI38" i="8"/>
  <c r="BD38" i="8"/>
  <c r="DG38" i="8"/>
  <c r="AG38" i="8"/>
  <c r="BP38" i="8"/>
  <c r="BQ38" i="8"/>
  <c r="BS38" i="8"/>
  <c r="BM38" i="8"/>
  <c r="BJ38" i="8"/>
  <c r="BK38" i="8"/>
  <c r="BL38" i="8"/>
  <c r="BN38" i="8"/>
  <c r="BO38" i="8"/>
  <c r="BV38" i="8"/>
  <c r="BR38" i="8"/>
  <c r="BE38" i="8"/>
  <c r="BT38" i="8"/>
  <c r="BF38" i="8"/>
  <c r="BU38" i="8"/>
  <c r="BY38" i="8"/>
  <c r="BW38" i="8"/>
  <c r="BX38" i="8"/>
  <c r="BG38" i="8"/>
  <c r="BH38" i="8"/>
  <c r="BI38" i="8"/>
  <c r="AA39" i="8"/>
  <c r="CB38" i="8" a="1"/>
  <c r="CB38" i="8" s="1"/>
  <c r="CD38" i="8"/>
  <c r="AD38" i="8"/>
  <c r="AE38" i="8"/>
  <c r="CC38" i="8"/>
  <c r="AB38" i="8" a="1"/>
  <c r="AB38" i="8" s="1"/>
  <c r="ED38" i="8"/>
  <c r="AC38" i="8"/>
  <c r="CE38" i="8"/>
  <c r="EB38" i="8" a="1"/>
  <c r="EB38" i="8" s="1"/>
  <c r="EE38" i="8"/>
  <c r="EC38" i="8"/>
  <c r="S38" i="8"/>
  <c r="W37" i="8" a="1"/>
  <c r="W37" i="8" s="1"/>
  <c r="P38" i="8"/>
  <c r="O38" i="8"/>
  <c r="N38" i="8"/>
  <c r="L38" i="8"/>
  <c r="I39" i="8"/>
  <c r="U39" i="8" s="1"/>
  <c r="J38" i="8"/>
  <c r="V38" i="8"/>
  <c r="M38" i="8" a="1"/>
  <c r="M38" i="8" s="1"/>
  <c r="X38" i="8"/>
  <c r="T38" i="8"/>
  <c r="GJ38" i="8" l="1"/>
  <c r="GR38" i="8"/>
  <c r="GC38" i="8"/>
  <c r="GK38" i="8"/>
  <c r="GS38" i="8"/>
  <c r="GF38" i="8"/>
  <c r="GN38" i="8"/>
  <c r="GV38" i="8"/>
  <c r="GD38" i="8"/>
  <c r="GP38" i="8"/>
  <c r="GG38" i="8"/>
  <c r="GT38" i="8"/>
  <c r="GH38" i="8"/>
  <c r="GU38" i="8"/>
  <c r="GW38" i="8"/>
  <c r="GI38" i="8"/>
  <c r="GL38" i="8"/>
  <c r="GM38" i="8"/>
  <c r="GQ38" i="8"/>
  <c r="GE38" i="8"/>
  <c r="GO38" i="8"/>
  <c r="HA38" i="8"/>
  <c r="K38" i="8" s="1"/>
  <c r="HB38" i="8"/>
  <c r="ES39" i="8"/>
  <c r="CO39" i="8"/>
  <c r="AK39" i="8"/>
  <c r="BA39" i="8"/>
  <c r="EU39" i="8"/>
  <c r="EW39" i="8"/>
  <c r="CS39" i="8"/>
  <c r="AO39" i="8"/>
  <c r="EI39" i="8"/>
  <c r="EY39" i="8"/>
  <c r="CU39" i="8"/>
  <c r="AQ39" i="8"/>
  <c r="EJ39" i="8"/>
  <c r="EZ39" i="8"/>
  <c r="CV39" i="8"/>
  <c r="AR39" i="8"/>
  <c r="EM39" i="8"/>
  <c r="CI39" i="8"/>
  <c r="CY39" i="8"/>
  <c r="AU39" i="8"/>
  <c r="EQ39" i="8"/>
  <c r="CM39" i="8"/>
  <c r="AI39" i="8"/>
  <c r="AY39" i="8"/>
  <c r="EL39" i="8"/>
  <c r="CW39" i="8"/>
  <c r="AL39" i="8"/>
  <c r="EN39" i="8"/>
  <c r="CX39" i="8"/>
  <c r="EO39" i="8"/>
  <c r="CZ39" i="8"/>
  <c r="AN39" i="8"/>
  <c r="EP39" i="8"/>
  <c r="DA39" i="8"/>
  <c r="ER39" i="8"/>
  <c r="DB39" i="8"/>
  <c r="AS39" i="8"/>
  <c r="FA39" i="8"/>
  <c r="CJ39" i="8"/>
  <c r="AX39" i="8"/>
  <c r="FB39" i="8"/>
  <c r="CK39" i="8"/>
  <c r="CL39" i="8"/>
  <c r="BB39" i="8"/>
  <c r="CN39" i="8"/>
  <c r="EK39" i="8"/>
  <c r="CT39" i="8"/>
  <c r="EV39" i="8"/>
  <c r="EX39" i="8"/>
  <c r="AH39" i="8"/>
  <c r="AT39" i="8"/>
  <c r="AJ39" i="8"/>
  <c r="AM39" i="8"/>
  <c r="AP39" i="8"/>
  <c r="AV39" i="8"/>
  <c r="AW39" i="8"/>
  <c r="AZ39" i="8"/>
  <c r="CH39" i="8"/>
  <c r="ET39" i="8"/>
  <c r="CP39" i="8"/>
  <c r="CQ39" i="8"/>
  <c r="EH39" i="8"/>
  <c r="CR39" i="8"/>
  <c r="L21" i="8"/>
  <c r="L22" i="8"/>
  <c r="GZ39" i="8"/>
  <c r="FJ39" i="8"/>
  <c r="FX39" i="8"/>
  <c r="FH39" i="8"/>
  <c r="FW39" i="8"/>
  <c r="FG39" i="8"/>
  <c r="FR39" i="8"/>
  <c r="GB39" i="8"/>
  <c r="FP39" i="8"/>
  <c r="FY39" i="8"/>
  <c r="DJ39" i="8"/>
  <c r="FU39" i="8"/>
  <c r="DX39" i="8"/>
  <c r="DH39" i="8"/>
  <c r="FT39" i="8"/>
  <c r="FQ39" i="8"/>
  <c r="FM39" i="8"/>
  <c r="DQ39" i="8"/>
  <c r="DO39" i="8"/>
  <c r="DN39" i="8"/>
  <c r="DL39" i="8"/>
  <c r="DD39" i="8"/>
  <c r="FS39" i="8"/>
  <c r="FD39" i="8"/>
  <c r="FN39" i="8"/>
  <c r="FF39" i="8"/>
  <c r="DG39" i="8"/>
  <c r="DE39" i="8"/>
  <c r="DY39" i="8"/>
  <c r="DW39" i="8"/>
  <c r="BD39" i="8"/>
  <c r="DU39" i="8"/>
  <c r="DS39" i="8"/>
  <c r="FV39" i="8"/>
  <c r="DR39" i="8"/>
  <c r="FL39" i="8"/>
  <c r="DM39" i="8"/>
  <c r="FK39" i="8"/>
  <c r="DK39" i="8"/>
  <c r="FO39" i="8"/>
  <c r="DF39" i="8"/>
  <c r="FI39" i="8"/>
  <c r="FE39" i="8"/>
  <c r="DI39" i="8"/>
  <c r="CG39" i="8"/>
  <c r="AG39" i="8"/>
  <c r="DV39" i="8"/>
  <c r="DT39" i="8"/>
  <c r="DP39" i="8"/>
  <c r="EG39" i="8"/>
  <c r="BK39" i="8"/>
  <c r="BL39" i="8"/>
  <c r="BN39" i="8"/>
  <c r="BH39" i="8"/>
  <c r="BX39" i="8"/>
  <c r="BJ39" i="8"/>
  <c r="BO39" i="8"/>
  <c r="BP39" i="8"/>
  <c r="BM39" i="8"/>
  <c r="BQ39" i="8"/>
  <c r="BR39" i="8"/>
  <c r="BF39" i="8"/>
  <c r="BS39" i="8"/>
  <c r="BU39" i="8"/>
  <c r="BY39" i="8"/>
  <c r="BT39" i="8"/>
  <c r="BW39" i="8"/>
  <c r="BV39" i="8"/>
  <c r="BE39" i="8"/>
  <c r="BG39" i="8"/>
  <c r="BI39" i="8"/>
  <c r="AA40" i="8"/>
  <c r="AC39" i="8"/>
  <c r="CD39" i="8"/>
  <c r="AB39" i="8" a="1"/>
  <c r="AB39" i="8" s="1"/>
  <c r="AD39" i="8"/>
  <c r="ED39" i="8"/>
  <c r="EC39" i="8"/>
  <c r="CB39" i="8" a="1"/>
  <c r="CB39" i="8" s="1"/>
  <c r="AE39" i="8"/>
  <c r="CC39" i="8"/>
  <c r="EB39" i="8" a="1"/>
  <c r="EB39" i="8" s="1"/>
  <c r="CE39" i="8"/>
  <c r="EE39" i="8"/>
  <c r="M39" i="8" a="1"/>
  <c r="M39" i="8" s="1"/>
  <c r="L39" i="8"/>
  <c r="I40" i="8"/>
  <c r="U40" i="8" s="1"/>
  <c r="J39" i="8"/>
  <c r="V39" i="8"/>
  <c r="T39" i="8"/>
  <c r="P39" i="8"/>
  <c r="O39" i="8"/>
  <c r="X39" i="8"/>
  <c r="N39" i="8"/>
  <c r="W38" i="8" a="1"/>
  <c r="W38" i="8" s="1"/>
  <c r="S39" i="8"/>
  <c r="HB39" i="8" l="1"/>
  <c r="HA39" i="8"/>
  <c r="K39" i="8" s="1"/>
  <c r="GE39" i="8"/>
  <c r="GM39" i="8"/>
  <c r="GU39" i="8"/>
  <c r="GF39" i="8"/>
  <c r="GN39" i="8"/>
  <c r="GV39" i="8"/>
  <c r="GI39" i="8"/>
  <c r="GQ39" i="8"/>
  <c r="GH39" i="8"/>
  <c r="GT39" i="8"/>
  <c r="GK39" i="8"/>
  <c r="GL39" i="8"/>
  <c r="GO39" i="8"/>
  <c r="GC39" i="8"/>
  <c r="GP39" i="8"/>
  <c r="GD39" i="8"/>
  <c r="GR39" i="8"/>
  <c r="GG39" i="8"/>
  <c r="GS39" i="8"/>
  <c r="GJ39" i="8"/>
  <c r="GW39" i="8"/>
  <c r="EN40" i="8"/>
  <c r="CJ40" i="8"/>
  <c r="CZ40" i="8"/>
  <c r="AV40" i="8"/>
  <c r="EP40" i="8"/>
  <c r="ER40" i="8"/>
  <c r="CN40" i="8"/>
  <c r="AJ40" i="8"/>
  <c r="AZ40" i="8"/>
  <c r="ET40" i="8"/>
  <c r="CP40" i="8"/>
  <c r="AL40" i="8"/>
  <c r="BB40" i="8"/>
  <c r="EU40" i="8"/>
  <c r="CQ40" i="8"/>
  <c r="AM40" i="8"/>
  <c r="EH40" i="8"/>
  <c r="EX40" i="8"/>
  <c r="CT40" i="8"/>
  <c r="AP40" i="8"/>
  <c r="EL40" i="8"/>
  <c r="FB40" i="8"/>
  <c r="CH40" i="8"/>
  <c r="CX40" i="8"/>
  <c r="AT40" i="8"/>
  <c r="ES40" i="8"/>
  <c r="DA40" i="8"/>
  <c r="AQ40" i="8"/>
  <c r="EV40" i="8"/>
  <c r="DB40" i="8"/>
  <c r="EW40" i="8"/>
  <c r="AS40" i="8"/>
  <c r="EY40" i="8"/>
  <c r="EZ40" i="8"/>
  <c r="AW40" i="8"/>
  <c r="CM40" i="8"/>
  <c r="CO40" i="8"/>
  <c r="EI40" i="8"/>
  <c r="CR40" i="8"/>
  <c r="EJ40" i="8"/>
  <c r="CS40" i="8"/>
  <c r="AH40" i="8"/>
  <c r="AU40" i="8"/>
  <c r="CK40" i="8"/>
  <c r="AY40" i="8"/>
  <c r="CL40" i="8"/>
  <c r="BA40" i="8"/>
  <c r="EK40" i="8"/>
  <c r="CU40" i="8"/>
  <c r="EM40" i="8"/>
  <c r="CV40" i="8"/>
  <c r="EO40" i="8"/>
  <c r="CW40" i="8"/>
  <c r="EQ40" i="8"/>
  <c r="CY40" i="8"/>
  <c r="FA40" i="8"/>
  <c r="AK40" i="8"/>
  <c r="AI40" i="8"/>
  <c r="CI40" i="8"/>
  <c r="AX40" i="8"/>
  <c r="AN40" i="8"/>
  <c r="AO40" i="8"/>
  <c r="AR40" i="8"/>
  <c r="L23" i="8"/>
  <c r="L24" i="8"/>
  <c r="GZ40" i="8"/>
  <c r="FV40" i="8"/>
  <c r="FF40" i="8"/>
  <c r="FU40" i="8"/>
  <c r="FE40" i="8"/>
  <c r="DD40" i="8"/>
  <c r="FS40" i="8"/>
  <c r="FR40" i="8"/>
  <c r="GB40" i="8"/>
  <c r="FM40" i="8"/>
  <c r="FD40" i="8"/>
  <c r="FK40" i="8"/>
  <c r="DU40" i="8"/>
  <c r="DE40" i="8"/>
  <c r="DS40" i="8"/>
  <c r="FY40" i="8"/>
  <c r="FW40" i="8"/>
  <c r="FP40" i="8"/>
  <c r="FO40" i="8"/>
  <c r="DN40" i="8"/>
  <c r="FL40" i="8"/>
  <c r="DL40" i="8"/>
  <c r="FJ40" i="8"/>
  <c r="DK40" i="8"/>
  <c r="FH40" i="8"/>
  <c r="DI40" i="8"/>
  <c r="FG40" i="8"/>
  <c r="DM40" i="8"/>
  <c r="DH40" i="8"/>
  <c r="DG40" i="8"/>
  <c r="EG40" i="8"/>
  <c r="BD40" i="8"/>
  <c r="FX40" i="8"/>
  <c r="FQ40" i="8"/>
  <c r="DX40" i="8"/>
  <c r="FI40" i="8"/>
  <c r="DV40" i="8"/>
  <c r="DT40" i="8"/>
  <c r="DQ40" i="8"/>
  <c r="DP40" i="8"/>
  <c r="AG40" i="8"/>
  <c r="CG40" i="8"/>
  <c r="DY40" i="8"/>
  <c r="DW40" i="8"/>
  <c r="DR40" i="8"/>
  <c r="DO40" i="8"/>
  <c r="DJ40" i="8"/>
  <c r="DF40" i="8"/>
  <c r="FN40" i="8"/>
  <c r="FT40" i="8"/>
  <c r="BF40" i="8"/>
  <c r="BV40" i="8"/>
  <c r="BG40" i="8"/>
  <c r="BW40" i="8"/>
  <c r="BI40" i="8"/>
  <c r="BY40" i="8"/>
  <c r="BS40" i="8"/>
  <c r="BL40" i="8"/>
  <c r="BM40" i="8"/>
  <c r="BN40" i="8"/>
  <c r="BO40" i="8"/>
  <c r="BP40" i="8"/>
  <c r="BE40" i="8"/>
  <c r="BQ40" i="8"/>
  <c r="BR40" i="8"/>
  <c r="BT40" i="8"/>
  <c r="BH40" i="8"/>
  <c r="BU40" i="8"/>
  <c r="BX40" i="8"/>
  <c r="BJ40" i="8"/>
  <c r="BK40" i="8"/>
  <c r="AA41" i="8"/>
  <c r="ED40" i="8"/>
  <c r="CE40" i="8"/>
  <c r="AC40" i="8"/>
  <c r="AB40" i="8" a="1"/>
  <c r="AB40" i="8" s="1"/>
  <c r="CD40" i="8"/>
  <c r="EC40" i="8"/>
  <c r="CB40" i="8" a="1"/>
  <c r="CB40" i="8" s="1"/>
  <c r="AE40" i="8"/>
  <c r="EB40" i="8" a="1"/>
  <c r="EB40" i="8" s="1"/>
  <c r="CC40" i="8"/>
  <c r="AD40" i="8"/>
  <c r="EE40" i="8"/>
  <c r="X40" i="8"/>
  <c r="J40" i="8"/>
  <c r="V40" i="8"/>
  <c r="T40" i="8"/>
  <c r="O40" i="8"/>
  <c r="N40" i="8"/>
  <c r="M40" i="8" a="1"/>
  <c r="M40" i="8" s="1"/>
  <c r="L40" i="8"/>
  <c r="P40" i="8"/>
  <c r="I41" i="8"/>
  <c r="U41" i="8" s="1"/>
  <c r="W39" i="8" a="1"/>
  <c r="W39" i="8" s="1"/>
  <c r="S40" i="8"/>
  <c r="HA40" i="8" l="1"/>
  <c r="K40" i="8" s="1"/>
  <c r="HB40" i="8"/>
  <c r="GH40" i="8"/>
  <c r="GP40" i="8"/>
  <c r="GI40" i="8"/>
  <c r="GQ40" i="8"/>
  <c r="GD40" i="8"/>
  <c r="GL40" i="8"/>
  <c r="GT40" i="8"/>
  <c r="GM40" i="8"/>
  <c r="GC40" i="8"/>
  <c r="GO40" i="8"/>
  <c r="GE40" i="8"/>
  <c r="GR40" i="8"/>
  <c r="GS40" i="8"/>
  <c r="GF40" i="8"/>
  <c r="GG40" i="8"/>
  <c r="GU40" i="8"/>
  <c r="GJ40" i="8"/>
  <c r="GV40" i="8"/>
  <c r="GK40" i="8"/>
  <c r="GN40" i="8"/>
  <c r="GW40" i="8"/>
  <c r="EI41" i="8"/>
  <c r="EY41" i="8"/>
  <c r="CU41" i="8"/>
  <c r="AQ41" i="8"/>
  <c r="EK41" i="8"/>
  <c r="FA41" i="8"/>
  <c r="EM41" i="8"/>
  <c r="CI41" i="8"/>
  <c r="CY41" i="8"/>
  <c r="AU41" i="8"/>
  <c r="EO41" i="8"/>
  <c r="CK41" i="8"/>
  <c r="DA41" i="8"/>
  <c r="AW41" i="8"/>
  <c r="EP41" i="8"/>
  <c r="CL41" i="8"/>
  <c r="DB41" i="8"/>
  <c r="AH41" i="8"/>
  <c r="AX41" i="8"/>
  <c r="ES41" i="8"/>
  <c r="CO41" i="8"/>
  <c r="AK41" i="8"/>
  <c r="BA41" i="8"/>
  <c r="EW41" i="8"/>
  <c r="CS41" i="8"/>
  <c r="AO41" i="8"/>
  <c r="EZ41" i="8"/>
  <c r="AT41" i="8"/>
  <c r="FB41" i="8"/>
  <c r="CH41" i="8"/>
  <c r="AY41" i="8"/>
  <c r="CJ41" i="8"/>
  <c r="CM41" i="8"/>
  <c r="BB41" i="8"/>
  <c r="EL41" i="8"/>
  <c r="CR41" i="8"/>
  <c r="AI41" i="8"/>
  <c r="EN41" i="8"/>
  <c r="CT41" i="8"/>
  <c r="EQ41" i="8"/>
  <c r="CV41" i="8"/>
  <c r="AL41" i="8"/>
  <c r="ER41" i="8"/>
  <c r="CW41" i="8"/>
  <c r="AM41" i="8"/>
  <c r="CN41" i="8"/>
  <c r="AJ41" i="8"/>
  <c r="AN41" i="8"/>
  <c r="CP41" i="8"/>
  <c r="AV41" i="8"/>
  <c r="AP41" i="8"/>
  <c r="AR41" i="8"/>
  <c r="AS41" i="8"/>
  <c r="EJ41" i="8"/>
  <c r="CQ41" i="8"/>
  <c r="AZ41" i="8"/>
  <c r="EU41" i="8"/>
  <c r="CZ41" i="8"/>
  <c r="ET41" i="8"/>
  <c r="CX41" i="8"/>
  <c r="EV41" i="8"/>
  <c r="EX41" i="8"/>
  <c r="EH41" i="8"/>
  <c r="GZ41" i="8"/>
  <c r="FQ41" i="8"/>
  <c r="FP41" i="8"/>
  <c r="FN41" i="8"/>
  <c r="DD41" i="8"/>
  <c r="FM41" i="8"/>
  <c r="FX41" i="8"/>
  <c r="FH41" i="8"/>
  <c r="FV41" i="8"/>
  <c r="FF41" i="8"/>
  <c r="FI41" i="8"/>
  <c r="DP41" i="8"/>
  <c r="FD41" i="8"/>
  <c r="FE41" i="8"/>
  <c r="DN41" i="8"/>
  <c r="FY41" i="8"/>
  <c r="FU41" i="8"/>
  <c r="DK41" i="8"/>
  <c r="GB41" i="8"/>
  <c r="DI41" i="8"/>
  <c r="DH41" i="8"/>
  <c r="FT41" i="8"/>
  <c r="DX41" i="8"/>
  <c r="DF41" i="8"/>
  <c r="FS41" i="8"/>
  <c r="FO41" i="8"/>
  <c r="FK41" i="8"/>
  <c r="DQ41" i="8"/>
  <c r="FR41" i="8"/>
  <c r="DM41" i="8"/>
  <c r="FL41" i="8"/>
  <c r="DL41" i="8"/>
  <c r="FG41" i="8"/>
  <c r="DG41" i="8"/>
  <c r="DE41" i="8"/>
  <c r="DW41" i="8"/>
  <c r="DV41" i="8"/>
  <c r="DT41" i="8"/>
  <c r="DS41" i="8"/>
  <c r="DY41" i="8"/>
  <c r="DU41" i="8"/>
  <c r="CG41" i="8"/>
  <c r="DR41" i="8"/>
  <c r="DO41" i="8"/>
  <c r="DJ41" i="8"/>
  <c r="FW41" i="8"/>
  <c r="BD41" i="8"/>
  <c r="FJ41" i="8"/>
  <c r="AG41" i="8"/>
  <c r="EG41" i="8"/>
  <c r="BQ41" i="8"/>
  <c r="BR41" i="8"/>
  <c r="BT41" i="8"/>
  <c r="BN41" i="8"/>
  <c r="BK41" i="8"/>
  <c r="BM41" i="8"/>
  <c r="BO41" i="8"/>
  <c r="BL41" i="8"/>
  <c r="BP41" i="8"/>
  <c r="BS41" i="8"/>
  <c r="BY41" i="8"/>
  <c r="BG41" i="8"/>
  <c r="BU41" i="8"/>
  <c r="BV41" i="8"/>
  <c r="BW41" i="8"/>
  <c r="BE41" i="8"/>
  <c r="BH41" i="8"/>
  <c r="BX41" i="8"/>
  <c r="BF41" i="8"/>
  <c r="BI41" i="8"/>
  <c r="BJ41" i="8"/>
  <c r="AA42" i="8"/>
  <c r="ED41" i="8"/>
  <c r="CE41" i="8"/>
  <c r="AC41" i="8"/>
  <c r="CB41" i="8" a="1"/>
  <c r="CB41" i="8" s="1"/>
  <c r="EE41" i="8"/>
  <c r="AB41" i="8" a="1"/>
  <c r="AB41" i="8" s="1"/>
  <c r="CC41" i="8"/>
  <c r="EC41" i="8"/>
  <c r="AE41" i="8"/>
  <c r="AD41" i="8"/>
  <c r="CD41" i="8"/>
  <c r="EB41" i="8" a="1"/>
  <c r="EB41" i="8" s="1"/>
  <c r="W40" i="8" a="1"/>
  <c r="W40" i="8" s="1"/>
  <c r="S41" i="8"/>
  <c r="T41" i="8"/>
  <c r="O41" i="8"/>
  <c r="N41" i="8"/>
  <c r="L41" i="8"/>
  <c r="I42" i="8"/>
  <c r="U42" i="8" s="1"/>
  <c r="J41" i="8"/>
  <c r="X41" i="8"/>
  <c r="V41" i="8"/>
  <c r="P41" i="8"/>
  <c r="M41" i="8" a="1"/>
  <c r="M41" i="8" s="1"/>
  <c r="HB41" i="8" l="1"/>
  <c r="HA41" i="8"/>
  <c r="K41" i="8" s="1"/>
  <c r="GC41" i="8"/>
  <c r="GK41" i="8"/>
  <c r="GS41" i="8"/>
  <c r="GD41" i="8"/>
  <c r="GL41" i="8"/>
  <c r="GT41" i="8"/>
  <c r="GG41" i="8"/>
  <c r="GO41" i="8"/>
  <c r="GW41" i="8"/>
  <c r="GE41" i="8"/>
  <c r="GQ41" i="8"/>
  <c r="GH41" i="8"/>
  <c r="GU41" i="8"/>
  <c r="GI41" i="8"/>
  <c r="GV41" i="8"/>
  <c r="GJ41" i="8"/>
  <c r="GM41" i="8"/>
  <c r="GN41" i="8"/>
  <c r="GF41" i="8"/>
  <c r="GP41" i="8"/>
  <c r="GR41" i="8"/>
  <c r="ET42" i="8"/>
  <c r="CP42" i="8"/>
  <c r="AL42" i="8"/>
  <c r="BB42" i="8"/>
  <c r="EV42" i="8"/>
  <c r="EH42" i="8"/>
  <c r="EX42" i="8"/>
  <c r="CT42" i="8"/>
  <c r="AP42" i="8"/>
  <c r="EJ42" i="8"/>
  <c r="EZ42" i="8"/>
  <c r="CV42" i="8"/>
  <c r="AR42" i="8"/>
  <c r="EK42" i="8"/>
  <c r="FA42" i="8"/>
  <c r="CW42" i="8"/>
  <c r="AS42" i="8"/>
  <c r="EN42" i="8"/>
  <c r="CJ42" i="8"/>
  <c r="CZ42" i="8"/>
  <c r="AV42" i="8"/>
  <c r="ER42" i="8"/>
  <c r="CN42" i="8"/>
  <c r="AJ42" i="8"/>
  <c r="AZ42" i="8"/>
  <c r="CK42" i="8"/>
  <c r="AY42" i="8"/>
  <c r="CL42" i="8"/>
  <c r="EI42" i="8"/>
  <c r="CM42" i="8"/>
  <c r="EL42" i="8"/>
  <c r="CO42" i="8"/>
  <c r="EM42" i="8"/>
  <c r="CQ42" i="8"/>
  <c r="ES42" i="8"/>
  <c r="CX42" i="8"/>
  <c r="AM42" i="8"/>
  <c r="EU42" i="8"/>
  <c r="CY42" i="8"/>
  <c r="EW42" i="8"/>
  <c r="DA42" i="8"/>
  <c r="AO42" i="8"/>
  <c r="EY42" i="8"/>
  <c r="DB42" i="8"/>
  <c r="EP42" i="8"/>
  <c r="CS42" i="8"/>
  <c r="AT42" i="8"/>
  <c r="FB42" i="8"/>
  <c r="AW42" i="8"/>
  <c r="AX42" i="8"/>
  <c r="BA42" i="8"/>
  <c r="AH42" i="8"/>
  <c r="AI42" i="8"/>
  <c r="EQ42" i="8"/>
  <c r="CH42" i="8"/>
  <c r="AK42" i="8"/>
  <c r="CR42" i="8"/>
  <c r="AQ42" i="8"/>
  <c r="CI42" i="8"/>
  <c r="AN42" i="8"/>
  <c r="EO42" i="8"/>
  <c r="CU42" i="8"/>
  <c r="AU42" i="8"/>
  <c r="GZ42" i="8"/>
  <c r="FL42" i="8"/>
  <c r="FK42" i="8"/>
  <c r="FY42" i="8"/>
  <c r="FI42" i="8"/>
  <c r="FX42" i="8"/>
  <c r="FH42" i="8"/>
  <c r="FS42" i="8"/>
  <c r="FQ42" i="8"/>
  <c r="FN42" i="8"/>
  <c r="DK42" i="8"/>
  <c r="FJ42" i="8"/>
  <c r="DY42" i="8"/>
  <c r="DI42" i="8"/>
  <c r="FD42" i="8"/>
  <c r="FG42" i="8"/>
  <c r="FE42" i="8"/>
  <c r="FP42" i="8"/>
  <c r="DH42" i="8"/>
  <c r="FM42" i="8"/>
  <c r="DX42" i="8"/>
  <c r="DF42" i="8"/>
  <c r="FF42" i="8"/>
  <c r="DW42" i="8"/>
  <c r="DE42" i="8"/>
  <c r="DU42" i="8"/>
  <c r="FO42" i="8"/>
  <c r="DR42" i="8"/>
  <c r="DP42" i="8"/>
  <c r="DO42" i="8"/>
  <c r="EG42" i="8"/>
  <c r="BD42" i="8"/>
  <c r="DM42" i="8"/>
  <c r="DL42" i="8"/>
  <c r="DG42" i="8"/>
  <c r="FW42" i="8"/>
  <c r="FU42" i="8"/>
  <c r="DV42" i="8"/>
  <c r="FT42" i="8"/>
  <c r="DT42" i="8"/>
  <c r="DJ42" i="8"/>
  <c r="CG42" i="8"/>
  <c r="DD42" i="8"/>
  <c r="GB42" i="8"/>
  <c r="FV42" i="8"/>
  <c r="FR42" i="8"/>
  <c r="DN42" i="8"/>
  <c r="DS42" i="8"/>
  <c r="DQ42" i="8"/>
  <c r="AG42" i="8"/>
  <c r="BL42" i="8"/>
  <c r="BM42" i="8"/>
  <c r="BO42" i="8"/>
  <c r="BI42" i="8"/>
  <c r="BY42" i="8"/>
  <c r="BK42" i="8"/>
  <c r="BN42" i="8"/>
  <c r="BP42" i="8"/>
  <c r="BQ42" i="8"/>
  <c r="BR42" i="8"/>
  <c r="BS42" i="8"/>
  <c r="BG42" i="8"/>
  <c r="BT42" i="8"/>
  <c r="BV42" i="8"/>
  <c r="BU42" i="8"/>
  <c r="BX42" i="8"/>
  <c r="BE42" i="8"/>
  <c r="BW42" i="8"/>
  <c r="BF42" i="8"/>
  <c r="BH42" i="8"/>
  <c r="BJ42" i="8"/>
  <c r="AA43" i="8"/>
  <c r="EC42" i="8"/>
  <c r="CC42" i="8"/>
  <c r="CE42" i="8"/>
  <c r="CB42" i="8" a="1"/>
  <c r="CB42" i="8" s="1"/>
  <c r="EE42" i="8"/>
  <c r="AD42" i="8"/>
  <c r="CD42" i="8"/>
  <c r="AB42" i="8" a="1"/>
  <c r="AB42" i="8" s="1"/>
  <c r="AE42" i="8"/>
  <c r="ED42" i="8"/>
  <c r="EB42" i="8" a="1"/>
  <c r="EB42" i="8" s="1"/>
  <c r="AC42" i="8"/>
  <c r="P42" i="8"/>
  <c r="O42" i="8"/>
  <c r="N42" i="8"/>
  <c r="L42" i="8"/>
  <c r="I43" i="8"/>
  <c r="U43" i="8" s="1"/>
  <c r="J42" i="8"/>
  <c r="V42" i="8"/>
  <c r="T42" i="8"/>
  <c r="M42" i="8" a="1"/>
  <c r="M42" i="8" s="1"/>
  <c r="X42" i="8"/>
  <c r="S42" i="8"/>
  <c r="W41" i="8" a="1"/>
  <c r="W41" i="8" s="1"/>
  <c r="HB42" i="8" l="1"/>
  <c r="HA42" i="8"/>
  <c r="K42" i="8" s="1"/>
  <c r="GF42" i="8"/>
  <c r="GN42" i="8"/>
  <c r="GV42" i="8"/>
  <c r="GG42" i="8"/>
  <c r="GO42" i="8"/>
  <c r="GW42" i="8"/>
  <c r="GJ42" i="8"/>
  <c r="GR42" i="8"/>
  <c r="GI42" i="8"/>
  <c r="GU42" i="8"/>
  <c r="GL42" i="8"/>
  <c r="GM42" i="8"/>
  <c r="GP42" i="8"/>
  <c r="GC42" i="8"/>
  <c r="GD42" i="8"/>
  <c r="GQ42" i="8"/>
  <c r="GE42" i="8"/>
  <c r="GS42" i="8"/>
  <c r="GK42" i="8"/>
  <c r="GT42" i="8"/>
  <c r="GH42" i="8"/>
  <c r="EO43" i="8"/>
  <c r="CK43" i="8"/>
  <c r="DA43" i="8"/>
  <c r="AW43" i="8"/>
  <c r="EQ43" i="8"/>
  <c r="ES43" i="8"/>
  <c r="CO43" i="8"/>
  <c r="AK43" i="8"/>
  <c r="BA43" i="8"/>
  <c r="EU43" i="8"/>
  <c r="CQ43" i="8"/>
  <c r="AM43" i="8"/>
  <c r="EV43" i="8"/>
  <c r="CR43" i="8"/>
  <c r="AN43" i="8"/>
  <c r="EI43" i="8"/>
  <c r="EY43" i="8"/>
  <c r="CU43" i="8"/>
  <c r="AQ43" i="8"/>
  <c r="EM43" i="8"/>
  <c r="CI43" i="8"/>
  <c r="CY43" i="8"/>
  <c r="AU43" i="8"/>
  <c r="EL43" i="8"/>
  <c r="CN43" i="8"/>
  <c r="EN43" i="8"/>
  <c r="CP43" i="8"/>
  <c r="EP43" i="8"/>
  <c r="CS43" i="8"/>
  <c r="AH43" i="8"/>
  <c r="ER43" i="8"/>
  <c r="CT43" i="8"/>
  <c r="ET43" i="8"/>
  <c r="CV43" i="8"/>
  <c r="AJ43" i="8"/>
  <c r="FA43" i="8"/>
  <c r="DB43" i="8"/>
  <c r="AR43" i="8"/>
  <c r="FB43" i="8"/>
  <c r="AT43" i="8"/>
  <c r="CH43" i="8"/>
  <c r="EH43" i="8"/>
  <c r="CJ43" i="8"/>
  <c r="EX43" i="8"/>
  <c r="AO43" i="8"/>
  <c r="AS43" i="8"/>
  <c r="EJ43" i="8"/>
  <c r="CL43" i="8"/>
  <c r="EK43" i="8"/>
  <c r="CM43" i="8"/>
  <c r="AI43" i="8"/>
  <c r="CX43" i="8"/>
  <c r="AP43" i="8"/>
  <c r="EW43" i="8"/>
  <c r="CW43" i="8"/>
  <c r="AL43" i="8"/>
  <c r="EZ43" i="8"/>
  <c r="CZ43" i="8"/>
  <c r="AV43" i="8"/>
  <c r="AY43" i="8"/>
  <c r="AX43" i="8"/>
  <c r="AZ43" i="8"/>
  <c r="BB43" i="8"/>
  <c r="GZ43" i="8"/>
  <c r="FW43" i="8"/>
  <c r="FG43" i="8"/>
  <c r="FV43" i="8"/>
  <c r="FF43" i="8"/>
  <c r="FT43" i="8"/>
  <c r="FS43" i="8"/>
  <c r="FN43" i="8"/>
  <c r="FL43" i="8"/>
  <c r="FQ43" i="8"/>
  <c r="DV43" i="8"/>
  <c r="DF43" i="8"/>
  <c r="FO43" i="8"/>
  <c r="DT43" i="8"/>
  <c r="FM43" i="8"/>
  <c r="FJ43" i="8"/>
  <c r="FI43" i="8"/>
  <c r="FE43" i="8"/>
  <c r="GB43" i="8"/>
  <c r="DY43" i="8"/>
  <c r="DG43" i="8"/>
  <c r="DW43" i="8"/>
  <c r="DU43" i="8"/>
  <c r="FX43" i="8"/>
  <c r="DR43" i="8"/>
  <c r="FU43" i="8"/>
  <c r="FP43" i="8"/>
  <c r="DD43" i="8"/>
  <c r="FH43" i="8"/>
  <c r="DX43" i="8"/>
  <c r="DQ43" i="8"/>
  <c r="EG43" i="8"/>
  <c r="BD43" i="8"/>
  <c r="DP43" i="8"/>
  <c r="DN43" i="8"/>
  <c r="DM43" i="8"/>
  <c r="FY43" i="8"/>
  <c r="DK43" i="8"/>
  <c r="FK43" i="8"/>
  <c r="DI43" i="8"/>
  <c r="CG43" i="8"/>
  <c r="DH43" i="8"/>
  <c r="AG43" i="8"/>
  <c r="FD43" i="8"/>
  <c r="DS43" i="8"/>
  <c r="FR43" i="8"/>
  <c r="DO43" i="8"/>
  <c r="DL43" i="8"/>
  <c r="DE43" i="8"/>
  <c r="DJ43" i="8"/>
  <c r="BG43" i="8"/>
  <c r="BW43" i="8"/>
  <c r="BH43" i="8"/>
  <c r="BX43" i="8"/>
  <c r="BJ43" i="8"/>
  <c r="BT43" i="8"/>
  <c r="BM43" i="8"/>
  <c r="BO43" i="8"/>
  <c r="BP43" i="8"/>
  <c r="BN43" i="8"/>
  <c r="BQ43" i="8"/>
  <c r="BV43" i="8"/>
  <c r="BE43" i="8"/>
  <c r="BR43" i="8"/>
  <c r="BS43" i="8"/>
  <c r="BI43" i="8"/>
  <c r="BU43" i="8"/>
  <c r="BF43" i="8"/>
  <c r="BY43" i="8"/>
  <c r="BK43" i="8"/>
  <c r="BL43" i="8"/>
  <c r="AA44" i="8"/>
  <c r="EE43" i="8"/>
  <c r="CC43" i="8"/>
  <c r="CD43" i="8"/>
  <c r="CB43" i="8" a="1"/>
  <c r="CB43" i="8" s="1"/>
  <c r="EC43" i="8"/>
  <c r="AD43" i="8"/>
  <c r="ED43" i="8"/>
  <c r="AE43" i="8"/>
  <c r="EB43" i="8" a="1"/>
  <c r="EB43" i="8" s="1"/>
  <c r="CE43" i="8"/>
  <c r="AC43" i="8"/>
  <c r="AB43" i="8" a="1"/>
  <c r="AB43" i="8" s="1"/>
  <c r="W42" i="8" a="1"/>
  <c r="W42" i="8" s="1"/>
  <c r="S43" i="8"/>
  <c r="M43" i="8" a="1"/>
  <c r="M43" i="8" s="1"/>
  <c r="L43" i="8"/>
  <c r="I44" i="8"/>
  <c r="U44" i="8" s="1"/>
  <c r="J43" i="8"/>
  <c r="V43" i="8"/>
  <c r="T43" i="8"/>
  <c r="P43" i="8"/>
  <c r="O43" i="8"/>
  <c r="X43" i="8"/>
  <c r="N43" i="8"/>
  <c r="GI43" i="8" l="1"/>
  <c r="GQ43" i="8"/>
  <c r="GJ43" i="8"/>
  <c r="GR43" i="8"/>
  <c r="GE43" i="8"/>
  <c r="GM43" i="8"/>
  <c r="GU43" i="8"/>
  <c r="GN43" i="8"/>
  <c r="GD43" i="8"/>
  <c r="GP43" i="8"/>
  <c r="GF43" i="8"/>
  <c r="GS43" i="8"/>
  <c r="GT43" i="8"/>
  <c r="GG43" i="8"/>
  <c r="GH43" i="8"/>
  <c r="GV43" i="8"/>
  <c r="GK43" i="8"/>
  <c r="GW43" i="8"/>
  <c r="GO43" i="8"/>
  <c r="GC43" i="8"/>
  <c r="GL43" i="8"/>
  <c r="HB43" i="8"/>
  <c r="HA43" i="8"/>
  <c r="K43" i="8" s="1"/>
  <c r="EJ44" i="8"/>
  <c r="EZ44" i="8"/>
  <c r="CV44" i="8"/>
  <c r="AR44" i="8"/>
  <c r="EL44" i="8"/>
  <c r="FB44" i="8"/>
  <c r="EN44" i="8"/>
  <c r="CJ44" i="8"/>
  <c r="CZ44" i="8"/>
  <c r="AV44" i="8"/>
  <c r="EP44" i="8"/>
  <c r="CL44" i="8"/>
  <c r="DB44" i="8"/>
  <c r="AH44" i="8"/>
  <c r="AX44" i="8"/>
  <c r="EQ44" i="8"/>
  <c r="CM44" i="8"/>
  <c r="AI44" i="8"/>
  <c r="AY44" i="8"/>
  <c r="ET44" i="8"/>
  <c r="CP44" i="8"/>
  <c r="AL44" i="8"/>
  <c r="BB44" i="8"/>
  <c r="EH44" i="8"/>
  <c r="EX44" i="8"/>
  <c r="CT44" i="8"/>
  <c r="AP44" i="8"/>
  <c r="EU44" i="8"/>
  <c r="CS44" i="8"/>
  <c r="AJ44" i="8"/>
  <c r="EV44" i="8"/>
  <c r="CU44" i="8"/>
  <c r="EW44" i="8"/>
  <c r="CW44" i="8"/>
  <c r="AM44" i="8"/>
  <c r="EY44" i="8"/>
  <c r="CX44" i="8"/>
  <c r="FA44" i="8"/>
  <c r="CY44" i="8"/>
  <c r="AO44" i="8"/>
  <c r="AU44" i="8"/>
  <c r="CH44" i="8"/>
  <c r="EI44" i="8"/>
  <c r="CI44" i="8"/>
  <c r="AZ44" i="8"/>
  <c r="EK44" i="8"/>
  <c r="CK44" i="8"/>
  <c r="AN44" i="8"/>
  <c r="AS44" i="8"/>
  <c r="AT44" i="8"/>
  <c r="AW44" i="8"/>
  <c r="BA44" i="8"/>
  <c r="EO44" i="8"/>
  <c r="CO44" i="8"/>
  <c r="ES44" i="8"/>
  <c r="CR44" i="8"/>
  <c r="ER44" i="8"/>
  <c r="CQ44" i="8"/>
  <c r="DA44" i="8"/>
  <c r="AQ44" i="8"/>
  <c r="EM44" i="8"/>
  <c r="CN44" i="8"/>
  <c r="AK44" i="8"/>
  <c r="GZ44" i="8"/>
  <c r="FR44" i="8"/>
  <c r="FQ44" i="8"/>
  <c r="FO44" i="8"/>
  <c r="FN44" i="8"/>
  <c r="GB44" i="8"/>
  <c r="FY44" i="8"/>
  <c r="FI44" i="8"/>
  <c r="FW44" i="8"/>
  <c r="FG44" i="8"/>
  <c r="FV44" i="8"/>
  <c r="DQ44" i="8"/>
  <c r="FT44" i="8"/>
  <c r="DO44" i="8"/>
  <c r="FS44" i="8"/>
  <c r="FD44" i="8"/>
  <c r="FM44" i="8"/>
  <c r="FL44" i="8"/>
  <c r="FJ44" i="8"/>
  <c r="FK44" i="8"/>
  <c r="DV44" i="8"/>
  <c r="FF44" i="8"/>
  <c r="DT44" i="8"/>
  <c r="FE44" i="8"/>
  <c r="DS44" i="8"/>
  <c r="DP44" i="8"/>
  <c r="AG44" i="8"/>
  <c r="DD44" i="8"/>
  <c r="DX44" i="8"/>
  <c r="DW44" i="8"/>
  <c r="FU44" i="8"/>
  <c r="DR44" i="8"/>
  <c r="FP44" i="8"/>
  <c r="DN44" i="8"/>
  <c r="DL44" i="8"/>
  <c r="DJ44" i="8"/>
  <c r="DI44" i="8"/>
  <c r="DG44" i="8"/>
  <c r="DF44" i="8"/>
  <c r="DY44" i="8"/>
  <c r="CG44" i="8"/>
  <c r="DM44" i="8"/>
  <c r="FX44" i="8"/>
  <c r="DE44" i="8"/>
  <c r="DU44" i="8"/>
  <c r="DK44" i="8"/>
  <c r="DH44" i="8"/>
  <c r="FH44" i="8"/>
  <c r="BD44" i="8"/>
  <c r="EG44" i="8"/>
  <c r="BR44" i="8"/>
  <c r="BS44" i="8"/>
  <c r="BE44" i="8"/>
  <c r="BU44" i="8"/>
  <c r="BO44" i="8"/>
  <c r="BL44" i="8"/>
  <c r="BH44" i="8"/>
  <c r="BM44" i="8"/>
  <c r="BN44" i="8"/>
  <c r="BP44" i="8"/>
  <c r="BI44" i="8"/>
  <c r="BQ44" i="8"/>
  <c r="BT44" i="8"/>
  <c r="BF44" i="8"/>
  <c r="BV44" i="8"/>
  <c r="BG44" i="8"/>
  <c r="BW44" i="8"/>
  <c r="BX44" i="8"/>
  <c r="BY44" i="8"/>
  <c r="BJ44" i="8"/>
  <c r="BK44" i="8"/>
  <c r="EE44" i="8"/>
  <c r="CE44" i="8"/>
  <c r="CC44" i="8"/>
  <c r="AC44" i="8"/>
  <c r="AE44" i="8"/>
  <c r="EB44" i="8" a="1"/>
  <c r="EB44" i="8" s="1"/>
  <c r="AD44" i="8"/>
  <c r="EC44" i="8"/>
  <c r="CD44" i="8"/>
  <c r="AB44" i="8" a="1"/>
  <c r="AB44" i="8" s="1"/>
  <c r="ED44" i="8"/>
  <c r="CB44" i="8" a="1"/>
  <c r="CB44" i="8" s="1"/>
  <c r="W43" i="8" a="1"/>
  <c r="W43" i="8" s="1"/>
  <c r="S44" i="8"/>
  <c r="W44" i="8" s="1" a="1"/>
  <c r="W44" i="8" s="1"/>
  <c r="X44" i="8"/>
  <c r="J44" i="8"/>
  <c r="V44" i="8"/>
  <c r="T44" i="8"/>
  <c r="O44" i="8"/>
  <c r="N44" i="8"/>
  <c r="M44" i="8" a="1"/>
  <c r="M44" i="8" s="1"/>
  <c r="L44" i="8"/>
  <c r="P44" i="8"/>
  <c r="HA44" i="8" l="1"/>
  <c r="K44" i="8" s="1"/>
  <c r="HB44" i="8"/>
  <c r="GD44" i="8"/>
  <c r="GL44" i="8"/>
  <c r="GT44" i="8"/>
  <c r="GE44" i="8"/>
  <c r="GM44" i="8"/>
  <c r="GU44" i="8"/>
  <c r="GH44" i="8"/>
  <c r="GP44" i="8"/>
  <c r="GF44" i="8"/>
  <c r="GR44" i="8"/>
  <c r="GI44" i="8"/>
  <c r="GV44" i="8"/>
  <c r="GJ44" i="8"/>
  <c r="GW44" i="8"/>
  <c r="GK44" i="8"/>
  <c r="GN44" i="8"/>
  <c r="GO44" i="8"/>
  <c r="GG44" i="8"/>
  <c r="GC44" i="8"/>
  <c r="GQ44" i="8"/>
  <c r="GS44" i="8"/>
  <c r="B29" i="3"/>
  <c r="B31" i="3" s="1"/>
  <c r="P57" i="7"/>
  <c r="P56" i="7"/>
  <c r="O56" i="7"/>
  <c r="P55" i="7"/>
  <c r="O55" i="7"/>
  <c r="N55" i="7"/>
  <c r="P54" i="7"/>
  <c r="O54" i="7"/>
  <c r="N54" i="7"/>
  <c r="M54" i="7"/>
  <c r="P53" i="7"/>
  <c r="O53" i="7"/>
  <c r="N53" i="7"/>
  <c r="M53" i="7"/>
  <c r="L53" i="7"/>
  <c r="S35" i="7"/>
  <c r="S34" i="7"/>
  <c r="S33" i="7"/>
  <c r="S32" i="7"/>
  <c r="S31" i="7"/>
  <c r="S29" i="7"/>
  <c r="S30" i="7" s="1"/>
  <c r="S28" i="7"/>
  <c r="S27" i="7"/>
  <c r="S26" i="7"/>
  <c r="T9" i="7"/>
  <c r="AT10" i="7" s="1"/>
  <c r="Q9" i="7"/>
  <c r="O32" i="7" s="1"/>
  <c r="M9" i="7"/>
  <c r="T8" i="7"/>
  <c r="AX9" i="7" s="1"/>
  <c r="Q8" i="7"/>
  <c r="O31" i="7" s="1"/>
  <c r="T7" i="7"/>
  <c r="AH8" i="7" s="1"/>
  <c r="Q7" i="7"/>
  <c r="T6" i="7"/>
  <c r="AL7" i="7" s="1"/>
  <c r="Q6" i="7"/>
  <c r="L16" i="7" s="1"/>
  <c r="M16" i="7" s="1"/>
  <c r="AG5" i="7"/>
  <c r="AG6" i="7" s="1"/>
  <c r="AG7" i="7" s="1"/>
  <c r="AG8" i="7" s="1"/>
  <c r="AG9" i="7" s="1"/>
  <c r="AG10" i="7" s="1"/>
  <c r="AG11" i="7" s="1"/>
  <c r="AG12" i="7" s="1"/>
  <c r="AG13" i="7" s="1"/>
  <c r="AG14" i="7" s="1"/>
  <c r="AG15" i="7" s="1"/>
  <c r="AG16" i="7" s="1"/>
  <c r="AG17" i="7" s="1"/>
  <c r="AG18" i="7" s="1"/>
  <c r="AG19" i="7" s="1"/>
  <c r="AG20" i="7" s="1"/>
  <c r="AG21" i="7" s="1"/>
  <c r="AG22" i="7" s="1"/>
  <c r="AG23" i="7" s="1"/>
  <c r="AG24" i="7" s="1"/>
  <c r="AG25" i="7" s="1"/>
  <c r="AG26" i="7" s="1"/>
  <c r="AG27" i="7" s="1"/>
  <c r="AG28" i="7" s="1"/>
  <c r="AG29" i="7" s="1"/>
  <c r="AG30" i="7" s="1"/>
  <c r="AG31" i="7" s="1"/>
  <c r="AG32" i="7" s="1"/>
  <c r="AG33" i="7" s="1"/>
  <c r="AG34" i="7" s="1"/>
  <c r="AG35" i="7" s="1"/>
  <c r="AG36" i="7" s="1"/>
  <c r="AG37" i="7" s="1"/>
  <c r="AG38" i="7" s="1"/>
  <c r="AG39" i="7" s="1"/>
  <c r="AG40" i="7" s="1"/>
  <c r="AG41" i="7" s="1"/>
  <c r="AG42" i="7" s="1"/>
  <c r="AG43" i="7" s="1"/>
  <c r="AG44" i="7" s="1"/>
  <c r="X5" i="7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X20" i="7" s="1"/>
  <c r="X21" i="7" s="1"/>
  <c r="X22" i="7" s="1"/>
  <c r="X23" i="7" s="1"/>
  <c r="X24" i="7" s="1"/>
  <c r="X25" i="7" s="1"/>
  <c r="X26" i="7" s="1"/>
  <c r="X27" i="7" s="1"/>
  <c r="X28" i="7" s="1"/>
  <c r="X29" i="7" s="1"/>
  <c r="X30" i="7" s="1"/>
  <c r="X31" i="7" s="1"/>
  <c r="X32" i="7" s="1"/>
  <c r="X33" i="7" s="1"/>
  <c r="X34" i="7" s="1"/>
  <c r="X35" i="7" s="1"/>
  <c r="X36" i="7" s="1"/>
  <c r="X37" i="7" s="1"/>
  <c r="X38" i="7" s="1"/>
  <c r="X39" i="7" s="1"/>
  <c r="X40" i="7" s="1"/>
  <c r="X41" i="7" s="1"/>
  <c r="X42" i="7" s="1"/>
  <c r="X43" i="7" s="1"/>
  <c r="X44" i="7" s="1"/>
  <c r="T5" i="7"/>
  <c r="AH6" i="7" s="1"/>
  <c r="Q5" i="7"/>
  <c r="L15" i="7" s="1"/>
  <c r="M15" i="7" s="1"/>
  <c r="T4" i="7"/>
  <c r="AL5" i="7" s="1"/>
  <c r="Q4" i="7"/>
  <c r="O27" i="7" s="1"/>
  <c r="P57" i="6"/>
  <c r="P56" i="6"/>
  <c r="O56" i="6"/>
  <c r="P55" i="6"/>
  <c r="O55" i="6"/>
  <c r="N55" i="6"/>
  <c r="P54" i="6"/>
  <c r="O54" i="6"/>
  <c r="N54" i="6"/>
  <c r="M54" i="6"/>
  <c r="P53" i="6"/>
  <c r="O53" i="6"/>
  <c r="N53" i="6"/>
  <c r="M53" i="6"/>
  <c r="L53" i="6"/>
  <c r="S35" i="6"/>
  <c r="S34" i="6"/>
  <c r="S33" i="6"/>
  <c r="S32" i="6"/>
  <c r="S31" i="6"/>
  <c r="S29" i="6"/>
  <c r="S30" i="6" s="1"/>
  <c r="S27" i="6"/>
  <c r="S28" i="6" s="1"/>
  <c r="S26" i="6"/>
  <c r="T9" i="6"/>
  <c r="AL10" i="6" s="1"/>
  <c r="Q9" i="6"/>
  <c r="M9" i="6"/>
  <c r="T8" i="6"/>
  <c r="BB9" i="6" s="1"/>
  <c r="Q8" i="6"/>
  <c r="T7" i="6"/>
  <c r="AL8" i="6" s="1"/>
  <c r="Q7" i="6"/>
  <c r="X6" i="6"/>
  <c r="X7" i="6" s="1"/>
  <c r="X8" i="6" s="1"/>
  <c r="X9" i="6" s="1"/>
  <c r="X10" i="6" s="1"/>
  <c r="X11" i="6" s="1"/>
  <c r="X12" i="6" s="1"/>
  <c r="X13" i="6" s="1"/>
  <c r="X14" i="6" s="1"/>
  <c r="X15" i="6" s="1"/>
  <c r="X16" i="6" s="1"/>
  <c r="X17" i="6" s="1"/>
  <c r="X18" i="6" s="1"/>
  <c r="X19" i="6" s="1"/>
  <c r="X20" i="6" s="1"/>
  <c r="X21" i="6" s="1"/>
  <c r="X22" i="6" s="1"/>
  <c r="X23" i="6" s="1"/>
  <c r="X24" i="6" s="1"/>
  <c r="X25" i="6" s="1"/>
  <c r="X26" i="6" s="1"/>
  <c r="X27" i="6" s="1"/>
  <c r="X28" i="6" s="1"/>
  <c r="X29" i="6" s="1"/>
  <c r="X30" i="6" s="1"/>
  <c r="X31" i="6" s="1"/>
  <c r="X32" i="6" s="1"/>
  <c r="X33" i="6" s="1"/>
  <c r="X34" i="6" s="1"/>
  <c r="X35" i="6" s="1"/>
  <c r="X36" i="6" s="1"/>
  <c r="X37" i="6" s="1"/>
  <c r="X38" i="6" s="1"/>
  <c r="X39" i="6" s="1"/>
  <c r="X40" i="6" s="1"/>
  <c r="X41" i="6" s="1"/>
  <c r="X42" i="6" s="1"/>
  <c r="X43" i="6" s="1"/>
  <c r="X44" i="6" s="1"/>
  <c r="T6" i="6"/>
  <c r="AP7" i="6" s="1"/>
  <c r="Q6" i="6"/>
  <c r="AG5" i="6"/>
  <c r="AG6" i="6" s="1"/>
  <c r="AG7" i="6" s="1"/>
  <c r="AG8" i="6" s="1"/>
  <c r="AG9" i="6" s="1"/>
  <c r="AG10" i="6" s="1"/>
  <c r="AG11" i="6" s="1"/>
  <c r="AG12" i="6" s="1"/>
  <c r="AG13" i="6" s="1"/>
  <c r="AG14" i="6" s="1"/>
  <c r="AG15" i="6" s="1"/>
  <c r="AG16" i="6" s="1"/>
  <c r="AG17" i="6" s="1"/>
  <c r="AG18" i="6" s="1"/>
  <c r="AG19" i="6" s="1"/>
  <c r="AG20" i="6" s="1"/>
  <c r="AG21" i="6" s="1"/>
  <c r="AG22" i="6" s="1"/>
  <c r="AG23" i="6" s="1"/>
  <c r="AG24" i="6" s="1"/>
  <c r="AG25" i="6" s="1"/>
  <c r="AG26" i="6" s="1"/>
  <c r="AG27" i="6" s="1"/>
  <c r="AG28" i="6" s="1"/>
  <c r="AG29" i="6" s="1"/>
  <c r="AG30" i="6" s="1"/>
  <c r="AG31" i="6" s="1"/>
  <c r="AG32" i="6" s="1"/>
  <c r="AG33" i="6" s="1"/>
  <c r="AG34" i="6" s="1"/>
  <c r="AG35" i="6" s="1"/>
  <c r="AG36" i="6" s="1"/>
  <c r="AG37" i="6" s="1"/>
  <c r="AG38" i="6" s="1"/>
  <c r="AG39" i="6" s="1"/>
  <c r="AG40" i="6" s="1"/>
  <c r="AG41" i="6" s="1"/>
  <c r="AG42" i="6" s="1"/>
  <c r="AG43" i="6" s="1"/>
  <c r="AG44" i="6" s="1"/>
  <c r="X5" i="6"/>
  <c r="T5" i="6"/>
  <c r="AL6" i="6" s="1"/>
  <c r="Q5" i="6"/>
  <c r="O28" i="6" s="1"/>
  <c r="T4" i="6"/>
  <c r="AP5" i="6" s="1"/>
  <c r="Q4" i="6"/>
  <c r="A10" i="5"/>
  <c r="A9" i="5"/>
  <c r="M2" i="4"/>
  <c r="AU37" i="7" a="1"/>
  <c r="Y35" i="7" a="1"/>
  <c r="AU39" i="7" a="1"/>
  <c r="AY21" i="7" a="1"/>
  <c r="Y5" i="7" a="1"/>
  <c r="AU29" i="7" a="1"/>
  <c r="Y38" i="7" a="1"/>
  <c r="AM14" i="7" a="1"/>
  <c r="T30" i="7" a="1"/>
  <c r="AU42" i="7" a="1"/>
  <c r="T35" i="7" a="1"/>
  <c r="AI9" i="7" a="1"/>
  <c r="T31" i="7" a="1"/>
  <c r="AU38" i="7" a="1"/>
  <c r="AU33" i="7" a="1"/>
  <c r="Y43" i="7" a="1"/>
  <c r="Y10" i="7" a="1"/>
  <c r="T24" i="7" a="1"/>
  <c r="AU41" i="7" a="1"/>
  <c r="Y33" i="7" a="1"/>
  <c r="AU44" i="7" a="1"/>
  <c r="AI12" i="7" a="1"/>
  <c r="Y15" i="7" a="1"/>
  <c r="T25" i="7" a="1"/>
  <c r="AI17" i="7" a="1"/>
  <c r="Y37" i="7" a="1"/>
  <c r="AU27" i="7" a="1"/>
  <c r="Y27" i="7" a="1"/>
  <c r="Y9" i="7" a="1"/>
  <c r="Y29" i="7" a="1"/>
  <c r="AU32" i="7" a="1"/>
  <c r="Y6" i="7" a="1"/>
  <c r="Y22" i="7" a="1"/>
  <c r="Y11" i="7" a="1"/>
  <c r="Y16" i="7" a="1"/>
  <c r="AI19" i="7" a="1"/>
  <c r="AM8" i="7" a="1"/>
  <c r="T33" i="7" a="1"/>
  <c r="Y17" i="7" a="1"/>
  <c r="Y40" i="7" a="1"/>
  <c r="Y39" i="7" a="1"/>
  <c r="Y31" i="7" a="1"/>
  <c r="Y25" i="7" a="1"/>
  <c r="AU43" i="7" a="1"/>
  <c r="Y32" i="7" a="1"/>
  <c r="Y7" i="7" a="1"/>
  <c r="AI10" i="7" a="1"/>
  <c r="T28" i="7" a="1"/>
  <c r="AU34" i="7" a="1"/>
  <c r="AU35" i="7" a="1"/>
  <c r="Y24" i="7" a="1"/>
  <c r="Y13" i="7" a="1"/>
  <c r="AI20" i="7" a="1"/>
  <c r="Y41" i="7" a="1"/>
  <c r="Y36" i="7" a="1"/>
  <c r="Y20" i="7" a="1"/>
  <c r="Y14" i="7" a="1"/>
  <c r="T27" i="7" a="1"/>
  <c r="AM5" i="7" a="1"/>
  <c r="AI11" i="7" a="1"/>
  <c r="Y28" i="7" a="1"/>
  <c r="AM7" i="7" a="1"/>
  <c r="Y26" i="7" a="1"/>
  <c r="AY24" i="7" a="1"/>
  <c r="Y19" i="7" a="1"/>
  <c r="AY22" i="7" a="1"/>
  <c r="Y23" i="7" a="1"/>
  <c r="AU40" i="7" a="1"/>
  <c r="AU31" i="7" a="1"/>
  <c r="Y34" i="7" a="1"/>
  <c r="Y42" i="7" a="1"/>
  <c r="Y21" i="7" a="1"/>
  <c r="AM13" i="7" a="1"/>
  <c r="AU36" i="7" a="1"/>
  <c r="Y8" i="7" a="1"/>
  <c r="AY23" i="7" a="1"/>
  <c r="AU30" i="7" a="1"/>
  <c r="AI18" i="7" a="1"/>
  <c r="AU26" i="7" a="1"/>
  <c r="Y30" i="7" a="1"/>
  <c r="AU28" i="7" a="1"/>
  <c r="T32" i="7" a="1"/>
  <c r="T34" i="7" a="1"/>
  <c r="T26" i="7" a="1"/>
  <c r="Y4" i="7" a="1"/>
  <c r="Y12" i="7" a="1"/>
  <c r="T29" i="7" a="1"/>
  <c r="AU25" i="7" a="1"/>
  <c r="AM16" i="7" a="1"/>
  <c r="Y18" i="7" a="1"/>
  <c r="Y44" i="7" a="1"/>
  <c r="AM6" i="7" a="1"/>
  <c r="AM15" i="7" a="1"/>
  <c r="Y18" i="6" a="1"/>
  <c r="AM30" i="6" a="1"/>
  <c r="AM25" i="6" a="1"/>
  <c r="AM9" i="6" a="1"/>
  <c r="AM11" i="6" a="1"/>
  <c r="BC23" i="6" a="1"/>
  <c r="Y31" i="6" a="1"/>
  <c r="AM40" i="6" a="1"/>
  <c r="T25" i="6" a="1"/>
  <c r="Y9" i="6" a="1"/>
  <c r="Y6" i="6" a="1"/>
  <c r="BC21" i="6" a="1"/>
  <c r="Y22" i="6" a="1"/>
  <c r="AQ8" i="6" a="1"/>
  <c r="Y35" i="6" a="1"/>
  <c r="Y43" i="6" a="1"/>
  <c r="Y39" i="6" a="1"/>
  <c r="AM43" i="6" a="1"/>
  <c r="Y33" i="6" a="1"/>
  <c r="AM18" i="6" a="1"/>
  <c r="Y7" i="6" a="1"/>
  <c r="Y26" i="6" a="1"/>
  <c r="Y38" i="6" a="1"/>
  <c r="Y10" i="6" a="1"/>
  <c r="AQ6" i="6" a="1"/>
  <c r="T35" i="6" a="1"/>
  <c r="T31" i="6" a="1"/>
  <c r="AQ13" i="6" a="1"/>
  <c r="T28" i="6" a="1"/>
  <c r="Y30" i="6" a="1"/>
  <c r="AM42" i="6" a="1"/>
  <c r="Y28" i="6" a="1"/>
  <c r="AM12" i="6" a="1"/>
  <c r="Y40" i="6" a="1"/>
  <c r="AM37" i="6" a="1"/>
  <c r="Y23" i="6" a="1"/>
  <c r="AQ7" i="6" a="1"/>
  <c r="AQ16" i="6" a="1"/>
  <c r="Y21" i="6" a="1"/>
  <c r="Y5" i="6" a="1"/>
  <c r="AM33" i="6" a="1"/>
  <c r="Y29" i="6" a="1"/>
  <c r="T29" i="6" a="1"/>
  <c r="AM36" i="6" a="1"/>
  <c r="Y12" i="6" a="1"/>
  <c r="AM39" i="6" a="1"/>
  <c r="Y8" i="6" a="1"/>
  <c r="T34" i="6" a="1"/>
  <c r="AM20" i="6" a="1"/>
  <c r="AM19" i="6" a="1"/>
  <c r="Y25" i="6" a="1"/>
  <c r="Y11" i="6" a="1"/>
  <c r="T33" i="6" a="1"/>
  <c r="Y32" i="6" a="1"/>
  <c r="AM34" i="6" a="1"/>
  <c r="T30" i="6" a="1"/>
  <c r="Y15" i="6" a="1"/>
  <c r="Y44" i="6" a="1"/>
  <c r="Y24" i="6" a="1"/>
  <c r="AM44" i="6" a="1"/>
  <c r="Y19" i="6" a="1"/>
  <c r="Y17" i="6" a="1"/>
  <c r="T32" i="6" a="1"/>
  <c r="BC24" i="6" a="1"/>
  <c r="Y14" i="6" a="1"/>
  <c r="Y37" i="6" a="1"/>
  <c r="Y36" i="6" a="1"/>
  <c r="AM41" i="6" a="1"/>
  <c r="Y20" i="6" a="1"/>
  <c r="AM28" i="6" a="1"/>
  <c r="T24" i="6" a="1"/>
  <c r="AM10" i="6" a="1"/>
  <c r="AM32" i="6" a="1"/>
  <c r="AM27" i="6" a="1"/>
  <c r="BC22" i="6" a="1"/>
  <c r="AM17" i="6" a="1"/>
  <c r="AQ15" i="6" a="1"/>
  <c r="Y41" i="6" a="1"/>
  <c r="Y16" i="6" a="1"/>
  <c r="Y34" i="6" a="1"/>
  <c r="Y42" i="6" a="1"/>
  <c r="AM26" i="6" a="1"/>
  <c r="AQ5" i="6" a="1"/>
  <c r="Y27" i="6" a="1"/>
  <c r="AM29" i="6" a="1"/>
  <c r="T26" i="6" a="1"/>
  <c r="AM31" i="6" a="1"/>
  <c r="AM35" i="6" a="1"/>
  <c r="Y13" i="6" a="1"/>
  <c r="AM38" i="6" a="1"/>
  <c r="AQ14" i="6" a="1"/>
  <c r="Y4" i="6" a="1"/>
  <c r="T27" i="6" a="1"/>
  <c r="AP8" i="6" l="1"/>
  <c r="AX8" i="6"/>
  <c r="AH8" i="6"/>
  <c r="B30" i="3"/>
  <c r="BB7" i="7"/>
  <c r="AH9" i="7"/>
  <c r="AX6" i="7"/>
  <c r="AL9" i="7"/>
  <c r="BB6" i="7"/>
  <c r="AL6" i="7"/>
  <c r="AP6" i="7"/>
  <c r="AP7" i="7"/>
  <c r="AP10" i="7"/>
  <c r="AX8" i="7"/>
  <c r="AL10" i="7"/>
  <c r="BB8" i="7"/>
  <c r="AL8" i="7"/>
  <c r="AP8" i="7"/>
  <c r="AP5" i="7"/>
  <c r="Y5" i="7"/>
  <c r="Z5" i="7" s="1"/>
  <c r="Y7" i="7"/>
  <c r="AU29" i="7"/>
  <c r="AI11" i="7"/>
  <c r="Y16" i="7"/>
  <c r="Y21" i="7"/>
  <c r="Y9" i="7"/>
  <c r="AI12" i="7"/>
  <c r="AM13" i="7"/>
  <c r="Y25" i="7"/>
  <c r="AU36" i="7"/>
  <c r="AU38" i="7"/>
  <c r="AU40" i="7"/>
  <c r="AU42" i="7"/>
  <c r="AU44" i="7"/>
  <c r="T30" i="7"/>
  <c r="AM6" i="7"/>
  <c r="AM8" i="7"/>
  <c r="Y27" i="7"/>
  <c r="Y8" i="7"/>
  <c r="Y20" i="7"/>
  <c r="Y4" i="7"/>
  <c r="AI9" i="7"/>
  <c r="Y22" i="7"/>
  <c r="T24" i="7"/>
  <c r="AU30" i="7"/>
  <c r="AU35" i="7"/>
  <c r="AU39" i="7"/>
  <c r="AU43" i="7"/>
  <c r="T26" i="7"/>
  <c r="AU37" i="7"/>
  <c r="AU41" i="7"/>
  <c r="AM7" i="7"/>
  <c r="Y11" i="7"/>
  <c r="Y12" i="7"/>
  <c r="Y19" i="7"/>
  <c r="Y6" i="7"/>
  <c r="AM5" i="7"/>
  <c r="AN5" i="7" s="1"/>
  <c r="AY24" i="7"/>
  <c r="T31" i="7"/>
  <c r="Y23" i="7"/>
  <c r="AU32" i="7"/>
  <c r="Y33" i="7"/>
  <c r="T34" i="7"/>
  <c r="T25" i="7"/>
  <c r="Y30" i="7"/>
  <c r="AM15" i="7"/>
  <c r="AI17" i="7"/>
  <c r="Y24" i="7"/>
  <c r="AU27" i="7"/>
  <c r="T28" i="7"/>
  <c r="Y13" i="7"/>
  <c r="AU33" i="7"/>
  <c r="Y34" i="7"/>
  <c r="T35" i="7"/>
  <c r="AI10" i="7"/>
  <c r="Y18" i="7"/>
  <c r="Y28" i="7"/>
  <c r="AI19" i="7"/>
  <c r="AI20" i="7"/>
  <c r="AY21" i="7"/>
  <c r="AY22" i="7"/>
  <c r="AU34" i="7"/>
  <c r="Y35" i="7"/>
  <c r="Y36" i="7"/>
  <c r="Y37" i="7"/>
  <c r="Y38" i="7"/>
  <c r="Y39" i="7"/>
  <c r="Y40" i="7"/>
  <c r="Y41" i="7"/>
  <c r="Y42" i="7"/>
  <c r="Y43" i="7"/>
  <c r="Y44" i="7"/>
  <c r="Y15" i="7"/>
  <c r="AY23" i="7"/>
  <c r="AU25" i="7"/>
  <c r="Y26" i="7"/>
  <c r="Y31" i="7"/>
  <c r="AM14" i="7"/>
  <c r="AU28" i="7"/>
  <c r="T29" i="7"/>
  <c r="AU26" i="7"/>
  <c r="AU31" i="7"/>
  <c r="T32" i="7"/>
  <c r="Y17" i="7"/>
  <c r="Y29" i="7"/>
  <c r="AM16" i="7"/>
  <c r="AI18" i="7"/>
  <c r="T27" i="7"/>
  <c r="Y10" i="7"/>
  <c r="Y14" i="7"/>
  <c r="Y32" i="7"/>
  <c r="T33" i="7"/>
  <c r="BB5" i="7"/>
  <c r="AT5" i="7"/>
  <c r="AT7" i="7"/>
  <c r="AT9" i="7"/>
  <c r="AP9" i="7"/>
  <c r="BB9" i="7"/>
  <c r="AH5" i="7"/>
  <c r="AH7" i="7"/>
  <c r="O29" i="7"/>
  <c r="AX5" i="7"/>
  <c r="AX7" i="7"/>
  <c r="L14" i="7"/>
  <c r="M14" i="7" s="1"/>
  <c r="L19" i="7"/>
  <c r="M19" i="7" s="1"/>
  <c r="L18" i="7"/>
  <c r="M18" i="7" s="1"/>
  <c r="AT6" i="7"/>
  <c r="AT8" i="7"/>
  <c r="O28" i="7"/>
  <c r="O30" i="7"/>
  <c r="L17" i="7"/>
  <c r="M17" i="7" s="1"/>
  <c r="BB10" i="7"/>
  <c r="AX10" i="7"/>
  <c r="AH10" i="7"/>
  <c r="BB8" i="6"/>
  <c r="AT5" i="6"/>
  <c r="AX5" i="6"/>
  <c r="AH6" i="6"/>
  <c r="BB6" i="6"/>
  <c r="AP6" i="6"/>
  <c r="AX6" i="6"/>
  <c r="Y22" i="6"/>
  <c r="AM30" i="6"/>
  <c r="Y6" i="6"/>
  <c r="Y8" i="6"/>
  <c r="AQ14" i="6"/>
  <c r="Y19" i="6"/>
  <c r="AQ6" i="6"/>
  <c r="AQ8" i="6"/>
  <c r="AM25" i="6"/>
  <c r="T24" i="6"/>
  <c r="Y18" i="6"/>
  <c r="T35" i="6"/>
  <c r="Y12" i="6"/>
  <c r="Y13" i="6"/>
  <c r="Y21" i="6"/>
  <c r="AM9" i="6"/>
  <c r="Y11" i="6"/>
  <c r="T27" i="6"/>
  <c r="Y28" i="6"/>
  <c r="Y27" i="6"/>
  <c r="Y4" i="6"/>
  <c r="Y5" i="6"/>
  <c r="Z5" i="6" s="1"/>
  <c r="Y7" i="6"/>
  <c r="Y9" i="6"/>
  <c r="Y34" i="6"/>
  <c r="AQ7" i="6"/>
  <c r="AQ5" i="6"/>
  <c r="AR5" i="6" s="1"/>
  <c r="Y20" i="6"/>
  <c r="AQ16" i="6"/>
  <c r="AM18" i="6"/>
  <c r="Y23" i="6"/>
  <c r="AM28" i="6"/>
  <c r="Y33" i="6"/>
  <c r="T34" i="6"/>
  <c r="Y16" i="6"/>
  <c r="T25" i="6"/>
  <c r="Y30" i="6"/>
  <c r="AM35" i="6"/>
  <c r="AM36" i="6"/>
  <c r="AM37" i="6"/>
  <c r="AM38" i="6"/>
  <c r="AM39" i="6"/>
  <c r="AM40" i="6"/>
  <c r="AM41" i="6"/>
  <c r="AM42" i="6"/>
  <c r="AM43" i="6"/>
  <c r="AM44" i="6"/>
  <c r="AQ13" i="6"/>
  <c r="Y24" i="6"/>
  <c r="AM26" i="6"/>
  <c r="T28" i="6"/>
  <c r="AM31" i="6"/>
  <c r="Y25" i="6"/>
  <c r="T26" i="6"/>
  <c r="T31" i="6"/>
  <c r="AQ15" i="6"/>
  <c r="AM17" i="6"/>
  <c r="AM29" i="6"/>
  <c r="Y35" i="6"/>
  <c r="Y36" i="6"/>
  <c r="Y37" i="6"/>
  <c r="Y38" i="6"/>
  <c r="Y39" i="6"/>
  <c r="Y40" i="6"/>
  <c r="Y41" i="6"/>
  <c r="Y42" i="6"/>
  <c r="Y43" i="6"/>
  <c r="Y44" i="6"/>
  <c r="Y15" i="6"/>
  <c r="Y26" i="6"/>
  <c r="Y31" i="6"/>
  <c r="T29" i="6"/>
  <c r="AM32" i="6"/>
  <c r="AM10" i="6"/>
  <c r="AM19" i="6"/>
  <c r="AM20" i="6"/>
  <c r="BC21" i="6"/>
  <c r="BC22" i="6"/>
  <c r="AM27" i="6"/>
  <c r="T32" i="6"/>
  <c r="Y17" i="6"/>
  <c r="BC23" i="6"/>
  <c r="Y29" i="6"/>
  <c r="AM33" i="6"/>
  <c r="Y10" i="6"/>
  <c r="Y14" i="6"/>
  <c r="BC24" i="6"/>
  <c r="Y32" i="6"/>
  <c r="T33" i="6"/>
  <c r="AM11" i="6"/>
  <c r="AM12" i="6"/>
  <c r="T30" i="6"/>
  <c r="AM34" i="6"/>
  <c r="AT7" i="6"/>
  <c r="O27" i="6"/>
  <c r="L14" i="6"/>
  <c r="M14" i="6" s="1"/>
  <c r="AH5" i="6"/>
  <c r="AH7" i="6"/>
  <c r="AT9" i="6"/>
  <c r="AP9" i="6"/>
  <c r="AX9" i="6"/>
  <c r="AH9" i="6"/>
  <c r="AX7" i="6"/>
  <c r="AL9" i="6"/>
  <c r="AL7" i="6"/>
  <c r="AL5" i="6"/>
  <c r="O30" i="6"/>
  <c r="L17" i="6"/>
  <c r="M17" i="6" s="1"/>
  <c r="AT6" i="6"/>
  <c r="AT8" i="6"/>
  <c r="O32" i="6"/>
  <c r="L19" i="6"/>
  <c r="M19" i="6" s="1"/>
  <c r="L15" i="6"/>
  <c r="M15" i="6" s="1"/>
  <c r="BB5" i="6"/>
  <c r="AP10" i="6"/>
  <c r="BB10" i="6"/>
  <c r="AX10" i="6"/>
  <c r="AH10" i="6"/>
  <c r="BB7" i="6"/>
  <c r="L16" i="6"/>
  <c r="M16" i="6" s="1"/>
  <c r="O29" i="6"/>
  <c r="L18" i="6"/>
  <c r="M18" i="6" s="1"/>
  <c r="O31" i="6"/>
  <c r="AT10" i="6"/>
  <c r="AQ23" i="7" a="1"/>
  <c r="AQ8" i="7" a="1"/>
  <c r="AI34" i="7" a="1"/>
  <c r="BC32" i="7" a="1"/>
  <c r="AQ32" i="7" a="1"/>
  <c r="AY27" i="7" a="1"/>
  <c r="BC21" i="7" a="1"/>
  <c r="AM26" i="7" a="1"/>
  <c r="AY8" i="7" a="1"/>
  <c r="AU12" i="7" a="1"/>
  <c r="AQ15" i="7" a="1"/>
  <c r="AY18" i="7" a="1"/>
  <c r="BC26" i="7" a="1"/>
  <c r="AI14" i="7" a="1"/>
  <c r="AY32" i="7" a="1"/>
  <c r="AI40" i="7" a="1"/>
  <c r="AY6" i="7" a="1"/>
  <c r="AM35" i="7" a="1"/>
  <c r="AI31" i="7" a="1"/>
  <c r="BC10" i="7" a="1"/>
  <c r="BC17" i="7" a="1"/>
  <c r="AU8" i="7" a="1"/>
  <c r="AQ35" i="7" a="1"/>
  <c r="AM29" i="7" a="1"/>
  <c r="AQ7" i="7" a="1"/>
  <c r="AY35" i="7" a="1"/>
  <c r="AQ24" i="7" a="1"/>
  <c r="AM43" i="7" a="1"/>
  <c r="AI41" i="7" a="1"/>
  <c r="AM18" i="7" a="1"/>
  <c r="AQ17" i="7" a="1"/>
  <c r="AY39" i="7" a="1"/>
  <c r="BC35" i="7" a="1"/>
  <c r="AQ43" i="7" a="1"/>
  <c r="AQ20" i="7" a="1"/>
  <c r="BC15" i="7" a="1"/>
  <c r="AY43" i="7" a="1"/>
  <c r="AI7" i="7" a="1"/>
  <c r="AQ26" i="7" a="1"/>
  <c r="AM30" i="7" a="1"/>
  <c r="AU5" i="7" a="1"/>
  <c r="AI37" i="7" a="1"/>
  <c r="AI26" i="7" a="1"/>
  <c r="BC30" i="7" a="1"/>
  <c r="AY20" i="7" a="1"/>
  <c r="BC8" i="7" a="1"/>
  <c r="AY42" i="7" a="1"/>
  <c r="BC39" i="7" a="1"/>
  <c r="AQ6" i="7" a="1"/>
  <c r="AY33" i="7" a="1"/>
  <c r="AM38" i="7" a="1"/>
  <c r="AU17" i="7" a="1"/>
  <c r="AY38" i="7" a="1"/>
  <c r="AY12" i="7" a="1"/>
  <c r="AY16" i="7" a="1"/>
  <c r="AY26" i="7" a="1"/>
  <c r="AU23" i="7" a="1"/>
  <c r="AM42" i="7" a="1"/>
  <c r="AQ10" i="7" a="1"/>
  <c r="BC18" i="7" a="1"/>
  <c r="AM41" i="7" a="1"/>
  <c r="AQ18" i="7" a="1"/>
  <c r="AI30" i="7" a="1"/>
  <c r="BC13" i="7" a="1"/>
  <c r="BC29" i="7" a="1"/>
  <c r="AY13" i="7" a="1"/>
  <c r="AQ37" i="7" a="1"/>
  <c r="AU14" i="7" a="1"/>
  <c r="AY31" i="7" a="1"/>
  <c r="BC24" i="7" a="1"/>
  <c r="AM27" i="7" a="1"/>
  <c r="AI6" i="7" a="1"/>
  <c r="BC20" i="7" a="1"/>
  <c r="BC37" i="7" a="1"/>
  <c r="AY9" i="7" a="1"/>
  <c r="AU21" i="7" a="1"/>
  <c r="AY40" i="7" a="1"/>
  <c r="AY29" i="7" a="1"/>
  <c r="AU11" i="7" a="1"/>
  <c r="AI16" i="7" a="1"/>
  <c r="AU6" i="7" a="1"/>
  <c r="AQ41" i="7" a="1"/>
  <c r="BC44" i="7" a="1"/>
  <c r="AM20" i="7" a="1"/>
  <c r="BC5" i="7" a="1"/>
  <c r="AI44" i="7" a="1"/>
  <c r="AY44" i="7" a="1"/>
  <c r="BC19" i="7" a="1"/>
  <c r="AY37" i="7" a="1"/>
  <c r="AQ42" i="7" a="1"/>
  <c r="AQ30" i="7" a="1"/>
  <c r="AM23" i="7" a="1"/>
  <c r="AY25" i="7" a="1"/>
  <c r="BC14" i="7" a="1"/>
  <c r="BC11" i="7" a="1"/>
  <c r="AQ22" i="7" a="1"/>
  <c r="AM21" i="7" a="1"/>
  <c r="AM34" i="7" a="1"/>
  <c r="AU13" i="7" a="1"/>
  <c r="AQ9" i="7" a="1"/>
  <c r="AI8" i="7" a="1"/>
  <c r="AI28" i="7" a="1"/>
  <c r="BC28" i="7" a="1"/>
  <c r="AQ21" i="7" a="1"/>
  <c r="BC6" i="7" a="1"/>
  <c r="BC43" i="7" a="1"/>
  <c r="AQ27" i="7" a="1"/>
  <c r="AU19" i="7" a="1"/>
  <c r="AI27" i="7" a="1"/>
  <c r="AU10" i="7" a="1"/>
  <c r="AQ33" i="7" a="1"/>
  <c r="AI36" i="7" a="1"/>
  <c r="BC38" i="7" a="1"/>
  <c r="AI24" i="7" a="1"/>
  <c r="BC22" i="7" a="1"/>
  <c r="AM17" i="7" a="1"/>
  <c r="AM25" i="7" a="1"/>
  <c r="BC7" i="7" a="1"/>
  <c r="AU7" i="7" a="1"/>
  <c r="AM28" i="7" a="1"/>
  <c r="AU22" i="7" a="1"/>
  <c r="AM36" i="7" a="1"/>
  <c r="AY19" i="7" a="1"/>
  <c r="AQ12" i="7" a="1"/>
  <c r="AI5" i="7" a="1"/>
  <c r="AQ34" i="7" a="1"/>
  <c r="AY28" i="7" a="1"/>
  <c r="AU18" i="7" a="1"/>
  <c r="AM40" i="7" a="1"/>
  <c r="AI21" i="7" a="1"/>
  <c r="AI42" i="7" a="1"/>
  <c r="BC33" i="7" a="1"/>
  <c r="AI13" i="7" a="1"/>
  <c r="AY30" i="7" a="1"/>
  <c r="AY7" i="7" a="1"/>
  <c r="AM9" i="7" a="1"/>
  <c r="AY17" i="7" a="1"/>
  <c r="AU24" i="7" a="1"/>
  <c r="AM22" i="7" a="1"/>
  <c r="AY14" i="7" a="1"/>
  <c r="AI35" i="7" a="1"/>
  <c r="AQ28" i="7" a="1"/>
  <c r="AQ39" i="7" a="1"/>
  <c r="BC16" i="7" a="1"/>
  <c r="BC36" i="7" a="1"/>
  <c r="AM11" i="7" a="1"/>
  <c r="AM24" i="7" a="1"/>
  <c r="BC23" i="7" a="1"/>
  <c r="AM32" i="7" a="1"/>
  <c r="AM10" i="7" a="1"/>
  <c r="AU16" i="7" a="1"/>
  <c r="AU15" i="7" a="1"/>
  <c r="AM39" i="7" a="1"/>
  <c r="AI15" i="7" a="1"/>
  <c r="AI22" i="7" a="1"/>
  <c r="AQ31" i="7" a="1"/>
  <c r="AU20" i="7" a="1"/>
  <c r="AQ29" i="7" a="1"/>
  <c r="AY11" i="7" a="1"/>
  <c r="BC42" i="7" a="1"/>
  <c r="BC25" i="7" a="1"/>
  <c r="AI25" i="7" a="1"/>
  <c r="AI23" i="7" a="1"/>
  <c r="AY34" i="7" a="1"/>
  <c r="AM44" i="7" a="1"/>
  <c r="AY10" i="7" a="1"/>
  <c r="AQ16" i="7" a="1"/>
  <c r="AY41" i="7" a="1"/>
  <c r="AQ25" i="7" a="1"/>
  <c r="BC41" i="7" a="1"/>
  <c r="AM33" i="7" a="1"/>
  <c r="BC31" i="7" a="1"/>
  <c r="AQ44" i="7" a="1"/>
  <c r="BC9" i="7" a="1"/>
  <c r="AI33" i="7" a="1"/>
  <c r="AU9" i="7" a="1"/>
  <c r="AQ14" i="7" a="1"/>
  <c r="AQ5" i="7" a="1"/>
  <c r="AM19" i="7" a="1"/>
  <c r="AY36" i="7" a="1"/>
  <c r="BC34" i="7" a="1"/>
  <c r="AQ40" i="7" a="1"/>
  <c r="AQ19" i="7" a="1"/>
  <c r="AQ13" i="7" a="1"/>
  <c r="AM37" i="7" a="1"/>
  <c r="AY15" i="7" a="1"/>
  <c r="AI29" i="7" a="1"/>
  <c r="AM12" i="7" a="1"/>
  <c r="AQ36" i="7" a="1"/>
  <c r="AI38" i="7" a="1"/>
  <c r="BC40" i="7" a="1"/>
  <c r="AI43" i="7" a="1"/>
  <c r="AI39" i="7" a="1"/>
  <c r="AQ38" i="7" a="1"/>
  <c r="AM31" i="7" a="1"/>
  <c r="BC12" i="7" a="1"/>
  <c r="AI32" i="7" a="1"/>
  <c r="AY5" i="7" a="1"/>
  <c r="AQ11" i="7" a="1"/>
  <c r="BC27" i="7" a="1"/>
  <c r="AY15" i="6" a="1"/>
  <c r="AU13" i="6" a="1"/>
  <c r="AM16" i="6" a="1"/>
  <c r="AI19" i="6" a="1"/>
  <c r="BC8" i="6" a="1"/>
  <c r="AY6" i="6" a="1"/>
  <c r="AI26" i="6" a="1"/>
  <c r="BC34" i="6" a="1"/>
  <c r="BC13" i="6" a="1"/>
  <c r="AY14" i="6" a="1"/>
  <c r="BC17" i="6" a="1"/>
  <c r="AI30" i="6" a="1"/>
  <c r="AY17" i="6" a="1"/>
  <c r="AY40" i="6" a="1"/>
  <c r="AQ40" i="6" a="1"/>
  <c r="BC10" i="6" a="1"/>
  <c r="AI29" i="6" a="1"/>
  <c r="AU40" i="6" a="1"/>
  <c r="AY35" i="6" a="1"/>
  <c r="AY20" i="6" a="1"/>
  <c r="AI36" i="6" a="1"/>
  <c r="AU31" i="6" a="1"/>
  <c r="AU34" i="6" a="1"/>
  <c r="AU42" i="6" a="1"/>
  <c r="AI44" i="6" a="1"/>
  <c r="AM13" i="6" a="1"/>
  <c r="BC37" i="6" a="1"/>
  <c r="AI43" i="6" a="1"/>
  <c r="BC38" i="6" a="1"/>
  <c r="BC26" i="6" a="1"/>
  <c r="AM23" i="6" a="1"/>
  <c r="AQ26" i="6" a="1"/>
  <c r="AQ17" i="6" a="1"/>
  <c r="AM24" i="6" a="1"/>
  <c r="AY18" i="6" a="1"/>
  <c r="BC6" i="6" a="1"/>
  <c r="AI20" i="6" a="1"/>
  <c r="AY30" i="6" a="1"/>
  <c r="AQ11" i="6" a="1"/>
  <c r="AU12" i="6" a="1"/>
  <c r="AQ39" i="6" a="1"/>
  <c r="AU14" i="6" a="1"/>
  <c r="AM21" i="6" a="1"/>
  <c r="AI10" i="6" a="1"/>
  <c r="AI40" i="6" a="1"/>
  <c r="AY27" i="6" a="1"/>
  <c r="AI18" i="6" a="1"/>
  <c r="AU33" i="6" a="1"/>
  <c r="AY28" i="6" a="1"/>
  <c r="AY19" i="6" a="1"/>
  <c r="BC28" i="6" a="1"/>
  <c r="AY22" i="6" a="1"/>
  <c r="AU24" i="6" a="1"/>
  <c r="AU7" i="6" a="1"/>
  <c r="AI23" i="6" a="1"/>
  <c r="AU20" i="6" a="1"/>
  <c r="AI35" i="6" a="1"/>
  <c r="BC33" i="6" a="1"/>
  <c r="AI33" i="6" a="1"/>
  <c r="AI42" i="6" a="1"/>
  <c r="AQ10" i="6" a="1"/>
  <c r="AI9" i="6" a="1"/>
  <c r="AI14" i="6" a="1"/>
  <c r="AY29" i="6" a="1"/>
  <c r="AI32" i="6" a="1"/>
  <c r="AQ38" i="6" a="1"/>
  <c r="AU32" i="6" a="1"/>
  <c r="AQ18" i="6" a="1"/>
  <c r="AY38" i="6" a="1"/>
  <c r="AY39" i="6" a="1"/>
  <c r="AQ42" i="6" a="1"/>
  <c r="AU18" i="6" a="1"/>
  <c r="BC9" i="6" a="1"/>
  <c r="AY13" i="6" a="1"/>
  <c r="AY37" i="6" a="1"/>
  <c r="AQ20" i="6" a="1"/>
  <c r="AY31" i="6" a="1"/>
  <c r="AU10" i="6" a="1"/>
  <c r="BC20" i="6" a="1"/>
  <c r="AI25" i="6" a="1"/>
  <c r="AU5" i="6" a="1"/>
  <c r="AU39" i="6" a="1"/>
  <c r="AY36" i="6" a="1"/>
  <c r="AI12" i="6" a="1"/>
  <c r="BC7" i="6" a="1"/>
  <c r="BC12" i="6" a="1"/>
  <c r="AI15" i="6" a="1"/>
  <c r="AQ9" i="6" a="1"/>
  <c r="AM7" i="6" a="1"/>
  <c r="AQ24" i="6" a="1"/>
  <c r="AY12" i="6" a="1"/>
  <c r="AU22" i="6" a="1"/>
  <c r="AM5" i="6" a="1"/>
  <c r="AU37" i="6" a="1"/>
  <c r="BC25" i="6" a="1"/>
  <c r="AU35" i="6" a="1"/>
  <c r="AQ29" i="6" a="1"/>
  <c r="AI34" i="6" a="1"/>
  <c r="AY42" i="6" a="1"/>
  <c r="AY10" i="6" a="1"/>
  <c r="AU23" i="6" a="1"/>
  <c r="AQ33" i="6" a="1"/>
  <c r="AI41" i="6" a="1"/>
  <c r="BC29" i="6" a="1"/>
  <c r="BC16" i="6" a="1"/>
  <c r="BC14" i="6" a="1"/>
  <c r="BC44" i="6" a="1"/>
  <c r="AI6" i="6" a="1"/>
  <c r="AQ32" i="6" a="1"/>
  <c r="AU9" i="6" a="1"/>
  <c r="AM22" i="6" a="1"/>
  <c r="AQ41" i="6" a="1"/>
  <c r="AM8" i="6" a="1"/>
  <c r="AU41" i="6" a="1"/>
  <c r="AU17" i="6" a="1"/>
  <c r="AU38" i="6" a="1"/>
  <c r="BC30" i="6" a="1"/>
  <c r="AU43" i="6" a="1"/>
  <c r="BC41" i="6" a="1"/>
  <c r="AU26" i="6" a="1"/>
  <c r="AI22" i="6" a="1"/>
  <c r="AI8" i="6" a="1"/>
  <c r="AI27" i="6" a="1"/>
  <c r="AU19" i="6" a="1"/>
  <c r="AU44" i="6" a="1"/>
  <c r="AQ30" i="6" a="1"/>
  <c r="BC32" i="6" a="1"/>
  <c r="BC5" i="6" a="1"/>
  <c r="AY16" i="6" a="1"/>
  <c r="AQ43" i="6" a="1"/>
  <c r="AU16" i="6" a="1"/>
  <c r="AQ23" i="6" a="1"/>
  <c r="AQ44" i="6" a="1"/>
  <c r="AQ34" i="6" a="1"/>
  <c r="AQ21" i="6" a="1"/>
  <c r="BC39" i="6" a="1"/>
  <c r="AU25" i="6" a="1"/>
  <c r="BC40" i="6" a="1"/>
  <c r="AU28" i="6" a="1"/>
  <c r="BC27" i="6" a="1"/>
  <c r="BC15" i="6" a="1"/>
  <c r="AM14" i="6" a="1"/>
  <c r="AU6" i="6" a="1"/>
  <c r="AI38" i="6" a="1"/>
  <c r="BC36" i="6" a="1"/>
  <c r="AU27" i="6" a="1"/>
  <c r="AY21" i="6" a="1"/>
  <c r="AU15" i="6" a="1"/>
  <c r="AQ37" i="6" a="1"/>
  <c r="AI31" i="6" a="1"/>
  <c r="AI5" i="6" a="1"/>
  <c r="AQ22" i="6" a="1"/>
  <c r="AI11" i="6" a="1"/>
  <c r="AQ12" i="6" a="1"/>
  <c r="AY11" i="6" a="1"/>
  <c r="BC11" i="6" a="1"/>
  <c r="AQ31" i="6" a="1"/>
  <c r="AU36" i="6" a="1"/>
  <c r="AY32" i="6" a="1"/>
  <c r="AY8" i="6" a="1"/>
  <c r="AY41" i="6" a="1"/>
  <c r="AQ25" i="6" a="1"/>
  <c r="BC35" i="6" a="1"/>
  <c r="AY34" i="6" a="1"/>
  <c r="AI21" i="6" a="1"/>
  <c r="BC31" i="6" a="1"/>
  <c r="AQ35" i="6" a="1"/>
  <c r="AQ36" i="6" a="1"/>
  <c r="AY23" i="6" a="1"/>
  <c r="AY26" i="6" a="1"/>
  <c r="AI24" i="6" a="1"/>
  <c r="AU21" i="6" a="1"/>
  <c r="AM15" i="6" a="1"/>
  <c r="AU8" i="6" a="1"/>
  <c r="AI37" i="6" a="1"/>
  <c r="BC43" i="6" a="1"/>
  <c r="AU29" i="6" a="1"/>
  <c r="AY24" i="6" a="1"/>
  <c r="AI13" i="6" a="1"/>
  <c r="AY44" i="6" a="1"/>
  <c r="AQ19" i="6" a="1"/>
  <c r="AY33" i="6" a="1"/>
  <c r="AM6" i="6" a="1"/>
  <c r="AI7" i="6" a="1"/>
  <c r="AI16" i="6" a="1"/>
  <c r="AI17" i="6" a="1"/>
  <c r="AQ27" i="6" a="1"/>
  <c r="AY9" i="6" a="1"/>
  <c r="AI28" i="6" a="1"/>
  <c r="BC42" i="6" a="1"/>
  <c r="AY43" i="6" a="1"/>
  <c r="AY7" i="6" a="1"/>
  <c r="BC19" i="6" a="1"/>
  <c r="BC18" i="6" a="1"/>
  <c r="AU30" i="6" a="1"/>
  <c r="AY5" i="6" a="1"/>
  <c r="AU11" i="6" a="1"/>
  <c r="AI39" i="6" a="1"/>
  <c r="AY25" i="6" a="1"/>
  <c r="AQ28" i="6" a="1"/>
  <c r="AE28" i="4" a="1"/>
  <c r="AE30" i="4" a="1"/>
  <c r="AE34" i="4" a="1"/>
  <c r="AE26" i="4" a="1"/>
  <c r="AE24" i="4" a="1"/>
  <c r="AE31" i="4" a="1"/>
  <c r="AE33" i="4" a="1"/>
  <c r="AJ24" i="4" a="1"/>
  <c r="AE25" i="4" a="1"/>
  <c r="AE32" i="4" a="1"/>
  <c r="AE27" i="4" a="1"/>
  <c r="AE29" i="4" a="1"/>
  <c r="AI17" i="6" l="1"/>
  <c r="AI18" i="6"/>
  <c r="AI20" i="6"/>
  <c r="AI19" i="6"/>
  <c r="AY20" i="6"/>
  <c r="AY19" i="6"/>
  <c r="AY17" i="6"/>
  <c r="AY18" i="6"/>
  <c r="AQ20" i="6"/>
  <c r="AQ18" i="6"/>
  <c r="AQ19" i="6"/>
  <c r="AQ17" i="6"/>
  <c r="BC16" i="7"/>
  <c r="BC14" i="7"/>
  <c r="BC15" i="7"/>
  <c r="BC13" i="7"/>
  <c r="AQ14" i="7"/>
  <c r="AQ15" i="7"/>
  <c r="AQ16" i="7"/>
  <c r="AQ13" i="7"/>
  <c r="AQ11" i="7"/>
  <c r="AQ12" i="7"/>
  <c r="AQ10" i="7"/>
  <c r="AQ9" i="7"/>
  <c r="AM9" i="7"/>
  <c r="AM12" i="7"/>
  <c r="AM11" i="7"/>
  <c r="AM10" i="7"/>
  <c r="BC9" i="7"/>
  <c r="BC11" i="7"/>
  <c r="BC12" i="7"/>
  <c r="BC10" i="7"/>
  <c r="AM24" i="7"/>
  <c r="AM23" i="7"/>
  <c r="AM22" i="7"/>
  <c r="AM21" i="7"/>
  <c r="AY10" i="7"/>
  <c r="AY12" i="7"/>
  <c r="AY11" i="7"/>
  <c r="AY9" i="7"/>
  <c r="AI23" i="7"/>
  <c r="AI22" i="7"/>
  <c r="AI21" i="7"/>
  <c r="AI24" i="7"/>
  <c r="AQ6" i="7"/>
  <c r="AQ8" i="7"/>
  <c r="AQ5" i="7"/>
  <c r="AR5" i="7" s="1"/>
  <c r="AS5" i="7" s="1"/>
  <c r="AQ7" i="7"/>
  <c r="AQ20" i="7"/>
  <c r="AQ18" i="7"/>
  <c r="AQ17" i="7"/>
  <c r="AQ19" i="7"/>
  <c r="AM20" i="7"/>
  <c r="AM19" i="7"/>
  <c r="AM17" i="7"/>
  <c r="AM18" i="7"/>
  <c r="BC20" i="7"/>
  <c r="BC19" i="7"/>
  <c r="BC17" i="7"/>
  <c r="BC18" i="7"/>
  <c r="AM30" i="7"/>
  <c r="AM33" i="7"/>
  <c r="AM27" i="7"/>
  <c r="AM32" i="7"/>
  <c r="AM29" i="7"/>
  <c r="AM31" i="7"/>
  <c r="AM26" i="7"/>
  <c r="AM44" i="7"/>
  <c r="AM43" i="7"/>
  <c r="AM42" i="7"/>
  <c r="AM41" i="7"/>
  <c r="AM40" i="7"/>
  <c r="AM39" i="7"/>
  <c r="AM38" i="7"/>
  <c r="AM37" i="7"/>
  <c r="AM36" i="7"/>
  <c r="AM35" i="7"/>
  <c r="AM28" i="7"/>
  <c r="AM34" i="7"/>
  <c r="AM25" i="7"/>
  <c r="AY18" i="7"/>
  <c r="AY20" i="7"/>
  <c r="AY19" i="7"/>
  <c r="AY17" i="7"/>
  <c r="AQ32" i="7"/>
  <c r="AQ29" i="7"/>
  <c r="AQ31" i="7"/>
  <c r="AQ26" i="7"/>
  <c r="AQ44" i="7"/>
  <c r="AQ43" i="7"/>
  <c r="AQ42" i="7"/>
  <c r="AQ41" i="7"/>
  <c r="AQ40" i="7"/>
  <c r="AQ39" i="7"/>
  <c r="AQ38" i="7"/>
  <c r="AQ37" i="7"/>
  <c r="AQ36" i="7"/>
  <c r="AQ35" i="7"/>
  <c r="AQ25" i="7"/>
  <c r="AQ34" i="7"/>
  <c r="AQ30" i="7"/>
  <c r="AQ27" i="7"/>
  <c r="AQ33" i="7"/>
  <c r="AQ28" i="7"/>
  <c r="AY7" i="7"/>
  <c r="AY5" i="7"/>
  <c r="AZ5" i="7" s="1"/>
  <c r="AY8" i="7"/>
  <c r="AY6" i="7"/>
  <c r="AI16" i="7"/>
  <c r="AI15" i="7"/>
  <c r="AI14" i="7"/>
  <c r="AI13" i="7"/>
  <c r="AY16" i="7"/>
  <c r="AY14" i="7"/>
  <c r="AY15" i="7"/>
  <c r="AY13" i="7"/>
  <c r="AU24" i="7"/>
  <c r="AU23" i="7"/>
  <c r="AU22" i="7"/>
  <c r="AU21" i="7"/>
  <c r="BC30" i="7"/>
  <c r="BC33" i="7"/>
  <c r="BC27" i="7"/>
  <c r="BC32" i="7"/>
  <c r="BC29" i="7"/>
  <c r="BC31" i="7"/>
  <c r="BC26" i="7"/>
  <c r="BC44" i="7"/>
  <c r="BC43" i="7"/>
  <c r="BC42" i="7"/>
  <c r="BC41" i="7"/>
  <c r="BC40" i="7"/>
  <c r="BC39" i="7"/>
  <c r="BC38" i="7"/>
  <c r="BC37" i="7"/>
  <c r="BC36" i="7"/>
  <c r="BC35" i="7"/>
  <c r="BC28" i="7"/>
  <c r="BC25" i="7"/>
  <c r="BC34" i="7"/>
  <c r="AU18" i="7"/>
  <c r="AU20" i="7"/>
  <c r="AU19" i="7"/>
  <c r="AU17" i="7"/>
  <c r="AU8" i="7"/>
  <c r="AU6" i="7"/>
  <c r="AU7" i="7"/>
  <c r="AU5" i="7"/>
  <c r="AV5" i="7" s="1"/>
  <c r="AI7" i="7"/>
  <c r="AI5" i="7"/>
  <c r="AJ5" i="7" s="1"/>
  <c r="AI8" i="7"/>
  <c r="AI6" i="7"/>
  <c r="BC24" i="7"/>
  <c r="BC23" i="7"/>
  <c r="BC22" i="7"/>
  <c r="BC21" i="7"/>
  <c r="AQ24" i="7"/>
  <c r="AQ22" i="7"/>
  <c r="AQ23" i="7"/>
  <c r="AQ21" i="7"/>
  <c r="AU12" i="7"/>
  <c r="AU11" i="7"/>
  <c r="AU10" i="7"/>
  <c r="AU9" i="7"/>
  <c r="AU13" i="7"/>
  <c r="AU14" i="7"/>
  <c r="AU16" i="7"/>
  <c r="AU15" i="7"/>
  <c r="AI44" i="7"/>
  <c r="AI43" i="7"/>
  <c r="AI42" i="7"/>
  <c r="AI41" i="7"/>
  <c r="AI40" i="7"/>
  <c r="AI39" i="7"/>
  <c r="AI38" i="7"/>
  <c r="AI37" i="7"/>
  <c r="AI36" i="7"/>
  <c r="AI35" i="7"/>
  <c r="AI28" i="7"/>
  <c r="AI25" i="7"/>
  <c r="AI34" i="7"/>
  <c r="AI30" i="7"/>
  <c r="AI33" i="7"/>
  <c r="AI27" i="7"/>
  <c r="AI29" i="7"/>
  <c r="AI26" i="7"/>
  <c r="AI32" i="7"/>
  <c r="AI31" i="7"/>
  <c r="AY44" i="7"/>
  <c r="AY43" i="7"/>
  <c r="AY42" i="7"/>
  <c r="AY41" i="7"/>
  <c r="AY40" i="7"/>
  <c r="AY39" i="7"/>
  <c r="AY38" i="7"/>
  <c r="AY37" i="7"/>
  <c r="AY36" i="7"/>
  <c r="AY35" i="7"/>
  <c r="AY28" i="7"/>
  <c r="AY25" i="7"/>
  <c r="AY34" i="7"/>
  <c r="AY30" i="7"/>
  <c r="AY33" i="7"/>
  <c r="AY27" i="7"/>
  <c r="AY29" i="7"/>
  <c r="AY32" i="7"/>
  <c r="AY31" i="7"/>
  <c r="AY26" i="7"/>
  <c r="BC8" i="7"/>
  <c r="BC6" i="7"/>
  <c r="BC5" i="7"/>
  <c r="BD5" i="7" s="1"/>
  <c r="BC7" i="7"/>
  <c r="AO5" i="7"/>
  <c r="AN6" i="7"/>
  <c r="AN7" i="7" s="1"/>
  <c r="Z6" i="7"/>
  <c r="AA6" i="7" s="1"/>
  <c r="AA5" i="7"/>
  <c r="BC20" i="6"/>
  <c r="BC19" i="6"/>
  <c r="BC17" i="6"/>
  <c r="BC18" i="6"/>
  <c r="AY8" i="6"/>
  <c r="AY6" i="6"/>
  <c r="AY7" i="6"/>
  <c r="AY5" i="6"/>
  <c r="AZ5" i="6" s="1"/>
  <c r="BA5" i="6" s="1"/>
  <c r="AI12" i="6"/>
  <c r="AI11" i="6"/>
  <c r="AI10" i="6"/>
  <c r="AI9" i="6"/>
  <c r="AU6" i="6"/>
  <c r="AU8" i="6"/>
  <c r="AU7" i="6"/>
  <c r="AU5" i="6"/>
  <c r="AV5" i="6" s="1"/>
  <c r="AY12" i="6"/>
  <c r="AY11" i="6"/>
  <c r="AY9" i="6"/>
  <c r="AY10" i="6"/>
  <c r="AQ12" i="6"/>
  <c r="AQ11" i="6"/>
  <c r="AQ10" i="6"/>
  <c r="AQ9" i="6"/>
  <c r="BC12" i="6"/>
  <c r="BC11" i="6"/>
  <c r="BC10" i="6"/>
  <c r="BC9" i="6"/>
  <c r="Z6" i="6"/>
  <c r="AA6" i="6" s="1"/>
  <c r="AI6" i="6"/>
  <c r="AI8" i="6"/>
  <c r="AI7" i="6"/>
  <c r="AI5" i="6"/>
  <c r="AJ5" i="6" s="1"/>
  <c r="BC13" i="6"/>
  <c r="BC14" i="6"/>
  <c r="BC15" i="6"/>
  <c r="BC16" i="6"/>
  <c r="AU15" i="6"/>
  <c r="AU13" i="6"/>
  <c r="AU16" i="6"/>
  <c r="AU14" i="6"/>
  <c r="AU29" i="6"/>
  <c r="AU31" i="6"/>
  <c r="AU26" i="6"/>
  <c r="AU28" i="6"/>
  <c r="AU25" i="6"/>
  <c r="AU34" i="6"/>
  <c r="AU30" i="6"/>
  <c r="AU27" i="6"/>
  <c r="AU32" i="6"/>
  <c r="AU40" i="6"/>
  <c r="AU35" i="6"/>
  <c r="AU43" i="6"/>
  <c r="AU38" i="6"/>
  <c r="AU41" i="6"/>
  <c r="AU42" i="6"/>
  <c r="AU44" i="6"/>
  <c r="AU36" i="6"/>
  <c r="AU33" i="6"/>
  <c r="AU39" i="6"/>
  <c r="AU37" i="6"/>
  <c r="AU22" i="6"/>
  <c r="AU21" i="6"/>
  <c r="AU24" i="6"/>
  <c r="AU23" i="6"/>
  <c r="AU9" i="6"/>
  <c r="AU12" i="6"/>
  <c r="AU11" i="6"/>
  <c r="AU10" i="6"/>
  <c r="AI15" i="6"/>
  <c r="AI13" i="6"/>
  <c r="AI16" i="6"/>
  <c r="AI14" i="6"/>
  <c r="AI31" i="6"/>
  <c r="AI26" i="6"/>
  <c r="AI44" i="6"/>
  <c r="AI43" i="6"/>
  <c r="AI42" i="6"/>
  <c r="AI41" i="6"/>
  <c r="AI40" i="6"/>
  <c r="AI39" i="6"/>
  <c r="AI38" i="6"/>
  <c r="AI37" i="6"/>
  <c r="AI36" i="6"/>
  <c r="AI35" i="6"/>
  <c r="AI25" i="6"/>
  <c r="AI34" i="6"/>
  <c r="AI30" i="6"/>
  <c r="AI33" i="6"/>
  <c r="AI27" i="6"/>
  <c r="AI32" i="6"/>
  <c r="AI29" i="6"/>
  <c r="AI28" i="6"/>
  <c r="AY31" i="6"/>
  <c r="AY26" i="6"/>
  <c r="AY44" i="6"/>
  <c r="AY43" i="6"/>
  <c r="AY42" i="6"/>
  <c r="AY41" i="6"/>
  <c r="AY40" i="6"/>
  <c r="AY39" i="6"/>
  <c r="AY38" i="6"/>
  <c r="AY37" i="6"/>
  <c r="AY36" i="6"/>
  <c r="AY35" i="6"/>
  <c r="AY25" i="6"/>
  <c r="AY34" i="6"/>
  <c r="AY30" i="6"/>
  <c r="AY33" i="6"/>
  <c r="AY27" i="6"/>
  <c r="AY32" i="6"/>
  <c r="AY29" i="6"/>
  <c r="AY28" i="6"/>
  <c r="BC7" i="6"/>
  <c r="BC5" i="6"/>
  <c r="BD5" i="6" s="1"/>
  <c r="BC8" i="6"/>
  <c r="BC6" i="6"/>
  <c r="AM24" i="6"/>
  <c r="AM23" i="6"/>
  <c r="AM22" i="6"/>
  <c r="AM21" i="6"/>
  <c r="AM13" i="6"/>
  <c r="AM14" i="6"/>
  <c r="AM15" i="6"/>
  <c r="AM16" i="6"/>
  <c r="AY15" i="6"/>
  <c r="AY13" i="6"/>
  <c r="AY16" i="6"/>
  <c r="AY14" i="6"/>
  <c r="AI23" i="6"/>
  <c r="AI22" i="6"/>
  <c r="AI21" i="6"/>
  <c r="AI24" i="6"/>
  <c r="AY23" i="6"/>
  <c r="AY22" i="6"/>
  <c r="AY21" i="6"/>
  <c r="AY24" i="6"/>
  <c r="AQ27" i="6"/>
  <c r="AQ29" i="6"/>
  <c r="AQ31" i="6"/>
  <c r="AQ26" i="6"/>
  <c r="AQ28" i="6"/>
  <c r="AQ34" i="6"/>
  <c r="AQ30" i="6"/>
  <c r="AQ35" i="6"/>
  <c r="AQ40" i="6"/>
  <c r="AQ38" i="6"/>
  <c r="AQ32" i="6"/>
  <c r="AQ41" i="6"/>
  <c r="AQ44" i="6"/>
  <c r="AQ36" i="6"/>
  <c r="AQ33" i="6"/>
  <c r="AQ25" i="6"/>
  <c r="AQ39" i="6"/>
  <c r="AQ42" i="6"/>
  <c r="AQ37" i="6"/>
  <c r="AQ43" i="6"/>
  <c r="AQ22" i="6"/>
  <c r="AQ21" i="6"/>
  <c r="AQ24" i="6"/>
  <c r="AQ23" i="6"/>
  <c r="BC34" i="6"/>
  <c r="BC33" i="6"/>
  <c r="BC27" i="6"/>
  <c r="BC32" i="6"/>
  <c r="BC29" i="6"/>
  <c r="BC31" i="6"/>
  <c r="BC26" i="6"/>
  <c r="BC44" i="6"/>
  <c r="BC43" i="6"/>
  <c r="BC42" i="6"/>
  <c r="BC41" i="6"/>
  <c r="BC40" i="6"/>
  <c r="BC39" i="6"/>
  <c r="BC38" i="6"/>
  <c r="BC37" i="6"/>
  <c r="BC36" i="6"/>
  <c r="BC35" i="6"/>
  <c r="BC28" i="6"/>
  <c r="BC25" i="6"/>
  <c r="BC30" i="6"/>
  <c r="AU17" i="6"/>
  <c r="AU18" i="6"/>
  <c r="AU20" i="6"/>
  <c r="AU19" i="6"/>
  <c r="AM8" i="6"/>
  <c r="AM6" i="6"/>
  <c r="AM7" i="6"/>
  <c r="AM5" i="6"/>
  <c r="AN5" i="6" s="1"/>
  <c r="AS5" i="6"/>
  <c r="AR6" i="6"/>
  <c r="AS6" i="6" s="1"/>
  <c r="AA5" i="6"/>
  <c r="AE32" i="4"/>
  <c r="AE33" i="4"/>
  <c r="AE31" i="4"/>
  <c r="AE30" i="4"/>
  <c r="AE29" i="4"/>
  <c r="AE28" i="4"/>
  <c r="AE27" i="4"/>
  <c r="AE26" i="4"/>
  <c r="AE25" i="4"/>
  <c r="AE34" i="4"/>
  <c r="AE24" i="4"/>
  <c r="AJ24" i="4"/>
  <c r="AL24" i="4" s="1"/>
  <c r="AJ25" i="4" a="1"/>
  <c r="AJ27" i="4" a="1"/>
  <c r="AJ26" i="4" a="1"/>
  <c r="AZ6" i="6" l="1"/>
  <c r="AZ7" i="6" s="1"/>
  <c r="AZ8" i="6" s="1"/>
  <c r="BA8" i="6" s="1"/>
  <c r="AZ6" i="7"/>
  <c r="BA6" i="7" s="1"/>
  <c r="Z7" i="7"/>
  <c r="Z8" i="7" s="1"/>
  <c r="AR6" i="7"/>
  <c r="AN8" i="7"/>
  <c r="AK5" i="7"/>
  <c r="BA5" i="7"/>
  <c r="AJ6" i="7"/>
  <c r="AJ7" i="7" s="1"/>
  <c r="AJ8" i="7" s="1"/>
  <c r="AO7" i="7"/>
  <c r="AO6" i="7"/>
  <c r="BE5" i="7"/>
  <c r="AW5" i="7"/>
  <c r="BD6" i="7"/>
  <c r="BE6" i="7" s="1"/>
  <c r="AV6" i="7"/>
  <c r="AV7" i="7" s="1"/>
  <c r="AV6" i="6"/>
  <c r="AW6" i="6" s="1"/>
  <c r="AW5" i="6"/>
  <c r="Z7" i="6"/>
  <c r="AA7" i="6" s="1"/>
  <c r="AR7" i="6"/>
  <c r="AR8" i="6" s="1"/>
  <c r="AR9" i="6" s="1"/>
  <c r="AN6" i="6"/>
  <c r="AO6" i="6" s="1"/>
  <c r="AJ6" i="6"/>
  <c r="AJ7" i="6" s="1"/>
  <c r="AO5" i="6"/>
  <c r="BE5" i="6"/>
  <c r="BD6" i="6"/>
  <c r="AK5" i="6"/>
  <c r="AJ27" i="4"/>
  <c r="AL27" i="4" s="1"/>
  <c r="AJ25" i="4"/>
  <c r="AL25" i="4" s="1"/>
  <c r="AJ26" i="4"/>
  <c r="AL26" i="4" s="1"/>
  <c r="Z8" i="6" l="1"/>
  <c r="AA7" i="7"/>
  <c r="AZ7" i="7"/>
  <c r="BA7" i="7" s="1"/>
  <c r="BA7" i="6"/>
  <c r="BA6" i="6"/>
  <c r="AA8" i="7"/>
  <c r="AK6" i="7"/>
  <c r="BD7" i="7"/>
  <c r="BD8" i="7" s="1"/>
  <c r="BD9" i="7" s="1"/>
  <c r="BE9" i="7" s="1"/>
  <c r="AS6" i="7"/>
  <c r="AR7" i="7"/>
  <c r="AV8" i="7"/>
  <c r="Z9" i="7"/>
  <c r="AK7" i="7"/>
  <c r="AW6" i="7"/>
  <c r="AJ9" i="7"/>
  <c r="AK9" i="7" s="1"/>
  <c r="AN9" i="7"/>
  <c r="AO8" i="7"/>
  <c r="AK8" i="7"/>
  <c r="AW7" i="7"/>
  <c r="AS8" i="6"/>
  <c r="AV7" i="6"/>
  <c r="AS7" i="6"/>
  <c r="AN7" i="6"/>
  <c r="AN8" i="6" s="1"/>
  <c r="Z9" i="6"/>
  <c r="AA9" i="6" s="1"/>
  <c r="AA8" i="6"/>
  <c r="BE6" i="6"/>
  <c r="AK7" i="6"/>
  <c r="BD7" i="6"/>
  <c r="AK6" i="6"/>
  <c r="AR10" i="6"/>
  <c r="AS9" i="6"/>
  <c r="AZ9" i="6"/>
  <c r="AJ8" i="6"/>
  <c r="A5" i="5"/>
  <c r="AK5" i="5"/>
  <c r="AC6" i="5"/>
  <c r="AD6" i="5"/>
  <c r="D7" i="5"/>
  <c r="O7" i="5"/>
  <c r="AC7" i="5"/>
  <c r="D8" i="5"/>
  <c r="D9" i="5" s="1"/>
  <c r="AC8" i="5"/>
  <c r="H8" i="5" s="1"/>
  <c r="AJ10" i="5"/>
  <c r="AK10" i="5"/>
  <c r="AJ11" i="5"/>
  <c r="AK11" i="5"/>
  <c r="AJ12" i="5"/>
  <c r="AK12" i="5"/>
  <c r="AJ13" i="5"/>
  <c r="AK13" i="5"/>
  <c r="AJ14" i="5"/>
  <c r="AK14" i="5"/>
  <c r="AJ15" i="5"/>
  <c r="AK15" i="5"/>
  <c r="AJ16" i="5"/>
  <c r="AK16" i="5"/>
  <c r="AJ17" i="5"/>
  <c r="AK17" i="5"/>
  <c r="AJ18" i="5"/>
  <c r="AK18" i="5"/>
  <c r="AJ19" i="5"/>
  <c r="AK19" i="5"/>
  <c r="AJ20" i="5"/>
  <c r="AK20" i="5"/>
  <c r="AH28" i="5"/>
  <c r="C22" i="5" s="1"/>
  <c r="R8" i="4"/>
  <c r="R9" i="4"/>
  <c r="R10" i="4"/>
  <c r="R11" i="4"/>
  <c r="R12" i="4"/>
  <c r="R13" i="4"/>
  <c r="R14" i="4"/>
  <c r="R15" i="4"/>
  <c r="R16" i="4"/>
  <c r="R17" i="4"/>
  <c r="AK24" i="4"/>
  <c r="S26" i="1"/>
  <c r="S35" i="1"/>
  <c r="S33" i="1"/>
  <c r="S34" i="1" s="1"/>
  <c r="S31" i="1"/>
  <c r="S32" i="1" s="1"/>
  <c r="S29" i="1"/>
  <c r="S30" i="1" s="1"/>
  <c r="S27" i="1"/>
  <c r="S28" i="1" s="1"/>
  <c r="D14" i="3"/>
  <c r="W4" i="3"/>
  <c r="S4" i="3"/>
  <c r="R4" i="3"/>
  <c r="Q5" i="3"/>
  <c r="F5" i="3"/>
  <c r="D16" i="3"/>
  <c r="L53" i="1"/>
  <c r="M53" i="1"/>
  <c r="N53" i="1"/>
  <c r="O53" i="1"/>
  <c r="P53" i="1"/>
  <c r="M54" i="1"/>
  <c r="N54" i="1"/>
  <c r="O54" i="1"/>
  <c r="P54" i="1"/>
  <c r="N55" i="1"/>
  <c r="O55" i="1"/>
  <c r="P55" i="1"/>
  <c r="O56" i="1"/>
  <c r="P56" i="1"/>
  <c r="P57" i="1"/>
  <c r="AG5" i="1"/>
  <c r="AG6" i="1" s="1"/>
  <c r="AG7" i="1" s="1"/>
  <c r="AG8" i="1" s="1"/>
  <c r="AG9" i="1" s="1"/>
  <c r="AG10" i="1" s="1"/>
  <c r="AG11" i="1" s="1"/>
  <c r="AG12" i="1" s="1"/>
  <c r="AG13" i="1" s="1"/>
  <c r="AG14" i="1" s="1"/>
  <c r="AG15" i="1" s="1"/>
  <c r="AG16" i="1" s="1"/>
  <c r="AG17" i="1" s="1"/>
  <c r="AG18" i="1" s="1"/>
  <c r="AG19" i="1" s="1"/>
  <c r="AG20" i="1" s="1"/>
  <c r="AG21" i="1" s="1"/>
  <c r="AG22" i="1" s="1"/>
  <c r="AG23" i="1" s="1"/>
  <c r="AG24" i="1" s="1"/>
  <c r="AG25" i="1" s="1"/>
  <c r="AG26" i="1" s="1"/>
  <c r="AG27" i="1" s="1"/>
  <c r="AG28" i="1" s="1"/>
  <c r="AG29" i="1" s="1"/>
  <c r="AG30" i="1" s="1"/>
  <c r="AG31" i="1" s="1"/>
  <c r="AG32" i="1" s="1"/>
  <c r="AG33" i="1" s="1"/>
  <c r="AG34" i="1" s="1"/>
  <c r="AG35" i="1" s="1"/>
  <c r="AG36" i="1" s="1"/>
  <c r="AG37" i="1" s="1"/>
  <c r="AG38" i="1" s="1"/>
  <c r="AG39" i="1" s="1"/>
  <c r="AG40" i="1" s="1"/>
  <c r="AG41" i="1" s="1"/>
  <c r="AG42" i="1" s="1"/>
  <c r="AG43" i="1" s="1"/>
  <c r="AG44" i="1" s="1"/>
  <c r="T4" i="1"/>
  <c r="T5" i="1"/>
  <c r="T6" i="1"/>
  <c r="T7" i="1"/>
  <c r="T8" i="1"/>
  <c r="T9" i="1"/>
  <c r="Q4" i="1"/>
  <c r="O27" i="1" s="1"/>
  <c r="Q5" i="1"/>
  <c r="O28" i="1" s="1"/>
  <c r="Q6" i="1"/>
  <c r="O29" i="1" s="1"/>
  <c r="Q7" i="1"/>
  <c r="O30" i="1" s="1"/>
  <c r="Q8" i="1"/>
  <c r="O31" i="1" s="1"/>
  <c r="Q9" i="1"/>
  <c r="O32" i="1" s="1"/>
  <c r="M9" i="1"/>
  <c r="S5" i="3" a="1"/>
  <c r="H5" i="3" a="1"/>
  <c r="T25" i="1" a="1"/>
  <c r="T28" i="1" a="1"/>
  <c r="T24" i="1" a="1"/>
  <c r="T33" i="1" a="1"/>
  <c r="T27" i="1" a="1"/>
  <c r="T32" i="1" a="1"/>
  <c r="Y4" i="1" a="1"/>
  <c r="T35" i="1" a="1"/>
  <c r="T34" i="1" a="1"/>
  <c r="T31" i="1" a="1"/>
  <c r="T30" i="1" a="1"/>
  <c r="T29" i="1" a="1"/>
  <c r="T26" i="1" a="1"/>
  <c r="AB10" i="4" a="1"/>
  <c r="AB8" i="4" a="1"/>
  <c r="AB13" i="4" a="1"/>
  <c r="AB15" i="4" a="1"/>
  <c r="AB11" i="4" a="1"/>
  <c r="AB12" i="4" a="1"/>
  <c r="AB17" i="4" a="1"/>
  <c r="AB14" i="4" a="1"/>
  <c r="AB16" i="4" a="1"/>
  <c r="AB9" i="4" a="1"/>
  <c r="S5" i="3" l="1"/>
  <c r="H5" i="3"/>
  <c r="AZ8" i="7"/>
  <c r="BA8" i="7" s="1"/>
  <c r="BE7" i="7"/>
  <c r="BE8" i="7"/>
  <c r="AR8" i="7"/>
  <c r="AR9" i="7" s="1"/>
  <c r="AS7" i="7"/>
  <c r="Z10" i="7"/>
  <c r="AJ10" i="7"/>
  <c r="AK10" i="7" s="1"/>
  <c r="AA9" i="7"/>
  <c r="AN10" i="7"/>
  <c r="AO9" i="7"/>
  <c r="BD10" i="7"/>
  <c r="AV9" i="7"/>
  <c r="AW9" i="7" s="1"/>
  <c r="AW8" i="7"/>
  <c r="AO8" i="6"/>
  <c r="AW7" i="6"/>
  <c r="AV8" i="6"/>
  <c r="AW8" i="6" s="1"/>
  <c r="AO7" i="6"/>
  <c r="Z10" i="6"/>
  <c r="AA10" i="6" s="1"/>
  <c r="AZ10" i="6"/>
  <c r="BA10" i="6" s="1"/>
  <c r="AK8" i="6"/>
  <c r="BA9" i="6"/>
  <c r="AR11" i="6"/>
  <c r="AS11" i="6" s="1"/>
  <c r="AS10" i="6"/>
  <c r="BD8" i="6"/>
  <c r="AJ9" i="6"/>
  <c r="BE7" i="6"/>
  <c r="AN9" i="6"/>
  <c r="I7" i="5"/>
  <c r="H7" i="5"/>
  <c r="U6" i="5"/>
  <c r="T6" i="5"/>
  <c r="H6" i="5"/>
  <c r="K6" i="5"/>
  <c r="Q6" i="3"/>
  <c r="K7" i="5"/>
  <c r="W6" i="5"/>
  <c r="Q6" i="5"/>
  <c r="P6" i="5" s="1"/>
  <c r="T34" i="1"/>
  <c r="T35" i="1"/>
  <c r="T28" i="1"/>
  <c r="T29" i="1"/>
  <c r="T32" i="1"/>
  <c r="T33" i="1"/>
  <c r="T24" i="1"/>
  <c r="T25" i="1"/>
  <c r="T30" i="1"/>
  <c r="T31" i="1"/>
  <c r="T26" i="1"/>
  <c r="T27" i="1"/>
  <c r="I8" i="5"/>
  <c r="K8" i="5"/>
  <c r="J8" i="5"/>
  <c r="E6" i="5"/>
  <c r="I6" i="5"/>
  <c r="J6" i="5"/>
  <c r="J7" i="5"/>
  <c r="AC9" i="5"/>
  <c r="H9" i="5" s="1"/>
  <c r="D10" i="5"/>
  <c r="O8" i="5"/>
  <c r="AD7" i="5"/>
  <c r="T7" i="5" s="1"/>
  <c r="Y6" i="5"/>
  <c r="Y4" i="1"/>
  <c r="BB10" i="1"/>
  <c r="AT9" i="1"/>
  <c r="AH5" i="1"/>
  <c r="BB7" i="1"/>
  <c r="AL8" i="1"/>
  <c r="AL6" i="1"/>
  <c r="AB13" i="4"/>
  <c r="AA13" i="4" s="1"/>
  <c r="AB8" i="4"/>
  <c r="AA8" i="4" s="1"/>
  <c r="AB17" i="4"/>
  <c r="AA17" i="4" s="1"/>
  <c r="AB12" i="4"/>
  <c r="AA12" i="4" s="1"/>
  <c r="AB9" i="4"/>
  <c r="AA9" i="4" s="1"/>
  <c r="AB15" i="4"/>
  <c r="AA15" i="4" s="1"/>
  <c r="AB14" i="4"/>
  <c r="AA14" i="4" s="1"/>
  <c r="AB11" i="4"/>
  <c r="AA11" i="4" s="1"/>
  <c r="AB10" i="4"/>
  <c r="AA10" i="4" s="1"/>
  <c r="AB16" i="4"/>
  <c r="AA16" i="4" s="1"/>
  <c r="G5" i="3"/>
  <c r="F6" i="3"/>
  <c r="D15" i="3"/>
  <c r="R5" i="3" s="1"/>
  <c r="AP7" i="1"/>
  <c r="AT8" i="1"/>
  <c r="AH7" i="1"/>
  <c r="AX7" i="1"/>
  <c r="AX9" i="1"/>
  <c r="AH10" i="1"/>
  <c r="AL7" i="1"/>
  <c r="AL9" i="1"/>
  <c r="BB5" i="1"/>
  <c r="AP6" i="1"/>
  <c r="BB6" i="1"/>
  <c r="AX6" i="1"/>
  <c r="AH6" i="1"/>
  <c r="AT6" i="1"/>
  <c r="AP5" i="1"/>
  <c r="AX5" i="1"/>
  <c r="AT5" i="1"/>
  <c r="AL5" i="1"/>
  <c r="AP10" i="1"/>
  <c r="AX10" i="1"/>
  <c r="AT10" i="1"/>
  <c r="AL10" i="1"/>
  <c r="AT7" i="1"/>
  <c r="AP9" i="1"/>
  <c r="BB9" i="1"/>
  <c r="BB8" i="1"/>
  <c r="AP8" i="1"/>
  <c r="AH8" i="1"/>
  <c r="AX8" i="1"/>
  <c r="AH9" i="1"/>
  <c r="L19" i="1"/>
  <c r="M19" i="1" s="1"/>
  <c r="L16" i="1"/>
  <c r="M16" i="1" s="1"/>
  <c r="L15" i="1"/>
  <c r="M15" i="1" s="1"/>
  <c r="L18" i="1"/>
  <c r="M18" i="1" s="1"/>
  <c r="L17" i="1"/>
  <c r="M17" i="1" s="1"/>
  <c r="L14" i="1"/>
  <c r="M14" i="1" s="1"/>
  <c r="X5" i="1"/>
  <c r="V6" i="5" a="1"/>
  <c r="S6" i="3" a="1"/>
  <c r="BC9" i="1" a="1"/>
  <c r="AQ32" i="1" a="1"/>
  <c r="AM44" i="1" a="1"/>
  <c r="AQ39" i="1" a="1"/>
  <c r="AM43" i="1" a="1"/>
  <c r="AM28" i="1" a="1"/>
  <c r="AI28" i="1" a="1"/>
  <c r="BC18" i="1" a="1"/>
  <c r="AI29" i="1" a="1"/>
  <c r="AI30" i="1" a="1"/>
  <c r="AM29" i="1" a="1"/>
  <c r="BC5" i="1" a="1"/>
  <c r="AI43" i="1" a="1"/>
  <c r="AU8" i="1" a="1"/>
  <c r="AQ34" i="1" a="1"/>
  <c r="AU25" i="1" a="1"/>
  <c r="AU33" i="1" a="1"/>
  <c r="AQ9" i="1" a="1"/>
  <c r="BC42" i="1" a="1"/>
  <c r="AI31" i="1" a="1"/>
  <c r="AI27" i="1" a="1"/>
  <c r="AY8" i="1" a="1"/>
  <c r="AI25" i="1" a="1"/>
  <c r="AM38" i="1" a="1"/>
  <c r="AY15" i="1" a="1"/>
  <c r="BC14" i="1" a="1"/>
  <c r="AI5" i="1" a="1"/>
  <c r="AU41" i="1" a="1"/>
  <c r="AM7" i="1" a="1"/>
  <c r="AU6" i="1" a="1"/>
  <c r="AI18" i="1" a="1"/>
  <c r="AI11" i="1" a="1"/>
  <c r="AU35" i="1" a="1"/>
  <c r="AQ23" i="1" a="1"/>
  <c r="AU18" i="1" a="1"/>
  <c r="AU9" i="1" a="1"/>
  <c r="AM16" i="1" a="1"/>
  <c r="AM35" i="1" a="1"/>
  <c r="AU34" i="1" a="1"/>
  <c r="AU37" i="1" a="1"/>
  <c r="BC28" i="1" a="1"/>
  <c r="AI19" i="1" a="1"/>
  <c r="AY20" i="1" a="1"/>
  <c r="AY19" i="1" a="1"/>
  <c r="AM41" i="1" a="1"/>
  <c r="AI24" i="1" a="1"/>
  <c r="AM14" i="1" a="1"/>
  <c r="AI35" i="1" a="1"/>
  <c r="AM21" i="1" a="1"/>
  <c r="BC17" i="1" a="1"/>
  <c r="AQ15" i="1" a="1"/>
  <c r="AY32" i="1" a="1"/>
  <c r="AY34" i="1" a="1"/>
  <c r="AY9" i="1" a="1"/>
  <c r="AY28" i="1" a="1"/>
  <c r="AY13" i="1" a="1"/>
  <c r="AY40" i="1" a="1"/>
  <c r="AM19" i="1" a="1"/>
  <c r="AY26" i="1" a="1"/>
  <c r="BC24" i="1" a="1"/>
  <c r="BC34" i="1" a="1"/>
  <c r="AU32" i="1" a="1"/>
  <c r="BC40" i="1" a="1"/>
  <c r="AU7" i="1" a="1"/>
  <c r="AM34" i="1" a="1"/>
  <c r="AI38" i="1" a="1"/>
  <c r="AM17" i="1" a="1"/>
  <c r="AM25" i="1" a="1"/>
  <c r="AY33" i="1" a="1"/>
  <c r="AY18" i="1" a="1"/>
  <c r="AQ29" i="1" a="1"/>
  <c r="AM27" i="1" a="1"/>
  <c r="AQ14" i="1" a="1"/>
  <c r="AI34" i="1" a="1"/>
  <c r="AM33" i="1" a="1"/>
  <c r="AM36" i="1" a="1"/>
  <c r="AM18" i="1" a="1"/>
  <c r="AY29" i="1" a="1"/>
  <c r="AQ13" i="1" a="1"/>
  <c r="Y5" i="1" a="1"/>
  <c r="AI22" i="1" a="1"/>
  <c r="AQ35" i="1" a="1"/>
  <c r="AM5" i="1" a="1"/>
  <c r="AI39" i="1" a="1"/>
  <c r="AU30" i="1" a="1"/>
  <c r="BC41" i="1" a="1"/>
  <c r="AQ30" i="1" a="1"/>
  <c r="AM23" i="1" a="1"/>
  <c r="AM12" i="1" a="1"/>
  <c r="AI36" i="1" a="1"/>
  <c r="AU17" i="1" a="1"/>
  <c r="AQ33" i="1" a="1"/>
  <c r="AY16" i="1" a="1"/>
  <c r="AM32" i="1" a="1"/>
  <c r="BC26" i="1" a="1"/>
  <c r="AY7" i="1" a="1"/>
  <c r="AQ20" i="1" a="1"/>
  <c r="BC19" i="1" a="1"/>
  <c r="AU5" i="1" a="1"/>
  <c r="BC6" i="1" a="1"/>
  <c r="AU36" i="1" a="1"/>
  <c r="AI8" i="1" a="1"/>
  <c r="BC21" i="1" a="1"/>
  <c r="BC20" i="1" a="1"/>
  <c r="AM9" i="1" a="1"/>
  <c r="AU13" i="1" a="1"/>
  <c r="BC25" i="1" a="1"/>
  <c r="AI12" i="1" a="1"/>
  <c r="AU14" i="1" a="1"/>
  <c r="AY42" i="1" a="1"/>
  <c r="BC31" i="1" a="1"/>
  <c r="AU24" i="1" a="1"/>
  <c r="AY43" i="1" a="1"/>
  <c r="AU20" i="1" a="1"/>
  <c r="AQ11" i="1" a="1"/>
  <c r="AY30" i="1" a="1"/>
  <c r="AQ26" i="1" a="1"/>
  <c r="AY24" i="1" a="1"/>
  <c r="AY12" i="1" a="1"/>
  <c r="AY44" i="1" a="1"/>
  <c r="AY25" i="1" a="1"/>
  <c r="AI14" i="1" a="1"/>
  <c r="AY21" i="1" a="1"/>
  <c r="AY22" i="1" a="1"/>
  <c r="AU26" i="1" a="1"/>
  <c r="AI7" i="1" a="1"/>
  <c r="AY35" i="1" a="1"/>
  <c r="AU39" i="1" a="1"/>
  <c r="BC12" i="1" a="1"/>
  <c r="AU15" i="1" a="1"/>
  <c r="AY39" i="1" a="1"/>
  <c r="AQ17" i="1" a="1"/>
  <c r="AY11" i="1" a="1"/>
  <c r="AI42" i="1" a="1"/>
  <c r="AQ18" i="1" a="1"/>
  <c r="AQ37" i="1" a="1"/>
  <c r="AM39" i="1" a="1"/>
  <c r="AU12" i="1" a="1"/>
  <c r="AQ40" i="1" a="1"/>
  <c r="AY5" i="1" a="1"/>
  <c r="AM26" i="1" a="1"/>
  <c r="AU44" i="1" a="1"/>
  <c r="AU43" i="1" a="1"/>
  <c r="AM15" i="1" a="1"/>
  <c r="AU22" i="1" a="1"/>
  <c r="AY23" i="1" a="1"/>
  <c r="AU38" i="1" a="1"/>
  <c r="BC37" i="1" a="1"/>
  <c r="BC11" i="1" a="1"/>
  <c r="BC33" i="1" a="1"/>
  <c r="AQ5" i="1" a="1"/>
  <c r="AQ31" i="1" a="1"/>
  <c r="AI17" i="1" a="1"/>
  <c r="AY10" i="1" a="1"/>
  <c r="AI23" i="1" a="1"/>
  <c r="AI21" i="1" a="1"/>
  <c r="AQ44" i="1" a="1"/>
  <c r="AI37" i="1" a="1"/>
  <c r="AU11" i="1" a="1"/>
  <c r="AM8" i="1" a="1"/>
  <c r="AM40" i="1" a="1"/>
  <c r="AI9" i="1" a="1"/>
  <c r="BC30" i="1" a="1"/>
  <c r="AU19" i="1" a="1"/>
  <c r="AQ8" i="1" a="1"/>
  <c r="AM37" i="1" a="1"/>
  <c r="BC10" i="1" a="1"/>
  <c r="AI6" i="1" a="1"/>
  <c r="AQ42" i="1" a="1"/>
  <c r="BC22" i="1" a="1"/>
  <c r="AI40" i="1" a="1"/>
  <c r="AU21" i="1" a="1"/>
  <c r="BC35" i="1" a="1"/>
  <c r="AQ43" i="1" a="1"/>
  <c r="AI13" i="1" a="1"/>
  <c r="AI32" i="1" a="1"/>
  <c r="AI10" i="1" a="1"/>
  <c r="AY14" i="1" a="1"/>
  <c r="BC13" i="1" a="1"/>
  <c r="BC43" i="1" a="1"/>
  <c r="AI15" i="1" a="1"/>
  <c r="AU42" i="1" a="1"/>
  <c r="AM30" i="1" a="1"/>
  <c r="AU28" i="1" a="1"/>
  <c r="AI20" i="1" a="1"/>
  <c r="AQ16" i="1" a="1"/>
  <c r="AM42" i="1" a="1"/>
  <c r="AQ25" i="1" a="1"/>
  <c r="AM11" i="1" a="1"/>
  <c r="AU29" i="1" a="1"/>
  <c r="AQ10" i="1" a="1"/>
  <c r="BC27" i="1" a="1"/>
  <c r="AM31" i="1" a="1"/>
  <c r="AU40" i="1" a="1"/>
  <c r="AM10" i="1" a="1"/>
  <c r="BC32" i="1" a="1"/>
  <c r="AI33" i="1" a="1"/>
  <c r="BC39" i="1" a="1"/>
  <c r="AQ6" i="1" a="1"/>
  <c r="AI26" i="1" a="1"/>
  <c r="BC38" i="1" a="1"/>
  <c r="BC44" i="1" a="1"/>
  <c r="AU10" i="1" a="1"/>
  <c r="AY37" i="1" a="1"/>
  <c r="AU16" i="1" a="1"/>
  <c r="AQ36" i="1" a="1"/>
  <c r="AY31" i="1" a="1"/>
  <c r="AY41" i="1" a="1"/>
  <c r="AQ7" i="1" a="1"/>
  <c r="AU23" i="1" a="1"/>
  <c r="AM6" i="1" a="1"/>
  <c r="AQ28" i="1" a="1"/>
  <c r="AM20" i="1" a="1"/>
  <c r="AY6" i="1" a="1"/>
  <c r="BC8" i="1" a="1"/>
  <c r="BC7" i="1" a="1"/>
  <c r="AY38" i="1" a="1"/>
  <c r="AQ19" i="1" a="1"/>
  <c r="AQ22" i="1" a="1"/>
  <c r="AQ38" i="1" a="1"/>
  <c r="AY36" i="1" a="1"/>
  <c r="AI16" i="1" a="1"/>
  <c r="AU31" i="1" a="1"/>
  <c r="BC23" i="1" a="1"/>
  <c r="AI44" i="1" a="1"/>
  <c r="BC16" i="1" a="1"/>
  <c r="BC36" i="1" a="1"/>
  <c r="AY17" i="1" a="1"/>
  <c r="AY27" i="1" a="1"/>
  <c r="AM24" i="1" a="1"/>
  <c r="AQ41" i="1" a="1"/>
  <c r="AM13" i="1" a="1"/>
  <c r="AU27" i="1" a="1"/>
  <c r="AQ12" i="1" a="1"/>
  <c r="BC15" i="1" a="1"/>
  <c r="AQ27" i="1" a="1"/>
  <c r="BC29" i="1" a="1"/>
  <c r="AQ21" i="1" a="1"/>
  <c r="AM22" i="1" a="1"/>
  <c r="AQ24" i="1" a="1"/>
  <c r="AI41" i="1" a="1"/>
  <c r="AJ31" i="4" a="1"/>
  <c r="AJ32" i="4" a="1"/>
  <c r="AJ33" i="4" a="1"/>
  <c r="AJ34" i="4" a="1"/>
  <c r="AJ30" i="4" a="1"/>
  <c r="AJ28" i="4" a="1"/>
  <c r="AJ29" i="4" a="1"/>
  <c r="S6" i="3" l="1"/>
  <c r="AZ9" i="7"/>
  <c r="AZ10" i="7" s="1"/>
  <c r="AZ11" i="7" s="1"/>
  <c r="AS8" i="7"/>
  <c r="Z11" i="6"/>
  <c r="AA11" i="6" s="1"/>
  <c r="AS9" i="7"/>
  <c r="AR10" i="7"/>
  <c r="AV10" i="7"/>
  <c r="AJ11" i="7"/>
  <c r="AK11" i="7" s="1"/>
  <c r="AN11" i="7"/>
  <c r="AO11" i="7" s="1"/>
  <c r="Z11" i="7"/>
  <c r="BD11" i="7"/>
  <c r="BE11" i="7" s="1"/>
  <c r="AO10" i="7"/>
  <c r="BE10" i="7"/>
  <c r="AA10" i="7"/>
  <c r="AV9" i="6"/>
  <c r="AW9" i="6" s="1"/>
  <c r="AR12" i="6"/>
  <c r="AS12" i="6" s="1"/>
  <c r="AJ10" i="6"/>
  <c r="AK9" i="6"/>
  <c r="AZ11" i="6"/>
  <c r="BA11" i="6" s="1"/>
  <c r="BD9" i="6"/>
  <c r="BE8" i="6"/>
  <c r="AN10" i="6"/>
  <c r="AO9" i="6"/>
  <c r="Y5" i="1"/>
  <c r="Q7" i="3"/>
  <c r="R6" i="5"/>
  <c r="S6" i="5" s="1"/>
  <c r="V6" i="5"/>
  <c r="X6" i="5" s="1"/>
  <c r="AJ34" i="4"/>
  <c r="AJ30" i="4"/>
  <c r="AJ29" i="4"/>
  <c r="AJ33" i="4"/>
  <c r="AJ31" i="4"/>
  <c r="AL31" i="4" s="1"/>
  <c r="AJ32" i="4"/>
  <c r="AL32" i="4" s="1"/>
  <c r="AJ28" i="4"/>
  <c r="F6" i="5"/>
  <c r="G6" i="5" s="1"/>
  <c r="AY5" i="1"/>
  <c r="AZ5" i="1" s="1"/>
  <c r="AY6" i="1"/>
  <c r="AY7" i="1"/>
  <c r="AY8" i="1"/>
  <c r="AQ6" i="1"/>
  <c r="AQ7" i="1"/>
  <c r="AQ8" i="1"/>
  <c r="AQ5" i="1"/>
  <c r="AR5" i="1" s="1"/>
  <c r="AM23" i="1"/>
  <c r="AM21" i="1"/>
  <c r="AM22" i="1"/>
  <c r="AM24" i="1"/>
  <c r="BC15" i="1"/>
  <c r="BC16" i="1"/>
  <c r="BC14" i="1"/>
  <c r="BC13" i="1"/>
  <c r="AQ17" i="1"/>
  <c r="AQ18" i="1"/>
  <c r="AQ19" i="1"/>
  <c r="AQ20" i="1"/>
  <c r="BC17" i="1"/>
  <c r="BC18" i="1"/>
  <c r="BC19" i="1"/>
  <c r="BC20" i="1"/>
  <c r="AI8" i="1"/>
  <c r="AI5" i="1"/>
  <c r="AJ5" i="1" s="1"/>
  <c r="AI6" i="1"/>
  <c r="AI7" i="1"/>
  <c r="AU11" i="1"/>
  <c r="AU12" i="1"/>
  <c r="AU9" i="1"/>
  <c r="AU10" i="1"/>
  <c r="AI9" i="1"/>
  <c r="AI10" i="1"/>
  <c r="AI11" i="1"/>
  <c r="AI12" i="1"/>
  <c r="AQ9" i="1"/>
  <c r="AQ10" i="1"/>
  <c r="AQ11" i="1"/>
  <c r="AQ12" i="1"/>
  <c r="BC5" i="1"/>
  <c r="BD5" i="1" s="1"/>
  <c r="BC6" i="1"/>
  <c r="BC7" i="1"/>
  <c r="BC8" i="1"/>
  <c r="AY21" i="1"/>
  <c r="AY22" i="1"/>
  <c r="AY23" i="1"/>
  <c r="AY24" i="1"/>
  <c r="AY15" i="1"/>
  <c r="AY16" i="1"/>
  <c r="AY14" i="1"/>
  <c r="AY13" i="1"/>
  <c r="AM26" i="1"/>
  <c r="AM36" i="1"/>
  <c r="AM27" i="1"/>
  <c r="AM37" i="1"/>
  <c r="AM32" i="1"/>
  <c r="AM33" i="1"/>
  <c r="AM43" i="1"/>
  <c r="AM25" i="1"/>
  <c r="AM28" i="1"/>
  <c r="AM38" i="1"/>
  <c r="AM29" i="1"/>
  <c r="AM39" i="1"/>
  <c r="AM30" i="1"/>
  <c r="AM40" i="1"/>
  <c r="AM31" i="1"/>
  <c r="AM41" i="1"/>
  <c r="AM42" i="1"/>
  <c r="AM34" i="1"/>
  <c r="AM44" i="1"/>
  <c r="AM35" i="1"/>
  <c r="AU22" i="1"/>
  <c r="AU21" i="1"/>
  <c r="AU23" i="1"/>
  <c r="AU24" i="1"/>
  <c r="AU5" i="1"/>
  <c r="AV5" i="1" s="1"/>
  <c r="AU6" i="1"/>
  <c r="AU7" i="1"/>
  <c r="AU8" i="1"/>
  <c r="AY12" i="1"/>
  <c r="AY9" i="1"/>
  <c r="AY10" i="1"/>
  <c r="AY11" i="1"/>
  <c r="BC12" i="1"/>
  <c r="BC9" i="1"/>
  <c r="BC10" i="1"/>
  <c r="BC11" i="1"/>
  <c r="AI21" i="1"/>
  <c r="AI22" i="1"/>
  <c r="AI23" i="1"/>
  <c r="AI24" i="1"/>
  <c r="AI18" i="1"/>
  <c r="AI19" i="1"/>
  <c r="AI20" i="1"/>
  <c r="AI17" i="1"/>
  <c r="AI28" i="1"/>
  <c r="AI38" i="1"/>
  <c r="AI29" i="1"/>
  <c r="AI39" i="1"/>
  <c r="AI30" i="1"/>
  <c r="AI40" i="1"/>
  <c r="AI31" i="1"/>
  <c r="AI41" i="1"/>
  <c r="AI32" i="1"/>
  <c r="AI42" i="1"/>
  <c r="AI33" i="1"/>
  <c r="AI43" i="1"/>
  <c r="AI34" i="1"/>
  <c r="AI44" i="1"/>
  <c r="AI25" i="1"/>
  <c r="AI35" i="1"/>
  <c r="AI26" i="1"/>
  <c r="AI36" i="1"/>
  <c r="AI27" i="1"/>
  <c r="AI37" i="1"/>
  <c r="AM17" i="1"/>
  <c r="AM18" i="1"/>
  <c r="AM19" i="1"/>
  <c r="AM20" i="1"/>
  <c r="AQ16" i="1"/>
  <c r="AQ13" i="1"/>
  <c r="AQ15" i="1"/>
  <c r="AQ14" i="1"/>
  <c r="BC25" i="1"/>
  <c r="BC35" i="1"/>
  <c r="BC26" i="1"/>
  <c r="BC36" i="1"/>
  <c r="BC27" i="1"/>
  <c r="BC37" i="1"/>
  <c r="BC28" i="1"/>
  <c r="BC38" i="1"/>
  <c r="BC32" i="1"/>
  <c r="BC29" i="1"/>
  <c r="BC39" i="1"/>
  <c r="BC30" i="1"/>
  <c r="BC40" i="1"/>
  <c r="BC31" i="1"/>
  <c r="BC41" i="1"/>
  <c r="BC42" i="1"/>
  <c r="BC33" i="1"/>
  <c r="BC34" i="1"/>
  <c r="BC43" i="1"/>
  <c r="BC44" i="1"/>
  <c r="AQ26" i="1"/>
  <c r="AQ36" i="1"/>
  <c r="AQ27" i="1"/>
  <c r="AQ37" i="1"/>
  <c r="AQ42" i="1"/>
  <c r="AQ33" i="1"/>
  <c r="AQ43" i="1"/>
  <c r="AQ25" i="1"/>
  <c r="AQ28" i="1"/>
  <c r="AQ38" i="1"/>
  <c r="AQ29" i="1"/>
  <c r="AQ39" i="1"/>
  <c r="AQ30" i="1"/>
  <c r="AQ40" i="1"/>
  <c r="AQ31" i="1"/>
  <c r="AQ41" i="1"/>
  <c r="AQ32" i="1"/>
  <c r="AQ34" i="1"/>
  <c r="AQ44" i="1"/>
  <c r="AQ35" i="1"/>
  <c r="AM6" i="1"/>
  <c r="AM7" i="1"/>
  <c r="AM5" i="1"/>
  <c r="AN5" i="1" s="1"/>
  <c r="AM8" i="1"/>
  <c r="AY17" i="1"/>
  <c r="AY18" i="1"/>
  <c r="AY19" i="1"/>
  <c r="AY20" i="1"/>
  <c r="AM16" i="1"/>
  <c r="AM13" i="1"/>
  <c r="AM14" i="1"/>
  <c r="AM15" i="1"/>
  <c r="AM9" i="1"/>
  <c r="AM10" i="1"/>
  <c r="AM11" i="1"/>
  <c r="AM12" i="1"/>
  <c r="BC21" i="1"/>
  <c r="BC22" i="1"/>
  <c r="BC23" i="1"/>
  <c r="BC24" i="1"/>
  <c r="AQ23" i="1"/>
  <c r="AQ21" i="1"/>
  <c r="AQ22" i="1"/>
  <c r="AQ24" i="1"/>
  <c r="AU15" i="1"/>
  <c r="AU16" i="1"/>
  <c r="AU14" i="1"/>
  <c r="AU13" i="1"/>
  <c r="AI13" i="1"/>
  <c r="AI15" i="1"/>
  <c r="AI16" i="1"/>
  <c r="AI14" i="1"/>
  <c r="AU17" i="1"/>
  <c r="AU18" i="1"/>
  <c r="AU19" i="1"/>
  <c r="AU20" i="1"/>
  <c r="AU25" i="1"/>
  <c r="AU35" i="1"/>
  <c r="AU26" i="1"/>
  <c r="AU36" i="1"/>
  <c r="AU27" i="1"/>
  <c r="AU37" i="1"/>
  <c r="AU28" i="1"/>
  <c r="AU38" i="1"/>
  <c r="AU41" i="1"/>
  <c r="AU42" i="1"/>
  <c r="AU32" i="1"/>
  <c r="AU29" i="1"/>
  <c r="AU39" i="1"/>
  <c r="AU30" i="1"/>
  <c r="AU40" i="1"/>
  <c r="AU31" i="1"/>
  <c r="AU33" i="1"/>
  <c r="AU34" i="1"/>
  <c r="AU43" i="1"/>
  <c r="AU44" i="1"/>
  <c r="AY25" i="1"/>
  <c r="AY35" i="1"/>
  <c r="AY26" i="1"/>
  <c r="AY36" i="1"/>
  <c r="AY27" i="1"/>
  <c r="AY37" i="1"/>
  <c r="AY28" i="1"/>
  <c r="AY38" i="1"/>
  <c r="AY32" i="1"/>
  <c r="AY29" i="1"/>
  <c r="AY39" i="1"/>
  <c r="AY30" i="1"/>
  <c r="AY40" i="1"/>
  <c r="AY31" i="1"/>
  <c r="AY41" i="1"/>
  <c r="AY33" i="1"/>
  <c r="AY34" i="1"/>
  <c r="AY42" i="1"/>
  <c r="AY43" i="1"/>
  <c r="AY44" i="1"/>
  <c r="W7" i="5"/>
  <c r="Y7" i="5"/>
  <c r="U7" i="5"/>
  <c r="AD8" i="5"/>
  <c r="T8" i="5" s="1"/>
  <c r="O9" i="5"/>
  <c r="AC10" i="5"/>
  <c r="H10" i="5" s="1"/>
  <c r="D11" i="5"/>
  <c r="I9" i="5"/>
  <c r="J9" i="5"/>
  <c r="K9" i="5"/>
  <c r="AK25" i="4"/>
  <c r="AK26" i="4"/>
  <c r="AK27" i="4"/>
  <c r="AX17" i="4"/>
  <c r="AX16" i="4"/>
  <c r="AW16" i="4"/>
  <c r="AW15" i="4"/>
  <c r="AW17" i="4"/>
  <c r="AR17" i="4"/>
  <c r="AR13" i="4"/>
  <c r="AR10" i="4"/>
  <c r="AR12" i="4"/>
  <c r="AR11" i="4"/>
  <c r="AR16" i="4"/>
  <c r="AR14" i="4"/>
  <c r="AR15" i="4"/>
  <c r="AV16" i="4"/>
  <c r="AV17" i="4"/>
  <c r="AV15" i="4"/>
  <c r="AV14" i="4"/>
  <c r="AY17" i="4"/>
  <c r="AU16" i="4"/>
  <c r="AU14" i="4"/>
  <c r="AU15" i="4"/>
  <c r="AU13" i="4"/>
  <c r="AU17" i="4"/>
  <c r="AS15" i="4"/>
  <c r="AS12" i="4"/>
  <c r="AS17" i="4"/>
  <c r="AS14" i="4"/>
  <c r="AS16" i="4"/>
  <c r="AS11" i="4"/>
  <c r="AS13" i="4"/>
  <c r="AQ12" i="4"/>
  <c r="AQ10" i="4"/>
  <c r="AQ11" i="4"/>
  <c r="AQ14" i="4"/>
  <c r="AQ16" i="4"/>
  <c r="AQ17" i="4"/>
  <c r="AQ9" i="4"/>
  <c r="AQ13" i="4"/>
  <c r="AQ15" i="4"/>
  <c r="AT14" i="4"/>
  <c r="AT15" i="4"/>
  <c r="AT12" i="4"/>
  <c r="AT13" i="4"/>
  <c r="AT17" i="4"/>
  <c r="AT16" i="4"/>
  <c r="AP10" i="4"/>
  <c r="AP11" i="4"/>
  <c r="AP9" i="4"/>
  <c r="AP12" i="4"/>
  <c r="W14" i="4"/>
  <c r="AP8" i="4"/>
  <c r="W15" i="4"/>
  <c r="AP15" i="4"/>
  <c r="W16" i="4"/>
  <c r="AP17" i="4"/>
  <c r="AP14" i="4"/>
  <c r="W10" i="4"/>
  <c r="W11" i="4"/>
  <c r="AP16" i="4"/>
  <c r="W9" i="4"/>
  <c r="W12" i="4"/>
  <c r="W17" i="4"/>
  <c r="W13" i="4"/>
  <c r="W8" i="4"/>
  <c r="AP13" i="4"/>
  <c r="G6" i="3"/>
  <c r="R6" i="3"/>
  <c r="F7" i="3"/>
  <c r="X6" i="1"/>
  <c r="V7" i="5" a="1"/>
  <c r="H6" i="3" a="1"/>
  <c r="S7" i="3" a="1"/>
  <c r="Y6" i="1" a="1"/>
  <c r="S7" i="3" l="1"/>
  <c r="H6" i="3"/>
  <c r="BA10" i="7"/>
  <c r="BA9" i="7"/>
  <c r="Z12" i="6"/>
  <c r="AA12" i="6" s="1"/>
  <c r="AS10" i="7"/>
  <c r="AR11" i="7"/>
  <c r="AJ12" i="7"/>
  <c r="BD12" i="7"/>
  <c r="AV11" i="7"/>
  <c r="AW11" i="7" s="1"/>
  <c r="Z12" i="7"/>
  <c r="AA12" i="7" s="1"/>
  <c r="AW10" i="7"/>
  <c r="AA11" i="7"/>
  <c r="AZ12" i="7"/>
  <c r="AN12" i="7"/>
  <c r="AO12" i="7" s="1"/>
  <c r="BA11" i="7"/>
  <c r="AV10" i="6"/>
  <c r="AW10" i="6" s="1"/>
  <c r="BD10" i="6"/>
  <c r="BE9" i="6"/>
  <c r="AR13" i="6"/>
  <c r="AS13" i="6" s="1"/>
  <c r="AK10" i="6"/>
  <c r="AJ11" i="6"/>
  <c r="AK11" i="6" s="1"/>
  <c r="AZ12" i="6"/>
  <c r="BA12" i="6" s="1"/>
  <c r="AN11" i="6"/>
  <c r="AO10" i="6"/>
  <c r="Y6" i="1"/>
  <c r="AK32" i="4"/>
  <c r="AK31" i="4"/>
  <c r="AK29" i="4"/>
  <c r="AL29" i="4"/>
  <c r="AK30" i="4"/>
  <c r="AL30" i="4"/>
  <c r="AK28" i="4"/>
  <c r="AL28" i="4"/>
  <c r="AK34" i="4"/>
  <c r="AL34" i="4"/>
  <c r="AK33" i="4"/>
  <c r="AL33" i="4"/>
  <c r="Q7" i="5"/>
  <c r="P7" i="5" s="1"/>
  <c r="Q8" i="3"/>
  <c r="V7" i="5"/>
  <c r="X7" i="5" s="1"/>
  <c r="E7" i="5"/>
  <c r="F7" i="5" s="1"/>
  <c r="G7" i="5" s="1"/>
  <c r="AC11" i="5"/>
  <c r="H11" i="5" s="1"/>
  <c r="D12" i="5"/>
  <c r="Y8" i="5"/>
  <c r="U8" i="5"/>
  <c r="W8" i="5"/>
  <c r="I10" i="5"/>
  <c r="J10" i="5"/>
  <c r="K10" i="5"/>
  <c r="O10" i="5"/>
  <c r="AD9" i="5"/>
  <c r="T9" i="5" s="1"/>
  <c r="AP25" i="4" a="1"/>
  <c r="T5" i="3"/>
  <c r="U5" i="3" s="1"/>
  <c r="I5" i="3"/>
  <c r="J5" i="3" s="1"/>
  <c r="R7" i="3"/>
  <c r="G7" i="3"/>
  <c r="F8" i="3"/>
  <c r="BD6" i="1"/>
  <c r="BE6" i="1" s="1"/>
  <c r="AR6" i="1"/>
  <c r="AR7" i="1" s="1"/>
  <c r="AN6" i="1"/>
  <c r="BE5" i="1"/>
  <c r="AZ6" i="1"/>
  <c r="BA6" i="1" s="1"/>
  <c r="AS5" i="1"/>
  <c r="BA5" i="1"/>
  <c r="AJ6" i="1"/>
  <c r="AK6" i="1" s="1"/>
  <c r="AV6" i="1"/>
  <c r="AW6" i="1" s="1"/>
  <c r="AK5" i="1"/>
  <c r="AW5" i="1"/>
  <c r="AO5" i="1"/>
  <c r="X7" i="1"/>
  <c r="L10" i="5"/>
  <c r="V8" i="5" a="1"/>
  <c r="Z8" i="5"/>
  <c r="L6" i="5"/>
  <c r="L9" i="5"/>
  <c r="Z7" i="5"/>
  <c r="Z6" i="5"/>
  <c r="L7" i="5"/>
  <c r="L8" i="5"/>
  <c r="W23" i="8" a="1"/>
  <c r="M16" i="8" a="1"/>
  <c r="M9" i="8" a="1"/>
  <c r="M11" i="8" a="1"/>
  <c r="W14" i="8" a="1"/>
  <c r="W13" i="8" a="1"/>
  <c r="M21" i="8" a="1"/>
  <c r="M5" i="8" a="1"/>
  <c r="M6" i="8" a="1"/>
  <c r="W22" i="8" a="1"/>
  <c r="M22" i="8" a="1"/>
  <c r="W16" i="8" a="1"/>
  <c r="M20" i="8" a="1"/>
  <c r="M7" i="8" a="1"/>
  <c r="W8" i="8" a="1"/>
  <c r="W24" i="8" a="1"/>
  <c r="M12" i="8" a="1"/>
  <c r="W6" i="8" a="1"/>
  <c r="W17" i="8" a="1"/>
  <c r="M15" i="8" a="1"/>
  <c r="W21" i="8" a="1"/>
  <c r="M13" i="8" a="1"/>
  <c r="M14" i="8" a="1"/>
  <c r="M17" i="8" a="1"/>
  <c r="W7" i="8" a="1"/>
  <c r="W15" i="8" a="1"/>
  <c r="M8" i="8" a="1"/>
  <c r="W18" i="8" a="1"/>
  <c r="W12" i="8" a="1"/>
  <c r="W11" i="8" a="1"/>
  <c r="M19" i="8" a="1"/>
  <c r="W10" i="8" a="1"/>
  <c r="M24" i="8" a="1"/>
  <c r="W5" i="8" a="1"/>
  <c r="M10" i="8" a="1"/>
  <c r="M18" i="8" a="1"/>
  <c r="W20" i="8" a="1"/>
  <c r="W19" i="8" a="1"/>
  <c r="M23" i="8" a="1"/>
  <c r="W9" i="8" a="1"/>
  <c r="K6" i="3" a="1"/>
  <c r="H8" i="3" a="1"/>
  <c r="K8" i="3" a="1"/>
  <c r="H7" i="3" a="1"/>
  <c r="V8" i="3" a="1"/>
  <c r="S8" i="3" a="1"/>
  <c r="K5" i="3" a="1"/>
  <c r="V6" i="3" a="1"/>
  <c r="K7" i="3" a="1"/>
  <c r="V7" i="3" a="1"/>
  <c r="V5" i="3" a="1"/>
  <c r="AB28" i="7" a="1"/>
  <c r="AB22" i="7" a="1"/>
  <c r="AB36" i="7" a="1"/>
  <c r="AB26" i="7" a="1"/>
  <c r="AB24" i="7" a="1"/>
  <c r="AB40" i="7" a="1"/>
  <c r="AB7" i="7" a="1"/>
  <c r="AB8" i="7" a="1"/>
  <c r="AB44" i="7" a="1"/>
  <c r="AB38" i="7" a="1"/>
  <c r="AB12" i="7" a="1"/>
  <c r="AB32" i="7" a="1"/>
  <c r="AB33" i="7" a="1"/>
  <c r="AB17" i="7" a="1"/>
  <c r="AB5" i="7" a="1"/>
  <c r="AB4" i="7" a="1"/>
  <c r="AB20" i="7" a="1"/>
  <c r="AB11" i="7" a="1"/>
  <c r="AB39" i="7" a="1"/>
  <c r="AB9" i="7" a="1"/>
  <c r="AB25" i="7" a="1"/>
  <c r="AB16" i="7" a="1"/>
  <c r="AB21" i="7" a="1"/>
  <c r="AB43" i="7" a="1"/>
  <c r="AB37" i="7" a="1"/>
  <c r="AB19" i="7" a="1"/>
  <c r="AB31" i="7" a="1"/>
  <c r="AB30" i="7" a="1"/>
  <c r="AB10" i="7" a="1"/>
  <c r="AB27" i="7" a="1"/>
  <c r="AB14" i="7" a="1"/>
  <c r="AB15" i="7" a="1"/>
  <c r="AB18" i="7" a="1"/>
  <c r="AB34" i="7" a="1"/>
  <c r="AB35" i="7" a="1"/>
  <c r="AB42" i="7" a="1"/>
  <c r="AB6" i="7" a="1"/>
  <c r="AB29" i="7" a="1"/>
  <c r="AB41" i="7" a="1"/>
  <c r="AB13" i="7" a="1"/>
  <c r="AB23" i="7" a="1"/>
  <c r="AB28" i="6" a="1"/>
  <c r="AB42" i="6" a="1"/>
  <c r="AB19" i="6" a="1"/>
  <c r="AB43" i="6" a="1"/>
  <c r="AB25" i="6" a="1"/>
  <c r="AB27" i="6" a="1"/>
  <c r="AB33" i="6" a="1"/>
  <c r="AB13" i="6" a="1"/>
  <c r="AB9" i="6" a="1"/>
  <c r="AB15" i="6" a="1"/>
  <c r="AB10" i="6" a="1"/>
  <c r="AB7" i="6" a="1"/>
  <c r="AB12" i="6" a="1"/>
  <c r="AB35" i="6" a="1"/>
  <c r="AB6" i="6" a="1"/>
  <c r="AB5" i="6" a="1"/>
  <c r="AB31" i="6" a="1"/>
  <c r="AB36" i="6" a="1"/>
  <c r="AB34" i="6" a="1"/>
  <c r="AB8" i="6" a="1"/>
  <c r="AB21" i="6" a="1"/>
  <c r="AB20" i="6" a="1"/>
  <c r="AB30" i="6" a="1"/>
  <c r="AB14" i="6" a="1"/>
  <c r="AB32" i="6" a="1"/>
  <c r="AB24" i="6" a="1"/>
  <c r="AB26" i="6" a="1"/>
  <c r="AB44" i="6" a="1"/>
  <c r="AB17" i="6" a="1"/>
  <c r="AB22" i="6" a="1"/>
  <c r="AB39" i="6" a="1"/>
  <c r="AB11" i="6" a="1"/>
  <c r="AB23" i="6" a="1"/>
  <c r="AB18" i="6" a="1"/>
  <c r="AB37" i="6" a="1"/>
  <c r="AB4" i="6" a="1"/>
  <c r="AB41" i="6" a="1"/>
  <c r="AB29" i="6" a="1"/>
  <c r="AB38" i="6" a="1"/>
  <c r="AB40" i="6" a="1"/>
  <c r="AB16" i="6" a="1"/>
  <c r="Y7" i="1" a="1"/>
  <c r="AB5" i="1" a="1"/>
  <c r="AB6" i="1" a="1"/>
  <c r="AB7" i="1" a="1"/>
  <c r="AB4" i="1" a="1"/>
  <c r="Z13" i="6" l="1"/>
  <c r="AA13" i="6" s="1"/>
  <c r="M21" i="8"/>
  <c r="M22" i="8"/>
  <c r="W21" i="8"/>
  <c r="X21" i="8" s="1"/>
  <c r="M23" i="8"/>
  <c r="W22" i="8"/>
  <c r="X22" i="8" s="1"/>
  <c r="W23" i="8"/>
  <c r="X23" i="8" s="1"/>
  <c r="M24" i="8"/>
  <c r="W24" i="8"/>
  <c r="X24" i="8" s="1"/>
  <c r="W8" i="8"/>
  <c r="X8" i="8" s="1"/>
  <c r="M8" i="8"/>
  <c r="W7" i="8"/>
  <c r="X7" i="8" s="1"/>
  <c r="M7" i="8"/>
  <c r="W6" i="8"/>
  <c r="X6" i="8" s="1"/>
  <c r="M5" i="8"/>
  <c r="W5" i="8"/>
  <c r="X5" i="8" s="1"/>
  <c r="M6" i="8"/>
  <c r="W12" i="8"/>
  <c r="X12" i="8" s="1"/>
  <c r="M12" i="8"/>
  <c r="W11" i="8"/>
  <c r="X11" i="8" s="1"/>
  <c r="M11" i="8"/>
  <c r="W10" i="8"/>
  <c r="X10" i="8" s="1"/>
  <c r="M10" i="8"/>
  <c r="W9" i="8"/>
  <c r="X9" i="8" s="1"/>
  <c r="M9" i="8"/>
  <c r="W16" i="8"/>
  <c r="X16" i="8" s="1"/>
  <c r="W15" i="8"/>
  <c r="X15" i="8" s="1"/>
  <c r="M16" i="8"/>
  <c r="W14" i="8"/>
  <c r="X14" i="8" s="1"/>
  <c r="M15" i="8"/>
  <c r="W13" i="8"/>
  <c r="X13" i="8" s="1"/>
  <c r="M14" i="8"/>
  <c r="M13" i="8"/>
  <c r="K6" i="3"/>
  <c r="S8" i="3"/>
  <c r="M17" i="8"/>
  <c r="M18" i="8"/>
  <c r="W17" i="8"/>
  <c r="X17" i="8" s="1"/>
  <c r="W18" i="8"/>
  <c r="X18" i="8" s="1"/>
  <c r="M19" i="8"/>
  <c r="M20" i="8"/>
  <c r="W19" i="8"/>
  <c r="X19" i="8" s="1"/>
  <c r="W20" i="8"/>
  <c r="X20" i="8" s="1"/>
  <c r="H8" i="3"/>
  <c r="H7" i="3"/>
  <c r="K7" i="3"/>
  <c r="AB44" i="7"/>
  <c r="AB43" i="7"/>
  <c r="AB42" i="7"/>
  <c r="AB41" i="7"/>
  <c r="AB44" i="6"/>
  <c r="AB43" i="6"/>
  <c r="AB42" i="6"/>
  <c r="AB41" i="6"/>
  <c r="AB40" i="7"/>
  <c r="AB39" i="7"/>
  <c r="AB38" i="7"/>
  <c r="AB37" i="7"/>
  <c r="AB40" i="6"/>
  <c r="AB39" i="6"/>
  <c r="AB38" i="6"/>
  <c r="AB37" i="6"/>
  <c r="AB20" i="7"/>
  <c r="AB19" i="7"/>
  <c r="AB17" i="7"/>
  <c r="AB18" i="7"/>
  <c r="AB20" i="6"/>
  <c r="AB17" i="6"/>
  <c r="AB18" i="6"/>
  <c r="AB19" i="6"/>
  <c r="AB26" i="7"/>
  <c r="AB25" i="7"/>
  <c r="AB27" i="7"/>
  <c r="AB28" i="7"/>
  <c r="AB26" i="6"/>
  <c r="AB25" i="6"/>
  <c r="AB27" i="6"/>
  <c r="AB28" i="6"/>
  <c r="AB24" i="7"/>
  <c r="AB22" i="7"/>
  <c r="AB21" i="7"/>
  <c r="AB23" i="7"/>
  <c r="AB24" i="6"/>
  <c r="AB23" i="6"/>
  <c r="AB21" i="6"/>
  <c r="AB22" i="6"/>
  <c r="AB31" i="7"/>
  <c r="AB30" i="7"/>
  <c r="AB32" i="7"/>
  <c r="AB29" i="7"/>
  <c r="AB31" i="6"/>
  <c r="AB32" i="6"/>
  <c r="AB30" i="6"/>
  <c r="AB29" i="6"/>
  <c r="AB36" i="7"/>
  <c r="AB35" i="7"/>
  <c r="AB34" i="7"/>
  <c r="AB33" i="7"/>
  <c r="AB36" i="6"/>
  <c r="AB35" i="6"/>
  <c r="AB34" i="6"/>
  <c r="AB33" i="6"/>
  <c r="AB4" i="1"/>
  <c r="AB4" i="6"/>
  <c r="AB4" i="7"/>
  <c r="AB5" i="1"/>
  <c r="AB6" i="6"/>
  <c r="AB8" i="6"/>
  <c r="AB5" i="6"/>
  <c r="AB7" i="6"/>
  <c r="AB5" i="7"/>
  <c r="Y65" i="7" s="1"/>
  <c r="AB7" i="7"/>
  <c r="AB6" i="7"/>
  <c r="AB8" i="7"/>
  <c r="AB10" i="6"/>
  <c r="AB11" i="6"/>
  <c r="AB12" i="6"/>
  <c r="AB9" i="6"/>
  <c r="AB9" i="7"/>
  <c r="AB10" i="7"/>
  <c r="AB11" i="7"/>
  <c r="AB12" i="7"/>
  <c r="AB13" i="6"/>
  <c r="AB14" i="6"/>
  <c r="AB15" i="6"/>
  <c r="AB16" i="6"/>
  <c r="AB14" i="7"/>
  <c r="AB16" i="7"/>
  <c r="AB13" i="7"/>
  <c r="AB15" i="7"/>
  <c r="AB6" i="1"/>
  <c r="AR12" i="7"/>
  <c r="AS11" i="7"/>
  <c r="AV12" i="7"/>
  <c r="BD13" i="7"/>
  <c r="BE12" i="7"/>
  <c r="AZ13" i="7"/>
  <c r="AN13" i="7"/>
  <c r="BA12" i="7"/>
  <c r="AJ13" i="7"/>
  <c r="AK13" i="7" s="1"/>
  <c r="AK12" i="7"/>
  <c r="Z13" i="7"/>
  <c r="AV11" i="6"/>
  <c r="AW11" i="6" s="1"/>
  <c r="AR14" i="6"/>
  <c r="AZ13" i="6"/>
  <c r="AN12" i="6"/>
  <c r="BD11" i="6"/>
  <c r="Z14" i="6"/>
  <c r="AA14" i="6" s="1"/>
  <c r="BE10" i="6"/>
  <c r="AO11" i="6"/>
  <c r="AJ12" i="6"/>
  <c r="AB7" i="1"/>
  <c r="Y7" i="1"/>
  <c r="R7" i="5"/>
  <c r="S7" i="5" s="1"/>
  <c r="M6" i="5"/>
  <c r="V6" i="3"/>
  <c r="K5" i="3"/>
  <c r="M5" i="3" s="1"/>
  <c r="V5" i="3"/>
  <c r="W5" i="3" s="1"/>
  <c r="V7" i="3"/>
  <c r="M7" i="5"/>
  <c r="AA6" i="5"/>
  <c r="M8" i="5"/>
  <c r="M9" i="5"/>
  <c r="AA7" i="5"/>
  <c r="K8" i="3"/>
  <c r="V8" i="3"/>
  <c r="Q9" i="3"/>
  <c r="E8" i="5"/>
  <c r="F8" i="5" s="1"/>
  <c r="G8" i="5" s="1"/>
  <c r="V8" i="5"/>
  <c r="X8" i="5" s="1"/>
  <c r="AA8" i="5" s="1"/>
  <c r="M10" i="5"/>
  <c r="AC12" i="5"/>
  <c r="H12" i="5" s="1"/>
  <c r="D13" i="5"/>
  <c r="Y9" i="5"/>
  <c r="W9" i="5"/>
  <c r="U9" i="5"/>
  <c r="O11" i="5"/>
  <c r="AD10" i="5"/>
  <c r="T10" i="5" s="1"/>
  <c r="I11" i="5"/>
  <c r="J11" i="5"/>
  <c r="K11" i="5"/>
  <c r="AY25" i="4"/>
  <c r="AY28" i="4"/>
  <c r="AW29" i="4"/>
  <c r="AT30" i="4"/>
  <c r="AP31" i="4"/>
  <c r="AY33" i="4"/>
  <c r="AR34" i="4"/>
  <c r="AY30" i="4"/>
  <c r="AW31" i="4"/>
  <c r="AR32" i="4"/>
  <c r="AY34" i="4"/>
  <c r="AT32" i="4"/>
  <c r="AP26" i="4"/>
  <c r="AP25" i="4"/>
  <c r="AP28" i="4"/>
  <c r="AV32" i="4"/>
  <c r="AP33" i="4"/>
  <c r="AQ25" i="4"/>
  <c r="AQ28" i="4"/>
  <c r="AS26" i="4"/>
  <c r="AS28" i="4"/>
  <c r="AT33" i="4"/>
  <c r="AV25" i="4"/>
  <c r="AT29" i="4"/>
  <c r="AV33" i="4"/>
  <c r="AW25" i="4"/>
  <c r="AX27" i="4"/>
  <c r="AW28" i="4"/>
  <c r="AU29" i="4"/>
  <c r="AR30" i="4"/>
  <c r="AP34" i="4"/>
  <c r="AX29" i="4"/>
  <c r="AU30" i="4"/>
  <c r="AQ31" i="4"/>
  <c r="AS34" i="4"/>
  <c r="AX31" i="4"/>
  <c r="AS32" i="4"/>
  <c r="AS25" i="4"/>
  <c r="AW26" i="4"/>
  <c r="AY29" i="4"/>
  <c r="AV30" i="4"/>
  <c r="AR31" i="4"/>
  <c r="AT34" i="4"/>
  <c r="AQ27" i="4"/>
  <c r="AW32" i="4"/>
  <c r="AP29" i="4"/>
  <c r="AT26" i="4"/>
  <c r="AY32" i="4"/>
  <c r="AS33" i="4"/>
  <c r="AT25" i="4"/>
  <c r="AU27" i="4"/>
  <c r="AT28" i="4"/>
  <c r="AR29" i="4"/>
  <c r="AV26" i="4"/>
  <c r="AU28" i="4"/>
  <c r="AS29" i="4"/>
  <c r="AP30" i="4"/>
  <c r="AW27" i="4"/>
  <c r="AX26" i="4"/>
  <c r="AW33" i="4"/>
  <c r="AW30" i="4"/>
  <c r="AS31" i="4"/>
  <c r="AU34" i="4"/>
  <c r="AU31" i="4"/>
  <c r="AP32" i="4"/>
  <c r="AY31" i="4"/>
  <c r="AP27" i="4"/>
  <c r="AQ26" i="4"/>
  <c r="AV28" i="4"/>
  <c r="AX30" i="4"/>
  <c r="AT31" i="4"/>
  <c r="AV34" i="4"/>
  <c r="AW34" i="4"/>
  <c r="AS27" i="4"/>
  <c r="AV31" i="4"/>
  <c r="AQ32" i="4"/>
  <c r="AX34" i="4"/>
  <c r="AR27" i="4"/>
  <c r="AQ33" i="4"/>
  <c r="AR28" i="4"/>
  <c r="AQ29" i="4"/>
  <c r="AU32" i="4"/>
  <c r="AR26" i="4"/>
  <c r="AR25" i="4"/>
  <c r="AX32" i="4"/>
  <c r="AR33" i="4"/>
  <c r="AT27" i="4"/>
  <c r="AU26" i="4"/>
  <c r="AV27" i="4"/>
  <c r="AU33" i="4"/>
  <c r="AQ30" i="4"/>
  <c r="AU25" i="4"/>
  <c r="AX25" i="4"/>
  <c r="AY26" i="4"/>
  <c r="AY27" i="4"/>
  <c r="AX28" i="4"/>
  <c r="AV29" i="4"/>
  <c r="AS30" i="4"/>
  <c r="AX33" i="4"/>
  <c r="AQ34" i="4"/>
  <c r="T6" i="3"/>
  <c r="U6" i="3" s="1"/>
  <c r="I6" i="3"/>
  <c r="G8" i="3"/>
  <c r="R8" i="3"/>
  <c r="F9" i="3"/>
  <c r="AZ7" i="1"/>
  <c r="BA7" i="1" s="1"/>
  <c r="BD7" i="1"/>
  <c r="BD8" i="1" s="1"/>
  <c r="BD9" i="1" s="1"/>
  <c r="BE9" i="1" s="1"/>
  <c r="AR8" i="1"/>
  <c r="AN7" i="1"/>
  <c r="AS7" i="1"/>
  <c r="AS6" i="1"/>
  <c r="AV7" i="1"/>
  <c r="AW7" i="1" s="1"/>
  <c r="AO6" i="1"/>
  <c r="AJ7" i="1"/>
  <c r="AK7" i="1" s="1"/>
  <c r="X8" i="1"/>
  <c r="L11" i="5"/>
  <c r="V9" i="5" a="1"/>
  <c r="Z9" i="5"/>
  <c r="S9" i="3" a="1"/>
  <c r="H9" i="3" a="1"/>
  <c r="V9" i="3" a="1"/>
  <c r="K9" i="3" a="1"/>
  <c r="Y8" i="1" a="1"/>
  <c r="AB8" i="1" a="1"/>
  <c r="W6" i="3" l="1"/>
  <c r="S9" i="3"/>
  <c r="N17" i="8"/>
  <c r="O17" i="8"/>
  <c r="O12" i="8"/>
  <c r="N12" i="8"/>
  <c r="N22" i="8"/>
  <c r="O22" i="8"/>
  <c r="O21" i="8"/>
  <c r="N21" i="8"/>
  <c r="N13" i="8"/>
  <c r="O13" i="8"/>
  <c r="N6" i="8"/>
  <c r="O6" i="8"/>
  <c r="O14" i="8"/>
  <c r="N14" i="8"/>
  <c r="D22" i="8"/>
  <c r="N5" i="8"/>
  <c r="O5" i="8"/>
  <c r="N15" i="8"/>
  <c r="O15" i="8"/>
  <c r="N7" i="8"/>
  <c r="O7" i="8"/>
  <c r="N18" i="8"/>
  <c r="O18" i="8"/>
  <c r="O15" i="6"/>
  <c r="O8" i="8"/>
  <c r="N8" i="8"/>
  <c r="S15" i="7"/>
  <c r="O15" i="7"/>
  <c r="O20" i="8"/>
  <c r="N20" i="8"/>
  <c r="O9" i="8"/>
  <c r="N9" i="8"/>
  <c r="O11" i="8"/>
  <c r="N11" i="8"/>
  <c r="N16" i="8"/>
  <c r="O16" i="8"/>
  <c r="Y76" i="7"/>
  <c r="N19" i="8"/>
  <c r="O19" i="8"/>
  <c r="O24" i="8"/>
  <c r="N24" i="8"/>
  <c r="N23" i="8"/>
  <c r="O23" i="8"/>
  <c r="O10" i="8"/>
  <c r="N10" i="8"/>
  <c r="S15" i="6"/>
  <c r="H9" i="3"/>
  <c r="L5" i="3"/>
  <c r="N5" i="3" s="1"/>
  <c r="Q8" i="5"/>
  <c r="P8" i="5" s="1"/>
  <c r="Y65" i="6"/>
  <c r="Z65" i="7"/>
  <c r="Z76" i="7"/>
  <c r="Z65" i="6"/>
  <c r="Z76" i="6"/>
  <c r="Y76" i="6"/>
  <c r="AI76" i="7"/>
  <c r="Y75" i="6"/>
  <c r="N14" i="6"/>
  <c r="Y64" i="6"/>
  <c r="S14" i="6"/>
  <c r="P14" i="6"/>
  <c r="O14" i="6"/>
  <c r="AH86" i="6"/>
  <c r="AH75" i="6"/>
  <c r="N15" i="6"/>
  <c r="P15" i="6"/>
  <c r="P15" i="7"/>
  <c r="L6" i="3"/>
  <c r="AI87" i="7"/>
  <c r="Y64" i="7"/>
  <c r="P14" i="7"/>
  <c r="Y75" i="7"/>
  <c r="O14" i="7"/>
  <c r="N14" i="7"/>
  <c r="S14" i="7"/>
  <c r="AH75" i="7"/>
  <c r="AH86" i="7"/>
  <c r="N15" i="7"/>
  <c r="AR13" i="7"/>
  <c r="AR14" i="7" s="1"/>
  <c r="AR15" i="7" s="1"/>
  <c r="AS12" i="7"/>
  <c r="Z14" i="7"/>
  <c r="BD14" i="7"/>
  <c r="AH76" i="7"/>
  <c r="AH87" i="7"/>
  <c r="BE13" i="7"/>
  <c r="AJ14" i="7"/>
  <c r="AK14" i="7" s="1"/>
  <c r="AV13" i="7"/>
  <c r="AW13" i="7" s="1"/>
  <c r="AN14" i="7"/>
  <c r="AO14" i="7" s="1"/>
  <c r="AA13" i="7"/>
  <c r="AO13" i="7"/>
  <c r="AW12" i="7"/>
  <c r="AZ14" i="7"/>
  <c r="BA14" i="7" s="1"/>
  <c r="BA13" i="7"/>
  <c r="AV12" i="6"/>
  <c r="AW12" i="6" s="1"/>
  <c r="AZ14" i="6"/>
  <c r="BA13" i="6"/>
  <c r="AR15" i="6"/>
  <c r="AJ13" i="6"/>
  <c r="AK13" i="6" s="1"/>
  <c r="AS14" i="6"/>
  <c r="AK12" i="6"/>
  <c r="AH76" i="6" s="1"/>
  <c r="BD12" i="6"/>
  <c r="BE12" i="6" s="1"/>
  <c r="BE11" i="6"/>
  <c r="AN13" i="6"/>
  <c r="Z15" i="6"/>
  <c r="AA15" i="6" s="1"/>
  <c r="AO12" i="6"/>
  <c r="AI87" i="6" s="1"/>
  <c r="AB8" i="1"/>
  <c r="Y8" i="1"/>
  <c r="E9" i="5"/>
  <c r="F9" i="5" s="1"/>
  <c r="G9" i="5" s="1"/>
  <c r="K9" i="3"/>
  <c r="V9" i="3"/>
  <c r="Q10" i="3"/>
  <c r="V9" i="5"/>
  <c r="X9" i="5" s="1"/>
  <c r="AA9" i="5" s="1"/>
  <c r="M11" i="5"/>
  <c r="D14" i="5"/>
  <c r="AC13" i="5"/>
  <c r="H13" i="5" s="1"/>
  <c r="U10" i="5"/>
  <c r="W10" i="5"/>
  <c r="Y10" i="5"/>
  <c r="AD11" i="5"/>
  <c r="T11" i="5" s="1"/>
  <c r="O12" i="5"/>
  <c r="I12" i="5"/>
  <c r="K12" i="5"/>
  <c r="J12" i="5"/>
  <c r="T8" i="4" a="1"/>
  <c r="T7" i="3"/>
  <c r="U7" i="3" s="1"/>
  <c r="W7" i="3" s="1"/>
  <c r="J6" i="3"/>
  <c r="M6" i="3" s="1"/>
  <c r="I7" i="3"/>
  <c r="J7" i="3" s="1"/>
  <c r="M7" i="3" s="1"/>
  <c r="G9" i="3"/>
  <c r="R9" i="3"/>
  <c r="F10" i="3"/>
  <c r="AZ8" i="1"/>
  <c r="AZ9" i="1" s="1"/>
  <c r="BE7" i="1"/>
  <c r="BE8" i="1"/>
  <c r="AR9" i="1"/>
  <c r="AS9" i="1" s="1"/>
  <c r="AN8" i="1"/>
  <c r="AO7" i="1"/>
  <c r="AV8" i="1"/>
  <c r="AV9" i="1" s="1"/>
  <c r="AS8" i="1"/>
  <c r="BD10" i="1"/>
  <c r="AJ8" i="1"/>
  <c r="X9" i="1"/>
  <c r="L12" i="5"/>
  <c r="V10" i="5" a="1"/>
  <c r="Z10" i="5"/>
  <c r="V10" i="3" a="1"/>
  <c r="H10" i="3" a="1"/>
  <c r="K10" i="3" a="1"/>
  <c r="S10" i="3" a="1"/>
  <c r="AB9" i="1" a="1"/>
  <c r="Y9" i="1" a="1"/>
  <c r="Y54" i="7" l="1"/>
  <c r="Z54" i="7"/>
  <c r="AI76" i="6"/>
  <c r="Q15" i="6"/>
  <c r="Q15" i="7"/>
  <c r="T15" i="6"/>
  <c r="U15" i="6" s="1"/>
  <c r="V15" i="6" s="1"/>
  <c r="P28" i="6" s="1"/>
  <c r="Y54" i="6"/>
  <c r="P21" i="8"/>
  <c r="P24" i="8"/>
  <c r="P12" i="8"/>
  <c r="P11" i="8"/>
  <c r="P8" i="8"/>
  <c r="P10" i="8"/>
  <c r="P23" i="8"/>
  <c r="P15" i="8"/>
  <c r="P9" i="8"/>
  <c r="S10" i="3"/>
  <c r="P17" i="8"/>
  <c r="P5" i="8"/>
  <c r="P20" i="8"/>
  <c r="P14" i="8"/>
  <c r="P6" i="8"/>
  <c r="P13" i="8"/>
  <c r="P19" i="8"/>
  <c r="P18" i="8"/>
  <c r="R8" i="5"/>
  <c r="S8" i="5" s="1"/>
  <c r="Z54" i="6"/>
  <c r="P22" i="8"/>
  <c r="P7" i="8"/>
  <c r="T15" i="7"/>
  <c r="U15" i="7" s="1"/>
  <c r="V15" i="7" s="1"/>
  <c r="P28" i="7" s="1"/>
  <c r="P16" i="8"/>
  <c r="AI65" i="6"/>
  <c r="AI54" i="6" s="1"/>
  <c r="L54" i="6" s="1"/>
  <c r="H10" i="3"/>
  <c r="N6" i="3"/>
  <c r="AI65" i="7"/>
  <c r="AH64" i="6"/>
  <c r="AH64" i="7"/>
  <c r="T14" i="6"/>
  <c r="U14" i="6" s="1"/>
  <c r="V14" i="6" s="1"/>
  <c r="P27" i="6" s="1"/>
  <c r="Y53" i="6"/>
  <c r="Q14" i="7"/>
  <c r="Q14" i="6"/>
  <c r="T14" i="7"/>
  <c r="U14" i="7" s="1"/>
  <c r="V14" i="7" s="1"/>
  <c r="P27" i="7" s="1"/>
  <c r="Y53" i="7"/>
  <c r="AS14" i="7"/>
  <c r="AS13" i="7"/>
  <c r="Z15" i="7"/>
  <c r="AJ15" i="7"/>
  <c r="AA14" i="7"/>
  <c r="AZ15" i="7"/>
  <c r="BA15" i="7" s="1"/>
  <c r="AV14" i="7"/>
  <c r="AW14" i="7" s="1"/>
  <c r="AH65" i="7"/>
  <c r="AR16" i="7"/>
  <c r="AS16" i="7" s="1"/>
  <c r="AS15" i="7"/>
  <c r="BD15" i="7"/>
  <c r="BE15" i="7" s="1"/>
  <c r="AN15" i="7"/>
  <c r="AO15" i="7" s="1"/>
  <c r="BE14" i="7"/>
  <c r="AV13" i="6"/>
  <c r="AV14" i="6" s="1"/>
  <c r="AH87" i="6"/>
  <c r="AH65" i="6" s="1"/>
  <c r="AH54" i="6" s="1"/>
  <c r="K54" i="6" s="1"/>
  <c r="AR16" i="6"/>
  <c r="AN14" i="6"/>
  <c r="AS15" i="6"/>
  <c r="AJ14" i="6"/>
  <c r="AZ15" i="6"/>
  <c r="Z16" i="6"/>
  <c r="AA66" i="6" s="1"/>
  <c r="BA14" i="6"/>
  <c r="AO13" i="6"/>
  <c r="BD13" i="6"/>
  <c r="AB9" i="1"/>
  <c r="Y9" i="1"/>
  <c r="E10" i="5"/>
  <c r="F10" i="5" s="1"/>
  <c r="G10" i="5" s="1"/>
  <c r="K10" i="3"/>
  <c r="V10" i="3"/>
  <c r="Q11" i="3"/>
  <c r="M12" i="5"/>
  <c r="V10" i="5"/>
  <c r="X10" i="5" s="1"/>
  <c r="AA10" i="5" s="1"/>
  <c r="AC14" i="5"/>
  <c r="H14" i="5" s="1"/>
  <c r="D15" i="5"/>
  <c r="K13" i="5"/>
  <c r="J13" i="5"/>
  <c r="I13" i="5"/>
  <c r="O13" i="5"/>
  <c r="AD12" i="5"/>
  <c r="T12" i="5" s="1"/>
  <c r="W11" i="5"/>
  <c r="U11" i="5"/>
  <c r="Y11" i="5"/>
  <c r="T14" i="4"/>
  <c r="T15" i="4"/>
  <c r="T10" i="4"/>
  <c r="T11" i="4"/>
  <c r="T9" i="4"/>
  <c r="T12" i="4"/>
  <c r="T17" i="4"/>
  <c r="T16" i="4"/>
  <c r="T8" i="4"/>
  <c r="T13" i="4"/>
  <c r="T8" i="3"/>
  <c r="U8" i="3" s="1"/>
  <c r="W8" i="3" s="1"/>
  <c r="L7" i="3"/>
  <c r="N7" i="3" s="1"/>
  <c r="I8" i="3"/>
  <c r="L8" i="3" s="1"/>
  <c r="R10" i="3"/>
  <c r="G10" i="3"/>
  <c r="F11" i="3"/>
  <c r="BA8" i="1"/>
  <c r="AR10" i="1"/>
  <c r="AS10" i="1" s="1"/>
  <c r="AO8" i="1"/>
  <c r="AN9" i="1"/>
  <c r="AO9" i="1" s="1"/>
  <c r="AW8" i="1"/>
  <c r="AZ10" i="1"/>
  <c r="BA10" i="1" s="1"/>
  <c r="BA9" i="1"/>
  <c r="AJ9" i="1"/>
  <c r="AK8" i="1"/>
  <c r="BD11" i="1"/>
  <c r="AV10" i="1"/>
  <c r="BE10" i="1"/>
  <c r="AW9" i="1"/>
  <c r="X10" i="1"/>
  <c r="V11" i="5" a="1"/>
  <c r="Z11" i="5"/>
  <c r="L13" i="5"/>
  <c r="K11" i="3" a="1"/>
  <c r="V11" i="3" a="1"/>
  <c r="H11" i="3" a="1"/>
  <c r="S11" i="3" a="1"/>
  <c r="AB10" i="1" a="1"/>
  <c r="Y10" i="1" a="1"/>
  <c r="S11" i="3" l="1"/>
  <c r="Q9" i="5"/>
  <c r="P9" i="5" s="1"/>
  <c r="D21" i="8"/>
  <c r="AH54" i="7"/>
  <c r="K54" i="7" s="1"/>
  <c r="AI54" i="7"/>
  <c r="L54" i="7" s="1"/>
  <c r="AH53" i="6"/>
  <c r="K53" i="6" s="1"/>
  <c r="H11" i="3"/>
  <c r="AA77" i="6"/>
  <c r="AW13" i="6"/>
  <c r="AH53" i="7"/>
  <c r="K53" i="7" s="1"/>
  <c r="AV15" i="7"/>
  <c r="AZ16" i="7"/>
  <c r="AJ16" i="7"/>
  <c r="AN16" i="7"/>
  <c r="AK15" i="7"/>
  <c r="Z16" i="7"/>
  <c r="AA16" i="7" s="1"/>
  <c r="BD16" i="7"/>
  <c r="AR17" i="7"/>
  <c r="AS17" i="7" s="1"/>
  <c r="AJ88" i="7"/>
  <c r="AA15" i="7"/>
  <c r="AJ77" i="7"/>
  <c r="AW14" i="6"/>
  <c r="AV15" i="6"/>
  <c r="AW15" i="6" s="1"/>
  <c r="AJ15" i="6"/>
  <c r="AN15" i="6"/>
  <c r="AK14" i="6"/>
  <c r="AO14" i="6"/>
  <c r="Z17" i="6"/>
  <c r="AA17" i="6" s="1"/>
  <c r="N16" i="6"/>
  <c r="BD14" i="6"/>
  <c r="AR17" i="6"/>
  <c r="AA16" i="6"/>
  <c r="Y77" i="6" s="1"/>
  <c r="BE13" i="6"/>
  <c r="AZ16" i="6"/>
  <c r="BA16" i="6" s="1"/>
  <c r="AS16" i="6"/>
  <c r="AJ77" i="6" s="1"/>
  <c r="BA15" i="6"/>
  <c r="AB10" i="1"/>
  <c r="Y10" i="1"/>
  <c r="E11" i="5"/>
  <c r="F11" i="5" s="1"/>
  <c r="K11" i="3"/>
  <c r="V11" i="3"/>
  <c r="Q12" i="3"/>
  <c r="V11" i="5"/>
  <c r="X11" i="5" s="1"/>
  <c r="AA11" i="5" s="1"/>
  <c r="M13" i="5"/>
  <c r="G11" i="5"/>
  <c r="E12" i="5"/>
  <c r="F12" i="5" s="1"/>
  <c r="W12" i="5"/>
  <c r="U12" i="5"/>
  <c r="Y12" i="5"/>
  <c r="J14" i="5"/>
  <c r="K14" i="5"/>
  <c r="I14" i="5"/>
  <c r="AC15" i="5"/>
  <c r="H15" i="5" s="1"/>
  <c r="D16" i="5"/>
  <c r="O14" i="5"/>
  <c r="AD13" i="5"/>
  <c r="T13" i="5" s="1"/>
  <c r="AF30" i="4"/>
  <c r="AG30" i="4" s="1"/>
  <c r="X13" i="4"/>
  <c r="AF25" i="4"/>
  <c r="AG25" i="4" s="1"/>
  <c r="X8" i="4"/>
  <c r="AF34" i="4"/>
  <c r="AG34" i="4" s="1"/>
  <c r="X17" i="4"/>
  <c r="X12" i="4"/>
  <c r="AF29" i="4"/>
  <c r="AG29" i="4" s="1"/>
  <c r="X11" i="4"/>
  <c r="AF28" i="4"/>
  <c r="AG28" i="4" s="1"/>
  <c r="AF32" i="4"/>
  <c r="AG32" i="4" s="1"/>
  <c r="X15" i="4"/>
  <c r="X16" i="4"/>
  <c r="AF33" i="4"/>
  <c r="AG33" i="4" s="1"/>
  <c r="X9" i="4"/>
  <c r="AF26" i="4"/>
  <c r="AG26" i="4" s="1"/>
  <c r="X10" i="4"/>
  <c r="AF27" i="4"/>
  <c r="AG27" i="4" s="1"/>
  <c r="X14" i="4"/>
  <c r="AF31" i="4"/>
  <c r="AG31" i="4" s="1"/>
  <c r="I9" i="3"/>
  <c r="L9" i="3" s="1"/>
  <c r="T9" i="3"/>
  <c r="J8" i="3"/>
  <c r="M8" i="3" s="1"/>
  <c r="N8" i="3" s="1"/>
  <c r="R11" i="3"/>
  <c r="G11" i="3"/>
  <c r="F12" i="3"/>
  <c r="AH86" i="1"/>
  <c r="AH75" i="1"/>
  <c r="AN10" i="1"/>
  <c r="AN11" i="1" s="1"/>
  <c r="AN12" i="1" s="1"/>
  <c r="AR11" i="1"/>
  <c r="AZ11" i="1"/>
  <c r="BA11" i="1" s="1"/>
  <c r="BD12" i="1"/>
  <c r="BE12" i="1" s="1"/>
  <c r="AJ10" i="1"/>
  <c r="AK9" i="1"/>
  <c r="AV11" i="1"/>
  <c r="BE11" i="1"/>
  <c r="AW10" i="1"/>
  <c r="X11" i="1"/>
  <c r="Z12" i="5"/>
  <c r="V12" i="5" a="1"/>
  <c r="L14" i="5"/>
  <c r="V12" i="3" a="1"/>
  <c r="K12" i="3" a="1"/>
  <c r="H12" i="3" a="1"/>
  <c r="S12" i="3" a="1"/>
  <c r="Y11" i="1" a="1"/>
  <c r="AB11" i="1" a="1"/>
  <c r="R9" i="5" l="1"/>
  <c r="S9" i="5" s="1"/>
  <c r="S12" i="3"/>
  <c r="D20" i="8"/>
  <c r="D23" i="8"/>
  <c r="H12" i="3"/>
  <c r="AJ66" i="7"/>
  <c r="Z77" i="7"/>
  <c r="Z17" i="7"/>
  <c r="N16" i="7"/>
  <c r="S16" i="7"/>
  <c r="Y77" i="7"/>
  <c r="AA66" i="7"/>
  <c r="AA77" i="7"/>
  <c r="P16" i="7"/>
  <c r="O16" i="7"/>
  <c r="AN17" i="7"/>
  <c r="AO17" i="7" s="1"/>
  <c r="AO16" i="7"/>
  <c r="AI77" i="7" s="1"/>
  <c r="AJ17" i="7"/>
  <c r="AK16" i="7"/>
  <c r="AH77" i="7" s="1"/>
  <c r="AZ17" i="7"/>
  <c r="BA17" i="7" s="1"/>
  <c r="BA16" i="7"/>
  <c r="Z66" i="7"/>
  <c r="Y66" i="7"/>
  <c r="BD17" i="7"/>
  <c r="BE17" i="7" s="1"/>
  <c r="AV16" i="7"/>
  <c r="AR18" i="7"/>
  <c r="BE16" i="7"/>
  <c r="AW15" i="7"/>
  <c r="AV16" i="6"/>
  <c r="AW16" i="6" s="1"/>
  <c r="Z18" i="6"/>
  <c r="AZ17" i="6"/>
  <c r="BA17" i="6" s="1"/>
  <c r="AN16" i="6"/>
  <c r="AO16" i="6" s="1"/>
  <c r="O16" i="6"/>
  <c r="P16" i="6"/>
  <c r="Y66" i="6"/>
  <c r="Z66" i="6"/>
  <c r="Z77" i="6"/>
  <c r="AO15" i="6"/>
  <c r="AJ88" i="6"/>
  <c r="AJ66" i="6" s="1"/>
  <c r="AR18" i="6"/>
  <c r="AS17" i="6"/>
  <c r="BD15" i="6"/>
  <c r="AJ16" i="6"/>
  <c r="AK15" i="6"/>
  <c r="BE14" i="6"/>
  <c r="S16" i="6"/>
  <c r="AB11" i="1"/>
  <c r="Y11" i="1"/>
  <c r="V12" i="3"/>
  <c r="K12" i="3"/>
  <c r="Q13" i="3"/>
  <c r="V12" i="5"/>
  <c r="X12" i="5" s="1"/>
  <c r="AA12" i="5" s="1"/>
  <c r="M14" i="5"/>
  <c r="G12" i="5"/>
  <c r="E13" i="5"/>
  <c r="F13" i="5" s="1"/>
  <c r="AC16" i="5"/>
  <c r="D17" i="5"/>
  <c r="O15" i="5"/>
  <c r="AD14" i="5"/>
  <c r="T14" i="5" s="1"/>
  <c r="U13" i="5"/>
  <c r="W13" i="5"/>
  <c r="Y13" i="5"/>
  <c r="J15" i="5"/>
  <c r="I15" i="5"/>
  <c r="K15" i="5"/>
  <c r="X4" i="4"/>
  <c r="J9" i="3"/>
  <c r="M9" i="3" s="1"/>
  <c r="N9" i="3" s="1"/>
  <c r="T10" i="3"/>
  <c r="U9" i="3"/>
  <c r="W9" i="3" s="1"/>
  <c r="I10" i="3"/>
  <c r="J10" i="3" s="1"/>
  <c r="M10" i="3" s="1"/>
  <c r="R12" i="3"/>
  <c r="G12" i="3"/>
  <c r="F13" i="3"/>
  <c r="AH64" i="1"/>
  <c r="AO10" i="1"/>
  <c r="AR12" i="1"/>
  <c r="AS12" i="1" s="1"/>
  <c r="AS11" i="1"/>
  <c r="AO11" i="1"/>
  <c r="AK10" i="1"/>
  <c r="AV12" i="1"/>
  <c r="AW11" i="1"/>
  <c r="AN13" i="1"/>
  <c r="AZ12" i="1"/>
  <c r="AO12" i="1"/>
  <c r="AJ11" i="1"/>
  <c r="BD13" i="1"/>
  <c r="X12" i="1"/>
  <c r="Z13" i="5"/>
  <c r="V13" i="5" a="1"/>
  <c r="L15" i="5"/>
  <c r="V13" i="3" a="1"/>
  <c r="S13" i="3" a="1"/>
  <c r="K13" i="3" a="1"/>
  <c r="H13" i="3" a="1"/>
  <c r="AB12" i="1" a="1"/>
  <c r="Y12" i="1" a="1"/>
  <c r="Q10" i="5" l="1"/>
  <c r="S13" i="3"/>
  <c r="T16" i="7"/>
  <c r="U16" i="7" s="1"/>
  <c r="V16" i="7" s="1"/>
  <c r="P29" i="7" s="1"/>
  <c r="D24" i="8"/>
  <c r="D25" i="8"/>
  <c r="D26" i="8" s="1"/>
  <c r="H13" i="3"/>
  <c r="AI88" i="7"/>
  <c r="AI66" i="7" s="1"/>
  <c r="Y55" i="7"/>
  <c r="AN18" i="7"/>
  <c r="AA55" i="7"/>
  <c r="AZ18" i="7"/>
  <c r="BA18" i="7" s="1"/>
  <c r="AV17" i="7"/>
  <c r="AW17" i="7" s="1"/>
  <c r="Q16" i="7"/>
  <c r="AR19" i="7"/>
  <c r="AW16" i="7"/>
  <c r="AJ18" i="7"/>
  <c r="Z18" i="7"/>
  <c r="Z55" i="7"/>
  <c r="AS18" i="7"/>
  <c r="AH88" i="7"/>
  <c r="AH66" i="7" s="1"/>
  <c r="BD18" i="7"/>
  <c r="BE18" i="7" s="1"/>
  <c r="AK17" i="7"/>
  <c r="AA17" i="7"/>
  <c r="Q16" i="6"/>
  <c r="AV17" i="6"/>
  <c r="AW17" i="6" s="1"/>
  <c r="AI77" i="6"/>
  <c r="AA55" i="6"/>
  <c r="Z19" i="6"/>
  <c r="AA19" i="6" s="1"/>
  <c r="Z55" i="6"/>
  <c r="AR19" i="6"/>
  <c r="AS19" i="6" s="1"/>
  <c r="T16" i="6"/>
  <c r="U16" i="6" s="1"/>
  <c r="V16" i="6" s="1"/>
  <c r="P29" i="6" s="1"/>
  <c r="AJ17" i="6"/>
  <c r="AK16" i="6"/>
  <c r="AH77" i="6" s="1"/>
  <c r="BD16" i="6"/>
  <c r="BE16" i="6" s="1"/>
  <c r="AA18" i="6"/>
  <c r="AS18" i="6"/>
  <c r="Y55" i="6"/>
  <c r="AN17" i="6"/>
  <c r="AO17" i="6" s="1"/>
  <c r="AI88" i="6"/>
  <c r="BE15" i="6"/>
  <c r="AZ18" i="6"/>
  <c r="AB12" i="1"/>
  <c r="Y12" i="1"/>
  <c r="H16" i="5"/>
  <c r="K13" i="3"/>
  <c r="V13" i="3"/>
  <c r="Q14" i="3"/>
  <c r="V13" i="5"/>
  <c r="X13" i="5" s="1"/>
  <c r="AA13" i="5" s="1"/>
  <c r="M15" i="5"/>
  <c r="Q11" i="5"/>
  <c r="G13" i="5"/>
  <c r="E14" i="5"/>
  <c r="F14" i="5" s="1"/>
  <c r="AC17" i="5"/>
  <c r="D18" i="5"/>
  <c r="Y14" i="5"/>
  <c r="W14" i="5"/>
  <c r="U14" i="5"/>
  <c r="O16" i="5"/>
  <c r="AD15" i="5"/>
  <c r="T15" i="5" s="1"/>
  <c r="I16" i="5"/>
  <c r="K16" i="5"/>
  <c r="J16" i="5"/>
  <c r="L10" i="3"/>
  <c r="N10" i="3" s="1"/>
  <c r="T11" i="3"/>
  <c r="U10" i="3"/>
  <c r="W10" i="3" s="1"/>
  <c r="I11" i="3"/>
  <c r="J11" i="3" s="1"/>
  <c r="M11" i="3" s="1"/>
  <c r="R13" i="3"/>
  <c r="G13" i="3"/>
  <c r="F14" i="3"/>
  <c r="AR13" i="1"/>
  <c r="BA12" i="1"/>
  <c r="AO13" i="1"/>
  <c r="BD14" i="1"/>
  <c r="AV13" i="1"/>
  <c r="AN14" i="1"/>
  <c r="BE13" i="1"/>
  <c r="AJ12" i="1"/>
  <c r="AK11" i="1"/>
  <c r="AW12" i="1"/>
  <c r="AZ13" i="1"/>
  <c r="X13" i="1"/>
  <c r="L16" i="5"/>
  <c r="V14" i="5" a="1"/>
  <c r="Z14" i="5"/>
  <c r="V14" i="3" a="1"/>
  <c r="S14" i="3" a="1"/>
  <c r="H14" i="3" a="1"/>
  <c r="K14" i="3" a="1"/>
  <c r="AB13" i="1" a="1"/>
  <c r="Y13" i="1" a="1"/>
  <c r="P10" i="5" l="1"/>
  <c r="R10" i="5"/>
  <c r="S10" i="5" s="1"/>
  <c r="S14" i="3"/>
  <c r="AJ55" i="7"/>
  <c r="M55" i="7" s="1"/>
  <c r="AI55" i="7"/>
  <c r="L55" i="7" s="1"/>
  <c r="AH55" i="7"/>
  <c r="K55" i="7" s="1"/>
  <c r="H14" i="3"/>
  <c r="AJ19" i="7"/>
  <c r="AK18" i="7"/>
  <c r="AR20" i="7"/>
  <c r="AS20" i="7" s="1"/>
  <c r="AS19" i="7"/>
  <c r="BD19" i="7"/>
  <c r="BE19" i="7" s="1"/>
  <c r="AV18" i="7"/>
  <c r="AW18" i="7" s="1"/>
  <c r="AZ19" i="7"/>
  <c r="Z19" i="7"/>
  <c r="AA19" i="7" s="1"/>
  <c r="AN19" i="7"/>
  <c r="AA18" i="7"/>
  <c r="AO18" i="7"/>
  <c r="AH88" i="6"/>
  <c r="AH66" i="6" s="1"/>
  <c r="AH55" i="6" s="1"/>
  <c r="K55" i="6" s="1"/>
  <c r="AI66" i="6"/>
  <c r="AI55" i="6" s="1"/>
  <c r="L55" i="6" s="1"/>
  <c r="AV18" i="6"/>
  <c r="AW18" i="6" s="1"/>
  <c r="AZ19" i="6"/>
  <c r="AJ18" i="6"/>
  <c r="BA18" i="6"/>
  <c r="AN18" i="6"/>
  <c r="AR20" i="6"/>
  <c r="AS20" i="6" s="1"/>
  <c r="AJ78" i="6" s="1"/>
  <c r="AK17" i="6"/>
  <c r="Z20" i="6"/>
  <c r="AA20" i="6" s="1"/>
  <c r="BD17" i="6"/>
  <c r="BE17" i="6" s="1"/>
  <c r="AJ55" i="6"/>
  <c r="M55" i="6" s="1"/>
  <c r="AB13" i="1"/>
  <c r="Y13" i="1"/>
  <c r="M16" i="5"/>
  <c r="H17" i="5"/>
  <c r="K14" i="3"/>
  <c r="V14" i="3"/>
  <c r="Q15" i="3"/>
  <c r="V14" i="5"/>
  <c r="X14" i="5" s="1"/>
  <c r="AA14" i="5" s="1"/>
  <c r="G14" i="5"/>
  <c r="E15" i="5"/>
  <c r="F15" i="5" s="1"/>
  <c r="P11" i="5"/>
  <c r="R11" i="5"/>
  <c r="AD16" i="5"/>
  <c r="T16" i="5" s="1"/>
  <c r="O17" i="5"/>
  <c r="W15" i="5"/>
  <c r="U15" i="5"/>
  <c r="Y15" i="5"/>
  <c r="D19" i="5"/>
  <c r="AC18" i="5"/>
  <c r="J17" i="5"/>
  <c r="K17" i="5"/>
  <c r="I17" i="5"/>
  <c r="T12" i="3"/>
  <c r="U11" i="3"/>
  <c r="W11" i="3" s="1"/>
  <c r="I12" i="3"/>
  <c r="L12" i="3" s="1"/>
  <c r="L11" i="3"/>
  <c r="N11" i="3" s="1"/>
  <c r="R14" i="3"/>
  <c r="G14" i="3"/>
  <c r="F15" i="3"/>
  <c r="AK12" i="1"/>
  <c r="AH87" i="1" s="1"/>
  <c r="AR14" i="1"/>
  <c r="AS13" i="1"/>
  <c r="AI87" i="1"/>
  <c r="AI76" i="1"/>
  <c r="AN15" i="1"/>
  <c r="AO14" i="1"/>
  <c r="AV14" i="1"/>
  <c r="AW14" i="1" s="1"/>
  <c r="AW13" i="1"/>
  <c r="BD15" i="1"/>
  <c r="BE15" i="1" s="1"/>
  <c r="AJ13" i="1"/>
  <c r="AZ14" i="1"/>
  <c r="BA13" i="1"/>
  <c r="BE14" i="1"/>
  <c r="X14" i="1"/>
  <c r="V15" i="5" a="1"/>
  <c r="L17" i="5"/>
  <c r="Z15" i="5"/>
  <c r="S15" i="3" a="1"/>
  <c r="V15" i="3" a="1"/>
  <c r="K15" i="3" a="1"/>
  <c r="H15" i="3" a="1"/>
  <c r="Y14" i="1" a="1"/>
  <c r="AB14" i="1" a="1"/>
  <c r="S15" i="3" l="1"/>
  <c r="H15" i="3"/>
  <c r="AJ78" i="7"/>
  <c r="BD20" i="7"/>
  <c r="AR21" i="7"/>
  <c r="AJ89" i="7"/>
  <c r="AN20" i="7"/>
  <c r="AO20" i="7" s="1"/>
  <c r="AJ20" i="7"/>
  <c r="AZ20" i="7"/>
  <c r="BA19" i="7"/>
  <c r="AK19" i="7"/>
  <c r="AO19" i="7"/>
  <c r="Z20" i="7"/>
  <c r="AB67" i="7" s="1"/>
  <c r="AV19" i="7"/>
  <c r="AW19" i="7" s="1"/>
  <c r="AB67" i="6"/>
  <c r="AV19" i="6"/>
  <c r="AV20" i="6" s="1"/>
  <c r="O17" i="6"/>
  <c r="P17" i="6"/>
  <c r="Y67" i="6"/>
  <c r="Z67" i="6"/>
  <c r="AA78" i="6"/>
  <c r="AA67" i="6"/>
  <c r="AN19" i="6"/>
  <c r="AR21" i="6"/>
  <c r="AS21" i="6" s="1"/>
  <c r="AJ89" i="6"/>
  <c r="AJ67" i="6" s="1"/>
  <c r="AO18" i="6"/>
  <c r="AJ19" i="6"/>
  <c r="AZ20" i="6"/>
  <c r="AK18" i="6"/>
  <c r="BA19" i="6"/>
  <c r="BD18" i="6"/>
  <c r="Z21" i="6"/>
  <c r="S17" i="6"/>
  <c r="Y78" i="6"/>
  <c r="N17" i="6"/>
  <c r="Z78" i="6"/>
  <c r="AB78" i="6"/>
  <c r="AB14" i="1"/>
  <c r="Y14" i="1"/>
  <c r="M17" i="5"/>
  <c r="G15" i="5"/>
  <c r="E16" i="5"/>
  <c r="F16" i="5" s="1"/>
  <c r="H18" i="5"/>
  <c r="K15" i="3"/>
  <c r="V15" i="3"/>
  <c r="Q16" i="3"/>
  <c r="V15" i="5"/>
  <c r="X15" i="5" s="1"/>
  <c r="AA15" i="5" s="1"/>
  <c r="S11" i="5"/>
  <c r="Q12" i="5"/>
  <c r="AD17" i="5"/>
  <c r="T17" i="5" s="1"/>
  <c r="O18" i="5"/>
  <c r="I18" i="5"/>
  <c r="J18" i="5"/>
  <c r="K18" i="5"/>
  <c r="D20" i="5"/>
  <c r="AC19" i="5"/>
  <c r="U16" i="5"/>
  <c r="W16" i="5"/>
  <c r="Y16" i="5"/>
  <c r="I13" i="3"/>
  <c r="L13" i="3" s="1"/>
  <c r="T13" i="3"/>
  <c r="U12" i="3"/>
  <c r="W12" i="3" s="1"/>
  <c r="J12" i="3"/>
  <c r="M12" i="3" s="1"/>
  <c r="N12" i="3" s="1"/>
  <c r="R15" i="3"/>
  <c r="G15" i="3"/>
  <c r="F16" i="3"/>
  <c r="AH76" i="1"/>
  <c r="AH65" i="1" s="1"/>
  <c r="AI65" i="1"/>
  <c r="AS14" i="1"/>
  <c r="AR15" i="1"/>
  <c r="AS15" i="1" s="1"/>
  <c r="AN16" i="1"/>
  <c r="AJ14" i="1"/>
  <c r="AK14" i="1" s="1"/>
  <c r="AK13" i="1"/>
  <c r="AZ15" i="1"/>
  <c r="BA15" i="1" s="1"/>
  <c r="AO15" i="1"/>
  <c r="BA14" i="1"/>
  <c r="BD16" i="1"/>
  <c r="BE16" i="1" s="1"/>
  <c r="AV15" i="1"/>
  <c r="X15" i="1"/>
  <c r="L18" i="5"/>
  <c r="Z16" i="5"/>
  <c r="V16" i="5" a="1"/>
  <c r="V16" i="3" a="1"/>
  <c r="S16" i="3" a="1"/>
  <c r="H16" i="3" a="1"/>
  <c r="K16" i="3" a="1"/>
  <c r="Y15" i="1" a="1"/>
  <c r="AB15" i="1" a="1"/>
  <c r="S16" i="3" l="1"/>
  <c r="H16" i="3"/>
  <c r="AW19" i="6"/>
  <c r="AJ67" i="7"/>
  <c r="Q17" i="6"/>
  <c r="AI78" i="7"/>
  <c r="AB78" i="7"/>
  <c r="AJ21" i="7"/>
  <c r="AN21" i="7"/>
  <c r="AO21" i="7" s="1"/>
  <c r="AI89" i="7"/>
  <c r="AI67" i="7" s="1"/>
  <c r="AR22" i="7"/>
  <c r="Z21" i="7"/>
  <c r="N17" i="7"/>
  <c r="AA20" i="7"/>
  <c r="AA78" i="7" s="1"/>
  <c r="AS21" i="7"/>
  <c r="AK20" i="7"/>
  <c r="AH78" i="7" s="1"/>
  <c r="BD21" i="7"/>
  <c r="BE21" i="7" s="1"/>
  <c r="BE20" i="7"/>
  <c r="AV20" i="7"/>
  <c r="AZ21" i="7"/>
  <c r="BA21" i="7" s="1"/>
  <c r="BA20" i="7"/>
  <c r="AW20" i="6"/>
  <c r="AV21" i="6"/>
  <c r="AB56" i="6"/>
  <c r="Z22" i="6"/>
  <c r="AA21" i="6"/>
  <c r="AN20" i="6"/>
  <c r="AO20" i="6" s="1"/>
  <c r="AA56" i="6"/>
  <c r="AO19" i="6"/>
  <c r="BD19" i="6"/>
  <c r="BE18" i="6"/>
  <c r="Z56" i="6"/>
  <c r="Y56" i="6"/>
  <c r="AR22" i="6"/>
  <c r="AJ20" i="6"/>
  <c r="AK20" i="6" s="1"/>
  <c r="T17" i="6"/>
  <c r="U17" i="6" s="1"/>
  <c r="AZ21" i="6"/>
  <c r="BA20" i="6"/>
  <c r="AK19" i="6"/>
  <c r="AB15" i="1"/>
  <c r="Y15" i="1"/>
  <c r="V16" i="5"/>
  <c r="X16" i="5" s="1"/>
  <c r="AA16" i="5"/>
  <c r="M18" i="5"/>
  <c r="H19" i="5"/>
  <c r="G16" i="5"/>
  <c r="E17" i="5"/>
  <c r="F17" i="5" s="1"/>
  <c r="K16" i="3"/>
  <c r="V16" i="3"/>
  <c r="Q17" i="3"/>
  <c r="P12" i="5"/>
  <c r="R12" i="5"/>
  <c r="I19" i="5"/>
  <c r="J19" i="5"/>
  <c r="K19" i="5"/>
  <c r="O19" i="5"/>
  <c r="AD18" i="5"/>
  <c r="T18" i="5" s="1"/>
  <c r="AC20" i="5"/>
  <c r="D21" i="5"/>
  <c r="U17" i="5"/>
  <c r="Y17" i="5"/>
  <c r="W17" i="5"/>
  <c r="J13" i="3"/>
  <c r="M13" i="3" s="1"/>
  <c r="N13" i="3" s="1"/>
  <c r="I14" i="3"/>
  <c r="J14" i="3" s="1"/>
  <c r="M14" i="3" s="1"/>
  <c r="T14" i="3"/>
  <c r="U13" i="3"/>
  <c r="W13" i="3" s="1"/>
  <c r="R16" i="3"/>
  <c r="G16" i="3"/>
  <c r="F17" i="3"/>
  <c r="AR16" i="1"/>
  <c r="AS16" i="1" s="1"/>
  <c r="AV16" i="1"/>
  <c r="AW15" i="1"/>
  <c r="BD17" i="1"/>
  <c r="AZ16" i="1"/>
  <c r="AJ15" i="1"/>
  <c r="AK15" i="1" s="1"/>
  <c r="AN17" i="1"/>
  <c r="AO16" i="1"/>
  <c r="X16" i="1"/>
  <c r="L19" i="5"/>
  <c r="Z17" i="5"/>
  <c r="V17" i="5" a="1"/>
  <c r="K17" i="3" a="1"/>
  <c r="V17" i="3" a="1"/>
  <c r="H17" i="3" a="1"/>
  <c r="S17" i="3" a="1"/>
  <c r="Y16" i="1" a="1"/>
  <c r="AB16" i="1" a="1"/>
  <c r="S17" i="3" l="1"/>
  <c r="H17" i="3"/>
  <c r="AK89" i="6"/>
  <c r="Y78" i="7"/>
  <c r="AH89" i="7"/>
  <c r="AH67" i="7" s="1"/>
  <c r="Z22" i="7"/>
  <c r="AZ22" i="7"/>
  <c r="AV21" i="7"/>
  <c r="AW20" i="7"/>
  <c r="AK78" i="7" s="1"/>
  <c r="AR23" i="7"/>
  <c r="AS23" i="7" s="1"/>
  <c r="AN22" i="7"/>
  <c r="AS22" i="7"/>
  <c r="AJ22" i="7"/>
  <c r="BD22" i="7"/>
  <c r="BE22" i="7" s="1"/>
  <c r="AK21" i="7"/>
  <c r="P17" i="7"/>
  <c r="O17" i="7"/>
  <c r="Y67" i="7"/>
  <c r="Z67" i="7"/>
  <c r="AA67" i="7"/>
  <c r="Z78" i="7"/>
  <c r="AA21" i="7"/>
  <c r="S17" i="7"/>
  <c r="AI78" i="6"/>
  <c r="AW21" i="6"/>
  <c r="AV22" i="6"/>
  <c r="AH78" i="6"/>
  <c r="AK78" i="6"/>
  <c r="AZ22" i="6"/>
  <c r="V17" i="6"/>
  <c r="P30" i="6" s="1"/>
  <c r="AN21" i="6"/>
  <c r="AO21" i="6" s="1"/>
  <c r="AI89" i="6"/>
  <c r="AJ21" i="6"/>
  <c r="AH89" i="6"/>
  <c r="BA21" i="6"/>
  <c r="AR23" i="6"/>
  <c r="AS22" i="6"/>
  <c r="AA22" i="6"/>
  <c r="Z23" i="6"/>
  <c r="BD20" i="6"/>
  <c r="BE20" i="6" s="1"/>
  <c r="BE19" i="6"/>
  <c r="AJ56" i="6"/>
  <c r="M56" i="6" s="1"/>
  <c r="AB16" i="1"/>
  <c r="AI88" i="1" s="1"/>
  <c r="Y16" i="1"/>
  <c r="V17" i="5"/>
  <c r="X17" i="5" s="1"/>
  <c r="AA17" i="5" s="1"/>
  <c r="M19" i="5"/>
  <c r="G17" i="5"/>
  <c r="E18" i="5"/>
  <c r="F18" i="5" s="1"/>
  <c r="H20" i="5"/>
  <c r="K17" i="3"/>
  <c r="V17" i="3"/>
  <c r="Q18" i="3"/>
  <c r="S12" i="5"/>
  <c r="Q13" i="5"/>
  <c r="AC21" i="5"/>
  <c r="D22" i="5"/>
  <c r="W18" i="5"/>
  <c r="Y18" i="5"/>
  <c r="U18" i="5"/>
  <c r="I20" i="5"/>
  <c r="K20" i="5"/>
  <c r="J20" i="5"/>
  <c r="O20" i="5"/>
  <c r="AD19" i="5"/>
  <c r="T19" i="5" s="1"/>
  <c r="L14" i="3"/>
  <c r="N14" i="3" s="1"/>
  <c r="T15" i="3"/>
  <c r="U14" i="3"/>
  <c r="W14" i="3" s="1"/>
  <c r="I15" i="3"/>
  <c r="L15" i="3" s="1"/>
  <c r="G17" i="3"/>
  <c r="R17" i="3"/>
  <c r="F18" i="3"/>
  <c r="AR17" i="1"/>
  <c r="AS17" i="1" s="1"/>
  <c r="AZ17" i="1"/>
  <c r="AN18" i="1"/>
  <c r="AO17" i="1"/>
  <c r="BA16" i="1"/>
  <c r="AV17" i="1"/>
  <c r="AW17" i="1" s="1"/>
  <c r="AJ16" i="1"/>
  <c r="BD18" i="1"/>
  <c r="BE17" i="1"/>
  <c r="AW16" i="1"/>
  <c r="X17" i="1"/>
  <c r="V18" i="5" a="1"/>
  <c r="L20" i="5"/>
  <c r="Z18" i="5"/>
  <c r="K18" i="3" a="1"/>
  <c r="H18" i="3" a="1"/>
  <c r="S18" i="3" a="1"/>
  <c r="V18" i="3" a="1"/>
  <c r="Y17" i="1" a="1"/>
  <c r="AB17" i="1" a="1"/>
  <c r="S18" i="3" l="1"/>
  <c r="H18" i="3"/>
  <c r="AK67" i="6"/>
  <c r="AK56" i="6" s="1"/>
  <c r="N56" i="6" s="1"/>
  <c r="AH67" i="6"/>
  <c r="AH56" i="6" s="1"/>
  <c r="K56" i="6" s="1"/>
  <c r="AI67" i="6"/>
  <c r="AI56" i="6" s="1"/>
  <c r="L56" i="6" s="1"/>
  <c r="T17" i="7"/>
  <c r="U17" i="7" s="1"/>
  <c r="AK89" i="7"/>
  <c r="AK67" i="7" s="1"/>
  <c r="AK56" i="7" s="1"/>
  <c r="N56" i="7" s="1"/>
  <c r="AA56" i="7"/>
  <c r="Z56" i="7"/>
  <c r="Y56" i="7"/>
  <c r="Q17" i="7"/>
  <c r="AR24" i="7"/>
  <c r="AV22" i="7"/>
  <c r="V17" i="7"/>
  <c r="P30" i="7" s="1"/>
  <c r="AJ56" i="7"/>
  <c r="M56" i="7" s="1"/>
  <c r="AW21" i="7"/>
  <c r="AZ23" i="7"/>
  <c r="BA22" i="7"/>
  <c r="Z23" i="7"/>
  <c r="BD23" i="7"/>
  <c r="BE23" i="7" s="1"/>
  <c r="AJ23" i="7"/>
  <c r="AA22" i="7"/>
  <c r="AB56" i="7"/>
  <c r="AK22" i="7"/>
  <c r="AH56" i="7"/>
  <c r="K56" i="7" s="1"/>
  <c r="AN23" i="7"/>
  <c r="AO23" i="7" s="1"/>
  <c r="AO22" i="7"/>
  <c r="AI56" i="7"/>
  <c r="L56" i="7" s="1"/>
  <c r="AW22" i="6"/>
  <c r="AV23" i="6"/>
  <c r="AW23" i="6" s="1"/>
  <c r="BD21" i="6"/>
  <c r="AN22" i="6"/>
  <c r="AO22" i="6" s="1"/>
  <c r="AR24" i="6"/>
  <c r="AS24" i="6" s="1"/>
  <c r="Z24" i="6"/>
  <c r="AJ22" i="6"/>
  <c r="AK22" i="6" s="1"/>
  <c r="AZ23" i="6"/>
  <c r="BA23" i="6" s="1"/>
  <c r="AA23" i="6"/>
  <c r="BA22" i="6"/>
  <c r="AK21" i="6"/>
  <c r="AS23" i="6"/>
  <c r="AB17" i="1"/>
  <c r="Y17" i="1"/>
  <c r="V18" i="5"/>
  <c r="X18" i="5" s="1"/>
  <c r="AA18" i="5" s="1"/>
  <c r="M20" i="5"/>
  <c r="H21" i="5"/>
  <c r="G18" i="5"/>
  <c r="E19" i="5"/>
  <c r="F19" i="5" s="1"/>
  <c r="K18" i="3"/>
  <c r="V18" i="3"/>
  <c r="Q19" i="3"/>
  <c r="P13" i="5"/>
  <c r="R13" i="5"/>
  <c r="O21" i="5"/>
  <c r="AD20" i="5"/>
  <c r="T20" i="5" s="1"/>
  <c r="D23" i="5"/>
  <c r="AC22" i="5"/>
  <c r="W19" i="5"/>
  <c r="Y19" i="5"/>
  <c r="U19" i="5"/>
  <c r="K21" i="5"/>
  <c r="J21" i="5"/>
  <c r="I21" i="5"/>
  <c r="T16" i="3"/>
  <c r="U15" i="3"/>
  <c r="W15" i="3" s="1"/>
  <c r="I16" i="3"/>
  <c r="J16" i="3" s="1"/>
  <c r="M16" i="3" s="1"/>
  <c r="J15" i="3"/>
  <c r="M15" i="3" s="1"/>
  <c r="N15" i="3" s="1"/>
  <c r="R18" i="3"/>
  <c r="G18" i="3"/>
  <c r="F19" i="3"/>
  <c r="AJ88" i="1"/>
  <c r="AI77" i="1"/>
  <c r="AI66" i="1" s="1"/>
  <c r="AR18" i="1"/>
  <c r="AR19" i="1" s="1"/>
  <c r="AJ77" i="1"/>
  <c r="BD19" i="1"/>
  <c r="AN19" i="1"/>
  <c r="AO18" i="1"/>
  <c r="BE18" i="1"/>
  <c r="AJ17" i="1"/>
  <c r="AK16" i="1"/>
  <c r="AH88" i="1" s="1"/>
  <c r="AV18" i="1"/>
  <c r="AW18" i="1" s="1"/>
  <c r="AZ18" i="1"/>
  <c r="BA17" i="1"/>
  <c r="X18" i="1"/>
  <c r="L21" i="5"/>
  <c r="V19" i="5" a="1"/>
  <c r="Z19" i="5"/>
  <c r="K19" i="3" a="1"/>
  <c r="V19" i="3" a="1"/>
  <c r="H19" i="3" a="1"/>
  <c r="S19" i="3" a="1"/>
  <c r="AB18" i="1" a="1"/>
  <c r="Y18" i="1" a="1"/>
  <c r="S19" i="3" l="1"/>
  <c r="H19" i="3"/>
  <c r="Z24" i="7"/>
  <c r="AC79" i="7" s="1"/>
  <c r="AA23" i="7"/>
  <c r="AZ24" i="7"/>
  <c r="BD24" i="7"/>
  <c r="AN24" i="7"/>
  <c r="AO24" i="7" s="1"/>
  <c r="AI79" i="7" s="1"/>
  <c r="AV23" i="7"/>
  <c r="AW22" i="7"/>
  <c r="BA23" i="7"/>
  <c r="AJ24" i="7"/>
  <c r="AR25" i="7"/>
  <c r="AK23" i="7"/>
  <c r="AS24" i="7"/>
  <c r="AJ79" i="7" s="1"/>
  <c r="AV24" i="6"/>
  <c r="AJ79" i="6"/>
  <c r="AR25" i="6"/>
  <c r="AJ90" i="6"/>
  <c r="AJ23" i="6"/>
  <c r="Z25" i="6"/>
  <c r="AA25" i="6" s="1"/>
  <c r="N18" i="6"/>
  <c r="BD22" i="6"/>
  <c r="BE22" i="6" s="1"/>
  <c r="BE21" i="6"/>
  <c r="AA24" i="6"/>
  <c r="AB68" i="6" s="1"/>
  <c r="AN23" i="6"/>
  <c r="AC68" i="6"/>
  <c r="AZ24" i="6"/>
  <c r="AC79" i="6"/>
  <c r="AB18" i="1"/>
  <c r="Y18" i="1"/>
  <c r="V19" i="5"/>
  <c r="X19" i="5" s="1"/>
  <c r="AA19" i="5" s="1"/>
  <c r="M21" i="5"/>
  <c r="G19" i="5"/>
  <c r="E20" i="5"/>
  <c r="F20" i="5" s="1"/>
  <c r="H22" i="5"/>
  <c r="K19" i="3"/>
  <c r="V19" i="3"/>
  <c r="Q20" i="3"/>
  <c r="S13" i="5"/>
  <c r="Q14" i="5"/>
  <c r="U20" i="5"/>
  <c r="W20" i="5"/>
  <c r="Y20" i="5"/>
  <c r="K22" i="5"/>
  <c r="I22" i="5"/>
  <c r="J22" i="5"/>
  <c r="D24" i="5"/>
  <c r="AC23" i="5"/>
  <c r="AD21" i="5"/>
  <c r="T21" i="5" s="1"/>
  <c r="O22" i="5"/>
  <c r="L16" i="3"/>
  <c r="N16" i="3" s="1"/>
  <c r="T17" i="3"/>
  <c r="U16" i="3"/>
  <c r="W16" i="3" s="1"/>
  <c r="I17" i="3"/>
  <c r="L17" i="3" s="1"/>
  <c r="AJ66" i="1"/>
  <c r="G19" i="3"/>
  <c r="R19" i="3"/>
  <c r="F20" i="3"/>
  <c r="AS18" i="1"/>
  <c r="AS19" i="1"/>
  <c r="AR20" i="1"/>
  <c r="AZ19" i="1"/>
  <c r="BA18" i="1"/>
  <c r="AJ18" i="1"/>
  <c r="AK17" i="1"/>
  <c r="AV19" i="1"/>
  <c r="AW19" i="1" s="1"/>
  <c r="AH77" i="1"/>
  <c r="AH66" i="1" s="1"/>
  <c r="AN20" i="1"/>
  <c r="AO19" i="1"/>
  <c r="BD20" i="1"/>
  <c r="BE19" i="1"/>
  <c r="X19" i="1"/>
  <c r="L22" i="5"/>
  <c r="V20" i="5" a="1"/>
  <c r="Z20" i="5"/>
  <c r="K20" i="3" a="1"/>
  <c r="V20" i="3" a="1"/>
  <c r="S20" i="3" a="1"/>
  <c r="H20" i="3" a="1"/>
  <c r="AB19" i="1" a="1"/>
  <c r="Y19" i="1" a="1"/>
  <c r="AC68" i="7" l="1"/>
  <c r="S20" i="3"/>
  <c r="H20" i="3"/>
  <c r="AJ68" i="6"/>
  <c r="AV24" i="7"/>
  <c r="AN25" i="7"/>
  <c r="AI90" i="7"/>
  <c r="AI68" i="7" s="1"/>
  <c r="BD25" i="7"/>
  <c r="BE24" i="7"/>
  <c r="AW23" i="7"/>
  <c r="AZ25" i="7"/>
  <c r="BA25" i="7" s="1"/>
  <c r="BA24" i="7"/>
  <c r="AL79" i="7" s="1"/>
  <c r="AJ90" i="7"/>
  <c r="AJ68" i="7" s="1"/>
  <c r="AJ25" i="7"/>
  <c r="Z25" i="7"/>
  <c r="N18" i="7"/>
  <c r="AR26" i="7"/>
  <c r="AS26" i="7" s="1"/>
  <c r="AS25" i="7"/>
  <c r="AK24" i="7"/>
  <c r="AH79" i="7" s="1"/>
  <c r="AA24" i="7"/>
  <c r="S18" i="7" s="1"/>
  <c r="AA79" i="6"/>
  <c r="AW24" i="6"/>
  <c r="AV25" i="6"/>
  <c r="AW25" i="6" s="1"/>
  <c r="Z79" i="6"/>
  <c r="Y79" i="6"/>
  <c r="S18" i="6"/>
  <c r="AZ25" i="6"/>
  <c r="AJ24" i="6"/>
  <c r="AK23" i="6"/>
  <c r="AR26" i="6"/>
  <c r="BA24" i="6"/>
  <c r="AL79" i="6" s="1"/>
  <c r="Z26" i="6"/>
  <c r="AA26" i="6" s="1"/>
  <c r="AS25" i="6"/>
  <c r="AN24" i="6"/>
  <c r="AO23" i="6"/>
  <c r="O18" i="6"/>
  <c r="P18" i="6"/>
  <c r="Y68" i="6"/>
  <c r="Z68" i="6"/>
  <c r="AA68" i="6"/>
  <c r="AB79" i="6"/>
  <c r="BD23" i="6"/>
  <c r="AB19" i="1"/>
  <c r="Y19" i="1"/>
  <c r="V20" i="5"/>
  <c r="X20" i="5" s="1"/>
  <c r="M22" i="5"/>
  <c r="AA20" i="5"/>
  <c r="H23" i="5"/>
  <c r="G20" i="5"/>
  <c r="E21" i="5"/>
  <c r="F21" i="5" s="1"/>
  <c r="K20" i="3"/>
  <c r="V20" i="3"/>
  <c r="Q21" i="3"/>
  <c r="R14" i="5"/>
  <c r="P14" i="5"/>
  <c r="AD22" i="5"/>
  <c r="T22" i="5" s="1"/>
  <c r="O23" i="5"/>
  <c r="W21" i="5"/>
  <c r="Y21" i="5"/>
  <c r="U21" i="5"/>
  <c r="K23" i="5"/>
  <c r="I23" i="5"/>
  <c r="J23" i="5"/>
  <c r="AC24" i="5"/>
  <c r="D25" i="5"/>
  <c r="J17" i="3"/>
  <c r="M17" i="3" s="1"/>
  <c r="N17" i="3" s="1"/>
  <c r="I18" i="3"/>
  <c r="L18" i="3" s="1"/>
  <c r="T18" i="3"/>
  <c r="U18" i="3" s="1"/>
  <c r="W18" i="3" s="1"/>
  <c r="U17" i="3"/>
  <c r="W17" i="3" s="1"/>
  <c r="G20" i="3"/>
  <c r="R20" i="3"/>
  <c r="F21" i="3"/>
  <c r="AS20" i="1"/>
  <c r="AR21" i="1"/>
  <c r="AO20" i="1"/>
  <c r="AN21" i="1"/>
  <c r="AV20" i="1"/>
  <c r="AJ19" i="1"/>
  <c r="AK18" i="1"/>
  <c r="BD21" i="1"/>
  <c r="AZ20" i="1"/>
  <c r="BE20" i="1"/>
  <c r="BA19" i="1"/>
  <c r="X20" i="1"/>
  <c r="Z21" i="5"/>
  <c r="L23" i="5"/>
  <c r="V21" i="5" a="1"/>
  <c r="K21" i="3" a="1"/>
  <c r="V21" i="3" a="1"/>
  <c r="S21" i="3" a="1"/>
  <c r="H21" i="3" a="1"/>
  <c r="Y20" i="1" a="1"/>
  <c r="AB20" i="1" a="1"/>
  <c r="AH90" i="7" l="1"/>
  <c r="S21" i="3"/>
  <c r="H21" i="3"/>
  <c r="Y79" i="7"/>
  <c r="AL90" i="7"/>
  <c r="AL68" i="7" s="1"/>
  <c r="AB79" i="7"/>
  <c r="AA79" i="7"/>
  <c r="Z79" i="7"/>
  <c r="AR27" i="7"/>
  <c r="BD26" i="7"/>
  <c r="Z26" i="7"/>
  <c r="BE25" i="7"/>
  <c r="AN26" i="7"/>
  <c r="AO26" i="7" s="1"/>
  <c r="AJ26" i="7"/>
  <c r="AO25" i="7"/>
  <c r="AA25" i="7"/>
  <c r="AK25" i="7"/>
  <c r="P18" i="7"/>
  <c r="T18" i="7" s="1"/>
  <c r="U18" i="7" s="1"/>
  <c r="V18" i="7" s="1"/>
  <c r="P31" i="7" s="1"/>
  <c r="O18" i="7"/>
  <c r="Y68" i="7"/>
  <c r="Z68" i="7"/>
  <c r="AA68" i="7"/>
  <c r="AV25" i="7"/>
  <c r="AZ26" i="7"/>
  <c r="BA26" i="7" s="1"/>
  <c r="AH68" i="7"/>
  <c r="AB68" i="7"/>
  <c r="AW24" i="7"/>
  <c r="AK79" i="7" s="1"/>
  <c r="AV26" i="6"/>
  <c r="AW26" i="6" s="1"/>
  <c r="AK90" i="6"/>
  <c r="AK79" i="6"/>
  <c r="T18" i="6"/>
  <c r="U18" i="6" s="1"/>
  <c r="AJ57" i="6" s="1"/>
  <c r="M57" i="6" s="1"/>
  <c r="Q18" i="6"/>
  <c r="Z57" i="6"/>
  <c r="AR27" i="6"/>
  <c r="AS27" i="6" s="1"/>
  <c r="AC57" i="6"/>
  <c r="Y57" i="6"/>
  <c r="AS26" i="6"/>
  <c r="AJ25" i="6"/>
  <c r="AB57" i="6"/>
  <c r="AN25" i="6"/>
  <c r="AO25" i="6" s="1"/>
  <c r="AK24" i="6"/>
  <c r="AH79" i="6" s="1"/>
  <c r="BD24" i="6"/>
  <c r="BE24" i="6" s="1"/>
  <c r="AL90" i="6"/>
  <c r="AL68" i="6" s="1"/>
  <c r="AA57" i="6"/>
  <c r="BE23" i="6"/>
  <c r="Z27" i="6"/>
  <c r="AZ26" i="6"/>
  <c r="BA26" i="6" s="1"/>
  <c r="AO24" i="6"/>
  <c r="AI79" i="6" s="1"/>
  <c r="BA25" i="6"/>
  <c r="AB20" i="1"/>
  <c r="AI89" i="1" s="1"/>
  <c r="Y20" i="1"/>
  <c r="V21" i="5"/>
  <c r="X21" i="5" s="1"/>
  <c r="AA21" i="5" s="1"/>
  <c r="M23" i="5"/>
  <c r="H24" i="5"/>
  <c r="G21" i="5"/>
  <c r="E22" i="5"/>
  <c r="F22" i="5" s="1"/>
  <c r="K21" i="3"/>
  <c r="V21" i="3"/>
  <c r="Q22" i="3"/>
  <c r="S14" i="5"/>
  <c r="Q15" i="5"/>
  <c r="K24" i="5"/>
  <c r="I24" i="5"/>
  <c r="J24" i="5"/>
  <c r="AC25" i="5"/>
  <c r="D26" i="5"/>
  <c r="O24" i="5"/>
  <c r="AD23" i="5"/>
  <c r="T23" i="5" s="1"/>
  <c r="U22" i="5"/>
  <c r="Y22" i="5"/>
  <c r="W22" i="5"/>
  <c r="I19" i="3"/>
  <c r="J19" i="3" s="1"/>
  <c r="M19" i="3" s="1"/>
  <c r="J18" i="3"/>
  <c r="M18" i="3" s="1"/>
  <c r="N18" i="3" s="1"/>
  <c r="T19" i="3"/>
  <c r="R21" i="3"/>
  <c r="G21" i="3"/>
  <c r="F22" i="3"/>
  <c r="AR22" i="1"/>
  <c r="AS21" i="1"/>
  <c r="AJ20" i="1"/>
  <c r="AZ21" i="1"/>
  <c r="BA20" i="1"/>
  <c r="AN22" i="1"/>
  <c r="BD22" i="1"/>
  <c r="BE21" i="1"/>
  <c r="AK19" i="1"/>
  <c r="AV21" i="1"/>
  <c r="AW20" i="1"/>
  <c r="AO21" i="1"/>
  <c r="X21" i="1"/>
  <c r="L24" i="5"/>
  <c r="Z22" i="5"/>
  <c r="V22" i="5" a="1"/>
  <c r="S22" i="3" a="1"/>
  <c r="H22" i="3" a="1"/>
  <c r="K22" i="3" a="1"/>
  <c r="V22" i="3" a="1"/>
  <c r="Y21" i="1" a="1"/>
  <c r="AB21" i="1" a="1"/>
  <c r="S22" i="3" l="1"/>
  <c r="H22" i="3"/>
  <c r="V18" i="6"/>
  <c r="P31" i="6" s="1"/>
  <c r="Q18" i="7"/>
  <c r="AK90" i="7"/>
  <c r="AK68" i="7" s="1"/>
  <c r="AK57" i="7" s="1"/>
  <c r="N57" i="7" s="1"/>
  <c r="AA57" i="7"/>
  <c r="Z57" i="7"/>
  <c r="Y57" i="7"/>
  <c r="AN27" i="7"/>
  <c r="AA26" i="7"/>
  <c r="BD27" i="7"/>
  <c r="AJ57" i="7"/>
  <c r="M57" i="7" s="1"/>
  <c r="Z27" i="7"/>
  <c r="AA27" i="7" s="1"/>
  <c r="AL57" i="7"/>
  <c r="O57" i="7" s="1"/>
  <c r="AZ27" i="7"/>
  <c r="BA27" i="7" s="1"/>
  <c r="AR28" i="7"/>
  <c r="AS28" i="7" s="1"/>
  <c r="AV26" i="7"/>
  <c r="BE26" i="7"/>
  <c r="AJ27" i="7"/>
  <c r="AK27" i="7" s="1"/>
  <c r="AS27" i="7"/>
  <c r="AB57" i="7"/>
  <c r="AK26" i="7"/>
  <c r="AC57" i="7"/>
  <c r="AW25" i="7"/>
  <c r="AH57" i="7"/>
  <c r="K57" i="7" s="1"/>
  <c r="AI57" i="7"/>
  <c r="L57" i="7" s="1"/>
  <c r="AL57" i="6"/>
  <c r="O57" i="6" s="1"/>
  <c r="AK68" i="6"/>
  <c r="AK57" i="6" s="1"/>
  <c r="N57" i="6" s="1"/>
  <c r="AV27" i="6"/>
  <c r="AV28" i="6" s="1"/>
  <c r="AH90" i="6"/>
  <c r="AH68" i="6" s="1"/>
  <c r="AH57" i="6" s="1"/>
  <c r="K57" i="6" s="1"/>
  <c r="AZ27" i="6"/>
  <c r="Z28" i="6"/>
  <c r="AA28" i="6" s="1"/>
  <c r="AA27" i="6"/>
  <c r="AJ26" i="6"/>
  <c r="AR28" i="6"/>
  <c r="AS28" i="6" s="1"/>
  <c r="AK25" i="6"/>
  <c r="AI90" i="6"/>
  <c r="AI68" i="6" s="1"/>
  <c r="AI57" i="6" s="1"/>
  <c r="L57" i="6" s="1"/>
  <c r="BD25" i="6"/>
  <c r="AN26" i="6"/>
  <c r="AB21" i="1"/>
  <c r="Y21" i="1"/>
  <c r="V22" i="5"/>
  <c r="X22" i="5" s="1"/>
  <c r="AA22" i="5" s="1"/>
  <c r="M24" i="5"/>
  <c r="G22" i="5"/>
  <c r="E23" i="5"/>
  <c r="F23" i="5" s="1"/>
  <c r="H25" i="5"/>
  <c r="K22" i="3"/>
  <c r="V22" i="3"/>
  <c r="Q23" i="3"/>
  <c r="P15" i="5"/>
  <c r="R15" i="5"/>
  <c r="W23" i="5"/>
  <c r="Y23" i="5"/>
  <c r="U23" i="5"/>
  <c r="AC26" i="5"/>
  <c r="D27" i="5"/>
  <c r="J25" i="5"/>
  <c r="I25" i="5"/>
  <c r="K25" i="5"/>
  <c r="AD24" i="5"/>
  <c r="T24" i="5" s="1"/>
  <c r="O25" i="5"/>
  <c r="L19" i="3"/>
  <c r="N19" i="3" s="1"/>
  <c r="T20" i="3"/>
  <c r="U20" i="3" s="1"/>
  <c r="W20" i="3" s="1"/>
  <c r="U19" i="3"/>
  <c r="W19" i="3" s="1"/>
  <c r="I20" i="3"/>
  <c r="J20" i="3" s="1"/>
  <c r="M20" i="3" s="1"/>
  <c r="G22" i="3"/>
  <c r="R22" i="3"/>
  <c r="F23" i="3"/>
  <c r="AJ89" i="1"/>
  <c r="AI78" i="1"/>
  <c r="AI67" i="1" s="1"/>
  <c r="AK78" i="1"/>
  <c r="AK89" i="1"/>
  <c r="AR23" i="1"/>
  <c r="AS22" i="1"/>
  <c r="AJ78" i="1"/>
  <c r="AK20" i="1"/>
  <c r="AH89" i="1" s="1"/>
  <c r="AZ22" i="1"/>
  <c r="BA22" i="1" s="1"/>
  <c r="AV22" i="1"/>
  <c r="AW21" i="1"/>
  <c r="BD23" i="1"/>
  <c r="BE23" i="1" s="1"/>
  <c r="BE22" i="1"/>
  <c r="AN23" i="1"/>
  <c r="AO23" i="1" s="1"/>
  <c r="AO22" i="1"/>
  <c r="BA21" i="1"/>
  <c r="AJ21" i="1"/>
  <c r="X22" i="1"/>
  <c r="L25" i="5"/>
  <c r="V23" i="5" a="1"/>
  <c r="Z23" i="5"/>
  <c r="S23" i="3" a="1"/>
  <c r="K23" i="3" a="1"/>
  <c r="V23" i="3" a="1"/>
  <c r="H23" i="3" a="1"/>
  <c r="AB22" i="1" a="1"/>
  <c r="Y22" i="1" a="1"/>
  <c r="S23" i="3" l="1"/>
  <c r="AW27" i="6"/>
  <c r="H23" i="3"/>
  <c r="Z28" i="7"/>
  <c r="BD28" i="7"/>
  <c r="BE28" i="7" s="1"/>
  <c r="AZ28" i="7"/>
  <c r="BA28" i="7" s="1"/>
  <c r="BE27" i="7"/>
  <c r="AN28" i="7"/>
  <c r="AV27" i="7"/>
  <c r="AO27" i="7"/>
  <c r="AR29" i="7"/>
  <c r="AS29" i="7" s="1"/>
  <c r="AJ28" i="7"/>
  <c r="AK28" i="7" s="1"/>
  <c r="AW26" i="7"/>
  <c r="AW28" i="6"/>
  <c r="AV29" i="6"/>
  <c r="AR29" i="6"/>
  <c r="AJ27" i="6"/>
  <c r="AN27" i="6"/>
  <c r="AO27" i="6" s="1"/>
  <c r="AK26" i="6"/>
  <c r="AO26" i="6"/>
  <c r="BD26" i="6"/>
  <c r="BE26" i="6" s="1"/>
  <c r="AZ28" i="6"/>
  <c r="Z29" i="6"/>
  <c r="AA29" i="6" s="1"/>
  <c r="BE25" i="6"/>
  <c r="BA27" i="6"/>
  <c r="AB22" i="1"/>
  <c r="Y22" i="1"/>
  <c r="V23" i="5"/>
  <c r="X23" i="5" s="1"/>
  <c r="AA23" i="5" s="1"/>
  <c r="M25" i="5"/>
  <c r="S15" i="5"/>
  <c r="Q16" i="5"/>
  <c r="L26" i="5"/>
  <c r="H26" i="5"/>
  <c r="G23" i="5"/>
  <c r="E24" i="5"/>
  <c r="F24" i="5" s="1"/>
  <c r="K23" i="3"/>
  <c r="V23" i="3"/>
  <c r="Q24" i="3"/>
  <c r="D28" i="5"/>
  <c r="AC27" i="5"/>
  <c r="E26" i="5"/>
  <c r="G26" i="5"/>
  <c r="I26" i="5"/>
  <c r="F26" i="5"/>
  <c r="J26" i="5"/>
  <c r="K26" i="5"/>
  <c r="M26" i="5"/>
  <c r="AD25" i="5"/>
  <c r="T25" i="5" s="1"/>
  <c r="O26" i="5"/>
  <c r="U24" i="5"/>
  <c r="Y24" i="5"/>
  <c r="W24" i="5"/>
  <c r="L20" i="3"/>
  <c r="N20" i="3" s="1"/>
  <c r="I21" i="3"/>
  <c r="J21" i="3" s="1"/>
  <c r="M21" i="3" s="1"/>
  <c r="T21" i="3"/>
  <c r="AJ67" i="1"/>
  <c r="R23" i="3"/>
  <c r="G23" i="3"/>
  <c r="F24" i="3"/>
  <c r="AH78" i="1"/>
  <c r="AH67" i="1" s="1"/>
  <c r="AS23" i="1"/>
  <c r="AR24" i="1"/>
  <c r="AK67" i="1"/>
  <c r="AN24" i="1"/>
  <c r="AJ22" i="1"/>
  <c r="AV23" i="1"/>
  <c r="BD24" i="1"/>
  <c r="AW22" i="1"/>
  <c r="AK21" i="1"/>
  <c r="AZ23" i="1"/>
  <c r="BA23" i="1" s="1"/>
  <c r="X23" i="1"/>
  <c r="Z24" i="5"/>
  <c r="V24" i="5" a="1"/>
  <c r="V24" i="3" a="1"/>
  <c r="S24" i="3" a="1"/>
  <c r="H24" i="3" a="1"/>
  <c r="K24" i="3" a="1"/>
  <c r="AB23" i="1" a="1"/>
  <c r="Y23" i="1" a="1"/>
  <c r="S24" i="3" l="1"/>
  <c r="H24" i="3"/>
  <c r="AV28" i="7"/>
  <c r="AZ29" i="7"/>
  <c r="BA29" i="7" s="1"/>
  <c r="BD29" i="7"/>
  <c r="Z29" i="7"/>
  <c r="AA29" i="7" s="1"/>
  <c r="AR30" i="7"/>
  <c r="AW27" i="7"/>
  <c r="AJ29" i="7"/>
  <c r="AA28" i="7"/>
  <c r="AN29" i="7"/>
  <c r="AO28" i="7"/>
  <c r="AV30" i="6"/>
  <c r="AW29" i="6"/>
  <c r="BD27" i="6"/>
  <c r="AZ29" i="6"/>
  <c r="BA28" i="6"/>
  <c r="AJ28" i="6"/>
  <c r="AK28" i="6" s="1"/>
  <c r="AN28" i="6"/>
  <c r="AR30" i="6"/>
  <c r="AS30" i="6" s="1"/>
  <c r="AK27" i="6"/>
  <c r="Z30" i="6"/>
  <c r="AS29" i="6"/>
  <c r="AB23" i="1"/>
  <c r="Y23" i="1"/>
  <c r="V24" i="5"/>
  <c r="X24" i="5" s="1"/>
  <c r="AA24" i="5"/>
  <c r="R16" i="5"/>
  <c r="P16" i="5"/>
  <c r="L27" i="5"/>
  <c r="H27" i="5"/>
  <c r="G24" i="5"/>
  <c r="E25" i="5"/>
  <c r="F25" i="5" s="1"/>
  <c r="G25" i="5" s="1"/>
  <c r="K24" i="3"/>
  <c r="V24" i="3"/>
  <c r="Q25" i="3"/>
  <c r="V25" i="3" s="1" a="1"/>
  <c r="U25" i="5"/>
  <c r="W25" i="5"/>
  <c r="Y25" i="5"/>
  <c r="O27" i="5"/>
  <c r="AD26" i="5"/>
  <c r="T26" i="5" s="1"/>
  <c r="J27" i="5"/>
  <c r="K27" i="5"/>
  <c r="G27" i="5"/>
  <c r="M27" i="5"/>
  <c r="E27" i="5"/>
  <c r="I27" i="5"/>
  <c r="F27" i="5"/>
  <c r="AC28" i="5"/>
  <c r="D29" i="5"/>
  <c r="L21" i="3"/>
  <c r="N21" i="3" s="1"/>
  <c r="T22" i="3"/>
  <c r="U22" i="3" s="1"/>
  <c r="W22" i="3" s="1"/>
  <c r="U21" i="3"/>
  <c r="W21" i="3" s="1"/>
  <c r="I22" i="3"/>
  <c r="L22" i="3" s="1"/>
  <c r="G24" i="3"/>
  <c r="R24" i="3"/>
  <c r="F25" i="3"/>
  <c r="S25" i="3" s="1" a="1"/>
  <c r="S25" i="3" s="1"/>
  <c r="AS24" i="1"/>
  <c r="AR25" i="1"/>
  <c r="AV24" i="1"/>
  <c r="AZ24" i="1"/>
  <c r="BD25" i="1"/>
  <c r="BE24" i="1"/>
  <c r="AW23" i="1"/>
  <c r="AJ23" i="1"/>
  <c r="AK22" i="1"/>
  <c r="AN25" i="1"/>
  <c r="AO24" i="1"/>
  <c r="X24" i="1"/>
  <c r="Z25" i="5"/>
  <c r="V25" i="5" a="1"/>
  <c r="Y24" i="1" a="1"/>
  <c r="AB24" i="1" a="1"/>
  <c r="H25" i="3" l="1" a="1"/>
  <c r="H25" i="3" s="1"/>
  <c r="K25" i="3" a="1"/>
  <c r="K25" i="3" s="1"/>
  <c r="AN30" i="7"/>
  <c r="AJ30" i="7"/>
  <c r="AK29" i="7"/>
  <c r="Z30" i="7"/>
  <c r="AR31" i="7"/>
  <c r="BD30" i="7"/>
  <c r="BE30" i="7" s="1"/>
  <c r="AO29" i="7"/>
  <c r="BE29" i="7"/>
  <c r="AV29" i="7"/>
  <c r="AW29" i="7" s="1"/>
  <c r="AS30" i="7"/>
  <c r="AZ30" i="7"/>
  <c r="BA30" i="7" s="1"/>
  <c r="AW28" i="7"/>
  <c r="AV31" i="6"/>
  <c r="AW30" i="6"/>
  <c r="Z31" i="6"/>
  <c r="AA30" i="6"/>
  <c r="AN29" i="6"/>
  <c r="AO29" i="6" s="1"/>
  <c r="AZ30" i="6"/>
  <c r="AR31" i="6"/>
  <c r="AS31" i="6" s="1"/>
  <c r="AJ29" i="6"/>
  <c r="BA29" i="6"/>
  <c r="BD28" i="6"/>
  <c r="AO28" i="6"/>
  <c r="BE27" i="6"/>
  <c r="AB24" i="1"/>
  <c r="Y24" i="1"/>
  <c r="V25" i="5"/>
  <c r="X25" i="5" s="1"/>
  <c r="AA25" i="5" s="1"/>
  <c r="L28" i="5"/>
  <c r="H28" i="5"/>
  <c r="S16" i="5"/>
  <c r="Q17" i="5"/>
  <c r="V25" i="3"/>
  <c r="Q26" i="3"/>
  <c r="V26" i="3" s="1" a="1"/>
  <c r="V26" i="5" a="1"/>
  <c r="V26" i="5" s="1"/>
  <c r="Z26" i="5"/>
  <c r="P26" i="5"/>
  <c r="Q26" i="5"/>
  <c r="R26" i="5"/>
  <c r="W26" i="5"/>
  <c r="X26" i="5"/>
  <c r="S26" i="5"/>
  <c r="AA26" i="5"/>
  <c r="U26" i="5"/>
  <c r="Y26" i="5"/>
  <c r="AC29" i="5"/>
  <c r="D30" i="5"/>
  <c r="AD27" i="5"/>
  <c r="T27" i="5" s="1"/>
  <c r="O28" i="5"/>
  <c r="E28" i="5"/>
  <c r="F28" i="5"/>
  <c r="G28" i="5"/>
  <c r="K28" i="5"/>
  <c r="M28" i="5"/>
  <c r="I28" i="5"/>
  <c r="J28" i="5"/>
  <c r="I23" i="3"/>
  <c r="J23" i="3" s="1"/>
  <c r="M23" i="3" s="1"/>
  <c r="T23" i="3"/>
  <c r="J22" i="3"/>
  <c r="M22" i="3" s="1"/>
  <c r="N22" i="3" s="1"/>
  <c r="G25" i="3"/>
  <c r="R25" i="3"/>
  <c r="F26" i="3"/>
  <c r="S26" i="3" s="1" a="1"/>
  <c r="S26" i="3" s="1"/>
  <c r="AW24" i="1"/>
  <c r="AS25" i="1"/>
  <c r="AR26" i="1"/>
  <c r="AN26" i="1"/>
  <c r="BD26" i="1"/>
  <c r="AJ24" i="1"/>
  <c r="AK23" i="1"/>
  <c r="AZ25" i="1"/>
  <c r="BA24" i="1"/>
  <c r="AO25" i="1"/>
  <c r="BE25" i="1"/>
  <c r="AV25" i="1"/>
  <c r="AW25" i="1" s="1"/>
  <c r="AJ90" i="1"/>
  <c r="X25" i="1"/>
  <c r="Y25" i="1" a="1"/>
  <c r="AB25" i="1" a="1"/>
  <c r="K26" i="3" l="1" a="1"/>
  <c r="H26" i="3" a="1"/>
  <c r="H26" i="3" s="1"/>
  <c r="AR32" i="7"/>
  <c r="Z31" i="7"/>
  <c r="AJ31" i="7"/>
  <c r="AK31" i="7" s="1"/>
  <c r="AS31" i="7"/>
  <c r="AK30" i="7"/>
  <c r="BD31" i="7"/>
  <c r="BE31" i="7" s="1"/>
  <c r="AA30" i="7"/>
  <c r="AN31" i="7"/>
  <c r="AZ31" i="7"/>
  <c r="BA31" i="7" s="1"/>
  <c r="AV30" i="7"/>
  <c r="AO30" i="7"/>
  <c r="AW31" i="6"/>
  <c r="AV32" i="6"/>
  <c r="AR32" i="6"/>
  <c r="AZ31" i="6"/>
  <c r="BA31" i="6" s="1"/>
  <c r="AJ30" i="6"/>
  <c r="BA30" i="6"/>
  <c r="AK29" i="6"/>
  <c r="BD29" i="6"/>
  <c r="BE29" i="6" s="1"/>
  <c r="Z32" i="6"/>
  <c r="AA32" i="6" s="1"/>
  <c r="AN30" i="6"/>
  <c r="AO30" i="6" s="1"/>
  <c r="BE28" i="6"/>
  <c r="AA31" i="6"/>
  <c r="AB25" i="1"/>
  <c r="Y25" i="1"/>
  <c r="R17" i="5"/>
  <c r="P17" i="5"/>
  <c r="L29" i="5"/>
  <c r="H29" i="5"/>
  <c r="K26" i="3"/>
  <c r="V26" i="3"/>
  <c r="Q27" i="3"/>
  <c r="V27" i="3" s="1" a="1"/>
  <c r="V27" i="5" a="1"/>
  <c r="V27" i="5" s="1"/>
  <c r="Z27" i="5"/>
  <c r="Q27" i="5"/>
  <c r="R27" i="5"/>
  <c r="S27" i="5"/>
  <c r="U27" i="5"/>
  <c r="Y27" i="5"/>
  <c r="AA27" i="5"/>
  <c r="P27" i="5"/>
  <c r="X27" i="5"/>
  <c r="W27" i="5"/>
  <c r="E29" i="5"/>
  <c r="F29" i="5"/>
  <c r="G29" i="5"/>
  <c r="I29" i="5"/>
  <c r="J29" i="5"/>
  <c r="K29" i="5"/>
  <c r="M29" i="5"/>
  <c r="D31" i="5"/>
  <c r="AC30" i="5"/>
  <c r="O29" i="5"/>
  <c r="AD28" i="5"/>
  <c r="T28" i="5" s="1"/>
  <c r="L23" i="3"/>
  <c r="N23" i="3" s="1"/>
  <c r="T24" i="3"/>
  <c r="U24" i="3" s="1"/>
  <c r="W24" i="3" s="1"/>
  <c r="U23" i="3"/>
  <c r="W23" i="3" s="1"/>
  <c r="I24" i="3"/>
  <c r="G26" i="3"/>
  <c r="R26" i="3"/>
  <c r="F27" i="3"/>
  <c r="AL79" i="1"/>
  <c r="AK90" i="1"/>
  <c r="AK79" i="1"/>
  <c r="AJ79" i="1"/>
  <c r="AJ68" i="1" s="1"/>
  <c r="AI79" i="1"/>
  <c r="AR27" i="1"/>
  <c r="AS26" i="1"/>
  <c r="AI90" i="1"/>
  <c r="AL90" i="1"/>
  <c r="AZ26" i="1"/>
  <c r="BD27" i="1"/>
  <c r="AN27" i="1"/>
  <c r="AO27" i="1" s="1"/>
  <c r="BA25" i="1"/>
  <c r="AJ25" i="1"/>
  <c r="AK24" i="1"/>
  <c r="AH90" i="1" s="1"/>
  <c r="BE26" i="1"/>
  <c r="AV26" i="1"/>
  <c r="AW26" i="1" s="1"/>
  <c r="AO26" i="1"/>
  <c r="X26" i="1"/>
  <c r="AB26" i="1" a="1"/>
  <c r="Y26" i="1" a="1"/>
  <c r="H27" i="3" l="1" a="1"/>
  <c r="H27" i="3" s="1"/>
  <c r="S27" i="3" a="1"/>
  <c r="S27" i="3" s="1"/>
  <c r="K27" i="3" a="1"/>
  <c r="AZ32" i="7"/>
  <c r="AN32" i="7"/>
  <c r="AO32" i="7" s="1"/>
  <c r="Z32" i="7"/>
  <c r="AJ32" i="7"/>
  <c r="AK32" i="7" s="1"/>
  <c r="AA31" i="7"/>
  <c r="AR33" i="7"/>
  <c r="AS33" i="7" s="1"/>
  <c r="AO31" i="7"/>
  <c r="BD32" i="7"/>
  <c r="BE32" i="7" s="1"/>
  <c r="AV31" i="7"/>
  <c r="AW31" i="7" s="1"/>
  <c r="AS32" i="7"/>
  <c r="AW30" i="7"/>
  <c r="AW32" i="6"/>
  <c r="AV33" i="6"/>
  <c r="Z33" i="6"/>
  <c r="AJ31" i="6"/>
  <c r="AK31" i="6" s="1"/>
  <c r="AK30" i="6"/>
  <c r="BD30" i="6"/>
  <c r="BE30" i="6" s="1"/>
  <c r="AR33" i="6"/>
  <c r="AZ32" i="6"/>
  <c r="BA32" i="6" s="1"/>
  <c r="AN31" i="6"/>
  <c r="AO31" i="6" s="1"/>
  <c r="AS32" i="6"/>
  <c r="AB26" i="1"/>
  <c r="Y26" i="1"/>
  <c r="L30" i="5"/>
  <c r="H30" i="5"/>
  <c r="S17" i="5"/>
  <c r="Q18" i="5"/>
  <c r="K27" i="3"/>
  <c r="V27" i="3"/>
  <c r="Q28" i="3"/>
  <c r="V28" i="5" a="1"/>
  <c r="V28" i="5" s="1"/>
  <c r="Z28" i="5"/>
  <c r="AA28" i="5"/>
  <c r="P28" i="5"/>
  <c r="Q28" i="5"/>
  <c r="U28" i="5"/>
  <c r="R28" i="5"/>
  <c r="S28" i="5"/>
  <c r="W28" i="5"/>
  <c r="X28" i="5"/>
  <c r="Y28" i="5"/>
  <c r="O30" i="5"/>
  <c r="AD29" i="5"/>
  <c r="T29" i="5" s="1"/>
  <c r="I30" i="5"/>
  <c r="J30" i="5"/>
  <c r="K30" i="5"/>
  <c r="M30" i="5"/>
  <c r="E30" i="5"/>
  <c r="F30" i="5"/>
  <c r="G30" i="5"/>
  <c r="D32" i="5"/>
  <c r="AC31" i="5"/>
  <c r="AL68" i="1"/>
  <c r="T25" i="3"/>
  <c r="L24" i="3"/>
  <c r="U25" i="3"/>
  <c r="W25" i="3" s="1"/>
  <c r="I25" i="3"/>
  <c r="J24" i="3"/>
  <c r="M24" i="3" s="1"/>
  <c r="R27" i="3"/>
  <c r="G27" i="3"/>
  <c r="F28" i="3"/>
  <c r="AK68" i="1"/>
  <c r="AS27" i="1"/>
  <c r="AR28" i="1"/>
  <c r="AI68" i="1"/>
  <c r="AJ26" i="1"/>
  <c r="AH79" i="1"/>
  <c r="AH68" i="1" s="1"/>
  <c r="AN28" i="1"/>
  <c r="BD28" i="1"/>
  <c r="BE27" i="1"/>
  <c r="AV27" i="1"/>
  <c r="AK25" i="1"/>
  <c r="AZ27" i="1"/>
  <c r="BA26" i="1"/>
  <c r="X27" i="1"/>
  <c r="V28" i="3" a="1"/>
  <c r="Y27" i="1" a="1"/>
  <c r="AB27" i="1" a="1"/>
  <c r="H28" i="3" l="1" a="1"/>
  <c r="H28" i="3" s="1"/>
  <c r="S28" i="3" a="1"/>
  <c r="S28" i="3" s="1"/>
  <c r="K28" i="3" a="1"/>
  <c r="AR34" i="7"/>
  <c r="AV32" i="7"/>
  <c r="AW32" i="7" s="1"/>
  <c r="Z33" i="7"/>
  <c r="AA33" i="7" s="1"/>
  <c r="AA32" i="7"/>
  <c r="BD33" i="7"/>
  <c r="AJ33" i="7"/>
  <c r="AZ33" i="7"/>
  <c r="BA33" i="7" s="1"/>
  <c r="AN33" i="7"/>
  <c r="AO33" i="7" s="1"/>
  <c r="BA32" i="7"/>
  <c r="AV34" i="6"/>
  <c r="AW33" i="6"/>
  <c r="AZ33" i="6"/>
  <c r="AR34" i="6"/>
  <c r="AS34" i="6" s="1"/>
  <c r="AS33" i="6"/>
  <c r="AJ32" i="6"/>
  <c r="AK32" i="6" s="1"/>
  <c r="Z34" i="6"/>
  <c r="AA34" i="6" s="1"/>
  <c r="BD31" i="6"/>
  <c r="BE31" i="6" s="1"/>
  <c r="AN32" i="6"/>
  <c r="AA33" i="6"/>
  <c r="AB27" i="1"/>
  <c r="Y27" i="1"/>
  <c r="L31" i="5"/>
  <c r="H31" i="5"/>
  <c r="P18" i="5"/>
  <c r="R18" i="5"/>
  <c r="K28" i="3"/>
  <c r="V28" i="3"/>
  <c r="Q29" i="3"/>
  <c r="V29" i="3" s="1" a="1"/>
  <c r="L25" i="3"/>
  <c r="I26" i="3"/>
  <c r="J26" i="3" s="1"/>
  <c r="M26" i="3" s="1"/>
  <c r="T26" i="3"/>
  <c r="U26" i="3" s="1"/>
  <c r="W26" i="3" s="1"/>
  <c r="V29" i="5" a="1"/>
  <c r="V29" i="5" s="1"/>
  <c r="Z29" i="5"/>
  <c r="AC32" i="5"/>
  <c r="D33" i="5"/>
  <c r="I31" i="5"/>
  <c r="J31" i="5"/>
  <c r="K31" i="5"/>
  <c r="E31" i="5"/>
  <c r="F31" i="5"/>
  <c r="G31" i="5"/>
  <c r="M31" i="5"/>
  <c r="O31" i="5"/>
  <c r="AD30" i="5"/>
  <c r="T30" i="5" s="1"/>
  <c r="U29" i="5"/>
  <c r="AA29" i="5"/>
  <c r="W29" i="5"/>
  <c r="R29" i="5"/>
  <c r="Y29" i="5"/>
  <c r="P29" i="5"/>
  <c r="Q29" i="5"/>
  <c r="S29" i="5"/>
  <c r="X29" i="5"/>
  <c r="N24" i="3"/>
  <c r="J25" i="3"/>
  <c r="M25" i="3" s="1"/>
  <c r="N25" i="3" s="1"/>
  <c r="R28" i="3"/>
  <c r="G28" i="3"/>
  <c r="F29" i="3"/>
  <c r="AS28" i="1"/>
  <c r="AR29" i="1"/>
  <c r="AZ28" i="1"/>
  <c r="AV28" i="1"/>
  <c r="AW27" i="1"/>
  <c r="BD29" i="1"/>
  <c r="BE28" i="1"/>
  <c r="AN29" i="1"/>
  <c r="AO28" i="1"/>
  <c r="BA27" i="1"/>
  <c r="AJ27" i="1"/>
  <c r="AK27" i="1" s="1"/>
  <c r="AK26" i="1"/>
  <c r="X28" i="1"/>
  <c r="Y28" i="1" a="1"/>
  <c r="AB28" i="1" a="1"/>
  <c r="H29" i="3" l="1" a="1"/>
  <c r="H29" i="3" s="1"/>
  <c r="S29" i="3" a="1"/>
  <c r="S29" i="3" s="1"/>
  <c r="K29" i="3" a="1"/>
  <c r="AZ34" i="7"/>
  <c r="BD34" i="7"/>
  <c r="AN34" i="7"/>
  <c r="AO34" i="7" s="1"/>
  <c r="AJ34" i="7"/>
  <c r="AK33" i="7"/>
  <c r="BE33" i="7"/>
  <c r="AR35" i="7"/>
  <c r="Z34" i="7"/>
  <c r="AA34" i="7" s="1"/>
  <c r="AV33" i="7"/>
  <c r="AS34" i="7"/>
  <c r="AW34" i="6"/>
  <c r="AV35" i="6"/>
  <c r="BD32" i="6"/>
  <c r="Z35" i="6"/>
  <c r="AA35" i="6" s="1"/>
  <c r="AN33" i="6"/>
  <c r="AO32" i="6"/>
  <c r="AJ33" i="6"/>
  <c r="AK33" i="6" s="1"/>
  <c r="AZ34" i="6"/>
  <c r="BA34" i="6" s="1"/>
  <c r="AR35" i="6"/>
  <c r="BA33" i="6"/>
  <c r="AB28" i="1"/>
  <c r="Y28" i="1"/>
  <c r="L32" i="5"/>
  <c r="H32" i="5"/>
  <c r="S18" i="5"/>
  <c r="Q19" i="5"/>
  <c r="K29" i="3"/>
  <c r="V29" i="3"/>
  <c r="Q30" i="3"/>
  <c r="V30" i="3" s="1" a="1"/>
  <c r="T27" i="3"/>
  <c r="L26" i="3"/>
  <c r="N26" i="3" s="1"/>
  <c r="I27" i="3"/>
  <c r="J27" i="3" s="1"/>
  <c r="M27" i="3" s="1"/>
  <c r="V30" i="5" a="1"/>
  <c r="V30" i="5" s="1"/>
  <c r="Z30" i="5"/>
  <c r="O32" i="5"/>
  <c r="AD31" i="5"/>
  <c r="T31" i="5" s="1"/>
  <c r="P30" i="5"/>
  <c r="Q30" i="5"/>
  <c r="U30" i="5"/>
  <c r="W30" i="5"/>
  <c r="Y30" i="5"/>
  <c r="R30" i="5"/>
  <c r="S30" i="5"/>
  <c r="AA30" i="5"/>
  <c r="X30" i="5"/>
  <c r="AC33" i="5"/>
  <c r="D34" i="5"/>
  <c r="E32" i="5"/>
  <c r="F32" i="5"/>
  <c r="J32" i="5"/>
  <c r="K32" i="5"/>
  <c r="I32" i="5"/>
  <c r="M32" i="5"/>
  <c r="G32" i="5"/>
  <c r="R29" i="3"/>
  <c r="G29" i="3"/>
  <c r="F30" i="3"/>
  <c r="AR30" i="1"/>
  <c r="AS29" i="1"/>
  <c r="AN30" i="1"/>
  <c r="AV29" i="1"/>
  <c r="AO29" i="1"/>
  <c r="AJ28" i="1"/>
  <c r="BD30" i="1"/>
  <c r="BE29" i="1"/>
  <c r="AW28" i="1"/>
  <c r="AZ29" i="1"/>
  <c r="BA28" i="1"/>
  <c r="X29" i="1"/>
  <c r="Y29" i="1" a="1"/>
  <c r="AB29" i="1" a="1"/>
  <c r="H30" i="3" l="1" a="1"/>
  <c r="H30" i="3" s="1"/>
  <c r="S30" i="3" a="1"/>
  <c r="S30" i="3" s="1"/>
  <c r="K30" i="3" a="1"/>
  <c r="K30" i="3" s="1"/>
  <c r="AV34" i="7"/>
  <c r="Z35" i="7"/>
  <c r="AR36" i="7"/>
  <c r="AN35" i="7"/>
  <c r="BD35" i="7"/>
  <c r="BE35" i="7" s="1"/>
  <c r="BE34" i="7"/>
  <c r="AJ35" i="7"/>
  <c r="AK35" i="7" s="1"/>
  <c r="AK34" i="7"/>
  <c r="AZ35" i="7"/>
  <c r="AW33" i="7"/>
  <c r="AS35" i="7"/>
  <c r="BA34" i="7"/>
  <c r="AV36" i="6"/>
  <c r="AW35" i="6"/>
  <c r="AR36" i="6"/>
  <c r="AS35" i="6"/>
  <c r="AJ34" i="6"/>
  <c r="AN34" i="6"/>
  <c r="AZ35" i="6"/>
  <c r="AO33" i="6"/>
  <c r="BD33" i="6"/>
  <c r="Z36" i="6"/>
  <c r="BE32" i="6"/>
  <c r="AB29" i="1"/>
  <c r="Y29" i="1"/>
  <c r="L33" i="5"/>
  <c r="H33" i="5"/>
  <c r="P19" i="5"/>
  <c r="R19" i="5"/>
  <c r="V30" i="3"/>
  <c r="Q31" i="3"/>
  <c r="L27" i="3"/>
  <c r="N27" i="3" s="1"/>
  <c r="I28" i="3"/>
  <c r="T28" i="3"/>
  <c r="U28" i="3" s="1"/>
  <c r="W28" i="3" s="1"/>
  <c r="U27" i="3"/>
  <c r="W27" i="3" s="1"/>
  <c r="Z31" i="5"/>
  <c r="V31" i="5" a="1"/>
  <c r="V31" i="5" s="1"/>
  <c r="E33" i="5"/>
  <c r="F33" i="5"/>
  <c r="G33" i="5"/>
  <c r="I33" i="5"/>
  <c r="K33" i="5"/>
  <c r="J33" i="5"/>
  <c r="M33" i="5"/>
  <c r="AC34" i="5"/>
  <c r="D35" i="5"/>
  <c r="P31" i="5"/>
  <c r="Q31" i="5"/>
  <c r="R31" i="5"/>
  <c r="S31" i="5"/>
  <c r="U31" i="5"/>
  <c r="W31" i="5"/>
  <c r="X31" i="5"/>
  <c r="Y31" i="5"/>
  <c r="AA31" i="5"/>
  <c r="O33" i="5"/>
  <c r="AD32" i="5"/>
  <c r="T32" i="5" s="1"/>
  <c r="R30" i="3"/>
  <c r="G30" i="3"/>
  <c r="F31" i="3"/>
  <c r="AS30" i="1"/>
  <c r="AR31" i="1"/>
  <c r="AR32" i="1" s="1"/>
  <c r="AR33" i="1" s="1"/>
  <c r="AZ30" i="1"/>
  <c r="BA29" i="1"/>
  <c r="BD31" i="1"/>
  <c r="BE30" i="1"/>
  <c r="AJ29" i="1"/>
  <c r="AK28" i="1"/>
  <c r="AV30" i="1"/>
  <c r="AW29" i="1"/>
  <c r="AN31" i="1"/>
  <c r="AO31" i="1" s="1"/>
  <c r="AO30" i="1"/>
  <c r="X30" i="1"/>
  <c r="V31" i="3" a="1"/>
  <c r="Y30" i="1" a="1"/>
  <c r="AB30" i="1" a="1"/>
  <c r="H31" i="3" l="1" a="1"/>
  <c r="H31" i="3" s="1"/>
  <c r="S31" i="3" a="1"/>
  <c r="S31" i="3" s="1"/>
  <c r="K31" i="3" a="1"/>
  <c r="K31" i="3" s="1"/>
  <c r="AZ36" i="7"/>
  <c r="BA35" i="7"/>
  <c r="AN36" i="7"/>
  <c r="AJ36" i="7"/>
  <c r="Z36" i="7"/>
  <c r="AA36" i="7" s="1"/>
  <c r="AO35" i="7"/>
  <c r="AA35" i="7"/>
  <c r="BD36" i="7"/>
  <c r="BE36" i="7" s="1"/>
  <c r="AR37" i="7"/>
  <c r="AS37" i="7" s="1"/>
  <c r="AV35" i="7"/>
  <c r="AW35" i="7" s="1"/>
  <c r="AS36" i="7"/>
  <c r="AW34" i="7"/>
  <c r="AW36" i="6"/>
  <c r="AV37" i="6"/>
  <c r="Z37" i="6"/>
  <c r="BD34" i="6"/>
  <c r="BE34" i="6" s="1"/>
  <c r="AA36" i="6"/>
  <c r="BE33" i="6"/>
  <c r="AZ36" i="6"/>
  <c r="BA36" i="6" s="1"/>
  <c r="BA35" i="6"/>
  <c r="AN35" i="6"/>
  <c r="AO34" i="6"/>
  <c r="AR37" i="6"/>
  <c r="AS37" i="6" s="1"/>
  <c r="AJ35" i="6"/>
  <c r="AK34" i="6"/>
  <c r="AS36" i="6"/>
  <c r="AB30" i="1"/>
  <c r="Y30" i="1"/>
  <c r="S19" i="5"/>
  <c r="Q20" i="5"/>
  <c r="L34" i="5"/>
  <c r="H34" i="5"/>
  <c r="V31" i="3"/>
  <c r="Q32" i="3"/>
  <c r="V32" i="3" s="1" a="1"/>
  <c r="T29" i="3"/>
  <c r="L28" i="3"/>
  <c r="I29" i="3"/>
  <c r="J29" i="3"/>
  <c r="M29" i="3" s="1"/>
  <c r="J28" i="3"/>
  <c r="M28" i="3" s="1"/>
  <c r="V32" i="5" a="1"/>
  <c r="V32" i="5" s="1"/>
  <c r="Z32" i="5"/>
  <c r="I34" i="5"/>
  <c r="E34" i="5"/>
  <c r="F34" i="5"/>
  <c r="G34" i="5"/>
  <c r="J34" i="5"/>
  <c r="K34" i="5"/>
  <c r="M34" i="5"/>
  <c r="D36" i="5"/>
  <c r="AC35" i="5"/>
  <c r="Y32" i="5"/>
  <c r="AA32" i="5"/>
  <c r="U32" i="5"/>
  <c r="W32" i="5"/>
  <c r="X32" i="5"/>
  <c r="P32" i="5"/>
  <c r="Q32" i="5"/>
  <c r="R32" i="5"/>
  <c r="S32" i="5"/>
  <c r="O34" i="5"/>
  <c r="AD33" i="5"/>
  <c r="T33" i="5" s="1"/>
  <c r="R31" i="3"/>
  <c r="G31" i="3"/>
  <c r="F32" i="3"/>
  <c r="AS32" i="1"/>
  <c r="AS31" i="1"/>
  <c r="AZ31" i="1"/>
  <c r="AN32" i="1"/>
  <c r="BA30" i="1"/>
  <c r="AV31" i="1"/>
  <c r="AW31" i="1" s="1"/>
  <c r="AW30" i="1"/>
  <c r="AR34" i="1"/>
  <c r="AS33" i="1"/>
  <c r="AJ30" i="1"/>
  <c r="AK30" i="1" s="1"/>
  <c r="AK29" i="1"/>
  <c r="BD32" i="1"/>
  <c r="BE31" i="1"/>
  <c r="X31" i="1"/>
  <c r="Y31" i="1" a="1"/>
  <c r="AB31" i="1" a="1"/>
  <c r="H32" i="3" l="1" a="1"/>
  <c r="H32" i="3" s="1"/>
  <c r="S32" i="3" a="1"/>
  <c r="S32" i="3" s="1"/>
  <c r="K32" i="3" a="1"/>
  <c r="AN37" i="7"/>
  <c r="Z37" i="7"/>
  <c r="AA37" i="7" s="1"/>
  <c r="AJ37" i="7"/>
  <c r="AK36" i="7"/>
  <c r="AO36" i="7"/>
  <c r="AZ37" i="7"/>
  <c r="AR38" i="7"/>
  <c r="AS38" i="7" s="1"/>
  <c r="BD37" i="7"/>
  <c r="BE37" i="7" s="1"/>
  <c r="AV36" i="7"/>
  <c r="AW36" i="7" s="1"/>
  <c r="BA36" i="7"/>
  <c r="AW37" i="6"/>
  <c r="AV38" i="6"/>
  <c r="AN36" i="6"/>
  <c r="AR38" i="6"/>
  <c r="AS38" i="6" s="1"/>
  <c r="AO35" i="6"/>
  <c r="BD35" i="6"/>
  <c r="Z38" i="6"/>
  <c r="AZ37" i="6"/>
  <c r="AJ36" i="6"/>
  <c r="AK36" i="6" s="1"/>
  <c r="AK35" i="6"/>
  <c r="AA37" i="6"/>
  <c r="AB31" i="1"/>
  <c r="Y31" i="1"/>
  <c r="L35" i="5"/>
  <c r="H35" i="5"/>
  <c r="R20" i="5"/>
  <c r="P20" i="5"/>
  <c r="K32" i="3"/>
  <c r="V32" i="3"/>
  <c r="Q33" i="3"/>
  <c r="V33" i="3" s="1" a="1"/>
  <c r="T30" i="3"/>
  <c r="U30" i="3" s="1"/>
  <c r="W30" i="3" s="1"/>
  <c r="L29" i="3"/>
  <c r="N29" i="3" s="1"/>
  <c r="I30" i="3"/>
  <c r="N28" i="3"/>
  <c r="U29" i="3"/>
  <c r="W29" i="3" s="1"/>
  <c r="Z33" i="5"/>
  <c r="V33" i="5" a="1"/>
  <c r="V33" i="5" s="1"/>
  <c r="AC36" i="5"/>
  <c r="D37" i="5"/>
  <c r="O35" i="5"/>
  <c r="AD34" i="5"/>
  <c r="T34" i="5" s="1"/>
  <c r="I35" i="5"/>
  <c r="J35" i="5"/>
  <c r="K35" i="5"/>
  <c r="F35" i="5"/>
  <c r="M35" i="5"/>
  <c r="G35" i="5"/>
  <c r="E35" i="5"/>
  <c r="U33" i="5"/>
  <c r="AA33" i="5"/>
  <c r="P33" i="5"/>
  <c r="Q33" i="5"/>
  <c r="R33" i="5"/>
  <c r="S33" i="5"/>
  <c r="Y33" i="5"/>
  <c r="W33" i="5"/>
  <c r="X33" i="5"/>
  <c r="R32" i="3"/>
  <c r="G32" i="3"/>
  <c r="F33" i="3"/>
  <c r="S33" i="3" s="1" a="1"/>
  <c r="S33" i="3" s="1"/>
  <c r="AR35" i="1"/>
  <c r="AS35" i="1" s="1"/>
  <c r="BD33" i="1"/>
  <c r="BE33" i="1" s="1"/>
  <c r="BE32" i="1"/>
  <c r="AS34" i="1"/>
  <c r="AN33" i="1"/>
  <c r="AZ32" i="1"/>
  <c r="AJ31" i="1"/>
  <c r="AV32" i="1"/>
  <c r="AO32" i="1"/>
  <c r="BA31" i="1"/>
  <c r="X32" i="1"/>
  <c r="AB32" i="1" a="1"/>
  <c r="Y32" i="1" a="1"/>
  <c r="K33" i="3" l="1" a="1"/>
  <c r="H33" i="3" a="1"/>
  <c r="H33" i="3" s="1"/>
  <c r="AV37" i="7"/>
  <c r="AZ38" i="7"/>
  <c r="AJ38" i="7"/>
  <c r="BD38" i="7"/>
  <c r="AK37" i="7"/>
  <c r="AN38" i="7"/>
  <c r="AO38" i="7" s="1"/>
  <c r="AR39" i="7"/>
  <c r="BA37" i="7"/>
  <c r="Z38" i="7"/>
  <c r="AO37" i="7"/>
  <c r="AW38" i="6"/>
  <c r="AV39" i="6"/>
  <c r="AZ38" i="6"/>
  <c r="BD36" i="6"/>
  <c r="AJ37" i="6"/>
  <c r="AK37" i="6" s="1"/>
  <c r="BA37" i="6"/>
  <c r="Z39" i="6"/>
  <c r="AA39" i="6" s="1"/>
  <c r="BE35" i="6"/>
  <c r="AA38" i="6"/>
  <c r="AR39" i="6"/>
  <c r="AS39" i="6" s="1"/>
  <c r="AN37" i="6"/>
  <c r="AO36" i="6"/>
  <c r="AB32" i="1"/>
  <c r="Y32" i="1"/>
  <c r="L36" i="5"/>
  <c r="H36" i="5"/>
  <c r="S20" i="5"/>
  <c r="Q21" i="5"/>
  <c r="K33" i="3"/>
  <c r="V33" i="3"/>
  <c r="Q34" i="3"/>
  <c r="L30" i="3"/>
  <c r="I31" i="3"/>
  <c r="J30" i="3"/>
  <c r="M30" i="3" s="1"/>
  <c r="T31" i="3"/>
  <c r="V34" i="5" a="1"/>
  <c r="V34" i="5" s="1"/>
  <c r="Z34" i="5"/>
  <c r="O36" i="5"/>
  <c r="AD35" i="5"/>
  <c r="T35" i="5" s="1"/>
  <c r="AC37" i="5"/>
  <c r="D38" i="5"/>
  <c r="P34" i="5"/>
  <c r="Q34" i="5"/>
  <c r="U34" i="5"/>
  <c r="W34" i="5"/>
  <c r="Y34" i="5"/>
  <c r="R34" i="5"/>
  <c r="X34" i="5"/>
  <c r="S34" i="5"/>
  <c r="AA34" i="5"/>
  <c r="E36" i="5"/>
  <c r="F36" i="5"/>
  <c r="J36" i="5"/>
  <c r="K36" i="5"/>
  <c r="G36" i="5"/>
  <c r="M36" i="5"/>
  <c r="I36" i="5"/>
  <c r="G33" i="3"/>
  <c r="R33" i="3"/>
  <c r="F34" i="3"/>
  <c r="S34" i="3" s="1" a="1"/>
  <c r="S34" i="3" s="1"/>
  <c r="AV33" i="1"/>
  <c r="AJ32" i="1"/>
  <c r="AK31" i="1"/>
  <c r="AN34" i="1"/>
  <c r="AW32" i="1"/>
  <c r="AZ33" i="1"/>
  <c r="BA32" i="1"/>
  <c r="AO33" i="1"/>
  <c r="BD34" i="1"/>
  <c r="AR36" i="1"/>
  <c r="AS36" i="1" s="1"/>
  <c r="X33" i="1"/>
  <c r="V34" i="3" a="1"/>
  <c r="Y33" i="1" a="1"/>
  <c r="AB33" i="1" a="1"/>
  <c r="H34" i="3" l="1" a="1"/>
  <c r="H34" i="3" s="1"/>
  <c r="K34" i="3" a="1"/>
  <c r="K34" i="3" s="1"/>
  <c r="Z39" i="7"/>
  <c r="AA38" i="7"/>
  <c r="AR40" i="7"/>
  <c r="AS40" i="7" s="1"/>
  <c r="AS39" i="7"/>
  <c r="BD39" i="7"/>
  <c r="BE39" i="7" s="1"/>
  <c r="AZ39" i="7"/>
  <c r="AJ39" i="7"/>
  <c r="AK39" i="7" s="1"/>
  <c r="BA38" i="7"/>
  <c r="AN39" i="7"/>
  <c r="AV38" i="7"/>
  <c r="AW38" i="7" s="1"/>
  <c r="BE38" i="7"/>
  <c r="AK38" i="7"/>
  <c r="AW37" i="7"/>
  <c r="AW39" i="6"/>
  <c r="AV40" i="6"/>
  <c r="AR40" i="6"/>
  <c r="BD37" i="6"/>
  <c r="BE37" i="6" s="1"/>
  <c r="Z40" i="6"/>
  <c r="BE36" i="6"/>
  <c r="AJ38" i="6"/>
  <c r="AN38" i="6"/>
  <c r="AO38" i="6" s="1"/>
  <c r="AZ39" i="6"/>
  <c r="AO37" i="6"/>
  <c r="BA38" i="6"/>
  <c r="AB33" i="1"/>
  <c r="Y33" i="1"/>
  <c r="L37" i="5"/>
  <c r="H37" i="5"/>
  <c r="R21" i="5"/>
  <c r="P21" i="5"/>
  <c r="V34" i="3"/>
  <c r="Q35" i="3"/>
  <c r="V35" i="3" s="1" a="1"/>
  <c r="T32" i="3"/>
  <c r="U32" i="3" s="1"/>
  <c r="W32" i="3" s="1"/>
  <c r="U31" i="3"/>
  <c r="W31" i="3" s="1"/>
  <c r="N30" i="3"/>
  <c r="L31" i="3"/>
  <c r="I32" i="3"/>
  <c r="J31" i="3"/>
  <c r="M31" i="3" s="1"/>
  <c r="Z35" i="5"/>
  <c r="V35" i="5" a="1"/>
  <c r="V35" i="5" s="1"/>
  <c r="E37" i="5"/>
  <c r="F37" i="5"/>
  <c r="I37" i="5"/>
  <c r="G37" i="5"/>
  <c r="J37" i="5"/>
  <c r="K37" i="5"/>
  <c r="M37" i="5"/>
  <c r="P35" i="5"/>
  <c r="Q35" i="5"/>
  <c r="R35" i="5"/>
  <c r="X35" i="5"/>
  <c r="S35" i="5"/>
  <c r="U35" i="5"/>
  <c r="W35" i="5"/>
  <c r="AA35" i="5"/>
  <c r="Y35" i="5"/>
  <c r="D39" i="5"/>
  <c r="AC38" i="5"/>
  <c r="AD36" i="5"/>
  <c r="T36" i="5" s="1"/>
  <c r="O37" i="5"/>
  <c r="R34" i="3"/>
  <c r="G34" i="3"/>
  <c r="F35" i="3"/>
  <c r="S35" i="3" s="1" a="1"/>
  <c r="S35" i="3" s="1"/>
  <c r="AJ33" i="1"/>
  <c r="BD35" i="1"/>
  <c r="AN35" i="1"/>
  <c r="AO34" i="1"/>
  <c r="AK32" i="1"/>
  <c r="AZ34" i="1"/>
  <c r="BA34" i="1" s="1"/>
  <c r="AR37" i="1"/>
  <c r="AS37" i="1" s="1"/>
  <c r="BE34" i="1"/>
  <c r="BA33" i="1"/>
  <c r="AV34" i="1"/>
  <c r="AW33" i="1"/>
  <c r="X34" i="1"/>
  <c r="Y34" i="1" a="1"/>
  <c r="AB34" i="1" a="1"/>
  <c r="K35" i="3" l="1" a="1"/>
  <c r="H35" i="3" a="1"/>
  <c r="H35" i="3" s="1"/>
  <c r="AN40" i="7"/>
  <c r="AZ40" i="7"/>
  <c r="BA40" i="7" s="1"/>
  <c r="AJ40" i="7"/>
  <c r="AK40" i="7" s="1"/>
  <c r="BA39" i="7"/>
  <c r="AO39" i="7"/>
  <c r="AR41" i="7"/>
  <c r="AS41" i="7" s="1"/>
  <c r="Z40" i="7"/>
  <c r="AA40" i="7" s="1"/>
  <c r="BD40" i="7"/>
  <c r="AV39" i="7"/>
  <c r="AA39" i="7"/>
  <c r="AV41" i="6"/>
  <c r="AW40" i="6"/>
  <c r="AZ40" i="6"/>
  <c r="BA39" i="6"/>
  <c r="Z41" i="6"/>
  <c r="AA41" i="6" s="1"/>
  <c r="AJ39" i="6"/>
  <c r="AK38" i="6"/>
  <c r="AA40" i="6"/>
  <c r="AN39" i="6"/>
  <c r="BD38" i="6"/>
  <c r="AR41" i="6"/>
  <c r="AS40" i="6"/>
  <c r="AB34" i="1"/>
  <c r="Y34" i="1"/>
  <c r="L38" i="5"/>
  <c r="H38" i="5"/>
  <c r="S21" i="5"/>
  <c r="Q22" i="5"/>
  <c r="K35" i="3"/>
  <c r="V35" i="3"/>
  <c r="Q36" i="3"/>
  <c r="V36" i="3" s="1" a="1"/>
  <c r="L32" i="3"/>
  <c r="I33" i="3"/>
  <c r="J33" i="3" s="1"/>
  <c r="M33" i="3" s="1"/>
  <c r="J32" i="3"/>
  <c r="M32" i="3" s="1"/>
  <c r="N31" i="3"/>
  <c r="T33" i="3"/>
  <c r="V36" i="5" a="1"/>
  <c r="V36" i="5" s="1"/>
  <c r="Z36" i="5"/>
  <c r="Y36" i="5"/>
  <c r="AA36" i="5"/>
  <c r="P36" i="5"/>
  <c r="Q36" i="5"/>
  <c r="U36" i="5"/>
  <c r="R36" i="5"/>
  <c r="S36" i="5"/>
  <c r="W36" i="5"/>
  <c r="X36" i="5"/>
  <c r="O38" i="5"/>
  <c r="AD37" i="5"/>
  <c r="T37" i="5" s="1"/>
  <c r="J38" i="5"/>
  <c r="G38" i="5"/>
  <c r="K38" i="5"/>
  <c r="E38" i="5"/>
  <c r="F38" i="5"/>
  <c r="I38" i="5"/>
  <c r="M38" i="5"/>
  <c r="D40" i="5"/>
  <c r="AC39" i="5"/>
  <c r="G35" i="3"/>
  <c r="R35" i="3"/>
  <c r="F36" i="3"/>
  <c r="BD36" i="1"/>
  <c r="BE35" i="1"/>
  <c r="AV35" i="1"/>
  <c r="AW35" i="1" s="1"/>
  <c r="AW34" i="1"/>
  <c r="AR38" i="1"/>
  <c r="AZ35" i="1"/>
  <c r="AN36" i="1"/>
  <c r="AO36" i="1" s="1"/>
  <c r="AO35" i="1"/>
  <c r="AJ34" i="1"/>
  <c r="AK33" i="1"/>
  <c r="X35" i="1"/>
  <c r="Y35" i="1" a="1"/>
  <c r="AB35" i="1" a="1"/>
  <c r="H36" i="3" l="1" a="1"/>
  <c r="H36" i="3" s="1"/>
  <c r="S36" i="3" a="1"/>
  <c r="S36" i="3" s="1"/>
  <c r="K36" i="3" a="1"/>
  <c r="K36" i="3" s="1"/>
  <c r="BD41" i="7"/>
  <c r="AV40" i="7"/>
  <c r="AW40" i="7" s="1"/>
  <c r="AW39" i="7"/>
  <c r="Z41" i="7"/>
  <c r="AA41" i="7" s="1"/>
  <c r="AJ41" i="7"/>
  <c r="AK41" i="7" s="1"/>
  <c r="AN41" i="7"/>
  <c r="AO41" i="7" s="1"/>
  <c r="BE40" i="7"/>
  <c r="AR42" i="7"/>
  <c r="AS42" i="7" s="1"/>
  <c r="AZ41" i="7"/>
  <c r="AO40" i="7"/>
  <c r="AW41" i="6"/>
  <c r="AV42" i="6"/>
  <c r="BD39" i="6"/>
  <c r="AN40" i="6"/>
  <c r="AO39" i="6"/>
  <c r="BE38" i="6"/>
  <c r="AJ40" i="6"/>
  <c r="Z42" i="6"/>
  <c r="AR42" i="6"/>
  <c r="AS42" i="6" s="1"/>
  <c r="AZ41" i="6"/>
  <c r="BA41" i="6" s="1"/>
  <c r="AK39" i="6"/>
  <c r="AS41" i="6"/>
  <c r="BA40" i="6"/>
  <c r="AB35" i="1"/>
  <c r="Y35" i="1"/>
  <c r="P22" i="5"/>
  <c r="R22" i="5"/>
  <c r="L39" i="5"/>
  <c r="H39" i="5"/>
  <c r="V36" i="3"/>
  <c r="Q37" i="3"/>
  <c r="T34" i="3"/>
  <c r="U33" i="3"/>
  <c r="W33" i="3" s="1"/>
  <c r="L33" i="3"/>
  <c r="N33" i="3" s="1"/>
  <c r="I34" i="3"/>
  <c r="N32" i="3"/>
  <c r="V37" i="5" a="1"/>
  <c r="V37" i="5" s="1"/>
  <c r="Z37" i="5"/>
  <c r="AD38" i="5"/>
  <c r="T38" i="5" s="1"/>
  <c r="O39" i="5"/>
  <c r="I39" i="5"/>
  <c r="J39" i="5"/>
  <c r="K39" i="5"/>
  <c r="E39" i="5"/>
  <c r="M39" i="5"/>
  <c r="F39" i="5"/>
  <c r="G39" i="5"/>
  <c r="U37" i="5"/>
  <c r="AA37" i="5"/>
  <c r="Q37" i="5"/>
  <c r="R37" i="5"/>
  <c r="S37" i="5"/>
  <c r="X37" i="5"/>
  <c r="W37" i="5"/>
  <c r="Y37" i="5"/>
  <c r="P37" i="5"/>
  <c r="AC40" i="5"/>
  <c r="D41" i="5"/>
  <c r="G36" i="3"/>
  <c r="R36" i="3"/>
  <c r="F37" i="3"/>
  <c r="AJ35" i="1"/>
  <c r="AK34" i="1"/>
  <c r="AR39" i="1"/>
  <c r="AN37" i="1"/>
  <c r="AO37" i="1" s="1"/>
  <c r="AZ36" i="1"/>
  <c r="BA36" i="1" s="1"/>
  <c r="BA35" i="1"/>
  <c r="AS38" i="1"/>
  <c r="AV36" i="1"/>
  <c r="AW36" i="1" s="1"/>
  <c r="BD37" i="1"/>
  <c r="BE37" i="1" s="1"/>
  <c r="BE36" i="1"/>
  <c r="X36" i="1"/>
  <c r="V37" i="3" a="1"/>
  <c r="AB36" i="1" a="1"/>
  <c r="Y36" i="1" a="1"/>
  <c r="H37" i="3" l="1" a="1"/>
  <c r="H37" i="3" s="1"/>
  <c r="S37" i="3" a="1"/>
  <c r="S37" i="3" s="1"/>
  <c r="K37" i="3" a="1"/>
  <c r="AZ42" i="7"/>
  <c r="AN42" i="7"/>
  <c r="BA41" i="7"/>
  <c r="AJ42" i="7"/>
  <c r="AV41" i="7"/>
  <c r="BD42" i="7"/>
  <c r="AR43" i="7"/>
  <c r="AS43" i="7" s="1"/>
  <c r="Z42" i="7"/>
  <c r="BE41" i="7"/>
  <c r="AW42" i="6"/>
  <c r="AV43" i="6"/>
  <c r="AZ42" i="6"/>
  <c r="AR43" i="6"/>
  <c r="AS43" i="6" s="1"/>
  <c r="Z43" i="6"/>
  <c r="AA42" i="6"/>
  <c r="AN41" i="6"/>
  <c r="AO41" i="6" s="1"/>
  <c r="AJ41" i="6"/>
  <c r="AO40" i="6"/>
  <c r="BD40" i="6"/>
  <c r="AK40" i="6"/>
  <c r="BE39" i="6"/>
  <c r="AB36" i="1"/>
  <c r="Y36" i="1"/>
  <c r="S22" i="5"/>
  <c r="Q23" i="5"/>
  <c r="L40" i="5"/>
  <c r="H40" i="5"/>
  <c r="K37" i="3"/>
  <c r="V37" i="3"/>
  <c r="Q38" i="3"/>
  <c r="V38" i="3" s="1" a="1"/>
  <c r="T35" i="3"/>
  <c r="U35" i="3" s="1"/>
  <c r="W35" i="3" s="1"/>
  <c r="L34" i="3"/>
  <c r="I35" i="3"/>
  <c r="J34" i="3"/>
  <c r="M34" i="3" s="1"/>
  <c r="U34" i="3"/>
  <c r="W34" i="3" s="1"/>
  <c r="Z38" i="5"/>
  <c r="V38" i="5" a="1"/>
  <c r="V38" i="5" s="1"/>
  <c r="E40" i="5"/>
  <c r="F40" i="5"/>
  <c r="J40" i="5"/>
  <c r="K40" i="5"/>
  <c r="G40" i="5"/>
  <c r="I40" i="5"/>
  <c r="M40" i="5"/>
  <c r="D42" i="5"/>
  <c r="AC41" i="5"/>
  <c r="O40" i="5"/>
  <c r="AD39" i="5"/>
  <c r="T39" i="5" s="1"/>
  <c r="P38" i="5"/>
  <c r="Q38" i="5"/>
  <c r="U38" i="5"/>
  <c r="W38" i="5"/>
  <c r="Y38" i="5"/>
  <c r="AA38" i="5"/>
  <c r="R38" i="5"/>
  <c r="S38" i="5"/>
  <c r="X38" i="5"/>
  <c r="R37" i="3"/>
  <c r="G37" i="3"/>
  <c r="F38" i="3"/>
  <c r="S38" i="3" s="1" a="1"/>
  <c r="S38" i="3" s="1"/>
  <c r="BD38" i="1"/>
  <c r="AZ37" i="1"/>
  <c r="AV37" i="1"/>
  <c r="AN38" i="1"/>
  <c r="AR40" i="1"/>
  <c r="AS39" i="1"/>
  <c r="AJ36" i="1"/>
  <c r="AK35" i="1"/>
  <c r="X37" i="1"/>
  <c r="Y37" i="1" a="1"/>
  <c r="AB37" i="1" a="1"/>
  <c r="H38" i="3" l="1" a="1"/>
  <c r="H38" i="3" s="1"/>
  <c r="K38" i="3" a="1"/>
  <c r="AV42" i="7"/>
  <c r="AR44" i="7"/>
  <c r="BD43" i="7"/>
  <c r="BE42" i="7"/>
  <c r="AW41" i="7"/>
  <c r="Z43" i="7"/>
  <c r="AA43" i="7" s="1"/>
  <c r="AN43" i="7"/>
  <c r="AJ43" i="7"/>
  <c r="AK43" i="7" s="1"/>
  <c r="AO42" i="7"/>
  <c r="AA42" i="7"/>
  <c r="AZ43" i="7"/>
  <c r="AK42" i="7"/>
  <c r="BA42" i="7"/>
  <c r="AW43" i="6"/>
  <c r="AV44" i="6"/>
  <c r="BD41" i="6"/>
  <c r="BE40" i="6"/>
  <c r="AJ42" i="6"/>
  <c r="AK41" i="6"/>
  <c r="Z44" i="6"/>
  <c r="AA44" i="6" s="1"/>
  <c r="AA43" i="6"/>
  <c r="AZ43" i="6"/>
  <c r="BA43" i="6" s="1"/>
  <c r="AN42" i="6"/>
  <c r="AR44" i="6"/>
  <c r="AS44" i="6" s="1"/>
  <c r="AJ80" i="6" s="1"/>
  <c r="BA42" i="6"/>
  <c r="AB37" i="1"/>
  <c r="Y37" i="1"/>
  <c r="P23" i="5"/>
  <c r="R23" i="5"/>
  <c r="L41" i="5"/>
  <c r="H41" i="5"/>
  <c r="K38" i="3"/>
  <c r="V38" i="3"/>
  <c r="Q39" i="3"/>
  <c r="V39" i="3" s="1" a="1"/>
  <c r="N34" i="3"/>
  <c r="L35" i="3"/>
  <c r="I36" i="3"/>
  <c r="J36" i="3" s="1"/>
  <c r="M36" i="3" s="1"/>
  <c r="J35" i="3"/>
  <c r="M35" i="3" s="1"/>
  <c r="T36" i="3"/>
  <c r="U36" i="3" s="1"/>
  <c r="W36" i="3" s="1"/>
  <c r="Z39" i="5"/>
  <c r="V39" i="5" a="1"/>
  <c r="V39" i="5" s="1"/>
  <c r="O41" i="5"/>
  <c r="AD40" i="5"/>
  <c r="T40" i="5" s="1"/>
  <c r="AC42" i="5"/>
  <c r="D43" i="5"/>
  <c r="P39" i="5"/>
  <c r="Q39" i="5"/>
  <c r="R39" i="5"/>
  <c r="S39" i="5"/>
  <c r="U39" i="5"/>
  <c r="W39" i="5"/>
  <c r="X39" i="5"/>
  <c r="AA39" i="5"/>
  <c r="Y39" i="5"/>
  <c r="E41" i="5"/>
  <c r="F41" i="5"/>
  <c r="I41" i="5"/>
  <c r="J41" i="5"/>
  <c r="K41" i="5"/>
  <c r="M41" i="5"/>
  <c r="G41" i="5"/>
  <c r="G38" i="3"/>
  <c r="R38" i="3"/>
  <c r="F39" i="3"/>
  <c r="S39" i="3" s="1" a="1"/>
  <c r="S39" i="3" s="1"/>
  <c r="AJ37" i="1"/>
  <c r="AK37" i="1" s="1"/>
  <c r="AK36" i="1"/>
  <c r="AR41" i="1"/>
  <c r="AS40" i="1"/>
  <c r="AN39" i="1"/>
  <c r="AO38" i="1"/>
  <c r="AV38" i="1"/>
  <c r="AW37" i="1"/>
  <c r="AZ38" i="1"/>
  <c r="BA37" i="1"/>
  <c r="BD39" i="1"/>
  <c r="BE39" i="1" s="1"/>
  <c r="BE38" i="1"/>
  <c r="X38" i="1"/>
  <c r="Y38" i="1" a="1"/>
  <c r="AB38" i="1" a="1"/>
  <c r="H39" i="3" l="1" a="1"/>
  <c r="H39" i="3" s="1"/>
  <c r="K39" i="3" a="1"/>
  <c r="AN44" i="7"/>
  <c r="AO43" i="7"/>
  <c r="AJ44" i="7"/>
  <c r="Z44" i="7"/>
  <c r="AA44" i="7" s="1"/>
  <c r="AS44" i="7"/>
  <c r="AJ80" i="7" s="1"/>
  <c r="BD44" i="7"/>
  <c r="BE44" i="7" s="1"/>
  <c r="AZ44" i="7"/>
  <c r="AV43" i="7"/>
  <c r="AW43" i="7" s="1"/>
  <c r="BE43" i="7"/>
  <c r="BA43" i="7"/>
  <c r="AW42" i="7"/>
  <c r="AW44" i="6"/>
  <c r="AK80" i="6" s="1"/>
  <c r="AK91" i="6"/>
  <c r="AN43" i="6"/>
  <c r="AO43" i="6" s="1"/>
  <c r="AJ91" i="6"/>
  <c r="AJ69" i="6" s="1"/>
  <c r="AO42" i="6"/>
  <c r="N19" i="6"/>
  <c r="S19" i="6"/>
  <c r="Y80" i="6"/>
  <c r="Z80" i="6"/>
  <c r="AA80" i="6"/>
  <c r="AB80" i="6"/>
  <c r="AC80" i="6"/>
  <c r="AD80" i="6"/>
  <c r="AD69" i="6"/>
  <c r="AJ43" i="6"/>
  <c r="AK43" i="6" s="1"/>
  <c r="BD42" i="6"/>
  <c r="AZ44" i="6"/>
  <c r="P19" i="6"/>
  <c r="O19" i="6"/>
  <c r="Y69" i="6"/>
  <c r="Z69" i="6"/>
  <c r="AA69" i="6"/>
  <c r="AC69" i="6"/>
  <c r="AB69" i="6"/>
  <c r="AK42" i="6"/>
  <c r="BE41" i="6"/>
  <c r="AB38" i="1"/>
  <c r="Y38" i="1"/>
  <c r="S23" i="5"/>
  <c r="Q24" i="5"/>
  <c r="L42" i="5"/>
  <c r="H42" i="5"/>
  <c r="K39" i="3"/>
  <c r="V39" i="3"/>
  <c r="Q40" i="3"/>
  <c r="T37" i="3"/>
  <c r="L36" i="3"/>
  <c r="N36" i="3" s="1"/>
  <c r="I37" i="3"/>
  <c r="N35" i="3"/>
  <c r="Z40" i="5"/>
  <c r="V40" i="5" a="1"/>
  <c r="V40" i="5" s="1"/>
  <c r="D44" i="5"/>
  <c r="AC43" i="5"/>
  <c r="J42" i="5"/>
  <c r="K42" i="5"/>
  <c r="M42" i="5"/>
  <c r="E42" i="5"/>
  <c r="F42" i="5"/>
  <c r="G42" i="5"/>
  <c r="I42" i="5"/>
  <c r="Y40" i="5"/>
  <c r="AA40" i="5"/>
  <c r="U40" i="5"/>
  <c r="W40" i="5"/>
  <c r="R40" i="5"/>
  <c r="S40" i="5"/>
  <c r="P40" i="5"/>
  <c r="Q40" i="5"/>
  <c r="X40" i="5"/>
  <c r="O42" i="5"/>
  <c r="AD41" i="5"/>
  <c r="T41" i="5" s="1"/>
  <c r="R39" i="3"/>
  <c r="G39" i="3"/>
  <c r="F40" i="3"/>
  <c r="AZ39" i="1"/>
  <c r="AV39" i="1"/>
  <c r="AW39" i="1" s="1"/>
  <c r="BA38" i="1"/>
  <c r="AW38" i="1"/>
  <c r="AN40" i="1"/>
  <c r="AO39" i="1"/>
  <c r="AR42" i="1"/>
  <c r="AS41" i="1"/>
  <c r="AJ38" i="1"/>
  <c r="AK38" i="1" s="1"/>
  <c r="BD40" i="1"/>
  <c r="X39" i="1"/>
  <c r="V40" i="3" a="1"/>
  <c r="AB39" i="1" a="1"/>
  <c r="Y39" i="1" a="1"/>
  <c r="H40" i="3" l="1" a="1"/>
  <c r="H40" i="3" s="1"/>
  <c r="S40" i="3" a="1"/>
  <c r="S40" i="3" s="1"/>
  <c r="K40" i="3" a="1"/>
  <c r="O19" i="7"/>
  <c r="P19" i="7"/>
  <c r="Y69" i="7"/>
  <c r="Z69" i="7"/>
  <c r="AA69" i="7"/>
  <c r="AB69" i="7"/>
  <c r="AC69" i="7"/>
  <c r="BA44" i="7"/>
  <c r="AL80" i="7" s="1"/>
  <c r="AV44" i="7"/>
  <c r="AM91" i="7"/>
  <c r="AJ91" i="7"/>
  <c r="AJ69" i="7" s="1"/>
  <c r="AK44" i="7"/>
  <c r="AH80" i="7" s="1"/>
  <c r="N19" i="7"/>
  <c r="S19" i="7"/>
  <c r="Y80" i="7"/>
  <c r="Z80" i="7"/>
  <c r="AA80" i="7"/>
  <c r="AB80" i="7"/>
  <c r="AC80" i="7"/>
  <c r="AD80" i="7"/>
  <c r="AD69" i="7"/>
  <c r="AM80" i="7"/>
  <c r="AO44" i="7"/>
  <c r="AI80" i="7" s="1"/>
  <c r="AK69" i="6"/>
  <c r="AB58" i="6"/>
  <c r="Z58" i="6"/>
  <c r="AJ44" i="6"/>
  <c r="AK44" i="6" s="1"/>
  <c r="AH80" i="6" s="1"/>
  <c r="Q19" i="6"/>
  <c r="Y58" i="6"/>
  <c r="AD58" i="6"/>
  <c r="AC58" i="6"/>
  <c r="BA44" i="6"/>
  <c r="AL80" i="6" s="1"/>
  <c r="BD43" i="6"/>
  <c r="BE43" i="6" s="1"/>
  <c r="AA58" i="6"/>
  <c r="T19" i="6"/>
  <c r="U19" i="6" s="1"/>
  <c r="AN44" i="6"/>
  <c r="AO44" i="6" s="1"/>
  <c r="AI80" i="6" s="1"/>
  <c r="BE42" i="6"/>
  <c r="AB39" i="1"/>
  <c r="Y39" i="1"/>
  <c r="R24" i="5"/>
  <c r="P24" i="5"/>
  <c r="L43" i="5"/>
  <c r="H43" i="5"/>
  <c r="K40" i="3"/>
  <c r="V40" i="3"/>
  <c r="Q41" i="3"/>
  <c r="V41" i="3" s="1" a="1"/>
  <c r="L37" i="3"/>
  <c r="I38" i="3"/>
  <c r="T38" i="3"/>
  <c r="U38" i="3" s="1"/>
  <c r="W38" i="3" s="1"/>
  <c r="J37" i="3"/>
  <c r="M37" i="3" s="1"/>
  <c r="U37" i="3"/>
  <c r="W37" i="3" s="1"/>
  <c r="Z41" i="5"/>
  <c r="V41" i="5" a="1"/>
  <c r="V41" i="5" s="1"/>
  <c r="U41" i="5"/>
  <c r="AA41" i="5"/>
  <c r="Y41" i="5"/>
  <c r="P41" i="5"/>
  <c r="Q41" i="5"/>
  <c r="S41" i="5"/>
  <c r="W41" i="5"/>
  <c r="R41" i="5"/>
  <c r="X41" i="5"/>
  <c r="I43" i="5"/>
  <c r="J43" i="5"/>
  <c r="K43" i="5"/>
  <c r="E43" i="5"/>
  <c r="F43" i="5"/>
  <c r="G43" i="5"/>
  <c r="M43" i="5"/>
  <c r="O43" i="5"/>
  <c r="AD42" i="5"/>
  <c r="T42" i="5" s="1"/>
  <c r="AC44" i="5"/>
  <c r="D45" i="5"/>
  <c r="G40" i="3"/>
  <c r="R40" i="3"/>
  <c r="F41" i="3"/>
  <c r="S41" i="3" s="1" a="1"/>
  <c r="S41" i="3" s="1"/>
  <c r="BD41" i="1"/>
  <c r="BE41" i="1" s="1"/>
  <c r="AJ39" i="1"/>
  <c r="AK39" i="1" s="1"/>
  <c r="AN41" i="1"/>
  <c r="AO40" i="1"/>
  <c r="BE40" i="1"/>
  <c r="AR43" i="1"/>
  <c r="AS43" i="1" s="1"/>
  <c r="AS42" i="1"/>
  <c r="AV40" i="1"/>
  <c r="AZ40" i="1"/>
  <c r="BA39" i="1"/>
  <c r="X40" i="1"/>
  <c r="Y40" i="1" a="1"/>
  <c r="AB40" i="1" a="1"/>
  <c r="Q19" i="7" l="1"/>
  <c r="K41" i="3" a="1"/>
  <c r="H41" i="3" a="1"/>
  <c r="H41" i="3" s="1"/>
  <c r="AH91" i="7"/>
  <c r="AH69" i="7" s="1"/>
  <c r="AD58" i="7"/>
  <c r="AC58" i="7"/>
  <c r="AM69" i="7"/>
  <c r="AW44" i="7"/>
  <c r="AK80" i="7" s="1"/>
  <c r="AI91" i="7"/>
  <c r="AI69" i="7" s="1"/>
  <c r="AL91" i="7"/>
  <c r="AL69" i="7" s="1"/>
  <c r="AB58" i="7"/>
  <c r="AA58" i="7"/>
  <c r="Z58" i="7"/>
  <c r="Y58" i="7"/>
  <c r="T19" i="7"/>
  <c r="U19" i="7" s="1"/>
  <c r="V19" i="7" s="1"/>
  <c r="P32" i="7" s="1"/>
  <c r="BD44" i="6"/>
  <c r="V19" i="6"/>
  <c r="P32" i="6" s="1"/>
  <c r="AK58" i="6"/>
  <c r="N58" i="6" s="1"/>
  <c r="AI91" i="6"/>
  <c r="AI69" i="6" s="1"/>
  <c r="AI58" i="6" s="1"/>
  <c r="L58" i="6" s="1"/>
  <c r="AL91" i="6"/>
  <c r="AL69" i="6" s="1"/>
  <c r="AL58" i="6" s="1"/>
  <c r="O58" i="6" s="1"/>
  <c r="AH91" i="6"/>
  <c r="AH69" i="6" s="1"/>
  <c r="AH58" i="6" s="1"/>
  <c r="K58" i="6" s="1"/>
  <c r="AJ58" i="6"/>
  <c r="M58" i="6" s="1"/>
  <c r="AB40" i="1"/>
  <c r="Y40" i="1"/>
  <c r="L44" i="5"/>
  <c r="H44" i="5"/>
  <c r="S24" i="5"/>
  <c r="Q25" i="5"/>
  <c r="V41" i="3"/>
  <c r="K41" i="3"/>
  <c r="Q42" i="3"/>
  <c r="V42" i="3" s="1" a="1"/>
  <c r="I39" i="3"/>
  <c r="L38" i="3"/>
  <c r="J39" i="3"/>
  <c r="M39" i="3" s="1"/>
  <c r="T39" i="3"/>
  <c r="U39" i="3" s="1"/>
  <c r="W39" i="3" s="1"/>
  <c r="J38" i="3"/>
  <c r="M38" i="3" s="1"/>
  <c r="N37" i="3"/>
  <c r="Z42" i="5"/>
  <c r="V42" i="5" a="1"/>
  <c r="V42" i="5" s="1"/>
  <c r="D46" i="5"/>
  <c r="AC45" i="5"/>
  <c r="E44" i="5"/>
  <c r="F44" i="5"/>
  <c r="J44" i="5"/>
  <c r="K44" i="5"/>
  <c r="G44" i="5"/>
  <c r="I44" i="5"/>
  <c r="M44" i="5"/>
  <c r="P42" i="5"/>
  <c r="Q42" i="5"/>
  <c r="U42" i="5"/>
  <c r="Y42" i="5"/>
  <c r="AA42" i="5"/>
  <c r="S42" i="5"/>
  <c r="R42" i="5"/>
  <c r="W42" i="5"/>
  <c r="X42" i="5"/>
  <c r="O44" i="5"/>
  <c r="AD43" i="5"/>
  <c r="T43" i="5" s="1"/>
  <c r="G41" i="3"/>
  <c r="R41" i="3"/>
  <c r="F42" i="3"/>
  <c r="AZ41" i="1"/>
  <c r="BA41" i="1" s="1"/>
  <c r="BA40" i="1"/>
  <c r="AN42" i="1"/>
  <c r="AV41" i="1"/>
  <c r="AW40" i="1"/>
  <c r="AJ40" i="1"/>
  <c r="AK40" i="1" s="1"/>
  <c r="BD42" i="1"/>
  <c r="AR44" i="1"/>
  <c r="AO41" i="1"/>
  <c r="X41" i="1"/>
  <c r="AB41" i="1" a="1"/>
  <c r="Y41" i="1" a="1"/>
  <c r="H42" i="3" l="1" a="1"/>
  <c r="H42" i="3" s="1"/>
  <c r="S42" i="3" a="1"/>
  <c r="S42" i="3" s="1"/>
  <c r="K42" i="3" a="1"/>
  <c r="K42" i="3" s="1"/>
  <c r="AL58" i="7"/>
  <c r="O58" i="7" s="1"/>
  <c r="AI58" i="7"/>
  <c r="L58" i="7" s="1"/>
  <c r="AM58" i="7"/>
  <c r="P58" i="7" s="1"/>
  <c r="AK91" i="7"/>
  <c r="AK69" i="7" s="1"/>
  <c r="AK58" i="7" s="1"/>
  <c r="N58" i="7" s="1"/>
  <c r="AH58" i="7"/>
  <c r="K58" i="7" s="1"/>
  <c r="AJ58" i="7"/>
  <c r="M58" i="7" s="1"/>
  <c r="BE44" i="6"/>
  <c r="AM80" i="6" s="1"/>
  <c r="AB41" i="1"/>
  <c r="Y41" i="1"/>
  <c r="L45" i="5"/>
  <c r="H45" i="5"/>
  <c r="R25" i="5"/>
  <c r="S25" i="5" s="1"/>
  <c r="P25" i="5"/>
  <c r="V42" i="3"/>
  <c r="Q43" i="3"/>
  <c r="N38" i="3"/>
  <c r="T40" i="3"/>
  <c r="L39" i="3"/>
  <c r="N39" i="3" s="1"/>
  <c r="I40" i="3"/>
  <c r="J40" i="3" s="1"/>
  <c r="M40" i="3" s="1"/>
  <c r="V43" i="5" a="1"/>
  <c r="V43" i="5" s="1"/>
  <c r="Z43" i="5"/>
  <c r="AD44" i="5"/>
  <c r="T44" i="5" s="1"/>
  <c r="O45" i="5"/>
  <c r="P43" i="5"/>
  <c r="Q43" i="5"/>
  <c r="AA43" i="5"/>
  <c r="R43" i="5"/>
  <c r="W43" i="5"/>
  <c r="S43" i="5"/>
  <c r="U43" i="5"/>
  <c r="X43" i="5"/>
  <c r="Y43" i="5"/>
  <c r="E45" i="5"/>
  <c r="F45" i="5"/>
  <c r="I45" i="5"/>
  <c r="J45" i="5"/>
  <c r="G45" i="5"/>
  <c r="M45" i="5"/>
  <c r="K45" i="5"/>
  <c r="AC46" i="5"/>
  <c r="D47" i="5"/>
  <c r="G42" i="3"/>
  <c r="R42" i="3"/>
  <c r="F43" i="3"/>
  <c r="AS44" i="1"/>
  <c r="BD43" i="1"/>
  <c r="BE42" i="1"/>
  <c r="AN43" i="1"/>
  <c r="AJ41" i="1"/>
  <c r="AV42" i="1"/>
  <c r="AW42" i="1" s="1"/>
  <c r="AW41" i="1"/>
  <c r="AO42" i="1"/>
  <c r="AZ42" i="1"/>
  <c r="BA42" i="1" s="1"/>
  <c r="X42" i="1"/>
  <c r="V43" i="3" a="1"/>
  <c r="K43" i="3" a="1"/>
  <c r="Y42" i="1" a="1"/>
  <c r="AB42" i="1" a="1"/>
  <c r="AM91" i="6" l="1"/>
  <c r="AM69" i="6" s="1"/>
  <c r="AM58" i="6" s="1"/>
  <c r="P58" i="6" s="1"/>
  <c r="K64" i="6" s="1" a="1"/>
  <c r="K64" i="6" s="1"/>
  <c r="M27" i="6" s="1" a="1"/>
  <c r="Q32" i="6" s="1"/>
  <c r="H43" i="3" a="1"/>
  <c r="H43" i="3" s="1"/>
  <c r="S43" i="3" a="1"/>
  <c r="S43" i="3" s="1"/>
  <c r="K64" i="7" a="1"/>
  <c r="K64" i="7" s="1"/>
  <c r="M27" i="7" s="1" a="1"/>
  <c r="AB42" i="1"/>
  <c r="Y42" i="1"/>
  <c r="L46" i="5"/>
  <c r="H46" i="5"/>
  <c r="K43" i="3"/>
  <c r="V43" i="3"/>
  <c r="Q44" i="3"/>
  <c r="V44" i="3" s="1" a="1"/>
  <c r="T41" i="3"/>
  <c r="U41" i="3" s="1"/>
  <c r="W41" i="3" s="1"/>
  <c r="L40" i="3"/>
  <c r="N40" i="3" s="1"/>
  <c r="I41" i="3"/>
  <c r="J41" i="3" s="1"/>
  <c r="M41" i="3" s="1"/>
  <c r="U40" i="3"/>
  <c r="W40" i="3" s="1"/>
  <c r="Z44" i="5"/>
  <c r="V44" i="5" a="1"/>
  <c r="V44" i="5" s="1"/>
  <c r="E46" i="5"/>
  <c r="J46" i="5"/>
  <c r="F46" i="5"/>
  <c r="G46" i="5"/>
  <c r="I46" i="5"/>
  <c r="M46" i="5"/>
  <c r="K46" i="5"/>
  <c r="O46" i="5"/>
  <c r="AD45" i="5"/>
  <c r="T45" i="5" s="1"/>
  <c r="D48" i="5"/>
  <c r="AC47" i="5"/>
  <c r="Y44" i="5"/>
  <c r="AA44" i="5"/>
  <c r="S44" i="5"/>
  <c r="U44" i="5"/>
  <c r="W44" i="5"/>
  <c r="X44" i="5"/>
  <c r="P44" i="5"/>
  <c r="Q44" i="5"/>
  <c r="R44" i="5"/>
  <c r="R43" i="3"/>
  <c r="G43" i="3"/>
  <c r="F44" i="3"/>
  <c r="S44" i="3" s="1" a="1"/>
  <c r="S44" i="3" s="1"/>
  <c r="AN44" i="1"/>
  <c r="AZ43" i="1"/>
  <c r="AV43" i="1"/>
  <c r="AW43" i="1" s="1"/>
  <c r="AJ42" i="1"/>
  <c r="AK41" i="1"/>
  <c r="AO43" i="1"/>
  <c r="BD44" i="1"/>
  <c r="BE43" i="1"/>
  <c r="X43" i="1"/>
  <c r="Y43" i="1" a="1"/>
  <c r="AB43" i="1" a="1"/>
  <c r="H44" i="3" l="1" a="1"/>
  <c r="H44" i="3" s="1"/>
  <c r="K44" i="3" a="1"/>
  <c r="K44" i="3" s="1"/>
  <c r="Q30" i="7"/>
  <c r="Q32" i="7"/>
  <c r="M27" i="7"/>
  <c r="Q27" i="7" s="1"/>
  <c r="Q29" i="7"/>
  <c r="Q31" i="7"/>
  <c r="Q28" i="7"/>
  <c r="Q30" i="6"/>
  <c r="Q28" i="6"/>
  <c r="M27" i="6"/>
  <c r="Q27" i="6" s="1"/>
  <c r="Q31" i="6"/>
  <c r="Q29" i="6"/>
  <c r="AB43" i="1"/>
  <c r="Y43" i="1"/>
  <c r="L47" i="5"/>
  <c r="H47" i="5"/>
  <c r="V44" i="3"/>
  <c r="L41" i="3"/>
  <c r="N41" i="3" s="1"/>
  <c r="I42" i="3"/>
  <c r="T42" i="3"/>
  <c r="U42" i="3" s="1"/>
  <c r="W42" i="3" s="1"/>
  <c r="V45" i="5" a="1"/>
  <c r="V45" i="5" s="1"/>
  <c r="Z45" i="5"/>
  <c r="AC48" i="5"/>
  <c r="D49" i="5"/>
  <c r="U45" i="5"/>
  <c r="AA45" i="5"/>
  <c r="W45" i="5"/>
  <c r="X45" i="5"/>
  <c r="Y45" i="5"/>
  <c r="P45" i="5"/>
  <c r="Q45" i="5"/>
  <c r="R45" i="5"/>
  <c r="S45" i="5"/>
  <c r="AD46" i="5"/>
  <c r="T46" i="5" s="1"/>
  <c r="O47" i="5"/>
  <c r="I47" i="5"/>
  <c r="J47" i="5"/>
  <c r="K47" i="5"/>
  <c r="F47" i="5"/>
  <c r="M47" i="5"/>
  <c r="E47" i="5"/>
  <c r="G47" i="5"/>
  <c r="R44" i="3"/>
  <c r="G44" i="3"/>
  <c r="BE44" i="1"/>
  <c r="AO44" i="1"/>
  <c r="AJ43" i="1"/>
  <c r="AK43" i="1" s="1"/>
  <c r="AK42" i="1"/>
  <c r="AV44" i="1"/>
  <c r="AZ44" i="1"/>
  <c r="BA43" i="1"/>
  <c r="X44" i="1"/>
  <c r="Y44" i="1" a="1"/>
  <c r="AB44" i="1" a="1"/>
  <c r="Q23" i="6" l="1"/>
  <c r="Q23" i="7"/>
  <c r="AB44" i="1"/>
  <c r="Y44" i="1"/>
  <c r="L48" i="5"/>
  <c r="H48" i="5"/>
  <c r="T43" i="3"/>
  <c r="U43" i="3"/>
  <c r="W43" i="3" s="1"/>
  <c r="L42" i="3"/>
  <c r="I43" i="3"/>
  <c r="J43" i="3" s="1"/>
  <c r="M43" i="3" s="1"/>
  <c r="J42" i="3"/>
  <c r="M42" i="3" s="1"/>
  <c r="V46" i="5" a="1"/>
  <c r="V46" i="5" s="1"/>
  <c r="Z46" i="5"/>
  <c r="O48" i="5"/>
  <c r="AD47" i="5"/>
  <c r="T47" i="5" s="1"/>
  <c r="P46" i="5"/>
  <c r="Q46" i="5"/>
  <c r="U46" i="5"/>
  <c r="Y46" i="5"/>
  <c r="AA46" i="5"/>
  <c r="S46" i="5"/>
  <c r="R46" i="5"/>
  <c r="W46" i="5"/>
  <c r="X46" i="5"/>
  <c r="AC49" i="5"/>
  <c r="D50" i="5"/>
  <c r="E48" i="5"/>
  <c r="F48" i="5"/>
  <c r="J48" i="5"/>
  <c r="K48" i="5"/>
  <c r="G48" i="5"/>
  <c r="I48" i="5"/>
  <c r="M48" i="5"/>
  <c r="BA44" i="1"/>
  <c r="AW44" i="1"/>
  <c r="AJ44" i="1"/>
  <c r="L49" i="5" l="1"/>
  <c r="H49" i="5"/>
  <c r="L43" i="3"/>
  <c r="N43" i="3" s="1"/>
  <c r="I44" i="3"/>
  <c r="L44" i="3" s="1"/>
  <c r="N42" i="3"/>
  <c r="T44" i="3"/>
  <c r="U44" i="3" s="1"/>
  <c r="W44" i="3" s="1"/>
  <c r="D22" i="3" s="1"/>
  <c r="V47" i="5" a="1"/>
  <c r="V47" i="5" s="1"/>
  <c r="Z47" i="5"/>
  <c r="E49" i="5"/>
  <c r="F49" i="5"/>
  <c r="I49" i="5"/>
  <c r="J49" i="5"/>
  <c r="M49" i="5"/>
  <c r="K49" i="5"/>
  <c r="G49" i="5"/>
  <c r="P47" i="5"/>
  <c r="Q47" i="5"/>
  <c r="S47" i="5"/>
  <c r="R47" i="5"/>
  <c r="U47" i="5"/>
  <c r="W47" i="5"/>
  <c r="X47" i="5"/>
  <c r="Y47" i="5"/>
  <c r="AA47" i="5"/>
  <c r="D51" i="5"/>
  <c r="AC50" i="5"/>
  <c r="O49" i="5"/>
  <c r="AD48" i="5"/>
  <c r="T48" i="5" s="1"/>
  <c r="AI91" i="1"/>
  <c r="AJ80" i="1"/>
  <c r="AJ91" i="1"/>
  <c r="AL80" i="1"/>
  <c r="AM80" i="1"/>
  <c r="AK91" i="1"/>
  <c r="AK80" i="1"/>
  <c r="AL91" i="1"/>
  <c r="AI80" i="1"/>
  <c r="AM91" i="1"/>
  <c r="AK44" i="1"/>
  <c r="AH80" i="1" s="1"/>
  <c r="Z5" i="1"/>
  <c r="L50" i="5" l="1"/>
  <c r="H50" i="5"/>
  <c r="J44" i="3"/>
  <c r="M44" i="3" s="1"/>
  <c r="N44" i="3" s="1"/>
  <c r="D21" i="3" s="1"/>
  <c r="V48" i="5" a="1"/>
  <c r="V48" i="5" s="1"/>
  <c r="Z48" i="5"/>
  <c r="Y48" i="5"/>
  <c r="AA48" i="5"/>
  <c r="S48" i="5"/>
  <c r="R48" i="5"/>
  <c r="W48" i="5"/>
  <c r="P48" i="5"/>
  <c r="Q48" i="5"/>
  <c r="U48" i="5"/>
  <c r="X48" i="5"/>
  <c r="O50" i="5"/>
  <c r="AD49" i="5"/>
  <c r="T49" i="5" s="1"/>
  <c r="I50" i="5"/>
  <c r="J50" i="5"/>
  <c r="K50" i="5"/>
  <c r="M50" i="5"/>
  <c r="G50" i="5"/>
  <c r="F50" i="5"/>
  <c r="E50" i="5"/>
  <c r="D52" i="5"/>
  <c r="AC51" i="5"/>
  <c r="AH91" i="1"/>
  <c r="AH69" i="1" s="1"/>
  <c r="AI69" i="1"/>
  <c r="AK69" i="1"/>
  <c r="AM69" i="1"/>
  <c r="AL69" i="1"/>
  <c r="AJ69" i="1"/>
  <c r="AA5" i="1"/>
  <c r="Z6" i="1"/>
  <c r="AA6" i="1" s="1"/>
  <c r="L51" i="5" l="1"/>
  <c r="H51" i="5"/>
  <c r="D23" i="3"/>
  <c r="D20" i="3"/>
  <c r="V49" i="5" a="1"/>
  <c r="V49" i="5" s="1"/>
  <c r="Z49" i="5"/>
  <c r="U49" i="5"/>
  <c r="AA49" i="5"/>
  <c r="Y49" i="5"/>
  <c r="W49" i="5"/>
  <c r="S49" i="5"/>
  <c r="P49" i="5"/>
  <c r="R49" i="5"/>
  <c r="Q49" i="5"/>
  <c r="X49" i="5"/>
  <c r="O51" i="5"/>
  <c r="AD50" i="5"/>
  <c r="T50" i="5" s="1"/>
  <c r="I51" i="5"/>
  <c r="J51" i="5"/>
  <c r="K51" i="5"/>
  <c r="M51" i="5"/>
  <c r="F51" i="5"/>
  <c r="G51" i="5"/>
  <c r="E51" i="5"/>
  <c r="AC52" i="5"/>
  <c r="D53" i="5"/>
  <c r="Z7" i="1"/>
  <c r="L52" i="5" l="1"/>
  <c r="H52" i="5"/>
  <c r="D25" i="3"/>
  <c r="D26" i="3" s="1"/>
  <c r="D24" i="3"/>
  <c r="V50" i="5" a="1"/>
  <c r="V50" i="5" s="1"/>
  <c r="Z50" i="5"/>
  <c r="P50" i="5"/>
  <c r="Q50" i="5"/>
  <c r="U50" i="5"/>
  <c r="W50" i="5"/>
  <c r="X50" i="5"/>
  <c r="R50" i="5"/>
  <c r="S50" i="5"/>
  <c r="Y50" i="5"/>
  <c r="AA50" i="5"/>
  <c r="O52" i="5"/>
  <c r="AD51" i="5"/>
  <c r="T51" i="5" s="1"/>
  <c r="E52" i="5"/>
  <c r="F52" i="5"/>
  <c r="J52" i="5"/>
  <c r="K52" i="5"/>
  <c r="M52" i="5"/>
  <c r="G52" i="5"/>
  <c r="I52" i="5"/>
  <c r="AC53" i="5"/>
  <c r="D54" i="5"/>
  <c r="AA7" i="1"/>
  <c r="Z8" i="1"/>
  <c r="L53" i="5" l="1"/>
  <c r="H53" i="5"/>
  <c r="Z51" i="5"/>
  <c r="V51" i="5" a="1"/>
  <c r="V51" i="5" s="1"/>
  <c r="P51" i="5"/>
  <c r="Q51" i="5"/>
  <c r="X51" i="5"/>
  <c r="S51" i="5"/>
  <c r="R51" i="5"/>
  <c r="Y51" i="5"/>
  <c r="U51" i="5"/>
  <c r="AA51" i="5"/>
  <c r="W51" i="5"/>
  <c r="O53" i="5"/>
  <c r="AD52" i="5"/>
  <c r="T52" i="5" s="1"/>
  <c r="E53" i="5"/>
  <c r="F53" i="5"/>
  <c r="M53" i="5"/>
  <c r="K53" i="5"/>
  <c r="G53" i="5"/>
  <c r="I53" i="5"/>
  <c r="J53" i="5"/>
  <c r="D55" i="5"/>
  <c r="AC55" i="5" s="1"/>
  <c r="AC54" i="5"/>
  <c r="Y75" i="1"/>
  <c r="N14" i="1"/>
  <c r="Y64" i="1"/>
  <c r="AA8" i="1"/>
  <c r="S14" i="1" s="1"/>
  <c r="Z9" i="1"/>
  <c r="L54" i="5" l="1"/>
  <c r="H54" i="5"/>
  <c r="L55" i="5"/>
  <c r="H55" i="5"/>
  <c r="V52" i="5" a="1"/>
  <c r="V52" i="5" s="1"/>
  <c r="Z52" i="5"/>
  <c r="Y52" i="5"/>
  <c r="AA52" i="5"/>
  <c r="W52" i="5"/>
  <c r="P52" i="5"/>
  <c r="S52" i="5"/>
  <c r="Q52" i="5"/>
  <c r="R52" i="5"/>
  <c r="X52" i="5"/>
  <c r="U52" i="5"/>
  <c r="O54" i="5"/>
  <c r="AD53" i="5"/>
  <c r="T53" i="5" s="1"/>
  <c r="M54" i="5"/>
  <c r="E54" i="5"/>
  <c r="F54" i="5"/>
  <c r="G54" i="5"/>
  <c r="I54" i="5"/>
  <c r="J54" i="5"/>
  <c r="K54" i="5"/>
  <c r="I55" i="5"/>
  <c r="J55" i="5"/>
  <c r="K55" i="5"/>
  <c r="F55" i="5"/>
  <c r="E55" i="5"/>
  <c r="G55" i="5"/>
  <c r="M55" i="5"/>
  <c r="AA9" i="1"/>
  <c r="Z10" i="1"/>
  <c r="P14" i="1"/>
  <c r="T14" i="1" s="1"/>
  <c r="O14" i="1"/>
  <c r="Z53" i="5" l="1"/>
  <c r="V53" i="5" a="1"/>
  <c r="V53" i="5" s="1"/>
  <c r="AH6" i="5"/>
  <c r="C16" i="5" s="1"/>
  <c r="AD54" i="5"/>
  <c r="T54" i="5" s="1"/>
  <c r="O55" i="5"/>
  <c r="AD55" i="5" s="1"/>
  <c r="T55" i="5" s="1"/>
  <c r="AH15" i="5"/>
  <c r="AH13" i="5"/>
  <c r="U53" i="5"/>
  <c r="AA53" i="5"/>
  <c r="R53" i="5"/>
  <c r="P53" i="5"/>
  <c r="Q53" i="5"/>
  <c r="S53" i="5"/>
  <c r="W53" i="5"/>
  <c r="X53" i="5"/>
  <c r="Y53" i="5"/>
  <c r="U14" i="1"/>
  <c r="Y53" i="1"/>
  <c r="Q14" i="1"/>
  <c r="AA10" i="1"/>
  <c r="Z11" i="1"/>
  <c r="Z54" i="5" l="1"/>
  <c r="V54" i="5" a="1"/>
  <c r="V54" i="5" s="1"/>
  <c r="V55" i="5" a="1"/>
  <c r="V55" i="5" s="1"/>
  <c r="Z55" i="5"/>
  <c r="AH21" i="5"/>
  <c r="C21" i="5" s="1"/>
  <c r="P55" i="5"/>
  <c r="Q55" i="5"/>
  <c r="S55" i="5"/>
  <c r="W55" i="5"/>
  <c r="X55" i="5"/>
  <c r="U55" i="5"/>
  <c r="Y55" i="5"/>
  <c r="AA55" i="5"/>
  <c r="AH7" i="5" s="1"/>
  <c r="R55" i="5"/>
  <c r="P54" i="5"/>
  <c r="Q54" i="5"/>
  <c r="U54" i="5"/>
  <c r="R54" i="5"/>
  <c r="X54" i="5"/>
  <c r="S54" i="5"/>
  <c r="W54" i="5"/>
  <c r="Y54" i="5"/>
  <c r="AA54" i="5"/>
  <c r="V14" i="1"/>
  <c r="P27" i="1" s="1"/>
  <c r="AH53" i="1"/>
  <c r="K53" i="1" s="1"/>
  <c r="Z12" i="1"/>
  <c r="AA11" i="1"/>
  <c r="AH8" i="5" l="1"/>
  <c r="C17" i="5"/>
  <c r="AH10" i="5"/>
  <c r="AH9" i="5"/>
  <c r="AH14" i="5"/>
  <c r="AH16" i="5"/>
  <c r="Z65" i="1"/>
  <c r="Z76" i="1"/>
  <c r="Z13" i="1"/>
  <c r="AA12" i="1"/>
  <c r="Y76" i="1" s="1"/>
  <c r="N15" i="1"/>
  <c r="C15" i="5" l="1"/>
  <c r="C18" i="5"/>
  <c r="AK6" i="5" s="1"/>
  <c r="AK7" i="5" s="1"/>
  <c r="AH20" i="5"/>
  <c r="AH19" i="5"/>
  <c r="Y65" i="1"/>
  <c r="S15" i="1"/>
  <c r="P15" i="1"/>
  <c r="O15" i="1"/>
  <c r="AA13" i="1"/>
  <c r="Z14" i="1"/>
  <c r="AH22" i="5" l="1"/>
  <c r="C23" i="5" s="1"/>
  <c r="C24" i="5" s="1"/>
  <c r="Y54" i="1"/>
  <c r="Z54" i="1"/>
  <c r="T15" i="1"/>
  <c r="U15" i="1" s="1"/>
  <c r="Q15" i="1"/>
  <c r="AA14" i="1"/>
  <c r="Z15" i="1"/>
  <c r="V15" i="1" l="1"/>
  <c r="P28" i="1" s="1"/>
  <c r="AI54" i="1"/>
  <c r="L54" i="1" s="1"/>
  <c r="AH54" i="1"/>
  <c r="K54" i="1" s="1"/>
  <c r="Z16" i="1"/>
  <c r="AA15" i="1"/>
  <c r="AA66" i="1" l="1"/>
  <c r="Z17" i="1"/>
  <c r="N16" i="1"/>
  <c r="AA77" i="1"/>
  <c r="AA16" i="1"/>
  <c r="Z77" i="1" s="1"/>
  <c r="Y77" i="1" l="1"/>
  <c r="AA17" i="1"/>
  <c r="Z18" i="1"/>
  <c r="Y66" i="1"/>
  <c r="Z66" i="1"/>
  <c r="O16" i="1"/>
  <c r="S16" i="1"/>
  <c r="P16" i="1"/>
  <c r="Z19" i="1" l="1"/>
  <c r="AA19" i="1" s="1"/>
  <c r="AA18" i="1"/>
  <c r="Z55" i="1"/>
  <c r="Y55" i="1"/>
  <c r="AA55" i="1"/>
  <c r="T16" i="1"/>
  <c r="U16" i="1" s="1"/>
  <c r="Q16" i="1"/>
  <c r="V16" i="1" l="1"/>
  <c r="P29" i="1" s="1"/>
  <c r="AI55" i="1"/>
  <c r="L55" i="1" s="1"/>
  <c r="AJ55" i="1"/>
  <c r="M55" i="1" s="1"/>
  <c r="AH55" i="1"/>
  <c r="K55" i="1" s="1"/>
  <c r="Z20" i="1"/>
  <c r="AB67" i="1" s="1"/>
  <c r="AB78" i="1" l="1"/>
  <c r="AA20" i="1"/>
  <c r="Z78" i="1" s="1"/>
  <c r="N17" i="1"/>
  <c r="Z21" i="1"/>
  <c r="Z22" i="1" s="1"/>
  <c r="AA67" i="1" l="1"/>
  <c r="Y78" i="1"/>
  <c r="Z67" i="1"/>
  <c r="O17" i="1"/>
  <c r="Y67" i="1"/>
  <c r="P17" i="1"/>
  <c r="S17" i="1"/>
  <c r="AA21" i="1"/>
  <c r="AA78" i="1"/>
  <c r="AA22" i="1"/>
  <c r="Z23" i="1"/>
  <c r="Z24" i="1" s="1"/>
  <c r="N18" i="1" s="1"/>
  <c r="T17" i="1" l="1"/>
  <c r="U17" i="1" s="1"/>
  <c r="AB56" i="1"/>
  <c r="AA56" i="1"/>
  <c r="Y56" i="1"/>
  <c r="Z56" i="1"/>
  <c r="Q17" i="1"/>
  <c r="AA23" i="1"/>
  <c r="AC68" i="1"/>
  <c r="AC79" i="1"/>
  <c r="Z25" i="1"/>
  <c r="AA24" i="1"/>
  <c r="V17" i="1" l="1"/>
  <c r="P30" i="1" s="1"/>
  <c r="AJ56" i="1"/>
  <c r="M56" i="1" s="1"/>
  <c r="AI56" i="1"/>
  <c r="L56" i="1" s="1"/>
  <c r="AH56" i="1"/>
  <c r="K56" i="1" s="1"/>
  <c r="AK56" i="1"/>
  <c r="N56" i="1" s="1"/>
  <c r="Y79" i="1"/>
  <c r="Z79" i="1"/>
  <c r="AB68" i="1"/>
  <c r="AB79" i="1"/>
  <c r="AA79" i="1"/>
  <c r="Y68" i="1"/>
  <c r="Z68" i="1"/>
  <c r="AA68" i="1"/>
  <c r="S18" i="1"/>
  <c r="O18" i="1"/>
  <c r="P18" i="1"/>
  <c r="Z26" i="1"/>
  <c r="AA25" i="1"/>
  <c r="Y57" i="1" l="1"/>
  <c r="Z57" i="1"/>
  <c r="AA57" i="1"/>
  <c r="AB57" i="1"/>
  <c r="AC57" i="1"/>
  <c r="T18" i="1"/>
  <c r="U18" i="1" s="1"/>
  <c r="AA26" i="1"/>
  <c r="Z27" i="1"/>
  <c r="Q18" i="1"/>
  <c r="V18" i="1" l="1"/>
  <c r="P31" i="1" s="1"/>
  <c r="AL57" i="1"/>
  <c r="O57" i="1" s="1"/>
  <c r="AJ57" i="1"/>
  <c r="M57" i="1" s="1"/>
  <c r="AH57" i="1"/>
  <c r="K57" i="1" s="1"/>
  <c r="AI57" i="1"/>
  <c r="L57" i="1" s="1"/>
  <c r="AK57" i="1"/>
  <c r="N57" i="1" s="1"/>
  <c r="Z28" i="1"/>
  <c r="AA27" i="1"/>
  <c r="Z29" i="1" l="1"/>
  <c r="AA28" i="1"/>
  <c r="Z30" i="1" l="1"/>
  <c r="AA29" i="1"/>
  <c r="Z31" i="1" l="1"/>
  <c r="AA30" i="1"/>
  <c r="Z32" i="1" l="1"/>
  <c r="AA31" i="1"/>
  <c r="Z33" i="1" l="1"/>
  <c r="AA32" i="1"/>
  <c r="Z34" i="1" l="1"/>
  <c r="AA33" i="1"/>
  <c r="Z35" i="1" l="1"/>
  <c r="AA34" i="1"/>
  <c r="Z36" i="1" l="1"/>
  <c r="AA35" i="1"/>
  <c r="Z37" i="1" l="1"/>
  <c r="AA36" i="1"/>
  <c r="Z38" i="1" l="1"/>
  <c r="AA37" i="1"/>
  <c r="Z39" i="1" l="1"/>
  <c r="AA38" i="1"/>
  <c r="Z40" i="1" l="1"/>
  <c r="AA39" i="1"/>
  <c r="Z41" i="1" l="1"/>
  <c r="AA40" i="1"/>
  <c r="Z42" i="1" l="1"/>
  <c r="AA41" i="1"/>
  <c r="Z43" i="1" l="1"/>
  <c r="AA42" i="1"/>
  <c r="AA43" i="1" l="1"/>
  <c r="Z44" i="1"/>
  <c r="AD69" i="1" l="1"/>
  <c r="AD80" i="1"/>
  <c r="N19" i="1"/>
  <c r="AA44" i="1"/>
  <c r="Y80" i="1" s="1"/>
  <c r="AC80" i="1" l="1"/>
  <c r="Z80" i="1"/>
  <c r="AB80" i="1"/>
  <c r="AA80" i="1"/>
  <c r="Y69" i="1"/>
  <c r="Z69" i="1"/>
  <c r="AA69" i="1"/>
  <c r="AB69" i="1"/>
  <c r="AC69" i="1"/>
  <c r="S19" i="1"/>
  <c r="O19" i="1"/>
  <c r="P19" i="1"/>
  <c r="T19" i="1" l="1"/>
  <c r="U19" i="1" s="1"/>
  <c r="AA58" i="1"/>
  <c r="AB58" i="1"/>
  <c r="AC58" i="1"/>
  <c r="AD58" i="1"/>
  <c r="Z58" i="1"/>
  <c r="Y58" i="1"/>
  <c r="Q19" i="1"/>
  <c r="V19" i="1" l="1"/>
  <c r="P32" i="1" s="1"/>
  <c r="AI58" i="1"/>
  <c r="L58" i="1" s="1"/>
  <c r="AL58" i="1"/>
  <c r="O58" i="1" s="1"/>
  <c r="AJ58" i="1"/>
  <c r="M58" i="1" s="1"/>
  <c r="AM58" i="1"/>
  <c r="P58" i="1" s="1"/>
  <c r="AK58" i="1"/>
  <c r="N58" i="1" s="1"/>
  <c r="AH58" i="1"/>
  <c r="K58" i="1" s="1"/>
  <c r="K64" i="1" l="1" a="1"/>
  <c r="K64" i="1" s="1"/>
  <c r="M27" i="1" s="1" a="1"/>
  <c r="Q32" i="1" s="1"/>
  <c r="M27" i="1" l="1"/>
  <c r="Q27" i="1" s="1"/>
  <c r="Q31" i="1"/>
  <c r="Q29" i="1"/>
  <c r="Q28" i="1"/>
  <c r="Q30" i="1"/>
  <c r="Q2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<sst xmlns="http://schemas.openxmlformats.org/spreadsheetml/2006/main" count="1272" uniqueCount="362">
  <si>
    <t>CreditName</t>
  </si>
  <si>
    <t>RecoveryRate, R</t>
  </si>
  <si>
    <t>Premium</t>
  </si>
  <si>
    <t>PremiumFrequency</t>
  </si>
  <si>
    <t>QUARTERLY</t>
  </si>
  <si>
    <r>
      <t xml:space="preserve">PremiumYearFraction,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t</t>
    </r>
  </si>
  <si>
    <t>Time, T</t>
  </si>
  <si>
    <t>Coupon</t>
  </si>
  <si>
    <t>P(Survive), Q(T)</t>
  </si>
  <si>
    <t>LossGivenDefault, LGD</t>
  </si>
  <si>
    <t>Tenor</t>
  </si>
  <si>
    <t>1Y</t>
  </si>
  <si>
    <t>2Y</t>
  </si>
  <si>
    <t>3Y</t>
  </si>
  <si>
    <t>4Y</t>
  </si>
  <si>
    <t>5Y</t>
  </si>
  <si>
    <t>10Y</t>
  </si>
  <si>
    <t>Currency</t>
  </si>
  <si>
    <t>Notional</t>
  </si>
  <si>
    <t>USD</t>
  </si>
  <si>
    <t>Hazard Rate</t>
  </si>
  <si>
    <t>Time, t</t>
  </si>
  <si>
    <t>DiscFactor</t>
  </si>
  <si>
    <t>Discount Factors</t>
  </si>
  <si>
    <t>P(Default)</t>
  </si>
  <si>
    <t>Accrued</t>
  </si>
  <si>
    <t>Protection</t>
  </si>
  <si>
    <t>Credit Spread</t>
  </si>
  <si>
    <t>Total PV</t>
  </si>
  <si>
    <t>Epsilon</t>
  </si>
  <si>
    <t>Term</t>
  </si>
  <si>
    <r>
      <t>X</t>
    </r>
    <r>
      <rPr>
        <vertAlign val="subscript"/>
        <sz val="11"/>
        <color theme="1"/>
        <rFont val="Calibri"/>
        <family val="2"/>
        <scheme val="minor"/>
      </rPr>
      <t>0</t>
    </r>
  </si>
  <si>
    <r>
      <t>X</t>
    </r>
    <r>
      <rPr>
        <vertAlign val="subscript"/>
        <sz val="11"/>
        <color theme="1"/>
        <rFont val="Calibri"/>
        <family val="2"/>
        <scheme val="minor"/>
      </rPr>
      <t>1</t>
    </r>
  </si>
  <si>
    <r>
      <t>X</t>
    </r>
    <r>
      <rPr>
        <vertAlign val="subscript"/>
        <sz val="11"/>
        <color theme="1"/>
        <rFont val="Calibri"/>
        <family val="2"/>
        <scheme val="minor"/>
      </rPr>
      <t>2</t>
    </r>
  </si>
  <si>
    <r>
      <t>X</t>
    </r>
    <r>
      <rPr>
        <vertAlign val="subscript"/>
        <sz val="11"/>
        <color theme="1"/>
        <rFont val="Calibri"/>
        <family val="2"/>
        <scheme val="minor"/>
      </rPr>
      <t>3</t>
    </r>
  </si>
  <si>
    <r>
      <t>X</t>
    </r>
    <r>
      <rPr>
        <vertAlign val="subscript"/>
        <sz val="11"/>
        <color theme="1"/>
        <rFont val="Calibri"/>
        <family val="2"/>
        <scheme val="minor"/>
      </rPr>
      <t>4</t>
    </r>
  </si>
  <si>
    <r>
      <t>X</t>
    </r>
    <r>
      <rPr>
        <vertAlign val="subscript"/>
        <sz val="11"/>
        <color theme="1"/>
        <rFont val="Calibri"/>
        <family val="2"/>
        <scheme val="minor"/>
      </rPr>
      <t>5</t>
    </r>
  </si>
  <si>
    <r>
      <t>X</t>
    </r>
    <r>
      <rPr>
        <vertAlign val="subscript"/>
        <sz val="11"/>
        <color theme="1"/>
        <rFont val="Calibri"/>
        <family val="2"/>
        <scheme val="minor"/>
      </rPr>
      <t>6</t>
    </r>
  </si>
  <si>
    <r>
      <t>X</t>
    </r>
    <r>
      <rPr>
        <vertAlign val="subscript"/>
        <sz val="11"/>
        <color theme="1"/>
        <rFont val="Calibri"/>
        <family val="2"/>
        <scheme val="minor"/>
      </rPr>
      <t>7</t>
    </r>
  </si>
  <si>
    <r>
      <t>X</t>
    </r>
    <r>
      <rPr>
        <vertAlign val="subscript"/>
        <sz val="11"/>
        <color theme="1"/>
        <rFont val="Calibri"/>
        <family val="2"/>
        <scheme val="minor"/>
      </rPr>
      <t>8</t>
    </r>
  </si>
  <si>
    <r>
      <t>X</t>
    </r>
    <r>
      <rPr>
        <vertAlign val="subscript"/>
        <sz val="11"/>
        <color theme="1"/>
        <rFont val="Calibri"/>
        <family val="2"/>
        <scheme val="minor"/>
      </rPr>
      <t>9</t>
    </r>
  </si>
  <si>
    <r>
      <t>X</t>
    </r>
    <r>
      <rPr>
        <vertAlign val="subscript"/>
        <sz val="11"/>
        <color theme="1"/>
        <rFont val="Calibri"/>
        <family val="2"/>
        <scheme val="minor"/>
      </rPr>
      <t>10</t>
    </r>
  </si>
  <si>
    <t>Solver Iteration Results</t>
  </si>
  <si>
    <t>RMSE</t>
  </si>
  <si>
    <r>
      <t>X</t>
    </r>
    <r>
      <rPr>
        <vertAlign val="subscript"/>
        <sz val="11"/>
        <color theme="1"/>
        <rFont val="Calibri"/>
        <family val="2"/>
        <scheme val="minor"/>
      </rPr>
      <t>n+1</t>
    </r>
    <r>
      <rPr>
        <sz val="11"/>
        <color theme="1"/>
        <rFont val="Calibri"/>
        <family val="2"/>
        <scheme val="minor"/>
      </rPr>
      <t xml:space="preserve"> =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- J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 xml:space="preserve"> f(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</t>
    </r>
  </si>
  <si>
    <r>
      <t>X</t>
    </r>
    <r>
      <rPr>
        <vertAlign val="subscript"/>
        <sz val="11"/>
        <color theme="1"/>
        <rFont val="Calibri"/>
        <family val="2"/>
        <scheme val="minor"/>
      </rPr>
      <t>n+1</t>
    </r>
  </si>
  <si>
    <r>
      <t>X</t>
    </r>
    <r>
      <rPr>
        <vertAlign val="subscript"/>
        <sz val="11"/>
        <color theme="1"/>
        <rFont val="Calibri"/>
        <family val="2"/>
        <scheme val="minor"/>
      </rPr>
      <t>n</t>
    </r>
  </si>
  <si>
    <r>
      <t>f(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</t>
    </r>
  </si>
  <si>
    <t>Time (Years)</t>
  </si>
  <si>
    <t>Risky Annuity</t>
  </si>
  <si>
    <t>CDS PVs</t>
  </si>
  <si>
    <t>Inverse Jacobian, dH/dP</t>
  </si>
  <si>
    <t>dP/dH</t>
  </si>
  <si>
    <t>dH/dP</t>
  </si>
  <si>
    <r>
      <t>dH</t>
    </r>
    <r>
      <rPr>
        <vertAlign val="subscript"/>
        <sz val="11"/>
        <color theme="1"/>
        <rFont val="Calibri"/>
        <family val="2"/>
        <scheme val="minor"/>
      </rPr>
      <t>1Y</t>
    </r>
  </si>
  <si>
    <r>
      <t>dH</t>
    </r>
    <r>
      <rPr>
        <vertAlign val="subscript"/>
        <sz val="11"/>
        <color theme="1"/>
        <rFont val="Calibri"/>
        <family val="2"/>
        <scheme val="minor"/>
      </rPr>
      <t>2Y</t>
    </r>
  </si>
  <si>
    <r>
      <t>dH</t>
    </r>
    <r>
      <rPr>
        <vertAlign val="subscript"/>
        <sz val="11"/>
        <color theme="1"/>
        <rFont val="Calibri"/>
        <family val="2"/>
        <scheme val="minor"/>
      </rPr>
      <t>3Y</t>
    </r>
  </si>
  <si>
    <r>
      <t>dH</t>
    </r>
    <r>
      <rPr>
        <vertAlign val="subscript"/>
        <sz val="11"/>
        <color theme="1"/>
        <rFont val="Calibri"/>
        <family val="2"/>
        <scheme val="minor"/>
      </rPr>
      <t>4Y</t>
    </r>
  </si>
  <si>
    <r>
      <t>dH</t>
    </r>
    <r>
      <rPr>
        <vertAlign val="subscript"/>
        <sz val="11"/>
        <color theme="1"/>
        <rFont val="Calibri"/>
        <family val="2"/>
        <scheme val="minor"/>
      </rPr>
      <t>5Y</t>
    </r>
  </si>
  <si>
    <r>
      <t>dH</t>
    </r>
    <r>
      <rPr>
        <vertAlign val="subscript"/>
        <sz val="11"/>
        <color theme="1"/>
        <rFont val="Calibri"/>
        <family val="2"/>
        <scheme val="minor"/>
      </rPr>
      <t>10Y</t>
    </r>
  </si>
  <si>
    <r>
      <t>dP</t>
    </r>
    <r>
      <rPr>
        <vertAlign val="subscript"/>
        <sz val="11"/>
        <color theme="1"/>
        <rFont val="Calibri"/>
        <family val="2"/>
        <scheme val="minor"/>
      </rPr>
      <t>1Y</t>
    </r>
  </si>
  <si>
    <r>
      <t>dP</t>
    </r>
    <r>
      <rPr>
        <vertAlign val="subscript"/>
        <sz val="11"/>
        <color theme="1"/>
        <rFont val="Calibri"/>
        <family val="2"/>
        <scheme val="minor"/>
      </rPr>
      <t>2Y</t>
    </r>
  </si>
  <si>
    <r>
      <t>dP</t>
    </r>
    <r>
      <rPr>
        <vertAlign val="subscript"/>
        <sz val="11"/>
        <color theme="1"/>
        <rFont val="Calibri"/>
        <family val="2"/>
        <scheme val="minor"/>
      </rPr>
      <t>3Y</t>
    </r>
  </si>
  <si>
    <r>
      <t>dP</t>
    </r>
    <r>
      <rPr>
        <vertAlign val="subscript"/>
        <sz val="11"/>
        <color theme="1"/>
        <rFont val="Calibri"/>
        <family val="2"/>
        <scheme val="minor"/>
      </rPr>
      <t>4Y</t>
    </r>
  </si>
  <si>
    <r>
      <t>dP</t>
    </r>
    <r>
      <rPr>
        <vertAlign val="subscript"/>
        <sz val="11"/>
        <color theme="1"/>
        <rFont val="Calibri"/>
        <family val="2"/>
        <scheme val="minor"/>
      </rPr>
      <t>5Y</t>
    </r>
  </si>
  <si>
    <r>
      <t>dP</t>
    </r>
    <r>
      <rPr>
        <vertAlign val="subscript"/>
        <sz val="11"/>
        <color theme="1"/>
        <rFont val="Calibri"/>
        <family val="2"/>
        <scheme val="minor"/>
      </rPr>
      <t>10Y</t>
    </r>
  </si>
  <si>
    <t>Calibration Results</t>
  </si>
  <si>
    <t>Par Spread (bps)</t>
  </si>
  <si>
    <t>CDS Par Spreads</t>
  </si>
  <si>
    <t>+/-</t>
  </si>
  <si>
    <t>dProtection/dH</t>
  </si>
  <si>
    <t>dRiskyAnnuity/dH</t>
  </si>
  <si>
    <r>
      <t>dPROT</t>
    </r>
    <r>
      <rPr>
        <vertAlign val="subscript"/>
        <sz val="11"/>
        <color theme="1"/>
        <rFont val="Calibri"/>
        <family val="2"/>
        <scheme val="minor"/>
      </rPr>
      <t>1Y</t>
    </r>
  </si>
  <si>
    <r>
      <t>dPROT</t>
    </r>
    <r>
      <rPr>
        <vertAlign val="subscript"/>
        <sz val="11"/>
        <color theme="1"/>
        <rFont val="Calibri"/>
        <family val="2"/>
        <scheme val="minor"/>
      </rPr>
      <t>2Y</t>
    </r>
  </si>
  <si>
    <r>
      <t>dPROT</t>
    </r>
    <r>
      <rPr>
        <vertAlign val="subscript"/>
        <sz val="11"/>
        <color theme="1"/>
        <rFont val="Calibri"/>
        <family val="2"/>
        <scheme val="minor"/>
      </rPr>
      <t>3Y</t>
    </r>
  </si>
  <si>
    <r>
      <t>dPROT</t>
    </r>
    <r>
      <rPr>
        <vertAlign val="subscript"/>
        <sz val="11"/>
        <color theme="1"/>
        <rFont val="Calibri"/>
        <family val="2"/>
        <scheme val="minor"/>
      </rPr>
      <t>4Y</t>
    </r>
  </si>
  <si>
    <r>
      <t>dPROT</t>
    </r>
    <r>
      <rPr>
        <vertAlign val="subscript"/>
        <sz val="11"/>
        <color theme="1"/>
        <rFont val="Calibri"/>
        <family val="2"/>
        <scheme val="minor"/>
      </rPr>
      <t>5Y</t>
    </r>
  </si>
  <si>
    <r>
      <t>dPROT</t>
    </r>
    <r>
      <rPr>
        <vertAlign val="subscript"/>
        <sz val="11"/>
        <color theme="1"/>
        <rFont val="Calibri"/>
        <family val="2"/>
        <scheme val="minor"/>
      </rPr>
      <t>10Y</t>
    </r>
  </si>
  <si>
    <r>
      <t>dRA</t>
    </r>
    <r>
      <rPr>
        <vertAlign val="subscript"/>
        <sz val="11"/>
        <color theme="1"/>
        <rFont val="Calibri"/>
        <family val="2"/>
        <scheme val="minor"/>
      </rPr>
      <t>1Y</t>
    </r>
  </si>
  <si>
    <r>
      <t>dRA</t>
    </r>
    <r>
      <rPr>
        <vertAlign val="subscript"/>
        <sz val="11"/>
        <color theme="1"/>
        <rFont val="Calibri"/>
        <family val="2"/>
        <scheme val="minor"/>
      </rPr>
      <t>2Y</t>
    </r>
  </si>
  <si>
    <r>
      <t>dRA</t>
    </r>
    <r>
      <rPr>
        <vertAlign val="subscript"/>
        <sz val="11"/>
        <color theme="1"/>
        <rFont val="Calibri"/>
        <family val="2"/>
        <scheme val="minor"/>
      </rPr>
      <t>3Y</t>
    </r>
  </si>
  <si>
    <r>
      <t>dRA</t>
    </r>
    <r>
      <rPr>
        <vertAlign val="subscript"/>
        <sz val="11"/>
        <color theme="1"/>
        <rFont val="Calibri"/>
        <family val="2"/>
        <scheme val="minor"/>
      </rPr>
      <t>4Y</t>
    </r>
  </si>
  <si>
    <r>
      <t>dRA</t>
    </r>
    <r>
      <rPr>
        <vertAlign val="subscript"/>
        <sz val="11"/>
        <color theme="1"/>
        <rFont val="Calibri"/>
        <family val="2"/>
        <scheme val="minor"/>
      </rPr>
      <t>5Y</t>
    </r>
  </si>
  <si>
    <r>
      <t>dRA</t>
    </r>
    <r>
      <rPr>
        <vertAlign val="subscript"/>
        <sz val="11"/>
        <color theme="1"/>
        <rFont val="Calibri"/>
        <family val="2"/>
        <scheme val="minor"/>
      </rPr>
      <t>10Y</t>
    </r>
  </si>
  <si>
    <t>dPROT/dH</t>
  </si>
  <si>
    <t>dRA/dH</t>
  </si>
  <si>
    <r>
      <rPr>
        <b/>
        <sz val="11"/>
        <color rgb="FF0000FF"/>
        <rFont val="Calibri"/>
        <family val="2"/>
        <scheme val="minor"/>
      </rPr>
      <t>Numerical</t>
    </r>
    <r>
      <rPr>
        <b/>
        <sz val="11"/>
        <color theme="1"/>
        <rFont val="Calibri"/>
        <family val="2"/>
        <scheme val="minor"/>
      </rPr>
      <t xml:space="preserve"> Jacobian, dP/dH</t>
    </r>
  </si>
  <si>
    <r>
      <rPr>
        <b/>
        <sz val="11"/>
        <color rgb="FF0000FF"/>
        <rFont val="Calibri"/>
        <family val="2"/>
        <scheme val="minor"/>
      </rPr>
      <t>Analytical</t>
    </r>
    <r>
      <rPr>
        <b/>
        <sz val="11"/>
        <color theme="1"/>
        <rFont val="Calibri"/>
        <family val="2"/>
        <scheme val="minor"/>
      </rPr>
      <t xml:space="preserve"> Jacobian, dP/dH</t>
    </r>
  </si>
  <si>
    <t>Bump 1Y</t>
  </si>
  <si>
    <t>Bump 2Y</t>
  </si>
  <si>
    <t>Bump 4Y</t>
  </si>
  <si>
    <t>Bump 5Y</t>
  </si>
  <si>
    <t>Bump 3 Y</t>
  </si>
  <si>
    <t>Hazard Rates &amp; Probabilities</t>
  </si>
  <si>
    <t>Shifted-Hazard</t>
  </si>
  <si>
    <t>Bump 10Y</t>
  </si>
  <si>
    <t>Rate</t>
  </si>
  <si>
    <t>Shifted Protection PV</t>
  </si>
  <si>
    <t>Shifted Risky Annuity</t>
  </si>
  <si>
    <r>
      <t>ParRate</t>
    </r>
    <r>
      <rPr>
        <vertAlign val="subscript"/>
        <sz val="11"/>
        <color theme="1"/>
        <rFont val="Calibri"/>
        <family val="2"/>
        <scheme val="minor"/>
      </rPr>
      <t>1Y</t>
    </r>
  </si>
  <si>
    <r>
      <t>ParRate</t>
    </r>
    <r>
      <rPr>
        <vertAlign val="subscript"/>
        <sz val="11"/>
        <color theme="1"/>
        <rFont val="Calibri"/>
        <family val="2"/>
        <scheme val="minor"/>
      </rPr>
      <t>2Y</t>
    </r>
  </si>
  <si>
    <r>
      <t>ParRate</t>
    </r>
    <r>
      <rPr>
        <vertAlign val="subscript"/>
        <sz val="11"/>
        <color theme="1"/>
        <rFont val="Calibri"/>
        <family val="2"/>
        <scheme val="minor"/>
      </rPr>
      <t>3Y</t>
    </r>
  </si>
  <si>
    <r>
      <t>ParRate</t>
    </r>
    <r>
      <rPr>
        <vertAlign val="subscript"/>
        <sz val="11"/>
        <color theme="1"/>
        <rFont val="Calibri"/>
        <family val="2"/>
        <scheme val="minor"/>
      </rPr>
      <t>4Y</t>
    </r>
  </si>
  <si>
    <r>
      <t>ParRate</t>
    </r>
    <r>
      <rPr>
        <vertAlign val="subscript"/>
        <sz val="11"/>
        <color theme="1"/>
        <rFont val="Calibri"/>
        <family val="2"/>
        <scheme val="minor"/>
      </rPr>
      <t>5Y</t>
    </r>
  </si>
  <si>
    <r>
      <t>ParRate</t>
    </r>
    <r>
      <rPr>
        <vertAlign val="subscript"/>
        <sz val="11"/>
        <color theme="1"/>
        <rFont val="Calibri"/>
        <family val="2"/>
        <scheme val="minor"/>
      </rPr>
      <t>10Y</t>
    </r>
  </si>
  <si>
    <t>Par Rate</t>
  </si>
  <si>
    <t>Shifted Par Rate %</t>
  </si>
  <si>
    <t>Shift Size</t>
  </si>
  <si>
    <t>NUMERICAL</t>
  </si>
  <si>
    <t>&lt;--- Can be computed numerically or analytically</t>
  </si>
  <si>
    <t>Par Spread (%)</t>
  </si>
  <si>
    <t>Premium Leg</t>
  </si>
  <si>
    <t>CreditSpread (bps)</t>
  </si>
  <si>
    <t>Buy/Sell Protection</t>
  </si>
  <si>
    <t>BUY</t>
  </si>
  <si>
    <t>RecoveryRate</t>
  </si>
  <si>
    <t>Parameters</t>
  </si>
  <si>
    <t>CreditSpread (in %)</t>
  </si>
  <si>
    <t>YearFraction</t>
  </si>
  <si>
    <t>PremiumSign</t>
  </si>
  <si>
    <t>ProtectionSign</t>
  </si>
  <si>
    <t>-</t>
  </si>
  <si>
    <t>Results</t>
  </si>
  <si>
    <t>PV( CDS )</t>
  </si>
  <si>
    <t>PV( Premium Leg )</t>
  </si>
  <si>
    <t>PV( Protection Leg)</t>
  </si>
  <si>
    <t>PV01</t>
  </si>
  <si>
    <t>HazardRate</t>
  </si>
  <si>
    <t>Premium PV</t>
  </si>
  <si>
    <t>Accrued PV</t>
  </si>
  <si>
    <t>Protection Leg</t>
  </si>
  <si>
    <t>LGD</t>
  </si>
  <si>
    <t>Credit Default Swap (CDS)</t>
  </si>
  <si>
    <t>Tenor (years)</t>
  </si>
  <si>
    <t>DiscFact, P(0,T)</t>
  </si>
  <si>
    <t>Instructions</t>
  </si>
  <si>
    <t>Assumptions</t>
  </si>
  <si>
    <t>Inputs:</t>
  </si>
  <si>
    <t>Outputs:</t>
  </si>
  <si>
    <t>Credit Model</t>
  </si>
  <si>
    <t>Hazard Rates are Deterministic &amp; Piecewise Contant</t>
  </si>
  <si>
    <t xml:space="preserve">CDS Par Spread Quotes </t>
  </si>
  <si>
    <t>Hazard Rates (Instantaneous Probability of Default)</t>
  </si>
  <si>
    <t>1.CDS Curve Specification</t>
  </si>
  <si>
    <t xml:space="preserve">2. CDS Market Data </t>
  </si>
  <si>
    <t>3. Tolerance</t>
  </si>
  <si>
    <t>4. Initial Guess: H = S / ( 1 - R)</t>
  </si>
  <si>
    <t>5. Show Iterations</t>
  </si>
  <si>
    <t>1. Specify the CDS Recovery Rate ( 40% for Senior Bonds, 20% for Subordinated Bonds)</t>
  </si>
  <si>
    <t>2. Input the CDS Market Data i.e. Market Par Spreads</t>
  </si>
  <si>
    <t>In this workbook we demonstrate how to calibrate a credit curve to CDS instruments.</t>
  </si>
  <si>
    <t>We can calibrate to Corporate Bonds or CDS, here we calibrate to CDS.</t>
  </si>
  <si>
    <t>3. Enter the solver tolerance</t>
  </si>
  <si>
    <t>4. Enter an initial guess for the hazard rate, we use H = S / (1-R), which is a reasonable</t>
  </si>
  <si>
    <t>5. To show each solver iteration, set show iterations to True</t>
  </si>
  <si>
    <t>Chart Data</t>
  </si>
  <si>
    <t>Time</t>
  </si>
  <si>
    <t>Multi-Dimensional Newton-Raphson Solver Algorithm</t>
  </si>
  <si>
    <t>Hazard Rates</t>
  </si>
  <si>
    <t>Shifted-Hazard Rates</t>
  </si>
  <si>
    <t>(This is standard industry practice)</t>
  </si>
  <si>
    <r>
      <t xml:space="preserve">Calibration formulas used can be found here: </t>
    </r>
    <r>
      <rPr>
        <u/>
        <sz val="11"/>
        <color rgb="FF0000FF"/>
        <rFont val="Calibri"/>
        <family val="2"/>
        <scheme val="minor"/>
      </rPr>
      <t>https://ssrn.com/abstract=3479833</t>
    </r>
  </si>
  <si>
    <t>allows us to price a wide variety of financial instruments.</t>
  </si>
  <si>
    <t>We use the forward rate and discount factor interpolation tables to generate forwards and discount factors for any date, which</t>
  </si>
  <si>
    <t>Piecewise Cubic Hermite Intepolation, which we have extended to support exact integration for discount factor calculations.</t>
  </si>
  <si>
    <t>We store the outputs i.e. the USD SOFR Forward Rates and Discount Factors in an interpolation table. Here we use</t>
  </si>
  <si>
    <t>More specifically, in this case we have L(n+1) = L(n) + dL/dP . ( Model P - Market P )</t>
  </si>
  <si>
    <r>
      <t>In general terms for the Newton-Raphson formula is quoted as X(n+1) = X(n) - J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.F( X(x) ), where J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 xml:space="preserve"> = dL/dP.</t>
    </r>
  </si>
  <si>
    <t>Here, the State Variable x is the USD SOFR forward rate, L and F(x) = (Model Par Rate - Market Par Rate).</t>
  </si>
  <si>
    <t>The Newton-Raphson algorithm iteratively searches for the x in our Target Function, F(x) that gives a zero value.</t>
  </si>
  <si>
    <t>first-order Risk Jacobian (J), where J = dParRate/dForwardRate (dP/dL), which is useful for risk calculations.</t>
  </si>
  <si>
    <t>We use the Newton-Raphson solver algorithm, which is a gradient descent algorithm. It captures as a by-product the</t>
  </si>
  <si>
    <t>Given as input USD SOFR Par Rates from the Market we solve for the corresponding Forward Rates and Discount Factors.</t>
  </si>
  <si>
    <t>How the Calibration Process Works</t>
  </si>
  <si>
    <t>5.   Press the 'Run Solver' Button</t>
  </si>
  <si>
    <t>4.   To View Intermediate Results, Set ShowIterations to TRUE</t>
  </si>
  <si>
    <t>Finally we integrate f(u) by assuming all forward rates fit a well-defined polynomial</t>
  </si>
  <si>
    <t>3.   Enter an Initial Guess for the Forward Rates</t>
  </si>
  <si>
    <t>2.   Enter the Tolerance</t>
  </si>
  <si>
    <r>
      <rPr>
        <sz val="11"/>
        <color rgb="FF0000FF"/>
        <rFont val="Calibri"/>
        <family val="2"/>
        <scheme val="minor"/>
      </rPr>
      <t>f(u)</t>
    </r>
    <r>
      <rPr>
        <sz val="11"/>
        <color theme="1"/>
        <rFont val="Calibri"/>
        <family val="2"/>
        <scheme val="minor"/>
      </rPr>
      <t xml:space="preserve"> is the OIS forward rate at time u</t>
    </r>
  </si>
  <si>
    <t>1.   Enter the Market Par Rates</t>
  </si>
  <si>
    <r>
      <rPr>
        <sz val="11"/>
        <color rgb="FF0000FF"/>
        <rFont val="Calibri"/>
        <family val="2"/>
        <scheme val="minor"/>
      </rPr>
      <t>P(t,T)</t>
    </r>
    <r>
      <rPr>
        <sz val="11"/>
        <color theme="1"/>
        <rFont val="Calibri"/>
        <family val="2"/>
        <scheme val="minor"/>
      </rPr>
      <t xml:space="preserve"> is the discount factor at time t for payment date T</t>
    </r>
  </si>
  <si>
    <t>** Cubic Hermite Integration</t>
  </si>
  <si>
    <t>* Cubic Hermite Interpolation</t>
  </si>
  <si>
    <t>where</t>
  </si>
  <si>
    <r>
      <t xml:space="preserve">P(t,T) = exp( - </t>
    </r>
    <r>
      <rPr>
        <sz val="11"/>
        <color rgb="FF0000FF"/>
        <rFont val="Calibri"/>
        <family val="2"/>
      </rPr>
      <t>∫ f(u) du )</t>
    </r>
  </si>
  <si>
    <t>USDSOFR</t>
  </si>
  <si>
    <t>For a given forward rate we imply discount factors by integrating over u from t to T,</t>
  </si>
  <si>
    <t>9Y</t>
  </si>
  <si>
    <t>8Y</t>
  </si>
  <si>
    <r>
      <rPr>
        <sz val="11"/>
        <color rgb="FF0000FF"/>
        <rFont val="Calibri"/>
        <family val="2"/>
        <scheme val="minor"/>
      </rPr>
      <t>J</t>
    </r>
    <r>
      <rPr>
        <vertAlign val="superscript"/>
        <sz val="11"/>
        <color rgb="FF0000FF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 xml:space="preserve"> is the inverse Jacobian</t>
    </r>
  </si>
  <si>
    <t>7Y</t>
  </si>
  <si>
    <r>
      <rPr>
        <sz val="11"/>
        <color rgb="FF0000FF"/>
        <rFont val="Calibri"/>
        <family val="2"/>
        <scheme val="minor"/>
      </rPr>
      <t>J = f'(X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 xml:space="preserve"> is the Jacobian or first derivative of the target function / Par Rate with respect to X</t>
    </r>
    <r>
      <rPr>
        <vertAlign val="subscript"/>
        <sz val="11"/>
        <color theme="1"/>
        <rFont val="Calibri"/>
        <family val="2"/>
        <scheme val="minor"/>
      </rPr>
      <t>n</t>
    </r>
  </si>
  <si>
    <t>6Y</t>
  </si>
  <si>
    <r>
      <rPr>
        <sz val="11"/>
        <color rgb="FF0000FF"/>
        <rFont val="Calibri"/>
        <family val="2"/>
        <scheme val="minor"/>
      </rPr>
      <t>f(X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 xml:space="preserve"> is the target function, which is the Par Rate for the respective swap tenor</t>
    </r>
  </si>
  <si>
    <r>
      <rPr>
        <sz val="11"/>
        <color rgb="FF0000FF"/>
        <rFont val="Calibri"/>
        <family val="2"/>
        <scheme val="minor"/>
      </rPr>
      <t>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is the Forward Rate of the nth solver iteration</t>
    </r>
  </si>
  <si>
    <r>
      <t>X</t>
    </r>
    <r>
      <rPr>
        <vertAlign val="subscript"/>
        <sz val="11"/>
        <color rgb="FF0000FF"/>
        <rFont val="Calibri"/>
        <family val="2"/>
        <scheme val="minor"/>
      </rPr>
      <t>n+1</t>
    </r>
    <r>
      <rPr>
        <sz val="11"/>
        <color rgb="FF0000FF"/>
        <rFont val="Calibri"/>
        <family val="2"/>
        <scheme val="minor"/>
      </rPr>
      <t xml:space="preserve"> = 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 xml:space="preserve"> - J</t>
    </r>
    <r>
      <rPr>
        <vertAlign val="superscript"/>
        <sz val="11"/>
        <color rgb="FF0000FF"/>
        <rFont val="Calibri"/>
        <family val="2"/>
        <scheme val="minor"/>
      </rPr>
      <t>-1</t>
    </r>
    <r>
      <rPr>
        <sz val="11"/>
        <color rgb="FF0000FF"/>
        <rFont val="Calibri"/>
        <family val="2"/>
        <scheme val="minor"/>
      </rPr>
      <t xml:space="preserve"> . f( 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 xml:space="preserve"> )</t>
    </r>
  </si>
  <si>
    <t>Integral</t>
  </si>
  <si>
    <t>x</t>
  </si>
  <si>
    <t>Check</t>
  </si>
  <si>
    <t>y</t>
  </si>
  <si>
    <t>Newton-Raphson formula,</t>
  </si>
  <si>
    <t>4. Show Iterations</t>
  </si>
  <si>
    <t>Curve</t>
  </si>
  <si>
    <t>We globally solve for USD discount factors &amp; forward rates using the multi-dimensional</t>
  </si>
  <si>
    <t>Iteration Results</t>
  </si>
  <si>
    <t>OVERVIEW</t>
  </si>
  <si>
    <t>Discount Factor Interpolation Table</t>
  </si>
  <si>
    <t>Forward Rates Interpolation Table</t>
  </si>
  <si>
    <t>which are set In-Arrears.</t>
  </si>
  <si>
    <t>hower OIS Swap effective forward rates comprise of averaged or compounded daily fixing rates,</t>
  </si>
  <si>
    <r>
      <t>dL</t>
    </r>
    <r>
      <rPr>
        <vertAlign val="subscript"/>
        <sz val="11"/>
        <color theme="1"/>
        <rFont val="Calibri"/>
        <family val="2"/>
        <scheme val="minor"/>
      </rPr>
      <t>10Y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</si>
  <si>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dP</t>
    </r>
    <r>
      <rPr>
        <vertAlign val="subscript"/>
        <sz val="11"/>
        <color theme="1"/>
        <rFont val="Calibri"/>
        <family val="2"/>
        <scheme val="minor"/>
      </rPr>
      <t>10Y</t>
    </r>
    <r>
      <rPr>
        <vertAlign val="superscript"/>
        <sz val="11"/>
        <color theme="1"/>
        <rFont val="Calibri"/>
        <family val="2"/>
        <scheme val="minor"/>
      </rPr>
      <t>SOFR</t>
    </r>
  </si>
  <si>
    <t>3. We assume OIS Swaps are determined by a single fixing in-advance for simplicity. In practise</t>
  </si>
  <si>
    <r>
      <t>dL</t>
    </r>
    <r>
      <rPr>
        <vertAlign val="subscript"/>
        <sz val="11"/>
        <color theme="1"/>
        <rFont val="Calibri"/>
        <family val="2"/>
        <scheme val="minor"/>
      </rPr>
      <t>9Y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</si>
  <si>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dP</t>
    </r>
    <r>
      <rPr>
        <vertAlign val="subscript"/>
        <sz val="11"/>
        <color theme="1"/>
        <rFont val="Calibri"/>
        <family val="2"/>
        <scheme val="minor"/>
      </rPr>
      <t>9Y</t>
    </r>
    <r>
      <rPr>
        <vertAlign val="superscript"/>
        <sz val="11"/>
        <color theme="1"/>
        <rFont val="Calibri"/>
        <family val="2"/>
        <scheme val="minor"/>
      </rPr>
      <t>SOFR</t>
    </r>
  </si>
  <si>
    <t>2. There are no holidays and that all year fractions are based on a regular 30/360 daycount basis</t>
  </si>
  <si>
    <r>
      <t>dL</t>
    </r>
    <r>
      <rPr>
        <vertAlign val="subscript"/>
        <sz val="11"/>
        <color theme="1"/>
        <rFont val="Calibri"/>
        <family val="2"/>
        <scheme val="minor"/>
      </rPr>
      <t>8Y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</si>
  <si>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dP</t>
    </r>
    <r>
      <rPr>
        <vertAlign val="subscript"/>
        <sz val="11"/>
        <color theme="1"/>
        <rFont val="Calibri"/>
        <family val="2"/>
        <scheme val="minor"/>
      </rPr>
      <t>8Y</t>
    </r>
    <r>
      <rPr>
        <vertAlign val="superscript"/>
        <sz val="11"/>
        <color theme="1"/>
        <rFont val="Calibri"/>
        <family val="2"/>
        <scheme val="minor"/>
      </rPr>
      <t>SOFR</t>
    </r>
  </si>
  <si>
    <t>1. We assume all swaps have annualized coupons</t>
  </si>
  <si>
    <r>
      <t>dLP</t>
    </r>
    <r>
      <rPr>
        <vertAlign val="subscript"/>
        <sz val="11"/>
        <color theme="1"/>
        <rFont val="Calibri"/>
        <family val="2"/>
        <scheme val="minor"/>
      </rPr>
      <t>7Y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</si>
  <si>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dP</t>
    </r>
    <r>
      <rPr>
        <vertAlign val="subscript"/>
        <sz val="11"/>
        <color theme="1"/>
        <rFont val="Calibri"/>
        <family val="2"/>
        <scheme val="minor"/>
      </rPr>
      <t>7Y</t>
    </r>
    <r>
      <rPr>
        <vertAlign val="superscript"/>
        <sz val="11"/>
        <color theme="1"/>
        <rFont val="Calibri"/>
        <family val="2"/>
        <scheme val="minor"/>
      </rPr>
      <t>SOFR</t>
    </r>
  </si>
  <si>
    <t>For simplicity and brevity we assume,</t>
  </si>
  <si>
    <r>
      <t>dL</t>
    </r>
    <r>
      <rPr>
        <vertAlign val="subscript"/>
        <sz val="11"/>
        <color theme="1"/>
        <rFont val="Calibri"/>
        <family val="2"/>
        <scheme val="minor"/>
      </rPr>
      <t>6Y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</si>
  <si>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dP</t>
    </r>
    <r>
      <rPr>
        <vertAlign val="subscript"/>
        <sz val="11"/>
        <color theme="1"/>
        <rFont val="Calibri"/>
        <family val="2"/>
        <scheme val="minor"/>
      </rPr>
      <t>6Y</t>
    </r>
    <r>
      <rPr>
        <vertAlign val="superscript"/>
        <sz val="11"/>
        <color theme="1"/>
        <rFont val="Calibri"/>
        <family val="2"/>
        <scheme val="minor"/>
      </rPr>
      <t>SOFR</t>
    </r>
  </si>
  <si>
    <t>ASSUMPTIONS</t>
  </si>
  <si>
    <r>
      <t>dL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</si>
  <si>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dP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</si>
  <si>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dL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</si>
  <si>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dP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SOFR</t>
    </r>
  </si>
  <si>
    <t>7. For comparison live market data par rates, discount factors and forwards are shown in cells L4:P18</t>
  </si>
  <si>
    <r>
      <t>dL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</si>
  <si>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dP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SOFR</t>
    </r>
  </si>
  <si>
    <t>6. USDOIS discount factor results are displayed in blue in cells AB8:AB12</t>
  </si>
  <si>
    <r>
      <t>dL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</si>
  <si>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dP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SOFR</t>
    </r>
  </si>
  <si>
    <t>5. USDOIS and USD3ML forward rate results are displayed in blue in cells U8:U18</t>
  </si>
  <si>
    <r>
      <t>dL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</si>
  <si>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dP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SOFR</t>
    </r>
  </si>
  <si>
    <t>4. To see the intermediate results for each iteration, select TRUE in cell AA20</t>
  </si>
  <si>
    <t>dL/dP</t>
  </si>
  <si>
    <r>
      <t>dL</t>
    </r>
    <r>
      <rPr>
        <vertAlign val="subscript"/>
        <sz val="11"/>
        <color theme="1"/>
        <rFont val="Calibri"/>
        <family val="2"/>
        <scheme val="minor"/>
      </rPr>
      <t>7Y</t>
    </r>
    <r>
      <rPr>
        <vertAlign val="superscript"/>
        <sz val="11"/>
        <color theme="1"/>
        <rFont val="Calibri"/>
        <family val="2"/>
        <scheme val="minor"/>
      </rPr>
      <t>SOFR</t>
    </r>
  </si>
  <si>
    <t>dP/dL</t>
  </si>
  <si>
    <t>Integrand</t>
  </si>
  <si>
    <t>ParRate, P</t>
  </si>
  <si>
    <t>3. All calculations are performed on this Excel sheet, the macro only copies interation results</t>
  </si>
  <si>
    <t>3. Initial Guess</t>
  </si>
  <si>
    <t>Iteration: 4</t>
  </si>
  <si>
    <t>3. Press the update macro button to globally solve for forward rates</t>
  </si>
  <si>
    <r>
      <t>dp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/dL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= N</t>
    </r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>DF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/ A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(Fixed) = DF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/ A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(Fixed), since N=1 and </t>
    </r>
    <r>
      <rPr>
        <sz val="11"/>
        <color theme="1"/>
        <rFont val="Symbol"/>
        <family val="1"/>
        <charset val="2"/>
      </rPr>
      <t>t</t>
    </r>
    <r>
      <rPr>
        <sz val="11"/>
        <color theme="1"/>
        <rFont val="Calibri"/>
        <family val="2"/>
        <scheme val="minor"/>
      </rPr>
      <t>=1</t>
    </r>
  </si>
  <si>
    <t>2. Enter the solver precission in cell W4</t>
  </si>
  <si>
    <t>p = PV(Float Leg)/Annuity(Fixed Leg)</t>
  </si>
  <si>
    <t>Integrate USDSOFR Forward Polynomial</t>
  </si>
  <si>
    <t>Calibration Instruments</t>
  </si>
  <si>
    <t>1. Enter your initial guess for the USDOIS and USD3ML forward rates in the yellow cells W8:W18</t>
  </si>
  <si>
    <t>Inverse Jacobian, dL/dP</t>
  </si>
  <si>
    <t>Jacobian, dParRate/dLibor (dP/dL)</t>
  </si>
  <si>
    <t>USDSOFR Discount Factors</t>
  </si>
  <si>
    <t>2. Tolerance</t>
  </si>
  <si>
    <t>Multi-Dimensional Newton-Raphson Algorithm</t>
  </si>
  <si>
    <t>1. USD SOFR Market Data</t>
  </si>
  <si>
    <t>INSTRUCTIONS</t>
  </si>
  <si>
    <t>Numerical DV01</t>
  </si>
  <si>
    <t>PV With Bump</t>
  </si>
  <si>
    <t>PV No Bump</t>
  </si>
  <si>
    <t>Apply Risk Bump</t>
  </si>
  <si>
    <r>
      <rPr>
        <sz val="11"/>
        <color theme="1"/>
        <rFont val="Calibri"/>
        <family val="2"/>
        <scheme val="minor"/>
      </rPr>
      <t xml:space="preserve">4. </t>
    </r>
    <r>
      <rPr>
        <u/>
        <sz val="11"/>
        <color theme="1"/>
        <rFont val="Calibri"/>
        <family val="2"/>
        <scheme val="minor"/>
      </rPr>
      <t>Numerical Risk</t>
    </r>
  </si>
  <si>
    <t>Analytical DV01</t>
  </si>
  <si>
    <t>DV01</t>
  </si>
  <si>
    <r>
      <t>Duration, D</t>
    </r>
    <r>
      <rPr>
        <vertAlign val="subscript"/>
        <sz val="11"/>
        <color theme="1"/>
        <rFont val="Calibri"/>
        <family val="2"/>
        <scheme val="minor"/>
      </rPr>
      <t>Mod</t>
    </r>
    <r>
      <rPr>
        <vertAlign val="superscript"/>
        <sz val="11"/>
        <color theme="1"/>
        <rFont val="Calibri"/>
        <family val="2"/>
        <scheme val="minor"/>
      </rPr>
      <t>Float</t>
    </r>
  </si>
  <si>
    <t>Swap Risk</t>
  </si>
  <si>
    <r>
      <t>Duration, D</t>
    </r>
    <r>
      <rPr>
        <vertAlign val="subscript"/>
        <sz val="11"/>
        <color theme="1"/>
        <rFont val="Calibri"/>
        <family val="2"/>
        <scheme val="minor"/>
      </rPr>
      <t>Mod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</si>
  <si>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rPr>
        <sz val="11"/>
        <color theme="1"/>
        <rFont val="Calibri"/>
        <family val="2"/>
        <scheme val="minor"/>
      </rPr>
      <t xml:space="preserve">3. </t>
    </r>
    <r>
      <rPr>
        <u/>
        <sz val="11"/>
        <color theme="1"/>
        <rFont val="Calibri"/>
        <family val="2"/>
        <scheme val="minor"/>
      </rPr>
      <t>Analytical Risk</t>
    </r>
  </si>
  <si>
    <t>Float Leg PV</t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</si>
  <si>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Float</t>
    </r>
  </si>
  <si>
    <t>Fixed Leg PV</t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</si>
  <si>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Fixed</t>
    </r>
  </si>
  <si>
    <t>Swap PV</t>
  </si>
  <si>
    <r>
      <t>Annuity, A</t>
    </r>
    <r>
      <rPr>
        <vertAlign val="superscript"/>
        <sz val="11"/>
        <color theme="1"/>
        <rFont val="Calibri"/>
        <family val="2"/>
        <scheme val="minor"/>
      </rPr>
      <t>Float</t>
    </r>
  </si>
  <si>
    <t>Swap Pricing</t>
  </si>
  <si>
    <r>
      <t>Annuity, A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</si>
  <si>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rPr>
        <sz val="11"/>
        <color theme="1"/>
        <rFont val="Calibri"/>
        <family val="2"/>
        <scheme val="minor"/>
      </rPr>
      <t xml:space="preserve">2. </t>
    </r>
    <r>
      <rPr>
        <u/>
        <sz val="11"/>
        <color theme="1"/>
        <rFont val="Calibri"/>
        <family val="2"/>
        <scheme val="minor"/>
      </rPr>
      <t>Annuity Factors</t>
    </r>
  </si>
  <si>
    <t>Tenor, T</t>
  </si>
  <si>
    <t>Libor Spread, s</t>
  </si>
  <si>
    <t>Par Rate, p</t>
  </si>
  <si>
    <t>Float Frequency</t>
  </si>
  <si>
    <t>Market Par Rates</t>
  </si>
  <si>
    <t>Fixed Frequency</t>
  </si>
  <si>
    <t>Spread PV</t>
  </si>
  <si>
    <r>
      <t>Fixed Rate, r</t>
    </r>
    <r>
      <rPr>
        <vertAlign val="superscript"/>
        <sz val="11"/>
        <color theme="1"/>
        <rFont val="Calibri"/>
        <family val="2"/>
        <scheme val="minor"/>
      </rPr>
      <t>Fixed</t>
    </r>
  </si>
  <si>
    <t>Notional, N</t>
  </si>
  <si>
    <t>Trade</t>
  </si>
  <si>
    <t>Market</t>
  </si>
  <si>
    <r>
      <rPr>
        <sz val="11"/>
        <color theme="1"/>
        <rFont val="Calibri"/>
        <family val="2"/>
        <scheme val="minor"/>
      </rPr>
      <t xml:space="preserve">1. </t>
    </r>
    <r>
      <rPr>
        <u/>
        <sz val="11"/>
        <color theme="1"/>
        <rFont val="Calibri"/>
        <family val="2"/>
        <scheme val="minor"/>
      </rPr>
      <t>Swap Pricing</t>
    </r>
  </si>
  <si>
    <t>Show Float</t>
  </si>
  <si>
    <t>Show Fixed</t>
  </si>
  <si>
    <r>
      <t>PV</t>
    </r>
    <r>
      <rPr>
        <vertAlign val="superscript"/>
        <sz val="11"/>
        <color theme="1"/>
        <rFont val="Calibri"/>
        <family val="2"/>
        <scheme val="minor"/>
      </rPr>
      <t>Float</t>
    </r>
  </si>
  <si>
    <r>
      <t>P( t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, tj )</t>
    </r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</si>
  <si>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j</t>
    </r>
  </si>
  <si>
    <r>
      <t>l</t>
    </r>
    <r>
      <rPr>
        <vertAlign val="subscript"/>
        <sz val="11"/>
        <color theme="1"/>
        <rFont val="Calibri"/>
        <family val="2"/>
        <scheme val="minor"/>
      </rPr>
      <t>j-1</t>
    </r>
    <r>
      <rPr>
        <sz val="11"/>
        <color theme="1"/>
        <rFont val="Calibri"/>
        <family val="2"/>
        <scheme val="minor"/>
      </rPr>
      <t xml:space="preserve"> + s</t>
    </r>
  </si>
  <si>
    <t>s</t>
  </si>
  <si>
    <r>
      <t>l</t>
    </r>
    <r>
      <rPr>
        <vertAlign val="subscript"/>
        <sz val="11"/>
        <color theme="1"/>
        <rFont val="Calibri"/>
        <family val="2"/>
        <scheme val="minor"/>
      </rPr>
      <t>j-1</t>
    </r>
  </si>
  <si>
    <t>N</t>
  </si>
  <si>
    <r>
      <t>t</t>
    </r>
    <r>
      <rPr>
        <vertAlign val="subscript"/>
        <sz val="11"/>
        <color theme="1"/>
        <rFont val="Calibri"/>
        <family val="2"/>
        <scheme val="minor"/>
      </rPr>
      <t>j</t>
    </r>
  </si>
  <si>
    <t>Pay Date</t>
  </si>
  <si>
    <t>Accrual End</t>
  </si>
  <si>
    <t>Accrual Start</t>
  </si>
  <si>
    <t>Fixing Date</t>
  </si>
  <si>
    <t>Row</t>
  </si>
  <si>
    <r>
      <t>PV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</si>
  <si>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P( t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, 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)</t>
    </r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</si>
  <si>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i</t>
    </r>
  </si>
  <si>
    <r>
      <t>r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</si>
  <si>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t</t>
    </r>
    <r>
      <rPr>
        <vertAlign val="subscript"/>
        <sz val="11"/>
        <color theme="1"/>
        <rFont val="Calibri"/>
        <family val="2"/>
        <scheme val="minor"/>
      </rPr>
      <t>i</t>
    </r>
  </si>
  <si>
    <t>PAYER</t>
  </si>
  <si>
    <t>Payer/Receiver</t>
  </si>
  <si>
    <t>Calibration Par Rate Test</t>
  </si>
  <si>
    <t>Analytical DV01 Calculations</t>
  </si>
  <si>
    <t>Display Settings</t>
  </si>
  <si>
    <t>Float Leg</t>
  </si>
  <si>
    <t>Fixed Leg</t>
  </si>
  <si>
    <t>Swap Trade Details</t>
  </si>
  <si>
    <t>Refresh</t>
  </si>
  <si>
    <t>Curve Jacobian</t>
  </si>
  <si>
    <t>Forward Rates &amp;</t>
  </si>
  <si>
    <t>Shifted DF</t>
  </si>
  <si>
    <t>AsOfDate</t>
  </si>
  <si>
    <t>ANNUAL</t>
  </si>
  <si>
    <t>Bloomberg</t>
  </si>
  <si>
    <t xml:space="preserve"> + Jacobians</t>
  </si>
  <si>
    <r>
      <t xml:space="preserve">6. </t>
    </r>
    <r>
      <rPr>
        <b/>
        <sz val="11"/>
        <color theme="1"/>
        <rFont val="Calibri"/>
        <family val="2"/>
        <scheme val="minor"/>
      </rPr>
      <t>Optional</t>
    </r>
    <r>
      <rPr>
        <sz val="11"/>
        <color theme="1"/>
        <rFont val="Calibri"/>
        <family val="2"/>
        <scheme val="minor"/>
      </rPr>
      <t>: For the solver we can choose to use a Numerical or Analytical Risk Jacobian</t>
    </r>
  </si>
  <si>
    <r>
      <t>7. Press the</t>
    </r>
    <r>
      <rPr>
        <b/>
        <sz val="11"/>
        <color theme="1"/>
        <rFont val="Calibri"/>
        <family val="2"/>
        <scheme val="minor"/>
      </rPr>
      <t xml:space="preserve"> Run Solver Macro button </t>
    </r>
    <r>
      <rPr>
        <sz val="11"/>
        <color theme="1"/>
        <rFont val="Calibri"/>
        <family val="2"/>
        <scheme val="minor"/>
      </rPr>
      <t>to run the solver, which is a simple loop in VBA.</t>
    </r>
  </si>
  <si>
    <t>6. Jacobian, dP/dH</t>
  </si>
  <si>
    <t>7. Calibrate Credit Curve</t>
  </si>
  <si>
    <t>5. Calibrate Yield Curve</t>
  </si>
  <si>
    <t>AAPL</t>
  </si>
  <si>
    <t>MSFT</t>
  </si>
  <si>
    <t>NVDA</t>
  </si>
  <si>
    <t>Iteration: 1</t>
  </si>
  <si>
    <t>CreditReference</t>
  </si>
  <si>
    <t>Hazard Rate Market Data</t>
  </si>
  <si>
    <t>Cum P(Def)</t>
  </si>
  <si>
    <t>Norm Inv CDF</t>
  </si>
  <si>
    <t>Default Barrier</t>
  </si>
  <si>
    <t>PDF(M)</t>
  </si>
  <si>
    <t xml:space="preserve">M </t>
  </si>
  <si>
    <t>Market Step Size, dm</t>
  </si>
  <si>
    <t>P(Survive)</t>
  </si>
  <si>
    <t>P(Def)</t>
  </si>
  <si>
    <t>Portfolio</t>
  </si>
  <si>
    <t xml:space="preserve">Basket </t>
  </si>
  <si>
    <t>Implied Correlation</t>
  </si>
  <si>
    <t>Price Results</t>
  </si>
  <si>
    <t>1F Guassian Copula Approach</t>
  </si>
  <si>
    <t>Sum</t>
  </si>
  <si>
    <t>Weakest</t>
  </si>
  <si>
    <t>P(Default &lt; t | M = m)</t>
  </si>
  <si>
    <t>P(Survive until t | M = m)</t>
  </si>
  <si>
    <t>Corr &gt;= 0</t>
  </si>
  <si>
    <t>FTD</t>
  </si>
  <si>
    <t>** Numerical Integration **</t>
  </si>
  <si>
    <t>Hazard Curve Market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</si>
</sst>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0%"/>
    <numFmt numFmtId="165" formatCode="#,##0.000000"/>
    <numFmt numFmtId="166" formatCode="#,##0.0000"/>
    <numFmt numFmtId="167" formatCode="0.00000%"/>
    <numFmt numFmtId="168" formatCode="0.0000000%"/>
    <numFmt numFmtId="169" formatCode="0.0E+00"/>
    <numFmt numFmtId="170" formatCode="#,##0.00000"/>
    <numFmt numFmtId="171" formatCode="d\-mmm\-yy"/>
  </numFmts>
  <fonts count="2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0000"/>
      <name val="Calibri"/>
      <family val="2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u/>
      <sz val="11"/>
      <color rgb="FF0000FF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FF"/>
      <name val="Calibri"/>
      <family val="2"/>
    </font>
    <font>
      <vertAlign val="superscript"/>
      <sz val="11"/>
      <color rgb="FF0000FF"/>
      <name val="Calibri"/>
      <family val="2"/>
      <scheme val="minor"/>
    </font>
    <font>
      <vertAlign val="subscript"/>
      <sz val="11"/>
      <color rgb="FF0000FF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660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5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/>
      <right style="thin">
        <color theme="0" tint="-0.14993743705557422"/>
      </right>
      <top/>
      <bottom/>
      <diagonal/>
    </border>
    <border>
      <left/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/>
      <right/>
      <top/>
      <bottom style="thin">
        <color theme="0" tint="-0.14990691854609822"/>
      </bottom>
      <diagonal/>
    </border>
    <border>
      <left/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/>
      <right style="thin">
        <color theme="0" tint="-0.1498458815271462"/>
      </right>
      <top/>
      <bottom/>
      <diagonal/>
    </border>
    <border>
      <left/>
      <right/>
      <top/>
      <bottom style="thin">
        <color theme="0" tint="-0.1498458815271462"/>
      </bottom>
      <diagonal/>
    </border>
    <border>
      <left/>
      <right style="thin">
        <color theme="0" tint="-0.1498458815271462"/>
      </right>
      <top/>
      <bottom style="thin">
        <color theme="0" tint="-0.1498458815271462"/>
      </bottom>
      <diagonal/>
    </border>
    <border>
      <left style="thin">
        <color theme="0" tint="-0.1498458815271462"/>
      </left>
      <right/>
      <top style="thin">
        <color theme="0" tint="-0.1498458815271462"/>
      </top>
      <bottom/>
      <diagonal/>
    </border>
    <border>
      <left/>
      <right/>
      <top style="thin">
        <color theme="0" tint="-0.1498458815271462"/>
      </top>
      <bottom/>
      <diagonal/>
    </border>
    <border>
      <left/>
      <right style="thin">
        <color theme="0" tint="-0.1498458815271462"/>
      </right>
      <top style="thin">
        <color theme="0" tint="-0.1498458815271462"/>
      </top>
      <bottom/>
      <diagonal/>
    </border>
    <border>
      <left style="thin">
        <color theme="0" tint="-0.1498458815271462"/>
      </left>
      <right/>
      <top/>
      <bottom/>
      <diagonal/>
    </border>
    <border>
      <left style="thin">
        <color theme="0" tint="-0.1498458815271462"/>
      </left>
      <right/>
      <top/>
      <bottom style="thin">
        <color theme="0" tint="-0.1498458815271462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</borders>
  <cellStyleXfs count="1">
    <xf numFmtId="0" fontId="0" fillId="0" borderId="0"/>
  </cellStyleXfs>
  <cellXfs count="401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3" fontId="0" fillId="0" borderId="12" xfId="0" applyNumberFormat="1" applyBorder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13" xfId="0" applyNumberFormat="1" applyBorder="1" applyAlignment="1">
      <alignment horizontal="center"/>
    </xf>
    <xf numFmtId="3" fontId="0" fillId="0" borderId="14" xfId="0" applyNumberFormat="1" applyBorder="1" applyAlignment="1">
      <alignment horizontal="center"/>
    </xf>
    <xf numFmtId="3" fontId="0" fillId="0" borderId="4" xfId="0" applyNumberFormat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4" fontId="0" fillId="0" borderId="14" xfId="0" applyNumberFormat="1" applyBorder="1" applyAlignment="1">
      <alignment horizontal="center"/>
    </xf>
    <xf numFmtId="10" fontId="0" fillId="0" borderId="0" xfId="0" applyNumberFormat="1" applyAlignment="1">
      <alignment horizontal="center" vertical="center"/>
    </xf>
    <xf numFmtId="4" fontId="0" fillId="0" borderId="17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10" fontId="0" fillId="0" borderId="4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4" xfId="0" applyNumberFormat="1" applyBorder="1" applyAlignment="1">
      <alignment horizontal="center"/>
    </xf>
    <xf numFmtId="4" fontId="0" fillId="0" borderId="9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0" fontId="0" fillId="0" borderId="10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4" fontId="0" fillId="0" borderId="12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65" fontId="0" fillId="0" borderId="13" xfId="0" applyNumberFormat="1" applyBorder="1" applyAlignment="1">
      <alignment horizontal="center"/>
    </xf>
    <xf numFmtId="3" fontId="0" fillId="0" borderId="0" xfId="0" applyNumberFormat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3" fontId="0" fillId="0" borderId="10" xfId="0" applyNumberFormat="1" applyBorder="1" applyAlignment="1">
      <alignment horizontal="center" vertical="center"/>
    </xf>
    <xf numFmtId="3" fontId="0" fillId="0" borderId="11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6" xfId="0" applyBorder="1" applyAlignment="1">
      <alignment horizontal="center" vertical="center"/>
    </xf>
    <xf numFmtId="3" fontId="0" fillId="2" borderId="0" xfId="0" applyNumberFormat="1" applyFill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6" fillId="0" borderId="0" xfId="0" applyFont="1"/>
    <xf numFmtId="0" fontId="2" fillId="0" borderId="0" xfId="0" applyFont="1" applyAlignment="1">
      <alignment horizontal="left" vertical="center"/>
    </xf>
    <xf numFmtId="167" fontId="0" fillId="0" borderId="0" xfId="0" applyNumberFormat="1" applyAlignment="1">
      <alignment horizontal="center" vertical="center"/>
    </xf>
    <xf numFmtId="0" fontId="0" fillId="4" borderId="8" xfId="0" applyFill="1" applyBorder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3" fontId="0" fillId="0" borderId="2" xfId="0" applyNumberFormat="1" applyBorder="1" applyAlignment="1">
      <alignment horizontal="center"/>
    </xf>
    <xf numFmtId="3" fontId="0" fillId="4" borderId="2" xfId="0" applyNumberFormat="1" applyFill="1" applyBorder="1" applyAlignment="1">
      <alignment horizontal="center"/>
    </xf>
    <xf numFmtId="10" fontId="0" fillId="4" borderId="2" xfId="0" applyNumberFormat="1" applyFill="1" applyBorder="1" applyAlignment="1">
      <alignment horizontal="center"/>
    </xf>
    <xf numFmtId="4" fontId="0" fillId="3" borderId="2" xfId="0" applyNumberFormat="1" applyFill="1" applyBorder="1" applyAlignment="1">
      <alignment horizontal="center"/>
    </xf>
    <xf numFmtId="3" fontId="0" fillId="3" borderId="3" xfId="0" applyNumberFormat="1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1" fillId="0" borderId="0" xfId="0" applyFont="1"/>
    <xf numFmtId="0" fontId="1" fillId="0" borderId="0" xfId="0" applyFont="1" applyAlignment="1">
      <alignment horizontal="center" vertical="center"/>
    </xf>
    <xf numFmtId="11" fontId="0" fillId="4" borderId="5" xfId="0" applyNumberFormat="1" applyFill="1" applyBorder="1" applyAlignment="1">
      <alignment horizontal="center" vertical="center"/>
    </xf>
    <xf numFmtId="11" fontId="0" fillId="0" borderId="5" xfId="0" applyNumberFormat="1" applyBorder="1" applyAlignment="1">
      <alignment horizontal="center" vertical="center"/>
    </xf>
    <xf numFmtId="0" fontId="0" fillId="0" borderId="0" xfId="0" quotePrefix="1" applyAlignment="1">
      <alignment horizontal="center" vertical="center" wrapText="1"/>
    </xf>
    <xf numFmtId="167" fontId="5" fillId="0" borderId="0" xfId="0" applyNumberFormat="1" applyFont="1" applyAlignment="1">
      <alignment horizontal="center" vertical="center"/>
    </xf>
    <xf numFmtId="167" fontId="0" fillId="4" borderId="0" xfId="0" applyNumberFormat="1" applyFill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" fontId="0" fillId="0" borderId="22" xfId="0" applyNumberFormat="1" applyBorder="1" applyAlignment="1">
      <alignment horizontal="center" vertical="center"/>
    </xf>
    <xf numFmtId="167" fontId="5" fillId="0" borderId="22" xfId="0" applyNumberFormat="1" applyFont="1" applyBorder="1" applyAlignment="1">
      <alignment horizontal="center" vertical="center"/>
    </xf>
    <xf numFmtId="167" fontId="0" fillId="0" borderId="22" xfId="0" applyNumberFormat="1" applyBorder="1" applyAlignment="1">
      <alignment horizontal="center" vertical="center"/>
    </xf>
    <xf numFmtId="167" fontId="0" fillId="4" borderId="22" xfId="0" applyNumberForma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4" fontId="0" fillId="0" borderId="27" xfId="0" applyNumberFormat="1" applyBorder="1" applyAlignment="1">
      <alignment horizontal="center" vertical="center"/>
    </xf>
    <xf numFmtId="167" fontId="5" fillId="0" borderId="27" xfId="0" applyNumberFormat="1" applyFont="1" applyBorder="1" applyAlignment="1">
      <alignment horizontal="center" vertical="center"/>
    </xf>
    <xf numFmtId="167" fontId="0" fillId="0" borderId="27" xfId="0" applyNumberFormat="1" applyBorder="1" applyAlignment="1">
      <alignment horizontal="center" vertical="center"/>
    </xf>
    <xf numFmtId="167" fontId="0" fillId="4" borderId="27" xfId="0" applyNumberFormat="1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4" fontId="0" fillId="4" borderId="18" xfId="0" applyNumberFormat="1" applyFill="1" applyBorder="1" applyAlignment="1">
      <alignment horizontal="center" vertical="center"/>
    </xf>
    <xf numFmtId="0" fontId="0" fillId="4" borderId="30" xfId="0" applyFill="1" applyBorder="1" applyAlignment="1">
      <alignment horizontal="center" vertical="center"/>
    </xf>
    <xf numFmtId="4" fontId="0" fillId="4" borderId="19" xfId="0" applyNumberFormat="1" applyFill="1" applyBorder="1" applyAlignment="1">
      <alignment horizontal="center" vertical="center"/>
    </xf>
    <xf numFmtId="0" fontId="0" fillId="4" borderId="31" xfId="0" applyFill="1" applyBorder="1" applyAlignment="1">
      <alignment horizontal="center" vertical="center"/>
    </xf>
    <xf numFmtId="4" fontId="0" fillId="4" borderId="32" xfId="0" applyNumberFormat="1" applyFill="1" applyBorder="1" applyAlignment="1">
      <alignment horizontal="center" vertical="center"/>
    </xf>
    <xf numFmtId="3" fontId="0" fillId="0" borderId="9" xfId="0" applyNumberFormat="1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4" fontId="0" fillId="0" borderId="13" xfId="0" applyNumberFormat="1" applyBorder="1" applyAlignment="1">
      <alignment horizontal="center" vertical="center"/>
    </xf>
    <xf numFmtId="4" fontId="0" fillId="0" borderId="15" xfId="0" applyNumberFormat="1" applyBorder="1" applyAlignment="1">
      <alignment horizontal="center" vertical="center"/>
    </xf>
    <xf numFmtId="167" fontId="0" fillId="0" borderId="23" xfId="0" applyNumberFormat="1" applyBorder="1" applyAlignment="1">
      <alignment horizontal="center" vertical="center"/>
    </xf>
    <xf numFmtId="167" fontId="0" fillId="0" borderId="25" xfId="0" applyNumberFormat="1" applyBorder="1" applyAlignment="1">
      <alignment horizontal="center" vertical="center"/>
    </xf>
    <xf numFmtId="167" fontId="0" fillId="0" borderId="28" xfId="0" applyNumberForma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166" fontId="10" fillId="3" borderId="9" xfId="0" applyNumberFormat="1" applyFont="1" applyFill="1" applyBorder="1" applyAlignment="1">
      <alignment horizontal="center" vertical="center"/>
    </xf>
    <xf numFmtId="166" fontId="0" fillId="0" borderId="10" xfId="0" applyNumberFormat="1" applyBorder="1" applyAlignment="1">
      <alignment horizontal="center" vertical="center"/>
    </xf>
    <xf numFmtId="166" fontId="0" fillId="0" borderId="11" xfId="0" applyNumberFormat="1" applyBorder="1" applyAlignment="1">
      <alignment horizontal="center" vertical="center"/>
    </xf>
    <xf numFmtId="166" fontId="10" fillId="3" borderId="12" xfId="0" applyNumberFormat="1" applyFont="1" applyFill="1" applyBorder="1" applyAlignment="1">
      <alignment horizontal="center" vertical="center"/>
    </xf>
    <xf numFmtId="166" fontId="10" fillId="3" borderId="0" xfId="0" applyNumberFormat="1" applyFon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166" fontId="2" fillId="3" borderId="14" xfId="0" applyNumberFormat="1" applyFont="1" applyFill="1" applyBorder="1" applyAlignment="1">
      <alignment horizontal="center" vertical="center"/>
    </xf>
    <xf numFmtId="166" fontId="2" fillId="3" borderId="4" xfId="0" applyNumberFormat="1" applyFont="1" applyFill="1" applyBorder="1" applyAlignment="1">
      <alignment horizontal="center" vertical="center"/>
    </xf>
    <xf numFmtId="166" fontId="10" fillId="3" borderId="15" xfId="0" applyNumberFormat="1" applyFont="1" applyFill="1" applyBorder="1" applyAlignment="1">
      <alignment horizontal="center" vertical="center"/>
    </xf>
    <xf numFmtId="166" fontId="4" fillId="0" borderId="12" xfId="0" applyNumberFormat="1" applyFont="1" applyBorder="1" applyAlignment="1">
      <alignment horizontal="center" vertical="center"/>
    </xf>
    <xf numFmtId="166" fontId="4" fillId="0" borderId="0" xfId="0" applyNumberFormat="1" applyFont="1" applyAlignment="1">
      <alignment horizontal="center" vertical="center"/>
    </xf>
    <xf numFmtId="166" fontId="0" fillId="0" borderId="14" xfId="0" applyNumberFormat="1" applyBorder="1" applyAlignment="1">
      <alignment horizontal="center" vertical="center"/>
    </xf>
    <xf numFmtId="166" fontId="0" fillId="0" borderId="4" xfId="0" applyNumberFormat="1" applyBorder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68" fontId="0" fillId="0" borderId="33" xfId="0" applyNumberFormat="1" applyBorder="1" applyAlignment="1">
      <alignment horizontal="center" vertical="center"/>
    </xf>
    <xf numFmtId="168" fontId="0" fillId="0" borderId="34" xfId="0" applyNumberFormat="1" applyBorder="1" applyAlignment="1">
      <alignment horizontal="center" vertical="center"/>
    </xf>
    <xf numFmtId="168" fontId="0" fillId="0" borderId="35" xfId="0" applyNumberFormat="1" applyBorder="1" applyAlignment="1">
      <alignment horizontal="center" vertical="center"/>
    </xf>
    <xf numFmtId="168" fontId="0" fillId="0" borderId="36" xfId="0" applyNumberFormat="1" applyBorder="1" applyAlignment="1">
      <alignment horizontal="center" vertical="center"/>
    </xf>
    <xf numFmtId="168" fontId="0" fillId="0" borderId="37" xfId="0" applyNumberFormat="1" applyBorder="1" applyAlignment="1">
      <alignment horizontal="center" vertical="center"/>
    </xf>
    <xf numFmtId="168" fontId="0" fillId="0" borderId="38" xfId="0" applyNumberFormat="1" applyBorder="1" applyAlignment="1">
      <alignment horizontal="center" vertical="center"/>
    </xf>
    <xf numFmtId="168" fontId="0" fillId="0" borderId="39" xfId="0" applyNumberFormat="1" applyBorder="1" applyAlignment="1">
      <alignment horizontal="center" vertical="center"/>
    </xf>
    <xf numFmtId="168" fontId="0" fillId="0" borderId="40" xfId="0" applyNumberFormat="1" applyBorder="1" applyAlignment="1">
      <alignment horizontal="center" vertical="center"/>
    </xf>
    <xf numFmtId="0" fontId="0" fillId="0" borderId="14" xfId="0" applyBorder="1"/>
    <xf numFmtId="0" fontId="0" fillId="0" borderId="4" xfId="0" applyBorder="1"/>
    <xf numFmtId="0" fontId="0" fillId="0" borderId="9" xfId="0" applyBorder="1"/>
    <xf numFmtId="0" fontId="0" fillId="0" borderId="10" xfId="0" applyBorder="1"/>
    <xf numFmtId="0" fontId="0" fillId="0" borderId="12" xfId="0" applyBorder="1"/>
    <xf numFmtId="0" fontId="0" fillId="0" borderId="0" xfId="0" quotePrefix="1" applyAlignment="1">
      <alignment horizontal="center" vertical="center"/>
    </xf>
    <xf numFmtId="166" fontId="10" fillId="3" borderId="14" xfId="0" applyNumberFormat="1" applyFont="1" applyFill="1" applyBorder="1" applyAlignment="1">
      <alignment horizontal="center" vertical="center"/>
    </xf>
    <xf numFmtId="166" fontId="10" fillId="3" borderId="4" xfId="0" applyNumberFormat="1" applyFont="1" applyFill="1" applyBorder="1" applyAlignment="1">
      <alignment horizontal="center" vertical="center"/>
    </xf>
    <xf numFmtId="166" fontId="0" fillId="0" borderId="0" xfId="0" applyNumberFormat="1"/>
    <xf numFmtId="10" fontId="0" fillId="0" borderId="11" xfId="0" applyNumberFormat="1" applyBorder="1" applyAlignment="1">
      <alignment horizontal="center"/>
    </xf>
    <xf numFmtId="10" fontId="0" fillId="0" borderId="13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0" fontId="6" fillId="0" borderId="0" xfId="0" applyFont="1" applyAlignment="1">
      <alignment horizontal="center" vertical="center"/>
    </xf>
    <xf numFmtId="9" fontId="0" fillId="0" borderId="0" xfId="0" applyNumberFormat="1"/>
    <xf numFmtId="164" fontId="5" fillId="0" borderId="9" xfId="0" applyNumberFormat="1" applyFont="1" applyBorder="1" applyAlignment="1">
      <alignment horizontal="center" vertical="center"/>
    </xf>
    <xf numFmtId="164" fontId="5" fillId="0" borderId="12" xfId="0" applyNumberFormat="1" applyFont="1" applyBorder="1" applyAlignment="1">
      <alignment horizontal="center" vertical="center"/>
    </xf>
    <xf numFmtId="164" fontId="5" fillId="5" borderId="12" xfId="0" applyNumberFormat="1" applyFont="1" applyFill="1" applyBorder="1" applyAlignment="1">
      <alignment horizontal="center" vertical="center"/>
    </xf>
    <xf numFmtId="164" fontId="5" fillId="5" borderId="10" xfId="0" applyNumberFormat="1" applyFont="1" applyFill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0" fontId="0" fillId="0" borderId="4" xfId="0" applyNumberFormat="1" applyBorder="1" applyAlignment="1">
      <alignment horizontal="center" vertical="center"/>
    </xf>
    <xf numFmtId="10" fontId="0" fillId="0" borderId="10" xfId="0" applyNumberFormat="1" applyBorder="1" applyAlignment="1">
      <alignment horizontal="center" vertical="center"/>
    </xf>
    <xf numFmtId="164" fontId="10" fillId="3" borderId="9" xfId="0" applyNumberFormat="1" applyFont="1" applyFill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10" fillId="3" borderId="12" xfId="0" applyNumberFormat="1" applyFont="1" applyFill="1" applyBorder="1" applyAlignment="1">
      <alignment horizontal="center" vertical="center"/>
    </xf>
    <xf numFmtId="164" fontId="10" fillId="3" borderId="0" xfId="0" applyNumberFormat="1" applyFont="1" applyFill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3" fontId="10" fillId="3" borderId="9" xfId="0" applyNumberFormat="1" applyFont="1" applyFill="1" applyBorder="1" applyAlignment="1">
      <alignment horizontal="center" vertical="center"/>
    </xf>
    <xf numFmtId="3" fontId="10" fillId="3" borderId="12" xfId="0" applyNumberFormat="1" applyFont="1" applyFill="1" applyBorder="1" applyAlignment="1">
      <alignment horizontal="center" vertical="center"/>
    </xf>
    <xf numFmtId="3" fontId="10" fillId="3" borderId="0" xfId="0" applyNumberFormat="1" applyFont="1" applyFill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3" fontId="2" fillId="3" borderId="14" xfId="0" applyNumberFormat="1" applyFont="1" applyFill="1" applyBorder="1" applyAlignment="1">
      <alignment horizontal="center" vertical="center"/>
    </xf>
    <xf numFmtId="3" fontId="2" fillId="3" borderId="4" xfId="0" applyNumberFormat="1" applyFont="1" applyFill="1" applyBorder="1" applyAlignment="1">
      <alignment horizontal="center" vertical="center"/>
    </xf>
    <xf numFmtId="3" fontId="2" fillId="3" borderId="15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167" fontId="0" fillId="6" borderId="0" xfId="0" applyNumberFormat="1" applyFill="1" applyAlignment="1">
      <alignment horizontal="center" vertical="center"/>
    </xf>
    <xf numFmtId="4" fontId="0" fillId="4" borderId="2" xfId="0" applyNumberFormat="1" applyFill="1" applyBorder="1" applyAlignment="1">
      <alignment horizontal="center"/>
    </xf>
    <xf numFmtId="0" fontId="11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164" fontId="11" fillId="0" borderId="2" xfId="0" applyNumberFormat="1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3" fontId="0" fillId="4" borderId="1" xfId="0" applyNumberFormat="1" applyFill="1" applyBorder="1" applyAlignment="1">
      <alignment horizontal="center"/>
    </xf>
    <xf numFmtId="4" fontId="0" fillId="0" borderId="9" xfId="0" applyNumberFormat="1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4" xfId="0" applyNumberFormat="1" applyBorder="1" applyAlignment="1">
      <alignment horizontal="center" vertical="center"/>
    </xf>
    <xf numFmtId="166" fontId="0" fillId="0" borderId="0" xfId="0" quotePrefix="1" applyNumberFormat="1" applyAlignment="1">
      <alignment horizontal="center" vertical="center"/>
    </xf>
    <xf numFmtId="0" fontId="0" fillId="0" borderId="11" xfId="0" applyBorder="1"/>
    <xf numFmtId="0" fontId="0" fillId="0" borderId="13" xfId="0" applyBorder="1"/>
    <xf numFmtId="0" fontId="0" fillId="0" borderId="15" xfId="0" applyBorder="1"/>
    <xf numFmtId="4" fontId="0" fillId="4" borderId="2" xfId="0" applyNumberFormat="1" applyFill="1" applyBorder="1" applyAlignment="1">
      <alignment horizontal="center" vertical="center"/>
    </xf>
    <xf numFmtId="10" fontId="0" fillId="4" borderId="3" xfId="0" applyNumberFormat="1" applyFill="1" applyBorder="1" applyAlignment="1">
      <alignment horizontal="center"/>
    </xf>
    <xf numFmtId="0" fontId="1" fillId="0" borderId="0" xfId="0" applyFont="1" applyAlignment="1">
      <alignment horizontal="left" vertical="center"/>
    </xf>
    <xf numFmtId="3" fontId="0" fillId="3" borderId="2" xfId="0" applyNumberFormat="1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0" borderId="41" xfId="0" applyBorder="1"/>
    <xf numFmtId="0" fontId="0" fillId="0" borderId="42" xfId="0" applyBorder="1"/>
    <xf numFmtId="0" fontId="0" fillId="0" borderId="7" xfId="0" applyBorder="1"/>
    <xf numFmtId="0" fontId="0" fillId="0" borderId="43" xfId="0" applyBorder="1"/>
    <xf numFmtId="0" fontId="0" fillId="0" borderId="6" xfId="0" applyBorder="1"/>
    <xf numFmtId="11" fontId="0" fillId="0" borderId="0" xfId="0" applyNumberFormat="1"/>
    <xf numFmtId="0" fontId="0" fillId="0" borderId="44" xfId="0" applyBorder="1"/>
    <xf numFmtId="0" fontId="0" fillId="0" borderId="45" xfId="0" applyBorder="1"/>
    <xf numFmtId="0" fontId="0" fillId="0" borderId="46" xfId="0" applyBorder="1"/>
    <xf numFmtId="169" fontId="13" fillId="0" borderId="0" xfId="0" applyNumberFormat="1" applyFont="1" applyAlignment="1">
      <alignment horizontal="center" vertical="center"/>
    </xf>
    <xf numFmtId="0" fontId="0" fillId="2" borderId="41" xfId="0" applyFill="1" applyBorder="1"/>
    <xf numFmtId="0" fontId="0" fillId="2" borderId="42" xfId="0" applyFill="1" applyBorder="1"/>
    <xf numFmtId="169" fontId="13" fillId="2" borderId="42" xfId="0" applyNumberFormat="1" applyFont="1" applyFill="1" applyBorder="1" applyAlignment="1">
      <alignment horizontal="center" vertical="center"/>
    </xf>
    <xf numFmtId="0" fontId="0" fillId="2" borderId="7" xfId="0" applyFill="1" applyBorder="1"/>
    <xf numFmtId="0" fontId="0" fillId="2" borderId="43" xfId="0" applyFill="1" applyBorder="1"/>
    <xf numFmtId="0" fontId="0" fillId="2" borderId="0" xfId="0" applyFill="1"/>
    <xf numFmtId="169" fontId="13" fillId="2" borderId="0" xfId="0" applyNumberFormat="1" applyFont="1" applyFill="1" applyAlignment="1">
      <alignment horizontal="center" vertical="center"/>
    </xf>
    <xf numFmtId="0" fontId="0" fillId="2" borderId="6" xfId="0" applyFill="1" applyBorder="1"/>
    <xf numFmtId="0" fontId="0" fillId="0" borderId="0" xfId="0" applyAlignment="1">
      <alignment horizontal="left"/>
    </xf>
    <xf numFmtId="0" fontId="0" fillId="2" borderId="44" xfId="0" applyFill="1" applyBorder="1"/>
    <xf numFmtId="0" fontId="0" fillId="2" borderId="45" xfId="0" applyFill="1" applyBorder="1"/>
    <xf numFmtId="0" fontId="0" fillId="2" borderId="46" xfId="0" applyFill="1" applyBorder="1"/>
    <xf numFmtId="4" fontId="0" fillId="0" borderId="0" xfId="0" quotePrefix="1" applyNumberFormat="1"/>
    <xf numFmtId="165" fontId="5" fillId="0" borderId="15" xfId="0" applyNumberFormat="1" applyFont="1" applyBorder="1" applyAlignment="1">
      <alignment horizontal="center" vertical="center"/>
    </xf>
    <xf numFmtId="167" fontId="0" fillId="0" borderId="4" xfId="0" applyNumberFormat="1" applyBorder="1" applyAlignment="1">
      <alignment horizontal="center" vertical="center"/>
    </xf>
    <xf numFmtId="11" fontId="0" fillId="0" borderId="15" xfId="0" applyNumberFormat="1" applyBorder="1" applyAlignment="1">
      <alignment horizontal="center" vertical="center"/>
    </xf>
    <xf numFmtId="167" fontId="0" fillId="0" borderId="4" xfId="0" applyNumberFormat="1" applyBorder="1"/>
    <xf numFmtId="167" fontId="5" fillId="0" borderId="4" xfId="0" applyNumberFormat="1" applyFont="1" applyBorder="1" applyAlignment="1">
      <alignment horizontal="center" vertical="center"/>
    </xf>
    <xf numFmtId="165" fontId="5" fillId="0" borderId="13" xfId="0" applyNumberFormat="1" applyFont="1" applyBorder="1" applyAlignment="1">
      <alignment horizontal="center" vertical="center"/>
    </xf>
    <xf numFmtId="11" fontId="0" fillId="0" borderId="13" xfId="0" applyNumberFormat="1" applyBorder="1" applyAlignment="1">
      <alignment horizontal="center" vertical="center"/>
    </xf>
    <xf numFmtId="167" fontId="0" fillId="0" borderId="0" xfId="0" applyNumberFormat="1"/>
    <xf numFmtId="0" fontId="6" fillId="0" borderId="0" xfId="0" applyFont="1" applyAlignment="1">
      <alignment horizontal="left"/>
    </xf>
    <xf numFmtId="167" fontId="0" fillId="2" borderId="41" xfId="0" applyNumberFormat="1" applyFill="1" applyBorder="1" applyAlignment="1">
      <alignment horizontal="center" vertical="center"/>
    </xf>
    <xf numFmtId="167" fontId="0" fillId="2" borderId="42" xfId="0" applyNumberFormat="1" applyFill="1" applyBorder="1" applyAlignment="1">
      <alignment horizontal="center" vertical="center"/>
    </xf>
    <xf numFmtId="167" fontId="0" fillId="2" borderId="7" xfId="0" applyNumberFormat="1" applyFill="1" applyBorder="1" applyAlignment="1">
      <alignment horizontal="center" vertical="center"/>
    </xf>
    <xf numFmtId="167" fontId="0" fillId="2" borderId="43" xfId="0" applyNumberFormat="1" applyFill="1" applyBorder="1" applyAlignment="1">
      <alignment horizontal="center" vertical="center"/>
    </xf>
    <xf numFmtId="167" fontId="0" fillId="2" borderId="0" xfId="0" applyNumberFormat="1" applyFill="1" applyAlignment="1">
      <alignment horizontal="center" vertical="center"/>
    </xf>
    <xf numFmtId="167" fontId="0" fillId="2" borderId="6" xfId="0" applyNumberFormat="1" applyFill="1" applyBorder="1" applyAlignment="1">
      <alignment horizontal="center" vertical="center"/>
    </xf>
    <xf numFmtId="165" fontId="5" fillId="0" borderId="11" xfId="0" applyNumberFormat="1" applyFont="1" applyBorder="1" applyAlignment="1">
      <alignment horizontal="center" vertical="center"/>
    </xf>
    <xf numFmtId="167" fontId="0" fillId="0" borderId="45" xfId="0" applyNumberFormat="1" applyBorder="1" applyAlignment="1">
      <alignment horizontal="center" vertical="center"/>
    </xf>
    <xf numFmtId="169" fontId="0" fillId="0" borderId="11" xfId="0" quotePrefix="1" applyNumberFormat="1" applyBorder="1" applyAlignment="1">
      <alignment horizontal="center" vertical="center"/>
    </xf>
    <xf numFmtId="167" fontId="0" fillId="0" borderId="45" xfId="0" quotePrefix="1" applyNumberFormat="1" applyBorder="1" applyAlignment="1">
      <alignment horizontal="center" vertical="center"/>
    </xf>
    <xf numFmtId="167" fontId="5" fillId="0" borderId="10" xfId="0" applyNumberFormat="1" applyFont="1" applyBorder="1" applyAlignment="1">
      <alignment horizontal="center" vertical="center"/>
    </xf>
    <xf numFmtId="167" fontId="0" fillId="2" borderId="44" xfId="0" applyNumberFormat="1" applyFill="1" applyBorder="1" applyAlignment="1">
      <alignment horizontal="center" vertical="center"/>
    </xf>
    <xf numFmtId="167" fontId="0" fillId="2" borderId="45" xfId="0" applyNumberFormat="1" applyFill="1" applyBorder="1" applyAlignment="1">
      <alignment horizontal="center" vertical="center"/>
    </xf>
    <xf numFmtId="167" fontId="0" fillId="2" borderId="46" xfId="0" applyNumberFormat="1" applyFill="1" applyBorder="1" applyAlignment="1">
      <alignment horizontal="center" vertical="center"/>
    </xf>
    <xf numFmtId="4" fontId="10" fillId="3" borderId="15" xfId="0" applyNumberFormat="1" applyFont="1" applyFill="1" applyBorder="1" applyAlignment="1">
      <alignment horizontal="center" vertical="center"/>
    </xf>
    <xf numFmtId="4" fontId="10" fillId="3" borderId="4" xfId="0" applyNumberFormat="1" applyFont="1" applyFill="1" applyBorder="1" applyAlignment="1">
      <alignment horizontal="center" vertical="center"/>
    </xf>
    <xf numFmtId="4" fontId="4" fillId="0" borderId="4" xfId="0" applyNumberFormat="1" applyFont="1" applyBorder="1" applyAlignment="1">
      <alignment horizontal="center" vertical="center"/>
    </xf>
    <xf numFmtId="4" fontId="0" fillId="0" borderId="4" xfId="0" applyNumberFormat="1" applyBorder="1" applyAlignment="1">
      <alignment horizontal="center" vertical="center"/>
    </xf>
    <xf numFmtId="4" fontId="2" fillId="3" borderId="4" xfId="0" applyNumberFormat="1" applyFont="1" applyFill="1" applyBorder="1" applyAlignment="1">
      <alignment horizontal="center" vertical="center"/>
    </xf>
    <xf numFmtId="4" fontId="2" fillId="3" borderId="14" xfId="0" applyNumberFormat="1" applyFont="1" applyFill="1" applyBorder="1" applyAlignment="1">
      <alignment horizontal="center" vertical="center"/>
    </xf>
    <xf numFmtId="167" fontId="0" fillId="0" borderId="41" xfId="0" applyNumberFormat="1" applyBorder="1" applyAlignment="1">
      <alignment horizontal="center" vertical="center"/>
    </xf>
    <xf numFmtId="165" fontId="5" fillId="0" borderId="42" xfId="0" applyNumberFormat="1" applyFont="1" applyBorder="1" applyAlignment="1">
      <alignment horizontal="center" vertical="center"/>
    </xf>
    <xf numFmtId="11" fontId="0" fillId="0" borderId="47" xfId="0" applyNumberFormat="1" applyBorder="1" applyAlignment="1">
      <alignment horizontal="center" vertical="center"/>
    </xf>
    <xf numFmtId="167" fontId="0" fillId="0" borderId="16" xfId="0" applyNumberFormat="1" applyBorder="1" applyAlignment="1">
      <alignment horizontal="center" vertical="center"/>
    </xf>
    <xf numFmtId="167" fontId="0" fillId="4" borderId="16" xfId="0" applyNumberFormat="1" applyFill="1" applyBorder="1" applyAlignment="1">
      <alignment horizontal="center" vertical="center"/>
    </xf>
    <xf numFmtId="167" fontId="5" fillId="0" borderId="16" xfId="0" applyNumberFormat="1" applyFont="1" applyBorder="1" applyAlignment="1">
      <alignment horizontal="center" vertical="center"/>
    </xf>
    <xf numFmtId="4" fontId="0" fillId="0" borderId="16" xfId="0" applyNumberFormat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67" fontId="0" fillId="0" borderId="0" xfId="0" quotePrefix="1" applyNumberFormat="1" applyAlignment="1">
      <alignment horizontal="center" vertical="center"/>
    </xf>
    <xf numFmtId="167" fontId="4" fillId="4" borderId="15" xfId="0" applyNumberFormat="1" applyFont="1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17" fillId="0" borderId="0" xfId="0" applyFont="1"/>
    <xf numFmtId="4" fontId="10" fillId="3" borderId="0" xfId="0" applyNumberFormat="1" applyFont="1" applyFill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4" fontId="2" fillId="3" borderId="0" xfId="0" applyNumberFormat="1" applyFont="1" applyFill="1" applyAlignment="1">
      <alignment horizontal="center" vertical="center"/>
    </xf>
    <xf numFmtId="4" fontId="2" fillId="3" borderId="12" xfId="0" applyNumberFormat="1" applyFont="1" applyFill="1" applyBorder="1" applyAlignment="1">
      <alignment horizontal="center" vertical="center"/>
    </xf>
    <xf numFmtId="167" fontId="0" fillId="0" borderId="43" xfId="0" applyNumberFormat="1" applyBorder="1" applyAlignment="1">
      <alignment horizontal="center" vertical="center"/>
    </xf>
    <xf numFmtId="165" fontId="5" fillId="0" borderId="0" xfId="0" applyNumberFormat="1" applyFont="1" applyAlignment="1">
      <alignment horizontal="center" vertical="center"/>
    </xf>
    <xf numFmtId="11" fontId="0" fillId="0" borderId="43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7" fontId="4" fillId="4" borderId="13" xfId="0" applyNumberFormat="1" applyFont="1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4" fontId="4" fillId="0" borderId="12" xfId="0" applyNumberFormat="1" applyFont="1" applyBorder="1" applyAlignment="1">
      <alignment horizontal="center" vertical="center"/>
    </xf>
    <xf numFmtId="4" fontId="10" fillId="3" borderId="12" xfId="0" applyNumberFormat="1" applyFont="1" applyFill="1" applyBorder="1" applyAlignment="1">
      <alignment horizontal="center" vertical="center"/>
    </xf>
    <xf numFmtId="4" fontId="0" fillId="0" borderId="10" xfId="0" applyNumberFormat="1" applyBorder="1" applyAlignment="1">
      <alignment horizontal="center" vertical="center"/>
    </xf>
    <xf numFmtId="4" fontId="10" fillId="3" borderId="9" xfId="0" applyNumberFormat="1" applyFont="1" applyFill="1" applyBorder="1" applyAlignment="1">
      <alignment horizontal="center" vertical="center"/>
    </xf>
    <xf numFmtId="167" fontId="0" fillId="0" borderId="44" xfId="0" applyNumberFormat="1" applyBorder="1" applyAlignment="1">
      <alignment horizontal="center" vertical="center"/>
    </xf>
    <xf numFmtId="165" fontId="5" fillId="0" borderId="45" xfId="0" applyNumberFormat="1" applyFont="1" applyBorder="1" applyAlignment="1">
      <alignment horizontal="center" vertical="center"/>
    </xf>
    <xf numFmtId="4" fontId="0" fillId="0" borderId="46" xfId="0" applyNumberFormat="1" applyBorder="1" applyAlignment="1">
      <alignment horizontal="center" vertical="center"/>
    </xf>
    <xf numFmtId="11" fontId="0" fillId="0" borderId="44" xfId="0" applyNumberFormat="1" applyBorder="1" applyAlignment="1">
      <alignment horizontal="center" vertical="center"/>
    </xf>
    <xf numFmtId="167" fontId="0" fillId="4" borderId="45" xfId="0" applyNumberFormat="1" applyFill="1" applyBorder="1" applyAlignment="1">
      <alignment horizontal="center" vertical="center"/>
    </xf>
    <xf numFmtId="167" fontId="5" fillId="0" borderId="45" xfId="0" applyNumberFormat="1" applyFont="1" applyBorder="1" applyAlignment="1">
      <alignment horizontal="center" vertical="center"/>
    </xf>
    <xf numFmtId="4" fontId="0" fillId="0" borderId="45" xfId="0" applyNumberForma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167" fontId="4" fillId="4" borderId="11" xfId="0" applyNumberFormat="1" applyFon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0" fontId="0" fillId="0" borderId="0" xfId="0" quotePrefix="1"/>
    <xf numFmtId="0" fontId="18" fillId="0" borderId="0" xfId="0" applyFont="1"/>
    <xf numFmtId="0" fontId="17" fillId="0" borderId="0" xfId="0" applyFont="1" applyAlignment="1">
      <alignment horizontal="center" vertical="center"/>
    </xf>
    <xf numFmtId="0" fontId="17" fillId="3" borderId="15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3" fontId="19" fillId="3" borderId="15" xfId="0" applyNumberFormat="1" applyFont="1" applyFill="1" applyBorder="1" applyAlignment="1">
      <alignment horizontal="center" vertical="center"/>
    </xf>
    <xf numFmtId="165" fontId="19" fillId="3" borderId="4" xfId="0" applyNumberFormat="1" applyFont="1" applyFill="1" applyBorder="1" applyAlignment="1">
      <alignment horizontal="center" vertical="center"/>
    </xf>
    <xf numFmtId="4" fontId="19" fillId="3" borderId="4" xfId="0" applyNumberFormat="1" applyFont="1" applyFill="1" applyBorder="1" applyAlignment="1">
      <alignment horizontal="center" vertical="center"/>
    </xf>
    <xf numFmtId="164" fontId="19" fillId="3" borderId="4" xfId="0" applyNumberFormat="1" applyFont="1" applyFill="1" applyBorder="1" applyAlignment="1">
      <alignment horizontal="center" vertical="center"/>
    </xf>
    <xf numFmtId="3" fontId="19" fillId="3" borderId="4" xfId="0" applyNumberFormat="1" applyFont="1" applyFill="1" applyBorder="1" applyAlignment="1">
      <alignment horizontal="center" vertical="center"/>
    </xf>
    <xf numFmtId="15" fontId="19" fillId="3" borderId="4" xfId="0" applyNumberFormat="1" applyFont="1" applyFill="1" applyBorder="1" applyAlignment="1">
      <alignment horizontal="center" vertical="center"/>
    </xf>
    <xf numFmtId="15" fontId="19" fillId="3" borderId="14" xfId="0" applyNumberFormat="1" applyFont="1" applyFill="1" applyBorder="1" applyAlignment="1">
      <alignment horizontal="center" vertical="center"/>
    </xf>
    <xf numFmtId="0" fontId="20" fillId="0" borderId="13" xfId="0" applyFont="1" applyBorder="1" applyAlignment="1">
      <alignment horizontal="right" vertical="center"/>
    </xf>
    <xf numFmtId="0" fontId="20" fillId="0" borderId="0" xfId="0" applyFont="1" applyAlignment="1">
      <alignment horizontal="right" vertical="center"/>
    </xf>
    <xf numFmtId="0" fontId="17" fillId="3" borderId="13" xfId="0" applyFont="1" applyFill="1" applyBorder="1" applyAlignment="1">
      <alignment horizontal="center" vertical="center"/>
    </xf>
    <xf numFmtId="0" fontId="17" fillId="3" borderId="12" xfId="0" applyFont="1" applyFill="1" applyBorder="1" applyAlignment="1">
      <alignment horizontal="center" vertical="center"/>
    </xf>
    <xf numFmtId="3" fontId="19" fillId="3" borderId="13" xfId="0" applyNumberFormat="1" applyFont="1" applyFill="1" applyBorder="1" applyAlignment="1">
      <alignment horizontal="center" vertical="center"/>
    </xf>
    <xf numFmtId="165" fontId="19" fillId="3" borderId="0" xfId="0" applyNumberFormat="1" applyFont="1" applyFill="1" applyAlignment="1">
      <alignment horizontal="center" vertical="center"/>
    </xf>
    <xf numFmtId="4" fontId="19" fillId="3" borderId="0" xfId="0" applyNumberFormat="1" applyFont="1" applyFill="1" applyAlignment="1">
      <alignment horizontal="center" vertical="center"/>
    </xf>
    <xf numFmtId="164" fontId="19" fillId="3" borderId="0" xfId="0" applyNumberFormat="1" applyFont="1" applyFill="1" applyAlignment="1">
      <alignment horizontal="center" vertical="center"/>
    </xf>
    <xf numFmtId="3" fontId="19" fillId="3" borderId="0" xfId="0" applyNumberFormat="1" applyFont="1" applyFill="1" applyAlignment="1">
      <alignment horizontal="center" vertical="center"/>
    </xf>
    <xf numFmtId="15" fontId="19" fillId="3" borderId="0" xfId="0" applyNumberFormat="1" applyFont="1" applyFill="1" applyAlignment="1">
      <alignment horizontal="center" vertical="center"/>
    </xf>
    <xf numFmtId="15" fontId="19" fillId="3" borderId="12" xfId="0" applyNumberFormat="1" applyFont="1" applyFill="1" applyBorder="1" applyAlignment="1">
      <alignment horizontal="center" vertical="center"/>
    </xf>
    <xf numFmtId="0" fontId="0" fillId="3" borderId="14" xfId="0" applyFill="1" applyBorder="1" applyAlignment="1">
      <alignment horizontal="left" vertical="center"/>
    </xf>
    <xf numFmtId="0" fontId="0" fillId="3" borderId="12" xfId="0" applyFill="1" applyBorder="1" applyAlignment="1">
      <alignment horizontal="left" vertical="center"/>
    </xf>
    <xf numFmtId="0" fontId="21" fillId="3" borderId="13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22" fillId="3" borderId="12" xfId="0" applyFont="1" applyFill="1" applyBorder="1" applyAlignment="1">
      <alignment horizontal="left" vertical="center"/>
    </xf>
    <xf numFmtId="3" fontId="19" fillId="3" borderId="3" xfId="0" applyNumberFormat="1" applyFont="1" applyFill="1" applyBorder="1" applyAlignment="1">
      <alignment horizontal="center" vertical="center"/>
    </xf>
    <xf numFmtId="0" fontId="0" fillId="3" borderId="3" xfId="0" applyFill="1" applyBorder="1" applyAlignment="1">
      <alignment horizontal="left" vertical="center"/>
    </xf>
    <xf numFmtId="0" fontId="0" fillId="3" borderId="12" xfId="0" applyFill="1" applyBorder="1" applyAlignment="1">
      <alignment horizontal="center" vertical="center"/>
    </xf>
    <xf numFmtId="3" fontId="19" fillId="3" borderId="2" xfId="0" applyNumberFormat="1" applyFont="1" applyFill="1" applyBorder="1" applyAlignment="1">
      <alignment horizontal="center" vertical="center"/>
    </xf>
    <xf numFmtId="0" fontId="0" fillId="3" borderId="2" xfId="0" applyFill="1" applyBorder="1" applyAlignment="1">
      <alignment horizontal="left" vertical="center"/>
    </xf>
    <xf numFmtId="3" fontId="19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167" fontId="21" fillId="3" borderId="15" xfId="0" applyNumberFormat="1" applyFont="1" applyFill="1" applyBorder="1" applyAlignment="1">
      <alignment horizontal="center" vertical="center"/>
    </xf>
    <xf numFmtId="0" fontId="21" fillId="3" borderId="14" xfId="0" applyFont="1" applyFill="1" applyBorder="1" applyAlignment="1">
      <alignment horizontal="center" vertical="center"/>
    </xf>
    <xf numFmtId="4" fontId="19" fillId="3" borderId="13" xfId="0" applyNumberFormat="1" applyFont="1" applyFill="1" applyBorder="1" applyAlignment="1">
      <alignment horizontal="center" vertical="center"/>
    </xf>
    <xf numFmtId="167" fontId="21" fillId="3" borderId="13" xfId="0" applyNumberFormat="1" applyFont="1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167" fontId="23" fillId="3" borderId="3" xfId="0" applyNumberFormat="1" applyFont="1" applyFill="1" applyBorder="1" applyAlignment="1">
      <alignment horizontal="center" vertical="center"/>
    </xf>
    <xf numFmtId="166" fontId="19" fillId="3" borderId="13" xfId="0" applyNumberFormat="1" applyFont="1" applyFill="1" applyBorder="1" applyAlignment="1">
      <alignment horizontal="center" vertical="center"/>
    </xf>
    <xf numFmtId="4" fontId="0" fillId="6" borderId="3" xfId="0" applyNumberFormat="1" applyFill="1" applyBorder="1" applyAlignment="1">
      <alignment horizontal="center" vertical="center"/>
    </xf>
    <xf numFmtId="167" fontId="21" fillId="3" borderId="11" xfId="0" applyNumberFormat="1" applyFont="1" applyFill="1" applyBorder="1" applyAlignment="1">
      <alignment horizontal="center" vertical="center"/>
    </xf>
    <xf numFmtId="0" fontId="21" fillId="3" borderId="9" xfId="0" applyFont="1" applyFill="1" applyBorder="1" applyAlignment="1">
      <alignment horizontal="center" vertical="center"/>
    </xf>
    <xf numFmtId="4" fontId="0" fillId="6" borderId="2" xfId="0" applyNumberFormat="1" applyFill="1" applyBorder="1" applyAlignment="1">
      <alignment horizontal="center" vertical="center"/>
    </xf>
    <xf numFmtId="164" fontId="19" fillId="3" borderId="13" xfId="0" applyNumberFormat="1" applyFont="1" applyFill="1" applyBorder="1" applyAlignment="1">
      <alignment horizontal="center" vertical="center"/>
    </xf>
    <xf numFmtId="164" fontId="0" fillId="6" borderId="2" xfId="0" applyNumberFormat="1" applyFill="1" applyBorder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0" fillId="0" borderId="0" xfId="0" quotePrefix="1" applyAlignment="1">
      <alignment vertical="center"/>
    </xf>
    <xf numFmtId="3" fontId="0" fillId="6" borderId="2" xfId="0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17" fillId="3" borderId="11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3" fontId="19" fillId="3" borderId="11" xfId="0" applyNumberFormat="1" applyFont="1" applyFill="1" applyBorder="1" applyAlignment="1">
      <alignment horizontal="center" vertical="center"/>
    </xf>
    <xf numFmtId="165" fontId="19" fillId="3" borderId="10" xfId="0" applyNumberFormat="1" applyFont="1" applyFill="1" applyBorder="1" applyAlignment="1">
      <alignment horizontal="center" vertical="center"/>
    </xf>
    <xf numFmtId="4" fontId="19" fillId="3" borderId="10" xfId="0" applyNumberFormat="1" applyFont="1" applyFill="1" applyBorder="1" applyAlignment="1">
      <alignment horizontal="center" vertical="center"/>
    </xf>
    <xf numFmtId="164" fontId="19" fillId="3" borderId="10" xfId="0" applyNumberFormat="1" applyFont="1" applyFill="1" applyBorder="1" applyAlignment="1">
      <alignment horizontal="center" vertical="center"/>
    </xf>
    <xf numFmtId="3" fontId="19" fillId="3" borderId="10" xfId="0" applyNumberFormat="1" applyFont="1" applyFill="1" applyBorder="1" applyAlignment="1">
      <alignment horizontal="center" vertical="center"/>
    </xf>
    <xf numFmtId="15" fontId="19" fillId="3" borderId="10" xfId="0" applyNumberFormat="1" applyFont="1" applyFill="1" applyBorder="1" applyAlignment="1">
      <alignment horizontal="center" vertical="center"/>
    </xf>
    <xf numFmtId="15" fontId="19" fillId="3" borderId="9" xfId="0" applyNumberFormat="1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22" fillId="3" borderId="9" xfId="0" applyFont="1" applyFill="1" applyBorder="1" applyAlignment="1">
      <alignment horizontal="left" vertical="center"/>
    </xf>
    <xf numFmtId="0" fontId="17" fillId="7" borderId="49" xfId="0" applyFont="1" applyFill="1" applyBorder="1" applyAlignment="1">
      <alignment horizontal="center" vertical="center"/>
    </xf>
    <xf numFmtId="0" fontId="17" fillId="7" borderId="50" xfId="0" applyFont="1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0" fillId="7" borderId="51" xfId="0" applyFill="1" applyBorder="1" applyAlignment="1">
      <alignment horizontal="center" vertical="center"/>
    </xf>
    <xf numFmtId="164" fontId="0" fillId="7" borderId="51" xfId="0" applyNumberFormat="1" applyFill="1" applyBorder="1" applyAlignment="1">
      <alignment horizontal="center" vertical="center"/>
    </xf>
    <xf numFmtId="0" fontId="0" fillId="7" borderId="5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3" borderId="9" xfId="0" applyFill="1" applyBorder="1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171" fontId="0" fillId="4" borderId="5" xfId="0" applyNumberForma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165" fontId="11" fillId="0" borderId="0" xfId="0" applyNumberFormat="1" applyFont="1" applyAlignment="1">
      <alignment horizontal="center" vertical="center"/>
    </xf>
    <xf numFmtId="4" fontId="17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0" xfId="0" applyFont="1"/>
    <xf numFmtId="3" fontId="4" fillId="0" borderId="0" xfId="0" applyNumberFormat="1" applyFont="1" applyAlignment="1">
      <alignment horizontal="center" vertical="center"/>
    </xf>
    <xf numFmtId="166" fontId="5" fillId="0" borderId="0" xfId="0" applyNumberFormat="1" applyFont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/>
    </xf>
    <xf numFmtId="10" fontId="0" fillId="3" borderId="10" xfId="0" applyNumberFormat="1" applyFill="1" applyBorder="1" applyAlignment="1">
      <alignment horizontal="center" vertical="center"/>
    </xf>
    <xf numFmtId="10" fontId="0" fillId="3" borderId="0" xfId="0" applyNumberFormat="1" applyFill="1" applyAlignment="1">
      <alignment horizontal="center" vertical="center"/>
    </xf>
    <xf numFmtId="10" fontId="0" fillId="3" borderId="4" xfId="0" applyNumberForma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4" fontId="0" fillId="8" borderId="10" xfId="0" applyNumberFormat="1" applyFill="1" applyBorder="1" applyAlignment="1">
      <alignment horizontal="center" vertical="center"/>
    </xf>
    <xf numFmtId="4" fontId="0" fillId="8" borderId="11" xfId="0" applyNumberFormat="1" applyFill="1" applyBorder="1" applyAlignment="1">
      <alignment horizontal="center" vertical="center"/>
    </xf>
    <xf numFmtId="4" fontId="0" fillId="8" borderId="0" xfId="0" applyNumberFormat="1" applyFill="1" applyAlignment="1">
      <alignment horizontal="center" vertical="center"/>
    </xf>
    <xf numFmtId="4" fontId="0" fillId="8" borderId="13" xfId="0" applyNumberFormat="1" applyFill="1" applyBorder="1" applyAlignment="1">
      <alignment horizontal="center" vertical="center"/>
    </xf>
    <xf numFmtId="4" fontId="0" fillId="8" borderId="4" xfId="0" applyNumberFormat="1" applyFill="1" applyBorder="1" applyAlignment="1">
      <alignment horizontal="center" vertical="center"/>
    </xf>
    <xf numFmtId="4" fontId="0" fillId="8" borderId="15" xfId="0" applyNumberFormat="1" applyFill="1" applyBorder="1" applyAlignment="1">
      <alignment horizontal="center" vertical="center"/>
    </xf>
    <xf numFmtId="4" fontId="0" fillId="9" borderId="9" xfId="0" applyNumberFormat="1" applyFill="1" applyBorder="1" applyAlignment="1">
      <alignment horizontal="center" vertical="center"/>
    </xf>
    <xf numFmtId="4" fontId="0" fillId="9" borderId="12" xfId="0" applyNumberFormat="1" applyFill="1" applyBorder="1" applyAlignment="1">
      <alignment horizontal="center" vertical="center"/>
    </xf>
    <xf numFmtId="4" fontId="0" fillId="9" borderId="14" xfId="0" applyNumberFormat="1" applyFill="1" applyBorder="1" applyAlignment="1">
      <alignment horizontal="center" vertical="center"/>
    </xf>
    <xf numFmtId="10" fontId="0" fillId="8" borderId="10" xfId="0" applyNumberFormat="1" applyFill="1" applyBorder="1" applyAlignment="1">
      <alignment horizontal="center" vertical="center"/>
    </xf>
    <xf numFmtId="10" fontId="0" fillId="8" borderId="11" xfId="0" applyNumberFormat="1" applyFill="1" applyBorder="1" applyAlignment="1">
      <alignment horizontal="center" vertical="center"/>
    </xf>
    <xf numFmtId="10" fontId="0" fillId="8" borderId="0" xfId="0" applyNumberFormat="1" applyFill="1" applyAlignment="1">
      <alignment horizontal="center" vertical="center"/>
    </xf>
    <xf numFmtId="10" fontId="0" fillId="8" borderId="13" xfId="0" applyNumberFormat="1" applyFill="1" applyBorder="1" applyAlignment="1">
      <alignment horizontal="center" vertical="center"/>
    </xf>
    <xf numFmtId="10" fontId="0" fillId="8" borderId="4" xfId="0" applyNumberFormat="1" applyFill="1" applyBorder="1" applyAlignment="1">
      <alignment horizontal="center" vertical="center"/>
    </xf>
    <xf numFmtId="10" fontId="0" fillId="8" borderId="15" xfId="0" applyNumberFormat="1" applyFill="1" applyBorder="1" applyAlignment="1">
      <alignment horizontal="center" vertical="center"/>
    </xf>
    <xf numFmtId="4" fontId="0" fillId="3" borderId="9" xfId="0" applyNumberFormat="1" applyFill="1" applyBorder="1" applyAlignment="1">
      <alignment horizontal="center" vertical="center"/>
    </xf>
    <xf numFmtId="3" fontId="0" fillId="3" borderId="10" xfId="0" applyNumberFormat="1" applyFill="1" applyBorder="1" applyAlignment="1">
      <alignment horizontal="center" vertical="center"/>
    </xf>
    <xf numFmtId="166" fontId="0" fillId="3" borderId="10" xfId="0" applyNumberFormat="1" applyFill="1" applyBorder="1" applyAlignment="1">
      <alignment horizontal="center" vertical="center"/>
    </xf>
    <xf numFmtId="3" fontId="0" fillId="3" borderId="11" xfId="0" applyNumberFormat="1" applyFill="1" applyBorder="1" applyAlignment="1">
      <alignment horizontal="center" vertical="center"/>
    </xf>
    <xf numFmtId="4" fontId="0" fillId="3" borderId="12" xfId="0" applyNumberFormat="1" applyFill="1" applyBorder="1" applyAlignment="1">
      <alignment horizontal="center" vertical="center"/>
    </xf>
    <xf numFmtId="3" fontId="0" fillId="3" borderId="0" xfId="0" applyNumberFormat="1" applyFill="1" applyAlignment="1">
      <alignment horizontal="center" vertical="center"/>
    </xf>
    <xf numFmtId="166" fontId="0" fillId="3" borderId="0" xfId="0" applyNumberFormat="1" applyFill="1" applyAlignment="1">
      <alignment horizontal="center" vertical="center"/>
    </xf>
    <xf numFmtId="3" fontId="0" fillId="3" borderId="13" xfId="0" applyNumberFormat="1" applyFill="1" applyBorder="1" applyAlignment="1">
      <alignment horizontal="center" vertical="center"/>
    </xf>
    <xf numFmtId="4" fontId="0" fillId="3" borderId="14" xfId="0" applyNumberFormat="1" applyFill="1" applyBorder="1" applyAlignment="1">
      <alignment horizontal="center" vertical="center"/>
    </xf>
    <xf numFmtId="3" fontId="0" fillId="3" borderId="4" xfId="0" applyNumberFormat="1" applyFill="1" applyBorder="1" applyAlignment="1">
      <alignment horizontal="center" vertical="center"/>
    </xf>
    <xf numFmtId="166" fontId="0" fillId="3" borderId="4" xfId="0" applyNumberFormat="1" applyFill="1" applyBorder="1" applyAlignment="1">
      <alignment horizontal="center" vertical="center"/>
    </xf>
    <xf numFmtId="3" fontId="0" fillId="3" borderId="15" xfId="0" applyNumberFormat="1" applyFill="1" applyBorder="1" applyAlignment="1">
      <alignment horizontal="center" vertical="center"/>
    </xf>
    <xf numFmtId="3" fontId="4" fillId="3" borderId="1" xfId="0" applyNumberFormat="1" applyFont="1" applyFill="1" applyBorder="1" applyAlignment="1">
      <alignment horizontal="center" vertical="center"/>
    </xf>
    <xf numFmtId="3" fontId="4" fillId="3" borderId="2" xfId="0" applyNumberFormat="1" applyFont="1" applyFill="1" applyBorder="1" applyAlignment="1">
      <alignment horizontal="center" vertical="center"/>
    </xf>
    <xf numFmtId="3" fontId="0" fillId="3" borderId="2" xfId="0" applyNumberFormat="1" applyFill="1" applyBorder="1" applyAlignment="1">
      <alignment horizontal="center" vertical="center"/>
    </xf>
    <xf numFmtId="4" fontId="0" fillId="3" borderId="2" xfId="0" applyNumberFormat="1" applyFill="1" applyBorder="1" applyAlignment="1">
      <alignment horizontal="center" vertical="center"/>
    </xf>
    <xf numFmtId="164" fontId="0" fillId="3" borderId="2" xfId="0" applyNumberFormat="1" applyFill="1" applyBorder="1" applyAlignment="1">
      <alignment horizontal="center" vertical="center"/>
    </xf>
    <xf numFmtId="166" fontId="5" fillId="3" borderId="3" xfId="0" applyNumberFormat="1" applyFont="1" applyFill="1" applyBorder="1" applyAlignment="1">
      <alignment horizontal="center" vertical="center"/>
    </xf>
    <xf numFmtId="164" fontId="0" fillId="3" borderId="10" xfId="0" applyNumberFormat="1" applyFill="1" applyBorder="1" applyAlignment="1">
      <alignment horizontal="center" vertical="center"/>
    </xf>
    <xf numFmtId="164" fontId="0" fillId="3" borderId="0" xfId="0" applyNumberFormat="1" applyFill="1" applyAlignment="1">
      <alignment horizontal="center" vertical="center"/>
    </xf>
    <xf numFmtId="164" fontId="0" fillId="3" borderId="4" xfId="0" applyNumberFormat="1" applyFill="1" applyBorder="1" applyAlignment="1">
      <alignment horizontal="center" vertical="center"/>
    </xf>
    <xf numFmtId="4" fontId="2" fillId="5" borderId="5" xfId="0" applyNumberFormat="1" applyFont="1" applyFill="1" applyBorder="1" applyAlignment="1">
      <alignment horizontal="center" vertical="center"/>
    </xf>
    <xf numFmtId="4" fontId="2" fillId="5" borderId="52" xfId="0" applyNumberFormat="1" applyFont="1" applyFill="1" applyBorder="1" applyAlignment="1">
      <alignment horizontal="center" vertical="center"/>
    </xf>
    <xf numFmtId="4" fontId="2" fillId="5" borderId="53" xfId="0" applyNumberFormat="1" applyFont="1" applyFill="1" applyBorder="1" applyAlignment="1">
      <alignment horizontal="center" vertical="center"/>
    </xf>
    <xf numFmtId="4" fontId="2" fillId="5" borderId="54" xfId="0" applyNumberFormat="1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4" fontId="5" fillId="0" borderId="0" xfId="0" applyNumberFormat="1" applyFont="1" applyAlignment="1">
      <alignment horizontal="center" vertical="center"/>
    </xf>
    <xf numFmtId="0" fontId="4" fillId="0" borderId="0" xfId="0" applyFont="1"/>
    <xf numFmtId="0" fontId="10" fillId="0" borderId="0" xfId="0" applyFont="1"/>
    <xf numFmtId="0" fontId="0" fillId="0" borderId="14" xfId="0" applyBorder="1"/>
    <xf numFmtId="0" fontId="0" fillId="0" borderId="4" xfId="0" applyBorder="1"/>
    <xf numFmtId="0" fontId="0" fillId="0" borderId="9" xfId="0" applyBorder="1"/>
    <xf numFmtId="0" fontId="0" fillId="0" borderId="10" xfId="0" applyBorder="1"/>
    <xf numFmtId="0" fontId="0" fillId="0" borderId="12" xfId="0" applyBorder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FFFFCC"/>
      <color rgb="FFFFFF99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SOFR Forward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212372605248907"/>
          <c:y val="0.10911595727953362"/>
          <c:w val="0.83554213589722881"/>
          <c:h val="0.79763392479165907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'IR Yield Curve'!$AD$24:$AD$34</c:f>
              <c:numCache>
                <c:formatCode>#,##0.00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'IR Yield Curve'!$AE$24:$AE$34</c:f>
              <c:numCache>
                <c:formatCode>0.00000%</c:formatCode>
                <c:ptCount val="11"/>
                <c:pt idx="0">
                  <c:v>4.7412179981582654E-2</c:v>
                </c:pt>
                <c:pt idx="1">
                  <c:v>4.4297700000000037E-2</c:v>
                </c:pt>
                <c:pt idx="2">
                  <c:v>4.118322001841742E-2</c:v>
                </c:pt>
                <c:pt idx="3">
                  <c:v>3.9102414838936221E-2</c:v>
                </c:pt>
                <c:pt idx="4">
                  <c:v>3.7885484953529648E-2</c:v>
                </c:pt>
                <c:pt idx="5">
                  <c:v>3.7348384624779976E-2</c:v>
                </c:pt>
                <c:pt idx="6">
                  <c:v>3.7295627680444789E-2</c:v>
                </c:pt>
                <c:pt idx="7">
                  <c:v>3.7128176164857161E-2</c:v>
                </c:pt>
                <c:pt idx="8">
                  <c:v>3.7445915736878665E-2</c:v>
                </c:pt>
                <c:pt idx="9">
                  <c:v>3.7912696548201001E-2</c:v>
                </c:pt>
                <c:pt idx="10">
                  <c:v>3.8228035792041849E-2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2F1-455A-A416-785C5D5AC3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843968"/>
        <c:axId val="129845504"/>
      </c:lineChart>
      <c:catAx>
        <c:axId val="129843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  <a:r>
                  <a:rPr lang="en-GB" baseline="0"/>
                  <a:t> in Y</a:t>
                </a:r>
                <a:r>
                  <a:rPr lang="en-GB"/>
                  <a:t>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845504"/>
        <c:crosses val="autoZero"/>
        <c:auto val="1"/>
        <c:lblAlgn val="ctr"/>
        <c:lblOffset val="100"/>
        <c:noMultiLvlLbl val="0"/>
      </c:catAx>
      <c:valAx>
        <c:axId val="129845504"/>
        <c:scaling>
          <c:orientation val="minMax"/>
          <c:min val="3.000000000000000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Forward</a:t>
                </a:r>
                <a:r>
                  <a:rPr lang="en-GB" baseline="0"/>
                  <a:t> Rate, %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B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843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'Credit Curve AAPL'!$T$23</c:f>
              <c:strCache>
                <c:ptCount val="1"/>
                <c:pt idx="0">
                  <c:v>Hazard Rate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'Credit Curve AAPL'!$S$24:$S$35</c:f>
              <c:numCache>
                <c:formatCode>#,##0.00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1.01</c:v>
                </c:pt>
                <c:pt idx="3">
                  <c:v>2</c:v>
                </c:pt>
                <c:pt idx="4">
                  <c:v>2.0099999999999998</c:v>
                </c:pt>
                <c:pt idx="5">
                  <c:v>3</c:v>
                </c:pt>
                <c:pt idx="6">
                  <c:v>3.01</c:v>
                </c:pt>
                <c:pt idx="7">
                  <c:v>4</c:v>
                </c:pt>
                <c:pt idx="8">
                  <c:v>4.01</c:v>
                </c:pt>
                <c:pt idx="9">
                  <c:v>5</c:v>
                </c:pt>
                <c:pt idx="10">
                  <c:v>5.01</c:v>
                </c:pt>
                <c:pt idx="11">
                  <c:v>10</c:v>
                </c:pt>
              </c:numCache>
            </c:numRef>
          </c:xVal>
          <c:yVal>
            <c:numRef>
              <c:f>'Credit Curve AAPL'!$T$24:$T$35</c:f>
              <c:numCache>
                <c:formatCode>0.0000%</c:formatCode>
                <c:ptCount val="12"/>
                <c:pt idx="0">
                  <c:v>5.0000000000000001E-3</c:v>
                </c:pt>
                <c:pt idx="1">
                  <c:v>5.0000000000000001E-3</c:v>
                </c:pt>
                <c:pt idx="2">
                  <c:v>5.0000000000000001E-3</c:v>
                </c:pt>
                <c:pt idx="3">
                  <c:v>5.0000000000000001E-3</c:v>
                </c:pt>
                <c:pt idx="4">
                  <c:v>5.0000000000000001E-3</c:v>
                </c:pt>
                <c:pt idx="5">
                  <c:v>5.0000000000000001E-3</c:v>
                </c:pt>
                <c:pt idx="6">
                  <c:v>5.0000000000000001E-3</c:v>
                </c:pt>
                <c:pt idx="7">
                  <c:v>5.0000000000000001E-3</c:v>
                </c:pt>
                <c:pt idx="8">
                  <c:v>5.0000000000000001E-3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5.0000000000000001E-3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E7-4DBB-A6A3-4D1A7CF2F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1367215"/>
        <c:axId val="1411375855"/>
      </c:scatterChart>
      <c:valAx>
        <c:axId val="1411367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1375855"/>
        <c:crosses val="autoZero"/>
        <c:crossBetween val="midCat"/>
      </c:valAx>
      <c:valAx>
        <c:axId val="141137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13672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'Credit Curve MSFT'!$T$23</c:f>
              <c:strCache>
                <c:ptCount val="1"/>
                <c:pt idx="0">
                  <c:v>Hazard Rate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'Credit Curve MSFT'!$S$24:$S$35</c:f>
              <c:numCache>
                <c:formatCode>#,##0.00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1.01</c:v>
                </c:pt>
                <c:pt idx="3">
                  <c:v>2</c:v>
                </c:pt>
                <c:pt idx="4">
                  <c:v>2.0099999999999998</c:v>
                </c:pt>
                <c:pt idx="5">
                  <c:v>3</c:v>
                </c:pt>
                <c:pt idx="6">
                  <c:v>3.01</c:v>
                </c:pt>
                <c:pt idx="7">
                  <c:v>4</c:v>
                </c:pt>
                <c:pt idx="8">
                  <c:v>4.01</c:v>
                </c:pt>
                <c:pt idx="9">
                  <c:v>5</c:v>
                </c:pt>
                <c:pt idx="10">
                  <c:v>5.01</c:v>
                </c:pt>
                <c:pt idx="11">
                  <c:v>10</c:v>
                </c:pt>
              </c:numCache>
            </c:numRef>
          </c:xVal>
          <c:yVal>
            <c:numRef>
              <c:f>'Credit Curve MSFT'!$T$24:$T$35</c:f>
              <c:numCache>
                <c:formatCode>0.0000%</c:formatCode>
                <c:ptCount val="12"/>
                <c:pt idx="0">
                  <c:v>5.8333333333333336E-3</c:v>
                </c:pt>
                <c:pt idx="1">
                  <c:v>5.8333333333333336E-3</c:v>
                </c:pt>
                <c:pt idx="2">
                  <c:v>5.8333333333333336E-3</c:v>
                </c:pt>
                <c:pt idx="3">
                  <c:v>5.8333333333333336E-3</c:v>
                </c:pt>
                <c:pt idx="4">
                  <c:v>5.8333333333333336E-3</c:v>
                </c:pt>
                <c:pt idx="5">
                  <c:v>5.8333333333333336E-3</c:v>
                </c:pt>
                <c:pt idx="6">
                  <c:v>5.8333333333333336E-3</c:v>
                </c:pt>
                <c:pt idx="7">
                  <c:v>5.8333333333333336E-3</c:v>
                </c:pt>
                <c:pt idx="8">
                  <c:v>5.8333333333333336E-3</c:v>
                </c:pt>
                <c:pt idx="9">
                  <c:v>5.8333333333333336E-3</c:v>
                </c:pt>
                <c:pt idx="10">
                  <c:v>5.8333333333333336E-3</c:v>
                </c:pt>
                <c:pt idx="11">
                  <c:v>5.8333333333333336E-3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80-4A86-AE70-EDEDC803C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1367215"/>
        <c:axId val="1411375855"/>
      </c:scatterChart>
      <c:valAx>
        <c:axId val="1411367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1375855"/>
        <c:crosses val="autoZero"/>
        <c:crossBetween val="midCat"/>
      </c:valAx>
      <c:valAx>
        <c:axId val="141137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13672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'Credit Curve NVDA'!$T$23</c:f>
              <c:strCache>
                <c:ptCount val="1"/>
                <c:pt idx="0">
                  <c:v>Hazard Rate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'Credit Curve NVDA'!$S$24:$S$35</c:f>
              <c:numCache>
                <c:formatCode>#,##0.00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1.01</c:v>
                </c:pt>
                <c:pt idx="3">
                  <c:v>2</c:v>
                </c:pt>
                <c:pt idx="4">
                  <c:v>2.0099999999999998</c:v>
                </c:pt>
                <c:pt idx="5">
                  <c:v>3</c:v>
                </c:pt>
                <c:pt idx="6">
                  <c:v>3.01</c:v>
                </c:pt>
                <c:pt idx="7">
                  <c:v>4</c:v>
                </c:pt>
                <c:pt idx="8">
                  <c:v>4.01</c:v>
                </c:pt>
                <c:pt idx="9">
                  <c:v>5</c:v>
                </c:pt>
                <c:pt idx="10">
                  <c:v>5.01</c:v>
                </c:pt>
                <c:pt idx="11">
                  <c:v>10</c:v>
                </c:pt>
              </c:numCache>
            </c:numRef>
          </c:xVal>
          <c:yVal>
            <c:numRef>
              <c:f>'Credit Curve NVDA'!$T$24:$T$35</c:f>
              <c:numCache>
                <c:formatCode>0.0000%</c:formatCode>
                <c:ptCount val="12"/>
                <c:pt idx="0">
                  <c:v>7.4999999999999997E-3</c:v>
                </c:pt>
                <c:pt idx="1">
                  <c:v>7.4999999999999997E-3</c:v>
                </c:pt>
                <c:pt idx="2">
                  <c:v>7.4999999999999997E-3</c:v>
                </c:pt>
                <c:pt idx="3">
                  <c:v>7.4999999999999997E-3</c:v>
                </c:pt>
                <c:pt idx="4">
                  <c:v>7.4999999999999997E-3</c:v>
                </c:pt>
                <c:pt idx="5">
                  <c:v>7.4999999999999997E-3</c:v>
                </c:pt>
                <c:pt idx="6">
                  <c:v>7.4999999999999997E-3</c:v>
                </c:pt>
                <c:pt idx="7">
                  <c:v>7.4999999999999997E-3</c:v>
                </c:pt>
                <c:pt idx="8">
                  <c:v>7.4999999999999997E-3</c:v>
                </c:pt>
                <c:pt idx="9">
                  <c:v>7.4999999999999997E-3</c:v>
                </c:pt>
                <c:pt idx="10">
                  <c:v>7.4999999999999997E-3</c:v>
                </c:pt>
                <c:pt idx="11">
                  <c:v>7.4999999999999997E-3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05-41CF-BC4D-0E325D957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1367215"/>
        <c:axId val="1411375855"/>
      </c:scatterChart>
      <c:valAx>
        <c:axId val="1411367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1375855"/>
        <c:crosses val="autoZero"/>
        <c:crossBetween val="midCat"/>
      </c:valAx>
      <c:valAx>
        <c:axId val="141137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13672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85725</xdr:colOff>
      <xdr:row>2</xdr:row>
      <xdr:rowOff>28575</xdr:rowOff>
    </xdr:from>
    <xdr:to>
      <xdr:col>36</xdr:col>
      <xdr:colOff>657226</xdr:colOff>
      <xdr:row>16</xdr:row>
      <xdr:rowOff>219075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1F4BB8D-2DED-4527-AB62-3F59E49C20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7620</xdr:rowOff>
        </xdr:from>
        <xdr:to>
          <xdr:col>27</xdr:col>
          <xdr:colOff>297180</xdr:colOff>
          <xdr:row>29</xdr:row>
          <xdr:rowOff>137160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Solver</a:t>
              </a:r>
            </a:p>
          </xdr:txBody>
        </xdr:sp>
        <xdr:clientData fPrintsWithSheet="0"/>
      </xdr:twoCellAnchor>
    </mc:Choice>
    <mc:Fallback/>
  </mc:AlternateContent>
  <xdr:twoCellAnchor>
    <xdr:from>
      <xdr:col>47</xdr:col>
      <xdr:colOff>352425</xdr:colOff>
      <xdr:row>1</xdr:row>
      <xdr:rowOff>66675</xdr:rowOff>
    </xdr:from>
    <xdr:to>
      <xdr:col>49</xdr:col>
      <xdr:colOff>496044</xdr:colOff>
      <xdr:row>5</xdr:row>
      <xdr:rowOff>156987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6CDC997-CC29-4E32-BA03-ADB6AE770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298025" y="257175"/>
          <a:ext cx="1362819" cy="938037"/>
        </a:xfrm>
        <a:prstGeom prst="rect">
          <a:avLst/>
        </a:prstGeom>
      </xdr:spPr>
    </xdr:pic>
    <xdr:clientData/>
  </xdr:twoCellAnchor>
  <xdr:twoCellAnchor>
    <xdr:from>
      <xdr:col>53</xdr:col>
      <xdr:colOff>57150</xdr:colOff>
      <xdr:row>2</xdr:row>
      <xdr:rowOff>9525</xdr:rowOff>
    </xdr:from>
    <xdr:to>
      <xdr:col>70</xdr:col>
      <xdr:colOff>600076</xdr:colOff>
      <xdr:row>33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58798C3-AEBD-4F8A-900B-FD4C844C19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783675" y="390525"/>
          <a:ext cx="10906126" cy="68675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647700</xdr:colOff>
      <xdr:row>0</xdr:row>
      <xdr:rowOff>133349</xdr:rowOff>
    </xdr:from>
    <xdr:ext cx="277988" cy="304891"/>
    <xdr:pic macro="[0]!UpdateSwap">
      <xdr:nvPicPr>
        <xdr:cNvPr id="2" name="Picture 1">
          <a:extLst>
            <a:ext uri="{FF2B5EF4-FFF2-40B4-BE49-F238E27FC236}">
              <a16:creationId xmlns:a16="http://schemas.microsoft.com/office/drawing/2014/main" id="{72A489EF-9209-43FC-B352-1ACFF16603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19200" y="133349"/>
          <a:ext cx="277988" cy="30489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34</xdr:row>
          <xdr:rowOff>38100</xdr:rowOff>
        </xdr:from>
        <xdr:to>
          <xdr:col>12</xdr:col>
          <xdr:colOff>144780</xdr:colOff>
          <xdr:row>37</xdr:row>
          <xdr:rowOff>22860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Solver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822960</xdr:colOff>
      <xdr:row>20</xdr:row>
      <xdr:rowOff>163830</xdr:rowOff>
    </xdr:from>
    <xdr:to>
      <xdr:col>21</xdr:col>
      <xdr:colOff>998220</xdr:colOff>
      <xdr:row>37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59660F-40C2-2E7A-CD7D-6BD850C3B8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34</xdr:row>
          <xdr:rowOff>38100</xdr:rowOff>
        </xdr:from>
        <xdr:to>
          <xdr:col>12</xdr:col>
          <xdr:colOff>144780</xdr:colOff>
          <xdr:row>37</xdr:row>
          <xdr:rowOff>22860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Solver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822960</xdr:colOff>
      <xdr:row>20</xdr:row>
      <xdr:rowOff>163830</xdr:rowOff>
    </xdr:from>
    <xdr:to>
      <xdr:col>21</xdr:col>
      <xdr:colOff>998220</xdr:colOff>
      <xdr:row>37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DBD97F8-989C-45A4-AF7D-84F10918EB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34</xdr:row>
          <xdr:rowOff>38100</xdr:rowOff>
        </xdr:from>
        <xdr:to>
          <xdr:col>12</xdr:col>
          <xdr:colOff>144780</xdr:colOff>
          <xdr:row>37</xdr:row>
          <xdr:rowOff>22860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Solver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822960</xdr:colOff>
      <xdr:row>20</xdr:row>
      <xdr:rowOff>163830</xdr:rowOff>
    </xdr:from>
    <xdr:to>
      <xdr:col>21</xdr:col>
      <xdr:colOff>998220</xdr:colOff>
      <xdr:row>37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2EFC67-97E9-4183-8E70-8098ECA77C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647700</xdr:colOff>
      <xdr:row>0</xdr:row>
      <xdr:rowOff>133349</xdr:rowOff>
    </xdr:from>
    <xdr:ext cx="277988" cy="304891"/>
    <xdr:pic macro="[0]!UpdateCDS">
      <xdr:nvPicPr>
        <xdr:cNvPr id="3" name="Picture 2">
          <a:extLst>
            <a:ext uri="{FF2B5EF4-FFF2-40B4-BE49-F238E27FC236}">
              <a16:creationId xmlns:a16="http://schemas.microsoft.com/office/drawing/2014/main" id="{8F3B569E-10AD-46CB-ADCB-DF6BD16081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62025" y="133349"/>
          <a:ext cx="277988" cy="304891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647700</xdr:colOff>
      <xdr:row>0</xdr:row>
      <xdr:rowOff>133349</xdr:rowOff>
    </xdr:from>
    <xdr:ext cx="277988" cy="304891"/>
    <xdr:pic macro="[0]!UpdateCDS">
      <xdr:nvPicPr>
        <xdr:cNvPr id="2" name="Picture 1">
          <a:extLst>
            <a:ext uri="{FF2B5EF4-FFF2-40B4-BE49-F238E27FC236}">
              <a16:creationId xmlns:a16="http://schemas.microsoft.com/office/drawing/2014/main" id="{143632D6-B191-400F-95E6-F1941DDE27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13460" y="133349"/>
          <a:ext cx="277988" cy="304891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D0575-0136-4FF7-90C7-E42BA661CFDF}">
  <sheetPr codeName="Sheet7">
    <tabColor theme="8" tint="0.39997558519241921"/>
  </sheetPr>
  <dimension ref="A1:BT59"/>
  <sheetViews>
    <sheetView showGridLines="0" topLeftCell="K1" zoomScaleNormal="100" workbookViewId="0">
      <selection activeCell="K1" sqref="K1"/>
    </sheetView>
  </sheetViews>
  <sheetFormatPr defaultRowHeight="14.4" outlineLevelCol="1" x14ac:dyDescent="0.3"/>
  <cols>
    <col min="1" max="10" width="9.109375" hidden="1" customWidth="1" outlineLevel="1"/>
    <col min="11" max="11" width="9.109375" customWidth="1" collapsed="1"/>
    <col min="13" max="13" width="10.6640625" bestFit="1" customWidth="1"/>
    <col min="14" max="14" width="9.88671875" bestFit="1" customWidth="1"/>
    <col min="16" max="16" width="11.109375" bestFit="1" customWidth="1"/>
    <col min="17" max="17" width="9.88671875" bestFit="1" customWidth="1"/>
    <col min="21" max="21" width="9.109375" customWidth="1"/>
    <col min="22" max="22" width="10.109375" bestFit="1" customWidth="1"/>
    <col min="23" max="23" width="9.88671875" bestFit="1" customWidth="1"/>
    <col min="24" max="25" width="9.5546875" customWidth="1"/>
    <col min="28" max="28" width="15" bestFit="1" customWidth="1"/>
    <col min="29" max="29" width="10.109375" customWidth="1"/>
    <col min="30" max="30" width="9.109375" customWidth="1" outlineLevel="1"/>
    <col min="31" max="31" width="9.33203125" customWidth="1" outlineLevel="1"/>
    <col min="32" max="33" width="10.109375" customWidth="1" outlineLevel="1"/>
    <col min="34" max="34" width="9.109375" customWidth="1" outlineLevel="1"/>
    <col min="35" max="35" width="9.33203125" customWidth="1" outlineLevel="1"/>
    <col min="36" max="36" width="10.6640625" customWidth="1" outlineLevel="1"/>
    <col min="37" max="38" width="10.88671875" customWidth="1" outlineLevel="1"/>
    <col min="39" max="39" width="15.5546875" bestFit="1" customWidth="1"/>
    <col min="40" max="40" width="9.109375" customWidth="1"/>
    <col min="41" max="45" width="9.109375" hidden="1" customWidth="1" outlineLevel="1"/>
    <col min="46" max="46" width="11.109375" hidden="1" customWidth="1" outlineLevel="1"/>
    <col min="47" max="51" width="9.109375" hidden="1" customWidth="1" outlineLevel="1"/>
    <col min="52" max="52" width="14.33203125" bestFit="1" customWidth="1" collapsed="1"/>
    <col min="54" max="71" width="9.109375" hidden="1" customWidth="1" outlineLevel="1"/>
    <col min="72" max="72" width="9" customWidth="1" collapsed="1"/>
  </cols>
  <sheetData>
    <row r="1" spans="2:72" x14ac:dyDescent="0.3">
      <c r="K1" s="258"/>
      <c r="AM1" s="124" t="s">
        <v>324</v>
      </c>
      <c r="AZ1" s="124" t="s">
        <v>323</v>
      </c>
      <c r="BT1" s="124" t="s">
        <v>328</v>
      </c>
    </row>
    <row r="2" spans="2:72" x14ac:dyDescent="0.3">
      <c r="K2" s="258"/>
      <c r="L2" t="s">
        <v>326</v>
      </c>
      <c r="M2" s="334">
        <f ca="1">TODAY()</f>
        <v>46063</v>
      </c>
      <c r="AM2" s="124" t="s">
        <v>23</v>
      </c>
    </row>
    <row r="3" spans="2:72" x14ac:dyDescent="0.3">
      <c r="B3" s="1" t="s">
        <v>261</v>
      </c>
      <c r="Q3" s="1" t="s">
        <v>259</v>
      </c>
      <c r="S3" s="1"/>
      <c r="T3" s="1"/>
      <c r="V3" s="56" t="s">
        <v>258</v>
      </c>
      <c r="X3" s="2" t="s">
        <v>43</v>
      </c>
      <c r="Z3" s="1" t="s">
        <v>257</v>
      </c>
      <c r="AP3" s="1" t="s">
        <v>256</v>
      </c>
    </row>
    <row r="4" spans="2:72" ht="16.8" x14ac:dyDescent="0.35">
      <c r="B4" t="s">
        <v>254</v>
      </c>
      <c r="L4" s="55" t="s">
        <v>260</v>
      </c>
      <c r="Q4" t="s">
        <v>44</v>
      </c>
      <c r="T4" s="1"/>
      <c r="V4" s="57">
        <v>1E-8</v>
      </c>
      <c r="X4" s="58">
        <f>SQRT(SUMPRODUCT(X8:X17,X8:X17))</f>
        <v>2.7777025060633522E-10</v>
      </c>
      <c r="Z4" t="s">
        <v>252</v>
      </c>
      <c r="AP4" t="s">
        <v>251</v>
      </c>
    </row>
    <row r="5" spans="2:72" ht="15.6" x14ac:dyDescent="0.35">
      <c r="B5" t="s">
        <v>250</v>
      </c>
      <c r="L5" t="s">
        <v>253</v>
      </c>
      <c r="AP5" s="257" t="s">
        <v>249</v>
      </c>
    </row>
    <row r="6" spans="2:72" x14ac:dyDescent="0.3">
      <c r="B6" t="s">
        <v>248</v>
      </c>
      <c r="Q6" s="43" t="s">
        <v>247</v>
      </c>
      <c r="S6" s="1"/>
      <c r="V6" s="56" t="s">
        <v>246</v>
      </c>
      <c r="X6" s="2"/>
    </row>
    <row r="7" spans="2:72" ht="16.2" x14ac:dyDescent="0.3">
      <c r="B7" t="s">
        <v>245</v>
      </c>
      <c r="K7" s="197"/>
      <c r="L7" s="2" t="s">
        <v>10</v>
      </c>
      <c r="M7" s="2" t="s">
        <v>244</v>
      </c>
      <c r="N7" s="197"/>
      <c r="Q7" s="2" t="s">
        <v>203</v>
      </c>
      <c r="R7" s="54" t="s">
        <v>30</v>
      </c>
      <c r="S7" s="54" t="s">
        <v>21</v>
      </c>
      <c r="T7" s="54" t="s">
        <v>45</v>
      </c>
      <c r="U7" s="54" t="s">
        <v>46</v>
      </c>
      <c r="V7" s="2" t="s">
        <v>31</v>
      </c>
      <c r="W7" s="54" t="s">
        <v>47</v>
      </c>
      <c r="X7" s="59" t="s">
        <v>29</v>
      </c>
      <c r="Z7" s="2" t="s">
        <v>21</v>
      </c>
      <c r="AA7" s="2" t="s">
        <v>22</v>
      </c>
      <c r="AB7" s="256" t="s">
        <v>243</v>
      </c>
      <c r="AC7" s="2"/>
      <c r="AO7" s="39" t="s">
        <v>242</v>
      </c>
      <c r="AP7" s="2" t="s">
        <v>237</v>
      </c>
      <c r="AQ7" s="2" t="s">
        <v>234</v>
      </c>
      <c r="AR7" s="2" t="s">
        <v>231</v>
      </c>
      <c r="AS7" s="2" t="s">
        <v>228</v>
      </c>
      <c r="AT7" s="2" t="s">
        <v>226</v>
      </c>
      <c r="AU7" s="2" t="s">
        <v>223</v>
      </c>
      <c r="AV7" s="2" t="s">
        <v>241</v>
      </c>
      <c r="AW7" s="2" t="s">
        <v>217</v>
      </c>
      <c r="AX7" s="2" t="s">
        <v>214</v>
      </c>
      <c r="AY7" s="2" t="s">
        <v>211</v>
      </c>
      <c r="AZ7" s="2"/>
    </row>
    <row r="8" spans="2:72" ht="16.2" x14ac:dyDescent="0.3">
      <c r="B8" t="s">
        <v>239</v>
      </c>
      <c r="K8" s="230">
        <v>1</v>
      </c>
      <c r="L8" s="255" t="s">
        <v>11</v>
      </c>
      <c r="M8" s="254">
        <v>4.4297700000000037E-2</v>
      </c>
      <c r="N8" s="197"/>
      <c r="Q8" s="253" t="s">
        <v>186</v>
      </c>
      <c r="R8" s="252" t="str">
        <f t="shared" ref="R8:R17" si="0">L8</f>
        <v>1Y</v>
      </c>
      <c r="S8" s="251">
        <v>1</v>
      </c>
      <c r="T8" s="250">
        <f t="array" ref="T8:T17">U8:U17-MMULT(AP25:AY34,W8:W17)</f>
        <v>4.4297700000000037E-2</v>
      </c>
      <c r="U8" s="206">
        <v>4.4297700000000037E-2</v>
      </c>
      <c r="V8" s="249">
        <v>0.04</v>
      </c>
      <c r="W8" s="206">
        <f>(SUMPRODUCT($U$8:$U8,$AA$8:$AA8)/SUM($AA$8:$AA8))-$M8</f>
        <v>0</v>
      </c>
      <c r="X8" s="248">
        <f t="shared" ref="X8:X17" si="1">T8-U8</f>
        <v>0</v>
      </c>
      <c r="Z8" s="247">
        <v>1</v>
      </c>
      <c r="AA8" s="246">
        <f t="shared" ref="AA8:AA17" si="2">EXP(-AB8)</f>
        <v>0.95518051063522103</v>
      </c>
      <c r="AB8" s="245" cm="1">
        <f t="array" ref="AB8">integrate($S$8:$S$17,Xn,0,Z8)</f>
        <v>4.5854939990791349E-2</v>
      </c>
      <c r="AC8" s="17"/>
      <c r="AO8" s="2" t="s">
        <v>238</v>
      </c>
      <c r="AP8" s="244">
        <f>$AA$8/SUM($AA$8:$AA8)</f>
        <v>1</v>
      </c>
      <c r="AQ8" s="243">
        <v>0</v>
      </c>
      <c r="AR8" s="243">
        <v>0</v>
      </c>
      <c r="AS8" s="243">
        <v>0</v>
      </c>
      <c r="AT8" s="243">
        <v>0</v>
      </c>
      <c r="AU8" s="243">
        <v>0</v>
      </c>
      <c r="AV8" s="243">
        <v>0</v>
      </c>
      <c r="AW8" s="243">
        <v>0</v>
      </c>
      <c r="AX8" s="243">
        <v>0</v>
      </c>
      <c r="AY8" s="80">
        <v>0</v>
      </c>
      <c r="AZ8" s="17"/>
    </row>
    <row r="9" spans="2:72" ht="16.2" x14ac:dyDescent="0.3">
      <c r="B9" t="s">
        <v>236</v>
      </c>
      <c r="K9" s="230">
        <v>2</v>
      </c>
      <c r="L9" s="240" t="s">
        <v>12</v>
      </c>
      <c r="M9" s="239">
        <v>4.2773700000000033E-2</v>
      </c>
      <c r="N9" s="197"/>
      <c r="Q9" s="238" t="s">
        <v>186</v>
      </c>
      <c r="R9" s="2" t="str">
        <f t="shared" si="0"/>
        <v>2Y</v>
      </c>
      <c r="S9" s="17">
        <v>2</v>
      </c>
      <c r="T9" s="60">
        <v>4.1183220015866169E-2</v>
      </c>
      <c r="U9" s="45">
        <v>4.118322001841742E-2</v>
      </c>
      <c r="V9" s="61">
        <v>0.04</v>
      </c>
      <c r="W9" s="45">
        <f>(SUMPRODUCT($U$8:$U9,$AA$8:$AA9)/SUM($AA$8:$AA9))-$M9</f>
        <v>1.2483972189336612E-12</v>
      </c>
      <c r="X9" s="237">
        <f t="shared" si="1"/>
        <v>-2.5512508772251863E-12</v>
      </c>
      <c r="Z9" s="12">
        <v>2</v>
      </c>
      <c r="AA9" s="236">
        <f t="shared" si="2"/>
        <v>0.91525521397921195</v>
      </c>
      <c r="AB9" s="235" cm="1">
        <f t="array" ref="AB9">integrate($S$8:$S$17,Xn,0,Z9)</f>
        <v>8.8552330216579184E-2</v>
      </c>
      <c r="AC9" s="17"/>
      <c r="AO9" s="2" t="s">
        <v>235</v>
      </c>
      <c r="AP9" s="242">
        <f>$AA$8/SUM($AA$8:$AA9)</f>
        <v>0.51067272618101833</v>
      </c>
      <c r="AQ9" s="231">
        <f>$AA$9/SUM($AA$8:$AA9)</f>
        <v>0.48932727381898161</v>
      </c>
      <c r="AR9" s="17">
        <v>0</v>
      </c>
      <c r="AS9" s="17">
        <v>0</v>
      </c>
      <c r="AT9" s="17">
        <v>0</v>
      </c>
      <c r="AU9" s="17">
        <v>0</v>
      </c>
      <c r="AV9" s="17">
        <v>0</v>
      </c>
      <c r="AW9" s="17">
        <v>0</v>
      </c>
      <c r="AX9" s="17">
        <v>0</v>
      </c>
      <c r="AY9" s="81">
        <v>0</v>
      </c>
      <c r="AZ9" s="17"/>
    </row>
    <row r="10" spans="2:72" ht="16.2" x14ac:dyDescent="0.3">
      <c r="B10" t="s">
        <v>233</v>
      </c>
      <c r="K10" s="230">
        <v>3</v>
      </c>
      <c r="L10" s="240" t="s">
        <v>13</v>
      </c>
      <c r="M10" s="239">
        <v>4.1599700000000024E-2</v>
      </c>
      <c r="N10" s="197"/>
      <c r="O10" s="197"/>
      <c r="Q10" s="238" t="s">
        <v>186</v>
      </c>
      <c r="R10" s="2" t="str">
        <f t="shared" si="0"/>
        <v>3Y</v>
      </c>
      <c r="S10" s="17">
        <v>3</v>
      </c>
      <c r="T10" s="60">
        <v>3.910241481456523E-2</v>
      </c>
      <c r="U10" s="45">
        <v>3.9102414838936221E-2</v>
      </c>
      <c r="V10" s="61">
        <v>0.04</v>
      </c>
      <c r="W10" s="45">
        <f>(SUMPRODUCT($U$8:$U10,$AA$8:$AA10)/SUM($AA$8:$AA10))-$M10</f>
        <v>8.6425172574067233E-12</v>
      </c>
      <c r="X10" s="237">
        <f t="shared" si="1"/>
        <v>-2.4370991336120085E-11</v>
      </c>
      <c r="Z10" s="12">
        <v>3</v>
      </c>
      <c r="AA10" s="236">
        <f t="shared" si="2"/>
        <v>0.87931148332785924</v>
      </c>
      <c r="AB10" s="235" cm="1">
        <f t="array" ref="AB10">integrate($S$8:$S$17,Xn,0,Z10)</f>
        <v>0.12861608305791533</v>
      </c>
      <c r="AC10" s="17"/>
      <c r="AO10" s="2" t="s">
        <v>232</v>
      </c>
      <c r="AP10" s="242">
        <f>$AA$8/SUM($AA$8:$AA10)</f>
        <v>0.34737029930471597</v>
      </c>
      <c r="AQ10" s="231">
        <f>$AA$9/SUM($AA$8:$AA10)</f>
        <v>0.33285067490408382</v>
      </c>
      <c r="AR10" s="231">
        <f>$AA$10/SUM($AA$8:$AA10)</f>
        <v>0.31977902579120032</v>
      </c>
      <c r="AS10" s="17">
        <v>0</v>
      </c>
      <c r="AT10" s="17">
        <v>0</v>
      </c>
      <c r="AU10" s="17">
        <v>0</v>
      </c>
      <c r="AV10" s="17">
        <v>0</v>
      </c>
      <c r="AW10" s="17">
        <v>0</v>
      </c>
      <c r="AX10" s="17">
        <v>0</v>
      </c>
      <c r="AY10" s="81">
        <v>0</v>
      </c>
      <c r="AZ10" s="17"/>
    </row>
    <row r="11" spans="2:72" ht="16.2" x14ac:dyDescent="0.3">
      <c r="B11" t="s">
        <v>230</v>
      </c>
      <c r="K11" s="230">
        <v>4</v>
      </c>
      <c r="L11" s="240" t="s">
        <v>14</v>
      </c>
      <c r="M11" s="239">
        <v>4.0725700000000017E-2</v>
      </c>
      <c r="N11" s="197"/>
      <c r="O11" s="197"/>
      <c r="Q11" s="238" t="s">
        <v>186</v>
      </c>
      <c r="R11" s="2" t="str">
        <f t="shared" si="0"/>
        <v>4Y</v>
      </c>
      <c r="S11" s="17">
        <v>4</v>
      </c>
      <c r="T11" s="60">
        <v>3.7885484891709405E-2</v>
      </c>
      <c r="U11" s="45">
        <v>3.7885484953529648E-2</v>
      </c>
      <c r="V11" s="61">
        <v>0.04</v>
      </c>
      <c r="W11" s="45">
        <f>(SUMPRODUCT($U$8:$U11,$AA$8:$AA11)/SUM($AA$8:$AA11))-$M11</f>
        <v>2.1155882601320286E-11</v>
      </c>
      <c r="X11" s="237">
        <f t="shared" si="1"/>
        <v>-6.182024336887082E-11</v>
      </c>
      <c r="Z11" s="12">
        <v>4</v>
      </c>
      <c r="AA11" s="236">
        <f t="shared" si="2"/>
        <v>0.84616093081343713</v>
      </c>
      <c r="AB11" s="235" cm="1">
        <f t="array" ref="AB11">integrate($S$8:$S$17,Xn,0,Z11)</f>
        <v>0.16704571191870113</v>
      </c>
      <c r="AC11" s="17"/>
      <c r="AO11" s="2" t="s">
        <v>229</v>
      </c>
      <c r="AP11" s="242">
        <f>$AA$8/SUM($AA$8:$AA11)</f>
        <v>0.26562984196969402</v>
      </c>
      <c r="AQ11" s="231">
        <f>$AA$9/SUM($AA$8:$AA11)</f>
        <v>0.25452686182798662</v>
      </c>
      <c r="AR11" s="231">
        <f>$AA$10/SUM($AA$8:$AA11)</f>
        <v>0.24453113077358038</v>
      </c>
      <c r="AS11" s="231">
        <f>$AA$11/SUM($AA$8:$AA11)</f>
        <v>0.23531216542873901</v>
      </c>
      <c r="AT11" s="17">
        <v>0</v>
      </c>
      <c r="AU11" s="17">
        <v>0</v>
      </c>
      <c r="AV11" s="17">
        <v>0</v>
      </c>
      <c r="AW11" s="17">
        <v>0</v>
      </c>
      <c r="AX11" s="17">
        <v>0</v>
      </c>
      <c r="AY11" s="81">
        <v>0</v>
      </c>
      <c r="AZ11" s="17"/>
    </row>
    <row r="12" spans="2:72" ht="16.2" x14ac:dyDescent="0.3">
      <c r="K12" s="230">
        <v>5</v>
      </c>
      <c r="L12" s="240" t="s">
        <v>15</v>
      </c>
      <c r="M12" s="239">
        <v>4.0101699999999997E-2</v>
      </c>
      <c r="N12" s="197"/>
      <c r="O12" s="197"/>
      <c r="Q12" s="238" t="s">
        <v>186</v>
      </c>
      <c r="R12" s="2" t="str">
        <f t="shared" si="0"/>
        <v>5Y</v>
      </c>
      <c r="S12" s="17">
        <v>5</v>
      </c>
      <c r="T12" s="60">
        <v>3.7348384560765391E-2</v>
      </c>
      <c r="U12" s="45">
        <v>3.7348384624779976E-2</v>
      </c>
      <c r="V12" s="61">
        <v>0.04</v>
      </c>
      <c r="W12" s="45">
        <f>(SUMPRODUCT($U$8:$U12,$AA$8:$AA12)/SUM($AA$8:$AA12))-$M12</f>
        <v>2.9074548324459215E-11</v>
      </c>
      <c r="X12" s="237">
        <f t="shared" si="1"/>
        <v>-6.4014585299254634E-11</v>
      </c>
      <c r="Z12" s="12">
        <v>5</v>
      </c>
      <c r="AA12" s="236">
        <f t="shared" si="2"/>
        <v>0.81496171728417521</v>
      </c>
      <c r="AB12" s="235" cm="1">
        <f t="array" ref="AB12">integrate($S$8:$S$17,Xn,0,Z12)</f>
        <v>0.20461413950197796</v>
      </c>
      <c r="AC12" s="17"/>
      <c r="AO12" s="2" t="s">
        <v>227</v>
      </c>
      <c r="AP12" s="242">
        <f>$AA$8/SUM($AA$8:$AA12)</f>
        <v>0.21655150612237414</v>
      </c>
      <c r="AQ12" s="231">
        <f>$AA$9/SUM($AA$8:$AA12)</f>
        <v>0.20749993625994931</v>
      </c>
      <c r="AR12" s="231">
        <f>$AA$10/SUM($AA$8:$AA12)</f>
        <v>0.19935103778312524</v>
      </c>
      <c r="AS12" s="231">
        <f>$AA$11/SUM($AA$8:$AA12)</f>
        <v>0.19183538812752993</v>
      </c>
      <c r="AT12" s="231">
        <f>$AA$12/SUM($AA$8:$AA12)</f>
        <v>0.18476213170702135</v>
      </c>
      <c r="AU12" s="17">
        <v>0</v>
      </c>
      <c r="AV12" s="17">
        <v>0</v>
      </c>
      <c r="AW12" s="17">
        <v>0</v>
      </c>
      <c r="AX12" s="17">
        <v>0</v>
      </c>
      <c r="AY12" s="81">
        <v>0</v>
      </c>
      <c r="AZ12" s="17"/>
    </row>
    <row r="13" spans="2:72" ht="16.2" x14ac:dyDescent="0.3">
      <c r="B13" s="1" t="s">
        <v>225</v>
      </c>
      <c r="K13" s="230">
        <v>6</v>
      </c>
      <c r="L13" s="240" t="s">
        <v>193</v>
      </c>
      <c r="M13" s="239">
        <v>3.9677700000000003E-2</v>
      </c>
      <c r="N13" s="197"/>
      <c r="O13" s="197"/>
      <c r="Q13" s="238" t="s">
        <v>186</v>
      </c>
      <c r="R13" s="2" t="str">
        <f t="shared" si="0"/>
        <v>6Y</v>
      </c>
      <c r="S13" s="17">
        <v>6</v>
      </c>
      <c r="T13" s="60">
        <v>3.7295627668963979E-2</v>
      </c>
      <c r="U13" s="45">
        <v>3.7295627680444789E-2</v>
      </c>
      <c r="V13" s="61">
        <v>0.04</v>
      </c>
      <c r="W13" s="45">
        <f>(SUMPRODUCT($U$8:$U13,$AA$8:$AA13)/SUM($AA$8:$AA13))-$M13</f>
        <v>2.6416119291994278E-11</v>
      </c>
      <c r="X13" s="237">
        <f t="shared" si="1"/>
        <v>-1.148080935875484E-11</v>
      </c>
      <c r="Z13" s="12">
        <v>6</v>
      </c>
      <c r="AA13" s="236">
        <f t="shared" si="2"/>
        <v>0.78511840072776184</v>
      </c>
      <c r="AB13" s="235" cm="1">
        <f t="array" ref="AB13">integrate($S$8:$S$17,Xn,0,Z13)</f>
        <v>0.24192074362070859</v>
      </c>
      <c r="AC13" s="17"/>
      <c r="AO13" s="2" t="s">
        <v>224</v>
      </c>
      <c r="AP13" s="234">
        <f>$AA$8/SUM($AA$8:$AA13)</f>
        <v>0.18383038287107717</v>
      </c>
      <c r="AQ13" s="233">
        <f>$AA$9/SUM($AA$8:$AA13)</f>
        <v>0.17614651318488087</v>
      </c>
      <c r="AR13" s="233">
        <f>$AA$10/SUM($AA$8:$AA13)</f>
        <v>0.16922892044310808</v>
      </c>
      <c r="AS13" s="233">
        <f>$AA$11/SUM($AA$8:$AA13)</f>
        <v>0.16284889206809314</v>
      </c>
      <c r="AT13" s="233">
        <f>$AA$12/SUM($AA$8:$AA13)</f>
        <v>0.15684441092081078</v>
      </c>
      <c r="AU13" s="231">
        <f>$AA$13/SUM($AA$8:$AA13)</f>
        <v>0.15110088051202994</v>
      </c>
      <c r="AV13" s="17">
        <v>0</v>
      </c>
      <c r="AW13" s="17">
        <v>0</v>
      </c>
      <c r="AX13" s="17">
        <v>0</v>
      </c>
      <c r="AY13" s="81">
        <v>0</v>
      </c>
      <c r="AZ13" s="17"/>
    </row>
    <row r="14" spans="2:72" ht="16.2" x14ac:dyDescent="0.3">
      <c r="B14" t="s">
        <v>222</v>
      </c>
      <c r="K14" s="230">
        <v>7</v>
      </c>
      <c r="L14" s="240" t="s">
        <v>191</v>
      </c>
      <c r="M14" s="239">
        <v>3.9353699999999998E-2</v>
      </c>
      <c r="N14" s="197"/>
      <c r="O14" s="197"/>
      <c r="Q14" s="238" t="s">
        <v>186</v>
      </c>
      <c r="R14" s="2" t="str">
        <f t="shared" si="0"/>
        <v>7Y</v>
      </c>
      <c r="S14" s="17">
        <v>7</v>
      </c>
      <c r="T14" s="60">
        <v>3.7128176244266765E-2</v>
      </c>
      <c r="U14" s="45">
        <v>3.7128176164857161E-2</v>
      </c>
      <c r="V14" s="61">
        <v>0.04</v>
      </c>
      <c r="W14" s="45">
        <f>(SUMPRODUCT($U$8:$U14,$AA$8:$AA14)/SUM($AA$8:$AA14))-$M14</f>
        <v>1.2967515949924291E-11</v>
      </c>
      <c r="X14" s="237">
        <f t="shared" si="1"/>
        <v>7.9409603892521829E-11</v>
      </c>
      <c r="Z14" s="12">
        <v>7</v>
      </c>
      <c r="AA14" s="236">
        <f t="shared" si="2"/>
        <v>0.75645123573983353</v>
      </c>
      <c r="AB14" s="235" cm="1">
        <f t="array" ref="AB14">integrate($S$8:$S$17,Xn,0,Z14)</f>
        <v>0.27911720818851138</v>
      </c>
      <c r="AC14" s="17"/>
      <c r="AO14" s="2" t="s">
        <v>221</v>
      </c>
      <c r="AP14" s="234">
        <f>$AA$8/SUM($AA$8:$AA14)</f>
        <v>0.16046874761810401</v>
      </c>
      <c r="AQ14" s="233">
        <f>$AA$9/SUM($AA$8:$AA14)</f>
        <v>0.15376136374527941</v>
      </c>
      <c r="AR14" s="233">
        <f>$AA$10/SUM($AA$8:$AA14)</f>
        <v>0.14772287638281295</v>
      </c>
      <c r="AS14" s="233">
        <f>$AA$11/SUM($AA$8:$AA14)</f>
        <v>0.14215363833240527</v>
      </c>
      <c r="AT14" s="233">
        <f>$AA$12/SUM($AA$8:$AA14)</f>
        <v>0.13691222200746267</v>
      </c>
      <c r="AU14" s="231">
        <f>$AA$13/SUM($AA$8:$AA14)</f>
        <v>0.13189859413371813</v>
      </c>
      <c r="AV14" s="231">
        <f>$AA$14/SUM($AA$8:$AA14)</f>
        <v>0.1270825577802176</v>
      </c>
      <c r="AW14" s="17">
        <v>0</v>
      </c>
      <c r="AX14" s="17">
        <v>0</v>
      </c>
      <c r="AY14" s="81">
        <v>0</v>
      </c>
      <c r="AZ14" s="17"/>
    </row>
    <row r="15" spans="2:72" ht="16.2" x14ac:dyDescent="0.3">
      <c r="B15" t="s">
        <v>219</v>
      </c>
      <c r="K15" s="230">
        <v>8</v>
      </c>
      <c r="L15" s="240" t="s">
        <v>189</v>
      </c>
      <c r="M15" s="239">
        <v>3.9145600000000003E-2</v>
      </c>
      <c r="N15" s="197"/>
      <c r="O15" s="197"/>
      <c r="Q15" s="238" t="s">
        <v>186</v>
      </c>
      <c r="R15" s="2" t="str">
        <f t="shared" si="0"/>
        <v>8Y</v>
      </c>
      <c r="S15" s="17">
        <v>8</v>
      </c>
      <c r="T15" s="60">
        <v>3.7445915889434342E-2</v>
      </c>
      <c r="U15" s="45">
        <v>3.7445915736878665E-2</v>
      </c>
      <c r="V15" s="61">
        <v>0.04</v>
      </c>
      <c r="W15" s="45">
        <f>(SUMPRODUCT($U$8:$U15,$AA$8:$AA15)/SUM($AA$8:$AA15))-$M15</f>
        <v>-5.087659460389915E-12</v>
      </c>
      <c r="X15" s="237">
        <f t="shared" si="1"/>
        <v>1.5255567642480372E-10</v>
      </c>
      <c r="Z15" s="12">
        <v>8</v>
      </c>
      <c r="AA15" s="236">
        <f t="shared" si="2"/>
        <v>0.72878404327648572</v>
      </c>
      <c r="AB15" s="235" cm="1">
        <f t="array" ref="AB15">integrate($S$8:$S$17,Xn,0,Z15)</f>
        <v>0.31637782779242474</v>
      </c>
      <c r="AC15" s="17"/>
      <c r="AO15" s="2" t="s">
        <v>218</v>
      </c>
      <c r="AP15" s="234">
        <f>$AA$8/SUM($AA$8:$AA15)</f>
        <v>0.14296490837634257</v>
      </c>
      <c r="AQ15" s="233">
        <f>$AA$9/SUM($AA$8:$AA15)</f>
        <v>0.13698916210140161</v>
      </c>
      <c r="AR15" s="233">
        <f>$AA$10/SUM($AA$8:$AA15)</f>
        <v>0.13160934948791222</v>
      </c>
      <c r="AS15" s="233">
        <f>$AA$11/SUM($AA$8:$AA15)</f>
        <v>0.12664760073981679</v>
      </c>
      <c r="AT15" s="233">
        <f>$AA$12/SUM($AA$8:$AA15)</f>
        <v>0.12197791511080557</v>
      </c>
      <c r="AU15" s="231">
        <f>$AA$13/SUM($AA$8:$AA15)</f>
        <v>0.11751117089897439</v>
      </c>
      <c r="AV15" s="231">
        <f>$AA$14/SUM($AA$8:$AA15)</f>
        <v>0.11322046503733246</v>
      </c>
      <c r="AW15" s="231">
        <f>$AA$15/SUM($AA$8:$AA15)</f>
        <v>0.10907942824741443</v>
      </c>
      <c r="AX15" s="17">
        <v>0</v>
      </c>
      <c r="AY15" s="81">
        <v>0</v>
      </c>
      <c r="AZ15" s="17"/>
    </row>
    <row r="16" spans="2:72" ht="16.2" x14ac:dyDescent="0.3">
      <c r="B16" t="s">
        <v>216</v>
      </c>
      <c r="K16" s="230">
        <v>9</v>
      </c>
      <c r="L16" s="240" t="s">
        <v>188</v>
      </c>
      <c r="M16" s="239">
        <v>3.9028399999999998E-2</v>
      </c>
      <c r="N16" s="197"/>
      <c r="O16" s="197"/>
      <c r="Q16" s="238" t="s">
        <v>186</v>
      </c>
      <c r="R16" s="2" t="str">
        <f t="shared" si="0"/>
        <v>9Y</v>
      </c>
      <c r="S16" s="17">
        <v>9</v>
      </c>
      <c r="T16" s="60">
        <v>3.7912696701642247E-2</v>
      </c>
      <c r="U16" s="45">
        <v>3.7912696548201001E-2</v>
      </c>
      <c r="V16" s="61">
        <v>0.04</v>
      </c>
      <c r="W16" s="45">
        <f>(SUMPRODUCT($U$8:$U16,$AA$8:$AA16)/SUM($AA$8:$AA16))-$M16</f>
        <v>-1.9190177225070215E-11</v>
      </c>
      <c r="X16" s="237">
        <f t="shared" si="1"/>
        <v>1.5344124582039598E-10</v>
      </c>
      <c r="Z16" s="12">
        <v>9</v>
      </c>
      <c r="AA16" s="236">
        <f t="shared" si="2"/>
        <v>0.70183479742911425</v>
      </c>
      <c r="AB16" s="235" cm="1">
        <f t="array" ref="AB16">integrate($S$8:$S$17,Xn,0,Z16)</f>
        <v>0.35405723394863875</v>
      </c>
      <c r="AC16" s="17"/>
      <c r="AO16" s="2" t="s">
        <v>215</v>
      </c>
      <c r="AP16" s="234">
        <f>$AA$8/SUM($AA$8:$AA16)</f>
        <v>0.12937463954988521</v>
      </c>
      <c r="AQ16" s="233">
        <f>$AA$9/SUM($AA$8:$AA16)</f>
        <v>0.12396694874560117</v>
      </c>
      <c r="AR16" s="233">
        <f>$AA$10/SUM($AA$8:$AA16)</f>
        <v>0.11909854204621782</v>
      </c>
      <c r="AS16" s="233">
        <f>$AA$11/SUM($AA$8:$AA16)</f>
        <v>0.11460845798914183</v>
      </c>
      <c r="AT16" s="233">
        <f>$AA$12/SUM($AA$8:$AA16)</f>
        <v>0.11038267348072064</v>
      </c>
      <c r="AU16" s="231">
        <f>$AA$13/SUM($AA$8:$AA16)</f>
        <v>0.10634053874339079</v>
      </c>
      <c r="AV16" s="231">
        <f>$AA$14/SUM($AA$8:$AA16)</f>
        <v>0.10245770812034566</v>
      </c>
      <c r="AW16" s="231">
        <f>$AA$15/SUM($AA$8:$AA16)</f>
        <v>9.871031900127486E-2</v>
      </c>
      <c r="AX16" s="231">
        <f>$AA$16/SUM($AA$8:$AA16)</f>
        <v>9.5060172323422024E-2</v>
      </c>
      <c r="AY16" s="81">
        <v>0</v>
      </c>
      <c r="AZ16" s="17"/>
    </row>
    <row r="17" spans="2:52" ht="16.2" x14ac:dyDescent="0.3">
      <c r="B17" t="s">
        <v>213</v>
      </c>
      <c r="K17" s="230">
        <v>10</v>
      </c>
      <c r="L17" s="229" t="s">
        <v>16</v>
      </c>
      <c r="M17" s="228">
        <v>3.8961299999999997E-2</v>
      </c>
      <c r="N17" s="227"/>
      <c r="O17" s="197"/>
      <c r="Q17" s="226" t="s">
        <v>186</v>
      </c>
      <c r="R17" s="40" t="str">
        <f t="shared" si="0"/>
        <v>10Y</v>
      </c>
      <c r="S17" s="225">
        <v>10</v>
      </c>
      <c r="T17" s="224">
        <v>3.8228035916062428E-2</v>
      </c>
      <c r="U17" s="222">
        <v>3.8228035792041849E-2</v>
      </c>
      <c r="V17" s="223">
        <v>0.04</v>
      </c>
      <c r="W17" s="222">
        <f>(SUMPRODUCT($U$8:$U17,$AA$8:$AA17)/SUM($AA$8:$AA17))-$M17</f>
        <v>-2.7978827588093225E-11</v>
      </c>
      <c r="X17" s="221">
        <f t="shared" si="1"/>
        <v>1.2402057852911597E-10</v>
      </c>
      <c r="Z17" s="13">
        <v>10</v>
      </c>
      <c r="AA17" s="220">
        <f t="shared" si="2"/>
        <v>0.67561363635641902</v>
      </c>
      <c r="AB17" s="219" cm="1">
        <f t="array" ref="AB17">integrate($S$8:$S$17,Xn,0,Z17)</f>
        <v>0.3921339101840719</v>
      </c>
      <c r="AC17" s="17"/>
      <c r="AO17" s="2" t="s">
        <v>212</v>
      </c>
      <c r="AP17" s="218">
        <f>$AA$8/SUM($AA$8:$AA17)</f>
        <v>0.11852827789021486</v>
      </c>
      <c r="AQ17" s="217">
        <f>$AA$9/SUM($AA$8:$AA17)</f>
        <v>0.11357395082407151</v>
      </c>
      <c r="AR17" s="217">
        <f>$AA$10/SUM($AA$8:$AA17)</f>
        <v>0.10911369598467856</v>
      </c>
      <c r="AS17" s="217">
        <f>$AA$11/SUM($AA$8:$AA17)</f>
        <v>0.10500004641070379</v>
      </c>
      <c r="AT17" s="217">
        <f>$AA$12/SUM($AA$8:$AA17)</f>
        <v>0.10112853834497364</v>
      </c>
      <c r="AU17" s="214">
        <f>$AA$13/SUM($AA$8:$AA17)</f>
        <v>9.7425283432860915E-2</v>
      </c>
      <c r="AV17" s="214">
        <f>$AA$14/SUM($AA$8:$AA17)</f>
        <v>9.3867977080625845E-2</v>
      </c>
      <c r="AW17" s="214">
        <f>$AA$15/SUM($AA$8:$AA17)</f>
        <v>9.043475724393038E-2</v>
      </c>
      <c r="AX17" s="214">
        <f>$AA$16/SUM($AA$8:$AA17)</f>
        <v>8.7090627348938382E-2</v>
      </c>
      <c r="AY17" s="213">
        <f>$AA$17/SUM($AA$8:$AA17)</f>
        <v>8.3836845439002189E-2</v>
      </c>
      <c r="AZ17" s="17"/>
    </row>
    <row r="18" spans="2:52" x14ac:dyDescent="0.3">
      <c r="B18" t="s">
        <v>210</v>
      </c>
      <c r="T18" s="2"/>
      <c r="U18" s="2"/>
      <c r="V18" s="2"/>
      <c r="W18" s="2"/>
      <c r="X18" s="2"/>
      <c r="Y18" s="45"/>
      <c r="AC18" s="2"/>
      <c r="AD18" s="2"/>
      <c r="AE18" s="2"/>
      <c r="AF18" s="2"/>
      <c r="AG18" s="2"/>
      <c r="AH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</row>
    <row r="19" spans="2:52" x14ac:dyDescent="0.3">
      <c r="B19" t="s">
        <v>209</v>
      </c>
      <c r="T19" s="2"/>
      <c r="U19" s="2"/>
      <c r="V19" s="2"/>
      <c r="W19" s="2"/>
      <c r="X19" s="2"/>
      <c r="Y19" s="45"/>
      <c r="AC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</row>
    <row r="20" spans="2:52" x14ac:dyDescent="0.3">
      <c r="AD20" s="44" t="s">
        <v>208</v>
      </c>
      <c r="AE20" s="2"/>
      <c r="AF20" s="2"/>
      <c r="AG20" s="2"/>
      <c r="AI20" s="44" t="s">
        <v>207</v>
      </c>
      <c r="AO20" s="1" t="s">
        <v>255</v>
      </c>
    </row>
    <row r="21" spans="2:52" x14ac:dyDescent="0.3">
      <c r="B21" s="44" t="s">
        <v>206</v>
      </c>
      <c r="N21" s="44" t="s">
        <v>205</v>
      </c>
      <c r="O21" s="2"/>
      <c r="P21" s="2"/>
      <c r="Q21" s="2"/>
      <c r="R21" s="2"/>
      <c r="S21" s="45"/>
      <c r="T21" s="2"/>
      <c r="U21" s="2"/>
    </row>
    <row r="22" spans="2:52" ht="15.6" x14ac:dyDescent="0.3">
      <c r="B22" s="185" t="s">
        <v>204</v>
      </c>
      <c r="L22" s="2" t="s">
        <v>203</v>
      </c>
      <c r="M22" s="54" t="s">
        <v>30</v>
      </c>
      <c r="N22" s="2" t="s">
        <v>31</v>
      </c>
      <c r="O22" s="2" t="s">
        <v>32</v>
      </c>
      <c r="P22" s="2" t="s">
        <v>33</v>
      </c>
      <c r="Q22" s="2" t="s">
        <v>34</v>
      </c>
      <c r="R22" s="2" t="s">
        <v>35</v>
      </c>
      <c r="S22" s="2" t="s">
        <v>36</v>
      </c>
      <c r="T22" s="2" t="s">
        <v>37</v>
      </c>
      <c r="U22" s="2" t="s">
        <v>38</v>
      </c>
      <c r="V22" s="2" t="s">
        <v>39</v>
      </c>
      <c r="W22" s="2" t="s">
        <v>40</v>
      </c>
      <c r="X22" s="2" t="s">
        <v>41</v>
      </c>
      <c r="Z22" s="55" t="s">
        <v>202</v>
      </c>
      <c r="AD22" t="s">
        <v>186</v>
      </c>
      <c r="AI22" t="s">
        <v>186</v>
      </c>
    </row>
    <row r="23" spans="2:52" ht="15.6" x14ac:dyDescent="0.3">
      <c r="B23" s="185" t="s">
        <v>201</v>
      </c>
      <c r="L23" s="2" t="s">
        <v>186</v>
      </c>
      <c r="M23" s="2" t="s">
        <v>11</v>
      </c>
      <c r="N23" s="212">
        <v>0.04</v>
      </c>
      <c r="O23" s="211">
        <v>4.4297700000000037E-2</v>
      </c>
      <c r="P23" s="211">
        <v>4.4297700000000037E-2</v>
      </c>
      <c r="Q23" s="211">
        <v>4.4297700000000037E-2</v>
      </c>
      <c r="R23" s="211">
        <v>4.4297700000000037E-2</v>
      </c>
      <c r="S23" s="211"/>
      <c r="T23" s="211"/>
      <c r="U23" s="211"/>
      <c r="V23" s="211"/>
      <c r="W23" s="211"/>
      <c r="X23" s="210"/>
      <c r="Z23" s="46" t="b">
        <v>0</v>
      </c>
      <c r="AD23" s="2" t="s">
        <v>198</v>
      </c>
      <c r="AE23" s="2" t="s">
        <v>200</v>
      </c>
      <c r="AF23" s="2" t="s">
        <v>45</v>
      </c>
      <c r="AG23" s="2" t="s">
        <v>199</v>
      </c>
      <c r="AI23" s="2" t="s">
        <v>198</v>
      </c>
      <c r="AJ23" s="2" t="s">
        <v>197</v>
      </c>
      <c r="AK23" s="2" t="s">
        <v>22</v>
      </c>
      <c r="AL23" s="335" t="s">
        <v>325</v>
      </c>
    </row>
    <row r="24" spans="2:52" ht="16.8" x14ac:dyDescent="0.35">
      <c r="B24" s="198" t="s">
        <v>196</v>
      </c>
      <c r="L24" s="2" t="s">
        <v>186</v>
      </c>
      <c r="M24" s="2" t="s">
        <v>12</v>
      </c>
      <c r="N24" s="204">
        <v>0.04</v>
      </c>
      <c r="O24" s="203">
        <v>4.1187504380130815E-2</v>
      </c>
      <c r="P24" s="203">
        <v>4.1183216279110639E-2</v>
      </c>
      <c r="Q24" s="203">
        <v>4.118322001841742E-2</v>
      </c>
      <c r="R24" s="203">
        <v>4.1183220015866169E-2</v>
      </c>
      <c r="S24" s="203"/>
      <c r="T24" s="203"/>
      <c r="U24" s="203"/>
      <c r="V24" s="203"/>
      <c r="W24" s="203"/>
      <c r="X24" s="202"/>
      <c r="Z24" s="185"/>
      <c r="AD24" s="155">
        <v>0</v>
      </c>
      <c r="AE24" s="209" cm="1">
        <f t="array" ref="AE24">cubicInterpolation($S$8:$S$17,Xn,AD24)</f>
        <v>4.7412179981582654E-2</v>
      </c>
      <c r="AF24" s="208" t="s">
        <v>121</v>
      </c>
      <c r="AG24" s="207" t="s">
        <v>121</v>
      </c>
      <c r="AI24" s="155">
        <v>0</v>
      </c>
      <c r="AJ24" s="206" cm="1">
        <f t="array" ref="AJ24">integrate(CurveResults.Times,CurveResults.USDSOFR,0,AI24)</f>
        <v>0</v>
      </c>
      <c r="AK24" s="205">
        <f t="shared" ref="AK24:AK34" si="3">EXP(-AJ24)</f>
        <v>1</v>
      </c>
      <c r="AL24" s="336">
        <f t="shared" ref="AL24:AL34" si="4">EXP(-1.0001*AJ24)</f>
        <v>1</v>
      </c>
      <c r="AO24" s="39" t="s">
        <v>240</v>
      </c>
      <c r="AP24" s="2" t="s">
        <v>238</v>
      </c>
      <c r="AQ24" s="2" t="s">
        <v>235</v>
      </c>
      <c r="AR24" s="2" t="s">
        <v>232</v>
      </c>
      <c r="AS24" s="2" t="s">
        <v>229</v>
      </c>
      <c r="AT24" s="2" t="s">
        <v>227</v>
      </c>
      <c r="AU24" s="2" t="s">
        <v>224</v>
      </c>
      <c r="AV24" s="2" t="s">
        <v>221</v>
      </c>
      <c r="AW24" s="2" t="s">
        <v>218</v>
      </c>
      <c r="AX24" s="2" t="s">
        <v>215</v>
      </c>
      <c r="AY24" s="2" t="s">
        <v>212</v>
      </c>
    </row>
    <row r="25" spans="2:52" ht="16.2" x14ac:dyDescent="0.3">
      <c r="L25" s="2" t="s">
        <v>186</v>
      </c>
      <c r="M25" s="2" t="s">
        <v>13</v>
      </c>
      <c r="N25" s="204">
        <v>0.04</v>
      </c>
      <c r="O25" s="203">
        <v>3.9106009133647736E-2</v>
      </c>
      <c r="P25" s="203">
        <v>3.9102400986179522E-2</v>
      </c>
      <c r="Q25" s="203">
        <v>3.9102414838936221E-2</v>
      </c>
      <c r="R25" s="203">
        <v>3.910241481456523E-2</v>
      </c>
      <c r="S25" s="203"/>
      <c r="T25" s="203"/>
      <c r="U25" s="203"/>
      <c r="V25" s="203"/>
      <c r="W25" s="203"/>
      <c r="X25" s="202"/>
      <c r="Z25" s="55" t="s">
        <v>334</v>
      </c>
      <c r="AD25" s="156">
        <v>1</v>
      </c>
      <c r="AE25" s="60" cm="1">
        <f t="array" ref="AE25">cubicInterpolation($S$8:$S$17,Xn,AD25)</f>
        <v>4.4297700000000037E-2</v>
      </c>
      <c r="AF25" s="197">
        <f t="shared" ref="AF25:AF34" si="5">T8</f>
        <v>4.4297700000000037E-2</v>
      </c>
      <c r="AG25" s="196">
        <f t="shared" ref="AG25:AG34" si="6">AF25-AE25</f>
        <v>0</v>
      </c>
      <c r="AI25" s="156">
        <v>1</v>
      </c>
      <c r="AJ25" s="45" cm="1">
        <f t="array" ref="AJ25">integrate(CurveResults.Times,CurveResults.USDSOFR,0,AI25)</f>
        <v>4.5854939990791349E-2</v>
      </c>
      <c r="AK25" s="195">
        <f t="shared" si="3"/>
        <v>0.95518051063522103</v>
      </c>
      <c r="AL25" s="336">
        <f t="shared" si="4"/>
        <v>0.95517613067076368</v>
      </c>
      <c r="AO25" s="2" t="s">
        <v>237</v>
      </c>
      <c r="AP25" s="244">
        <f t="array" ref="AP25:AY34">MINVERSE(AP8:AY17)</f>
        <v>1</v>
      </c>
      <c r="AQ25" s="243">
        <v>0</v>
      </c>
      <c r="AR25" s="243">
        <v>0</v>
      </c>
      <c r="AS25" s="243">
        <v>0</v>
      </c>
      <c r="AT25" s="243">
        <v>0</v>
      </c>
      <c r="AU25" s="243">
        <v>0</v>
      </c>
      <c r="AV25" s="243">
        <v>0</v>
      </c>
      <c r="AW25" s="243">
        <v>0</v>
      </c>
      <c r="AX25" s="243">
        <v>0</v>
      </c>
      <c r="AY25" s="80">
        <v>0</v>
      </c>
    </row>
    <row r="26" spans="2:52" ht="16.2" x14ac:dyDescent="0.3">
      <c r="B26" s="185" t="s">
        <v>184</v>
      </c>
      <c r="L26" s="2" t="s">
        <v>186</v>
      </c>
      <c r="M26" s="2" t="s">
        <v>14</v>
      </c>
      <c r="N26" s="204">
        <v>0.04</v>
      </c>
      <c r="O26" s="203">
        <v>3.7883806237927552E-2</v>
      </c>
      <c r="P26" s="203">
        <v>3.7885470812764048E-2</v>
      </c>
      <c r="Q26" s="203">
        <v>3.7885484953529648E-2</v>
      </c>
      <c r="R26" s="203">
        <v>3.7885484891709405E-2</v>
      </c>
      <c r="S26" s="203"/>
      <c r="T26" s="203"/>
      <c r="U26" s="203"/>
      <c r="V26" s="203"/>
      <c r="W26" s="203"/>
      <c r="X26" s="202"/>
      <c r="Z26" s="185"/>
      <c r="AD26" s="156">
        <v>2</v>
      </c>
      <c r="AE26" s="60" cm="1">
        <f t="array" ref="AE26">cubicInterpolation($S$8:$S$17,Xn,AD26)</f>
        <v>4.118322001841742E-2</v>
      </c>
      <c r="AF26" s="197">
        <f t="shared" si="5"/>
        <v>4.1183220015866169E-2</v>
      </c>
      <c r="AG26" s="196">
        <f t="shared" si="6"/>
        <v>-2.5512508772251863E-12</v>
      </c>
      <c r="AI26" s="156">
        <v>2</v>
      </c>
      <c r="AJ26" s="45" cm="1">
        <f t="array" ref="AJ26">integrate(CurveResults.Times,CurveResults.USDSOFR,0,AI26)</f>
        <v>8.8552330216579184E-2</v>
      </c>
      <c r="AK26" s="195">
        <f t="shared" si="3"/>
        <v>0.91525521397921195</v>
      </c>
      <c r="AL26" s="336">
        <f t="shared" si="4"/>
        <v>0.91524710921690267</v>
      </c>
      <c r="AO26" s="2" t="s">
        <v>234</v>
      </c>
      <c r="AP26" s="242">
        <v>-1.0436220368332323</v>
      </c>
      <c r="AQ26" s="231">
        <v>2.0436220368332325</v>
      </c>
      <c r="AR26" s="17">
        <v>0</v>
      </c>
      <c r="AS26" s="17">
        <v>0</v>
      </c>
      <c r="AT26" s="17">
        <v>0</v>
      </c>
      <c r="AU26" s="17">
        <v>0</v>
      </c>
      <c r="AV26" s="17">
        <v>0</v>
      </c>
      <c r="AW26" s="17">
        <v>0</v>
      </c>
      <c r="AX26" s="17">
        <v>0</v>
      </c>
      <c r="AY26" s="81">
        <v>0</v>
      </c>
    </row>
    <row r="27" spans="2:52" ht="16.2" x14ac:dyDescent="0.35">
      <c r="B27" s="185" t="s">
        <v>195</v>
      </c>
      <c r="L27" s="2" t="s">
        <v>186</v>
      </c>
      <c r="M27" s="2" t="s">
        <v>15</v>
      </c>
      <c r="N27" s="204">
        <v>0.04</v>
      </c>
      <c r="O27" s="203">
        <v>3.7340434127790256E-2</v>
      </c>
      <c r="P27" s="203">
        <v>3.7348387515260095E-2</v>
      </c>
      <c r="Q27" s="203">
        <v>3.7348384624779976E-2</v>
      </c>
      <c r="R27" s="203">
        <v>3.7348384560765391E-2</v>
      </c>
      <c r="S27" s="203"/>
      <c r="T27" s="203"/>
      <c r="U27" s="203"/>
      <c r="V27" s="203"/>
      <c r="W27" s="203"/>
      <c r="X27" s="202"/>
      <c r="Z27" s="185"/>
      <c r="AD27" s="156">
        <v>3</v>
      </c>
      <c r="AE27" s="60" cm="1">
        <f t="array" ref="AE27">cubicInterpolation($S$8:$S$17,Xn,AD27)</f>
        <v>3.9102414838936221E-2</v>
      </c>
      <c r="AF27" s="197">
        <f t="shared" si="5"/>
        <v>3.910241481456523E-2</v>
      </c>
      <c r="AG27" s="196">
        <f t="shared" si="6"/>
        <v>-2.4370991336120085E-11</v>
      </c>
      <c r="AI27" s="156">
        <v>3</v>
      </c>
      <c r="AJ27" s="45" cm="1">
        <f t="array" ref="AJ27">integrate(CurveResults.Times,CurveResults.USDSOFR,0,AI27)</f>
        <v>0.12861608305791533</v>
      </c>
      <c r="AK27" s="195">
        <f t="shared" si="3"/>
        <v>0.87931148332785924</v>
      </c>
      <c r="AL27" s="336">
        <f t="shared" si="4"/>
        <v>0.87930017404070993</v>
      </c>
      <c r="AO27" s="2" t="s">
        <v>231</v>
      </c>
      <c r="AP27" s="241">
        <v>0</v>
      </c>
      <c r="AQ27" s="231">
        <v>-2.127159442448705</v>
      </c>
      <c r="AR27" s="231">
        <v>3.127159442448705</v>
      </c>
      <c r="AS27" s="17">
        <v>0</v>
      </c>
      <c r="AT27" s="17">
        <v>0</v>
      </c>
      <c r="AU27" s="17">
        <v>0</v>
      </c>
      <c r="AV27" s="17">
        <v>0</v>
      </c>
      <c r="AW27" s="17">
        <v>0</v>
      </c>
      <c r="AX27" s="17">
        <v>0</v>
      </c>
      <c r="AY27" s="81">
        <v>0</v>
      </c>
    </row>
    <row r="28" spans="2:52" ht="16.2" x14ac:dyDescent="0.35">
      <c r="B28" s="185" t="s">
        <v>194</v>
      </c>
      <c r="L28" s="2" t="s">
        <v>186</v>
      </c>
      <c r="M28" s="2" t="s">
        <v>193</v>
      </c>
      <c r="N28" s="204">
        <v>0.04</v>
      </c>
      <c r="O28" s="203">
        <v>3.7283580471218179E-2</v>
      </c>
      <c r="P28" s="203">
        <v>3.7295653817743905E-2</v>
      </c>
      <c r="Q28" s="203">
        <v>3.7295627680444789E-2</v>
      </c>
      <c r="R28" s="203">
        <v>3.7295627668963979E-2</v>
      </c>
      <c r="S28" s="203"/>
      <c r="T28" s="203"/>
      <c r="U28" s="203"/>
      <c r="V28" s="203"/>
      <c r="W28" s="203"/>
      <c r="X28" s="202"/>
      <c r="Z28" s="185"/>
      <c r="AD28" s="156">
        <v>4</v>
      </c>
      <c r="AE28" s="60" cm="1">
        <f t="array" ref="AE28">cubicInterpolation($S$8:$S$17,Xn,AD28)</f>
        <v>3.7885484953529648E-2</v>
      </c>
      <c r="AF28" s="197">
        <f t="shared" si="5"/>
        <v>3.7885484891709405E-2</v>
      </c>
      <c r="AG28" s="196">
        <f t="shared" si="6"/>
        <v>-6.182024336887082E-11</v>
      </c>
      <c r="AI28" s="156">
        <v>4</v>
      </c>
      <c r="AJ28" s="45" cm="1">
        <f t="array" ref="AJ28">integrate(CurveResults.Times,CurveResults.USDSOFR,0,AI28)</f>
        <v>0.16704571191870113</v>
      </c>
      <c r="AK28" s="195">
        <f t="shared" si="3"/>
        <v>0.84616093081343713</v>
      </c>
      <c r="AL28" s="336">
        <f t="shared" si="4"/>
        <v>0.84614679617598543</v>
      </c>
      <c r="AO28" s="2" t="s">
        <v>228</v>
      </c>
      <c r="AP28" s="241">
        <v>2.3590429814844659E-16</v>
      </c>
      <c r="AQ28" s="232">
        <v>-4.7180859629689317E-16</v>
      </c>
      <c r="AR28" s="231">
        <v>-3.2496740369457693</v>
      </c>
      <c r="AS28" s="231">
        <v>4.2496740369457697</v>
      </c>
      <c r="AT28" s="17">
        <v>0</v>
      </c>
      <c r="AU28" s="17">
        <v>0</v>
      </c>
      <c r="AV28" s="17">
        <v>0</v>
      </c>
      <c r="AW28" s="17">
        <v>0</v>
      </c>
      <c r="AX28" s="17">
        <v>0</v>
      </c>
      <c r="AY28" s="81">
        <v>0</v>
      </c>
    </row>
    <row r="29" spans="2:52" ht="16.2" x14ac:dyDescent="0.35">
      <c r="B29" s="185" t="s">
        <v>192</v>
      </c>
      <c r="L29" s="2" t="s">
        <v>186</v>
      </c>
      <c r="M29" s="2" t="s">
        <v>191</v>
      </c>
      <c r="N29" s="204">
        <v>0.04</v>
      </c>
      <c r="O29" s="203">
        <v>3.7112346578773846E-2</v>
      </c>
      <c r="P29" s="203">
        <v>3.7128228436997791E-2</v>
      </c>
      <c r="Q29" s="203">
        <v>3.7128176164857161E-2</v>
      </c>
      <c r="R29" s="203">
        <v>3.7128176244266765E-2</v>
      </c>
      <c r="S29" s="203"/>
      <c r="T29" s="203"/>
      <c r="U29" s="203"/>
      <c r="V29" s="203"/>
      <c r="W29" s="203"/>
      <c r="X29" s="202"/>
      <c r="Z29" s="185"/>
      <c r="AD29" s="156">
        <v>5</v>
      </c>
      <c r="AE29" s="60" cm="1">
        <f t="array" ref="AE29">cubicInterpolation($S$8:$S$17,Xn,AD29)</f>
        <v>3.7348384624779976E-2</v>
      </c>
      <c r="AF29" s="197">
        <f t="shared" si="5"/>
        <v>3.7348384560765391E-2</v>
      </c>
      <c r="AG29" s="196">
        <f t="shared" si="6"/>
        <v>-6.4014585299254634E-11</v>
      </c>
      <c r="AI29" s="156">
        <v>5</v>
      </c>
      <c r="AJ29" s="45" cm="1">
        <f t="array" ref="AJ29">integrate(CurveResults.Times,CurveResults.USDSOFR,0,AI29)</f>
        <v>0.20461413950197796</v>
      </c>
      <c r="AK29" s="195">
        <f t="shared" si="3"/>
        <v>0.81496171728417521</v>
      </c>
      <c r="AL29" s="336">
        <f t="shared" si="4"/>
        <v>0.81494504218572283</v>
      </c>
      <c r="AO29" s="2" t="s">
        <v>226</v>
      </c>
      <c r="AP29" s="241">
        <v>-9.4712140517947186E-17</v>
      </c>
      <c r="AQ29" s="232">
        <v>1.8942428103589437E-16</v>
      </c>
      <c r="AR29" s="232">
        <v>6.0089316699682015E-16</v>
      </c>
      <c r="AS29" s="231">
        <v>-4.412364485952712</v>
      </c>
      <c r="AT29" s="231">
        <v>5.4123644859527129</v>
      </c>
      <c r="AU29" s="17">
        <v>0</v>
      </c>
      <c r="AV29" s="17">
        <v>0</v>
      </c>
      <c r="AW29" s="17">
        <v>0</v>
      </c>
      <c r="AX29" s="17">
        <v>0</v>
      </c>
      <c r="AY29" s="81">
        <v>0</v>
      </c>
    </row>
    <row r="30" spans="2:52" ht="16.2" x14ac:dyDescent="0.3">
      <c r="B30" s="185" t="s">
        <v>190</v>
      </c>
      <c r="L30" s="2" t="s">
        <v>186</v>
      </c>
      <c r="M30" s="2" t="s">
        <v>189</v>
      </c>
      <c r="N30" s="204">
        <v>0.04</v>
      </c>
      <c r="O30" s="203">
        <v>3.7430671355937875E-2</v>
      </c>
      <c r="P30" s="203">
        <v>3.7445977622889891E-2</v>
      </c>
      <c r="Q30" s="203">
        <v>3.7445915736878665E-2</v>
      </c>
      <c r="R30" s="203">
        <v>3.7445915889434342E-2</v>
      </c>
      <c r="S30" s="203"/>
      <c r="T30" s="203"/>
      <c r="U30" s="203"/>
      <c r="V30" s="203"/>
      <c r="W30" s="203"/>
      <c r="X30" s="202"/>
      <c r="Z30" s="185"/>
      <c r="AD30" s="156">
        <v>6</v>
      </c>
      <c r="AE30" s="60" cm="1">
        <f t="array" ref="AE30">cubicInterpolation($S$8:$S$17,Xn,AD30)</f>
        <v>3.7295627680444789E-2</v>
      </c>
      <c r="AF30" s="197">
        <f t="shared" si="5"/>
        <v>3.7295627668963979E-2</v>
      </c>
      <c r="AG30" s="196">
        <f t="shared" si="6"/>
        <v>-1.148080935875484E-11</v>
      </c>
      <c r="AI30" s="156">
        <v>6</v>
      </c>
      <c r="AJ30" s="45" cm="1">
        <f t="array" ref="AJ30">integrate(CurveResults.Times,CurveResults.USDSOFR,0,AI30)</f>
        <v>0.24192074362070859</v>
      </c>
      <c r="AK30" s="195">
        <f t="shared" si="3"/>
        <v>0.78511840072776184</v>
      </c>
      <c r="AL30" s="336">
        <f t="shared" si="4"/>
        <v>0.78509940731477434</v>
      </c>
      <c r="AO30" s="2" t="s">
        <v>223</v>
      </c>
      <c r="AP30" s="156">
        <v>-1.5593346392917469E-16</v>
      </c>
      <c r="AQ30" s="17">
        <v>3.1186692785834937E-16</v>
      </c>
      <c r="AR30" s="17">
        <v>-6.2373385571669875E-16</v>
      </c>
      <c r="AS30" s="17">
        <v>0</v>
      </c>
      <c r="AT30" s="233">
        <v>-5.6180951203681744</v>
      </c>
      <c r="AU30" s="231">
        <v>6.6180951203681753</v>
      </c>
      <c r="AV30" s="17">
        <v>0</v>
      </c>
      <c r="AW30" s="17">
        <v>0</v>
      </c>
      <c r="AX30" s="17">
        <v>0</v>
      </c>
      <c r="AY30" s="81">
        <v>0</v>
      </c>
    </row>
    <row r="31" spans="2:52" ht="16.2" x14ac:dyDescent="0.3">
      <c r="L31" s="2" t="s">
        <v>186</v>
      </c>
      <c r="M31" s="2" t="s">
        <v>188</v>
      </c>
      <c r="N31" s="204">
        <v>0.04</v>
      </c>
      <c r="O31" s="203">
        <v>3.7901168636187657E-2</v>
      </c>
      <c r="P31" s="203">
        <v>3.7912747862490125E-2</v>
      </c>
      <c r="Q31" s="203">
        <v>3.7912696548201001E-2</v>
      </c>
      <c r="R31" s="203">
        <v>3.7912696701642247E-2</v>
      </c>
      <c r="S31" s="203"/>
      <c r="T31" s="203"/>
      <c r="U31" s="203"/>
      <c r="V31" s="203"/>
      <c r="W31" s="203"/>
      <c r="X31" s="202"/>
      <c r="Z31" s="185"/>
      <c r="AD31" s="156">
        <v>7</v>
      </c>
      <c r="AE31" s="60" cm="1">
        <f t="array" ref="AE31">cubicInterpolation($S$8:$S$17,Xn,AD31)</f>
        <v>3.7128176164857161E-2</v>
      </c>
      <c r="AF31" s="197">
        <f t="shared" si="5"/>
        <v>3.7128176244266765E-2</v>
      </c>
      <c r="AG31" s="196">
        <f t="shared" si="6"/>
        <v>7.9409603892521829E-11</v>
      </c>
      <c r="AI31" s="156">
        <v>7</v>
      </c>
      <c r="AJ31" s="45" cm="1">
        <f t="array" ref="AJ31">integrate(CurveResults.Times,CurveResults.USDSOFR,0,AI31)</f>
        <v>0.27911720818851138</v>
      </c>
      <c r="AK31" s="195">
        <f t="shared" si="3"/>
        <v>0.75645123573983353</v>
      </c>
      <c r="AL31" s="336">
        <f t="shared" si="4"/>
        <v>0.7564301221787878</v>
      </c>
      <c r="AO31" s="2" t="s">
        <v>220</v>
      </c>
      <c r="AP31" s="156">
        <v>-2.4247921704163713E-32</v>
      </c>
      <c r="AQ31" s="17">
        <v>4.8495843408327426E-32</v>
      </c>
      <c r="AR31" s="17">
        <v>-1.939833736333097E-31</v>
      </c>
      <c r="AS31" s="17">
        <v>8.7362344921104527E-16</v>
      </c>
      <c r="AT31" s="17">
        <v>-1.7472468984220905E-15</v>
      </c>
      <c r="AU31" s="231">
        <v>-6.868900480657981</v>
      </c>
      <c r="AV31" s="231">
        <v>7.8689004806579819</v>
      </c>
      <c r="AW31" s="17">
        <v>0</v>
      </c>
      <c r="AX31" s="17">
        <v>0</v>
      </c>
      <c r="AY31" s="81">
        <v>0</v>
      </c>
    </row>
    <row r="32" spans="2:52" ht="16.2" x14ac:dyDescent="0.3">
      <c r="B32" s="185" t="s">
        <v>187</v>
      </c>
      <c r="L32" s="2" t="s">
        <v>186</v>
      </c>
      <c r="M32" s="2" t="s">
        <v>16</v>
      </c>
      <c r="N32" s="201">
        <v>0.04</v>
      </c>
      <c r="O32" s="200">
        <v>3.821975478645518E-2</v>
      </c>
      <c r="P32" s="200">
        <v>3.8228073591663837E-2</v>
      </c>
      <c r="Q32" s="200">
        <v>3.8228035792041849E-2</v>
      </c>
      <c r="R32" s="200">
        <v>3.8228035916062428E-2</v>
      </c>
      <c r="S32" s="200"/>
      <c r="T32" s="200"/>
      <c r="U32" s="200"/>
      <c r="V32" s="200"/>
      <c r="W32" s="200"/>
      <c r="X32" s="199"/>
      <c r="Z32" s="185"/>
      <c r="AD32" s="156">
        <v>8</v>
      </c>
      <c r="AE32" s="60" cm="1">
        <f t="array" ref="AE32">cubicInterpolation($S$8:$S$17,Xn,AD32)</f>
        <v>3.7445915736878665E-2</v>
      </c>
      <c r="AF32" s="197">
        <f t="shared" si="5"/>
        <v>3.7445915889434342E-2</v>
      </c>
      <c r="AG32" s="196">
        <f t="shared" si="6"/>
        <v>1.5255567642480372E-10</v>
      </c>
      <c r="AI32" s="156">
        <v>8</v>
      </c>
      <c r="AJ32" s="45" cm="1">
        <f t="array" ref="AJ32">integrate(CurveResults.Times,CurveResults.USDSOFR,0,AI32)</f>
        <v>0.31637782779242474</v>
      </c>
      <c r="AK32" s="195">
        <f t="shared" si="3"/>
        <v>0.72878404327648572</v>
      </c>
      <c r="AL32" s="336">
        <f t="shared" si="4"/>
        <v>0.72876098652996557</v>
      </c>
      <c r="AO32" s="2" t="s">
        <v>217</v>
      </c>
      <c r="AP32" s="156">
        <v>-3.081487911019575E-33</v>
      </c>
      <c r="AQ32" s="17">
        <v>-5.0890577740604942E-16</v>
      </c>
      <c r="AR32" s="17">
        <v>1.0178115548120988E-15</v>
      </c>
      <c r="AS32" s="17">
        <v>-9.0678925234958318E-16</v>
      </c>
      <c r="AT32" s="17">
        <v>7.9576694988706773E-16</v>
      </c>
      <c r="AU32" s="232">
        <v>0</v>
      </c>
      <c r="AV32" s="231">
        <v>-8.167631477970307</v>
      </c>
      <c r="AW32" s="231">
        <v>9.167631477970307</v>
      </c>
      <c r="AX32" s="17">
        <v>0</v>
      </c>
      <c r="AY32" s="81">
        <v>0</v>
      </c>
    </row>
    <row r="33" spans="2:51" ht="16.2" x14ac:dyDescent="0.3">
      <c r="B33" s="198" t="s">
        <v>185</v>
      </c>
      <c r="AD33" s="156">
        <v>9</v>
      </c>
      <c r="AE33" s="60" cm="1">
        <f t="array" ref="AE33">cubicInterpolation($S$8:$S$17,Xn,AD33)</f>
        <v>3.7912696548201001E-2</v>
      </c>
      <c r="AF33" s="197">
        <f t="shared" si="5"/>
        <v>3.7912696701642247E-2</v>
      </c>
      <c r="AG33" s="196">
        <f t="shared" si="6"/>
        <v>1.5344124582039598E-10</v>
      </c>
      <c r="AI33" s="156">
        <v>9</v>
      </c>
      <c r="AJ33" s="45" cm="1">
        <f t="array" ref="AJ33">integrate(CurveResults.Times,CurveResults.USDSOFR,0,AI33)</f>
        <v>0.35405723394863875</v>
      </c>
      <c r="AK33" s="195">
        <f t="shared" si="3"/>
        <v>0.70183479742911425</v>
      </c>
      <c r="AL33" s="336">
        <f t="shared" si="4"/>
        <v>0.70180994890030035</v>
      </c>
      <c r="AO33" s="2" t="s">
        <v>214</v>
      </c>
      <c r="AP33" s="156">
        <v>-2.9197901641916303E-16</v>
      </c>
      <c r="AQ33" s="17">
        <v>5.2844688160706823E-16</v>
      </c>
      <c r="AR33" s="17">
        <v>-1.0568937632141365E-15</v>
      </c>
      <c r="AS33" s="17">
        <v>5.8395803283832606E-16</v>
      </c>
      <c r="AT33" s="17">
        <v>1.0568937632141369E-15</v>
      </c>
      <c r="AU33" s="232">
        <v>0</v>
      </c>
      <c r="AV33" s="232">
        <v>-1.1679160656766525E-15</v>
      </c>
      <c r="AW33" s="231">
        <v>-9.5196527163627742</v>
      </c>
      <c r="AX33" s="231">
        <v>10.519652716362776</v>
      </c>
      <c r="AY33" s="81">
        <v>0</v>
      </c>
    </row>
    <row r="34" spans="2:51" ht="16.2" x14ac:dyDescent="0.3">
      <c r="AD34" s="157">
        <v>10</v>
      </c>
      <c r="AE34" s="194" cm="1">
        <f t="array" ref="AE34">cubicInterpolation($S$8:$S$17,Xn,AD34)</f>
        <v>3.8228035792041849E-2</v>
      </c>
      <c r="AF34" s="193">
        <f t="shared" si="5"/>
        <v>3.8228035916062428E-2</v>
      </c>
      <c r="AG34" s="192">
        <f t="shared" si="6"/>
        <v>1.2402057852911597E-10</v>
      </c>
      <c r="AI34" s="157">
        <v>10</v>
      </c>
      <c r="AJ34" s="191" cm="1">
        <f t="array" ref="AJ34">integrate(CurveResults.Times,CurveResults.USDSOFR,0,AI34)</f>
        <v>0.3921339101840719</v>
      </c>
      <c r="AK34" s="190">
        <f t="shared" si="3"/>
        <v>0.67561363635641902</v>
      </c>
      <c r="AL34" s="336">
        <f t="shared" si="4"/>
        <v>0.67558714377415452</v>
      </c>
      <c r="AO34" s="2" t="s">
        <v>211</v>
      </c>
      <c r="AP34" s="157">
        <v>4.6884425713612781E-16</v>
      </c>
      <c r="AQ34" s="216">
        <v>-3.310665551678378E-16</v>
      </c>
      <c r="AR34" s="216">
        <v>6.6213311033567541E-16</v>
      </c>
      <c r="AS34" s="216">
        <v>5.5511151231257809E-17</v>
      </c>
      <c r="AT34" s="216">
        <v>-1.3242662206713514E-15</v>
      </c>
      <c r="AU34" s="215">
        <v>0</v>
      </c>
      <c r="AV34" s="215">
        <v>-1.1102230246251562E-16</v>
      </c>
      <c r="AW34" s="215">
        <v>0</v>
      </c>
      <c r="AX34" s="214">
        <v>-10.927929715909666</v>
      </c>
      <c r="AY34" s="213">
        <v>11.927929715909666</v>
      </c>
    </row>
    <row r="35" spans="2:51" x14ac:dyDescent="0.3">
      <c r="B35" s="185" t="s">
        <v>184</v>
      </c>
      <c r="L35" s="1" t="s">
        <v>135</v>
      </c>
      <c r="AD35" s="189" t="s">
        <v>183</v>
      </c>
      <c r="AI35" s="189" t="s">
        <v>182</v>
      </c>
    </row>
    <row r="36" spans="2:51" x14ac:dyDescent="0.3">
      <c r="B36" s="185" t="s">
        <v>181</v>
      </c>
      <c r="L36" s="188" t="s">
        <v>180</v>
      </c>
      <c r="M36" s="187"/>
      <c r="N36" s="187"/>
      <c r="O36" s="187"/>
      <c r="P36" s="187"/>
      <c r="Q36" s="187"/>
      <c r="R36" s="187"/>
      <c r="S36" s="187"/>
      <c r="T36" s="187"/>
      <c r="U36" s="187"/>
      <c r="V36" s="187"/>
      <c r="W36" s="187"/>
      <c r="X36" s="186"/>
      <c r="AE36" s="16"/>
    </row>
    <row r="37" spans="2:51" x14ac:dyDescent="0.3">
      <c r="B37" s="185" t="s">
        <v>179</v>
      </c>
      <c r="L37" s="184" t="s">
        <v>178</v>
      </c>
      <c r="M37" s="182"/>
      <c r="N37" s="183"/>
      <c r="O37" s="182"/>
      <c r="P37" s="182"/>
      <c r="Q37" s="182"/>
      <c r="R37" s="182"/>
      <c r="S37" s="182"/>
      <c r="T37" s="182"/>
      <c r="U37" s="182"/>
      <c r="V37" s="182"/>
      <c r="W37" s="182"/>
      <c r="X37" s="181"/>
      <c r="AE37" s="45"/>
    </row>
    <row r="38" spans="2:51" x14ac:dyDescent="0.3">
      <c r="L38" s="184" t="s">
        <v>177</v>
      </c>
      <c r="M38" s="182"/>
      <c r="N38" s="183"/>
      <c r="O38" s="182"/>
      <c r="P38" s="182"/>
      <c r="Q38" s="182"/>
      <c r="R38" s="182"/>
      <c r="S38" s="182"/>
      <c r="T38" s="182"/>
      <c r="U38" s="182"/>
      <c r="V38" s="182"/>
      <c r="W38" s="182"/>
      <c r="X38" s="181"/>
      <c r="AE38" s="45"/>
      <c r="AF38" s="45"/>
    </row>
    <row r="39" spans="2:51" x14ac:dyDescent="0.3">
      <c r="B39" t="s">
        <v>176</v>
      </c>
      <c r="L39" s="184" t="s">
        <v>175</v>
      </c>
      <c r="M39" s="182"/>
      <c r="N39" s="183"/>
      <c r="O39" s="182"/>
      <c r="P39" s="182"/>
      <c r="Q39" s="182"/>
      <c r="R39" s="182"/>
      <c r="S39" s="182"/>
      <c r="T39" s="182"/>
      <c r="U39" s="182"/>
      <c r="V39" s="182"/>
      <c r="W39" s="182"/>
      <c r="X39" s="181"/>
      <c r="AE39" s="45"/>
      <c r="AF39" s="45"/>
    </row>
    <row r="40" spans="2:51" x14ac:dyDescent="0.3">
      <c r="L40" s="180" t="s">
        <v>174</v>
      </c>
      <c r="M40" s="178"/>
      <c r="N40" s="179"/>
      <c r="O40" s="178"/>
      <c r="P40" s="178"/>
      <c r="Q40" s="178"/>
      <c r="R40" s="178"/>
      <c r="S40" s="178"/>
      <c r="T40" s="178"/>
      <c r="U40" s="178"/>
      <c r="V40" s="178"/>
      <c r="W40" s="178"/>
      <c r="X40" s="177"/>
      <c r="AE40" s="45"/>
      <c r="AF40" s="18"/>
    </row>
    <row r="42" spans="2:51" x14ac:dyDescent="0.3">
      <c r="N42" s="176"/>
    </row>
    <row r="43" spans="2:51" x14ac:dyDescent="0.3">
      <c r="L43" s="1" t="s">
        <v>173</v>
      </c>
      <c r="AG43" s="1"/>
      <c r="AP43" s="1"/>
    </row>
    <row r="44" spans="2:51" x14ac:dyDescent="0.3">
      <c r="L44" s="175" t="s">
        <v>172</v>
      </c>
      <c r="M44" s="174"/>
      <c r="N44" s="174"/>
      <c r="O44" s="174"/>
      <c r="P44" s="174"/>
      <c r="Q44" s="174"/>
      <c r="R44" s="174"/>
      <c r="S44" s="174"/>
      <c r="T44" s="174"/>
      <c r="U44" s="174"/>
      <c r="V44" s="174"/>
      <c r="W44" s="174"/>
      <c r="X44" s="173"/>
      <c r="AG44" s="17"/>
    </row>
    <row r="45" spans="2:51" x14ac:dyDescent="0.3">
      <c r="L45" s="171" t="s">
        <v>171</v>
      </c>
      <c r="X45" s="170"/>
    </row>
    <row r="46" spans="2:51" x14ac:dyDescent="0.3">
      <c r="L46" s="171" t="s">
        <v>170</v>
      </c>
      <c r="X46" s="170"/>
      <c r="AN46" s="45"/>
      <c r="AO46" s="172"/>
    </row>
    <row r="47" spans="2:51" x14ac:dyDescent="0.3">
      <c r="L47" s="171"/>
      <c r="X47" s="170"/>
      <c r="AM47" s="2"/>
    </row>
    <row r="48" spans="2:51" x14ac:dyDescent="0.3">
      <c r="L48" s="171" t="s">
        <v>169</v>
      </c>
      <c r="X48" s="170"/>
      <c r="AM48" s="2"/>
    </row>
    <row r="49" spans="12:39" x14ac:dyDescent="0.3">
      <c r="L49" s="171" t="s">
        <v>168</v>
      </c>
      <c r="X49" s="170"/>
      <c r="AM49" s="2"/>
    </row>
    <row r="50" spans="12:39" ht="16.2" x14ac:dyDescent="0.3">
      <c r="L50" s="171" t="s">
        <v>167</v>
      </c>
      <c r="X50" s="170"/>
      <c r="AM50" s="2"/>
    </row>
    <row r="51" spans="12:39" x14ac:dyDescent="0.3">
      <c r="L51" s="171" t="s">
        <v>166</v>
      </c>
      <c r="X51" s="170"/>
      <c r="AM51" s="2"/>
    </row>
    <row r="52" spans="12:39" x14ac:dyDescent="0.3">
      <c r="L52" s="171"/>
      <c r="X52" s="170"/>
      <c r="AM52" s="2"/>
    </row>
    <row r="53" spans="12:39" x14ac:dyDescent="0.3">
      <c r="L53" s="171" t="s">
        <v>165</v>
      </c>
      <c r="X53" s="170"/>
      <c r="AM53" s="2"/>
    </row>
    <row r="54" spans="12:39" x14ac:dyDescent="0.3">
      <c r="L54" s="171" t="s">
        <v>164</v>
      </c>
      <c r="X54" s="170"/>
      <c r="AM54" s="2"/>
    </row>
    <row r="55" spans="12:39" x14ac:dyDescent="0.3">
      <c r="L55" s="171" t="s">
        <v>163</v>
      </c>
      <c r="X55" s="170"/>
      <c r="AM55" s="2"/>
    </row>
    <row r="56" spans="12:39" x14ac:dyDescent="0.3">
      <c r="L56" s="171" t="s">
        <v>162</v>
      </c>
      <c r="X56" s="170"/>
      <c r="AM56" s="2"/>
    </row>
    <row r="57" spans="12:39" x14ac:dyDescent="0.3">
      <c r="L57" s="171"/>
      <c r="X57" s="170"/>
    </row>
    <row r="58" spans="12:39" x14ac:dyDescent="0.3">
      <c r="L58" s="171" t="s">
        <v>161</v>
      </c>
      <c r="X58" s="170"/>
    </row>
    <row r="59" spans="12:39" x14ac:dyDescent="0.3">
      <c r="L59" s="169"/>
      <c r="M59" s="168"/>
      <c r="N59" s="168"/>
      <c r="O59" s="168"/>
      <c r="P59" s="168"/>
      <c r="Q59" s="168"/>
      <c r="R59" s="168"/>
      <c r="S59" s="168"/>
      <c r="T59" s="168"/>
      <c r="U59" s="168"/>
      <c r="V59" s="168"/>
      <c r="W59" s="168"/>
      <c r="X59" s="167"/>
    </row>
  </sheetData>
  <dataValidations count="1">
    <dataValidation type="list" allowBlank="1" showInputMessage="1" showErrorMessage="1" sqref="Z23" xr:uid="{00000000-0002-0000-0100-000000000000}">
      <formula1>"TRUE,FALSE"</formula1>
    </dataValidation>
  </dataValidations>
  <pageMargins left="0.7" right="0.7" top="0.75" bottom="0.75" header="0.3" footer="0.3"/>
  <pageSetup paperSize="9" orientation="portrait" r:id="rId1"/>
  <headerFooter>
    <oddFooter>&amp;R_x000D_&amp;1#&amp;"Aptos"&amp;10&amp;K008000 [ CLASSIFICAÇÃO: PÚBLICA ]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YieldCurveSolver">
                <anchor moveWithCells="1" sizeWithCells="1">
                  <from>
                    <xdr:col>25</xdr:col>
                    <xdr:colOff>0</xdr:colOff>
                    <xdr:row>25</xdr:row>
                    <xdr:rowOff>7620</xdr:rowOff>
                  </from>
                  <to>
                    <xdr:col>27</xdr:col>
                    <xdr:colOff>297180</xdr:colOff>
                    <xdr:row>29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DE3C4-8EB6-450B-BD09-F6C3239F1056}">
  <sheetPr codeName="Sheet6">
    <tabColor theme="8" tint="0.39997558519241921"/>
  </sheetPr>
  <dimension ref="A1:AL55"/>
  <sheetViews>
    <sheetView showGridLines="0" zoomScaleNormal="100" workbookViewId="0"/>
  </sheetViews>
  <sheetFormatPr defaultColWidth="9.109375" defaultRowHeight="14.4" outlineLevelCol="1" x14ac:dyDescent="0.3"/>
  <cols>
    <col min="1" max="1" width="4.6640625" style="2" customWidth="1"/>
    <col min="2" max="2" width="17" style="2" bestFit="1" customWidth="1"/>
    <col min="3" max="3" width="19.44140625" style="2" bestFit="1" customWidth="1"/>
    <col min="4" max="4" width="4.88671875" style="2" customWidth="1" outlineLevel="1"/>
    <col min="5" max="13" width="11.6640625" style="2" customWidth="1" outlineLevel="1"/>
    <col min="14" max="14" width="8.88671875"/>
    <col min="15" max="15" width="4.88671875" style="2" customWidth="1" outlineLevel="1"/>
    <col min="16" max="21" width="11.6640625" style="2" customWidth="1" outlineLevel="1"/>
    <col min="22" max="22" width="11.6640625" style="18" customWidth="1" outlineLevel="1"/>
    <col min="23" max="27" width="11.6640625" style="2" customWidth="1" outlineLevel="1"/>
    <col min="28" max="28" width="8.88671875"/>
    <col min="29" max="29" width="11.109375" style="259" hidden="1" customWidth="1" outlineLevel="1"/>
    <col min="30" max="30" width="10.6640625" style="259" hidden="1" customWidth="1" outlineLevel="1"/>
    <col min="31" max="31" width="9.109375" hidden="1" customWidth="1" collapsed="1"/>
    <col min="32" max="32" width="9.109375" customWidth="1"/>
    <col min="33" max="33" width="20.6640625" style="2" customWidth="1"/>
    <col min="34" max="34" width="15.6640625" style="2" customWidth="1"/>
    <col min="35" max="35" width="9.109375" style="2"/>
    <col min="36" max="37" width="10.6640625" style="2" customWidth="1"/>
    <col min="38" max="16384" width="9.109375" style="2"/>
  </cols>
  <sheetData>
    <row r="1" spans="1:38" x14ac:dyDescent="0.3">
      <c r="N1" s="124" t="s">
        <v>320</v>
      </c>
      <c r="O1" s="124"/>
      <c r="AB1" s="124" t="s">
        <v>319</v>
      </c>
      <c r="AE1" s="333" t="s">
        <v>318</v>
      </c>
      <c r="AF1" s="333"/>
    </row>
    <row r="2" spans="1:38" x14ac:dyDescent="0.3">
      <c r="B2" s="332" t="s">
        <v>322</v>
      </c>
    </row>
    <row r="4" spans="1:38" x14ac:dyDescent="0.3">
      <c r="B4" s="331" t="s">
        <v>321</v>
      </c>
      <c r="E4" s="44" t="s">
        <v>320</v>
      </c>
      <c r="K4" s="28"/>
      <c r="L4" s="28"/>
      <c r="M4" s="28"/>
      <c r="P4" s="44" t="s">
        <v>319</v>
      </c>
      <c r="AA4" s="28"/>
      <c r="AC4" s="330" t="s">
        <v>318</v>
      </c>
      <c r="AG4" s="44" t="s">
        <v>317</v>
      </c>
      <c r="AJ4" s="44" t="s">
        <v>316</v>
      </c>
    </row>
    <row r="5" spans="1:38" ht="16.2" x14ac:dyDescent="0.3">
      <c r="A5" s="329">
        <f>IF(C5="PAYER",-1,1)</f>
        <v>-1</v>
      </c>
      <c r="B5" s="328" t="s">
        <v>315</v>
      </c>
      <c r="C5" s="327" t="s">
        <v>314</v>
      </c>
      <c r="D5" s="270" t="s">
        <v>308</v>
      </c>
      <c r="E5" s="326" t="s">
        <v>306</v>
      </c>
      <c r="F5" s="324" t="s">
        <v>305</v>
      </c>
      <c r="G5" s="324" t="s">
        <v>304</v>
      </c>
      <c r="H5" s="324" t="s">
        <v>313</v>
      </c>
      <c r="I5" s="324" t="s">
        <v>302</v>
      </c>
      <c r="J5" s="324" t="s">
        <v>312</v>
      </c>
      <c r="K5" s="324" t="s">
        <v>311</v>
      </c>
      <c r="L5" s="324" t="s">
        <v>310</v>
      </c>
      <c r="M5" s="323" t="s">
        <v>309</v>
      </c>
      <c r="O5" s="269" t="s">
        <v>308</v>
      </c>
      <c r="P5" s="326" t="s">
        <v>307</v>
      </c>
      <c r="Q5" s="324" t="s">
        <v>306</v>
      </c>
      <c r="R5" s="324" t="s">
        <v>305</v>
      </c>
      <c r="S5" s="324" t="s">
        <v>304</v>
      </c>
      <c r="T5" s="324" t="s">
        <v>303</v>
      </c>
      <c r="U5" s="324" t="s">
        <v>302</v>
      </c>
      <c r="V5" s="325" t="s">
        <v>301</v>
      </c>
      <c r="W5" s="324" t="s">
        <v>300</v>
      </c>
      <c r="X5" s="324" t="s">
        <v>299</v>
      </c>
      <c r="Y5" s="324" t="s">
        <v>298</v>
      </c>
      <c r="Z5" s="324" t="s">
        <v>297</v>
      </c>
      <c r="AA5" s="323" t="s">
        <v>296</v>
      </c>
      <c r="AC5" s="322" t="s">
        <v>295</v>
      </c>
      <c r="AD5" s="321" t="s">
        <v>294</v>
      </c>
      <c r="AG5" s="320" t="s">
        <v>293</v>
      </c>
      <c r="AH5" s="319"/>
      <c r="AJ5" s="308" t="s">
        <v>292</v>
      </c>
      <c r="AK5" s="45">
        <f>VLOOKUP(T,'IR Yield Curve'!$K$7:$M$17,3,0)</f>
        <v>4.0101699999999997E-2</v>
      </c>
    </row>
    <row r="6" spans="1:38" x14ac:dyDescent="0.3">
      <c r="B6" s="281" t="s">
        <v>17</v>
      </c>
      <c r="C6" s="318" t="s">
        <v>19</v>
      </c>
      <c r="D6" s="270">
        <v>1</v>
      </c>
      <c r="E6" s="317">
        <f ca="1">IF(AC6,AsOfDate,"")</f>
        <v>46063</v>
      </c>
      <c r="F6" s="316">
        <f t="shared" ref="F6:F37" ca="1" si="0">IF(AC6,E6+K6*365,"")</f>
        <v>46428</v>
      </c>
      <c r="G6" s="316">
        <f t="shared" ref="G6:G37" ca="1" si="1">IF(AC6,F6,"")</f>
        <v>46428</v>
      </c>
      <c r="H6" s="313">
        <f t="shared" ref="H6:H37" si="2">IF(AC6,$D6*tau_i,"")</f>
        <v>1</v>
      </c>
      <c r="I6" s="315">
        <f t="shared" ref="I6:I37" si="3">IF(AC6,N,"")</f>
        <v>1000000</v>
      </c>
      <c r="J6" s="314">
        <f t="shared" ref="J6:J37" si="4">IF(AC6,r_fixed,"")</f>
        <v>0.01</v>
      </c>
      <c r="K6" s="313">
        <f t="shared" ref="K6:K37" si="5">IF(AC6,tau_i,"")</f>
        <v>1</v>
      </c>
      <c r="L6" s="312">
        <f t="shared" ref="L6:L37" si="6">IF(AC6,cubicInterpolation(CurveResults.Times,IF(ApplyBump,CurveResults.DF.Bumped,CurveResults.DFs),H6),"")</f>
        <v>0.95518051063522103</v>
      </c>
      <c r="M6" s="311">
        <f t="shared" ref="M6:M37" si="7">IF(AC6,I6*J6*K6*L6,"")</f>
        <v>9551.8051063522107</v>
      </c>
      <c r="O6" s="269">
        <v>1</v>
      </c>
      <c r="P6" s="317">
        <f t="shared" ref="P6:P37" ca="1" si="8">IF(AD6,Q6,"")</f>
        <v>46063</v>
      </c>
      <c r="Q6" s="316">
        <f ca="1">IF(AD6,AsOfDate,"")</f>
        <v>46063</v>
      </c>
      <c r="R6" s="316">
        <f t="shared" ref="R6:R37" ca="1" si="9">IF(AD6,Q6+Y6*365,"")</f>
        <v>46428</v>
      </c>
      <c r="S6" s="316">
        <f t="shared" ref="S6:S37" ca="1" si="10">IF(AD6,R6,"")</f>
        <v>46428</v>
      </c>
      <c r="T6" s="313">
        <f t="shared" ref="T6:T37" si="11">IF(AD6,$O6*tau_j,"")</f>
        <v>1</v>
      </c>
      <c r="U6" s="315">
        <f t="shared" ref="U6:U37" si="12">IF(AD6,N,"")</f>
        <v>1000000</v>
      </c>
      <c r="V6" s="314" cm="1">
        <f t="array" ref="V6">IF(AD6,cubicInterpolation(CurveResults.Times,CurveResults.USDSOFR,T6)-IF(ApplyBump,0.0001,0),"")</f>
        <v>4.4297700000000037E-2</v>
      </c>
      <c r="W6" s="313">
        <f t="shared" ref="W6:W37" si="13">IF(AD6,s,"")</f>
        <v>0</v>
      </c>
      <c r="X6" s="314">
        <f t="shared" ref="X6:X37" si="14">IF(AD6,V6+(W6*0.0001),"")</f>
        <v>4.4297700000000037E-2</v>
      </c>
      <c r="Y6" s="313">
        <f t="shared" ref="Y6:Y37" si="15">IF(AD6,tau_j,"")</f>
        <v>1</v>
      </c>
      <c r="Z6" s="312">
        <f t="shared" ref="Z6:Z37" si="16">IF(AD6,cubicInterpolation(CurveResults.Times,IF(ApplyBump,CurveResults.DF.Bumped,CurveResults.DFs),T6),"")</f>
        <v>0.95518051063522103</v>
      </c>
      <c r="AA6" s="311">
        <f t="shared" ref="AA6:AA37" si="17">IF(AD6,U6*X6*Y6*Z6,"")</f>
        <v>42312.299705965859</v>
      </c>
      <c r="AC6" s="310" t="b">
        <f t="shared" ref="AC6:AC37" si="18">IF(D6&lt;=T,TRUE,FALSE)</f>
        <v>1</v>
      </c>
      <c r="AD6" s="309" t="b">
        <f t="shared" ref="AD6:AD37" si="19">IF(O6&lt;=T,TRUE,FALSE)</f>
        <v>1</v>
      </c>
      <c r="AG6" s="281" t="s">
        <v>275</v>
      </c>
      <c r="AH6" s="273">
        <f>Phi*SUM(PVlets_Fixed)</f>
        <v>-44108.698560399047</v>
      </c>
      <c r="AJ6" s="308" t="s">
        <v>291</v>
      </c>
      <c r="AK6" s="45">
        <f>C18</f>
        <v>4.0101700029074532E-2</v>
      </c>
    </row>
    <row r="7" spans="1:38" x14ac:dyDescent="0.3">
      <c r="B7" s="281" t="s">
        <v>290</v>
      </c>
      <c r="C7" s="307">
        <v>1000000</v>
      </c>
      <c r="D7" s="270">
        <f t="shared" ref="D7:D38" si="20">D6+1</f>
        <v>2</v>
      </c>
      <c r="E7" s="279">
        <f t="shared" ref="E7:E38" ca="1" si="21">IF(AC7,F6,"")</f>
        <v>46428</v>
      </c>
      <c r="F7" s="278">
        <f t="shared" ca="1" si="0"/>
        <v>46793</v>
      </c>
      <c r="G7" s="278">
        <f t="shared" ca="1" si="1"/>
        <v>46793</v>
      </c>
      <c r="H7" s="275">
        <f t="shared" si="2"/>
        <v>2</v>
      </c>
      <c r="I7" s="277">
        <f t="shared" si="3"/>
        <v>1000000</v>
      </c>
      <c r="J7" s="276">
        <f t="shared" si="4"/>
        <v>0.01</v>
      </c>
      <c r="K7" s="275">
        <f t="shared" si="5"/>
        <v>1</v>
      </c>
      <c r="L7" s="274">
        <f t="shared" si="6"/>
        <v>0.91525521397921195</v>
      </c>
      <c r="M7" s="273">
        <f t="shared" si="7"/>
        <v>9152.5521397921202</v>
      </c>
      <c r="O7" s="269">
        <f t="shared" ref="O7:O38" si="22">O6+1</f>
        <v>2</v>
      </c>
      <c r="P7" s="279">
        <f t="shared" ca="1" si="8"/>
        <v>46428</v>
      </c>
      <c r="Q7" s="278">
        <f t="shared" ref="Q7:Q38" ca="1" si="23">IF(AD7,R6,"")</f>
        <v>46428</v>
      </c>
      <c r="R7" s="278">
        <f t="shared" ca="1" si="9"/>
        <v>46793</v>
      </c>
      <c r="S7" s="278">
        <f t="shared" ca="1" si="10"/>
        <v>46793</v>
      </c>
      <c r="T7" s="275">
        <f t="shared" si="11"/>
        <v>2</v>
      </c>
      <c r="U7" s="277">
        <f t="shared" si="12"/>
        <v>1000000</v>
      </c>
      <c r="V7" s="276" cm="1">
        <f t="array" ref="V7">IF(AD7,cubicInterpolation(CurveResults.Times,CurveResults.USDSOFR,T7)-IF(ApplyBump,0.0001,0),"")</f>
        <v>4.118322001841742E-2</v>
      </c>
      <c r="W7" s="275">
        <f t="shared" si="13"/>
        <v>0</v>
      </c>
      <c r="X7" s="276">
        <f t="shared" si="14"/>
        <v>4.118322001841742E-2</v>
      </c>
      <c r="Y7" s="275">
        <f t="shared" si="15"/>
        <v>1</v>
      </c>
      <c r="Z7" s="274">
        <f t="shared" si="16"/>
        <v>0.91525521397921195</v>
      </c>
      <c r="AA7" s="273">
        <f t="shared" si="17"/>
        <v>37693.156850309599</v>
      </c>
      <c r="AC7" s="272" t="b">
        <f t="shared" si="18"/>
        <v>1</v>
      </c>
      <c r="AD7" s="271" t="b">
        <f t="shared" si="19"/>
        <v>1</v>
      </c>
      <c r="AG7" s="281" t="s">
        <v>273</v>
      </c>
      <c r="AH7" s="273">
        <f>-Phi*SUM(PVlets_Float)</f>
        <v>176883.37983419944</v>
      </c>
      <c r="AJ7" s="306" t="s">
        <v>69</v>
      </c>
      <c r="AK7" s="45">
        <f>AK6-AK5</f>
        <v>2.9074534446671407E-11</v>
      </c>
      <c r="AL7" s="305"/>
    </row>
    <row r="8" spans="1:38" ht="16.2" x14ac:dyDescent="0.3">
      <c r="B8" s="281" t="s">
        <v>289</v>
      </c>
      <c r="C8" s="304">
        <v>0.01</v>
      </c>
      <c r="D8" s="270">
        <f t="shared" si="20"/>
        <v>3</v>
      </c>
      <c r="E8" s="279">
        <f t="shared" ca="1" si="21"/>
        <v>46793</v>
      </c>
      <c r="F8" s="278">
        <f t="shared" ca="1" si="0"/>
        <v>47158</v>
      </c>
      <c r="G8" s="278">
        <f t="shared" ca="1" si="1"/>
        <v>47158</v>
      </c>
      <c r="H8" s="275">
        <f t="shared" si="2"/>
        <v>3</v>
      </c>
      <c r="I8" s="277">
        <f t="shared" si="3"/>
        <v>1000000</v>
      </c>
      <c r="J8" s="276">
        <f t="shared" si="4"/>
        <v>0.01</v>
      </c>
      <c r="K8" s="275">
        <f t="shared" si="5"/>
        <v>1</v>
      </c>
      <c r="L8" s="274">
        <f t="shared" si="6"/>
        <v>0.87931148332785924</v>
      </c>
      <c r="M8" s="273">
        <f t="shared" si="7"/>
        <v>8793.1148332785924</v>
      </c>
      <c r="O8" s="269">
        <f t="shared" si="22"/>
        <v>3</v>
      </c>
      <c r="P8" s="279">
        <f t="shared" ca="1" si="8"/>
        <v>46793</v>
      </c>
      <c r="Q8" s="278">
        <f t="shared" ca="1" si="23"/>
        <v>46793</v>
      </c>
      <c r="R8" s="278">
        <f t="shared" ca="1" si="9"/>
        <v>47158</v>
      </c>
      <c r="S8" s="278">
        <f t="shared" ca="1" si="10"/>
        <v>47158</v>
      </c>
      <c r="T8" s="275">
        <f t="shared" si="11"/>
        <v>3</v>
      </c>
      <c r="U8" s="277">
        <f t="shared" si="12"/>
        <v>1000000</v>
      </c>
      <c r="V8" s="276" cm="1">
        <f t="array" ref="V8">IF(AD8,cubicInterpolation(CurveResults.Times,CurveResults.USDSOFR,T8)-IF(ApplyBump,0.0001,0),"")</f>
        <v>3.9102414838936221E-2</v>
      </c>
      <c r="W8" s="275">
        <f t="shared" si="13"/>
        <v>0</v>
      </c>
      <c r="X8" s="276">
        <f t="shared" si="14"/>
        <v>3.9102414838936221E-2</v>
      </c>
      <c r="Y8" s="275">
        <f t="shared" si="15"/>
        <v>1</v>
      </c>
      <c r="Z8" s="274">
        <f t="shared" si="16"/>
        <v>0.87931148332785924</v>
      </c>
      <c r="AA8" s="273">
        <f t="shared" si="17"/>
        <v>34383.202393726307</v>
      </c>
      <c r="AC8" s="272" t="b">
        <f t="shared" si="18"/>
        <v>1</v>
      </c>
      <c r="AD8" s="271" t="b">
        <f t="shared" si="19"/>
        <v>1</v>
      </c>
      <c r="AG8" s="281" t="s">
        <v>288</v>
      </c>
      <c r="AH8" s="273">
        <f>-Phi*SUMPRODUCT(U6:U55,W6:W55,Y6:Y55,Z6:Z55)/10000</f>
        <v>0</v>
      </c>
    </row>
    <row r="9" spans="1:38" x14ac:dyDescent="0.3">
      <c r="A9" s="337">
        <f>IF(C9="ANNUAL",1,IF(C9="SEMI-ANNUAL",0.5,IF(C9="QUARTERLY",0.25,1/12)))</f>
        <v>1</v>
      </c>
      <c r="B9" s="281" t="s">
        <v>287</v>
      </c>
      <c r="C9" s="318" t="s">
        <v>327</v>
      </c>
      <c r="D9" s="270">
        <f t="shared" si="20"/>
        <v>4</v>
      </c>
      <c r="E9" s="279">
        <f t="shared" ca="1" si="21"/>
        <v>47158</v>
      </c>
      <c r="F9" s="278">
        <f t="shared" ca="1" si="0"/>
        <v>47523</v>
      </c>
      <c r="G9" s="278">
        <f t="shared" ca="1" si="1"/>
        <v>47523</v>
      </c>
      <c r="H9" s="275">
        <f t="shared" si="2"/>
        <v>4</v>
      </c>
      <c r="I9" s="277">
        <f t="shared" si="3"/>
        <v>1000000</v>
      </c>
      <c r="J9" s="276">
        <f t="shared" si="4"/>
        <v>0.01</v>
      </c>
      <c r="K9" s="275">
        <f t="shared" si="5"/>
        <v>1</v>
      </c>
      <c r="L9" s="274">
        <f t="shared" si="6"/>
        <v>0.84616093081343713</v>
      </c>
      <c r="M9" s="273">
        <f t="shared" si="7"/>
        <v>8461.6093081343715</v>
      </c>
      <c r="O9" s="269">
        <f t="shared" si="22"/>
        <v>4</v>
      </c>
      <c r="P9" s="279">
        <f t="shared" ca="1" si="8"/>
        <v>47158</v>
      </c>
      <c r="Q9" s="278">
        <f t="shared" ca="1" si="23"/>
        <v>47158</v>
      </c>
      <c r="R9" s="278">
        <f t="shared" ca="1" si="9"/>
        <v>47523</v>
      </c>
      <c r="S9" s="278">
        <f t="shared" ca="1" si="10"/>
        <v>47523</v>
      </c>
      <c r="T9" s="275">
        <f t="shared" si="11"/>
        <v>4</v>
      </c>
      <c r="U9" s="277">
        <f t="shared" si="12"/>
        <v>1000000</v>
      </c>
      <c r="V9" s="276" cm="1">
        <f t="array" ref="V9">IF(AD9,cubicInterpolation(CurveResults.Times,CurveResults.USDSOFR,T9)-IF(ApplyBump,0.0001,0),"")</f>
        <v>3.7885484953529648E-2</v>
      </c>
      <c r="W9" s="275">
        <f t="shared" si="13"/>
        <v>0</v>
      </c>
      <c r="X9" s="276">
        <f t="shared" si="14"/>
        <v>3.7885484953529648E-2</v>
      </c>
      <c r="Y9" s="275">
        <f t="shared" si="15"/>
        <v>1</v>
      </c>
      <c r="Z9" s="274">
        <f t="shared" si="16"/>
        <v>0.84616093081343713</v>
      </c>
      <c r="AA9" s="273">
        <f t="shared" si="17"/>
        <v>32057.217212597112</v>
      </c>
      <c r="AC9" s="272" t="b">
        <f t="shared" si="18"/>
        <v>1</v>
      </c>
      <c r="AD9" s="271" t="b">
        <f t="shared" si="19"/>
        <v>1</v>
      </c>
      <c r="AG9" s="281" t="s">
        <v>28</v>
      </c>
      <c r="AH9" s="273">
        <f>PV_FixedLeg+PV_FloatLeg</f>
        <v>132774.68127380038</v>
      </c>
      <c r="AJ9" s="44" t="s">
        <v>286</v>
      </c>
    </row>
    <row r="10" spans="1:38" x14ac:dyDescent="0.3">
      <c r="A10" s="337">
        <f>IF(C10="ANNUAL",1,IF(C10="SEMI-ANNUAL",0.5,IF(C10="QUARTERLY",0.25,1/12)))</f>
        <v>1</v>
      </c>
      <c r="B10" s="281" t="s">
        <v>285</v>
      </c>
      <c r="C10" s="318" t="s">
        <v>327</v>
      </c>
      <c r="D10" s="270">
        <f t="shared" si="20"/>
        <v>5</v>
      </c>
      <c r="E10" s="279">
        <f t="shared" ca="1" si="21"/>
        <v>47523</v>
      </c>
      <c r="F10" s="278">
        <f t="shared" ca="1" si="0"/>
        <v>47888</v>
      </c>
      <c r="G10" s="278">
        <f t="shared" ca="1" si="1"/>
        <v>47888</v>
      </c>
      <c r="H10" s="275">
        <f t="shared" si="2"/>
        <v>5</v>
      </c>
      <c r="I10" s="277">
        <f t="shared" si="3"/>
        <v>1000000</v>
      </c>
      <c r="J10" s="276">
        <f t="shared" si="4"/>
        <v>0.01</v>
      </c>
      <c r="K10" s="275">
        <f t="shared" si="5"/>
        <v>1</v>
      </c>
      <c r="L10" s="274">
        <f t="shared" si="6"/>
        <v>0.81496171728417521</v>
      </c>
      <c r="M10" s="273">
        <f t="shared" si="7"/>
        <v>8149.6171728417521</v>
      </c>
      <c r="O10" s="269">
        <f t="shared" si="22"/>
        <v>5</v>
      </c>
      <c r="P10" s="279">
        <f t="shared" ca="1" si="8"/>
        <v>47523</v>
      </c>
      <c r="Q10" s="278">
        <f t="shared" ca="1" si="23"/>
        <v>47523</v>
      </c>
      <c r="R10" s="278">
        <f t="shared" ca="1" si="9"/>
        <v>47888</v>
      </c>
      <c r="S10" s="278">
        <f t="shared" ca="1" si="10"/>
        <v>47888</v>
      </c>
      <c r="T10" s="275">
        <f t="shared" si="11"/>
        <v>5</v>
      </c>
      <c r="U10" s="277">
        <f t="shared" si="12"/>
        <v>1000000</v>
      </c>
      <c r="V10" s="276" cm="1">
        <f t="array" ref="V10">IF(AD10,cubicInterpolation(CurveResults.Times,CurveResults.USDSOFR,T10)-IF(ApplyBump,0.0001,0),"")</f>
        <v>3.7348384624779976E-2</v>
      </c>
      <c r="W10" s="275">
        <f t="shared" si="13"/>
        <v>0</v>
      </c>
      <c r="X10" s="276">
        <f t="shared" si="14"/>
        <v>3.7348384624779976E-2</v>
      </c>
      <c r="Y10" s="275">
        <f t="shared" si="15"/>
        <v>1</v>
      </c>
      <c r="Z10" s="274">
        <f t="shared" si="16"/>
        <v>0.81496171728417521</v>
      </c>
      <c r="AA10" s="273">
        <f t="shared" si="17"/>
        <v>30437.503671600574</v>
      </c>
      <c r="AC10" s="272" t="b">
        <f t="shared" si="18"/>
        <v>1</v>
      </c>
      <c r="AD10" s="271" t="b">
        <f t="shared" si="19"/>
        <v>1</v>
      </c>
      <c r="AG10" s="281" t="s">
        <v>284</v>
      </c>
      <c r="AH10" s="303">
        <f>ABS(PV_FloatLeg)/Annuity_Fixed</f>
        <v>4.0101700029074532E-2</v>
      </c>
      <c r="AJ10" s="2" t="str">
        <f>'IR Yield Curve'!L7</f>
        <v>Tenor</v>
      </c>
      <c r="AK10" s="2" t="str">
        <f>'IR Yield Curve'!M7</f>
        <v>ParRate, P</v>
      </c>
    </row>
    <row r="11" spans="1:38" x14ac:dyDescent="0.3">
      <c r="B11" s="281" t="s">
        <v>283</v>
      </c>
      <c r="C11" s="302">
        <v>0</v>
      </c>
      <c r="D11" s="270">
        <f t="shared" si="20"/>
        <v>6</v>
      </c>
      <c r="E11" s="279" t="str">
        <f t="shared" si="21"/>
        <v/>
      </c>
      <c r="F11" s="278" t="str">
        <f t="shared" si="0"/>
        <v/>
      </c>
      <c r="G11" s="278" t="str">
        <f t="shared" si="1"/>
        <v/>
      </c>
      <c r="H11" s="275" t="str">
        <f t="shared" si="2"/>
        <v/>
      </c>
      <c r="I11" s="277" t="str">
        <f t="shared" si="3"/>
        <v/>
      </c>
      <c r="J11" s="276" t="str">
        <f t="shared" si="4"/>
        <v/>
      </c>
      <c r="K11" s="275" t="str">
        <f t="shared" si="5"/>
        <v/>
      </c>
      <c r="L11" s="274" t="str">
        <f t="shared" si="6"/>
        <v/>
      </c>
      <c r="M11" s="273" t="str">
        <f t="shared" si="7"/>
        <v/>
      </c>
      <c r="O11" s="269">
        <f t="shared" si="22"/>
        <v>6</v>
      </c>
      <c r="P11" s="279" t="str">
        <f t="shared" si="8"/>
        <v/>
      </c>
      <c r="Q11" s="278" t="str">
        <f t="shared" si="23"/>
        <v/>
      </c>
      <c r="R11" s="278" t="str">
        <f t="shared" si="9"/>
        <v/>
      </c>
      <c r="S11" s="278" t="str">
        <f t="shared" si="10"/>
        <v/>
      </c>
      <c r="T11" s="275" t="str">
        <f t="shared" si="11"/>
        <v/>
      </c>
      <c r="U11" s="277" t="str">
        <f t="shared" si="12"/>
        <v/>
      </c>
      <c r="V11" s="276" t="str" cm="1">
        <f t="array" ref="V11">IF(AD11,cubicInterpolation(CurveResults.Times,CurveResults.USDSOFR,T11)-IF(ApplyBump,0.0001,0),"")</f>
        <v/>
      </c>
      <c r="W11" s="275" t="str">
        <f t="shared" si="13"/>
        <v/>
      </c>
      <c r="X11" s="276" t="str">
        <f t="shared" si="14"/>
        <v/>
      </c>
      <c r="Y11" s="275" t="str">
        <f t="shared" si="15"/>
        <v/>
      </c>
      <c r="Z11" s="274" t="str">
        <f t="shared" si="16"/>
        <v/>
      </c>
      <c r="AA11" s="273" t="str">
        <f t="shared" si="17"/>
        <v/>
      </c>
      <c r="AC11" s="272" t="b">
        <f t="shared" si="18"/>
        <v>0</v>
      </c>
      <c r="AD11" s="271" t="b">
        <f t="shared" si="19"/>
        <v>0</v>
      </c>
      <c r="AG11" s="287"/>
      <c r="AH11" s="283"/>
      <c r="AJ11" s="301" t="str">
        <f>'IR Yield Curve'!L8</f>
        <v>1Y</v>
      </c>
      <c r="AK11" s="300">
        <f>'IR Yield Curve'!M8</f>
        <v>4.4297700000000037E-2</v>
      </c>
    </row>
    <row r="12" spans="1:38" x14ac:dyDescent="0.3">
      <c r="B12" s="280" t="s">
        <v>282</v>
      </c>
      <c r="C12" s="299">
        <v>5</v>
      </c>
      <c r="D12" s="270">
        <f t="shared" si="20"/>
        <v>7</v>
      </c>
      <c r="E12" s="279" t="str">
        <f t="shared" si="21"/>
        <v/>
      </c>
      <c r="F12" s="278" t="str">
        <f t="shared" si="0"/>
        <v/>
      </c>
      <c r="G12" s="278" t="str">
        <f t="shared" si="1"/>
        <v/>
      </c>
      <c r="H12" s="275" t="str">
        <f t="shared" si="2"/>
        <v/>
      </c>
      <c r="I12" s="277" t="str">
        <f t="shared" si="3"/>
        <v/>
      </c>
      <c r="J12" s="276" t="str">
        <f t="shared" si="4"/>
        <v/>
      </c>
      <c r="K12" s="275" t="str">
        <f t="shared" si="5"/>
        <v/>
      </c>
      <c r="L12" s="274" t="str">
        <f t="shared" si="6"/>
        <v/>
      </c>
      <c r="M12" s="273" t="str">
        <f t="shared" si="7"/>
        <v/>
      </c>
      <c r="O12" s="269">
        <f t="shared" si="22"/>
        <v>7</v>
      </c>
      <c r="P12" s="279" t="str">
        <f t="shared" si="8"/>
        <v/>
      </c>
      <c r="Q12" s="278" t="str">
        <f t="shared" si="23"/>
        <v/>
      </c>
      <c r="R12" s="278" t="str">
        <f t="shared" si="9"/>
        <v/>
      </c>
      <c r="S12" s="278" t="str">
        <f t="shared" si="10"/>
        <v/>
      </c>
      <c r="T12" s="275" t="str">
        <f t="shared" si="11"/>
        <v/>
      </c>
      <c r="U12" s="277" t="str">
        <f t="shared" si="12"/>
        <v/>
      </c>
      <c r="V12" s="276" t="str" cm="1">
        <f t="array" ref="V12">IF(AD12,cubicInterpolation(CurveResults.Times,CurveResults.USDSOFR,T12)-IF(ApplyBump,0.0001,0),"")</f>
        <v/>
      </c>
      <c r="W12" s="275" t="str">
        <f t="shared" si="13"/>
        <v/>
      </c>
      <c r="X12" s="276" t="str">
        <f t="shared" si="14"/>
        <v/>
      </c>
      <c r="Y12" s="275" t="str">
        <f t="shared" si="15"/>
        <v/>
      </c>
      <c r="Z12" s="274" t="str">
        <f t="shared" si="16"/>
        <v/>
      </c>
      <c r="AA12" s="273" t="str">
        <f t="shared" si="17"/>
        <v/>
      </c>
      <c r="AC12" s="272" t="b">
        <f t="shared" si="18"/>
        <v>0</v>
      </c>
      <c r="AD12" s="271" t="b">
        <f t="shared" si="19"/>
        <v>0</v>
      </c>
      <c r="AG12" s="284" t="s">
        <v>281</v>
      </c>
      <c r="AH12" s="283"/>
      <c r="AJ12" s="296" t="str">
        <f>'IR Yield Curve'!L9</f>
        <v>2Y</v>
      </c>
      <c r="AK12" s="295">
        <f>'IR Yield Curve'!M9</f>
        <v>4.2773700000000033E-2</v>
      </c>
    </row>
    <row r="13" spans="1:38" ht="16.2" x14ac:dyDescent="0.3">
      <c r="D13" s="270">
        <f t="shared" si="20"/>
        <v>8</v>
      </c>
      <c r="E13" s="279" t="str">
        <f t="shared" si="21"/>
        <v/>
      </c>
      <c r="F13" s="278" t="str">
        <f t="shared" si="0"/>
        <v/>
      </c>
      <c r="G13" s="278" t="str">
        <f t="shared" si="1"/>
        <v/>
      </c>
      <c r="H13" s="275" t="str">
        <f t="shared" si="2"/>
        <v/>
      </c>
      <c r="I13" s="277" t="str">
        <f t="shared" si="3"/>
        <v/>
      </c>
      <c r="J13" s="276" t="str">
        <f t="shared" si="4"/>
        <v/>
      </c>
      <c r="K13" s="275" t="str">
        <f t="shared" si="5"/>
        <v/>
      </c>
      <c r="L13" s="274" t="str">
        <f t="shared" si="6"/>
        <v/>
      </c>
      <c r="M13" s="273" t="str">
        <f t="shared" si="7"/>
        <v/>
      </c>
      <c r="O13" s="269">
        <f t="shared" si="22"/>
        <v>8</v>
      </c>
      <c r="P13" s="279" t="str">
        <f t="shared" si="8"/>
        <v/>
      </c>
      <c r="Q13" s="278" t="str">
        <f t="shared" si="23"/>
        <v/>
      </c>
      <c r="R13" s="278" t="str">
        <f t="shared" si="9"/>
        <v/>
      </c>
      <c r="S13" s="278" t="str">
        <f t="shared" si="10"/>
        <v/>
      </c>
      <c r="T13" s="275" t="str">
        <f t="shared" si="11"/>
        <v/>
      </c>
      <c r="U13" s="277" t="str">
        <f t="shared" si="12"/>
        <v/>
      </c>
      <c r="V13" s="276" t="str" cm="1">
        <f t="array" ref="V13">IF(AD13,cubicInterpolation(CurveResults.Times,CurveResults.USDSOFR,T13)-IF(ApplyBump,0.0001,0),"")</f>
        <v/>
      </c>
      <c r="W13" s="275" t="str">
        <f t="shared" si="13"/>
        <v/>
      </c>
      <c r="X13" s="276" t="str">
        <f t="shared" si="14"/>
        <v/>
      </c>
      <c r="Y13" s="275" t="str">
        <f t="shared" si="15"/>
        <v/>
      </c>
      <c r="Z13" s="274" t="str">
        <f t="shared" si="16"/>
        <v/>
      </c>
      <c r="AA13" s="273" t="str">
        <f t="shared" si="17"/>
        <v/>
      </c>
      <c r="AC13" s="272" t="b">
        <f t="shared" si="18"/>
        <v>0</v>
      </c>
      <c r="AD13" s="271" t="b">
        <f t="shared" si="19"/>
        <v>0</v>
      </c>
      <c r="AG13" s="281" t="s">
        <v>280</v>
      </c>
      <c r="AH13" s="298">
        <f>SUMPRODUCT(K6:K55,L6:L55)</f>
        <v>4.4108698560399047</v>
      </c>
      <c r="AJ13" s="296" t="str">
        <f>'IR Yield Curve'!L10</f>
        <v>3Y</v>
      </c>
      <c r="AK13" s="295">
        <f>'IR Yield Curve'!M10</f>
        <v>4.1599700000000024E-2</v>
      </c>
    </row>
    <row r="14" spans="1:38" ht="16.2" x14ac:dyDescent="0.3">
      <c r="B14" s="44" t="s">
        <v>279</v>
      </c>
      <c r="D14" s="270">
        <f t="shared" si="20"/>
        <v>9</v>
      </c>
      <c r="E14" s="279" t="str">
        <f t="shared" si="21"/>
        <v/>
      </c>
      <c r="F14" s="278" t="str">
        <f t="shared" si="0"/>
        <v/>
      </c>
      <c r="G14" s="278" t="str">
        <f t="shared" si="1"/>
        <v/>
      </c>
      <c r="H14" s="275" t="str">
        <f t="shared" si="2"/>
        <v/>
      </c>
      <c r="I14" s="277" t="str">
        <f t="shared" si="3"/>
        <v/>
      </c>
      <c r="J14" s="276" t="str">
        <f t="shared" si="4"/>
        <v/>
      </c>
      <c r="K14" s="275" t="str">
        <f t="shared" si="5"/>
        <v/>
      </c>
      <c r="L14" s="274" t="str">
        <f t="shared" si="6"/>
        <v/>
      </c>
      <c r="M14" s="273" t="str">
        <f t="shared" si="7"/>
        <v/>
      </c>
      <c r="O14" s="269">
        <f t="shared" si="22"/>
        <v>9</v>
      </c>
      <c r="P14" s="279" t="str">
        <f t="shared" si="8"/>
        <v/>
      </c>
      <c r="Q14" s="278" t="str">
        <f t="shared" si="23"/>
        <v/>
      </c>
      <c r="R14" s="278" t="str">
        <f t="shared" si="9"/>
        <v/>
      </c>
      <c r="S14" s="278" t="str">
        <f t="shared" si="10"/>
        <v/>
      </c>
      <c r="T14" s="275" t="str">
        <f t="shared" si="11"/>
        <v/>
      </c>
      <c r="U14" s="277" t="str">
        <f t="shared" si="12"/>
        <v/>
      </c>
      <c r="V14" s="276" t="str" cm="1">
        <f t="array" ref="V14">IF(AD14,cubicInterpolation(CurveResults.Times,CurveResults.USDSOFR,T14)-IF(ApplyBump,0.0001,0),"")</f>
        <v/>
      </c>
      <c r="W14" s="275" t="str">
        <f t="shared" si="13"/>
        <v/>
      </c>
      <c r="X14" s="276" t="str">
        <f t="shared" si="14"/>
        <v/>
      </c>
      <c r="Y14" s="275" t="str">
        <f t="shared" si="15"/>
        <v/>
      </c>
      <c r="Z14" s="274" t="str">
        <f t="shared" si="16"/>
        <v/>
      </c>
      <c r="AA14" s="273" t="str">
        <f t="shared" si="17"/>
        <v/>
      </c>
      <c r="AC14" s="272" t="b">
        <f t="shared" si="18"/>
        <v>0</v>
      </c>
      <c r="AD14" s="271" t="b">
        <f t="shared" si="19"/>
        <v>0</v>
      </c>
      <c r="AG14" s="281" t="s">
        <v>278</v>
      </c>
      <c r="AH14" s="298">
        <f>SUMPRODUCT(Y6:Y55,Z6:Z55)</f>
        <v>4.4108698560399047</v>
      </c>
      <c r="AJ14" s="296" t="str">
        <f>'IR Yield Curve'!L11</f>
        <v>4Y</v>
      </c>
      <c r="AK14" s="295">
        <f>'IR Yield Curve'!M11</f>
        <v>4.0725700000000017E-2</v>
      </c>
    </row>
    <row r="15" spans="1:38" ht="16.2" x14ac:dyDescent="0.3">
      <c r="B15" s="291" t="s">
        <v>277</v>
      </c>
      <c r="C15" s="290">
        <f>PV_Swap</f>
        <v>132774.68127380038</v>
      </c>
      <c r="D15" s="270">
        <f t="shared" si="20"/>
        <v>10</v>
      </c>
      <c r="E15" s="279" t="str">
        <f t="shared" si="21"/>
        <v/>
      </c>
      <c r="F15" s="278" t="str">
        <f t="shared" si="0"/>
        <v/>
      </c>
      <c r="G15" s="278" t="str">
        <f t="shared" si="1"/>
        <v/>
      </c>
      <c r="H15" s="275" t="str">
        <f t="shared" si="2"/>
        <v/>
      </c>
      <c r="I15" s="277" t="str">
        <f t="shared" si="3"/>
        <v/>
      </c>
      <c r="J15" s="276" t="str">
        <f t="shared" si="4"/>
        <v/>
      </c>
      <c r="K15" s="275" t="str">
        <f t="shared" si="5"/>
        <v/>
      </c>
      <c r="L15" s="274" t="str">
        <f t="shared" si="6"/>
        <v/>
      </c>
      <c r="M15" s="273" t="str">
        <f t="shared" si="7"/>
        <v/>
      </c>
      <c r="O15" s="269">
        <f t="shared" si="22"/>
        <v>10</v>
      </c>
      <c r="P15" s="279" t="str">
        <f t="shared" si="8"/>
        <v/>
      </c>
      <c r="Q15" s="278" t="str">
        <f t="shared" si="23"/>
        <v/>
      </c>
      <c r="R15" s="278" t="str">
        <f t="shared" si="9"/>
        <v/>
      </c>
      <c r="S15" s="278" t="str">
        <f t="shared" si="10"/>
        <v/>
      </c>
      <c r="T15" s="275" t="str">
        <f t="shared" si="11"/>
        <v/>
      </c>
      <c r="U15" s="277" t="str">
        <f t="shared" si="12"/>
        <v/>
      </c>
      <c r="V15" s="276" t="str" cm="1">
        <f t="array" ref="V15">IF(AD15,cubicInterpolation(CurveResults.Times,CurveResults.USDSOFR,T15)-IF(ApplyBump,0.0001,0),"")</f>
        <v/>
      </c>
      <c r="W15" s="275" t="str">
        <f t="shared" si="13"/>
        <v/>
      </c>
      <c r="X15" s="276" t="str">
        <f t="shared" si="14"/>
        <v/>
      </c>
      <c r="Y15" s="275" t="str">
        <f t="shared" si="15"/>
        <v/>
      </c>
      <c r="Z15" s="274" t="str">
        <f t="shared" si="16"/>
        <v/>
      </c>
      <c r="AA15" s="273" t="str">
        <f t="shared" si="17"/>
        <v/>
      </c>
      <c r="AC15" s="272" t="b">
        <f t="shared" si="18"/>
        <v>0</v>
      </c>
      <c r="AD15" s="271" t="b">
        <f t="shared" si="19"/>
        <v>0</v>
      </c>
      <c r="AG15" s="281" t="s">
        <v>276</v>
      </c>
      <c r="AH15" s="273">
        <f>SUMPRODUCT(K6:K55,L6:L55,I6:I55)</f>
        <v>4410869.856039905</v>
      </c>
      <c r="AJ15" s="296" t="str">
        <f>'IR Yield Curve'!L12</f>
        <v>5Y</v>
      </c>
      <c r="AK15" s="295">
        <f>'IR Yield Curve'!M12</f>
        <v>4.0101699999999997E-2</v>
      </c>
    </row>
    <row r="16" spans="1:38" ht="16.2" x14ac:dyDescent="0.3">
      <c r="B16" s="289" t="s">
        <v>275</v>
      </c>
      <c r="C16" s="288">
        <f>PV_FixedLeg</f>
        <v>-44108.698560399047</v>
      </c>
      <c r="D16" s="270">
        <f t="shared" si="20"/>
        <v>11</v>
      </c>
      <c r="E16" s="279" t="str">
        <f t="shared" si="21"/>
        <v/>
      </c>
      <c r="F16" s="278" t="str">
        <f t="shared" si="0"/>
        <v/>
      </c>
      <c r="G16" s="278" t="str">
        <f t="shared" si="1"/>
        <v/>
      </c>
      <c r="H16" s="275" t="str">
        <f t="shared" si="2"/>
        <v/>
      </c>
      <c r="I16" s="277" t="str">
        <f t="shared" si="3"/>
        <v/>
      </c>
      <c r="J16" s="276" t="str">
        <f t="shared" si="4"/>
        <v/>
      </c>
      <c r="K16" s="275" t="str">
        <f t="shared" si="5"/>
        <v/>
      </c>
      <c r="L16" s="274" t="str">
        <f t="shared" si="6"/>
        <v/>
      </c>
      <c r="M16" s="273" t="str">
        <f t="shared" si="7"/>
        <v/>
      </c>
      <c r="O16" s="269">
        <f t="shared" si="22"/>
        <v>11</v>
      </c>
      <c r="P16" s="279" t="str">
        <f t="shared" si="8"/>
        <v/>
      </c>
      <c r="Q16" s="278" t="str">
        <f t="shared" si="23"/>
        <v/>
      </c>
      <c r="R16" s="278" t="str">
        <f t="shared" si="9"/>
        <v/>
      </c>
      <c r="S16" s="278" t="str">
        <f t="shared" si="10"/>
        <v/>
      </c>
      <c r="T16" s="275" t="str">
        <f t="shared" si="11"/>
        <v/>
      </c>
      <c r="U16" s="277" t="str">
        <f t="shared" si="12"/>
        <v/>
      </c>
      <c r="V16" s="276" t="str" cm="1">
        <f t="array" ref="V16">IF(AD16,cubicInterpolation(CurveResults.Times,CurveResults.USDSOFR,T16)-IF(ApplyBump,0.0001,0),"")</f>
        <v/>
      </c>
      <c r="W16" s="275" t="str">
        <f t="shared" si="13"/>
        <v/>
      </c>
      <c r="X16" s="276" t="str">
        <f t="shared" si="14"/>
        <v/>
      </c>
      <c r="Y16" s="275" t="str">
        <f t="shared" si="15"/>
        <v/>
      </c>
      <c r="Z16" s="274" t="str">
        <f t="shared" si="16"/>
        <v/>
      </c>
      <c r="AA16" s="273" t="str">
        <f t="shared" si="17"/>
        <v/>
      </c>
      <c r="AC16" s="272" t="b">
        <f t="shared" si="18"/>
        <v>0</v>
      </c>
      <c r="AD16" s="271" t="b">
        <f t="shared" si="19"/>
        <v>0</v>
      </c>
      <c r="AG16" s="281" t="s">
        <v>274</v>
      </c>
      <c r="AH16" s="273">
        <f>SUMPRODUCT(Y6:Y55,Z6:Z55,U6:U55)</f>
        <v>4410869.856039905</v>
      </c>
      <c r="AJ16" s="296" t="str">
        <f>'IR Yield Curve'!L13</f>
        <v>6Y</v>
      </c>
      <c r="AK16" s="295">
        <f>'IR Yield Curve'!M13</f>
        <v>3.9677700000000003E-2</v>
      </c>
    </row>
    <row r="17" spans="2:37" x14ac:dyDescent="0.3">
      <c r="B17" s="289" t="s">
        <v>273</v>
      </c>
      <c r="C17" s="288">
        <f>PV_FloatLeg</f>
        <v>176883.37983419944</v>
      </c>
      <c r="D17" s="270">
        <f t="shared" si="20"/>
        <v>12</v>
      </c>
      <c r="E17" s="279" t="str">
        <f t="shared" si="21"/>
        <v/>
      </c>
      <c r="F17" s="278" t="str">
        <f t="shared" si="0"/>
        <v/>
      </c>
      <c r="G17" s="278" t="str">
        <f t="shared" si="1"/>
        <v/>
      </c>
      <c r="H17" s="275" t="str">
        <f t="shared" si="2"/>
        <v/>
      </c>
      <c r="I17" s="277" t="str">
        <f t="shared" si="3"/>
        <v/>
      </c>
      <c r="J17" s="276" t="str">
        <f t="shared" si="4"/>
        <v/>
      </c>
      <c r="K17" s="275" t="str">
        <f t="shared" si="5"/>
        <v/>
      </c>
      <c r="L17" s="274" t="str">
        <f t="shared" si="6"/>
        <v/>
      </c>
      <c r="M17" s="273" t="str">
        <f t="shared" si="7"/>
        <v/>
      </c>
      <c r="O17" s="269">
        <f t="shared" si="22"/>
        <v>12</v>
      </c>
      <c r="P17" s="279" t="str">
        <f t="shared" si="8"/>
        <v/>
      </c>
      <c r="Q17" s="278" t="str">
        <f t="shared" si="23"/>
        <v/>
      </c>
      <c r="R17" s="278" t="str">
        <f t="shared" si="9"/>
        <v/>
      </c>
      <c r="S17" s="278" t="str">
        <f t="shared" si="10"/>
        <v/>
      </c>
      <c r="T17" s="275" t="str">
        <f t="shared" si="11"/>
        <v/>
      </c>
      <c r="U17" s="277" t="str">
        <f t="shared" si="12"/>
        <v/>
      </c>
      <c r="V17" s="276" t="str" cm="1">
        <f t="array" ref="V17">IF(AD17,cubicInterpolation(CurveResults.Times,CurveResults.USDSOFR,T17)-IF(ApplyBump,0.0001,0),"")</f>
        <v/>
      </c>
      <c r="W17" s="275" t="str">
        <f t="shared" si="13"/>
        <v/>
      </c>
      <c r="X17" s="276" t="str">
        <f t="shared" si="14"/>
        <v/>
      </c>
      <c r="Y17" s="275" t="str">
        <f t="shared" si="15"/>
        <v/>
      </c>
      <c r="Z17" s="274" t="str">
        <f t="shared" si="16"/>
        <v/>
      </c>
      <c r="AA17" s="273" t="str">
        <f t="shared" si="17"/>
        <v/>
      </c>
      <c r="AC17" s="272" t="b">
        <f t="shared" si="18"/>
        <v>0</v>
      </c>
      <c r="AD17" s="271" t="b">
        <f t="shared" si="19"/>
        <v>0</v>
      </c>
      <c r="AG17" s="287"/>
      <c r="AH17" s="283"/>
      <c r="AJ17" s="296" t="str">
        <f>'IR Yield Curve'!L14</f>
        <v>7Y</v>
      </c>
      <c r="AK17" s="295">
        <f>'IR Yield Curve'!M14</f>
        <v>3.9353699999999998E-2</v>
      </c>
    </row>
    <row r="18" spans="2:37" x14ac:dyDescent="0.3">
      <c r="B18" s="286" t="s">
        <v>105</v>
      </c>
      <c r="C18" s="297">
        <f>p</f>
        <v>4.0101700029074532E-2</v>
      </c>
      <c r="D18" s="270">
        <f t="shared" si="20"/>
        <v>13</v>
      </c>
      <c r="E18" s="279" t="str">
        <f t="shared" si="21"/>
        <v/>
      </c>
      <c r="F18" s="278" t="str">
        <f t="shared" si="0"/>
        <v/>
      </c>
      <c r="G18" s="278" t="str">
        <f t="shared" si="1"/>
        <v/>
      </c>
      <c r="H18" s="275" t="str">
        <f t="shared" si="2"/>
        <v/>
      </c>
      <c r="I18" s="277" t="str">
        <f t="shared" si="3"/>
        <v/>
      </c>
      <c r="J18" s="276" t="str">
        <f t="shared" si="4"/>
        <v/>
      </c>
      <c r="K18" s="275" t="str">
        <f t="shared" si="5"/>
        <v/>
      </c>
      <c r="L18" s="274" t="str">
        <f t="shared" si="6"/>
        <v/>
      </c>
      <c r="M18" s="273" t="str">
        <f t="shared" si="7"/>
        <v/>
      </c>
      <c r="O18" s="269">
        <f t="shared" si="22"/>
        <v>13</v>
      </c>
      <c r="P18" s="279" t="str">
        <f t="shared" si="8"/>
        <v/>
      </c>
      <c r="Q18" s="278" t="str">
        <f t="shared" si="23"/>
        <v/>
      </c>
      <c r="R18" s="278" t="str">
        <f t="shared" si="9"/>
        <v/>
      </c>
      <c r="S18" s="278" t="str">
        <f t="shared" si="10"/>
        <v/>
      </c>
      <c r="T18" s="275" t="str">
        <f t="shared" si="11"/>
        <v/>
      </c>
      <c r="U18" s="277" t="str">
        <f t="shared" si="12"/>
        <v/>
      </c>
      <c r="V18" s="276" t="str" cm="1">
        <f t="array" ref="V18">IF(AD18,cubicInterpolation(CurveResults.Times,CurveResults.USDSOFR,T18)-IF(ApplyBump,0.0001,0),"")</f>
        <v/>
      </c>
      <c r="W18" s="275" t="str">
        <f t="shared" si="13"/>
        <v/>
      </c>
      <c r="X18" s="276" t="str">
        <f t="shared" si="14"/>
        <v/>
      </c>
      <c r="Y18" s="275" t="str">
        <f t="shared" si="15"/>
        <v/>
      </c>
      <c r="Z18" s="274" t="str">
        <f t="shared" si="16"/>
        <v/>
      </c>
      <c r="AA18" s="273" t="str">
        <f t="shared" si="17"/>
        <v/>
      </c>
      <c r="AC18" s="272" t="b">
        <f t="shared" si="18"/>
        <v>0</v>
      </c>
      <c r="AD18" s="271" t="b">
        <f t="shared" si="19"/>
        <v>0</v>
      </c>
      <c r="AG18" s="284" t="s">
        <v>272</v>
      </c>
      <c r="AH18" s="283"/>
      <c r="AJ18" s="296" t="str">
        <f>'IR Yield Curve'!L15</f>
        <v>8Y</v>
      </c>
      <c r="AK18" s="295">
        <f>'IR Yield Curve'!M15</f>
        <v>3.9145600000000003E-2</v>
      </c>
    </row>
    <row r="19" spans="2:37" ht="16.2" x14ac:dyDescent="0.3">
      <c r="D19" s="270">
        <f t="shared" si="20"/>
        <v>14</v>
      </c>
      <c r="E19" s="279" t="str">
        <f t="shared" si="21"/>
        <v/>
      </c>
      <c r="F19" s="278" t="str">
        <f t="shared" si="0"/>
        <v/>
      </c>
      <c r="G19" s="278" t="str">
        <f t="shared" si="1"/>
        <v/>
      </c>
      <c r="H19" s="275" t="str">
        <f t="shared" si="2"/>
        <v/>
      </c>
      <c r="I19" s="277" t="str">
        <f t="shared" si="3"/>
        <v/>
      </c>
      <c r="J19" s="276" t="str">
        <f t="shared" si="4"/>
        <v/>
      </c>
      <c r="K19" s="275" t="str">
        <f t="shared" si="5"/>
        <v/>
      </c>
      <c r="L19" s="274" t="str">
        <f t="shared" si="6"/>
        <v/>
      </c>
      <c r="M19" s="273" t="str">
        <f t="shared" si="7"/>
        <v/>
      </c>
      <c r="O19" s="269">
        <f t="shared" si="22"/>
        <v>14</v>
      </c>
      <c r="P19" s="279" t="str">
        <f t="shared" si="8"/>
        <v/>
      </c>
      <c r="Q19" s="278" t="str">
        <f t="shared" si="23"/>
        <v/>
      </c>
      <c r="R19" s="278" t="str">
        <f t="shared" si="9"/>
        <v/>
      </c>
      <c r="S19" s="278" t="str">
        <f t="shared" si="10"/>
        <v/>
      </c>
      <c r="T19" s="275" t="str">
        <f t="shared" si="11"/>
        <v/>
      </c>
      <c r="U19" s="277" t="str">
        <f t="shared" si="12"/>
        <v/>
      </c>
      <c r="V19" s="276" t="str" cm="1">
        <f t="array" ref="V19">IF(AD19,cubicInterpolation(CurveResults.Times,CurveResults.USDSOFR,T19)-IF(ApplyBump,0.0001,0),"")</f>
        <v/>
      </c>
      <c r="W19" s="275" t="str">
        <f t="shared" si="13"/>
        <v/>
      </c>
      <c r="X19" s="276" t="str">
        <f t="shared" si="14"/>
        <v/>
      </c>
      <c r="Y19" s="275" t="str">
        <f t="shared" si="15"/>
        <v/>
      </c>
      <c r="Z19" s="274" t="str">
        <f t="shared" si="16"/>
        <v/>
      </c>
      <c r="AA19" s="273" t="str">
        <f t="shared" si="17"/>
        <v/>
      </c>
      <c r="AC19" s="272" t="b">
        <f t="shared" si="18"/>
        <v>0</v>
      </c>
      <c r="AD19" s="271" t="b">
        <f t="shared" si="19"/>
        <v>0</v>
      </c>
      <c r="AG19" s="281" t="s">
        <v>271</v>
      </c>
      <c r="AH19" s="294">
        <f>SUMPRODUCT(H6:H55,I6:I55,J6:J55,K6:K55,L6:L55)/SUMPRODUCT(I6:I55,J6:J55,K6:K55,L6:L55)*(1+p)</f>
        <v>3.0378840121999682</v>
      </c>
      <c r="AJ19" s="296" t="str">
        <f>'IR Yield Curve'!L16</f>
        <v>9Y</v>
      </c>
      <c r="AK19" s="295">
        <f>'IR Yield Curve'!M16</f>
        <v>3.9028399999999998E-2</v>
      </c>
    </row>
    <row r="20" spans="2:37" ht="16.2" x14ac:dyDescent="0.3">
      <c r="B20" s="44" t="s">
        <v>270</v>
      </c>
      <c r="D20" s="270">
        <f t="shared" si="20"/>
        <v>15</v>
      </c>
      <c r="E20" s="279" t="str">
        <f t="shared" si="21"/>
        <v/>
      </c>
      <c r="F20" s="278" t="str">
        <f t="shared" si="0"/>
        <v/>
      </c>
      <c r="G20" s="278" t="str">
        <f t="shared" si="1"/>
        <v/>
      </c>
      <c r="H20" s="275" t="str">
        <f t="shared" si="2"/>
        <v/>
      </c>
      <c r="I20" s="277" t="str">
        <f t="shared" si="3"/>
        <v/>
      </c>
      <c r="J20" s="276" t="str">
        <f t="shared" si="4"/>
        <v/>
      </c>
      <c r="K20" s="275" t="str">
        <f t="shared" si="5"/>
        <v/>
      </c>
      <c r="L20" s="274" t="str">
        <f t="shared" si="6"/>
        <v/>
      </c>
      <c r="M20" s="273" t="str">
        <f t="shared" si="7"/>
        <v/>
      </c>
      <c r="O20" s="269">
        <f t="shared" si="22"/>
        <v>15</v>
      </c>
      <c r="P20" s="279" t="str">
        <f t="shared" si="8"/>
        <v/>
      </c>
      <c r="Q20" s="278" t="str">
        <f t="shared" si="23"/>
        <v/>
      </c>
      <c r="R20" s="278" t="str">
        <f t="shared" si="9"/>
        <v/>
      </c>
      <c r="S20" s="278" t="str">
        <f t="shared" si="10"/>
        <v/>
      </c>
      <c r="T20" s="275" t="str">
        <f t="shared" si="11"/>
        <v/>
      </c>
      <c r="U20" s="277" t="str">
        <f t="shared" si="12"/>
        <v/>
      </c>
      <c r="V20" s="276" t="str" cm="1">
        <f t="array" ref="V20">IF(AD20,cubicInterpolation(CurveResults.Times,CurveResults.USDSOFR,T20)-IF(ApplyBump,0.0001,0),"")</f>
        <v/>
      </c>
      <c r="W20" s="275" t="str">
        <f t="shared" si="13"/>
        <v/>
      </c>
      <c r="X20" s="276" t="str">
        <f t="shared" si="14"/>
        <v/>
      </c>
      <c r="Y20" s="275" t="str">
        <f t="shared" si="15"/>
        <v/>
      </c>
      <c r="Z20" s="274" t="str">
        <f t="shared" si="16"/>
        <v/>
      </c>
      <c r="AA20" s="273" t="str">
        <f t="shared" si="17"/>
        <v/>
      </c>
      <c r="AC20" s="272" t="b">
        <f t="shared" si="18"/>
        <v>0</v>
      </c>
      <c r="AD20" s="271" t="b">
        <f t="shared" si="19"/>
        <v>0</v>
      </c>
      <c r="AG20" s="281" t="s">
        <v>269</v>
      </c>
      <c r="AH20" s="294">
        <f>SUMPRODUCT(T6:T55,U6:U55,Y6:Y55,X6:X55,Z6:Z55)/SUMPRODUCT(U6:U55,X6:X55,Y6:Y55,Z6:Z55)*(1+p)</f>
        <v>2.9475136172877736</v>
      </c>
      <c r="AJ20" s="293" t="str">
        <f>'IR Yield Curve'!L17</f>
        <v>10Y</v>
      </c>
      <c r="AK20" s="292">
        <f>'IR Yield Curve'!M17</f>
        <v>3.8961299999999997E-2</v>
      </c>
    </row>
    <row r="21" spans="2:37" x14ac:dyDescent="0.3">
      <c r="B21" s="291" t="s">
        <v>126</v>
      </c>
      <c r="C21" s="290">
        <f>PV01_</f>
        <v>-441.08698560399051</v>
      </c>
      <c r="D21" s="270">
        <f t="shared" si="20"/>
        <v>16</v>
      </c>
      <c r="E21" s="279" t="str">
        <f t="shared" si="21"/>
        <v/>
      </c>
      <c r="F21" s="278" t="str">
        <f t="shared" si="0"/>
        <v/>
      </c>
      <c r="G21" s="278" t="str">
        <f t="shared" si="1"/>
        <v/>
      </c>
      <c r="H21" s="275" t="str">
        <f t="shared" si="2"/>
        <v/>
      </c>
      <c r="I21" s="277" t="str">
        <f t="shared" si="3"/>
        <v/>
      </c>
      <c r="J21" s="276" t="str">
        <f t="shared" si="4"/>
        <v/>
      </c>
      <c r="K21" s="275" t="str">
        <f t="shared" si="5"/>
        <v/>
      </c>
      <c r="L21" s="274" t="str">
        <f t="shared" si="6"/>
        <v/>
      </c>
      <c r="M21" s="273" t="str">
        <f t="shared" si="7"/>
        <v/>
      </c>
      <c r="O21" s="269">
        <f t="shared" si="22"/>
        <v>16</v>
      </c>
      <c r="P21" s="279" t="str">
        <f t="shared" si="8"/>
        <v/>
      </c>
      <c r="Q21" s="278" t="str">
        <f t="shared" si="23"/>
        <v/>
      </c>
      <c r="R21" s="278" t="str">
        <f t="shared" si="9"/>
        <v/>
      </c>
      <c r="S21" s="278" t="str">
        <f t="shared" si="10"/>
        <v/>
      </c>
      <c r="T21" s="275" t="str">
        <f t="shared" si="11"/>
        <v/>
      </c>
      <c r="U21" s="277" t="str">
        <f t="shared" si="12"/>
        <v/>
      </c>
      <c r="V21" s="276" t="str" cm="1">
        <f t="array" ref="V21">IF(AD21,cubicInterpolation(CurveResults.Times,CurveResults.USDSOFR,T21)-IF(ApplyBump,0.0001,0),"")</f>
        <v/>
      </c>
      <c r="W21" s="275" t="str">
        <f t="shared" si="13"/>
        <v/>
      </c>
      <c r="X21" s="276" t="str">
        <f t="shared" si="14"/>
        <v/>
      </c>
      <c r="Y21" s="275" t="str">
        <f t="shared" si="15"/>
        <v/>
      </c>
      <c r="Z21" s="274" t="str">
        <f t="shared" si="16"/>
        <v/>
      </c>
      <c r="AA21" s="273" t="str">
        <f t="shared" si="17"/>
        <v/>
      </c>
      <c r="AC21" s="272" t="b">
        <f t="shared" si="18"/>
        <v>0</v>
      </c>
      <c r="AD21" s="271" t="b">
        <f t="shared" si="19"/>
        <v>0</v>
      </c>
      <c r="AG21" s="281" t="s">
        <v>126</v>
      </c>
      <c r="AH21" s="273">
        <f>Phi*Annuity_Fixed/10000</f>
        <v>-441.08698560399051</v>
      </c>
    </row>
    <row r="22" spans="2:37" x14ac:dyDescent="0.3">
      <c r="B22" s="289" t="s">
        <v>262</v>
      </c>
      <c r="C22" s="288">
        <f>NumericalDV01</f>
        <v>-442.6637963145331</v>
      </c>
      <c r="D22" s="270">
        <f t="shared" si="20"/>
        <v>17</v>
      </c>
      <c r="E22" s="279" t="str">
        <f t="shared" si="21"/>
        <v/>
      </c>
      <c r="F22" s="278" t="str">
        <f t="shared" si="0"/>
        <v/>
      </c>
      <c r="G22" s="278" t="str">
        <f t="shared" si="1"/>
        <v/>
      </c>
      <c r="H22" s="275" t="str">
        <f t="shared" si="2"/>
        <v/>
      </c>
      <c r="I22" s="277" t="str">
        <f t="shared" si="3"/>
        <v/>
      </c>
      <c r="J22" s="276" t="str">
        <f t="shared" si="4"/>
        <v/>
      </c>
      <c r="K22" s="275" t="str">
        <f t="shared" si="5"/>
        <v/>
      </c>
      <c r="L22" s="274" t="str">
        <f t="shared" si="6"/>
        <v/>
      </c>
      <c r="M22" s="273" t="str">
        <f t="shared" si="7"/>
        <v/>
      </c>
      <c r="O22" s="269">
        <f t="shared" si="22"/>
        <v>17</v>
      </c>
      <c r="P22" s="279" t="str">
        <f t="shared" si="8"/>
        <v/>
      </c>
      <c r="Q22" s="278" t="str">
        <f t="shared" si="23"/>
        <v/>
      </c>
      <c r="R22" s="278" t="str">
        <f t="shared" si="9"/>
        <v/>
      </c>
      <c r="S22" s="278" t="str">
        <f t="shared" si="10"/>
        <v/>
      </c>
      <c r="T22" s="275" t="str">
        <f t="shared" si="11"/>
        <v/>
      </c>
      <c r="U22" s="277" t="str">
        <f t="shared" si="12"/>
        <v/>
      </c>
      <c r="V22" s="276" t="str" cm="1">
        <f t="array" ref="V22">IF(AD22,cubicInterpolation(CurveResults.Times,CurveResults.USDSOFR,T22)-IF(ApplyBump,0.0001,0),"")</f>
        <v/>
      </c>
      <c r="W22" s="275" t="str">
        <f t="shared" si="13"/>
        <v/>
      </c>
      <c r="X22" s="276" t="str">
        <f t="shared" si="14"/>
        <v/>
      </c>
      <c r="Y22" s="275" t="str">
        <f t="shared" si="15"/>
        <v/>
      </c>
      <c r="Z22" s="274" t="str">
        <f t="shared" si="16"/>
        <v/>
      </c>
      <c r="AA22" s="273" t="str">
        <f t="shared" si="17"/>
        <v/>
      </c>
      <c r="AC22" s="272" t="b">
        <f t="shared" si="18"/>
        <v>0</v>
      </c>
      <c r="AD22" s="271" t="b">
        <f t="shared" si="19"/>
        <v>0</v>
      </c>
      <c r="AG22" s="281" t="s">
        <v>268</v>
      </c>
      <c r="AH22" s="273">
        <f>((Phi*Annuity_Fixed)+((PV_Swap-PV_FloatSpread)*DurationFixed)+(PV_FloatSpread*DurationFloat))/10000</f>
        <v>-400.75157745732804</v>
      </c>
    </row>
    <row r="23" spans="2:37" x14ac:dyDescent="0.3">
      <c r="B23" s="289" t="s">
        <v>267</v>
      </c>
      <c r="C23" s="288">
        <f>AnalyticalDV01</f>
        <v>-400.75157745732804</v>
      </c>
      <c r="D23" s="270">
        <f t="shared" si="20"/>
        <v>18</v>
      </c>
      <c r="E23" s="279" t="str">
        <f t="shared" si="21"/>
        <v/>
      </c>
      <c r="F23" s="278" t="str">
        <f t="shared" si="0"/>
        <v/>
      </c>
      <c r="G23" s="278" t="str">
        <f t="shared" si="1"/>
        <v/>
      </c>
      <c r="H23" s="275" t="str">
        <f t="shared" si="2"/>
        <v/>
      </c>
      <c r="I23" s="277" t="str">
        <f t="shared" si="3"/>
        <v/>
      </c>
      <c r="J23" s="276" t="str">
        <f t="shared" si="4"/>
        <v/>
      </c>
      <c r="K23" s="275" t="str">
        <f t="shared" si="5"/>
        <v/>
      </c>
      <c r="L23" s="274" t="str">
        <f t="shared" si="6"/>
        <v/>
      </c>
      <c r="M23" s="273" t="str">
        <f t="shared" si="7"/>
        <v/>
      </c>
      <c r="O23" s="269">
        <f t="shared" si="22"/>
        <v>18</v>
      </c>
      <c r="P23" s="279" t="str">
        <f t="shared" si="8"/>
        <v/>
      </c>
      <c r="Q23" s="278" t="str">
        <f t="shared" si="23"/>
        <v/>
      </c>
      <c r="R23" s="278" t="str">
        <f t="shared" si="9"/>
        <v/>
      </c>
      <c r="S23" s="278" t="str">
        <f t="shared" si="10"/>
        <v/>
      </c>
      <c r="T23" s="275" t="str">
        <f t="shared" si="11"/>
        <v/>
      </c>
      <c r="U23" s="277" t="str">
        <f t="shared" si="12"/>
        <v/>
      </c>
      <c r="V23" s="276" t="str" cm="1">
        <f t="array" ref="V23">IF(AD23,cubicInterpolation(CurveResults.Times,CurveResults.USDSOFR,T23)-IF(ApplyBump,0.0001,0),"")</f>
        <v/>
      </c>
      <c r="W23" s="275" t="str">
        <f t="shared" si="13"/>
        <v/>
      </c>
      <c r="X23" s="276" t="str">
        <f t="shared" si="14"/>
        <v/>
      </c>
      <c r="Y23" s="275" t="str">
        <f t="shared" si="15"/>
        <v/>
      </c>
      <c r="Z23" s="274" t="str">
        <f t="shared" si="16"/>
        <v/>
      </c>
      <c r="AA23" s="273" t="str">
        <f t="shared" si="17"/>
        <v/>
      </c>
      <c r="AC23" s="272" t="b">
        <f t="shared" si="18"/>
        <v>0</v>
      </c>
      <c r="AD23" s="271" t="b">
        <f t="shared" si="19"/>
        <v>0</v>
      </c>
      <c r="AG23" s="287"/>
      <c r="AH23" s="283"/>
    </row>
    <row r="24" spans="2:37" x14ac:dyDescent="0.3">
      <c r="B24" s="286" t="s">
        <v>69</v>
      </c>
      <c r="C24" s="285">
        <f>C23-C22</f>
        <v>41.912218857205062</v>
      </c>
      <c r="D24" s="270">
        <f t="shared" si="20"/>
        <v>19</v>
      </c>
      <c r="E24" s="279" t="str">
        <f t="shared" si="21"/>
        <v/>
      </c>
      <c r="F24" s="278" t="str">
        <f t="shared" si="0"/>
        <v/>
      </c>
      <c r="G24" s="278" t="str">
        <f t="shared" si="1"/>
        <v/>
      </c>
      <c r="H24" s="275" t="str">
        <f t="shared" si="2"/>
        <v/>
      </c>
      <c r="I24" s="277" t="str">
        <f t="shared" si="3"/>
        <v/>
      </c>
      <c r="J24" s="276" t="str">
        <f t="shared" si="4"/>
        <v/>
      </c>
      <c r="K24" s="275" t="str">
        <f t="shared" si="5"/>
        <v/>
      </c>
      <c r="L24" s="274" t="str">
        <f t="shared" si="6"/>
        <v/>
      </c>
      <c r="M24" s="273" t="str">
        <f t="shared" si="7"/>
        <v/>
      </c>
      <c r="O24" s="269">
        <f t="shared" si="22"/>
        <v>19</v>
      </c>
      <c r="P24" s="279" t="str">
        <f t="shared" si="8"/>
        <v/>
      </c>
      <c r="Q24" s="278" t="str">
        <f t="shared" si="23"/>
        <v/>
      </c>
      <c r="R24" s="278" t="str">
        <f t="shared" si="9"/>
        <v/>
      </c>
      <c r="S24" s="278" t="str">
        <f t="shared" si="10"/>
        <v/>
      </c>
      <c r="T24" s="275" t="str">
        <f t="shared" si="11"/>
        <v/>
      </c>
      <c r="U24" s="277" t="str">
        <f t="shared" si="12"/>
        <v/>
      </c>
      <c r="V24" s="276" t="str" cm="1">
        <f t="array" ref="V24">IF(AD24,cubicInterpolation(CurveResults.Times,CurveResults.USDSOFR,T24)-IF(ApplyBump,0.0001,0),"")</f>
        <v/>
      </c>
      <c r="W24" s="275" t="str">
        <f t="shared" si="13"/>
        <v/>
      </c>
      <c r="X24" s="276" t="str">
        <f t="shared" si="14"/>
        <v/>
      </c>
      <c r="Y24" s="275" t="str">
        <f t="shared" si="15"/>
        <v/>
      </c>
      <c r="Z24" s="274" t="str">
        <f t="shared" si="16"/>
        <v/>
      </c>
      <c r="AA24" s="273" t="str">
        <f t="shared" si="17"/>
        <v/>
      </c>
      <c r="AC24" s="272" t="b">
        <f t="shared" si="18"/>
        <v>0</v>
      </c>
      <c r="AD24" s="271" t="b">
        <f t="shared" si="19"/>
        <v>0</v>
      </c>
      <c r="AG24" s="284" t="s">
        <v>266</v>
      </c>
      <c r="AH24" s="283"/>
    </row>
    <row r="25" spans="2:37" x14ac:dyDescent="0.3">
      <c r="D25" s="270">
        <f t="shared" si="20"/>
        <v>20</v>
      </c>
      <c r="E25" s="279" t="str">
        <f t="shared" si="21"/>
        <v/>
      </c>
      <c r="F25" s="278" t="str">
        <f t="shared" si="0"/>
        <v/>
      </c>
      <c r="G25" s="278" t="str">
        <f t="shared" si="1"/>
        <v/>
      </c>
      <c r="H25" s="275" t="str">
        <f t="shared" si="2"/>
        <v/>
      </c>
      <c r="I25" s="277" t="str">
        <f t="shared" si="3"/>
        <v/>
      </c>
      <c r="J25" s="276" t="str">
        <f t="shared" si="4"/>
        <v/>
      </c>
      <c r="K25" s="275" t="str">
        <f t="shared" si="5"/>
        <v/>
      </c>
      <c r="L25" s="274" t="str">
        <f t="shared" si="6"/>
        <v/>
      </c>
      <c r="M25" s="273" t="str">
        <f t="shared" si="7"/>
        <v/>
      </c>
      <c r="O25" s="269">
        <f t="shared" si="22"/>
        <v>20</v>
      </c>
      <c r="P25" s="279" t="str">
        <f t="shared" si="8"/>
        <v/>
      </c>
      <c r="Q25" s="278" t="str">
        <f t="shared" si="23"/>
        <v/>
      </c>
      <c r="R25" s="278" t="str">
        <f t="shared" si="9"/>
        <v/>
      </c>
      <c r="S25" s="278" t="str">
        <f t="shared" si="10"/>
        <v/>
      </c>
      <c r="T25" s="275" t="str">
        <f t="shared" si="11"/>
        <v/>
      </c>
      <c r="U25" s="277" t="str">
        <f t="shared" si="12"/>
        <v/>
      </c>
      <c r="V25" s="276" t="str" cm="1">
        <f t="array" ref="V25">IF(AD25,cubicInterpolation(CurveResults.Times,CurveResults.USDSOFR,T25)-IF(ApplyBump,0.0001,0),"")</f>
        <v/>
      </c>
      <c r="W25" s="275" t="str">
        <f t="shared" si="13"/>
        <v/>
      </c>
      <c r="X25" s="276" t="str">
        <f t="shared" si="14"/>
        <v/>
      </c>
      <c r="Y25" s="275" t="str">
        <f t="shared" si="15"/>
        <v/>
      </c>
      <c r="Z25" s="274" t="str">
        <f t="shared" si="16"/>
        <v/>
      </c>
      <c r="AA25" s="273" t="str">
        <f t="shared" si="17"/>
        <v/>
      </c>
      <c r="AC25" s="272" t="b">
        <f t="shared" si="18"/>
        <v>0</v>
      </c>
      <c r="AD25" s="271" t="b">
        <f t="shared" si="19"/>
        <v>0</v>
      </c>
      <c r="AG25" s="281" t="s">
        <v>265</v>
      </c>
      <c r="AH25" s="282" t="b">
        <v>0</v>
      </c>
    </row>
    <row r="26" spans="2:37" x14ac:dyDescent="0.3">
      <c r="D26" s="270">
        <f t="shared" si="20"/>
        <v>21</v>
      </c>
      <c r="E26" s="279" t="str">
        <f t="shared" si="21"/>
        <v/>
      </c>
      <c r="F26" s="278" t="str">
        <f t="shared" si="0"/>
        <v/>
      </c>
      <c r="G26" s="278" t="str">
        <f t="shared" si="1"/>
        <v/>
      </c>
      <c r="H26" s="275" t="str">
        <f t="shared" si="2"/>
        <v/>
      </c>
      <c r="I26" s="277" t="str">
        <f t="shared" si="3"/>
        <v/>
      </c>
      <c r="J26" s="276" t="str">
        <f t="shared" si="4"/>
        <v/>
      </c>
      <c r="K26" s="275" t="str">
        <f t="shared" si="5"/>
        <v/>
      </c>
      <c r="L26" s="274" t="str">
        <f t="shared" si="6"/>
        <v/>
      </c>
      <c r="M26" s="273" t="str">
        <f t="shared" si="7"/>
        <v/>
      </c>
      <c r="O26" s="269">
        <f t="shared" si="22"/>
        <v>21</v>
      </c>
      <c r="P26" s="279" t="str">
        <f t="shared" si="8"/>
        <v/>
      </c>
      <c r="Q26" s="278" t="str">
        <f t="shared" si="23"/>
        <v/>
      </c>
      <c r="R26" s="278" t="str">
        <f t="shared" si="9"/>
        <v/>
      </c>
      <c r="S26" s="278" t="str">
        <f t="shared" si="10"/>
        <v/>
      </c>
      <c r="T26" s="275" t="str">
        <f t="shared" si="11"/>
        <v/>
      </c>
      <c r="U26" s="277" t="str">
        <f t="shared" si="12"/>
        <v/>
      </c>
      <c r="V26" s="276" t="str" cm="1">
        <f t="array" ref="V26">IF(AD26,cubicInterpolation(CurveResults.Times,CurveResults.USDSOFR,T26)-IF(ApplyBump,0.0001,0),"")</f>
        <v/>
      </c>
      <c r="W26" s="275" t="str">
        <f t="shared" si="13"/>
        <v/>
      </c>
      <c r="X26" s="276" t="str">
        <f t="shared" si="14"/>
        <v/>
      </c>
      <c r="Y26" s="275" t="str">
        <f t="shared" si="15"/>
        <v/>
      </c>
      <c r="Z26" s="274" t="str">
        <f t="shared" si="16"/>
        <v/>
      </c>
      <c r="AA26" s="273" t="str">
        <f t="shared" si="17"/>
        <v/>
      </c>
      <c r="AC26" s="272" t="b">
        <f t="shared" si="18"/>
        <v>0</v>
      </c>
      <c r="AD26" s="271" t="b">
        <f t="shared" si="19"/>
        <v>0</v>
      </c>
      <c r="AG26" s="281" t="s">
        <v>264</v>
      </c>
      <c r="AH26" s="273">
        <v>132774.68127380038</v>
      </c>
    </row>
    <row r="27" spans="2:37" x14ac:dyDescent="0.3">
      <c r="D27" s="270">
        <f t="shared" si="20"/>
        <v>22</v>
      </c>
      <c r="E27" s="279" t="str">
        <f t="shared" si="21"/>
        <v/>
      </c>
      <c r="F27" s="278" t="str">
        <f t="shared" si="0"/>
        <v/>
      </c>
      <c r="G27" s="278" t="str">
        <f t="shared" si="1"/>
        <v/>
      </c>
      <c r="H27" s="275" t="str">
        <f t="shared" si="2"/>
        <v/>
      </c>
      <c r="I27" s="277" t="str">
        <f t="shared" si="3"/>
        <v/>
      </c>
      <c r="J27" s="276" t="str">
        <f t="shared" si="4"/>
        <v/>
      </c>
      <c r="K27" s="275" t="str">
        <f t="shared" si="5"/>
        <v/>
      </c>
      <c r="L27" s="274" t="str">
        <f t="shared" si="6"/>
        <v/>
      </c>
      <c r="M27" s="273" t="str">
        <f t="shared" si="7"/>
        <v/>
      </c>
      <c r="O27" s="269">
        <f t="shared" si="22"/>
        <v>22</v>
      </c>
      <c r="P27" s="279" t="str">
        <f t="shared" si="8"/>
        <v/>
      </c>
      <c r="Q27" s="278" t="str">
        <f t="shared" si="23"/>
        <v/>
      </c>
      <c r="R27" s="278" t="str">
        <f t="shared" si="9"/>
        <v/>
      </c>
      <c r="S27" s="278" t="str">
        <f t="shared" si="10"/>
        <v/>
      </c>
      <c r="T27" s="275" t="str">
        <f t="shared" si="11"/>
        <v/>
      </c>
      <c r="U27" s="277" t="str">
        <f t="shared" si="12"/>
        <v/>
      </c>
      <c r="V27" s="276" t="str" cm="1">
        <f t="array" ref="V27">IF(AD27,cubicInterpolation(CurveResults.Times,CurveResults.USDSOFR,T27)-IF(ApplyBump,0.0001,0),"")</f>
        <v/>
      </c>
      <c r="W27" s="275" t="str">
        <f t="shared" si="13"/>
        <v/>
      </c>
      <c r="X27" s="276" t="str">
        <f t="shared" si="14"/>
        <v/>
      </c>
      <c r="Y27" s="275" t="str">
        <f t="shared" si="15"/>
        <v/>
      </c>
      <c r="Z27" s="274" t="str">
        <f t="shared" si="16"/>
        <v/>
      </c>
      <c r="AA27" s="273" t="str">
        <f t="shared" si="17"/>
        <v/>
      </c>
      <c r="AC27" s="272" t="b">
        <f t="shared" si="18"/>
        <v>0</v>
      </c>
      <c r="AD27" s="271" t="b">
        <f t="shared" si="19"/>
        <v>0</v>
      </c>
      <c r="AG27" s="281" t="s">
        <v>263</v>
      </c>
      <c r="AH27" s="273">
        <v>132332.01747748585</v>
      </c>
    </row>
    <row r="28" spans="2:37" x14ac:dyDescent="0.3">
      <c r="D28" s="270">
        <f t="shared" si="20"/>
        <v>23</v>
      </c>
      <c r="E28" s="279" t="str">
        <f t="shared" si="21"/>
        <v/>
      </c>
      <c r="F28" s="278" t="str">
        <f t="shared" si="0"/>
        <v/>
      </c>
      <c r="G28" s="278" t="str">
        <f t="shared" si="1"/>
        <v/>
      </c>
      <c r="H28" s="275" t="str">
        <f t="shared" si="2"/>
        <v/>
      </c>
      <c r="I28" s="277" t="str">
        <f t="shared" si="3"/>
        <v/>
      </c>
      <c r="J28" s="276" t="str">
        <f t="shared" si="4"/>
        <v/>
      </c>
      <c r="K28" s="275" t="str">
        <f t="shared" si="5"/>
        <v/>
      </c>
      <c r="L28" s="274" t="str">
        <f t="shared" si="6"/>
        <v/>
      </c>
      <c r="M28" s="273" t="str">
        <f t="shared" si="7"/>
        <v/>
      </c>
      <c r="O28" s="269">
        <f t="shared" si="22"/>
        <v>23</v>
      </c>
      <c r="P28" s="279" t="str">
        <f t="shared" si="8"/>
        <v/>
      </c>
      <c r="Q28" s="278" t="str">
        <f t="shared" si="23"/>
        <v/>
      </c>
      <c r="R28" s="278" t="str">
        <f t="shared" si="9"/>
        <v/>
      </c>
      <c r="S28" s="278" t="str">
        <f t="shared" si="10"/>
        <v/>
      </c>
      <c r="T28" s="275" t="str">
        <f t="shared" si="11"/>
        <v/>
      </c>
      <c r="U28" s="277" t="str">
        <f t="shared" si="12"/>
        <v/>
      </c>
      <c r="V28" s="276" t="str" cm="1">
        <f t="array" ref="V28">IF(AD28,cubicInterpolation(CurveResults.Times,CurveResults.USDSOFR,T28)-IF(ApplyBump,0.0001,0),"")</f>
        <v/>
      </c>
      <c r="W28" s="275" t="str">
        <f t="shared" si="13"/>
        <v/>
      </c>
      <c r="X28" s="276" t="str">
        <f t="shared" si="14"/>
        <v/>
      </c>
      <c r="Y28" s="275" t="str">
        <f t="shared" si="15"/>
        <v/>
      </c>
      <c r="Z28" s="274" t="str">
        <f t="shared" si="16"/>
        <v/>
      </c>
      <c r="AA28" s="273" t="str">
        <f t="shared" si="17"/>
        <v/>
      </c>
      <c r="AC28" s="272" t="b">
        <f t="shared" si="18"/>
        <v>0</v>
      </c>
      <c r="AD28" s="271" t="b">
        <f t="shared" si="19"/>
        <v>0</v>
      </c>
      <c r="AG28" s="280" t="s">
        <v>262</v>
      </c>
      <c r="AH28" s="262">
        <f>AH27-AH26</f>
        <v>-442.6637963145331</v>
      </c>
    </row>
    <row r="29" spans="2:37" x14ac:dyDescent="0.3">
      <c r="D29" s="270">
        <f t="shared" si="20"/>
        <v>24</v>
      </c>
      <c r="E29" s="279" t="str">
        <f t="shared" si="21"/>
        <v/>
      </c>
      <c r="F29" s="278" t="str">
        <f t="shared" si="0"/>
        <v/>
      </c>
      <c r="G29" s="278" t="str">
        <f t="shared" si="1"/>
        <v/>
      </c>
      <c r="H29" s="275" t="str">
        <f t="shared" si="2"/>
        <v/>
      </c>
      <c r="I29" s="277" t="str">
        <f t="shared" si="3"/>
        <v/>
      </c>
      <c r="J29" s="276" t="str">
        <f t="shared" si="4"/>
        <v/>
      </c>
      <c r="K29" s="275" t="str">
        <f t="shared" si="5"/>
        <v/>
      </c>
      <c r="L29" s="274" t="str">
        <f t="shared" si="6"/>
        <v/>
      </c>
      <c r="M29" s="273" t="str">
        <f t="shared" si="7"/>
        <v/>
      </c>
      <c r="O29" s="269">
        <f t="shared" si="22"/>
        <v>24</v>
      </c>
      <c r="P29" s="279" t="str">
        <f t="shared" si="8"/>
        <v/>
      </c>
      <c r="Q29" s="278" t="str">
        <f t="shared" si="23"/>
        <v/>
      </c>
      <c r="R29" s="278" t="str">
        <f t="shared" si="9"/>
        <v/>
      </c>
      <c r="S29" s="278" t="str">
        <f t="shared" si="10"/>
        <v/>
      </c>
      <c r="T29" s="275" t="str">
        <f t="shared" si="11"/>
        <v/>
      </c>
      <c r="U29" s="277" t="str">
        <f t="shared" si="12"/>
        <v/>
      </c>
      <c r="V29" s="276" t="str" cm="1">
        <f t="array" ref="V29">IF(AD29,cubicInterpolation(CurveResults.Times,CurveResults.USDSOFR,T29)-IF(ApplyBump,0.0001,0),"")</f>
        <v/>
      </c>
      <c r="W29" s="275" t="str">
        <f t="shared" si="13"/>
        <v/>
      </c>
      <c r="X29" s="276" t="str">
        <f t="shared" si="14"/>
        <v/>
      </c>
      <c r="Y29" s="275" t="str">
        <f t="shared" si="15"/>
        <v/>
      </c>
      <c r="Z29" s="274" t="str">
        <f t="shared" si="16"/>
        <v/>
      </c>
      <c r="AA29" s="273" t="str">
        <f t="shared" si="17"/>
        <v/>
      </c>
      <c r="AC29" s="272" t="b">
        <f t="shared" si="18"/>
        <v>0</v>
      </c>
      <c r="AD29" s="271" t="b">
        <f t="shared" si="19"/>
        <v>0</v>
      </c>
    </row>
    <row r="30" spans="2:37" x14ac:dyDescent="0.3">
      <c r="D30" s="270">
        <f t="shared" si="20"/>
        <v>25</v>
      </c>
      <c r="E30" s="279" t="str">
        <f t="shared" si="21"/>
        <v/>
      </c>
      <c r="F30" s="278" t="str">
        <f t="shared" si="0"/>
        <v/>
      </c>
      <c r="G30" s="278" t="str">
        <f t="shared" si="1"/>
        <v/>
      </c>
      <c r="H30" s="275" t="str">
        <f t="shared" si="2"/>
        <v/>
      </c>
      <c r="I30" s="277" t="str">
        <f t="shared" si="3"/>
        <v/>
      </c>
      <c r="J30" s="276" t="str">
        <f t="shared" si="4"/>
        <v/>
      </c>
      <c r="K30" s="275" t="str">
        <f t="shared" si="5"/>
        <v/>
      </c>
      <c r="L30" s="274" t="str">
        <f t="shared" si="6"/>
        <v/>
      </c>
      <c r="M30" s="273" t="str">
        <f t="shared" si="7"/>
        <v/>
      </c>
      <c r="O30" s="269">
        <f t="shared" si="22"/>
        <v>25</v>
      </c>
      <c r="P30" s="279" t="str">
        <f t="shared" si="8"/>
        <v/>
      </c>
      <c r="Q30" s="278" t="str">
        <f t="shared" si="23"/>
        <v/>
      </c>
      <c r="R30" s="278" t="str">
        <f t="shared" si="9"/>
        <v/>
      </c>
      <c r="S30" s="278" t="str">
        <f t="shared" si="10"/>
        <v/>
      </c>
      <c r="T30" s="275" t="str">
        <f t="shared" si="11"/>
        <v/>
      </c>
      <c r="U30" s="277" t="str">
        <f t="shared" si="12"/>
        <v/>
      </c>
      <c r="V30" s="276" t="str" cm="1">
        <f t="array" ref="V30">IF(AD30,cubicInterpolation(CurveResults.Times,CurveResults.USDSOFR,T30)-IF(ApplyBump,0.0001,0),"")</f>
        <v/>
      </c>
      <c r="W30" s="275" t="str">
        <f t="shared" si="13"/>
        <v/>
      </c>
      <c r="X30" s="276" t="str">
        <f t="shared" si="14"/>
        <v/>
      </c>
      <c r="Y30" s="275" t="str">
        <f t="shared" si="15"/>
        <v/>
      </c>
      <c r="Z30" s="274" t="str">
        <f t="shared" si="16"/>
        <v/>
      </c>
      <c r="AA30" s="273" t="str">
        <f t="shared" si="17"/>
        <v/>
      </c>
      <c r="AC30" s="272" t="b">
        <f t="shared" si="18"/>
        <v>0</v>
      </c>
      <c r="AD30" s="271" t="b">
        <f t="shared" si="19"/>
        <v>0</v>
      </c>
    </row>
    <row r="31" spans="2:37" x14ac:dyDescent="0.3">
      <c r="D31" s="270">
        <f t="shared" si="20"/>
        <v>26</v>
      </c>
      <c r="E31" s="279" t="str">
        <f t="shared" si="21"/>
        <v/>
      </c>
      <c r="F31" s="278" t="str">
        <f t="shared" si="0"/>
        <v/>
      </c>
      <c r="G31" s="278" t="str">
        <f t="shared" si="1"/>
        <v/>
      </c>
      <c r="H31" s="275" t="str">
        <f t="shared" si="2"/>
        <v/>
      </c>
      <c r="I31" s="277" t="str">
        <f t="shared" si="3"/>
        <v/>
      </c>
      <c r="J31" s="276" t="str">
        <f t="shared" si="4"/>
        <v/>
      </c>
      <c r="K31" s="275" t="str">
        <f t="shared" si="5"/>
        <v/>
      </c>
      <c r="L31" s="274" t="str">
        <f t="shared" si="6"/>
        <v/>
      </c>
      <c r="M31" s="273" t="str">
        <f t="shared" si="7"/>
        <v/>
      </c>
      <c r="O31" s="269">
        <f t="shared" si="22"/>
        <v>26</v>
      </c>
      <c r="P31" s="279" t="str">
        <f t="shared" si="8"/>
        <v/>
      </c>
      <c r="Q31" s="278" t="str">
        <f t="shared" si="23"/>
        <v/>
      </c>
      <c r="R31" s="278" t="str">
        <f t="shared" si="9"/>
        <v/>
      </c>
      <c r="S31" s="278" t="str">
        <f t="shared" si="10"/>
        <v/>
      </c>
      <c r="T31" s="275" t="str">
        <f t="shared" si="11"/>
        <v/>
      </c>
      <c r="U31" s="277" t="str">
        <f t="shared" si="12"/>
        <v/>
      </c>
      <c r="V31" s="276" t="str" cm="1">
        <f t="array" ref="V31">IF(AD31,cubicInterpolation(CurveResults.Times,CurveResults.USDSOFR,T31)-IF(ApplyBump,0.0001,0),"")</f>
        <v/>
      </c>
      <c r="W31" s="275" t="str">
        <f t="shared" si="13"/>
        <v/>
      </c>
      <c r="X31" s="276" t="str">
        <f t="shared" si="14"/>
        <v/>
      </c>
      <c r="Y31" s="275" t="str">
        <f t="shared" si="15"/>
        <v/>
      </c>
      <c r="Z31" s="274" t="str">
        <f t="shared" si="16"/>
        <v/>
      </c>
      <c r="AA31" s="273" t="str">
        <f t="shared" si="17"/>
        <v/>
      </c>
      <c r="AC31" s="272" t="b">
        <f t="shared" si="18"/>
        <v>0</v>
      </c>
      <c r="AD31" s="271" t="b">
        <f t="shared" si="19"/>
        <v>0</v>
      </c>
    </row>
    <row r="32" spans="2:37" x14ac:dyDescent="0.3">
      <c r="D32" s="270">
        <f t="shared" si="20"/>
        <v>27</v>
      </c>
      <c r="E32" s="279" t="str">
        <f t="shared" si="21"/>
        <v/>
      </c>
      <c r="F32" s="278" t="str">
        <f t="shared" si="0"/>
        <v/>
      </c>
      <c r="G32" s="278" t="str">
        <f t="shared" si="1"/>
        <v/>
      </c>
      <c r="H32" s="275" t="str">
        <f t="shared" si="2"/>
        <v/>
      </c>
      <c r="I32" s="277" t="str">
        <f t="shared" si="3"/>
        <v/>
      </c>
      <c r="J32" s="276" t="str">
        <f t="shared" si="4"/>
        <v/>
      </c>
      <c r="K32" s="275" t="str">
        <f t="shared" si="5"/>
        <v/>
      </c>
      <c r="L32" s="274" t="str">
        <f t="shared" si="6"/>
        <v/>
      </c>
      <c r="M32" s="273" t="str">
        <f t="shared" si="7"/>
        <v/>
      </c>
      <c r="O32" s="269">
        <f t="shared" si="22"/>
        <v>27</v>
      </c>
      <c r="P32" s="279" t="str">
        <f t="shared" si="8"/>
        <v/>
      </c>
      <c r="Q32" s="278" t="str">
        <f t="shared" si="23"/>
        <v/>
      </c>
      <c r="R32" s="278" t="str">
        <f t="shared" si="9"/>
        <v/>
      </c>
      <c r="S32" s="278" t="str">
        <f t="shared" si="10"/>
        <v/>
      </c>
      <c r="T32" s="275" t="str">
        <f t="shared" si="11"/>
        <v/>
      </c>
      <c r="U32" s="277" t="str">
        <f t="shared" si="12"/>
        <v/>
      </c>
      <c r="V32" s="276" t="str" cm="1">
        <f t="array" ref="V32">IF(AD32,cubicInterpolation(CurveResults.Times,CurveResults.USDSOFR,T32)-IF(ApplyBump,0.0001,0),"")</f>
        <v/>
      </c>
      <c r="W32" s="275" t="str">
        <f t="shared" si="13"/>
        <v/>
      </c>
      <c r="X32" s="276" t="str">
        <f t="shared" si="14"/>
        <v/>
      </c>
      <c r="Y32" s="275" t="str">
        <f t="shared" si="15"/>
        <v/>
      </c>
      <c r="Z32" s="274" t="str">
        <f t="shared" si="16"/>
        <v/>
      </c>
      <c r="AA32" s="273" t="str">
        <f t="shared" si="17"/>
        <v/>
      </c>
      <c r="AC32" s="272" t="b">
        <f t="shared" si="18"/>
        <v>0</v>
      </c>
      <c r="AD32" s="271" t="b">
        <f t="shared" si="19"/>
        <v>0</v>
      </c>
    </row>
    <row r="33" spans="4:30" x14ac:dyDescent="0.3">
      <c r="D33" s="270">
        <f t="shared" si="20"/>
        <v>28</v>
      </c>
      <c r="E33" s="279" t="str">
        <f t="shared" si="21"/>
        <v/>
      </c>
      <c r="F33" s="278" t="str">
        <f t="shared" si="0"/>
        <v/>
      </c>
      <c r="G33" s="278" t="str">
        <f t="shared" si="1"/>
        <v/>
      </c>
      <c r="H33" s="275" t="str">
        <f t="shared" si="2"/>
        <v/>
      </c>
      <c r="I33" s="277" t="str">
        <f t="shared" si="3"/>
        <v/>
      </c>
      <c r="J33" s="276" t="str">
        <f t="shared" si="4"/>
        <v/>
      </c>
      <c r="K33" s="275" t="str">
        <f t="shared" si="5"/>
        <v/>
      </c>
      <c r="L33" s="274" t="str">
        <f t="shared" si="6"/>
        <v/>
      </c>
      <c r="M33" s="273" t="str">
        <f t="shared" si="7"/>
        <v/>
      </c>
      <c r="O33" s="269">
        <f t="shared" si="22"/>
        <v>28</v>
      </c>
      <c r="P33" s="279" t="str">
        <f t="shared" si="8"/>
        <v/>
      </c>
      <c r="Q33" s="278" t="str">
        <f t="shared" si="23"/>
        <v/>
      </c>
      <c r="R33" s="278" t="str">
        <f t="shared" si="9"/>
        <v/>
      </c>
      <c r="S33" s="278" t="str">
        <f t="shared" si="10"/>
        <v/>
      </c>
      <c r="T33" s="275" t="str">
        <f t="shared" si="11"/>
        <v/>
      </c>
      <c r="U33" s="277" t="str">
        <f t="shared" si="12"/>
        <v/>
      </c>
      <c r="V33" s="276" t="str" cm="1">
        <f t="array" ref="V33">IF(AD33,cubicInterpolation(CurveResults.Times,CurveResults.USDSOFR,T33)-IF(ApplyBump,0.0001,0),"")</f>
        <v/>
      </c>
      <c r="W33" s="275" t="str">
        <f t="shared" si="13"/>
        <v/>
      </c>
      <c r="X33" s="276" t="str">
        <f t="shared" si="14"/>
        <v/>
      </c>
      <c r="Y33" s="275" t="str">
        <f t="shared" si="15"/>
        <v/>
      </c>
      <c r="Z33" s="274" t="str">
        <f t="shared" si="16"/>
        <v/>
      </c>
      <c r="AA33" s="273" t="str">
        <f t="shared" si="17"/>
        <v/>
      </c>
      <c r="AC33" s="272" t="b">
        <f t="shared" si="18"/>
        <v>0</v>
      </c>
      <c r="AD33" s="271" t="b">
        <f t="shared" si="19"/>
        <v>0</v>
      </c>
    </row>
    <row r="34" spans="4:30" x14ac:dyDescent="0.3">
      <c r="D34" s="270">
        <f t="shared" si="20"/>
        <v>29</v>
      </c>
      <c r="E34" s="279" t="str">
        <f t="shared" si="21"/>
        <v/>
      </c>
      <c r="F34" s="278" t="str">
        <f t="shared" si="0"/>
        <v/>
      </c>
      <c r="G34" s="278" t="str">
        <f t="shared" si="1"/>
        <v/>
      </c>
      <c r="H34" s="275" t="str">
        <f t="shared" si="2"/>
        <v/>
      </c>
      <c r="I34" s="277" t="str">
        <f t="shared" si="3"/>
        <v/>
      </c>
      <c r="J34" s="276" t="str">
        <f t="shared" si="4"/>
        <v/>
      </c>
      <c r="K34" s="275" t="str">
        <f t="shared" si="5"/>
        <v/>
      </c>
      <c r="L34" s="274" t="str">
        <f t="shared" si="6"/>
        <v/>
      </c>
      <c r="M34" s="273" t="str">
        <f t="shared" si="7"/>
        <v/>
      </c>
      <c r="O34" s="269">
        <f t="shared" si="22"/>
        <v>29</v>
      </c>
      <c r="P34" s="279" t="str">
        <f t="shared" si="8"/>
        <v/>
      </c>
      <c r="Q34" s="278" t="str">
        <f t="shared" si="23"/>
        <v/>
      </c>
      <c r="R34" s="278" t="str">
        <f t="shared" si="9"/>
        <v/>
      </c>
      <c r="S34" s="278" t="str">
        <f t="shared" si="10"/>
        <v/>
      </c>
      <c r="T34" s="275" t="str">
        <f t="shared" si="11"/>
        <v/>
      </c>
      <c r="U34" s="277" t="str">
        <f t="shared" si="12"/>
        <v/>
      </c>
      <c r="V34" s="276" t="str" cm="1">
        <f t="array" ref="V34">IF(AD34,cubicInterpolation(CurveResults.Times,CurveResults.USDSOFR,T34)-IF(ApplyBump,0.0001,0),"")</f>
        <v/>
      </c>
      <c r="W34" s="275" t="str">
        <f t="shared" si="13"/>
        <v/>
      </c>
      <c r="X34" s="276" t="str">
        <f t="shared" si="14"/>
        <v/>
      </c>
      <c r="Y34" s="275" t="str">
        <f t="shared" si="15"/>
        <v/>
      </c>
      <c r="Z34" s="274" t="str">
        <f t="shared" si="16"/>
        <v/>
      </c>
      <c r="AA34" s="273" t="str">
        <f t="shared" si="17"/>
        <v/>
      </c>
      <c r="AC34" s="272" t="b">
        <f t="shared" si="18"/>
        <v>0</v>
      </c>
      <c r="AD34" s="271" t="b">
        <f t="shared" si="19"/>
        <v>0</v>
      </c>
    </row>
    <row r="35" spans="4:30" x14ac:dyDescent="0.3">
      <c r="D35" s="270">
        <f t="shared" si="20"/>
        <v>30</v>
      </c>
      <c r="E35" s="279" t="str">
        <f t="shared" si="21"/>
        <v/>
      </c>
      <c r="F35" s="278" t="str">
        <f t="shared" si="0"/>
        <v/>
      </c>
      <c r="G35" s="278" t="str">
        <f t="shared" si="1"/>
        <v/>
      </c>
      <c r="H35" s="275" t="str">
        <f t="shared" si="2"/>
        <v/>
      </c>
      <c r="I35" s="277" t="str">
        <f t="shared" si="3"/>
        <v/>
      </c>
      <c r="J35" s="276" t="str">
        <f t="shared" si="4"/>
        <v/>
      </c>
      <c r="K35" s="275" t="str">
        <f t="shared" si="5"/>
        <v/>
      </c>
      <c r="L35" s="274" t="str">
        <f t="shared" si="6"/>
        <v/>
      </c>
      <c r="M35" s="273" t="str">
        <f t="shared" si="7"/>
        <v/>
      </c>
      <c r="O35" s="269">
        <f t="shared" si="22"/>
        <v>30</v>
      </c>
      <c r="P35" s="279" t="str">
        <f t="shared" si="8"/>
        <v/>
      </c>
      <c r="Q35" s="278" t="str">
        <f t="shared" si="23"/>
        <v/>
      </c>
      <c r="R35" s="278" t="str">
        <f t="shared" si="9"/>
        <v/>
      </c>
      <c r="S35" s="278" t="str">
        <f t="shared" si="10"/>
        <v/>
      </c>
      <c r="T35" s="275" t="str">
        <f t="shared" si="11"/>
        <v/>
      </c>
      <c r="U35" s="277" t="str">
        <f t="shared" si="12"/>
        <v/>
      </c>
      <c r="V35" s="276" t="str" cm="1">
        <f t="array" ref="V35">IF(AD35,cubicInterpolation(CurveResults.Times,CurveResults.USDSOFR,T35)-IF(ApplyBump,0.0001,0),"")</f>
        <v/>
      </c>
      <c r="W35" s="275" t="str">
        <f t="shared" si="13"/>
        <v/>
      </c>
      <c r="X35" s="276" t="str">
        <f t="shared" si="14"/>
        <v/>
      </c>
      <c r="Y35" s="275" t="str">
        <f t="shared" si="15"/>
        <v/>
      </c>
      <c r="Z35" s="274" t="str">
        <f t="shared" si="16"/>
        <v/>
      </c>
      <c r="AA35" s="273" t="str">
        <f t="shared" si="17"/>
        <v/>
      </c>
      <c r="AC35" s="272" t="b">
        <f t="shared" si="18"/>
        <v>0</v>
      </c>
      <c r="AD35" s="271" t="b">
        <f t="shared" si="19"/>
        <v>0</v>
      </c>
    </row>
    <row r="36" spans="4:30" x14ac:dyDescent="0.3">
      <c r="D36" s="270">
        <f t="shared" si="20"/>
        <v>31</v>
      </c>
      <c r="E36" s="279" t="str">
        <f t="shared" si="21"/>
        <v/>
      </c>
      <c r="F36" s="278" t="str">
        <f t="shared" si="0"/>
        <v/>
      </c>
      <c r="G36" s="278" t="str">
        <f t="shared" si="1"/>
        <v/>
      </c>
      <c r="H36" s="275" t="str">
        <f t="shared" si="2"/>
        <v/>
      </c>
      <c r="I36" s="277" t="str">
        <f t="shared" si="3"/>
        <v/>
      </c>
      <c r="J36" s="276" t="str">
        <f t="shared" si="4"/>
        <v/>
      </c>
      <c r="K36" s="275" t="str">
        <f t="shared" si="5"/>
        <v/>
      </c>
      <c r="L36" s="274" t="str">
        <f t="shared" si="6"/>
        <v/>
      </c>
      <c r="M36" s="273" t="str">
        <f t="shared" si="7"/>
        <v/>
      </c>
      <c r="O36" s="269">
        <f t="shared" si="22"/>
        <v>31</v>
      </c>
      <c r="P36" s="279" t="str">
        <f t="shared" si="8"/>
        <v/>
      </c>
      <c r="Q36" s="278" t="str">
        <f t="shared" si="23"/>
        <v/>
      </c>
      <c r="R36" s="278" t="str">
        <f t="shared" si="9"/>
        <v/>
      </c>
      <c r="S36" s="278" t="str">
        <f t="shared" si="10"/>
        <v/>
      </c>
      <c r="T36" s="275" t="str">
        <f t="shared" si="11"/>
        <v/>
      </c>
      <c r="U36" s="277" t="str">
        <f t="shared" si="12"/>
        <v/>
      </c>
      <c r="V36" s="276" t="str" cm="1">
        <f t="array" ref="V36">IF(AD36,cubicInterpolation(CurveResults.Times,CurveResults.USDSOFR,T36)-IF(ApplyBump,0.0001,0),"")</f>
        <v/>
      </c>
      <c r="W36" s="275" t="str">
        <f t="shared" si="13"/>
        <v/>
      </c>
      <c r="X36" s="276" t="str">
        <f t="shared" si="14"/>
        <v/>
      </c>
      <c r="Y36" s="275" t="str">
        <f t="shared" si="15"/>
        <v/>
      </c>
      <c r="Z36" s="274" t="str">
        <f t="shared" si="16"/>
        <v/>
      </c>
      <c r="AA36" s="273" t="str">
        <f t="shared" si="17"/>
        <v/>
      </c>
      <c r="AC36" s="272" t="b">
        <f t="shared" si="18"/>
        <v>0</v>
      </c>
      <c r="AD36" s="271" t="b">
        <f t="shared" si="19"/>
        <v>0</v>
      </c>
    </row>
    <row r="37" spans="4:30" x14ac:dyDescent="0.3">
      <c r="D37" s="270">
        <f t="shared" si="20"/>
        <v>32</v>
      </c>
      <c r="E37" s="279" t="str">
        <f t="shared" si="21"/>
        <v/>
      </c>
      <c r="F37" s="278" t="str">
        <f t="shared" si="0"/>
        <v/>
      </c>
      <c r="G37" s="278" t="str">
        <f t="shared" si="1"/>
        <v/>
      </c>
      <c r="H37" s="275" t="str">
        <f t="shared" si="2"/>
        <v/>
      </c>
      <c r="I37" s="277" t="str">
        <f t="shared" si="3"/>
        <v/>
      </c>
      <c r="J37" s="276" t="str">
        <f t="shared" si="4"/>
        <v/>
      </c>
      <c r="K37" s="275" t="str">
        <f t="shared" si="5"/>
        <v/>
      </c>
      <c r="L37" s="274" t="str">
        <f t="shared" si="6"/>
        <v/>
      </c>
      <c r="M37" s="273" t="str">
        <f t="shared" si="7"/>
        <v/>
      </c>
      <c r="O37" s="269">
        <f t="shared" si="22"/>
        <v>32</v>
      </c>
      <c r="P37" s="279" t="str">
        <f t="shared" si="8"/>
        <v/>
      </c>
      <c r="Q37" s="278" t="str">
        <f t="shared" si="23"/>
        <v/>
      </c>
      <c r="R37" s="278" t="str">
        <f t="shared" si="9"/>
        <v/>
      </c>
      <c r="S37" s="278" t="str">
        <f t="shared" si="10"/>
        <v/>
      </c>
      <c r="T37" s="275" t="str">
        <f t="shared" si="11"/>
        <v/>
      </c>
      <c r="U37" s="277" t="str">
        <f t="shared" si="12"/>
        <v/>
      </c>
      <c r="V37" s="276" t="str" cm="1">
        <f t="array" ref="V37">IF(AD37,cubicInterpolation(CurveResults.Times,CurveResults.USDSOFR,T37)-IF(ApplyBump,0.0001,0),"")</f>
        <v/>
      </c>
      <c r="W37" s="275" t="str">
        <f t="shared" si="13"/>
        <v/>
      </c>
      <c r="X37" s="276" t="str">
        <f t="shared" si="14"/>
        <v/>
      </c>
      <c r="Y37" s="275" t="str">
        <f t="shared" si="15"/>
        <v/>
      </c>
      <c r="Z37" s="274" t="str">
        <f t="shared" si="16"/>
        <v/>
      </c>
      <c r="AA37" s="273" t="str">
        <f t="shared" si="17"/>
        <v/>
      </c>
      <c r="AC37" s="272" t="b">
        <f t="shared" si="18"/>
        <v>0</v>
      </c>
      <c r="AD37" s="271" t="b">
        <f t="shared" si="19"/>
        <v>0</v>
      </c>
    </row>
    <row r="38" spans="4:30" x14ac:dyDescent="0.3">
      <c r="D38" s="270">
        <f t="shared" si="20"/>
        <v>33</v>
      </c>
      <c r="E38" s="279" t="str">
        <f t="shared" si="21"/>
        <v/>
      </c>
      <c r="F38" s="278" t="str">
        <f t="shared" ref="F38:F55" si="24">IF(AC38,E38+K38*365,"")</f>
        <v/>
      </c>
      <c r="G38" s="278" t="str">
        <f t="shared" ref="G38:G55" si="25">IF(AC38,F38,"")</f>
        <v/>
      </c>
      <c r="H38" s="275" t="str">
        <f t="shared" ref="H38:H55" si="26">IF(AC38,$D38*tau_i,"")</f>
        <v/>
      </c>
      <c r="I38" s="277" t="str">
        <f t="shared" ref="I38:I55" si="27">IF(AC38,N,"")</f>
        <v/>
      </c>
      <c r="J38" s="276" t="str">
        <f t="shared" ref="J38:J55" si="28">IF(AC38,r_fixed,"")</f>
        <v/>
      </c>
      <c r="K38" s="275" t="str">
        <f t="shared" ref="K38:K55" si="29">IF(AC38,tau_i,"")</f>
        <v/>
      </c>
      <c r="L38" s="274" t="str">
        <f t="shared" ref="L38:L55" si="30">IF(AC38,cubicInterpolation(CurveResults.Times,IF(ApplyBump,CurveResults.DF.Bumped,CurveResults.DFs),H38),"")</f>
        <v/>
      </c>
      <c r="M38" s="273" t="str">
        <f t="shared" ref="M38:M55" si="31">IF(AC38,I38*J38*K38*L38,"")</f>
        <v/>
      </c>
      <c r="O38" s="269">
        <f t="shared" si="22"/>
        <v>33</v>
      </c>
      <c r="P38" s="279" t="str">
        <f t="shared" ref="P38:P55" si="32">IF(AD38,Q38,"")</f>
        <v/>
      </c>
      <c r="Q38" s="278" t="str">
        <f t="shared" si="23"/>
        <v/>
      </c>
      <c r="R38" s="278" t="str">
        <f t="shared" ref="R38:R55" si="33">IF(AD38,Q38+Y38*365,"")</f>
        <v/>
      </c>
      <c r="S38" s="278" t="str">
        <f t="shared" ref="S38:S55" si="34">IF(AD38,R38,"")</f>
        <v/>
      </c>
      <c r="T38" s="275" t="str">
        <f t="shared" ref="T38:T55" si="35">IF(AD38,$O38*tau_j,"")</f>
        <v/>
      </c>
      <c r="U38" s="277" t="str">
        <f t="shared" ref="U38:U55" si="36">IF(AD38,N,"")</f>
        <v/>
      </c>
      <c r="V38" s="276" t="str" cm="1">
        <f t="array" ref="V38">IF(AD38,cubicInterpolation(CurveResults.Times,CurveResults.USDSOFR,T38)-IF(ApplyBump,0.0001,0),"")</f>
        <v/>
      </c>
      <c r="W38" s="275" t="str">
        <f t="shared" ref="W38:W55" si="37">IF(AD38,s,"")</f>
        <v/>
      </c>
      <c r="X38" s="276" t="str">
        <f t="shared" ref="X38:X55" si="38">IF(AD38,V38+(W38*0.0001),"")</f>
        <v/>
      </c>
      <c r="Y38" s="275" t="str">
        <f t="shared" ref="Y38:Y55" si="39">IF(AD38,tau_j,"")</f>
        <v/>
      </c>
      <c r="Z38" s="274" t="str">
        <f t="shared" ref="Z38:Z55" si="40">IF(AD38,cubicInterpolation(CurveResults.Times,IF(ApplyBump,CurveResults.DF.Bumped,CurveResults.DFs),T38),"")</f>
        <v/>
      </c>
      <c r="AA38" s="273" t="str">
        <f t="shared" ref="AA38:AA55" si="41">IF(AD38,U38*X38*Y38*Z38,"")</f>
        <v/>
      </c>
      <c r="AC38" s="272" t="b">
        <f t="shared" ref="AC38:AC55" si="42">IF(D38&lt;=T,TRUE,FALSE)</f>
        <v>0</v>
      </c>
      <c r="AD38" s="271" t="b">
        <f t="shared" ref="AD38:AD55" si="43">IF(O38&lt;=T,TRUE,FALSE)</f>
        <v>0</v>
      </c>
    </row>
    <row r="39" spans="4:30" x14ac:dyDescent="0.3">
      <c r="D39" s="270">
        <f t="shared" ref="D39:D55" si="44">D38+1</f>
        <v>34</v>
      </c>
      <c r="E39" s="279" t="str">
        <f t="shared" ref="E39:E55" si="45">IF(AC39,F38,"")</f>
        <v/>
      </c>
      <c r="F39" s="278" t="str">
        <f t="shared" si="24"/>
        <v/>
      </c>
      <c r="G39" s="278" t="str">
        <f t="shared" si="25"/>
        <v/>
      </c>
      <c r="H39" s="275" t="str">
        <f t="shared" si="26"/>
        <v/>
      </c>
      <c r="I39" s="277" t="str">
        <f t="shared" si="27"/>
        <v/>
      </c>
      <c r="J39" s="276" t="str">
        <f t="shared" si="28"/>
        <v/>
      </c>
      <c r="K39" s="275" t="str">
        <f t="shared" si="29"/>
        <v/>
      </c>
      <c r="L39" s="274" t="str">
        <f t="shared" si="30"/>
        <v/>
      </c>
      <c r="M39" s="273" t="str">
        <f t="shared" si="31"/>
        <v/>
      </c>
      <c r="O39" s="269">
        <f t="shared" ref="O39:O55" si="46">O38+1</f>
        <v>34</v>
      </c>
      <c r="P39" s="279" t="str">
        <f t="shared" si="32"/>
        <v/>
      </c>
      <c r="Q39" s="278" t="str">
        <f t="shared" ref="Q39:Q55" si="47">IF(AD39,R38,"")</f>
        <v/>
      </c>
      <c r="R39" s="278" t="str">
        <f t="shared" si="33"/>
        <v/>
      </c>
      <c r="S39" s="278" t="str">
        <f t="shared" si="34"/>
        <v/>
      </c>
      <c r="T39" s="275" t="str">
        <f t="shared" si="35"/>
        <v/>
      </c>
      <c r="U39" s="277" t="str">
        <f t="shared" si="36"/>
        <v/>
      </c>
      <c r="V39" s="276" t="str" cm="1">
        <f t="array" ref="V39">IF(AD39,cubicInterpolation(CurveResults.Times,CurveResults.USDSOFR,T39)-IF(ApplyBump,0.0001,0),"")</f>
        <v/>
      </c>
      <c r="W39" s="275" t="str">
        <f t="shared" si="37"/>
        <v/>
      </c>
      <c r="X39" s="276" t="str">
        <f t="shared" si="38"/>
        <v/>
      </c>
      <c r="Y39" s="275" t="str">
        <f t="shared" si="39"/>
        <v/>
      </c>
      <c r="Z39" s="274" t="str">
        <f t="shared" si="40"/>
        <v/>
      </c>
      <c r="AA39" s="273" t="str">
        <f t="shared" si="41"/>
        <v/>
      </c>
      <c r="AC39" s="272" t="b">
        <f t="shared" si="42"/>
        <v>0</v>
      </c>
      <c r="AD39" s="271" t="b">
        <f t="shared" si="43"/>
        <v>0</v>
      </c>
    </row>
    <row r="40" spans="4:30" x14ac:dyDescent="0.3">
      <c r="D40" s="270">
        <f t="shared" si="44"/>
        <v>35</v>
      </c>
      <c r="E40" s="279" t="str">
        <f t="shared" si="45"/>
        <v/>
      </c>
      <c r="F40" s="278" t="str">
        <f t="shared" si="24"/>
        <v/>
      </c>
      <c r="G40" s="278" t="str">
        <f t="shared" si="25"/>
        <v/>
      </c>
      <c r="H40" s="275" t="str">
        <f t="shared" si="26"/>
        <v/>
      </c>
      <c r="I40" s="277" t="str">
        <f t="shared" si="27"/>
        <v/>
      </c>
      <c r="J40" s="276" t="str">
        <f t="shared" si="28"/>
        <v/>
      </c>
      <c r="K40" s="275" t="str">
        <f t="shared" si="29"/>
        <v/>
      </c>
      <c r="L40" s="274" t="str">
        <f t="shared" si="30"/>
        <v/>
      </c>
      <c r="M40" s="273" t="str">
        <f t="shared" si="31"/>
        <v/>
      </c>
      <c r="O40" s="269">
        <f t="shared" si="46"/>
        <v>35</v>
      </c>
      <c r="P40" s="279" t="str">
        <f t="shared" si="32"/>
        <v/>
      </c>
      <c r="Q40" s="278" t="str">
        <f t="shared" si="47"/>
        <v/>
      </c>
      <c r="R40" s="278" t="str">
        <f t="shared" si="33"/>
        <v/>
      </c>
      <c r="S40" s="278" t="str">
        <f t="shared" si="34"/>
        <v/>
      </c>
      <c r="T40" s="275" t="str">
        <f t="shared" si="35"/>
        <v/>
      </c>
      <c r="U40" s="277" t="str">
        <f t="shared" si="36"/>
        <v/>
      </c>
      <c r="V40" s="276" t="str" cm="1">
        <f t="array" ref="V40">IF(AD40,cubicInterpolation(CurveResults.Times,CurveResults.USDSOFR,T40)-IF(ApplyBump,0.0001,0),"")</f>
        <v/>
      </c>
      <c r="W40" s="275" t="str">
        <f t="shared" si="37"/>
        <v/>
      </c>
      <c r="X40" s="276" t="str">
        <f t="shared" si="38"/>
        <v/>
      </c>
      <c r="Y40" s="275" t="str">
        <f t="shared" si="39"/>
        <v/>
      </c>
      <c r="Z40" s="274" t="str">
        <f t="shared" si="40"/>
        <v/>
      </c>
      <c r="AA40" s="273" t="str">
        <f t="shared" si="41"/>
        <v/>
      </c>
      <c r="AC40" s="272" t="b">
        <f t="shared" si="42"/>
        <v>0</v>
      </c>
      <c r="AD40" s="271" t="b">
        <f t="shared" si="43"/>
        <v>0</v>
      </c>
    </row>
    <row r="41" spans="4:30" x14ac:dyDescent="0.3">
      <c r="D41" s="270">
        <f t="shared" si="44"/>
        <v>36</v>
      </c>
      <c r="E41" s="279" t="str">
        <f t="shared" si="45"/>
        <v/>
      </c>
      <c r="F41" s="278" t="str">
        <f t="shared" si="24"/>
        <v/>
      </c>
      <c r="G41" s="278" t="str">
        <f t="shared" si="25"/>
        <v/>
      </c>
      <c r="H41" s="275" t="str">
        <f t="shared" si="26"/>
        <v/>
      </c>
      <c r="I41" s="277" t="str">
        <f t="shared" si="27"/>
        <v/>
      </c>
      <c r="J41" s="276" t="str">
        <f t="shared" si="28"/>
        <v/>
      </c>
      <c r="K41" s="275" t="str">
        <f t="shared" si="29"/>
        <v/>
      </c>
      <c r="L41" s="274" t="str">
        <f t="shared" si="30"/>
        <v/>
      </c>
      <c r="M41" s="273" t="str">
        <f t="shared" si="31"/>
        <v/>
      </c>
      <c r="O41" s="269">
        <f t="shared" si="46"/>
        <v>36</v>
      </c>
      <c r="P41" s="279" t="str">
        <f t="shared" si="32"/>
        <v/>
      </c>
      <c r="Q41" s="278" t="str">
        <f t="shared" si="47"/>
        <v/>
      </c>
      <c r="R41" s="278" t="str">
        <f t="shared" si="33"/>
        <v/>
      </c>
      <c r="S41" s="278" t="str">
        <f t="shared" si="34"/>
        <v/>
      </c>
      <c r="T41" s="275" t="str">
        <f t="shared" si="35"/>
        <v/>
      </c>
      <c r="U41" s="277" t="str">
        <f t="shared" si="36"/>
        <v/>
      </c>
      <c r="V41" s="276" t="str" cm="1">
        <f t="array" ref="V41">IF(AD41,cubicInterpolation(CurveResults.Times,CurveResults.USDSOFR,T41)-IF(ApplyBump,0.0001,0),"")</f>
        <v/>
      </c>
      <c r="W41" s="275" t="str">
        <f t="shared" si="37"/>
        <v/>
      </c>
      <c r="X41" s="276" t="str">
        <f t="shared" si="38"/>
        <v/>
      </c>
      <c r="Y41" s="275" t="str">
        <f t="shared" si="39"/>
        <v/>
      </c>
      <c r="Z41" s="274" t="str">
        <f t="shared" si="40"/>
        <v/>
      </c>
      <c r="AA41" s="273" t="str">
        <f t="shared" si="41"/>
        <v/>
      </c>
      <c r="AC41" s="272" t="b">
        <f t="shared" si="42"/>
        <v>0</v>
      </c>
      <c r="AD41" s="271" t="b">
        <f t="shared" si="43"/>
        <v>0</v>
      </c>
    </row>
    <row r="42" spans="4:30" x14ac:dyDescent="0.3">
      <c r="D42" s="270">
        <f t="shared" si="44"/>
        <v>37</v>
      </c>
      <c r="E42" s="279" t="str">
        <f t="shared" si="45"/>
        <v/>
      </c>
      <c r="F42" s="278" t="str">
        <f t="shared" si="24"/>
        <v/>
      </c>
      <c r="G42" s="278" t="str">
        <f t="shared" si="25"/>
        <v/>
      </c>
      <c r="H42" s="275" t="str">
        <f t="shared" si="26"/>
        <v/>
      </c>
      <c r="I42" s="277" t="str">
        <f t="shared" si="27"/>
        <v/>
      </c>
      <c r="J42" s="276" t="str">
        <f t="shared" si="28"/>
        <v/>
      </c>
      <c r="K42" s="275" t="str">
        <f t="shared" si="29"/>
        <v/>
      </c>
      <c r="L42" s="274" t="str">
        <f t="shared" si="30"/>
        <v/>
      </c>
      <c r="M42" s="273" t="str">
        <f t="shared" si="31"/>
        <v/>
      </c>
      <c r="O42" s="269">
        <f t="shared" si="46"/>
        <v>37</v>
      </c>
      <c r="P42" s="279" t="str">
        <f t="shared" si="32"/>
        <v/>
      </c>
      <c r="Q42" s="278" t="str">
        <f t="shared" si="47"/>
        <v/>
      </c>
      <c r="R42" s="278" t="str">
        <f t="shared" si="33"/>
        <v/>
      </c>
      <c r="S42" s="278" t="str">
        <f t="shared" si="34"/>
        <v/>
      </c>
      <c r="T42" s="275" t="str">
        <f t="shared" si="35"/>
        <v/>
      </c>
      <c r="U42" s="277" t="str">
        <f t="shared" si="36"/>
        <v/>
      </c>
      <c r="V42" s="276" t="str" cm="1">
        <f t="array" ref="V42">IF(AD42,cubicInterpolation(CurveResults.Times,CurveResults.USDSOFR,T42)-IF(ApplyBump,0.0001,0),"")</f>
        <v/>
      </c>
      <c r="W42" s="275" t="str">
        <f t="shared" si="37"/>
        <v/>
      </c>
      <c r="X42" s="276" t="str">
        <f t="shared" si="38"/>
        <v/>
      </c>
      <c r="Y42" s="275" t="str">
        <f t="shared" si="39"/>
        <v/>
      </c>
      <c r="Z42" s="274" t="str">
        <f t="shared" si="40"/>
        <v/>
      </c>
      <c r="AA42" s="273" t="str">
        <f t="shared" si="41"/>
        <v/>
      </c>
      <c r="AC42" s="272" t="b">
        <f t="shared" si="42"/>
        <v>0</v>
      </c>
      <c r="AD42" s="271" t="b">
        <f t="shared" si="43"/>
        <v>0</v>
      </c>
    </row>
    <row r="43" spans="4:30" x14ac:dyDescent="0.3">
      <c r="D43" s="270">
        <f t="shared" si="44"/>
        <v>38</v>
      </c>
      <c r="E43" s="279" t="str">
        <f t="shared" si="45"/>
        <v/>
      </c>
      <c r="F43" s="278" t="str">
        <f t="shared" si="24"/>
        <v/>
      </c>
      <c r="G43" s="278" t="str">
        <f t="shared" si="25"/>
        <v/>
      </c>
      <c r="H43" s="275" t="str">
        <f t="shared" si="26"/>
        <v/>
      </c>
      <c r="I43" s="277" t="str">
        <f t="shared" si="27"/>
        <v/>
      </c>
      <c r="J43" s="276" t="str">
        <f t="shared" si="28"/>
        <v/>
      </c>
      <c r="K43" s="275" t="str">
        <f t="shared" si="29"/>
        <v/>
      </c>
      <c r="L43" s="274" t="str">
        <f t="shared" si="30"/>
        <v/>
      </c>
      <c r="M43" s="273" t="str">
        <f t="shared" si="31"/>
        <v/>
      </c>
      <c r="O43" s="269">
        <f t="shared" si="46"/>
        <v>38</v>
      </c>
      <c r="P43" s="279" t="str">
        <f t="shared" si="32"/>
        <v/>
      </c>
      <c r="Q43" s="278" t="str">
        <f t="shared" si="47"/>
        <v/>
      </c>
      <c r="R43" s="278" t="str">
        <f t="shared" si="33"/>
        <v/>
      </c>
      <c r="S43" s="278" t="str">
        <f t="shared" si="34"/>
        <v/>
      </c>
      <c r="T43" s="275" t="str">
        <f t="shared" si="35"/>
        <v/>
      </c>
      <c r="U43" s="277" t="str">
        <f t="shared" si="36"/>
        <v/>
      </c>
      <c r="V43" s="276" t="str" cm="1">
        <f t="array" ref="V43">IF(AD43,cubicInterpolation(CurveResults.Times,CurveResults.USDSOFR,T43)-IF(ApplyBump,0.0001,0),"")</f>
        <v/>
      </c>
      <c r="W43" s="275" t="str">
        <f t="shared" si="37"/>
        <v/>
      </c>
      <c r="X43" s="276" t="str">
        <f t="shared" si="38"/>
        <v/>
      </c>
      <c r="Y43" s="275" t="str">
        <f t="shared" si="39"/>
        <v/>
      </c>
      <c r="Z43" s="274" t="str">
        <f t="shared" si="40"/>
        <v/>
      </c>
      <c r="AA43" s="273" t="str">
        <f t="shared" si="41"/>
        <v/>
      </c>
      <c r="AC43" s="272" t="b">
        <f t="shared" si="42"/>
        <v>0</v>
      </c>
      <c r="AD43" s="271" t="b">
        <f t="shared" si="43"/>
        <v>0</v>
      </c>
    </row>
    <row r="44" spans="4:30" x14ac:dyDescent="0.3">
      <c r="D44" s="270">
        <f t="shared" si="44"/>
        <v>39</v>
      </c>
      <c r="E44" s="279" t="str">
        <f t="shared" si="45"/>
        <v/>
      </c>
      <c r="F44" s="278" t="str">
        <f t="shared" si="24"/>
        <v/>
      </c>
      <c r="G44" s="278" t="str">
        <f t="shared" si="25"/>
        <v/>
      </c>
      <c r="H44" s="275" t="str">
        <f t="shared" si="26"/>
        <v/>
      </c>
      <c r="I44" s="277" t="str">
        <f t="shared" si="27"/>
        <v/>
      </c>
      <c r="J44" s="276" t="str">
        <f t="shared" si="28"/>
        <v/>
      </c>
      <c r="K44" s="275" t="str">
        <f t="shared" si="29"/>
        <v/>
      </c>
      <c r="L44" s="274" t="str">
        <f t="shared" si="30"/>
        <v/>
      </c>
      <c r="M44" s="273" t="str">
        <f t="shared" si="31"/>
        <v/>
      </c>
      <c r="O44" s="269">
        <f t="shared" si="46"/>
        <v>39</v>
      </c>
      <c r="P44" s="279" t="str">
        <f t="shared" si="32"/>
        <v/>
      </c>
      <c r="Q44" s="278" t="str">
        <f t="shared" si="47"/>
        <v/>
      </c>
      <c r="R44" s="278" t="str">
        <f t="shared" si="33"/>
        <v/>
      </c>
      <c r="S44" s="278" t="str">
        <f t="shared" si="34"/>
        <v/>
      </c>
      <c r="T44" s="275" t="str">
        <f t="shared" si="35"/>
        <v/>
      </c>
      <c r="U44" s="277" t="str">
        <f t="shared" si="36"/>
        <v/>
      </c>
      <c r="V44" s="276" t="str" cm="1">
        <f t="array" ref="V44">IF(AD44,cubicInterpolation(CurveResults.Times,CurveResults.USDSOFR,T44)-IF(ApplyBump,0.0001,0),"")</f>
        <v/>
      </c>
      <c r="W44" s="275" t="str">
        <f t="shared" si="37"/>
        <v/>
      </c>
      <c r="X44" s="276" t="str">
        <f t="shared" si="38"/>
        <v/>
      </c>
      <c r="Y44" s="275" t="str">
        <f t="shared" si="39"/>
        <v/>
      </c>
      <c r="Z44" s="274" t="str">
        <f t="shared" si="40"/>
        <v/>
      </c>
      <c r="AA44" s="273" t="str">
        <f t="shared" si="41"/>
        <v/>
      </c>
      <c r="AC44" s="272" t="b">
        <f t="shared" si="42"/>
        <v>0</v>
      </c>
      <c r="AD44" s="271" t="b">
        <f t="shared" si="43"/>
        <v>0</v>
      </c>
    </row>
    <row r="45" spans="4:30" x14ac:dyDescent="0.3">
      <c r="D45" s="270">
        <f t="shared" si="44"/>
        <v>40</v>
      </c>
      <c r="E45" s="279" t="str">
        <f t="shared" si="45"/>
        <v/>
      </c>
      <c r="F45" s="278" t="str">
        <f t="shared" si="24"/>
        <v/>
      </c>
      <c r="G45" s="278" t="str">
        <f t="shared" si="25"/>
        <v/>
      </c>
      <c r="H45" s="275" t="str">
        <f t="shared" si="26"/>
        <v/>
      </c>
      <c r="I45" s="277" t="str">
        <f t="shared" si="27"/>
        <v/>
      </c>
      <c r="J45" s="276" t="str">
        <f t="shared" si="28"/>
        <v/>
      </c>
      <c r="K45" s="275" t="str">
        <f t="shared" si="29"/>
        <v/>
      </c>
      <c r="L45" s="274" t="str">
        <f t="shared" si="30"/>
        <v/>
      </c>
      <c r="M45" s="273" t="str">
        <f t="shared" si="31"/>
        <v/>
      </c>
      <c r="O45" s="269">
        <f t="shared" si="46"/>
        <v>40</v>
      </c>
      <c r="P45" s="279" t="str">
        <f t="shared" si="32"/>
        <v/>
      </c>
      <c r="Q45" s="278" t="str">
        <f t="shared" si="47"/>
        <v/>
      </c>
      <c r="R45" s="278" t="str">
        <f t="shared" si="33"/>
        <v/>
      </c>
      <c r="S45" s="278" t="str">
        <f t="shared" si="34"/>
        <v/>
      </c>
      <c r="T45" s="275" t="str">
        <f t="shared" si="35"/>
        <v/>
      </c>
      <c r="U45" s="277" t="str">
        <f t="shared" si="36"/>
        <v/>
      </c>
      <c r="V45" s="276" t="str" cm="1">
        <f t="array" ref="V45">IF(AD45,cubicInterpolation(CurveResults.Times,CurveResults.USDSOFR,T45)-IF(ApplyBump,0.0001,0),"")</f>
        <v/>
      </c>
      <c r="W45" s="275" t="str">
        <f t="shared" si="37"/>
        <v/>
      </c>
      <c r="X45" s="276" t="str">
        <f t="shared" si="38"/>
        <v/>
      </c>
      <c r="Y45" s="275" t="str">
        <f t="shared" si="39"/>
        <v/>
      </c>
      <c r="Z45" s="274" t="str">
        <f t="shared" si="40"/>
        <v/>
      </c>
      <c r="AA45" s="273" t="str">
        <f t="shared" si="41"/>
        <v/>
      </c>
      <c r="AC45" s="272" t="b">
        <f t="shared" si="42"/>
        <v>0</v>
      </c>
      <c r="AD45" s="271" t="b">
        <f t="shared" si="43"/>
        <v>0</v>
      </c>
    </row>
    <row r="46" spans="4:30" x14ac:dyDescent="0.3">
      <c r="D46" s="270">
        <f t="shared" si="44"/>
        <v>41</v>
      </c>
      <c r="E46" s="279" t="str">
        <f t="shared" si="45"/>
        <v/>
      </c>
      <c r="F46" s="278" t="str">
        <f t="shared" si="24"/>
        <v/>
      </c>
      <c r="G46" s="278" t="str">
        <f t="shared" si="25"/>
        <v/>
      </c>
      <c r="H46" s="275" t="str">
        <f t="shared" si="26"/>
        <v/>
      </c>
      <c r="I46" s="277" t="str">
        <f t="shared" si="27"/>
        <v/>
      </c>
      <c r="J46" s="276" t="str">
        <f t="shared" si="28"/>
        <v/>
      </c>
      <c r="K46" s="275" t="str">
        <f t="shared" si="29"/>
        <v/>
      </c>
      <c r="L46" s="274" t="str">
        <f t="shared" si="30"/>
        <v/>
      </c>
      <c r="M46" s="273" t="str">
        <f t="shared" si="31"/>
        <v/>
      </c>
      <c r="O46" s="269">
        <f t="shared" si="46"/>
        <v>41</v>
      </c>
      <c r="P46" s="279" t="str">
        <f t="shared" si="32"/>
        <v/>
      </c>
      <c r="Q46" s="278" t="str">
        <f t="shared" si="47"/>
        <v/>
      </c>
      <c r="R46" s="278" t="str">
        <f t="shared" si="33"/>
        <v/>
      </c>
      <c r="S46" s="278" t="str">
        <f t="shared" si="34"/>
        <v/>
      </c>
      <c r="T46" s="275" t="str">
        <f t="shared" si="35"/>
        <v/>
      </c>
      <c r="U46" s="277" t="str">
        <f t="shared" si="36"/>
        <v/>
      </c>
      <c r="V46" s="276" t="str" cm="1">
        <f t="array" ref="V46">IF(AD46,cubicInterpolation(CurveResults.Times,CurveResults.USDSOFR,T46)-IF(ApplyBump,0.0001,0),"")</f>
        <v/>
      </c>
      <c r="W46" s="275" t="str">
        <f t="shared" si="37"/>
        <v/>
      </c>
      <c r="X46" s="276" t="str">
        <f t="shared" si="38"/>
        <v/>
      </c>
      <c r="Y46" s="275" t="str">
        <f t="shared" si="39"/>
        <v/>
      </c>
      <c r="Z46" s="274" t="str">
        <f t="shared" si="40"/>
        <v/>
      </c>
      <c r="AA46" s="273" t="str">
        <f t="shared" si="41"/>
        <v/>
      </c>
      <c r="AC46" s="272" t="b">
        <f t="shared" si="42"/>
        <v>0</v>
      </c>
      <c r="AD46" s="271" t="b">
        <f t="shared" si="43"/>
        <v>0</v>
      </c>
    </row>
    <row r="47" spans="4:30" x14ac:dyDescent="0.3">
      <c r="D47" s="270">
        <f t="shared" si="44"/>
        <v>42</v>
      </c>
      <c r="E47" s="279" t="str">
        <f t="shared" si="45"/>
        <v/>
      </c>
      <c r="F47" s="278" t="str">
        <f t="shared" si="24"/>
        <v/>
      </c>
      <c r="G47" s="278" t="str">
        <f t="shared" si="25"/>
        <v/>
      </c>
      <c r="H47" s="275" t="str">
        <f t="shared" si="26"/>
        <v/>
      </c>
      <c r="I47" s="277" t="str">
        <f t="shared" si="27"/>
        <v/>
      </c>
      <c r="J47" s="276" t="str">
        <f t="shared" si="28"/>
        <v/>
      </c>
      <c r="K47" s="275" t="str">
        <f t="shared" si="29"/>
        <v/>
      </c>
      <c r="L47" s="274" t="str">
        <f t="shared" si="30"/>
        <v/>
      </c>
      <c r="M47" s="273" t="str">
        <f t="shared" si="31"/>
        <v/>
      </c>
      <c r="O47" s="269">
        <f t="shared" si="46"/>
        <v>42</v>
      </c>
      <c r="P47" s="279" t="str">
        <f t="shared" si="32"/>
        <v/>
      </c>
      <c r="Q47" s="278" t="str">
        <f t="shared" si="47"/>
        <v/>
      </c>
      <c r="R47" s="278" t="str">
        <f t="shared" si="33"/>
        <v/>
      </c>
      <c r="S47" s="278" t="str">
        <f t="shared" si="34"/>
        <v/>
      </c>
      <c r="T47" s="275" t="str">
        <f t="shared" si="35"/>
        <v/>
      </c>
      <c r="U47" s="277" t="str">
        <f t="shared" si="36"/>
        <v/>
      </c>
      <c r="V47" s="276" t="str" cm="1">
        <f t="array" ref="V47">IF(AD47,cubicInterpolation(CurveResults.Times,CurveResults.USDSOFR,T47)-IF(ApplyBump,0.0001,0),"")</f>
        <v/>
      </c>
      <c r="W47" s="275" t="str">
        <f t="shared" si="37"/>
        <v/>
      </c>
      <c r="X47" s="276" t="str">
        <f t="shared" si="38"/>
        <v/>
      </c>
      <c r="Y47" s="275" t="str">
        <f t="shared" si="39"/>
        <v/>
      </c>
      <c r="Z47" s="274" t="str">
        <f t="shared" si="40"/>
        <v/>
      </c>
      <c r="AA47" s="273" t="str">
        <f t="shared" si="41"/>
        <v/>
      </c>
      <c r="AC47" s="272" t="b">
        <f t="shared" si="42"/>
        <v>0</v>
      </c>
      <c r="AD47" s="271" t="b">
        <f t="shared" si="43"/>
        <v>0</v>
      </c>
    </row>
    <row r="48" spans="4:30" x14ac:dyDescent="0.3">
      <c r="D48" s="270">
        <f t="shared" si="44"/>
        <v>43</v>
      </c>
      <c r="E48" s="279" t="str">
        <f t="shared" si="45"/>
        <v/>
      </c>
      <c r="F48" s="278" t="str">
        <f t="shared" si="24"/>
        <v/>
      </c>
      <c r="G48" s="278" t="str">
        <f t="shared" si="25"/>
        <v/>
      </c>
      <c r="H48" s="275" t="str">
        <f t="shared" si="26"/>
        <v/>
      </c>
      <c r="I48" s="277" t="str">
        <f t="shared" si="27"/>
        <v/>
      </c>
      <c r="J48" s="276" t="str">
        <f t="shared" si="28"/>
        <v/>
      </c>
      <c r="K48" s="275" t="str">
        <f t="shared" si="29"/>
        <v/>
      </c>
      <c r="L48" s="274" t="str">
        <f t="shared" si="30"/>
        <v/>
      </c>
      <c r="M48" s="273" t="str">
        <f t="shared" si="31"/>
        <v/>
      </c>
      <c r="O48" s="269">
        <f t="shared" si="46"/>
        <v>43</v>
      </c>
      <c r="P48" s="279" t="str">
        <f t="shared" si="32"/>
        <v/>
      </c>
      <c r="Q48" s="278" t="str">
        <f t="shared" si="47"/>
        <v/>
      </c>
      <c r="R48" s="278" t="str">
        <f t="shared" si="33"/>
        <v/>
      </c>
      <c r="S48" s="278" t="str">
        <f t="shared" si="34"/>
        <v/>
      </c>
      <c r="T48" s="275" t="str">
        <f t="shared" si="35"/>
        <v/>
      </c>
      <c r="U48" s="277" t="str">
        <f t="shared" si="36"/>
        <v/>
      </c>
      <c r="V48" s="276" t="str" cm="1">
        <f t="array" ref="V48">IF(AD48,cubicInterpolation(CurveResults.Times,CurveResults.USDSOFR,T48)-IF(ApplyBump,0.0001,0),"")</f>
        <v/>
      </c>
      <c r="W48" s="275" t="str">
        <f t="shared" si="37"/>
        <v/>
      </c>
      <c r="X48" s="276" t="str">
        <f t="shared" si="38"/>
        <v/>
      </c>
      <c r="Y48" s="275" t="str">
        <f t="shared" si="39"/>
        <v/>
      </c>
      <c r="Z48" s="274" t="str">
        <f t="shared" si="40"/>
        <v/>
      </c>
      <c r="AA48" s="273" t="str">
        <f t="shared" si="41"/>
        <v/>
      </c>
      <c r="AC48" s="272" t="b">
        <f t="shared" si="42"/>
        <v>0</v>
      </c>
      <c r="AD48" s="271" t="b">
        <f t="shared" si="43"/>
        <v>0</v>
      </c>
    </row>
    <row r="49" spans="4:30" x14ac:dyDescent="0.3">
      <c r="D49" s="270">
        <f t="shared" si="44"/>
        <v>44</v>
      </c>
      <c r="E49" s="279" t="str">
        <f t="shared" si="45"/>
        <v/>
      </c>
      <c r="F49" s="278" t="str">
        <f t="shared" si="24"/>
        <v/>
      </c>
      <c r="G49" s="278" t="str">
        <f t="shared" si="25"/>
        <v/>
      </c>
      <c r="H49" s="275" t="str">
        <f t="shared" si="26"/>
        <v/>
      </c>
      <c r="I49" s="277" t="str">
        <f t="shared" si="27"/>
        <v/>
      </c>
      <c r="J49" s="276" t="str">
        <f t="shared" si="28"/>
        <v/>
      </c>
      <c r="K49" s="275" t="str">
        <f t="shared" si="29"/>
        <v/>
      </c>
      <c r="L49" s="274" t="str">
        <f t="shared" si="30"/>
        <v/>
      </c>
      <c r="M49" s="273" t="str">
        <f t="shared" si="31"/>
        <v/>
      </c>
      <c r="O49" s="269">
        <f t="shared" si="46"/>
        <v>44</v>
      </c>
      <c r="P49" s="279" t="str">
        <f t="shared" si="32"/>
        <v/>
      </c>
      <c r="Q49" s="278" t="str">
        <f t="shared" si="47"/>
        <v/>
      </c>
      <c r="R49" s="278" t="str">
        <f t="shared" si="33"/>
        <v/>
      </c>
      <c r="S49" s="278" t="str">
        <f t="shared" si="34"/>
        <v/>
      </c>
      <c r="T49" s="275" t="str">
        <f t="shared" si="35"/>
        <v/>
      </c>
      <c r="U49" s="277" t="str">
        <f t="shared" si="36"/>
        <v/>
      </c>
      <c r="V49" s="276" t="str" cm="1">
        <f t="array" ref="V49">IF(AD49,cubicInterpolation(CurveResults.Times,CurveResults.USDSOFR,T49)-IF(ApplyBump,0.0001,0),"")</f>
        <v/>
      </c>
      <c r="W49" s="275" t="str">
        <f t="shared" si="37"/>
        <v/>
      </c>
      <c r="X49" s="276" t="str">
        <f t="shared" si="38"/>
        <v/>
      </c>
      <c r="Y49" s="275" t="str">
        <f t="shared" si="39"/>
        <v/>
      </c>
      <c r="Z49" s="274" t="str">
        <f t="shared" si="40"/>
        <v/>
      </c>
      <c r="AA49" s="273" t="str">
        <f t="shared" si="41"/>
        <v/>
      </c>
      <c r="AC49" s="272" t="b">
        <f t="shared" si="42"/>
        <v>0</v>
      </c>
      <c r="AD49" s="271" t="b">
        <f t="shared" si="43"/>
        <v>0</v>
      </c>
    </row>
    <row r="50" spans="4:30" x14ac:dyDescent="0.3">
      <c r="D50" s="270">
        <f t="shared" si="44"/>
        <v>45</v>
      </c>
      <c r="E50" s="279" t="str">
        <f t="shared" si="45"/>
        <v/>
      </c>
      <c r="F50" s="278" t="str">
        <f t="shared" si="24"/>
        <v/>
      </c>
      <c r="G50" s="278" t="str">
        <f t="shared" si="25"/>
        <v/>
      </c>
      <c r="H50" s="275" t="str">
        <f t="shared" si="26"/>
        <v/>
      </c>
      <c r="I50" s="277" t="str">
        <f t="shared" si="27"/>
        <v/>
      </c>
      <c r="J50" s="276" t="str">
        <f t="shared" si="28"/>
        <v/>
      </c>
      <c r="K50" s="275" t="str">
        <f t="shared" si="29"/>
        <v/>
      </c>
      <c r="L50" s="274" t="str">
        <f t="shared" si="30"/>
        <v/>
      </c>
      <c r="M50" s="273" t="str">
        <f t="shared" si="31"/>
        <v/>
      </c>
      <c r="O50" s="269">
        <f t="shared" si="46"/>
        <v>45</v>
      </c>
      <c r="P50" s="279" t="str">
        <f t="shared" si="32"/>
        <v/>
      </c>
      <c r="Q50" s="278" t="str">
        <f t="shared" si="47"/>
        <v/>
      </c>
      <c r="R50" s="278" t="str">
        <f t="shared" si="33"/>
        <v/>
      </c>
      <c r="S50" s="278" t="str">
        <f t="shared" si="34"/>
        <v/>
      </c>
      <c r="T50" s="275" t="str">
        <f t="shared" si="35"/>
        <v/>
      </c>
      <c r="U50" s="277" t="str">
        <f t="shared" si="36"/>
        <v/>
      </c>
      <c r="V50" s="276" t="str" cm="1">
        <f t="array" ref="V50">IF(AD50,cubicInterpolation(CurveResults.Times,CurveResults.USDSOFR,T50)-IF(ApplyBump,0.0001,0),"")</f>
        <v/>
      </c>
      <c r="W50" s="275" t="str">
        <f t="shared" si="37"/>
        <v/>
      </c>
      <c r="X50" s="276" t="str">
        <f t="shared" si="38"/>
        <v/>
      </c>
      <c r="Y50" s="275" t="str">
        <f t="shared" si="39"/>
        <v/>
      </c>
      <c r="Z50" s="274" t="str">
        <f t="shared" si="40"/>
        <v/>
      </c>
      <c r="AA50" s="273" t="str">
        <f t="shared" si="41"/>
        <v/>
      </c>
      <c r="AC50" s="272" t="b">
        <f t="shared" si="42"/>
        <v>0</v>
      </c>
      <c r="AD50" s="271" t="b">
        <f t="shared" si="43"/>
        <v>0</v>
      </c>
    </row>
    <row r="51" spans="4:30" x14ac:dyDescent="0.3">
      <c r="D51" s="270">
        <f t="shared" si="44"/>
        <v>46</v>
      </c>
      <c r="E51" s="279" t="str">
        <f t="shared" si="45"/>
        <v/>
      </c>
      <c r="F51" s="278" t="str">
        <f t="shared" si="24"/>
        <v/>
      </c>
      <c r="G51" s="278" t="str">
        <f t="shared" si="25"/>
        <v/>
      </c>
      <c r="H51" s="275" t="str">
        <f t="shared" si="26"/>
        <v/>
      </c>
      <c r="I51" s="277" t="str">
        <f t="shared" si="27"/>
        <v/>
      </c>
      <c r="J51" s="276" t="str">
        <f t="shared" si="28"/>
        <v/>
      </c>
      <c r="K51" s="275" t="str">
        <f t="shared" si="29"/>
        <v/>
      </c>
      <c r="L51" s="274" t="str">
        <f t="shared" si="30"/>
        <v/>
      </c>
      <c r="M51" s="273" t="str">
        <f t="shared" si="31"/>
        <v/>
      </c>
      <c r="O51" s="269">
        <f t="shared" si="46"/>
        <v>46</v>
      </c>
      <c r="P51" s="279" t="str">
        <f t="shared" si="32"/>
        <v/>
      </c>
      <c r="Q51" s="278" t="str">
        <f t="shared" si="47"/>
        <v/>
      </c>
      <c r="R51" s="278" t="str">
        <f t="shared" si="33"/>
        <v/>
      </c>
      <c r="S51" s="278" t="str">
        <f t="shared" si="34"/>
        <v/>
      </c>
      <c r="T51" s="275" t="str">
        <f t="shared" si="35"/>
        <v/>
      </c>
      <c r="U51" s="277" t="str">
        <f t="shared" si="36"/>
        <v/>
      </c>
      <c r="V51" s="276" t="str" cm="1">
        <f t="array" ref="V51">IF(AD51,cubicInterpolation(CurveResults.Times,CurveResults.USDSOFR,T51)-IF(ApplyBump,0.0001,0),"")</f>
        <v/>
      </c>
      <c r="W51" s="275" t="str">
        <f t="shared" si="37"/>
        <v/>
      </c>
      <c r="X51" s="276" t="str">
        <f t="shared" si="38"/>
        <v/>
      </c>
      <c r="Y51" s="275" t="str">
        <f t="shared" si="39"/>
        <v/>
      </c>
      <c r="Z51" s="274" t="str">
        <f t="shared" si="40"/>
        <v/>
      </c>
      <c r="AA51" s="273" t="str">
        <f t="shared" si="41"/>
        <v/>
      </c>
      <c r="AC51" s="272" t="b">
        <f t="shared" si="42"/>
        <v>0</v>
      </c>
      <c r="AD51" s="271" t="b">
        <f t="shared" si="43"/>
        <v>0</v>
      </c>
    </row>
    <row r="52" spans="4:30" x14ac:dyDescent="0.3">
      <c r="D52" s="270">
        <f t="shared" si="44"/>
        <v>47</v>
      </c>
      <c r="E52" s="279" t="str">
        <f t="shared" si="45"/>
        <v/>
      </c>
      <c r="F52" s="278" t="str">
        <f t="shared" si="24"/>
        <v/>
      </c>
      <c r="G52" s="278" t="str">
        <f t="shared" si="25"/>
        <v/>
      </c>
      <c r="H52" s="275" t="str">
        <f t="shared" si="26"/>
        <v/>
      </c>
      <c r="I52" s="277" t="str">
        <f t="shared" si="27"/>
        <v/>
      </c>
      <c r="J52" s="276" t="str">
        <f t="shared" si="28"/>
        <v/>
      </c>
      <c r="K52" s="275" t="str">
        <f t="shared" si="29"/>
        <v/>
      </c>
      <c r="L52" s="274" t="str">
        <f t="shared" si="30"/>
        <v/>
      </c>
      <c r="M52" s="273" t="str">
        <f t="shared" si="31"/>
        <v/>
      </c>
      <c r="O52" s="269">
        <f t="shared" si="46"/>
        <v>47</v>
      </c>
      <c r="P52" s="279" t="str">
        <f t="shared" si="32"/>
        <v/>
      </c>
      <c r="Q52" s="278" t="str">
        <f t="shared" si="47"/>
        <v/>
      </c>
      <c r="R52" s="278" t="str">
        <f t="shared" si="33"/>
        <v/>
      </c>
      <c r="S52" s="278" t="str">
        <f t="shared" si="34"/>
        <v/>
      </c>
      <c r="T52" s="275" t="str">
        <f t="shared" si="35"/>
        <v/>
      </c>
      <c r="U52" s="277" t="str">
        <f t="shared" si="36"/>
        <v/>
      </c>
      <c r="V52" s="276" t="str" cm="1">
        <f t="array" ref="V52">IF(AD52,cubicInterpolation(CurveResults.Times,CurveResults.USDSOFR,T52)-IF(ApplyBump,0.0001,0),"")</f>
        <v/>
      </c>
      <c r="W52" s="275" t="str">
        <f t="shared" si="37"/>
        <v/>
      </c>
      <c r="X52" s="276" t="str">
        <f t="shared" si="38"/>
        <v/>
      </c>
      <c r="Y52" s="275" t="str">
        <f t="shared" si="39"/>
        <v/>
      </c>
      <c r="Z52" s="274" t="str">
        <f t="shared" si="40"/>
        <v/>
      </c>
      <c r="AA52" s="273" t="str">
        <f t="shared" si="41"/>
        <v/>
      </c>
      <c r="AC52" s="272" t="b">
        <f t="shared" si="42"/>
        <v>0</v>
      </c>
      <c r="AD52" s="271" t="b">
        <f t="shared" si="43"/>
        <v>0</v>
      </c>
    </row>
    <row r="53" spans="4:30" x14ac:dyDescent="0.3">
      <c r="D53" s="270">
        <f t="shared" si="44"/>
        <v>48</v>
      </c>
      <c r="E53" s="279" t="str">
        <f t="shared" si="45"/>
        <v/>
      </c>
      <c r="F53" s="278" t="str">
        <f t="shared" si="24"/>
        <v/>
      </c>
      <c r="G53" s="278" t="str">
        <f t="shared" si="25"/>
        <v/>
      </c>
      <c r="H53" s="275" t="str">
        <f t="shared" si="26"/>
        <v/>
      </c>
      <c r="I53" s="277" t="str">
        <f t="shared" si="27"/>
        <v/>
      </c>
      <c r="J53" s="276" t="str">
        <f t="shared" si="28"/>
        <v/>
      </c>
      <c r="K53" s="275" t="str">
        <f t="shared" si="29"/>
        <v/>
      </c>
      <c r="L53" s="274" t="str">
        <f t="shared" si="30"/>
        <v/>
      </c>
      <c r="M53" s="273" t="str">
        <f t="shared" si="31"/>
        <v/>
      </c>
      <c r="O53" s="269">
        <f t="shared" si="46"/>
        <v>48</v>
      </c>
      <c r="P53" s="279" t="str">
        <f t="shared" si="32"/>
        <v/>
      </c>
      <c r="Q53" s="278" t="str">
        <f t="shared" si="47"/>
        <v/>
      </c>
      <c r="R53" s="278" t="str">
        <f t="shared" si="33"/>
        <v/>
      </c>
      <c r="S53" s="278" t="str">
        <f t="shared" si="34"/>
        <v/>
      </c>
      <c r="T53" s="275" t="str">
        <f t="shared" si="35"/>
        <v/>
      </c>
      <c r="U53" s="277" t="str">
        <f t="shared" si="36"/>
        <v/>
      </c>
      <c r="V53" s="276" t="str" cm="1">
        <f t="array" ref="V53">IF(AD53,cubicInterpolation(CurveResults.Times,CurveResults.USDSOFR,T53)-IF(ApplyBump,0.0001,0),"")</f>
        <v/>
      </c>
      <c r="W53" s="275" t="str">
        <f t="shared" si="37"/>
        <v/>
      </c>
      <c r="X53" s="276" t="str">
        <f t="shared" si="38"/>
        <v/>
      </c>
      <c r="Y53" s="275" t="str">
        <f t="shared" si="39"/>
        <v/>
      </c>
      <c r="Z53" s="274" t="str">
        <f t="shared" si="40"/>
        <v/>
      </c>
      <c r="AA53" s="273" t="str">
        <f t="shared" si="41"/>
        <v/>
      </c>
      <c r="AC53" s="272" t="b">
        <f t="shared" si="42"/>
        <v>0</v>
      </c>
      <c r="AD53" s="271" t="b">
        <f t="shared" si="43"/>
        <v>0</v>
      </c>
    </row>
    <row r="54" spans="4:30" x14ac:dyDescent="0.3">
      <c r="D54" s="270">
        <f t="shared" si="44"/>
        <v>49</v>
      </c>
      <c r="E54" s="279" t="str">
        <f t="shared" si="45"/>
        <v/>
      </c>
      <c r="F54" s="278" t="str">
        <f t="shared" si="24"/>
        <v/>
      </c>
      <c r="G54" s="278" t="str">
        <f t="shared" si="25"/>
        <v/>
      </c>
      <c r="H54" s="275" t="str">
        <f t="shared" si="26"/>
        <v/>
      </c>
      <c r="I54" s="277" t="str">
        <f t="shared" si="27"/>
        <v/>
      </c>
      <c r="J54" s="276" t="str">
        <f t="shared" si="28"/>
        <v/>
      </c>
      <c r="K54" s="275" t="str">
        <f t="shared" si="29"/>
        <v/>
      </c>
      <c r="L54" s="274" t="str">
        <f t="shared" si="30"/>
        <v/>
      </c>
      <c r="M54" s="273" t="str">
        <f t="shared" si="31"/>
        <v/>
      </c>
      <c r="O54" s="269">
        <f t="shared" si="46"/>
        <v>49</v>
      </c>
      <c r="P54" s="279" t="str">
        <f t="shared" si="32"/>
        <v/>
      </c>
      <c r="Q54" s="278" t="str">
        <f t="shared" si="47"/>
        <v/>
      </c>
      <c r="R54" s="278" t="str">
        <f t="shared" si="33"/>
        <v/>
      </c>
      <c r="S54" s="278" t="str">
        <f t="shared" si="34"/>
        <v/>
      </c>
      <c r="T54" s="275" t="str">
        <f t="shared" si="35"/>
        <v/>
      </c>
      <c r="U54" s="277" t="str">
        <f t="shared" si="36"/>
        <v/>
      </c>
      <c r="V54" s="276" t="str" cm="1">
        <f t="array" ref="V54">IF(AD54,cubicInterpolation(CurveResults.Times,CurveResults.USDSOFR,T54)-IF(ApplyBump,0.0001,0),"")</f>
        <v/>
      </c>
      <c r="W54" s="275" t="str">
        <f t="shared" si="37"/>
        <v/>
      </c>
      <c r="X54" s="276" t="str">
        <f t="shared" si="38"/>
        <v/>
      </c>
      <c r="Y54" s="275" t="str">
        <f t="shared" si="39"/>
        <v/>
      </c>
      <c r="Z54" s="274" t="str">
        <f t="shared" si="40"/>
        <v/>
      </c>
      <c r="AA54" s="273" t="str">
        <f t="shared" si="41"/>
        <v/>
      </c>
      <c r="AC54" s="272" t="b">
        <f t="shared" si="42"/>
        <v>0</v>
      </c>
      <c r="AD54" s="271" t="b">
        <f t="shared" si="43"/>
        <v>0</v>
      </c>
    </row>
    <row r="55" spans="4:30" x14ac:dyDescent="0.3">
      <c r="D55" s="270">
        <f t="shared" si="44"/>
        <v>50</v>
      </c>
      <c r="E55" s="268" t="str">
        <f t="shared" si="45"/>
        <v/>
      </c>
      <c r="F55" s="267" t="str">
        <f t="shared" si="24"/>
        <v/>
      </c>
      <c r="G55" s="267" t="str">
        <f t="shared" si="25"/>
        <v/>
      </c>
      <c r="H55" s="264" t="str">
        <f t="shared" si="26"/>
        <v/>
      </c>
      <c r="I55" s="266" t="str">
        <f t="shared" si="27"/>
        <v/>
      </c>
      <c r="J55" s="265" t="str">
        <f t="shared" si="28"/>
        <v/>
      </c>
      <c r="K55" s="264" t="str">
        <f t="shared" si="29"/>
        <v/>
      </c>
      <c r="L55" s="263" t="str">
        <f t="shared" si="30"/>
        <v/>
      </c>
      <c r="M55" s="262" t="str">
        <f t="shared" si="31"/>
        <v/>
      </c>
      <c r="O55" s="269">
        <f t="shared" si="46"/>
        <v>50</v>
      </c>
      <c r="P55" s="268" t="str">
        <f t="shared" si="32"/>
        <v/>
      </c>
      <c r="Q55" s="267" t="str">
        <f t="shared" si="47"/>
        <v/>
      </c>
      <c r="R55" s="267" t="str">
        <f t="shared" si="33"/>
        <v/>
      </c>
      <c r="S55" s="267" t="str">
        <f t="shared" si="34"/>
        <v/>
      </c>
      <c r="T55" s="264" t="str">
        <f t="shared" si="35"/>
        <v/>
      </c>
      <c r="U55" s="266" t="str">
        <f t="shared" si="36"/>
        <v/>
      </c>
      <c r="V55" s="265" t="str" cm="1">
        <f t="array" ref="V55">IF(AD55,cubicInterpolation(CurveResults.Times,CurveResults.USDSOFR,T55)-IF(ApplyBump,0.0001,0),"")</f>
        <v/>
      </c>
      <c r="W55" s="264" t="str">
        <f t="shared" si="37"/>
        <v/>
      </c>
      <c r="X55" s="265" t="str">
        <f t="shared" si="38"/>
        <v/>
      </c>
      <c r="Y55" s="264" t="str">
        <f t="shared" si="39"/>
        <v/>
      </c>
      <c r="Z55" s="263" t="str">
        <f t="shared" si="40"/>
        <v/>
      </c>
      <c r="AA55" s="262" t="str">
        <f t="shared" si="41"/>
        <v/>
      </c>
      <c r="AC55" s="261" t="b">
        <f t="shared" si="42"/>
        <v>0</v>
      </c>
      <c r="AD55" s="260" t="b">
        <f t="shared" si="43"/>
        <v>0</v>
      </c>
    </row>
  </sheetData>
  <dataValidations count="5">
    <dataValidation type="list" allowBlank="1" showInputMessage="1" showErrorMessage="1" sqref="AH25" xr:uid="{00000000-0002-0000-0200-000004000000}">
      <formula1>"TRUE,FALSE"</formula1>
    </dataValidation>
    <dataValidation type="list" allowBlank="1" showInputMessage="1" showErrorMessage="1" sqref="C9:C10" xr:uid="{00000000-0002-0000-0200-000003000000}">
      <formula1>"ANNUAL,SEMI-ANNUAL,QUARTERLY,MONTHLY"</formula1>
    </dataValidation>
    <dataValidation type="list" allowBlank="1" showInputMessage="1" showErrorMessage="1" sqref="C6" xr:uid="{00000000-0002-0000-0200-000002000000}">
      <formula1>"USD"</formula1>
    </dataValidation>
    <dataValidation type="list" allowBlank="1" showInputMessage="1" showErrorMessage="1" sqref="C5" xr:uid="{00000000-0002-0000-0200-000001000000}">
      <formula1>"PAYER,RECEIVER"</formula1>
    </dataValidation>
    <dataValidation type="whole" allowBlank="1" showInputMessage="1" sqref="C12" xr:uid="{00000000-0002-0000-0200-000000000000}">
      <formula1>1</formula1>
      <formula2>50</formula2>
    </dataValidation>
  </dataValidations>
  <pageMargins left="0.7" right="0.7" top="0.75" bottom="0.75" header="0.3" footer="0.3"/>
  <pageSetup paperSize="9" orientation="portrait" r:id="rId1"/>
  <headerFooter>
    <oddFooter>&amp;R_x000D_&amp;1#&amp;"Aptos"&amp;10&amp;K008000 [ CLASSIFICAÇÃO: PÚBLICA ]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9C056-FA10-411F-8B4F-F364D9EA79EB}">
  <sheetPr codeName="Sheet1">
    <tabColor theme="7" tint="0.59999389629810485"/>
  </sheetPr>
  <dimension ref="B1:BF91"/>
  <sheetViews>
    <sheetView showGridLines="0" zoomScaleNormal="100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4.4" outlineLevelCol="2" x14ac:dyDescent="0.3"/>
  <cols>
    <col min="1" max="1" width="4.6640625" customWidth="1"/>
    <col min="2" max="2" width="9.33203125" hidden="1" customWidth="1" outlineLevel="1"/>
    <col min="3" max="8" width="12.6640625" hidden="1" customWidth="1" outlineLevel="1"/>
    <col min="9" max="9" width="12.6640625" customWidth="1" collapsed="1"/>
    <col min="10" max="10" width="9.33203125" customWidth="1"/>
    <col min="11" max="15" width="12.6640625" customWidth="1"/>
    <col min="16" max="16" width="15.6640625" customWidth="1"/>
    <col min="17" max="19" width="12.6640625" customWidth="1"/>
    <col min="20" max="22" width="15.6640625" customWidth="1"/>
    <col min="23" max="30" width="15.6640625" hidden="1" customWidth="1" outlineLevel="1"/>
    <col min="31" max="31" width="15.6640625" customWidth="1" collapsed="1"/>
    <col min="32" max="56" width="15.6640625" hidden="1" customWidth="1" outlineLevel="1"/>
    <col min="57" max="57" width="15.6640625" hidden="1" customWidth="1" outlineLevel="2"/>
    <col min="58" max="58" width="20.6640625" customWidth="1" collapsed="1"/>
  </cols>
  <sheetData>
    <row r="1" spans="3:58" x14ac:dyDescent="0.3">
      <c r="I1" s="124" t="s">
        <v>135</v>
      </c>
      <c r="J1" s="124"/>
      <c r="AE1" s="124" t="s">
        <v>158</v>
      </c>
      <c r="BF1" s="124" t="s">
        <v>159</v>
      </c>
    </row>
    <row r="2" spans="3:58" x14ac:dyDescent="0.3">
      <c r="C2" s="1" t="s">
        <v>139</v>
      </c>
      <c r="K2" s="55" t="s">
        <v>143</v>
      </c>
      <c r="O2" s="55" t="s">
        <v>144</v>
      </c>
      <c r="S2" s="1" t="s">
        <v>66</v>
      </c>
      <c r="X2" s="1" t="s">
        <v>93</v>
      </c>
      <c r="Y2" s="1"/>
      <c r="AE2" s="338" t="s">
        <v>329</v>
      </c>
      <c r="AH2" s="1" t="s">
        <v>88</v>
      </c>
      <c r="AJ2" s="1"/>
      <c r="AL2" s="1" t="s">
        <v>89</v>
      </c>
      <c r="AN2" s="1"/>
      <c r="AP2" s="1" t="s">
        <v>92</v>
      </c>
      <c r="AT2" s="1" t="s">
        <v>90</v>
      </c>
      <c r="AX2" s="1" t="s">
        <v>91</v>
      </c>
      <c r="BB2" s="1" t="s">
        <v>95</v>
      </c>
      <c r="BF2" s="124"/>
    </row>
    <row r="3" spans="3:58" x14ac:dyDescent="0.3">
      <c r="C3" t="s">
        <v>150</v>
      </c>
      <c r="K3" s="397" t="s">
        <v>0</v>
      </c>
      <c r="L3" s="398"/>
      <c r="M3" s="47" t="s">
        <v>335</v>
      </c>
      <c r="O3" s="40" t="s">
        <v>10</v>
      </c>
      <c r="P3" s="40" t="s">
        <v>67</v>
      </c>
      <c r="Q3" s="2" t="s">
        <v>110</v>
      </c>
      <c r="S3" s="40" t="s">
        <v>48</v>
      </c>
      <c r="T3" s="40" t="s">
        <v>20</v>
      </c>
      <c r="X3" s="41" t="s">
        <v>6</v>
      </c>
      <c r="Y3" s="41" t="s">
        <v>20</v>
      </c>
      <c r="Z3" s="41" t="s">
        <v>8</v>
      </c>
      <c r="AA3" s="41" t="s">
        <v>24</v>
      </c>
      <c r="AB3" s="41" t="s">
        <v>134</v>
      </c>
      <c r="AC3" s="41"/>
      <c r="AD3" s="41"/>
      <c r="AE3" s="41"/>
      <c r="AF3" s="41"/>
      <c r="AG3" s="41" t="s">
        <v>6</v>
      </c>
      <c r="AH3" s="2" t="s">
        <v>20</v>
      </c>
      <c r="AI3" s="41" t="s">
        <v>94</v>
      </c>
      <c r="AJ3" s="41" t="s">
        <v>8</v>
      </c>
      <c r="AK3" s="41" t="s">
        <v>24</v>
      </c>
      <c r="AL3" s="2" t="s">
        <v>20</v>
      </c>
      <c r="AM3" s="41" t="s">
        <v>94</v>
      </c>
      <c r="AN3" s="41" t="s">
        <v>8</v>
      </c>
      <c r="AO3" s="41" t="s">
        <v>24</v>
      </c>
      <c r="AP3" s="2" t="s">
        <v>20</v>
      </c>
      <c r="AQ3" s="41" t="s">
        <v>94</v>
      </c>
      <c r="AR3" s="41" t="s">
        <v>8</v>
      </c>
      <c r="AS3" s="41" t="s">
        <v>24</v>
      </c>
      <c r="AT3" s="2" t="s">
        <v>20</v>
      </c>
      <c r="AU3" s="41" t="s">
        <v>94</v>
      </c>
      <c r="AV3" s="41" t="s">
        <v>8</v>
      </c>
      <c r="AW3" s="41" t="s">
        <v>24</v>
      </c>
      <c r="AX3" s="2" t="s">
        <v>20</v>
      </c>
      <c r="AY3" s="41" t="s">
        <v>94</v>
      </c>
      <c r="AZ3" s="41" t="s">
        <v>8</v>
      </c>
      <c r="BA3" s="41" t="s">
        <v>24</v>
      </c>
      <c r="BB3" s="2" t="s">
        <v>20</v>
      </c>
      <c r="BC3" s="41" t="s">
        <v>94</v>
      </c>
      <c r="BD3" s="41" t="s">
        <v>8</v>
      </c>
      <c r="BE3" s="41" t="s">
        <v>24</v>
      </c>
    </row>
    <row r="4" spans="3:58" x14ac:dyDescent="0.3">
      <c r="C4" t="s">
        <v>151</v>
      </c>
      <c r="K4" s="399" t="s">
        <v>17</v>
      </c>
      <c r="L4" s="400"/>
      <c r="M4" s="48" t="s">
        <v>19</v>
      </c>
      <c r="O4" s="73" t="s">
        <v>11</v>
      </c>
      <c r="P4" s="74">
        <v>30</v>
      </c>
      <c r="Q4" s="18">
        <f t="shared" ref="Q4:Q9" si="0">P4/10000</f>
        <v>3.0000000000000001E-3</v>
      </c>
      <c r="S4" s="11">
        <v>1</v>
      </c>
      <c r="T4" s="86">
        <f t="shared" ref="T4:T9" si="1">N27</f>
        <v>5.0000000000000001E-3</v>
      </c>
      <c r="W4" s="18"/>
      <c r="X4" s="17">
        <v>0</v>
      </c>
      <c r="Y4" s="18" cm="1">
        <f t="array" ref="Y4">flatInterpolation(X4,$S$4:$S$9,$T$4:$T$9)</f>
        <v>5.0000000000000001E-3</v>
      </c>
      <c r="Z4" s="10">
        <v>1</v>
      </c>
      <c r="AA4" s="10">
        <v>0</v>
      </c>
      <c r="AB4" s="42" cm="1">
        <f t="array" ref="AB4">cubicInterpolation(CurveResults.Times,CurveResults.DFs,$X4)</f>
        <v>1</v>
      </c>
      <c r="AG4" s="17">
        <v>0</v>
      </c>
      <c r="AI4" s="10" t="s">
        <v>96</v>
      </c>
      <c r="AJ4" s="10">
        <v>1</v>
      </c>
      <c r="AK4" s="10">
        <v>0</v>
      </c>
      <c r="AM4" s="10" t="s">
        <v>96</v>
      </c>
      <c r="AN4" s="10">
        <v>1</v>
      </c>
      <c r="AO4" s="10">
        <v>0</v>
      </c>
      <c r="AQ4" s="10" t="s">
        <v>96</v>
      </c>
      <c r="AR4" s="10">
        <v>1</v>
      </c>
      <c r="AS4" s="10">
        <v>0</v>
      </c>
      <c r="AU4" s="10" t="s">
        <v>96</v>
      </c>
      <c r="AV4" s="10">
        <v>1</v>
      </c>
      <c r="AW4" s="10">
        <v>0</v>
      </c>
      <c r="AY4" s="10" t="s">
        <v>96</v>
      </c>
      <c r="AZ4" s="10">
        <v>1</v>
      </c>
      <c r="BA4" s="10">
        <v>0</v>
      </c>
      <c r="BC4" s="10" t="s">
        <v>96</v>
      </c>
      <c r="BD4" s="10">
        <v>1</v>
      </c>
      <c r="BE4" s="10">
        <v>0</v>
      </c>
    </row>
    <row r="5" spans="3:58" x14ac:dyDescent="0.3">
      <c r="K5" s="399" t="s">
        <v>3</v>
      </c>
      <c r="L5" s="400"/>
      <c r="M5" s="49" t="s">
        <v>4</v>
      </c>
      <c r="O5" s="75" t="s">
        <v>12</v>
      </c>
      <c r="P5" s="76">
        <v>30</v>
      </c>
      <c r="Q5" s="18">
        <f t="shared" si="0"/>
        <v>3.0000000000000001E-3</v>
      </c>
      <c r="S5" s="12">
        <v>2</v>
      </c>
      <c r="T5" s="87">
        <f t="shared" si="1"/>
        <v>5.0000000000000001E-3</v>
      </c>
      <c r="W5" s="18"/>
      <c r="X5" s="20">
        <f>YearFraction</f>
        <v>0.25</v>
      </c>
      <c r="Y5" s="21" cm="1">
        <f t="array" ref="Y5">flatInterpolation(X5,$S$4:$S$9,$T$4:$T$9)</f>
        <v>5.0000000000000001E-3</v>
      </c>
      <c r="Z5" s="22">
        <f t="shared" ref="Z5:Z44" si="2">EXP(-Y5*YearFraction)*Z4</f>
        <v>0.99875078092458092</v>
      </c>
      <c r="AA5" s="22">
        <f t="shared" ref="AA5:AA44" si="3">Z4-Z5</f>
        <v>1.2492190754190835E-3</v>
      </c>
      <c r="AB5" s="23" cm="1">
        <f t="array" ref="AB5">cubicInterpolation(CurveResults.Times,CurveResults.DFs,$X5)</f>
        <v>0.98868042001719347</v>
      </c>
      <c r="AG5" s="20">
        <f>YearFraction</f>
        <v>0.25</v>
      </c>
      <c r="AH5" s="129">
        <f>HazardRate1Y+ShiftSize</f>
        <v>5.0001000000000004E-3</v>
      </c>
      <c r="AI5" s="30" cm="1">
        <f t="array" ref="AI5">flatInterpolation($AG5,$S$4:$S$9,AH$5:AH$10)</f>
        <v>5.0001000000000004E-3</v>
      </c>
      <c r="AJ5" s="22">
        <f t="shared" ref="AJ5:AJ44" si="4">EXP(-AI5*YearFraction)*AJ4</f>
        <v>0.99875075595581164</v>
      </c>
      <c r="AK5" s="121">
        <f t="shared" ref="AK5:AK44" si="5">AJ4-AJ5</f>
        <v>1.2492440441883579E-3</v>
      </c>
      <c r="AL5" s="126">
        <f>HazardRate1Y</f>
        <v>5.0000000000000001E-3</v>
      </c>
      <c r="AM5" s="30" cm="1">
        <f t="array" ref="AM5">flatInterpolation($AG5,$S$4:$S$9,AL$5:AL$10)</f>
        <v>5.0000000000000001E-3</v>
      </c>
      <c r="AN5" s="22">
        <f t="shared" ref="AN5:AN44" si="6">EXP(-AM5*YearFraction)*AN4</f>
        <v>0.99875078092458092</v>
      </c>
      <c r="AO5" s="121">
        <f t="shared" ref="AO5:AO44" si="7">AN4-AN5</f>
        <v>1.2492190754190835E-3</v>
      </c>
      <c r="AP5" s="126">
        <f>HazardRate1Y</f>
        <v>5.0000000000000001E-3</v>
      </c>
      <c r="AQ5" s="30" cm="1">
        <f t="array" ref="AQ5">flatInterpolation($AG5,$S$4:$S$9,AP$5:AP$10)</f>
        <v>5.0000000000000001E-3</v>
      </c>
      <c r="AR5" s="22">
        <f t="shared" ref="AR5:AR44" si="8">EXP(-AQ5*YearFraction)*AR4</f>
        <v>0.99875078092458092</v>
      </c>
      <c r="AS5" s="121">
        <f t="shared" ref="AS5:AS44" si="9">AR4-AR5</f>
        <v>1.2492190754190835E-3</v>
      </c>
      <c r="AT5" s="126">
        <f>HazardRate1Y</f>
        <v>5.0000000000000001E-3</v>
      </c>
      <c r="AU5" s="30" cm="1">
        <f t="array" ref="AU5">flatInterpolation($AG5,$S$4:$S$9,AT$5:AT$10)</f>
        <v>5.0000000000000001E-3</v>
      </c>
      <c r="AV5" s="22">
        <f t="shared" ref="AV5:AV44" si="10">EXP(-AU5*YearFraction)*AV4</f>
        <v>0.99875078092458092</v>
      </c>
      <c r="AW5" s="121">
        <f t="shared" ref="AW5:AW44" si="11">AV4-AV5</f>
        <v>1.2492190754190835E-3</v>
      </c>
      <c r="AX5" s="126">
        <f>HazardRate1Y</f>
        <v>5.0000000000000001E-3</v>
      </c>
      <c r="AY5" s="30" cm="1">
        <f t="array" ref="AY5">flatInterpolation($AG5,$S$4:$S$9,AX$5:AX$10)</f>
        <v>5.0000000000000001E-3</v>
      </c>
      <c r="AZ5" s="22">
        <f t="shared" ref="AZ5:AZ44" si="12">EXP(-AY5*YearFraction)*AZ4</f>
        <v>0.99875078092458092</v>
      </c>
      <c r="BA5" s="121">
        <f t="shared" ref="BA5:BA44" si="13">AZ4-AZ5</f>
        <v>1.2492190754190835E-3</v>
      </c>
      <c r="BB5" s="126">
        <f>HazardRate1Y</f>
        <v>5.0000000000000001E-3</v>
      </c>
      <c r="BC5" s="30" cm="1">
        <f t="array" ref="BC5">flatInterpolation($AG5,$S$4:$S$9,BB$5:BB$10)</f>
        <v>5.0000000000000001E-3</v>
      </c>
      <c r="BD5" s="22">
        <f t="shared" ref="BD5:BD44" si="14">EXP(-BC5*YearFraction)*BD4</f>
        <v>0.99875078092458092</v>
      </c>
      <c r="BE5" s="121">
        <f t="shared" ref="BE5:BE44" si="15">BD4-BD5</f>
        <v>1.2492190754190835E-3</v>
      </c>
    </row>
    <row r="6" spans="3:58" x14ac:dyDescent="0.3">
      <c r="C6" s="1" t="s">
        <v>137</v>
      </c>
      <c r="D6" t="s">
        <v>141</v>
      </c>
      <c r="K6" s="399" t="s">
        <v>1</v>
      </c>
      <c r="L6" s="400"/>
      <c r="M6" s="51">
        <v>0.4</v>
      </c>
      <c r="O6" s="75" t="s">
        <v>13</v>
      </c>
      <c r="P6" s="76">
        <v>30</v>
      </c>
      <c r="Q6" s="18">
        <f t="shared" si="0"/>
        <v>3.0000000000000001E-3</v>
      </c>
      <c r="S6" s="12">
        <v>3</v>
      </c>
      <c r="T6" s="87">
        <f t="shared" si="1"/>
        <v>5.0000000000000001E-3</v>
      </c>
      <c r="W6" s="18"/>
      <c r="X6" s="24">
        <f t="shared" ref="X6:X44" si="16">X5+YearFraction</f>
        <v>0.5</v>
      </c>
      <c r="Y6" s="25" cm="1">
        <f t="array" ref="Y6">flatInterpolation(X6,$S$4:$S$9,$T$4:$T$9)</f>
        <v>5.0000000000000001E-3</v>
      </c>
      <c r="Z6" s="26">
        <f t="shared" si="2"/>
        <v>0.9975031223974602</v>
      </c>
      <c r="AA6" s="26">
        <f t="shared" si="3"/>
        <v>1.2476585271207208E-3</v>
      </c>
      <c r="AB6" s="27" cm="1">
        <f t="array" ref="AB6">cubicInterpolation(CurveResults.Times,CurveResults.DFs,$X6)</f>
        <v>0.97728436827331244</v>
      </c>
      <c r="AG6" s="24">
        <f t="shared" ref="AG6:AG44" si="17">AG5+YearFraction</f>
        <v>0.5</v>
      </c>
      <c r="AH6" s="130">
        <f>HazardRate2Y</f>
        <v>5.0000000000000001E-3</v>
      </c>
      <c r="AI6" s="18" cm="1">
        <f t="array" ref="AI6">flatInterpolation($AG6,$S$4:$S$9,AH$5:AH$10)</f>
        <v>5.0001000000000004E-3</v>
      </c>
      <c r="AJ6" s="26">
        <f t="shared" si="4"/>
        <v>0.99750307252230519</v>
      </c>
      <c r="AK6" s="122">
        <f t="shared" si="5"/>
        <v>1.2476834335064524E-3</v>
      </c>
      <c r="AL6" s="128">
        <f>HazardRate2Y+ShiftSize</f>
        <v>5.0001000000000004E-3</v>
      </c>
      <c r="AM6" s="18" cm="1">
        <f t="array" ref="AM6">flatInterpolation($AG6,$S$4:$S$9,AL$5:AL$10)</f>
        <v>5.0000000000000001E-3</v>
      </c>
      <c r="AN6" s="26">
        <f t="shared" si="6"/>
        <v>0.9975031223974602</v>
      </c>
      <c r="AO6" s="122">
        <f t="shared" si="7"/>
        <v>1.2476585271207208E-3</v>
      </c>
      <c r="AP6" s="127">
        <f>HazardRate2Y</f>
        <v>5.0000000000000001E-3</v>
      </c>
      <c r="AQ6" s="18" cm="1">
        <f t="array" ref="AQ6">flatInterpolation($AG6,$S$4:$S$9,AP$5:AP$10)</f>
        <v>5.0000000000000001E-3</v>
      </c>
      <c r="AR6" s="26">
        <f t="shared" si="8"/>
        <v>0.9975031223974602</v>
      </c>
      <c r="AS6" s="122">
        <f t="shared" si="9"/>
        <v>1.2476585271207208E-3</v>
      </c>
      <c r="AT6" s="127">
        <f>HazardRate2Y</f>
        <v>5.0000000000000001E-3</v>
      </c>
      <c r="AU6" s="18" cm="1">
        <f t="array" ref="AU6">flatInterpolation($AG6,$S$4:$S$9,AT$5:AT$10)</f>
        <v>5.0000000000000001E-3</v>
      </c>
      <c r="AV6" s="26">
        <f t="shared" si="10"/>
        <v>0.9975031223974602</v>
      </c>
      <c r="AW6" s="122">
        <f t="shared" si="11"/>
        <v>1.2476585271207208E-3</v>
      </c>
      <c r="AX6" s="127">
        <f>HazardRate2Y</f>
        <v>5.0000000000000001E-3</v>
      </c>
      <c r="AY6" s="18" cm="1">
        <f t="array" ref="AY6">flatInterpolation($AG6,$S$4:$S$9,AX$5:AX$10)</f>
        <v>5.0000000000000001E-3</v>
      </c>
      <c r="AZ6" s="26">
        <f t="shared" si="12"/>
        <v>0.9975031223974602</v>
      </c>
      <c r="BA6" s="122">
        <f t="shared" si="13"/>
        <v>1.2476585271207208E-3</v>
      </c>
      <c r="BB6" s="127">
        <f>HazardRate2Y</f>
        <v>5.0000000000000001E-3</v>
      </c>
      <c r="BC6" s="18" cm="1">
        <f t="array" ref="BC6">flatInterpolation($AG6,$S$4:$S$9,BB$5:BB$10)</f>
        <v>5.0000000000000001E-3</v>
      </c>
      <c r="BD6" s="26">
        <f t="shared" si="14"/>
        <v>0.9975031223974602</v>
      </c>
      <c r="BE6" s="122">
        <f t="shared" si="15"/>
        <v>1.2476585271207208E-3</v>
      </c>
    </row>
    <row r="7" spans="3:58" x14ac:dyDescent="0.3">
      <c r="C7" s="1" t="s">
        <v>138</v>
      </c>
      <c r="D7" t="s">
        <v>142</v>
      </c>
      <c r="K7" s="399" t="s">
        <v>5</v>
      </c>
      <c r="L7" s="400"/>
      <c r="M7" s="52">
        <v>0.25</v>
      </c>
      <c r="O7" s="75" t="s">
        <v>14</v>
      </c>
      <c r="P7" s="76">
        <v>30</v>
      </c>
      <c r="Q7" s="18">
        <f t="shared" si="0"/>
        <v>3.0000000000000001E-3</v>
      </c>
      <c r="S7" s="12">
        <v>4</v>
      </c>
      <c r="T7" s="87">
        <f t="shared" si="1"/>
        <v>5.0000000000000001E-3</v>
      </c>
      <c r="W7" s="18"/>
      <c r="X7" s="24">
        <f t="shared" si="16"/>
        <v>0.75</v>
      </c>
      <c r="Y7" s="25" cm="1">
        <f t="array" ref="Y7">flatInterpolation(X7,$S$4:$S$9,$T$4:$T$9)</f>
        <v>5.0000000000000001E-3</v>
      </c>
      <c r="Z7" s="26">
        <f t="shared" si="2"/>
        <v>0.99625702246917114</v>
      </c>
      <c r="AA7" s="26">
        <f t="shared" si="3"/>
        <v>1.2460999282890572E-3</v>
      </c>
      <c r="AB7" s="27" cm="1">
        <f t="array" ref="AB7">cubicInterpolation(CurveResults.Times,CurveResults.DFs,$X7)</f>
        <v>0.96604126005158042</v>
      </c>
      <c r="AG7" s="24">
        <f t="shared" si="17"/>
        <v>0.75</v>
      </c>
      <c r="AH7" s="130">
        <f>HazardRate3Y</f>
        <v>5.0000000000000001E-3</v>
      </c>
      <c r="AI7" s="18" cm="1">
        <f t="array" ref="AI7">flatInterpolation($AG7,$S$4:$S$9,AH$5:AH$10)</f>
        <v>5.0001000000000004E-3</v>
      </c>
      <c r="AJ7" s="26">
        <f t="shared" si="4"/>
        <v>0.99625694774989715</v>
      </c>
      <c r="AK7" s="122">
        <f t="shared" si="5"/>
        <v>1.2461247724080415E-3</v>
      </c>
      <c r="AL7" s="127">
        <f>HazardRate3Y</f>
        <v>5.0000000000000001E-3</v>
      </c>
      <c r="AM7" s="18" cm="1">
        <f t="array" ref="AM7">flatInterpolation($AG7,$S$4:$S$9,AL$5:AL$10)</f>
        <v>5.0000000000000001E-3</v>
      </c>
      <c r="AN7" s="26">
        <f t="shared" si="6"/>
        <v>0.99625702246917114</v>
      </c>
      <c r="AO7" s="122">
        <f t="shared" si="7"/>
        <v>1.2460999282890572E-3</v>
      </c>
      <c r="AP7" s="128">
        <f>HazardRate3Y+ShiftSize</f>
        <v>5.0001000000000004E-3</v>
      </c>
      <c r="AQ7" s="18" cm="1">
        <f t="array" ref="AQ7">flatInterpolation($AG7,$S$4:$S$9,AP$5:AP$10)</f>
        <v>5.0000000000000001E-3</v>
      </c>
      <c r="AR7" s="26">
        <f t="shared" si="8"/>
        <v>0.99625702246917114</v>
      </c>
      <c r="AS7" s="122">
        <f t="shared" si="9"/>
        <v>1.2460999282890572E-3</v>
      </c>
      <c r="AT7" s="127">
        <f>HazardRate3Y</f>
        <v>5.0000000000000001E-3</v>
      </c>
      <c r="AU7" s="18" cm="1">
        <f t="array" ref="AU7">flatInterpolation($AG7,$S$4:$S$9,AT$5:AT$10)</f>
        <v>5.0000000000000001E-3</v>
      </c>
      <c r="AV7" s="26">
        <f t="shared" si="10"/>
        <v>0.99625702246917114</v>
      </c>
      <c r="AW7" s="122">
        <f t="shared" si="11"/>
        <v>1.2460999282890572E-3</v>
      </c>
      <c r="AX7" s="127">
        <f>HazardRate3Y</f>
        <v>5.0000000000000001E-3</v>
      </c>
      <c r="AY7" s="18" cm="1">
        <f t="array" ref="AY7">flatInterpolation($AG7,$S$4:$S$9,AX$5:AX$10)</f>
        <v>5.0000000000000001E-3</v>
      </c>
      <c r="AZ7" s="26">
        <f t="shared" si="12"/>
        <v>0.99625702246917114</v>
      </c>
      <c r="BA7" s="122">
        <f t="shared" si="13"/>
        <v>1.2460999282890572E-3</v>
      </c>
      <c r="BB7" s="127">
        <f>HazardRate3Y</f>
        <v>5.0000000000000001E-3</v>
      </c>
      <c r="BC7" s="18" cm="1">
        <f t="array" ref="BC7">flatInterpolation($AG7,$S$4:$S$9,BB$5:BB$10)</f>
        <v>5.0000000000000001E-3</v>
      </c>
      <c r="BD7" s="26">
        <f t="shared" si="14"/>
        <v>0.99625702246917114</v>
      </c>
      <c r="BE7" s="122">
        <f t="shared" si="15"/>
        <v>1.2460999282890572E-3</v>
      </c>
    </row>
    <row r="8" spans="3:58" x14ac:dyDescent="0.3">
      <c r="K8" s="399" t="s">
        <v>18</v>
      </c>
      <c r="L8" s="400"/>
      <c r="M8" s="165">
        <v>1000000</v>
      </c>
      <c r="O8" s="75" t="s">
        <v>15</v>
      </c>
      <c r="P8" s="76">
        <v>30</v>
      </c>
      <c r="Q8" s="18">
        <f t="shared" si="0"/>
        <v>3.0000000000000001E-3</v>
      </c>
      <c r="S8" s="12">
        <v>5</v>
      </c>
      <c r="T8" s="87">
        <f t="shared" si="1"/>
        <v>5.0000000000000001E-3</v>
      </c>
      <c r="W8" s="18"/>
      <c r="X8" s="24">
        <f t="shared" si="16"/>
        <v>1</v>
      </c>
      <c r="Y8" s="25" cm="1">
        <f t="array" ref="Y8">flatInterpolation(X8,$S$4:$S$9,$T$4:$T$9)</f>
        <v>5.0000000000000001E-3</v>
      </c>
      <c r="Z8" s="26">
        <f t="shared" si="2"/>
        <v>0.99501247919268243</v>
      </c>
      <c r="AA8" s="26">
        <f t="shared" si="3"/>
        <v>1.2445432764887077E-3</v>
      </c>
      <c r="AB8" s="27" cm="1">
        <f t="array" ref="AB8">cubicInterpolation(CurveResults.Times,CurveResults.DFs,$X8)</f>
        <v>0.95518051063522103</v>
      </c>
      <c r="AG8" s="24">
        <f t="shared" si="17"/>
        <v>1</v>
      </c>
      <c r="AH8" s="130">
        <f>HazardRate4Y</f>
        <v>5.0000000000000001E-3</v>
      </c>
      <c r="AI8" s="18" cm="1">
        <f t="array" ref="AI8">flatInterpolation($AG8,$S$4:$S$9,AH$5:AH$10)</f>
        <v>5.0001000000000004E-3</v>
      </c>
      <c r="AJ8" s="26">
        <f t="shared" si="4"/>
        <v>0.9950123796914393</v>
      </c>
      <c r="AK8" s="122">
        <f t="shared" si="5"/>
        <v>1.2445680584578511E-3</v>
      </c>
      <c r="AL8" s="127">
        <f>HazardRate4Y</f>
        <v>5.0000000000000001E-3</v>
      </c>
      <c r="AM8" s="18" cm="1">
        <f t="array" ref="AM8">flatInterpolation($AG8,$S$4:$S$9,AL$5:AL$10)</f>
        <v>5.0000000000000001E-3</v>
      </c>
      <c r="AN8" s="26">
        <f t="shared" si="6"/>
        <v>0.99501247919268243</v>
      </c>
      <c r="AO8" s="122">
        <f t="shared" si="7"/>
        <v>1.2445432764887077E-3</v>
      </c>
      <c r="AP8" s="127">
        <f>HazardRate4Y</f>
        <v>5.0000000000000001E-3</v>
      </c>
      <c r="AQ8" s="18" cm="1">
        <f t="array" ref="AQ8">flatInterpolation($AG8,$S$4:$S$9,AP$5:AP$10)</f>
        <v>5.0000000000000001E-3</v>
      </c>
      <c r="AR8" s="26">
        <f t="shared" si="8"/>
        <v>0.99501247919268243</v>
      </c>
      <c r="AS8" s="122">
        <f t="shared" si="9"/>
        <v>1.2445432764887077E-3</v>
      </c>
      <c r="AT8" s="128">
        <f>HazardRate4Y+ShiftSize</f>
        <v>5.0001000000000004E-3</v>
      </c>
      <c r="AU8" s="18" cm="1">
        <f t="array" ref="AU8">flatInterpolation($AG8,$S$4:$S$9,AT$5:AT$10)</f>
        <v>5.0000000000000001E-3</v>
      </c>
      <c r="AV8" s="26">
        <f t="shared" si="10"/>
        <v>0.99501247919268243</v>
      </c>
      <c r="AW8" s="122">
        <f t="shared" si="11"/>
        <v>1.2445432764887077E-3</v>
      </c>
      <c r="AX8" s="127">
        <f>HazardRate4Y</f>
        <v>5.0000000000000001E-3</v>
      </c>
      <c r="AY8" s="18" cm="1">
        <f t="array" ref="AY8">flatInterpolation($AG8,$S$4:$S$9,AX$5:AX$10)</f>
        <v>5.0000000000000001E-3</v>
      </c>
      <c r="AZ8" s="26">
        <f t="shared" si="12"/>
        <v>0.99501247919268243</v>
      </c>
      <c r="BA8" s="122">
        <f t="shared" si="13"/>
        <v>1.2445432764887077E-3</v>
      </c>
      <c r="BB8" s="127">
        <f>HazardRate4Y</f>
        <v>5.0000000000000001E-3</v>
      </c>
      <c r="BC8" s="18" cm="1">
        <f t="array" ref="BC8">flatInterpolation($AG8,$S$4:$S$9,BB$5:BB$10)</f>
        <v>5.0000000000000001E-3</v>
      </c>
      <c r="BD8" s="26">
        <f t="shared" si="14"/>
        <v>0.99501247919268243</v>
      </c>
      <c r="BE8" s="122">
        <f t="shared" si="15"/>
        <v>1.2445432764887077E-3</v>
      </c>
    </row>
    <row r="9" spans="3:58" x14ac:dyDescent="0.3">
      <c r="C9" s="1" t="s">
        <v>136</v>
      </c>
      <c r="K9" s="395" t="s">
        <v>9</v>
      </c>
      <c r="L9" s="396"/>
      <c r="M9" s="53">
        <f>Notional*(1-RecoveryRate)</f>
        <v>600000</v>
      </c>
      <c r="O9" s="77" t="s">
        <v>16</v>
      </c>
      <c r="P9" s="78">
        <v>30</v>
      </c>
      <c r="Q9" s="18">
        <f t="shared" si="0"/>
        <v>3.0000000000000001E-3</v>
      </c>
      <c r="S9" s="13">
        <v>10</v>
      </c>
      <c r="T9" s="88">
        <f t="shared" si="1"/>
        <v>5.0000000000000001E-3</v>
      </c>
      <c r="W9" s="18"/>
      <c r="X9" s="24">
        <f t="shared" si="16"/>
        <v>1.25</v>
      </c>
      <c r="Y9" s="25" cm="1">
        <f t="array" ref="Y9">flatInterpolation(X9,$S$4:$S$9,$T$4:$T$9)</f>
        <v>5.0000000000000001E-3</v>
      </c>
      <c r="Z9" s="26">
        <f t="shared" si="2"/>
        <v>0.99376949062339492</v>
      </c>
      <c r="AA9" s="26">
        <f t="shared" si="3"/>
        <v>1.2429885692875065E-3</v>
      </c>
      <c r="AB9" s="27" cm="1">
        <f t="array" ref="AB9">cubicInterpolation(CurveResults.Times,CurveResults.DFs,$X9)</f>
        <v>0.94476174559314918</v>
      </c>
      <c r="AG9" s="24">
        <f t="shared" si="17"/>
        <v>1.25</v>
      </c>
      <c r="AH9" s="130">
        <f>HazardRate5Y</f>
        <v>5.0000000000000001E-3</v>
      </c>
      <c r="AI9" s="18" cm="1">
        <f t="array" ref="AI9">flatInterpolation($AG9,$S$4:$S$9,AH$5:AH$10)</f>
        <v>5.0000000000000001E-3</v>
      </c>
      <c r="AJ9" s="26">
        <f t="shared" si="4"/>
        <v>0.99376939124645058</v>
      </c>
      <c r="AK9" s="122">
        <f t="shared" si="5"/>
        <v>1.242988444988713E-3</v>
      </c>
      <c r="AL9" s="127">
        <f>HazardRate5Y</f>
        <v>5.0000000000000001E-3</v>
      </c>
      <c r="AM9" s="18" cm="1">
        <f t="array" ref="AM9">flatInterpolation($AG9,$S$4:$S$9,AL$5:AL$10)</f>
        <v>5.0001000000000004E-3</v>
      </c>
      <c r="AN9" s="26">
        <f t="shared" si="6"/>
        <v>0.99376946577915792</v>
      </c>
      <c r="AO9" s="122">
        <f t="shared" si="7"/>
        <v>1.2430134135245074E-3</v>
      </c>
      <c r="AP9" s="127">
        <f>HazardRate5Y</f>
        <v>5.0000000000000001E-3</v>
      </c>
      <c r="AQ9" s="18" cm="1">
        <f t="array" ref="AQ9">flatInterpolation($AG9,$S$4:$S$9,AP$5:AP$10)</f>
        <v>5.0000000000000001E-3</v>
      </c>
      <c r="AR9" s="26">
        <f t="shared" si="8"/>
        <v>0.99376949062339492</v>
      </c>
      <c r="AS9" s="122">
        <f t="shared" si="9"/>
        <v>1.2429885692875065E-3</v>
      </c>
      <c r="AT9" s="127">
        <f>HazardRate5Y</f>
        <v>5.0000000000000001E-3</v>
      </c>
      <c r="AU9" s="18" cm="1">
        <f t="array" ref="AU9">flatInterpolation($AG9,$S$4:$S$9,AT$5:AT$10)</f>
        <v>5.0000000000000001E-3</v>
      </c>
      <c r="AV9" s="26">
        <f t="shared" si="10"/>
        <v>0.99376949062339492</v>
      </c>
      <c r="AW9" s="122">
        <f t="shared" si="11"/>
        <v>1.2429885692875065E-3</v>
      </c>
      <c r="AX9" s="128">
        <f>HazardRate5Y+ShiftSize</f>
        <v>5.0001000000000004E-3</v>
      </c>
      <c r="AY9" s="18" cm="1">
        <f t="array" ref="AY9">flatInterpolation($AG9,$S$4:$S$9,AX$5:AX$10)</f>
        <v>5.0000000000000001E-3</v>
      </c>
      <c r="AZ9" s="26">
        <f t="shared" si="12"/>
        <v>0.99376949062339492</v>
      </c>
      <c r="BA9" s="122">
        <f t="shared" si="13"/>
        <v>1.2429885692875065E-3</v>
      </c>
      <c r="BB9" s="127">
        <f>HazardRate5Y</f>
        <v>5.0000000000000001E-3</v>
      </c>
      <c r="BC9" s="18" cm="1">
        <f t="array" ref="BC9">flatInterpolation($AG9,$S$4:$S$9,BB$5:BB$10)</f>
        <v>5.0000000000000001E-3</v>
      </c>
      <c r="BD9" s="26">
        <f t="shared" si="14"/>
        <v>0.99376949062339492</v>
      </c>
      <c r="BE9" s="122">
        <f t="shared" si="15"/>
        <v>1.2429885692875065E-3</v>
      </c>
    </row>
    <row r="10" spans="3:58" x14ac:dyDescent="0.3">
      <c r="C10" t="s">
        <v>140</v>
      </c>
      <c r="X10" s="24">
        <f t="shared" si="16"/>
        <v>1.5</v>
      </c>
      <c r="Y10" s="25" cm="1">
        <f t="array" ref="Y10">flatInterpolation(X10,$S$4:$S$9,$T$4:$T$9)</f>
        <v>5.0000000000000001E-3</v>
      </c>
      <c r="Z10" s="26">
        <f t="shared" si="2"/>
        <v>0.99252805481913864</v>
      </c>
      <c r="AA10" s="26">
        <f t="shared" si="3"/>
        <v>1.2414358042562856E-3</v>
      </c>
      <c r="AB10" s="27" cm="1">
        <f t="array" ref="AB10">cubicInterpolation(CurveResults.Times,CurveResults.DFs,$X10)</f>
        <v>0.93466312738762736</v>
      </c>
      <c r="AG10" s="24">
        <f t="shared" si="17"/>
        <v>1.5</v>
      </c>
      <c r="AH10" s="130">
        <f>HazardRate10Y</f>
        <v>5.0000000000000001E-3</v>
      </c>
      <c r="AI10" s="18" cm="1">
        <f t="array" ref="AI10">flatInterpolation($AG10,$S$4:$S$9,AH$5:AH$10)</f>
        <v>5.0000000000000001E-3</v>
      </c>
      <c r="AJ10" s="26">
        <f t="shared" si="4"/>
        <v>0.99252795556633788</v>
      </c>
      <c r="AK10" s="122">
        <f t="shared" si="5"/>
        <v>1.2414356801127013E-3</v>
      </c>
      <c r="AL10" s="127">
        <f>HazardRate10Y</f>
        <v>5.0000000000000001E-3</v>
      </c>
      <c r="AM10" s="18" cm="1">
        <f t="array" ref="AM10">flatInterpolation($AG10,$S$4:$S$9,AL$5:AL$10)</f>
        <v>5.0001000000000004E-3</v>
      </c>
      <c r="AN10" s="26">
        <f t="shared" si="6"/>
        <v>0.9925280051927371</v>
      </c>
      <c r="AO10" s="122">
        <f t="shared" si="7"/>
        <v>1.2414605864208283E-3</v>
      </c>
      <c r="AP10" s="127">
        <f>HazardRate10Y</f>
        <v>5.0000000000000001E-3</v>
      </c>
      <c r="AQ10" s="18" cm="1">
        <f t="array" ref="AQ10">flatInterpolation($AG10,$S$4:$S$9,AP$5:AP$10)</f>
        <v>5.0000000000000001E-3</v>
      </c>
      <c r="AR10" s="26">
        <f t="shared" si="8"/>
        <v>0.99252805481913864</v>
      </c>
      <c r="AS10" s="122">
        <f t="shared" si="9"/>
        <v>1.2414358042562856E-3</v>
      </c>
      <c r="AT10" s="127">
        <f>HazardRate10Y</f>
        <v>5.0000000000000001E-3</v>
      </c>
      <c r="AU10" s="18" cm="1">
        <f t="array" ref="AU10">flatInterpolation($AG10,$S$4:$S$9,AT$5:AT$10)</f>
        <v>5.0000000000000001E-3</v>
      </c>
      <c r="AV10" s="26">
        <f t="shared" si="10"/>
        <v>0.99252805481913864</v>
      </c>
      <c r="AW10" s="122">
        <f t="shared" si="11"/>
        <v>1.2414358042562856E-3</v>
      </c>
      <c r="AX10" s="127">
        <f>HazardRate10Y</f>
        <v>5.0000000000000001E-3</v>
      </c>
      <c r="AY10" s="18" cm="1">
        <f t="array" ref="AY10">flatInterpolation($AG10,$S$4:$S$9,AX$5:AX$10)</f>
        <v>5.0000000000000001E-3</v>
      </c>
      <c r="AZ10" s="26">
        <f t="shared" si="12"/>
        <v>0.99252805481913864</v>
      </c>
      <c r="BA10" s="122">
        <f t="shared" si="13"/>
        <v>1.2414358042562856E-3</v>
      </c>
      <c r="BB10" s="128">
        <f>HazardRate10Y+ShiftSize</f>
        <v>5.0001000000000004E-3</v>
      </c>
      <c r="BC10" s="18" cm="1">
        <f t="array" ref="BC10">flatInterpolation($AG10,$S$4:$S$9,BB$5:BB$10)</f>
        <v>5.0000000000000001E-3</v>
      </c>
      <c r="BD10" s="26">
        <f t="shared" si="14"/>
        <v>0.99252805481913864</v>
      </c>
      <c r="BE10" s="122">
        <f t="shared" si="15"/>
        <v>1.2414358042562856E-3</v>
      </c>
    </row>
    <row r="11" spans="3:58" x14ac:dyDescent="0.3">
      <c r="C11" t="s">
        <v>160</v>
      </c>
      <c r="X11" s="24">
        <f t="shared" si="16"/>
        <v>1.75</v>
      </c>
      <c r="Y11" s="25" cm="1">
        <f t="array" ref="Y11">flatInterpolation(X11,$S$4:$S$9,$T$4:$T$9)</f>
        <v>5.0000000000000001E-3</v>
      </c>
      <c r="Z11" s="26">
        <f t="shared" si="2"/>
        <v>0.99128816984016999</v>
      </c>
      <c r="AA11" s="26">
        <f t="shared" si="3"/>
        <v>1.2398849789686528E-3</v>
      </c>
      <c r="AB11" s="27" cm="1">
        <f t="array" ref="AB11">cubicInterpolation(CurveResults.Times,CurveResults.DFs,$X11)</f>
        <v>0.92484187664189998</v>
      </c>
      <c r="AG11" s="24">
        <f t="shared" si="17"/>
        <v>1.75</v>
      </c>
      <c r="AI11" s="18" cm="1">
        <f t="array" ref="AI11">flatInterpolation($AG11,$S$4:$S$9,AH$5:AH$10)</f>
        <v>5.0000000000000001E-3</v>
      </c>
      <c r="AJ11" s="26">
        <f t="shared" si="4"/>
        <v>0.99128807071135772</v>
      </c>
      <c r="AK11" s="122">
        <f t="shared" si="5"/>
        <v>1.2398848549801667E-3</v>
      </c>
      <c r="AL11" s="116"/>
      <c r="AM11" s="18" cm="1">
        <f t="array" ref="AM11">flatInterpolation($AG11,$S$4:$S$9,AL$5:AL$10)</f>
        <v>5.0001000000000004E-3</v>
      </c>
      <c r="AN11" s="26">
        <f t="shared" si="6"/>
        <v>0.9912880954935599</v>
      </c>
      <c r="AO11" s="122">
        <f t="shared" si="7"/>
        <v>1.2399096991771996E-3</v>
      </c>
      <c r="AP11" s="116"/>
      <c r="AQ11" s="18" cm="1">
        <f t="array" ref="AQ11">flatInterpolation($AG11,$S$4:$S$9,AP$5:AP$10)</f>
        <v>5.0000000000000001E-3</v>
      </c>
      <c r="AR11" s="26">
        <f t="shared" si="8"/>
        <v>0.99128816984016999</v>
      </c>
      <c r="AS11" s="122">
        <f t="shared" si="9"/>
        <v>1.2398849789686528E-3</v>
      </c>
      <c r="AT11" s="116"/>
      <c r="AU11" s="18" cm="1">
        <f t="array" ref="AU11">flatInterpolation($AG11,$S$4:$S$9,AT$5:AT$10)</f>
        <v>5.0000000000000001E-3</v>
      </c>
      <c r="AV11" s="26">
        <f t="shared" si="10"/>
        <v>0.99128816984016999</v>
      </c>
      <c r="AW11" s="122">
        <f t="shared" si="11"/>
        <v>1.2398849789686528E-3</v>
      </c>
      <c r="AX11" s="116"/>
      <c r="AY11" s="18" cm="1">
        <f t="array" ref="AY11">flatInterpolation($AG11,$S$4:$S$9,AX$5:AX$10)</f>
        <v>5.0000000000000001E-3</v>
      </c>
      <c r="AZ11" s="26">
        <f t="shared" si="12"/>
        <v>0.99128816984016999</v>
      </c>
      <c r="BA11" s="122">
        <f t="shared" si="13"/>
        <v>1.2398849789686528E-3</v>
      </c>
      <c r="BB11" s="116"/>
      <c r="BC11" s="18" cm="1">
        <f t="array" ref="BC11">flatInterpolation($AG11,$S$4:$S$9,BB$5:BB$10)</f>
        <v>5.0000000000000001E-3</v>
      </c>
      <c r="BD11" s="26">
        <f t="shared" si="14"/>
        <v>0.99128816984016999</v>
      </c>
      <c r="BE11" s="122">
        <f t="shared" si="15"/>
        <v>1.2398849789686528E-3</v>
      </c>
    </row>
    <row r="12" spans="3:58" x14ac:dyDescent="0.3">
      <c r="K12" s="1" t="s">
        <v>50</v>
      </c>
      <c r="S12" s="1" t="s">
        <v>68</v>
      </c>
      <c r="X12" s="24">
        <f t="shared" si="16"/>
        <v>2</v>
      </c>
      <c r="Y12" s="25" cm="1">
        <f t="array" ref="Y12">flatInterpolation(X12,$S$4:$S$9,$T$4:$T$9)</f>
        <v>5.0000000000000001E-3</v>
      </c>
      <c r="Z12" s="26">
        <f t="shared" si="2"/>
        <v>0.99004983374916833</v>
      </c>
      <c r="AA12" s="26">
        <f t="shared" si="3"/>
        <v>1.2383360910016572E-3</v>
      </c>
      <c r="AB12" s="27" cm="1">
        <f t="array" ref="AB12">cubicInterpolation(CurveResults.Times,CurveResults.DFs,$X12)</f>
        <v>0.91525521397921195</v>
      </c>
      <c r="AG12" s="24">
        <f t="shared" si="17"/>
        <v>2</v>
      </c>
      <c r="AI12" s="18" cm="1">
        <f t="array" ref="AI12">flatInterpolation($AG12,$S$4:$S$9,AH$5:AH$10)</f>
        <v>5.0000000000000001E-3</v>
      </c>
      <c r="AJ12" s="26">
        <f t="shared" si="4"/>
        <v>0.99004973474418967</v>
      </c>
      <c r="AK12" s="122">
        <f t="shared" si="5"/>
        <v>1.2383359671680472E-3</v>
      </c>
      <c r="AL12" s="116"/>
      <c r="AM12" s="18" cm="1">
        <f t="array" ref="AM12">flatInterpolation($AG12,$S$4:$S$9,AL$5:AL$10)</f>
        <v>5.0001000000000004E-3</v>
      </c>
      <c r="AN12" s="26">
        <f t="shared" si="6"/>
        <v>0.99004973474418978</v>
      </c>
      <c r="AO12" s="122">
        <f t="shared" si="7"/>
        <v>1.2383607493701154E-3</v>
      </c>
      <c r="AP12" s="116"/>
      <c r="AQ12" s="18" cm="1">
        <f t="array" ref="AQ12">flatInterpolation($AG12,$S$4:$S$9,AP$5:AP$10)</f>
        <v>5.0000000000000001E-3</v>
      </c>
      <c r="AR12" s="26">
        <f t="shared" si="8"/>
        <v>0.99004983374916833</v>
      </c>
      <c r="AS12" s="122">
        <f t="shared" si="9"/>
        <v>1.2383360910016572E-3</v>
      </c>
      <c r="AT12" s="116"/>
      <c r="AU12" s="18" cm="1">
        <f t="array" ref="AU12">flatInterpolation($AG12,$S$4:$S$9,AT$5:AT$10)</f>
        <v>5.0000000000000001E-3</v>
      </c>
      <c r="AV12" s="26">
        <f t="shared" si="10"/>
        <v>0.99004983374916833</v>
      </c>
      <c r="AW12" s="122">
        <f t="shared" si="11"/>
        <v>1.2383360910016572E-3</v>
      </c>
      <c r="AX12" s="116"/>
      <c r="AY12" s="18" cm="1">
        <f t="array" ref="AY12">flatInterpolation($AG12,$S$4:$S$9,AX$5:AX$10)</f>
        <v>5.0000000000000001E-3</v>
      </c>
      <c r="AZ12" s="26">
        <f t="shared" si="12"/>
        <v>0.99004983374916833</v>
      </c>
      <c r="BA12" s="122">
        <f t="shared" si="13"/>
        <v>1.2383360910016572E-3</v>
      </c>
      <c r="BB12" s="116"/>
      <c r="BC12" s="18" cm="1">
        <f t="array" ref="BC12">flatInterpolation($AG12,$S$4:$S$9,BB$5:BB$10)</f>
        <v>5.0000000000000001E-3</v>
      </c>
      <c r="BD12" s="26">
        <f t="shared" si="14"/>
        <v>0.99004983374916833</v>
      </c>
      <c r="BE12" s="122">
        <f t="shared" si="15"/>
        <v>1.2383360910016572E-3</v>
      </c>
    </row>
    <row r="13" spans="3:58" x14ac:dyDescent="0.3">
      <c r="C13" s="1" t="s">
        <v>135</v>
      </c>
      <c r="K13" s="2" t="s">
        <v>10</v>
      </c>
      <c r="L13" s="2" t="s">
        <v>27</v>
      </c>
      <c r="M13" s="2" t="s">
        <v>7</v>
      </c>
      <c r="N13" s="2" t="s">
        <v>2</v>
      </c>
      <c r="O13" s="2" t="s">
        <v>25</v>
      </c>
      <c r="P13" s="2" t="s">
        <v>26</v>
      </c>
      <c r="Q13" s="2" t="s">
        <v>28</v>
      </c>
      <c r="S13" s="2" t="s">
        <v>49</v>
      </c>
      <c r="T13" s="2" t="s">
        <v>67</v>
      </c>
      <c r="U13" s="2" t="s">
        <v>110</v>
      </c>
      <c r="V13" s="117" t="s">
        <v>69</v>
      </c>
      <c r="W13" s="117"/>
      <c r="X13" s="24">
        <f t="shared" si="16"/>
        <v>2.25</v>
      </c>
      <c r="Y13" s="25" cm="1">
        <f t="array" ref="Y13">flatInterpolation(X13,$S$4:$S$9,$T$4:$T$9)</f>
        <v>5.0000000000000001E-3</v>
      </c>
      <c r="Z13" s="26">
        <f t="shared" si="2"/>
        <v>0.98881304461123343</v>
      </c>
      <c r="AA13" s="26">
        <f t="shared" si="3"/>
        <v>1.2367891379349016E-3</v>
      </c>
      <c r="AB13" s="27" cm="1">
        <f t="array" ref="AB13">cubicInterpolation(CurveResults.Times,CurveResults.DFs,$X13)</f>
        <v>0.90592386234408706</v>
      </c>
      <c r="AG13" s="24">
        <f t="shared" si="17"/>
        <v>2.25</v>
      </c>
      <c r="AI13" s="18" cm="1">
        <f t="array" ref="AI13">flatInterpolation($AG13,$S$4:$S$9,AH$5:AH$10)</f>
        <v>5.0000000000000001E-3</v>
      </c>
      <c r="AJ13" s="26">
        <f t="shared" si="4"/>
        <v>0.98881294572993361</v>
      </c>
      <c r="AK13" s="122">
        <f t="shared" si="5"/>
        <v>1.2367890142560567E-3</v>
      </c>
      <c r="AL13" s="116"/>
      <c r="AM13" s="18" cm="1">
        <f t="array" ref="AM13">flatInterpolation($AG13,$S$4:$S$9,AL$5:AL$10)</f>
        <v>5.0000000000000001E-3</v>
      </c>
      <c r="AN13" s="26">
        <f t="shared" si="6"/>
        <v>0.98881294572993372</v>
      </c>
      <c r="AO13" s="122">
        <f t="shared" si="7"/>
        <v>1.2367890142560567E-3</v>
      </c>
      <c r="AP13" s="116"/>
      <c r="AQ13" s="18" cm="1">
        <f t="array" ref="AQ13">flatInterpolation($AG13,$S$4:$S$9,AP$5:AP$10)</f>
        <v>5.0001000000000004E-3</v>
      </c>
      <c r="AR13" s="26">
        <f t="shared" si="8"/>
        <v>0.98881301989090753</v>
      </c>
      <c r="AS13" s="122">
        <f t="shared" si="9"/>
        <v>1.236813858260799E-3</v>
      </c>
      <c r="AT13" s="116"/>
      <c r="AU13" s="18" cm="1">
        <f t="array" ref="AU13">flatInterpolation($AG13,$S$4:$S$9,AT$5:AT$10)</f>
        <v>5.0000000000000001E-3</v>
      </c>
      <c r="AV13" s="26">
        <f t="shared" si="10"/>
        <v>0.98881304461123343</v>
      </c>
      <c r="AW13" s="122">
        <f t="shared" si="11"/>
        <v>1.2367891379349016E-3</v>
      </c>
      <c r="AX13" s="116"/>
      <c r="AY13" s="18" cm="1">
        <f t="array" ref="AY13">flatInterpolation($AG13,$S$4:$S$9,AX$5:AX$10)</f>
        <v>5.0000000000000001E-3</v>
      </c>
      <c r="AZ13" s="26">
        <f t="shared" si="12"/>
        <v>0.98881304461123343</v>
      </c>
      <c r="BA13" s="122">
        <f t="shared" si="13"/>
        <v>1.2367891379349016E-3</v>
      </c>
      <c r="BB13" s="116"/>
      <c r="BC13" s="18" cm="1">
        <f t="array" ref="BC13">flatInterpolation($AG13,$S$4:$S$9,BB$5:BB$10)</f>
        <v>5.0000000000000001E-3</v>
      </c>
      <c r="BD13" s="26">
        <f t="shared" si="14"/>
        <v>0.98881304461123343</v>
      </c>
      <c r="BE13" s="122">
        <f t="shared" si="15"/>
        <v>1.2367891379349016E-3</v>
      </c>
    </row>
    <row r="14" spans="3:58" x14ac:dyDescent="0.3">
      <c r="C14" t="s">
        <v>148</v>
      </c>
      <c r="K14" s="29" t="s">
        <v>11</v>
      </c>
      <c r="L14" s="30">
        <f t="shared" ref="L14:L19" si="18">Q4</f>
        <v>3.0000000000000001E-3</v>
      </c>
      <c r="M14" s="31">
        <f t="shared" ref="M14:M19" si="19">-Notional*L14*YearFraction</f>
        <v>-750</v>
      </c>
      <c r="N14" s="32">
        <f>M14*SUMPRODUCT(PSurvival1Y,DiscFactors1Y)</f>
        <v>-2906.348600763683</v>
      </c>
      <c r="O14" s="32">
        <f>M14*0.5*SUMPRODUCT(PDefault1Y,DiscFactors1Y)</f>
        <v>-1.8176036410858027</v>
      </c>
      <c r="P14" s="32">
        <f>LGD*SUMPRODUCT(PDefault1Y,DiscFactors1Y)</f>
        <v>2908.1658257372842</v>
      </c>
      <c r="Q14" s="33">
        <f t="shared" ref="Q14:Q19" si="20">SUM(N14:P14)</f>
        <v>-3.7866748471060419E-4</v>
      </c>
      <c r="S14" s="79">
        <f>Notional*YearFraction*(SUMPRODUCT(PSurvival1Y,DiscFactors1Y)+0.5*SUMPRODUCT(PDefault1Y,DiscFactors1Y))</f>
        <v>969388.73480158963</v>
      </c>
      <c r="T14" s="80">
        <f t="shared" ref="T14:T19" si="21">P14/S14*10000</f>
        <v>29.999996093749893</v>
      </c>
      <c r="U14" s="18">
        <f t="shared" ref="U14:U19" si="22">T14/10000</f>
        <v>2.9999996093749894E-3</v>
      </c>
      <c r="V14" s="18">
        <f t="shared" ref="V14:V19" si="23">U14-Q4</f>
        <v>-3.9062501063641397E-10</v>
      </c>
      <c r="W14" s="17"/>
      <c r="X14" s="24">
        <f t="shared" si="16"/>
        <v>2.5</v>
      </c>
      <c r="Y14" s="25" cm="1">
        <f t="array" ref="Y14">flatInterpolation(X14,$S$4:$S$9,$T$4:$T$9)</f>
        <v>5.0000000000000001E-3</v>
      </c>
      <c r="Z14" s="26">
        <f t="shared" si="2"/>
        <v>0.98757780049388189</v>
      </c>
      <c r="AA14" s="26">
        <f t="shared" si="3"/>
        <v>1.2352441173515416E-3</v>
      </c>
      <c r="AB14" s="27" cm="1">
        <f t="array" ref="AB14">cubicInterpolation(CurveResults.Times,CurveResults.DFs,$X14)</f>
        <v>0.89685992714468643</v>
      </c>
      <c r="AG14" s="24">
        <f t="shared" si="17"/>
        <v>2.5</v>
      </c>
      <c r="AI14" s="18" cm="1">
        <f t="array" ref="AI14">flatInterpolation($AG14,$S$4:$S$9,AH$5:AH$10)</f>
        <v>5.0000000000000001E-3</v>
      </c>
      <c r="AJ14" s="26">
        <f t="shared" si="4"/>
        <v>0.98757770173610648</v>
      </c>
      <c r="AK14" s="122">
        <f t="shared" si="5"/>
        <v>1.2352439938271287E-3</v>
      </c>
      <c r="AL14" s="116"/>
      <c r="AM14" s="18" cm="1">
        <f t="array" ref="AM14">flatInterpolation($AG14,$S$4:$S$9,AL$5:AL$10)</f>
        <v>5.0000000000000001E-3</v>
      </c>
      <c r="AN14" s="26">
        <f t="shared" si="6"/>
        <v>0.98757770173610659</v>
      </c>
      <c r="AO14" s="122">
        <f t="shared" si="7"/>
        <v>1.2352439938271287E-3</v>
      </c>
      <c r="AP14" s="116"/>
      <c r="AQ14" s="18" cm="1">
        <f t="array" ref="AQ14">flatInterpolation($AG14,$S$4:$S$9,AP$5:AP$10)</f>
        <v>5.0001000000000004E-3</v>
      </c>
      <c r="AR14" s="26">
        <f t="shared" si="8"/>
        <v>0.98757775111499291</v>
      </c>
      <c r="AS14" s="122">
        <f t="shared" si="9"/>
        <v>1.2352687759146219E-3</v>
      </c>
      <c r="AT14" s="116"/>
      <c r="AU14" s="18" cm="1">
        <f t="array" ref="AU14">flatInterpolation($AG14,$S$4:$S$9,AT$5:AT$10)</f>
        <v>5.0000000000000001E-3</v>
      </c>
      <c r="AV14" s="26">
        <f t="shared" si="10"/>
        <v>0.98757780049388189</v>
      </c>
      <c r="AW14" s="122">
        <f t="shared" si="11"/>
        <v>1.2352441173515416E-3</v>
      </c>
      <c r="AX14" s="116"/>
      <c r="AY14" s="18" cm="1">
        <f t="array" ref="AY14">flatInterpolation($AG14,$S$4:$S$9,AX$5:AX$10)</f>
        <v>5.0000000000000001E-3</v>
      </c>
      <c r="AZ14" s="26">
        <f t="shared" si="12"/>
        <v>0.98757780049388189</v>
      </c>
      <c r="BA14" s="122">
        <f t="shared" si="13"/>
        <v>1.2352441173515416E-3</v>
      </c>
      <c r="BB14" s="116"/>
      <c r="BC14" s="18" cm="1">
        <f t="array" ref="BC14">flatInterpolation($AG14,$S$4:$S$9,BB$5:BB$10)</f>
        <v>5.0000000000000001E-3</v>
      </c>
      <c r="BD14" s="26">
        <f t="shared" si="14"/>
        <v>0.98757780049388189</v>
      </c>
      <c r="BE14" s="122">
        <f t="shared" si="15"/>
        <v>1.2352441173515416E-3</v>
      </c>
    </row>
    <row r="15" spans="3:58" x14ac:dyDescent="0.3">
      <c r="C15" t="s">
        <v>149</v>
      </c>
      <c r="K15" s="34" t="s">
        <v>12</v>
      </c>
      <c r="L15" s="18">
        <f t="shared" si="18"/>
        <v>3.0000000000000001E-3</v>
      </c>
      <c r="M15" s="2">
        <f t="shared" si="19"/>
        <v>-750</v>
      </c>
      <c r="N15" s="28">
        <f>M15*SUMPRODUCT(PSurvival2Y,DiscFactors2Y)</f>
        <v>-5673.4644943700805</v>
      </c>
      <c r="O15" s="4">
        <f>M15*0.5*SUMPRODUCT(PDefault2Y,DiscFactors2Y)</f>
        <v>-3.5481324297533994</v>
      </c>
      <c r="P15" s="4">
        <f>LGD*SUMPRODUCT(PDefault2Y,DiscFactors2Y)</f>
        <v>5677.0118876054385</v>
      </c>
      <c r="Q15" s="5">
        <f t="shared" si="20"/>
        <v>-7.3919439546443755E-4</v>
      </c>
      <c r="S15" s="3">
        <f>Notional*YearFraction*(SUMPRODUCT(PSurvival2Y,DiscFactors2Y)+0.5*SUMPRODUCT(PDefault2Y,DiscFactors2Y))</f>
        <v>1892337.5422666112</v>
      </c>
      <c r="T15" s="81">
        <f t="shared" si="21"/>
        <v>29.999996093749772</v>
      </c>
      <c r="U15" s="18">
        <f t="shared" si="22"/>
        <v>2.9999996093749773E-3</v>
      </c>
      <c r="V15" s="18">
        <f t="shared" si="23"/>
        <v>-3.906250227794783E-10</v>
      </c>
      <c r="W15" s="17"/>
      <c r="X15" s="24">
        <f t="shared" si="16"/>
        <v>2.75</v>
      </c>
      <c r="Y15" s="25" cm="1">
        <f t="array" ref="Y15">flatInterpolation(X15,$S$4:$S$9,$T$4:$T$9)</f>
        <v>5.0000000000000001E-3</v>
      </c>
      <c r="Z15" s="26">
        <f t="shared" si="2"/>
        <v>0.98634409946704449</v>
      </c>
      <c r="AA15" s="26">
        <f t="shared" si="3"/>
        <v>1.2337010268373971E-3</v>
      </c>
      <c r="AB15" s="27" cm="1">
        <f t="array" ref="AB15">cubicInterpolation(CurveResults.Times,CurveResults.DFs,$X15)</f>
        <v>0.8880077026997103</v>
      </c>
      <c r="AG15" s="24">
        <f t="shared" si="17"/>
        <v>2.75</v>
      </c>
      <c r="AI15" s="18" cm="1">
        <f t="array" ref="AI15">flatInterpolation($AG15,$S$4:$S$9,AH$5:AH$10)</f>
        <v>5.0000000000000001E-3</v>
      </c>
      <c r="AJ15" s="26">
        <f t="shared" si="4"/>
        <v>0.98634400083263918</v>
      </c>
      <c r="AK15" s="122">
        <f t="shared" si="5"/>
        <v>1.2337009034673052E-3</v>
      </c>
      <c r="AL15" s="116"/>
      <c r="AM15" s="18" cm="1">
        <f t="array" ref="AM15">flatInterpolation($AG15,$S$4:$S$9,AL$5:AL$10)</f>
        <v>5.0000000000000001E-3</v>
      </c>
      <c r="AN15" s="26">
        <f t="shared" si="6"/>
        <v>0.98634400083263929</v>
      </c>
      <c r="AO15" s="122">
        <f t="shared" si="7"/>
        <v>1.2337009034673052E-3</v>
      </c>
      <c r="AP15" s="116"/>
      <c r="AQ15" s="18" cm="1">
        <f t="array" ref="AQ15">flatInterpolation($AG15,$S$4:$S$9,AP$5:AP$10)</f>
        <v>5.0001000000000004E-3</v>
      </c>
      <c r="AR15" s="26">
        <f t="shared" si="8"/>
        <v>0.98634402549123956</v>
      </c>
      <c r="AS15" s="122">
        <f t="shared" si="9"/>
        <v>1.2337256237533456E-3</v>
      </c>
      <c r="AT15" s="116"/>
      <c r="AU15" s="18" cm="1">
        <f t="array" ref="AU15">flatInterpolation($AG15,$S$4:$S$9,AT$5:AT$10)</f>
        <v>5.0000000000000001E-3</v>
      </c>
      <c r="AV15" s="26">
        <f t="shared" si="10"/>
        <v>0.98634409946704449</v>
      </c>
      <c r="AW15" s="122">
        <f t="shared" si="11"/>
        <v>1.2337010268373971E-3</v>
      </c>
      <c r="AX15" s="116"/>
      <c r="AY15" s="18" cm="1">
        <f t="array" ref="AY15">flatInterpolation($AG15,$S$4:$S$9,AX$5:AX$10)</f>
        <v>5.0000000000000001E-3</v>
      </c>
      <c r="AZ15" s="26">
        <f t="shared" si="12"/>
        <v>0.98634409946704449</v>
      </c>
      <c r="BA15" s="122">
        <f t="shared" si="13"/>
        <v>1.2337010268373971E-3</v>
      </c>
      <c r="BB15" s="116"/>
      <c r="BC15" s="18" cm="1">
        <f t="array" ref="BC15">flatInterpolation($AG15,$S$4:$S$9,BB$5:BB$10)</f>
        <v>5.0000000000000001E-3</v>
      </c>
      <c r="BD15" s="26">
        <f t="shared" si="14"/>
        <v>0.98634409946704449</v>
      </c>
      <c r="BE15" s="122">
        <f t="shared" si="15"/>
        <v>1.2337010268373971E-3</v>
      </c>
    </row>
    <row r="16" spans="3:58" x14ac:dyDescent="0.3">
      <c r="C16" t="s">
        <v>152</v>
      </c>
      <c r="K16" s="34" t="s">
        <v>13</v>
      </c>
      <c r="L16" s="18">
        <f t="shared" si="18"/>
        <v>3.0000000000000001E-3</v>
      </c>
      <c r="M16" s="2">
        <f t="shared" si="19"/>
        <v>-750</v>
      </c>
      <c r="N16" s="28">
        <f>M16*SUMPRODUCT(PSurvival3Y,DiscFactors3Y)</f>
        <v>-8316.1717584250127</v>
      </c>
      <c r="O16" s="4">
        <f>M16*0.5*SUMPRODUCT(PDefault3Y,DiscFactors3Y)</f>
        <v>-5.2008572075752468</v>
      </c>
      <c r="P16" s="4">
        <f>LGD*SUMPRODUCT(PDefault3Y,DiscFactors3Y)</f>
        <v>8321.3715321203945</v>
      </c>
      <c r="Q16" s="5">
        <f t="shared" si="20"/>
        <v>-1.0835121938725933E-3</v>
      </c>
      <c r="S16" s="3">
        <f>Notional*YearFraction*(SUMPRODUCT(PSurvival3Y,DiscFactors3Y)+0.5*SUMPRODUCT(PDefault3Y,DiscFactors3Y))</f>
        <v>2773790.8718775292</v>
      </c>
      <c r="T16" s="81">
        <f t="shared" si="21"/>
        <v>29.999996093749516</v>
      </c>
      <c r="U16" s="18">
        <f t="shared" si="22"/>
        <v>2.9999996093749517E-3</v>
      </c>
      <c r="V16" s="18">
        <f t="shared" si="23"/>
        <v>-3.9062504836664957E-10</v>
      </c>
      <c r="W16" s="17"/>
      <c r="X16" s="24">
        <f t="shared" si="16"/>
        <v>3</v>
      </c>
      <c r="Y16" s="25" cm="1">
        <f t="array" ref="Y16">flatInterpolation(X16,$S$4:$S$9,$T$4:$T$9)</f>
        <v>5.0000000000000001E-3</v>
      </c>
      <c r="Z16" s="26">
        <f t="shared" si="2"/>
        <v>0.9851119396030632</v>
      </c>
      <c r="AA16" s="26">
        <f t="shared" si="3"/>
        <v>1.2321598639812859E-3</v>
      </c>
      <c r="AB16" s="27" cm="1">
        <f t="array" ref="AB16">cubicInterpolation(CurveResults.Times,CurveResults.DFs,$X16)</f>
        <v>0.87931148332785924</v>
      </c>
      <c r="AG16" s="24">
        <f t="shared" si="17"/>
        <v>3</v>
      </c>
      <c r="AI16" s="18" cm="1">
        <f t="array" ref="AI16">flatInterpolation($AG16,$S$4:$S$9,AH$5:AH$10)</f>
        <v>5.0000000000000001E-3</v>
      </c>
      <c r="AJ16" s="26">
        <f t="shared" si="4"/>
        <v>0.98511184109187389</v>
      </c>
      <c r="AK16" s="122">
        <f t="shared" si="5"/>
        <v>1.2321597407652929E-3</v>
      </c>
      <c r="AL16" s="116"/>
      <c r="AM16" s="18" cm="1">
        <f t="array" ref="AM16">flatInterpolation($AG16,$S$4:$S$9,AL$5:AL$10)</f>
        <v>5.0000000000000001E-3</v>
      </c>
      <c r="AN16" s="26">
        <f t="shared" si="6"/>
        <v>0.985111841091874</v>
      </c>
      <c r="AO16" s="122">
        <f t="shared" si="7"/>
        <v>1.2321597407652929E-3</v>
      </c>
      <c r="AP16" s="116"/>
      <c r="AQ16" s="18" cm="1">
        <f t="array" ref="AQ16">flatInterpolation($AG16,$S$4:$S$9,AP$5:AP$10)</f>
        <v>5.0001000000000004E-3</v>
      </c>
      <c r="AR16" s="26">
        <f t="shared" si="8"/>
        <v>0.98511184109187389</v>
      </c>
      <c r="AS16" s="122">
        <f t="shared" si="9"/>
        <v>1.2321843993656767E-3</v>
      </c>
      <c r="AT16" s="116"/>
      <c r="AU16" s="18" cm="1">
        <f t="array" ref="AU16">flatInterpolation($AG16,$S$4:$S$9,AT$5:AT$10)</f>
        <v>5.0000000000000001E-3</v>
      </c>
      <c r="AV16" s="26">
        <f t="shared" si="10"/>
        <v>0.9851119396030632</v>
      </c>
      <c r="AW16" s="122">
        <f t="shared" si="11"/>
        <v>1.2321598639812859E-3</v>
      </c>
      <c r="AX16" s="116"/>
      <c r="AY16" s="18" cm="1">
        <f t="array" ref="AY16">flatInterpolation($AG16,$S$4:$S$9,AX$5:AX$10)</f>
        <v>5.0000000000000001E-3</v>
      </c>
      <c r="AZ16" s="26">
        <f t="shared" si="12"/>
        <v>0.9851119396030632</v>
      </c>
      <c r="BA16" s="122">
        <f t="shared" si="13"/>
        <v>1.2321598639812859E-3</v>
      </c>
      <c r="BB16" s="116"/>
      <c r="BC16" s="18" cm="1">
        <f t="array" ref="BC16">flatInterpolation($AG16,$S$4:$S$9,BB$5:BB$10)</f>
        <v>5.0000000000000001E-3</v>
      </c>
      <c r="BD16" s="26">
        <f t="shared" si="14"/>
        <v>0.9851119396030632</v>
      </c>
      <c r="BE16" s="122">
        <f t="shared" si="15"/>
        <v>1.2321598639812859E-3</v>
      </c>
    </row>
    <row r="17" spans="3:57" x14ac:dyDescent="0.3">
      <c r="C17" t="s">
        <v>153</v>
      </c>
      <c r="K17" s="34" t="s">
        <v>14</v>
      </c>
      <c r="L17" s="18">
        <f t="shared" si="18"/>
        <v>3.0000000000000001E-3</v>
      </c>
      <c r="M17" s="2">
        <f t="shared" si="19"/>
        <v>-750</v>
      </c>
      <c r="N17" s="28">
        <f>M17*SUMPRODUCT(PSurvival4Y,DiscFactors4Y)</f>
        <v>-10845.177739614403</v>
      </c>
      <c r="O17" s="4">
        <f>M17*0.5*SUMPRODUCT(PDefault4Y,DiscFactors4Y)</f>
        <v>-6.7824742505307238</v>
      </c>
      <c r="P17" s="4">
        <f>LGD*SUMPRODUCT(PDefault4Y,DiscFactors4Y)</f>
        <v>10851.958800849157</v>
      </c>
      <c r="Q17" s="5">
        <f t="shared" si="20"/>
        <v>-1.4130157760519069E-3</v>
      </c>
      <c r="S17" s="3">
        <f>Notional*YearFraction*(SUMPRODUCT(PSurvival4Y,DiscFactors4Y)+0.5*SUMPRODUCT(PDefault4Y,DiscFactors4Y))</f>
        <v>3617320.0712883109</v>
      </c>
      <c r="T17" s="81">
        <f t="shared" si="21"/>
        <v>29.999996093749662</v>
      </c>
      <c r="U17" s="18">
        <f t="shared" si="22"/>
        <v>2.999999609374966E-3</v>
      </c>
      <c r="V17" s="18">
        <f t="shared" si="23"/>
        <v>-3.906250340551809E-10</v>
      </c>
      <c r="W17" s="17"/>
      <c r="X17" s="24">
        <f t="shared" si="16"/>
        <v>3.25</v>
      </c>
      <c r="Y17" s="25" cm="1">
        <f t="array" ref="Y17">flatInterpolation(X17,$S$4:$S$9,$T$4:$T$9)</f>
        <v>5.0000000000000001E-3</v>
      </c>
      <c r="Z17" s="26">
        <f t="shared" si="2"/>
        <v>0.98388131897668796</v>
      </c>
      <c r="AA17" s="26">
        <f t="shared" si="3"/>
        <v>1.2306206263752451E-3</v>
      </c>
      <c r="AB17" s="27" cm="1">
        <f t="array" ref="AB17">cubicInterpolation(CurveResults.Times,CurveResults.DFs,$X17)</f>
        <v>0.87078171535403615</v>
      </c>
      <c r="AG17" s="24">
        <f t="shared" si="17"/>
        <v>3.25</v>
      </c>
      <c r="AI17" s="18" cm="1">
        <f t="array" ref="AI17">flatInterpolation($AG17,$S$4:$S$9,AH$5:AH$10)</f>
        <v>5.0000000000000001E-3</v>
      </c>
      <c r="AJ17" s="26">
        <f t="shared" si="4"/>
        <v>0.98388122058856076</v>
      </c>
      <c r="AK17" s="122">
        <f t="shared" si="5"/>
        <v>1.230620503313129E-3</v>
      </c>
      <c r="AL17" s="116"/>
      <c r="AM17" s="18" cm="1">
        <f t="array" ref="AM17">flatInterpolation($AG17,$S$4:$S$9,AL$5:AL$10)</f>
        <v>5.0000000000000001E-3</v>
      </c>
      <c r="AN17" s="26">
        <f t="shared" si="6"/>
        <v>0.98388122058856087</v>
      </c>
      <c r="AO17" s="122">
        <f t="shared" si="7"/>
        <v>1.230620503313129E-3</v>
      </c>
      <c r="AP17" s="116"/>
      <c r="AQ17" s="18" cm="1">
        <f t="array" ref="AQ17">flatInterpolation($AG17,$S$4:$S$9,AP$5:AP$10)</f>
        <v>5.0000000000000001E-3</v>
      </c>
      <c r="AR17" s="26">
        <f t="shared" si="8"/>
        <v>0.98388122058856076</v>
      </c>
      <c r="AS17" s="122">
        <f t="shared" si="9"/>
        <v>1.230620503313129E-3</v>
      </c>
      <c r="AT17" s="116"/>
      <c r="AU17" s="18" cm="1">
        <f t="array" ref="AU17">flatInterpolation($AG17,$S$4:$S$9,AT$5:AT$10)</f>
        <v>5.0001000000000004E-3</v>
      </c>
      <c r="AV17" s="26">
        <f t="shared" si="10"/>
        <v>0.98388129437965521</v>
      </c>
      <c r="AW17" s="122">
        <f t="shared" si="11"/>
        <v>1.230645223407989E-3</v>
      </c>
      <c r="AX17" s="116"/>
      <c r="AY17" s="18" cm="1">
        <f t="array" ref="AY17">flatInterpolation($AG17,$S$4:$S$9,AX$5:AX$10)</f>
        <v>5.0000000000000001E-3</v>
      </c>
      <c r="AZ17" s="26">
        <f t="shared" si="12"/>
        <v>0.98388131897668796</v>
      </c>
      <c r="BA17" s="122">
        <f t="shared" si="13"/>
        <v>1.2306206263752451E-3</v>
      </c>
      <c r="BB17" s="116"/>
      <c r="BC17" s="18" cm="1">
        <f t="array" ref="BC17">flatInterpolation($AG17,$S$4:$S$9,BB$5:BB$10)</f>
        <v>5.0000000000000001E-3</v>
      </c>
      <c r="BD17" s="26">
        <f t="shared" si="14"/>
        <v>0.98388131897668796</v>
      </c>
      <c r="BE17" s="122">
        <f t="shared" si="15"/>
        <v>1.2306206263752451E-3</v>
      </c>
    </row>
    <row r="18" spans="3:57" x14ac:dyDescent="0.3">
      <c r="C18" t="s">
        <v>154</v>
      </c>
      <c r="K18" s="34" t="s">
        <v>15</v>
      </c>
      <c r="L18" s="18">
        <f t="shared" si="18"/>
        <v>3.0000000000000001E-3</v>
      </c>
      <c r="M18" s="2">
        <f t="shared" si="19"/>
        <v>-750</v>
      </c>
      <c r="N18" s="28">
        <f>M18*SUMPRODUCT(PSurvival5Y,DiscFactors5Y)</f>
        <v>-13268.129516371269</v>
      </c>
      <c r="O18" s="4">
        <f>M18*0.5*SUMPRODUCT(PDefault5Y,DiscFactors5Y)</f>
        <v>-8.2977659710253988</v>
      </c>
      <c r="P18" s="4">
        <f>LGD*SUMPRODUCT(PDefault5Y,DiscFactors5Y)</f>
        <v>13276.425553640638</v>
      </c>
      <c r="Q18" s="5">
        <f t="shared" si="20"/>
        <v>-1.728701656247722E-3</v>
      </c>
      <c r="S18" s="3">
        <f>Notional*YearFraction*(SUMPRODUCT(PSurvival5Y,DiscFactors5Y)+0.5*SUMPRODUCT(PDefault5Y,DiscFactors5Y))</f>
        <v>4425475.7607807647</v>
      </c>
      <c r="T18" s="81">
        <f t="shared" si="21"/>
        <v>29.999996093749576</v>
      </c>
      <c r="U18" s="18">
        <f t="shared" si="22"/>
        <v>2.9999996093749578E-3</v>
      </c>
      <c r="V18" s="18">
        <f t="shared" si="23"/>
        <v>-3.9062504229511741E-10</v>
      </c>
      <c r="W18" s="17"/>
      <c r="X18" s="24">
        <f t="shared" si="16"/>
        <v>3.5</v>
      </c>
      <c r="Y18" s="25" cm="1">
        <f t="array" ref="Y18">flatInterpolation(X18,$S$4:$S$9,$T$4:$T$9)</f>
        <v>5.0000000000000001E-3</v>
      </c>
      <c r="Z18" s="26">
        <f t="shared" si="2"/>
        <v>0.98265223566507376</v>
      </c>
      <c r="AA18" s="26">
        <f t="shared" si="3"/>
        <v>1.2290833116141986E-3</v>
      </c>
      <c r="AB18" s="27" cm="1">
        <f t="array" ref="AB18">cubicInterpolation(CurveResults.Times,CurveResults.DFs,$X18)</f>
        <v>0.86243967475051753</v>
      </c>
      <c r="AG18" s="24">
        <f t="shared" si="17"/>
        <v>3.5</v>
      </c>
      <c r="AI18" s="18" cm="1">
        <f t="array" ref="AI18">flatInterpolation($AG18,$S$4:$S$9,AH$5:AH$10)</f>
        <v>5.0000000000000001E-3</v>
      </c>
      <c r="AJ18" s="26">
        <f t="shared" si="4"/>
        <v>0.98265213739985491</v>
      </c>
      <c r="AK18" s="122">
        <f t="shared" si="5"/>
        <v>1.2290831887058484E-3</v>
      </c>
      <c r="AL18" s="116"/>
      <c r="AM18" s="18" cm="1">
        <f t="array" ref="AM18">flatInterpolation($AG18,$S$4:$S$9,AL$5:AL$10)</f>
        <v>5.0000000000000001E-3</v>
      </c>
      <c r="AN18" s="26">
        <f t="shared" si="6"/>
        <v>0.98265213739985502</v>
      </c>
      <c r="AO18" s="122">
        <f t="shared" si="7"/>
        <v>1.2290831887058484E-3</v>
      </c>
      <c r="AP18" s="116"/>
      <c r="AQ18" s="18" cm="1">
        <f t="array" ref="AQ18">flatInterpolation($AG18,$S$4:$S$9,AP$5:AP$10)</f>
        <v>5.0000000000000001E-3</v>
      </c>
      <c r="AR18" s="26">
        <f t="shared" si="8"/>
        <v>0.98265213739985491</v>
      </c>
      <c r="AS18" s="122">
        <f t="shared" si="9"/>
        <v>1.2290831887058484E-3</v>
      </c>
      <c r="AT18" s="116"/>
      <c r="AU18" s="18" cm="1">
        <f t="array" ref="AU18">flatInterpolation($AG18,$S$4:$S$9,AT$5:AT$10)</f>
        <v>5.0001000000000004E-3</v>
      </c>
      <c r="AV18" s="26">
        <f t="shared" si="10"/>
        <v>0.98265218653246311</v>
      </c>
      <c r="AW18" s="122">
        <f t="shared" si="11"/>
        <v>1.2291078471921013E-3</v>
      </c>
      <c r="AX18" s="116"/>
      <c r="AY18" s="18" cm="1">
        <f t="array" ref="AY18">flatInterpolation($AG18,$S$4:$S$9,AX$5:AX$10)</f>
        <v>5.0000000000000001E-3</v>
      </c>
      <c r="AZ18" s="26">
        <f t="shared" si="12"/>
        <v>0.98265223566507376</v>
      </c>
      <c r="BA18" s="122">
        <f t="shared" si="13"/>
        <v>1.2290833116141986E-3</v>
      </c>
      <c r="BB18" s="116"/>
      <c r="BC18" s="18" cm="1">
        <f t="array" ref="BC18">flatInterpolation($AG18,$S$4:$S$9,BB$5:BB$10)</f>
        <v>5.0000000000000001E-3</v>
      </c>
      <c r="BD18" s="26">
        <f t="shared" si="14"/>
        <v>0.98265223566507376</v>
      </c>
      <c r="BE18" s="122">
        <f t="shared" si="15"/>
        <v>1.2290833116141986E-3</v>
      </c>
    </row>
    <row r="19" spans="3:57" x14ac:dyDescent="0.3">
      <c r="C19" t="s">
        <v>330</v>
      </c>
      <c r="K19" s="35" t="s">
        <v>16</v>
      </c>
      <c r="L19" s="36">
        <f t="shared" si="18"/>
        <v>3.0000000000000001E-3</v>
      </c>
      <c r="M19" s="37">
        <f t="shared" si="19"/>
        <v>-750</v>
      </c>
      <c r="N19" s="38">
        <f>M19*SUMPRODUCT(PSurvival10Y,DiscFactors10Y)</f>
        <v>-23956.535135558403</v>
      </c>
      <c r="O19" s="7">
        <f>M19*0.5*SUMPRODUCT(PDefault10Y,DiscFactors10Y)</f>
        <v>-14.982196381655186</v>
      </c>
      <c r="P19" s="7">
        <f>LGD*SUMPRODUCT(PDefault10Y,DiscFactors10Y)</f>
        <v>23971.514210648296</v>
      </c>
      <c r="Q19" s="8">
        <f t="shared" si="20"/>
        <v>-3.1212917601806112E-3</v>
      </c>
      <c r="S19" s="6">
        <f>Notional*YearFraction*(SUMPRODUCT(PSurvival10Y,DiscFactors10Y)+0.5*SUMPRODUCT(PDefault10Y,DiscFactors10Y))</f>
        <v>7990505.7773133526</v>
      </c>
      <c r="T19" s="82">
        <f t="shared" si="21"/>
        <v>29.999996093749449</v>
      </c>
      <c r="U19" s="18">
        <f t="shared" si="22"/>
        <v>2.9999996093749448E-3</v>
      </c>
      <c r="V19" s="18">
        <f t="shared" si="23"/>
        <v>-3.9062505530554348E-10</v>
      </c>
      <c r="W19" s="17"/>
      <c r="X19" s="24">
        <f t="shared" si="16"/>
        <v>3.75</v>
      </c>
      <c r="Y19" s="25" cm="1">
        <f t="array" ref="Y19">flatInterpolation(X19,$S$4:$S$9,$T$4:$T$9)</f>
        <v>5.0000000000000001E-3</v>
      </c>
      <c r="Z19" s="26">
        <f t="shared" si="2"/>
        <v>0.98142468774777769</v>
      </c>
      <c r="AA19" s="26">
        <f t="shared" si="3"/>
        <v>1.2275479172960679E-3</v>
      </c>
      <c r="AB19" s="27" cm="1">
        <f t="array" ref="AB19">cubicInterpolation(CurveResults.Times,CurveResults.DFs,$X19)</f>
        <v>0.85424590030706427</v>
      </c>
      <c r="AG19" s="24">
        <f t="shared" si="17"/>
        <v>3.75</v>
      </c>
      <c r="AI19" s="18" cm="1">
        <f t="array" ref="AI19">flatInterpolation($AG19,$S$4:$S$9,AH$5:AH$10)</f>
        <v>5.0000000000000001E-3</v>
      </c>
      <c r="AJ19" s="26">
        <f t="shared" si="4"/>
        <v>0.98142458960531365</v>
      </c>
      <c r="AK19" s="122">
        <f t="shared" si="5"/>
        <v>1.2275477945412616E-3</v>
      </c>
      <c r="AL19" s="116"/>
      <c r="AM19" s="18" cm="1">
        <f t="array" ref="AM19">flatInterpolation($AG19,$S$4:$S$9,AL$5:AL$10)</f>
        <v>5.0000000000000001E-3</v>
      </c>
      <c r="AN19" s="26">
        <f t="shared" si="6"/>
        <v>0.98142458960531376</v>
      </c>
      <c r="AO19" s="122">
        <f t="shared" si="7"/>
        <v>1.2275477945412616E-3</v>
      </c>
      <c r="AP19" s="116"/>
      <c r="AQ19" s="18" cm="1">
        <f t="array" ref="AQ19">flatInterpolation($AG19,$S$4:$S$9,AP$5:AP$10)</f>
        <v>5.0000000000000001E-3</v>
      </c>
      <c r="AR19" s="26">
        <f t="shared" si="8"/>
        <v>0.98142458960531365</v>
      </c>
      <c r="AS19" s="122">
        <f t="shared" si="9"/>
        <v>1.2275477945412616E-3</v>
      </c>
      <c r="AT19" s="116"/>
      <c r="AU19" s="18" cm="1">
        <f t="array" ref="AU19">flatInterpolation($AG19,$S$4:$S$9,AT$5:AT$10)</f>
        <v>5.0001000000000004E-3</v>
      </c>
      <c r="AV19" s="26">
        <f t="shared" si="10"/>
        <v>0.98142461414092874</v>
      </c>
      <c r="AW19" s="122">
        <f t="shared" si="11"/>
        <v>1.2275723915343706E-3</v>
      </c>
      <c r="AX19" s="116"/>
      <c r="AY19" s="18" cm="1">
        <f t="array" ref="AY19">flatInterpolation($AG19,$S$4:$S$9,AX$5:AX$10)</f>
        <v>5.0000000000000001E-3</v>
      </c>
      <c r="AZ19" s="26">
        <f t="shared" si="12"/>
        <v>0.98142468774777769</v>
      </c>
      <c r="BA19" s="122">
        <f t="shared" si="13"/>
        <v>1.2275479172960679E-3</v>
      </c>
      <c r="BB19" s="116"/>
      <c r="BC19" s="18" cm="1">
        <f t="array" ref="BC19">flatInterpolation($AG19,$S$4:$S$9,BB$5:BB$10)</f>
        <v>5.0000000000000001E-3</v>
      </c>
      <c r="BD19" s="26">
        <f t="shared" si="14"/>
        <v>0.98142468774777769</v>
      </c>
      <c r="BE19" s="122">
        <f t="shared" si="15"/>
        <v>1.2275479172960679E-3</v>
      </c>
    </row>
    <row r="20" spans="3:57" x14ac:dyDescent="0.3">
      <c r="C20" t="s">
        <v>331</v>
      </c>
      <c r="X20" s="24">
        <f t="shared" si="16"/>
        <v>4</v>
      </c>
      <c r="Y20" s="25" cm="1">
        <f t="array" ref="Y20">flatInterpolation(X20,$S$4:$S$9,$T$4:$T$9)</f>
        <v>5.0000000000000001E-3</v>
      </c>
      <c r="Z20" s="26">
        <f t="shared" si="2"/>
        <v>0.98019867330675592</v>
      </c>
      <c r="AA20" s="26">
        <f t="shared" si="3"/>
        <v>1.2260144410217722E-3</v>
      </c>
      <c r="AB20" s="27" cm="1">
        <f t="array" ref="AB20">cubicInterpolation(CurveResults.Times,CurveResults.DFs,$X20)</f>
        <v>0.84616093081343713</v>
      </c>
      <c r="AG20" s="24">
        <f t="shared" si="17"/>
        <v>4</v>
      </c>
      <c r="AI20" s="18" cm="1">
        <f t="array" ref="AI20">flatInterpolation($AG20,$S$4:$S$9,AH$5:AH$10)</f>
        <v>5.0000000000000001E-3</v>
      </c>
      <c r="AJ20" s="26">
        <f t="shared" si="4"/>
        <v>0.98019857528689336</v>
      </c>
      <c r="AK20" s="122">
        <f t="shared" si="5"/>
        <v>1.2260143184202876E-3</v>
      </c>
      <c r="AL20" s="116"/>
      <c r="AM20" s="18" cm="1">
        <f t="array" ref="AM20">flatInterpolation($AG20,$S$4:$S$9,AL$5:AL$10)</f>
        <v>5.0000000000000001E-3</v>
      </c>
      <c r="AN20" s="26">
        <f t="shared" si="6"/>
        <v>0.98019857528689347</v>
      </c>
      <c r="AO20" s="122">
        <f t="shared" si="7"/>
        <v>1.2260143184202876E-3</v>
      </c>
      <c r="AP20" s="116"/>
      <c r="AQ20" s="18" cm="1">
        <f t="array" ref="AQ20">flatInterpolation($AG20,$S$4:$S$9,AP$5:AP$10)</f>
        <v>5.0000000000000001E-3</v>
      </c>
      <c r="AR20" s="26">
        <f t="shared" si="8"/>
        <v>0.98019857528689336</v>
      </c>
      <c r="AS20" s="122">
        <f t="shared" si="9"/>
        <v>1.2260143184202876E-3</v>
      </c>
      <c r="AT20" s="116"/>
      <c r="AU20" s="18" cm="1">
        <f t="array" ref="AU20">flatInterpolation($AG20,$S$4:$S$9,AT$5:AT$10)</f>
        <v>5.0001000000000004E-3</v>
      </c>
      <c r="AV20" s="26">
        <f t="shared" si="10"/>
        <v>0.98019857528689336</v>
      </c>
      <c r="AW20" s="122">
        <f t="shared" si="11"/>
        <v>1.2260388540353828E-3</v>
      </c>
      <c r="AX20" s="116"/>
      <c r="AY20" s="18" cm="1">
        <f t="array" ref="AY20">flatInterpolation($AG20,$S$4:$S$9,AX$5:AX$10)</f>
        <v>5.0000000000000001E-3</v>
      </c>
      <c r="AZ20" s="26">
        <f t="shared" si="12"/>
        <v>0.98019867330675592</v>
      </c>
      <c r="BA20" s="122">
        <f t="shared" si="13"/>
        <v>1.2260144410217722E-3</v>
      </c>
      <c r="BB20" s="116"/>
      <c r="BC20" s="18" cm="1">
        <f t="array" ref="BC20">flatInterpolation($AG20,$S$4:$S$9,BB$5:BB$10)</f>
        <v>5.0000000000000001E-3</v>
      </c>
      <c r="BD20" s="26">
        <f t="shared" si="14"/>
        <v>0.98019867330675592</v>
      </c>
      <c r="BE20" s="122">
        <f t="shared" si="15"/>
        <v>1.2260144410217722E-3</v>
      </c>
    </row>
    <row r="21" spans="3:57" x14ac:dyDescent="0.3">
      <c r="X21" s="24">
        <f t="shared" si="16"/>
        <v>4.25</v>
      </c>
      <c r="Y21" s="25" cm="1">
        <f t="array" ref="Y21">flatInterpolation(X21,$S$4:$S$9,$T$4:$T$9)</f>
        <v>5.0000000000000001E-3</v>
      </c>
      <c r="Z21" s="26">
        <f t="shared" si="2"/>
        <v>0.97897419042636069</v>
      </c>
      <c r="AA21" s="26">
        <f t="shared" si="3"/>
        <v>1.2244828803952279E-3</v>
      </c>
      <c r="AB21" s="27" cm="1">
        <f t="array" ref="AB21">cubicInterpolation(CurveResults.Times,CurveResults.DFs,$X21)</f>
        <v>0.83819214507342643</v>
      </c>
      <c r="AG21" s="24">
        <f t="shared" si="17"/>
        <v>4.25</v>
      </c>
      <c r="AI21" s="18" cm="1">
        <f t="array" ref="AI21">flatInterpolation($AG21,$S$4:$S$9,AH$5:AH$10)</f>
        <v>5.0000000000000001E-3</v>
      </c>
      <c r="AJ21" s="26">
        <f t="shared" si="4"/>
        <v>0.9789740925289464</v>
      </c>
      <c r="AK21" s="122">
        <f t="shared" si="5"/>
        <v>1.2244827579469542E-3</v>
      </c>
      <c r="AL21" s="116"/>
      <c r="AM21" s="18" cm="1">
        <f t="array" ref="AM21">flatInterpolation($AG21,$S$4:$S$9,AL$5:AL$10)</f>
        <v>5.0000000000000001E-3</v>
      </c>
      <c r="AN21" s="26">
        <f t="shared" si="6"/>
        <v>0.97897409252894652</v>
      </c>
      <c r="AO21" s="122">
        <f t="shared" si="7"/>
        <v>1.2244827579469542E-3</v>
      </c>
      <c r="AP21" s="116"/>
      <c r="AQ21" s="18" cm="1">
        <f t="array" ref="AQ21">flatInterpolation($AG21,$S$4:$S$9,AP$5:AP$10)</f>
        <v>5.0000000000000001E-3</v>
      </c>
      <c r="AR21" s="26">
        <f t="shared" si="8"/>
        <v>0.9789740925289464</v>
      </c>
      <c r="AS21" s="122">
        <f t="shared" si="9"/>
        <v>1.2244827579469542E-3</v>
      </c>
      <c r="AT21" s="116"/>
      <c r="AU21" s="18" cm="1">
        <f t="array" ref="AU21">flatInterpolation($AG21,$S$4:$S$9,AT$5:AT$10)</f>
        <v>5.0000000000000001E-3</v>
      </c>
      <c r="AV21" s="26">
        <f t="shared" si="10"/>
        <v>0.9789740925289464</v>
      </c>
      <c r="AW21" s="122">
        <f t="shared" si="11"/>
        <v>1.2244827579469542E-3</v>
      </c>
      <c r="AX21" s="116"/>
      <c r="AY21" s="18" cm="1">
        <f t="array" ref="AY21">flatInterpolation($AG21,$S$4:$S$9,AX$5:AX$10)</f>
        <v>5.0001000000000004E-3</v>
      </c>
      <c r="AZ21" s="26">
        <f t="shared" si="12"/>
        <v>0.97897416595200615</v>
      </c>
      <c r="BA21" s="122">
        <f t="shared" si="13"/>
        <v>1.2245073547497709E-3</v>
      </c>
      <c r="BB21" s="116"/>
      <c r="BC21" s="18" cm="1">
        <f t="array" ref="BC21">flatInterpolation($AG21,$S$4:$S$9,BB$5:BB$10)</f>
        <v>5.0000000000000001E-3</v>
      </c>
      <c r="BD21" s="26">
        <f t="shared" si="14"/>
        <v>0.97897419042636069</v>
      </c>
      <c r="BE21" s="122">
        <f t="shared" si="15"/>
        <v>1.2244828803952279E-3</v>
      </c>
    </row>
    <row r="22" spans="3:57" x14ac:dyDescent="0.3">
      <c r="K22" s="1" t="s">
        <v>157</v>
      </c>
      <c r="M22" s="1"/>
      <c r="N22" s="1"/>
      <c r="O22" s="56" t="s">
        <v>145</v>
      </c>
      <c r="Q22" s="2" t="s">
        <v>43</v>
      </c>
      <c r="S22" s="1" t="s">
        <v>155</v>
      </c>
      <c r="X22" s="24">
        <f t="shared" si="16"/>
        <v>4.5</v>
      </c>
      <c r="Y22" s="25" cm="1">
        <f t="array" ref="Y22">flatInterpolation(X22,$S$4:$S$9,$T$4:$T$9)</f>
        <v>5.0000000000000001E-3</v>
      </c>
      <c r="Z22" s="26">
        <f t="shared" si="2"/>
        <v>0.97775123719333712</v>
      </c>
      <c r="AA22" s="26">
        <f t="shared" si="3"/>
        <v>1.2229532330235715E-3</v>
      </c>
      <c r="AB22" s="27" cm="1">
        <f t="array" ref="AB22">cubicInterpolation(CurveResults.Times,CurveResults.DFs,$X22)</f>
        <v>0.8303546218014306</v>
      </c>
      <c r="AG22" s="24">
        <f t="shared" si="17"/>
        <v>4.5</v>
      </c>
      <c r="AI22" s="18" cm="1">
        <f t="array" ref="AI22">flatInterpolation($AG22,$S$4:$S$9,AH$5:AH$10)</f>
        <v>5.0000000000000001E-3</v>
      </c>
      <c r="AJ22" s="26">
        <f t="shared" si="4"/>
        <v>0.97775113941821812</v>
      </c>
      <c r="AK22" s="122">
        <f t="shared" si="5"/>
        <v>1.2229531107282865E-3</v>
      </c>
      <c r="AL22" s="116"/>
      <c r="AM22" s="18" cm="1">
        <f t="array" ref="AM22">flatInterpolation($AG22,$S$4:$S$9,AL$5:AL$10)</f>
        <v>5.0000000000000001E-3</v>
      </c>
      <c r="AN22" s="26">
        <f t="shared" si="6"/>
        <v>0.97775113941821823</v>
      </c>
      <c r="AO22" s="122">
        <f t="shared" si="7"/>
        <v>1.2229531107282865E-3</v>
      </c>
      <c r="AP22" s="116"/>
      <c r="AQ22" s="18" cm="1">
        <f t="array" ref="AQ22">flatInterpolation($AG22,$S$4:$S$9,AP$5:AP$10)</f>
        <v>5.0000000000000001E-3</v>
      </c>
      <c r="AR22" s="26">
        <f t="shared" si="8"/>
        <v>0.97775113941821812</v>
      </c>
      <c r="AS22" s="122">
        <f t="shared" si="9"/>
        <v>1.2229531107282865E-3</v>
      </c>
      <c r="AT22" s="116"/>
      <c r="AU22" s="18" cm="1">
        <f t="array" ref="AU22">flatInterpolation($AG22,$S$4:$S$9,AT$5:AT$10)</f>
        <v>5.0000000000000001E-3</v>
      </c>
      <c r="AV22" s="26">
        <f t="shared" si="10"/>
        <v>0.97775113941821812</v>
      </c>
      <c r="AW22" s="122">
        <f t="shared" si="11"/>
        <v>1.2229531107282865E-3</v>
      </c>
      <c r="AX22" s="116"/>
      <c r="AY22" s="18" cm="1">
        <f t="array" ref="AY22">flatInterpolation($AG22,$S$4:$S$9,AX$5:AX$10)</f>
        <v>5.0001000000000004E-3</v>
      </c>
      <c r="AZ22" s="26">
        <f t="shared" si="12"/>
        <v>0.97775118830577634</v>
      </c>
      <c r="BA22" s="122">
        <f t="shared" si="13"/>
        <v>1.2229776462298059E-3</v>
      </c>
      <c r="BB22" s="116"/>
      <c r="BC22" s="18" cm="1">
        <f t="array" ref="BC22">flatInterpolation($AG22,$S$4:$S$9,BB$5:BB$10)</f>
        <v>5.0000000000000001E-3</v>
      </c>
      <c r="BD22" s="26">
        <f t="shared" si="14"/>
        <v>0.97775123719333712</v>
      </c>
      <c r="BE22" s="122">
        <f t="shared" si="15"/>
        <v>1.2229532330235715E-3</v>
      </c>
    </row>
    <row r="23" spans="3:57" ht="16.8" x14ac:dyDescent="0.35">
      <c r="K23" t="s">
        <v>44</v>
      </c>
      <c r="N23" s="1"/>
      <c r="O23" s="57">
        <v>1E-8</v>
      </c>
      <c r="Q23" s="58">
        <f>SQRT(SUMPRODUCT(Q27:Q32,Q27:Q32))</f>
        <v>1.5947207268946779E-9</v>
      </c>
      <c r="S23" s="2" t="s">
        <v>156</v>
      </c>
      <c r="T23" s="2" t="s">
        <v>20</v>
      </c>
      <c r="X23" s="24">
        <f t="shared" si="16"/>
        <v>4.75</v>
      </c>
      <c r="Y23" s="25" cm="1">
        <f t="array" ref="Y23">flatInterpolation(X23,$S$4:$S$9,$T$4:$T$9)</f>
        <v>5.0000000000000001E-3</v>
      </c>
      <c r="Z23" s="26">
        <f t="shared" si="2"/>
        <v>0.97652981169682063</v>
      </c>
      <c r="AA23" s="26">
        <f t="shared" si="3"/>
        <v>1.2214254965164928E-3</v>
      </c>
      <c r="AB23" s="27" cm="1">
        <f t="array" ref="AB23">cubicInterpolation(CurveResults.Times,CurveResults.DFs,$X23)</f>
        <v>0.82262044965312253</v>
      </c>
      <c r="AG23" s="24">
        <f t="shared" si="17"/>
        <v>4.75</v>
      </c>
      <c r="AI23" s="18" cm="1">
        <f t="array" ref="AI23">flatInterpolation($AG23,$S$4:$S$9,AH$5:AH$10)</f>
        <v>5.0000000000000001E-3</v>
      </c>
      <c r="AJ23" s="26">
        <f t="shared" si="4"/>
        <v>0.97652971404384414</v>
      </c>
      <c r="AK23" s="122">
        <f t="shared" si="5"/>
        <v>1.2214253743739745E-3</v>
      </c>
      <c r="AL23" s="116"/>
      <c r="AM23" s="18" cm="1">
        <f t="array" ref="AM23">flatInterpolation($AG23,$S$4:$S$9,AL$5:AL$10)</f>
        <v>5.0000000000000001E-3</v>
      </c>
      <c r="AN23" s="26">
        <f t="shared" si="6"/>
        <v>0.97652971404384425</v>
      </c>
      <c r="AO23" s="122">
        <f t="shared" si="7"/>
        <v>1.2214253743739745E-3</v>
      </c>
      <c r="AP23" s="116"/>
      <c r="AQ23" s="18" cm="1">
        <f t="array" ref="AQ23">flatInterpolation($AG23,$S$4:$S$9,AP$5:AP$10)</f>
        <v>5.0000000000000001E-3</v>
      </c>
      <c r="AR23" s="26">
        <f t="shared" si="8"/>
        <v>0.97652971404384414</v>
      </c>
      <c r="AS23" s="122">
        <f t="shared" si="9"/>
        <v>1.2214253743739745E-3</v>
      </c>
      <c r="AT23" s="116"/>
      <c r="AU23" s="18" cm="1">
        <f t="array" ref="AU23">flatInterpolation($AG23,$S$4:$S$9,AT$5:AT$10)</f>
        <v>5.0000000000000001E-3</v>
      </c>
      <c r="AV23" s="26">
        <f t="shared" si="10"/>
        <v>0.97652971404384414</v>
      </c>
      <c r="AW23" s="122">
        <f t="shared" si="11"/>
        <v>1.2214253743739745E-3</v>
      </c>
      <c r="AX23" s="116"/>
      <c r="AY23" s="18" cm="1">
        <f t="array" ref="AY23">flatInterpolation($AG23,$S$4:$S$9,AX$5:AX$10)</f>
        <v>5.0001000000000004E-3</v>
      </c>
      <c r="AZ23" s="26">
        <f t="shared" si="12"/>
        <v>0.97652973845708724</v>
      </c>
      <c r="BA23" s="122">
        <f t="shared" si="13"/>
        <v>1.2214498486891046E-3</v>
      </c>
      <c r="BB23" s="116"/>
      <c r="BC23" s="18" cm="1">
        <f t="array" ref="BC23">flatInterpolation($AG23,$S$4:$S$9,BB$5:BB$10)</f>
        <v>5.0000000000000001E-3</v>
      </c>
      <c r="BD23" s="26">
        <f t="shared" si="14"/>
        <v>0.97652981169682063</v>
      </c>
      <c r="BE23" s="122">
        <f t="shared" si="15"/>
        <v>1.2214254965164928E-3</v>
      </c>
    </row>
    <row r="24" spans="3:57" x14ac:dyDescent="0.3">
      <c r="S24" s="17">
        <v>0</v>
      </c>
      <c r="T24" s="18" cm="1">
        <f t="array" ref="T24">flatInterpolation(S24,Calibration.Times,Calibration.HazardRates)</f>
        <v>5.0000000000000001E-3</v>
      </c>
      <c r="X24" s="24">
        <f t="shared" si="16"/>
        <v>5</v>
      </c>
      <c r="Y24" s="25" cm="1">
        <f t="array" ref="Y24">flatInterpolation(X24,$S$4:$S$9,$T$4:$T$9)</f>
        <v>5.0000000000000001E-3</v>
      </c>
      <c r="Z24" s="26">
        <f t="shared" si="2"/>
        <v>0.9753099120283335</v>
      </c>
      <c r="AA24" s="26">
        <f t="shared" si="3"/>
        <v>1.2198996684871233E-3</v>
      </c>
      <c r="AB24" s="27" cm="1">
        <f t="array" ref="AB24">cubicInterpolation(CurveResults.Times,CurveResults.DFs,$X24)</f>
        <v>0.81496171728417521</v>
      </c>
      <c r="AG24" s="24">
        <f t="shared" si="17"/>
        <v>5</v>
      </c>
      <c r="AI24" s="18" cm="1">
        <f t="array" ref="AI24">flatInterpolation($AG24,$S$4:$S$9,AH$5:AH$10)</f>
        <v>5.0000000000000001E-3</v>
      </c>
      <c r="AJ24" s="26">
        <f t="shared" si="4"/>
        <v>0.97530981449734699</v>
      </c>
      <c r="AK24" s="122">
        <f t="shared" si="5"/>
        <v>1.2198995464971496E-3</v>
      </c>
      <c r="AL24" s="116"/>
      <c r="AM24" s="18" cm="1">
        <f t="array" ref="AM24">flatInterpolation($AG24,$S$4:$S$9,AL$5:AL$10)</f>
        <v>5.0000000000000001E-3</v>
      </c>
      <c r="AN24" s="26">
        <f t="shared" si="6"/>
        <v>0.97530981449734711</v>
      </c>
      <c r="AO24" s="122">
        <f t="shared" si="7"/>
        <v>1.2198995464971496E-3</v>
      </c>
      <c r="AP24" s="116"/>
      <c r="AQ24" s="18" cm="1">
        <f t="array" ref="AQ24">flatInterpolation($AG24,$S$4:$S$9,AP$5:AP$10)</f>
        <v>5.0000000000000001E-3</v>
      </c>
      <c r="AR24" s="26">
        <f t="shared" si="8"/>
        <v>0.97530981449734699</v>
      </c>
      <c r="AS24" s="122">
        <f t="shared" si="9"/>
        <v>1.2198995464971496E-3</v>
      </c>
      <c r="AT24" s="116"/>
      <c r="AU24" s="18" cm="1">
        <f t="array" ref="AU24">flatInterpolation($AG24,$S$4:$S$9,AT$5:AT$10)</f>
        <v>5.0000000000000001E-3</v>
      </c>
      <c r="AV24" s="26">
        <f t="shared" si="10"/>
        <v>0.97530981449734699</v>
      </c>
      <c r="AW24" s="122">
        <f t="shared" si="11"/>
        <v>1.2198995464971496E-3</v>
      </c>
      <c r="AX24" s="116"/>
      <c r="AY24" s="18" cm="1">
        <f t="array" ref="AY24">flatInterpolation($AG24,$S$4:$S$9,AX$5:AX$10)</f>
        <v>5.0001000000000004E-3</v>
      </c>
      <c r="AZ24" s="26">
        <f t="shared" si="12"/>
        <v>0.97530981449734688</v>
      </c>
      <c r="BA24" s="122">
        <f t="shared" si="13"/>
        <v>1.2199239597403544E-3</v>
      </c>
      <c r="BB24" s="116"/>
      <c r="BC24" s="18" cm="1">
        <f t="array" ref="BC24">flatInterpolation($AG24,$S$4:$S$9,BB$5:BB$10)</f>
        <v>5.0000000000000001E-3</v>
      </c>
      <c r="BD24" s="26">
        <f t="shared" si="14"/>
        <v>0.9753099120283335</v>
      </c>
      <c r="BE24" s="122">
        <f t="shared" si="15"/>
        <v>1.2198996684871233E-3</v>
      </c>
    </row>
    <row r="25" spans="3:57" x14ac:dyDescent="0.3">
      <c r="K25" s="43" t="s">
        <v>338</v>
      </c>
      <c r="M25" s="1"/>
      <c r="O25" s="164" t="s">
        <v>146</v>
      </c>
      <c r="R25" s="2"/>
      <c r="S25" s="17">
        <v>1</v>
      </c>
      <c r="T25" s="18" cm="1">
        <f t="array" ref="T25">flatInterpolation(S25,Calibration.Times,Calibration.HazardRates)</f>
        <v>5.0000000000000001E-3</v>
      </c>
      <c r="X25" s="24">
        <f t="shared" si="16"/>
        <v>5.25</v>
      </c>
      <c r="Y25" s="25" cm="1">
        <f t="array" ref="Y25">flatInterpolation(X25,$S$4:$S$9,$T$4:$T$9)</f>
        <v>5.0000000000000001E-3</v>
      </c>
      <c r="Z25" s="26">
        <f t="shared" si="2"/>
        <v>0.97409153628178236</v>
      </c>
      <c r="AA25" s="26">
        <f t="shared" si="3"/>
        <v>1.218375746551148E-3</v>
      </c>
      <c r="AB25" s="27" cm="1">
        <f t="array" ref="AB25">cubicInterpolation(CurveResults.Times,CurveResults.DFs,$X25)</f>
        <v>0.80737798558678209</v>
      </c>
      <c r="AG25" s="24">
        <f t="shared" si="17"/>
        <v>5.25</v>
      </c>
      <c r="AI25" s="18" cm="1">
        <f t="array" ref="AI25">flatInterpolation($AG25,$S$4:$S$9,AH$5:AH$10)</f>
        <v>5.0000000000000001E-3</v>
      </c>
      <c r="AJ25" s="26">
        <f t="shared" si="4"/>
        <v>0.9740914388726335</v>
      </c>
      <c r="AK25" s="122">
        <f t="shared" si="5"/>
        <v>1.2183756247134969E-3</v>
      </c>
      <c r="AL25" s="116"/>
      <c r="AM25" s="18" cm="1">
        <f t="array" ref="AM25">flatInterpolation($AG25,$S$4:$S$9,AL$5:AL$10)</f>
        <v>5.0000000000000001E-3</v>
      </c>
      <c r="AN25" s="26">
        <f t="shared" si="6"/>
        <v>0.97409143887263361</v>
      </c>
      <c r="AO25" s="122">
        <f t="shared" si="7"/>
        <v>1.2183756247134969E-3</v>
      </c>
      <c r="AP25" s="116"/>
      <c r="AQ25" s="18" cm="1">
        <f t="array" ref="AQ25">flatInterpolation($AG25,$S$4:$S$9,AP$5:AP$10)</f>
        <v>5.0000000000000001E-3</v>
      </c>
      <c r="AR25" s="26">
        <f t="shared" si="8"/>
        <v>0.9740914388726335</v>
      </c>
      <c r="AS25" s="122">
        <f t="shared" si="9"/>
        <v>1.2183756247134969E-3</v>
      </c>
      <c r="AT25" s="116"/>
      <c r="AU25" s="18" cm="1">
        <f t="array" ref="AU25">flatInterpolation($AG25,$S$4:$S$9,AT$5:AT$10)</f>
        <v>5.0000000000000001E-3</v>
      </c>
      <c r="AV25" s="26">
        <f t="shared" si="10"/>
        <v>0.9740914388726335</v>
      </c>
      <c r="AW25" s="122">
        <f t="shared" si="11"/>
        <v>1.2183756247134969E-3</v>
      </c>
      <c r="AX25" s="116"/>
      <c r="AY25" s="18" cm="1">
        <f t="array" ref="AY25">flatInterpolation($AG25,$S$4:$S$9,AX$5:AX$10)</f>
        <v>5.0000000000000001E-3</v>
      </c>
      <c r="AZ25" s="26">
        <f t="shared" si="12"/>
        <v>0.97409143887263339</v>
      </c>
      <c r="BA25" s="122">
        <f t="shared" si="13"/>
        <v>1.2183756247134969E-3</v>
      </c>
      <c r="BB25" s="116"/>
      <c r="BC25" s="18" cm="1">
        <f t="array" ref="BC25">flatInterpolation($AG25,$S$4:$S$9,BB$5:BB$10)</f>
        <v>5.0001000000000004E-3</v>
      </c>
      <c r="BD25" s="26">
        <f t="shared" si="14"/>
        <v>0.97409151192949428</v>
      </c>
      <c r="BE25" s="122">
        <f t="shared" si="15"/>
        <v>1.218400098839223E-3</v>
      </c>
    </row>
    <row r="26" spans="3:57" ht="15.6" x14ac:dyDescent="0.3">
      <c r="K26" s="54" t="s">
        <v>10</v>
      </c>
      <c r="L26" s="54" t="s">
        <v>21</v>
      </c>
      <c r="M26" s="54" t="s">
        <v>45</v>
      </c>
      <c r="N26" s="54" t="s">
        <v>46</v>
      </c>
      <c r="O26" s="2" t="s">
        <v>31</v>
      </c>
      <c r="P26" s="54" t="s">
        <v>47</v>
      </c>
      <c r="Q26" s="59" t="s">
        <v>29</v>
      </c>
      <c r="S26" s="17">
        <f>S25+0.01</f>
        <v>1.01</v>
      </c>
      <c r="T26" s="18" cm="1">
        <f t="array" ref="T26">flatInterpolation(S26,Calibration.Times,Calibration.HazardRates)</f>
        <v>5.0000000000000001E-3</v>
      </c>
      <c r="X26" s="24">
        <f t="shared" si="16"/>
        <v>5.5</v>
      </c>
      <c r="Y26" s="25" cm="1">
        <f t="array" ref="Y26">flatInterpolation(X26,$S$4:$S$9,$T$4:$T$9)</f>
        <v>5.0000000000000001E-3</v>
      </c>
      <c r="Z26" s="26">
        <f t="shared" si="2"/>
        <v>0.97287468255345488</v>
      </c>
      <c r="AA26" s="26">
        <f t="shared" si="3"/>
        <v>1.2168537283274716E-3</v>
      </c>
      <c r="AB26" s="27" cm="1">
        <f t="array" ref="AB26">cubicInterpolation(CurveResults.Times,CurveResults.DFs,$X26)</f>
        <v>0.79988180597213521</v>
      </c>
      <c r="AG26" s="24">
        <f t="shared" si="17"/>
        <v>5.5</v>
      </c>
      <c r="AI26" s="18" cm="1">
        <f t="array" ref="AI26">flatInterpolation($AG26,$S$4:$S$9,AH$5:AH$10)</f>
        <v>5.0000000000000001E-3</v>
      </c>
      <c r="AJ26" s="26">
        <f t="shared" si="4"/>
        <v>0.97287458526599135</v>
      </c>
      <c r="AK26" s="122">
        <f t="shared" si="5"/>
        <v>1.2168536066421431E-3</v>
      </c>
      <c r="AL26" s="116"/>
      <c r="AM26" s="18" cm="1">
        <f t="array" ref="AM26">flatInterpolation($AG26,$S$4:$S$9,AL$5:AL$10)</f>
        <v>5.0000000000000001E-3</v>
      </c>
      <c r="AN26" s="26">
        <f t="shared" si="6"/>
        <v>0.97287458526599147</v>
      </c>
      <c r="AO26" s="122">
        <f t="shared" si="7"/>
        <v>1.2168536066421431E-3</v>
      </c>
      <c r="AP26" s="116"/>
      <c r="AQ26" s="18" cm="1">
        <f t="array" ref="AQ26">flatInterpolation($AG26,$S$4:$S$9,AP$5:AP$10)</f>
        <v>5.0000000000000001E-3</v>
      </c>
      <c r="AR26" s="26">
        <f t="shared" si="8"/>
        <v>0.97287458526599135</v>
      </c>
      <c r="AS26" s="122">
        <f t="shared" si="9"/>
        <v>1.2168536066421431E-3</v>
      </c>
      <c r="AT26" s="116"/>
      <c r="AU26" s="18" cm="1">
        <f t="array" ref="AU26">flatInterpolation($AG26,$S$4:$S$9,AT$5:AT$10)</f>
        <v>5.0000000000000001E-3</v>
      </c>
      <c r="AV26" s="26">
        <f t="shared" si="10"/>
        <v>0.97287458526599135</v>
      </c>
      <c r="AW26" s="122">
        <f t="shared" si="11"/>
        <v>1.2168536066421431E-3</v>
      </c>
      <c r="AX26" s="116"/>
      <c r="AY26" s="18" cm="1">
        <f t="array" ref="AY26">flatInterpolation($AG26,$S$4:$S$9,AX$5:AX$10)</f>
        <v>5.0000000000000001E-3</v>
      </c>
      <c r="AZ26" s="26">
        <f t="shared" si="12"/>
        <v>0.97287458526599124</v>
      </c>
      <c r="BA26" s="122">
        <f t="shared" si="13"/>
        <v>1.2168536066421431E-3</v>
      </c>
      <c r="BB26" s="116"/>
      <c r="BC26" s="18" cm="1">
        <f t="array" ref="BC26">flatInterpolation($AG26,$S$4:$S$9,BB$5:BB$10)</f>
        <v>5.0001000000000004E-3</v>
      </c>
      <c r="BD26" s="26">
        <f t="shared" si="14"/>
        <v>0.97287463390972195</v>
      </c>
      <c r="BE26" s="122">
        <f t="shared" si="15"/>
        <v>1.2168780197723272E-3</v>
      </c>
    </row>
    <row r="27" spans="3:57" x14ac:dyDescent="0.3">
      <c r="K27" s="62" t="s">
        <v>11</v>
      </c>
      <c r="L27" s="63">
        <v>1</v>
      </c>
      <c r="M27" s="64" cm="1">
        <f t="array" ref="M27:M32">N27:N32-MMULT(K64:P69,P27:P32)</f>
        <v>5.0000006510419375E-3</v>
      </c>
      <c r="N27" s="65">
        <v>5.0000000000000001E-3</v>
      </c>
      <c r="O27" s="66">
        <f t="shared" ref="O27:O32" si="24">Q4/(1-RecoveryRate)</f>
        <v>5.0000000000000001E-3</v>
      </c>
      <c r="P27" s="65">
        <f t="shared" ref="P27:P32" si="25">V14</f>
        <v>-3.9062501063641397E-10</v>
      </c>
      <c r="Q27" s="83">
        <f t="shared" ref="Q27:Q32" si="26">M27-N27</f>
        <v>6.510419373745302E-10</v>
      </c>
      <c r="S27" s="17">
        <f>S5</f>
        <v>2</v>
      </c>
      <c r="T27" s="18" cm="1">
        <f t="array" ref="T27">flatInterpolation(S27,Calibration.Times,Calibration.HazardRates)</f>
        <v>5.0000000000000001E-3</v>
      </c>
      <c r="X27" s="24">
        <f t="shared" si="16"/>
        <v>5.75</v>
      </c>
      <c r="Y27" s="25" cm="1">
        <f t="array" ref="Y27">flatInterpolation(X27,$S$4:$S$9,$T$4:$T$9)</f>
        <v>5.0000000000000001E-3</v>
      </c>
      <c r="Z27" s="26">
        <f t="shared" si="2"/>
        <v>0.97165934894201678</v>
      </c>
      <c r="AA27" s="26">
        <f t="shared" si="3"/>
        <v>1.2153336114381075E-3</v>
      </c>
      <c r="AB27" s="27" cm="1">
        <f t="array" ref="AB27">cubicInterpolation(CurveResults.Times,CurveResults.DFs,$X27)</f>
        <v>0.79246475287440499</v>
      </c>
      <c r="AG27" s="24">
        <f t="shared" si="17"/>
        <v>5.75</v>
      </c>
      <c r="AI27" s="18" cm="1">
        <f t="array" ref="AI27">flatInterpolation($AG27,$S$4:$S$9,AH$5:AH$10)</f>
        <v>5.0000000000000001E-3</v>
      </c>
      <c r="AJ27" s="26">
        <f t="shared" si="4"/>
        <v>0.9716592517760867</v>
      </c>
      <c r="AK27" s="122">
        <f t="shared" si="5"/>
        <v>1.2153334899046575E-3</v>
      </c>
      <c r="AL27" s="116"/>
      <c r="AM27" s="18" cm="1">
        <f t="array" ref="AM27">flatInterpolation($AG27,$S$4:$S$9,AL$5:AL$10)</f>
        <v>5.0000000000000001E-3</v>
      </c>
      <c r="AN27" s="26">
        <f t="shared" si="6"/>
        <v>0.97165925177608681</v>
      </c>
      <c r="AO27" s="122">
        <f t="shared" si="7"/>
        <v>1.2153334899046575E-3</v>
      </c>
      <c r="AP27" s="116"/>
      <c r="AQ27" s="18" cm="1">
        <f t="array" ref="AQ27">flatInterpolation($AG27,$S$4:$S$9,AP$5:AP$10)</f>
        <v>5.0000000000000001E-3</v>
      </c>
      <c r="AR27" s="26">
        <f t="shared" si="8"/>
        <v>0.9716592517760867</v>
      </c>
      <c r="AS27" s="122">
        <f t="shared" si="9"/>
        <v>1.2153334899046575E-3</v>
      </c>
      <c r="AT27" s="116"/>
      <c r="AU27" s="18" cm="1">
        <f t="array" ref="AU27">flatInterpolation($AG27,$S$4:$S$9,AT$5:AT$10)</f>
        <v>5.0000000000000001E-3</v>
      </c>
      <c r="AV27" s="26">
        <f t="shared" si="10"/>
        <v>0.9716592517760867</v>
      </c>
      <c r="AW27" s="122">
        <f t="shared" si="11"/>
        <v>1.2153334899046575E-3</v>
      </c>
      <c r="AX27" s="116"/>
      <c r="AY27" s="18" cm="1">
        <f t="array" ref="AY27">flatInterpolation($AG27,$S$4:$S$9,AX$5:AX$10)</f>
        <v>5.0000000000000001E-3</v>
      </c>
      <c r="AZ27" s="26">
        <f t="shared" si="12"/>
        <v>0.97165925177608659</v>
      </c>
      <c r="BA27" s="122">
        <f t="shared" si="13"/>
        <v>1.2153334899046575E-3</v>
      </c>
      <c r="BB27" s="116"/>
      <c r="BC27" s="18" cm="1">
        <f t="array" ref="BC27">flatInterpolation($AG27,$S$4:$S$9,BB$5:BB$10)</f>
        <v>5.0001000000000004E-3</v>
      </c>
      <c r="BD27" s="26">
        <f t="shared" si="14"/>
        <v>0.9716592760675683</v>
      </c>
      <c r="BE27" s="122">
        <f t="shared" si="15"/>
        <v>1.2153578421536526E-3</v>
      </c>
    </row>
    <row r="28" spans="3:57" x14ac:dyDescent="0.3">
      <c r="K28" s="67" t="s">
        <v>12</v>
      </c>
      <c r="L28" s="17">
        <v>2</v>
      </c>
      <c r="M28" s="60">
        <v>5.0000006510419791E-3</v>
      </c>
      <c r="N28" s="45">
        <v>5.0000000000000001E-3</v>
      </c>
      <c r="O28" s="61">
        <f t="shared" si="24"/>
        <v>5.0000000000000001E-3</v>
      </c>
      <c r="P28" s="45">
        <f t="shared" si="25"/>
        <v>-3.906250227794783E-10</v>
      </c>
      <c r="Q28" s="84">
        <f t="shared" si="26"/>
        <v>6.5104197900789362E-10</v>
      </c>
      <c r="S28" s="17">
        <f>S27+0.01</f>
        <v>2.0099999999999998</v>
      </c>
      <c r="T28" s="18" cm="1">
        <f t="array" ref="T28">flatInterpolation(S28,Calibration.Times,Calibration.HazardRates)</f>
        <v>5.0000000000000001E-3</v>
      </c>
      <c r="X28" s="24">
        <f t="shared" si="16"/>
        <v>6</v>
      </c>
      <c r="Y28" s="25" cm="1">
        <f t="array" ref="Y28">flatInterpolation(X28,$S$4:$S$9,$T$4:$T$9)</f>
        <v>5.0000000000000001E-3</v>
      </c>
      <c r="Z28" s="26">
        <f t="shared" si="2"/>
        <v>0.97044553354850915</v>
      </c>
      <c r="AA28" s="26">
        <f t="shared" si="3"/>
        <v>1.2138153935076224E-3</v>
      </c>
      <c r="AB28" s="27" cm="1">
        <f t="array" ref="AB28">cubicInterpolation(CurveResults.Times,CurveResults.DFs,$X28)</f>
        <v>0.78511840072776184</v>
      </c>
      <c r="AG28" s="24">
        <f t="shared" si="17"/>
        <v>6</v>
      </c>
      <c r="AI28" s="18" cm="1">
        <f t="array" ref="AI28">flatInterpolation($AG28,$S$4:$S$9,AH$5:AH$10)</f>
        <v>5.0000000000000001E-3</v>
      </c>
      <c r="AJ28" s="26">
        <f t="shared" si="4"/>
        <v>0.97044543650396053</v>
      </c>
      <c r="AK28" s="122">
        <f t="shared" si="5"/>
        <v>1.2138152721261619E-3</v>
      </c>
      <c r="AL28" s="116"/>
      <c r="AM28" s="18" cm="1">
        <f t="array" ref="AM28">flatInterpolation($AG28,$S$4:$S$9,AL$5:AL$10)</f>
        <v>5.0000000000000001E-3</v>
      </c>
      <c r="AN28" s="26">
        <f t="shared" si="6"/>
        <v>0.97044543650396065</v>
      </c>
      <c r="AO28" s="122">
        <f t="shared" si="7"/>
        <v>1.2138152721261619E-3</v>
      </c>
      <c r="AP28" s="116"/>
      <c r="AQ28" s="18" cm="1">
        <f t="array" ref="AQ28">flatInterpolation($AG28,$S$4:$S$9,AP$5:AP$10)</f>
        <v>5.0000000000000001E-3</v>
      </c>
      <c r="AR28" s="26">
        <f t="shared" si="8"/>
        <v>0.97044543650396053</v>
      </c>
      <c r="AS28" s="122">
        <f t="shared" si="9"/>
        <v>1.2138152721261619E-3</v>
      </c>
      <c r="AT28" s="116"/>
      <c r="AU28" s="18" cm="1">
        <f t="array" ref="AU28">flatInterpolation($AG28,$S$4:$S$9,AT$5:AT$10)</f>
        <v>5.0000000000000001E-3</v>
      </c>
      <c r="AV28" s="26">
        <f t="shared" si="10"/>
        <v>0.97044543650396053</v>
      </c>
      <c r="AW28" s="122">
        <f t="shared" si="11"/>
        <v>1.2138152721261619E-3</v>
      </c>
      <c r="AX28" s="116"/>
      <c r="AY28" s="18" cm="1">
        <f t="array" ref="AY28">flatInterpolation($AG28,$S$4:$S$9,AX$5:AX$10)</f>
        <v>5.0000000000000001E-3</v>
      </c>
      <c r="AZ28" s="26">
        <f t="shared" si="12"/>
        <v>0.97044543650396042</v>
      </c>
      <c r="BA28" s="122">
        <f t="shared" si="13"/>
        <v>1.2138152721261619E-3</v>
      </c>
      <c r="BB28" s="116"/>
      <c r="BC28" s="18" cm="1">
        <f t="array" ref="BC28">flatInterpolation($AG28,$S$4:$S$9,BB$5:BB$10)</f>
        <v>5.0001000000000004E-3</v>
      </c>
      <c r="BD28" s="26">
        <f t="shared" si="14"/>
        <v>0.97044543650396053</v>
      </c>
      <c r="BE28" s="122">
        <f t="shared" si="15"/>
        <v>1.2138395636077659E-3</v>
      </c>
    </row>
    <row r="29" spans="3:57" x14ac:dyDescent="0.3">
      <c r="K29" s="67" t="s">
        <v>13</v>
      </c>
      <c r="L29" s="17">
        <v>3</v>
      </c>
      <c r="M29" s="60">
        <v>5.0000006510420901E-3</v>
      </c>
      <c r="N29" s="45">
        <v>5.0000000000000001E-3</v>
      </c>
      <c r="O29" s="61">
        <f t="shared" si="24"/>
        <v>5.0000000000000001E-3</v>
      </c>
      <c r="P29" s="45">
        <f t="shared" si="25"/>
        <v>-3.9062504836664957E-10</v>
      </c>
      <c r="Q29" s="84">
        <f t="shared" si="26"/>
        <v>6.5104209003019609E-10</v>
      </c>
      <c r="S29" s="17">
        <f>S6</f>
        <v>3</v>
      </c>
      <c r="T29" s="18" cm="1">
        <f t="array" ref="T29">flatInterpolation(S29,Calibration.Times,Calibration.HazardRates)</f>
        <v>5.0000000000000001E-3</v>
      </c>
      <c r="X29" s="24">
        <f t="shared" si="16"/>
        <v>6.25</v>
      </c>
      <c r="Y29" s="25" cm="1">
        <f t="array" ref="Y29">flatInterpolation(X29,$S$4:$S$9,$T$4:$T$9)</f>
        <v>5.0000000000000001E-3</v>
      </c>
      <c r="Z29" s="26">
        <f t="shared" si="2"/>
        <v>0.96923323447634513</v>
      </c>
      <c r="AA29" s="26">
        <f t="shared" si="3"/>
        <v>1.2122990721640248E-3</v>
      </c>
      <c r="AB29" s="27" cm="1">
        <f t="array" ref="AB29">cubicInterpolation(CurveResults.Times,CurveResults.DFs,$X29)</f>
        <v>0.77784547446757579</v>
      </c>
      <c r="AG29" s="24">
        <f t="shared" si="17"/>
        <v>6.25</v>
      </c>
      <c r="AI29" s="18" cm="1">
        <f t="array" ref="AI29">flatInterpolation($AG29,$S$4:$S$9,AH$5:AH$10)</f>
        <v>5.0000000000000001E-3</v>
      </c>
      <c r="AJ29" s="26">
        <f t="shared" si="4"/>
        <v>0.96923313755302642</v>
      </c>
      <c r="AK29" s="122">
        <f t="shared" si="5"/>
        <v>1.2122989509341098E-3</v>
      </c>
      <c r="AL29" s="116"/>
      <c r="AM29" s="18" cm="1">
        <f t="array" ref="AM29">flatInterpolation($AG29,$S$4:$S$9,AL$5:AL$10)</f>
        <v>5.0000000000000001E-3</v>
      </c>
      <c r="AN29" s="26">
        <f t="shared" si="6"/>
        <v>0.96923313755302654</v>
      </c>
      <c r="AO29" s="122">
        <f t="shared" si="7"/>
        <v>1.2122989509341098E-3</v>
      </c>
      <c r="AP29" s="116"/>
      <c r="AQ29" s="18" cm="1">
        <f t="array" ref="AQ29">flatInterpolation($AG29,$S$4:$S$9,AP$5:AP$10)</f>
        <v>5.0000000000000001E-3</v>
      </c>
      <c r="AR29" s="26">
        <f t="shared" si="8"/>
        <v>0.96923313755302642</v>
      </c>
      <c r="AS29" s="122">
        <f t="shared" si="9"/>
        <v>1.2122989509341098E-3</v>
      </c>
      <c r="AT29" s="116"/>
      <c r="AU29" s="18" cm="1">
        <f t="array" ref="AU29">flatInterpolation($AG29,$S$4:$S$9,AT$5:AT$10)</f>
        <v>5.0000000000000001E-3</v>
      </c>
      <c r="AV29" s="26">
        <f t="shared" si="10"/>
        <v>0.96923313755302642</v>
      </c>
      <c r="AW29" s="122">
        <f t="shared" si="11"/>
        <v>1.2122989509341098E-3</v>
      </c>
      <c r="AX29" s="116"/>
      <c r="AY29" s="18" cm="1">
        <f t="array" ref="AY29">flatInterpolation($AG29,$S$4:$S$9,AX$5:AX$10)</f>
        <v>5.0000000000000001E-3</v>
      </c>
      <c r="AZ29" s="26">
        <f t="shared" si="12"/>
        <v>0.96923313755302631</v>
      </c>
      <c r="BA29" s="122">
        <f t="shared" si="13"/>
        <v>1.2122989509341098E-3</v>
      </c>
      <c r="BB29" s="116"/>
      <c r="BC29" s="18" cm="1">
        <f t="array" ref="BC29">flatInterpolation($AG29,$S$4:$S$9,BB$5:BB$10)</f>
        <v>5.0001000000000004E-3</v>
      </c>
      <c r="BD29" s="26">
        <f t="shared" si="14"/>
        <v>0.96923311332219819</v>
      </c>
      <c r="BE29" s="122">
        <f t="shared" si="15"/>
        <v>1.2123231817623425E-3</v>
      </c>
    </row>
    <row r="30" spans="3:57" x14ac:dyDescent="0.3">
      <c r="K30" s="67" t="s">
        <v>14</v>
      </c>
      <c r="L30" s="17">
        <v>4</v>
      </c>
      <c r="M30" s="60">
        <v>5.000000651041901E-3</v>
      </c>
      <c r="N30" s="45">
        <v>5.0000000000000001E-3</v>
      </c>
      <c r="O30" s="61">
        <f t="shared" si="24"/>
        <v>5.0000000000000001E-3</v>
      </c>
      <c r="P30" s="45">
        <f t="shared" si="25"/>
        <v>-3.906250340551809E-10</v>
      </c>
      <c r="Q30" s="84">
        <f t="shared" si="26"/>
        <v>6.510419009453372E-10</v>
      </c>
      <c r="S30" s="17">
        <f>S29+0.01</f>
        <v>3.01</v>
      </c>
      <c r="T30" s="18" cm="1">
        <f t="array" ref="T30">flatInterpolation(S30,Calibration.Times,Calibration.HazardRates)</f>
        <v>5.0000000000000001E-3</v>
      </c>
      <c r="X30" s="24">
        <f t="shared" si="16"/>
        <v>6.5</v>
      </c>
      <c r="Y30" s="25" cm="1">
        <f t="array" ref="Y30">flatInterpolation(X30,$S$4:$S$9,$T$4:$T$9)</f>
        <v>5.0000000000000001E-3</v>
      </c>
      <c r="Z30" s="26">
        <f t="shared" si="2"/>
        <v>0.96802244983130714</v>
      </c>
      <c r="AA30" s="26">
        <f t="shared" si="3"/>
        <v>1.2107846450379878E-3</v>
      </c>
      <c r="AB30" s="27" cm="1">
        <f t="array" ref="AB30">cubicInterpolation(CurveResults.Times,CurveResults.DFs,$X30)</f>
        <v>0.77064881047798106</v>
      </c>
      <c r="AG30" s="24">
        <f t="shared" si="17"/>
        <v>6.5</v>
      </c>
      <c r="AI30" s="18" cm="1">
        <f t="array" ref="AI30">flatInterpolation($AG30,$S$4:$S$9,AH$5:AH$10)</f>
        <v>5.0000000000000001E-3</v>
      </c>
      <c r="AJ30" s="26">
        <f t="shared" si="4"/>
        <v>0.96802235302906692</v>
      </c>
      <c r="AK30" s="122">
        <f t="shared" si="5"/>
        <v>1.2107845239595072E-3</v>
      </c>
      <c r="AL30" s="116"/>
      <c r="AM30" s="18" cm="1">
        <f t="array" ref="AM30">flatInterpolation($AG30,$S$4:$S$9,AL$5:AL$10)</f>
        <v>5.0000000000000001E-3</v>
      </c>
      <c r="AN30" s="26">
        <f t="shared" si="6"/>
        <v>0.96802235302906703</v>
      </c>
      <c r="AO30" s="122">
        <f t="shared" si="7"/>
        <v>1.2107845239595072E-3</v>
      </c>
      <c r="AP30" s="116"/>
      <c r="AQ30" s="18" cm="1">
        <f t="array" ref="AQ30">flatInterpolation($AG30,$S$4:$S$9,AP$5:AP$10)</f>
        <v>5.0000000000000001E-3</v>
      </c>
      <c r="AR30" s="26">
        <f t="shared" si="8"/>
        <v>0.96802235302906692</v>
      </c>
      <c r="AS30" s="122">
        <f t="shared" si="9"/>
        <v>1.2107845239595072E-3</v>
      </c>
      <c r="AT30" s="116"/>
      <c r="AU30" s="18" cm="1">
        <f t="array" ref="AU30">flatInterpolation($AG30,$S$4:$S$9,AT$5:AT$10)</f>
        <v>5.0000000000000001E-3</v>
      </c>
      <c r="AV30" s="26">
        <f t="shared" si="10"/>
        <v>0.96802235302906692</v>
      </c>
      <c r="AW30" s="122">
        <f t="shared" si="11"/>
        <v>1.2107845239595072E-3</v>
      </c>
      <c r="AX30" s="116"/>
      <c r="AY30" s="18" cm="1">
        <f t="array" ref="AY30">flatInterpolation($AG30,$S$4:$S$9,AX$5:AX$10)</f>
        <v>5.0000000000000001E-3</v>
      </c>
      <c r="AZ30" s="26">
        <f t="shared" si="12"/>
        <v>0.96802235302906681</v>
      </c>
      <c r="BA30" s="122">
        <f t="shared" si="13"/>
        <v>1.2107845239595072E-3</v>
      </c>
      <c r="BB30" s="116"/>
      <c r="BC30" s="18" cm="1">
        <f t="array" ref="BC30">flatInterpolation($AG30,$S$4:$S$9,BB$5:BB$10)</f>
        <v>5.0001000000000004E-3</v>
      </c>
      <c r="BD30" s="26">
        <f t="shared" si="14"/>
        <v>0.96802230462795025</v>
      </c>
      <c r="BE30" s="122">
        <f t="shared" si="15"/>
        <v>1.2108086942479446E-3</v>
      </c>
    </row>
    <row r="31" spans="3:57" x14ac:dyDescent="0.3">
      <c r="K31" s="67" t="s">
        <v>15</v>
      </c>
      <c r="L31" s="17">
        <v>5</v>
      </c>
      <c r="M31" s="60">
        <v>5.0000006510420494E-3</v>
      </c>
      <c r="N31" s="45">
        <v>5.0000000000000001E-3</v>
      </c>
      <c r="O31" s="61">
        <f t="shared" si="24"/>
        <v>5.0000000000000001E-3</v>
      </c>
      <c r="P31" s="45">
        <f t="shared" si="25"/>
        <v>-3.9062504229511741E-10</v>
      </c>
      <c r="Q31" s="84">
        <f t="shared" si="26"/>
        <v>6.510420492641944E-10</v>
      </c>
      <c r="S31" s="17">
        <f>S7</f>
        <v>4</v>
      </c>
      <c r="T31" s="18" cm="1">
        <f t="array" ref="T31">flatInterpolation(S31,Calibration.Times,Calibration.HazardRates)</f>
        <v>5.0000000000000001E-3</v>
      </c>
      <c r="X31" s="24">
        <f t="shared" si="16"/>
        <v>6.75</v>
      </c>
      <c r="Y31" s="25" cm="1">
        <f t="array" ref="Y31">flatInterpolation(X31,$S$4:$S$9,$T$4:$T$9)</f>
        <v>5.0000000000000001E-3</v>
      </c>
      <c r="Z31" s="26">
        <f t="shared" si="2"/>
        <v>0.96681317772154396</v>
      </c>
      <c r="AA31" s="26">
        <f t="shared" si="3"/>
        <v>1.209272109763182E-3</v>
      </c>
      <c r="AB31" s="27" cm="1">
        <f t="array" ref="AB31">cubicInterpolation(CurveResults.Times,CurveResults.DFs,$X31)</f>
        <v>0.76352015036629473</v>
      </c>
      <c r="AG31" s="24">
        <f t="shared" si="17"/>
        <v>6.75</v>
      </c>
      <c r="AI31" s="18" cm="1">
        <f t="array" ref="AI31">flatInterpolation($AG31,$S$4:$S$9,AH$5:AH$10)</f>
        <v>5.0000000000000001E-3</v>
      </c>
      <c r="AJ31" s="26">
        <f t="shared" si="4"/>
        <v>0.96681308104023089</v>
      </c>
      <c r="AK31" s="122">
        <f t="shared" si="5"/>
        <v>1.2092719888360248E-3</v>
      </c>
      <c r="AL31" s="116"/>
      <c r="AM31" s="18" cm="1">
        <f t="array" ref="AM31">flatInterpolation($AG31,$S$4:$S$9,AL$5:AL$10)</f>
        <v>5.0000000000000001E-3</v>
      </c>
      <c r="AN31" s="26">
        <f t="shared" si="6"/>
        <v>0.966813081040231</v>
      </c>
      <c r="AO31" s="122">
        <f t="shared" si="7"/>
        <v>1.2092719888360248E-3</v>
      </c>
      <c r="AP31" s="116"/>
      <c r="AQ31" s="18" cm="1">
        <f t="array" ref="AQ31">flatInterpolation($AG31,$S$4:$S$9,AP$5:AP$10)</f>
        <v>5.0000000000000001E-3</v>
      </c>
      <c r="AR31" s="26">
        <f t="shared" si="8"/>
        <v>0.96681308104023089</v>
      </c>
      <c r="AS31" s="122">
        <f t="shared" si="9"/>
        <v>1.2092719888360248E-3</v>
      </c>
      <c r="AT31" s="116"/>
      <c r="AU31" s="18" cm="1">
        <f t="array" ref="AU31">flatInterpolation($AG31,$S$4:$S$9,AT$5:AT$10)</f>
        <v>5.0000000000000001E-3</v>
      </c>
      <c r="AV31" s="26">
        <f t="shared" si="10"/>
        <v>0.96681308104023089</v>
      </c>
      <c r="AW31" s="122">
        <f t="shared" si="11"/>
        <v>1.2092719888360248E-3</v>
      </c>
      <c r="AX31" s="116"/>
      <c r="AY31" s="18" cm="1">
        <f t="array" ref="AY31">flatInterpolation($AG31,$S$4:$S$9,AX$5:AX$10)</f>
        <v>5.0000000000000001E-3</v>
      </c>
      <c r="AZ31" s="26">
        <f t="shared" si="12"/>
        <v>0.96681308104023078</v>
      </c>
      <c r="BA31" s="122">
        <f t="shared" si="13"/>
        <v>1.2092719888360248E-3</v>
      </c>
      <c r="BB31" s="116"/>
      <c r="BC31" s="18" cm="1">
        <f t="array" ref="BC31">flatInterpolation($AG31,$S$4:$S$9,BB$5:BB$10)</f>
        <v>5.0001000000000004E-3</v>
      </c>
      <c r="BD31" s="26">
        <f t="shared" si="14"/>
        <v>0.96681300852925234</v>
      </c>
      <c r="BE31" s="122">
        <f t="shared" si="15"/>
        <v>1.2092960986979095E-3</v>
      </c>
    </row>
    <row r="32" spans="3:57" x14ac:dyDescent="0.3">
      <c r="K32" s="68" t="s">
        <v>16</v>
      </c>
      <c r="L32" s="69">
        <v>10</v>
      </c>
      <c r="M32" s="70">
        <v>5.0000006510421066E-3</v>
      </c>
      <c r="N32" s="71">
        <v>5.0000000000000001E-3</v>
      </c>
      <c r="O32" s="72">
        <f t="shared" si="24"/>
        <v>5.0000000000000001E-3</v>
      </c>
      <c r="P32" s="71">
        <f t="shared" si="25"/>
        <v>-3.9062505530554348E-10</v>
      </c>
      <c r="Q32" s="85">
        <f t="shared" si="26"/>
        <v>6.5104210651006911E-10</v>
      </c>
      <c r="S32" s="17">
        <f>S31+0.01</f>
        <v>4.01</v>
      </c>
      <c r="T32" s="18" cm="1">
        <f t="array" ref="T32">flatInterpolation(S32,Calibration.Times,Calibration.HazardRates)</f>
        <v>5.0000000000000001E-3</v>
      </c>
      <c r="X32" s="24">
        <f t="shared" si="16"/>
        <v>7</v>
      </c>
      <c r="Y32" s="25" cm="1">
        <f t="array" ref="Y32">flatInterpolation(X32,$S$4:$S$9,$T$4:$T$9)</f>
        <v>5.0000000000000001E-3</v>
      </c>
      <c r="Z32" s="26">
        <f t="shared" si="2"/>
        <v>0.96560541625756768</v>
      </c>
      <c r="AA32" s="26">
        <f t="shared" si="3"/>
        <v>1.2077614639762757E-3</v>
      </c>
      <c r="AB32" s="27" cm="1">
        <f t="array" ref="AB32">cubicInterpolation(CurveResults.Times,CurveResults.DFs,$X32)</f>
        <v>0.75645123573983353</v>
      </c>
      <c r="AG32" s="24">
        <f t="shared" si="17"/>
        <v>7</v>
      </c>
      <c r="AI32" s="18" cm="1">
        <f t="array" ref="AI32">flatInterpolation($AG32,$S$4:$S$9,AH$5:AH$10)</f>
        <v>5.0000000000000001E-3</v>
      </c>
      <c r="AJ32" s="26">
        <f t="shared" si="4"/>
        <v>0.96560531969703078</v>
      </c>
      <c r="AK32" s="122">
        <f t="shared" si="5"/>
        <v>1.2077613432001089E-3</v>
      </c>
      <c r="AL32" s="116"/>
      <c r="AM32" s="18" cm="1">
        <f t="array" ref="AM32">flatInterpolation($AG32,$S$4:$S$9,AL$5:AL$10)</f>
        <v>5.0000000000000001E-3</v>
      </c>
      <c r="AN32" s="26">
        <f t="shared" si="6"/>
        <v>0.96560531969703089</v>
      </c>
      <c r="AO32" s="122">
        <f t="shared" si="7"/>
        <v>1.2077613432001089E-3</v>
      </c>
      <c r="AP32" s="116"/>
      <c r="AQ32" s="18" cm="1">
        <f t="array" ref="AQ32">flatInterpolation($AG32,$S$4:$S$9,AP$5:AP$10)</f>
        <v>5.0000000000000001E-3</v>
      </c>
      <c r="AR32" s="26">
        <f t="shared" si="8"/>
        <v>0.96560531969703078</v>
      </c>
      <c r="AS32" s="122">
        <f t="shared" si="9"/>
        <v>1.2077613432001089E-3</v>
      </c>
      <c r="AT32" s="116"/>
      <c r="AU32" s="18" cm="1">
        <f t="array" ref="AU32">flatInterpolation($AG32,$S$4:$S$9,AT$5:AT$10)</f>
        <v>5.0000000000000001E-3</v>
      </c>
      <c r="AV32" s="26">
        <f t="shared" si="10"/>
        <v>0.96560531969703078</v>
      </c>
      <c r="AW32" s="122">
        <f t="shared" si="11"/>
        <v>1.2077613432001089E-3</v>
      </c>
      <c r="AX32" s="116"/>
      <c r="AY32" s="18" cm="1">
        <f t="array" ref="AY32">flatInterpolation($AG32,$S$4:$S$9,AX$5:AX$10)</f>
        <v>5.0000000000000001E-3</v>
      </c>
      <c r="AZ32" s="26">
        <f t="shared" si="12"/>
        <v>0.96560531969703067</v>
      </c>
      <c r="BA32" s="122">
        <f t="shared" si="13"/>
        <v>1.2077613432001089E-3</v>
      </c>
      <c r="BB32" s="116"/>
      <c r="BC32" s="18" cm="1">
        <f t="array" ref="BC32">flatInterpolation($AG32,$S$4:$S$9,BB$5:BB$10)</f>
        <v>5.0001000000000004E-3</v>
      </c>
      <c r="BD32" s="26">
        <f t="shared" si="14"/>
        <v>0.96560522313650332</v>
      </c>
      <c r="BE32" s="122">
        <f t="shared" si="15"/>
        <v>1.2077853927490168E-3</v>
      </c>
    </row>
    <row r="33" spans="3:57" x14ac:dyDescent="0.3">
      <c r="S33" s="17">
        <f>S8</f>
        <v>5</v>
      </c>
      <c r="T33" s="18" cm="1">
        <f t="array" ref="T33">flatInterpolation(S33,Calibration.Times,Calibration.HazardRates)</f>
        <v>5.0000000000000001E-3</v>
      </c>
      <c r="X33" s="24">
        <f t="shared" si="16"/>
        <v>7.25</v>
      </c>
      <c r="Y33" s="25" cm="1">
        <f t="array" ref="Y33">flatInterpolation(X33,$S$4:$S$9,$T$4:$T$9)</f>
        <v>5.0000000000000001E-3</v>
      </c>
      <c r="Z33" s="26">
        <f t="shared" si="2"/>
        <v>0.96439916355225075</v>
      </c>
      <c r="AA33" s="26">
        <f t="shared" si="3"/>
        <v>1.2062527053169347E-3</v>
      </c>
      <c r="AB33" s="27" cm="1">
        <f t="array" ref="AB33">cubicInterpolation(CurveResults.Times,CurveResults.DFs,$X33)</f>
        <v>0.74944730018205008</v>
      </c>
      <c r="AG33" s="24">
        <f t="shared" si="17"/>
        <v>7.25</v>
      </c>
      <c r="AI33" s="18" cm="1">
        <f t="array" ref="AI33">flatInterpolation($AG33,$S$4:$S$9,AH$5:AH$10)</f>
        <v>5.0000000000000001E-3</v>
      </c>
      <c r="AJ33" s="26">
        <f t="shared" si="4"/>
        <v>0.96439906711233914</v>
      </c>
      <c r="AK33" s="122">
        <f t="shared" si="5"/>
        <v>1.2062525846916472E-3</v>
      </c>
      <c r="AL33" s="116"/>
      <c r="AM33" s="18" cm="1">
        <f t="array" ref="AM33">flatInterpolation($AG33,$S$4:$S$9,AL$5:AL$10)</f>
        <v>5.0000000000000001E-3</v>
      </c>
      <c r="AN33" s="26">
        <f t="shared" si="6"/>
        <v>0.96439906711233925</v>
      </c>
      <c r="AO33" s="122">
        <f t="shared" si="7"/>
        <v>1.2062525846916472E-3</v>
      </c>
      <c r="AP33" s="116"/>
      <c r="AQ33" s="18" cm="1">
        <f t="array" ref="AQ33">flatInterpolation($AG33,$S$4:$S$9,AP$5:AP$10)</f>
        <v>5.0000000000000001E-3</v>
      </c>
      <c r="AR33" s="26">
        <f t="shared" si="8"/>
        <v>0.96439906711233914</v>
      </c>
      <c r="AS33" s="122">
        <f t="shared" si="9"/>
        <v>1.2062525846916472E-3</v>
      </c>
      <c r="AT33" s="116"/>
      <c r="AU33" s="18" cm="1">
        <f t="array" ref="AU33">flatInterpolation($AG33,$S$4:$S$9,AT$5:AT$10)</f>
        <v>5.0000000000000001E-3</v>
      </c>
      <c r="AV33" s="26">
        <f t="shared" si="10"/>
        <v>0.96439906711233914</v>
      </c>
      <c r="AW33" s="122">
        <f t="shared" si="11"/>
        <v>1.2062525846916472E-3</v>
      </c>
      <c r="AX33" s="116"/>
      <c r="AY33" s="18" cm="1">
        <f t="array" ref="AY33">flatInterpolation($AG33,$S$4:$S$9,AX$5:AX$10)</f>
        <v>5.0000000000000001E-3</v>
      </c>
      <c r="AZ33" s="26">
        <f t="shared" si="12"/>
        <v>0.96439906711233903</v>
      </c>
      <c r="BA33" s="122">
        <f t="shared" si="13"/>
        <v>1.2062525846916472E-3</v>
      </c>
      <c r="BB33" s="116"/>
      <c r="BC33" s="18" cm="1">
        <f t="array" ref="BC33">flatInterpolation($AG33,$S$4:$S$9,BB$5:BB$10)</f>
        <v>5.0001000000000004E-3</v>
      </c>
      <c r="BD33" s="26">
        <f t="shared" si="14"/>
        <v>0.96439894656246283</v>
      </c>
      <c r="BE33" s="122">
        <f t="shared" si="15"/>
        <v>1.2062765740404879E-3</v>
      </c>
    </row>
    <row r="34" spans="3:57" x14ac:dyDescent="0.3">
      <c r="K34" s="164" t="s">
        <v>333</v>
      </c>
      <c r="S34" s="17">
        <f>S33+0.01</f>
        <v>5.01</v>
      </c>
      <c r="T34" s="18" cm="1">
        <f t="array" ref="T34">flatInterpolation(S34,Calibration.Times,Calibration.HazardRates)</f>
        <v>5.0000000000000001E-3</v>
      </c>
      <c r="X34" s="24">
        <f t="shared" si="16"/>
        <v>7.5</v>
      </c>
      <c r="Y34" s="25" cm="1">
        <f t="array" ref="Y34">flatInterpolation(X34,$S$4:$S$9,$T$4:$T$9)</f>
        <v>5.0000000000000001E-3</v>
      </c>
      <c r="Z34" s="26">
        <f t="shared" si="2"/>
        <v>0.96319441772082304</v>
      </c>
      <c r="AA34" s="26">
        <f t="shared" si="3"/>
        <v>1.2047458314277115E-3</v>
      </c>
      <c r="AB34" s="27" cm="1">
        <f t="array" ref="AB34">cubicInterpolation(CurveResults.Times,CurveResults.DFs,$X34)</f>
        <v>0.74251026956187482</v>
      </c>
      <c r="AG34" s="24">
        <f t="shared" si="17"/>
        <v>7.5</v>
      </c>
      <c r="AI34" s="18" cm="1">
        <f t="array" ref="AI34">flatInterpolation($AG34,$S$4:$S$9,AH$5:AH$10)</f>
        <v>5.0000000000000001E-3</v>
      </c>
      <c r="AJ34" s="26">
        <f t="shared" si="4"/>
        <v>0.96319432140138606</v>
      </c>
      <c r="AK34" s="122">
        <f t="shared" si="5"/>
        <v>1.2047457109530813E-3</v>
      </c>
      <c r="AL34" s="116"/>
      <c r="AM34" s="18" cm="1">
        <f t="array" ref="AM34">flatInterpolation($AG34,$S$4:$S$9,AL$5:AL$10)</f>
        <v>5.0000000000000001E-3</v>
      </c>
      <c r="AN34" s="26">
        <f t="shared" si="6"/>
        <v>0.96319432140138617</v>
      </c>
      <c r="AO34" s="122">
        <f t="shared" si="7"/>
        <v>1.2047457109530813E-3</v>
      </c>
      <c r="AP34" s="116"/>
      <c r="AQ34" s="18" cm="1">
        <f t="array" ref="AQ34">flatInterpolation($AG34,$S$4:$S$9,AP$5:AP$10)</f>
        <v>5.0000000000000001E-3</v>
      </c>
      <c r="AR34" s="26">
        <f t="shared" si="8"/>
        <v>0.96319432140138606</v>
      </c>
      <c r="AS34" s="122">
        <f t="shared" si="9"/>
        <v>1.2047457109530813E-3</v>
      </c>
      <c r="AT34" s="116"/>
      <c r="AU34" s="18" cm="1">
        <f t="array" ref="AU34">flatInterpolation($AG34,$S$4:$S$9,AT$5:AT$10)</f>
        <v>5.0000000000000001E-3</v>
      </c>
      <c r="AV34" s="26">
        <f t="shared" si="10"/>
        <v>0.96319432140138606</v>
      </c>
      <c r="AW34" s="122">
        <f t="shared" si="11"/>
        <v>1.2047457109530813E-3</v>
      </c>
      <c r="AX34" s="116"/>
      <c r="AY34" s="18" cm="1">
        <f t="array" ref="AY34">flatInterpolation($AG34,$S$4:$S$9,AX$5:AX$10)</f>
        <v>5.0000000000000001E-3</v>
      </c>
      <c r="AZ34" s="26">
        <f t="shared" si="12"/>
        <v>0.96319432140138594</v>
      </c>
      <c r="BA34" s="122">
        <f t="shared" si="13"/>
        <v>1.2047457109530813E-3</v>
      </c>
      <c r="BB34" s="116"/>
      <c r="BC34" s="18" cm="1">
        <f t="array" ref="BC34">flatInterpolation($AG34,$S$4:$S$9,BB$5:BB$10)</f>
        <v>5.0001000000000004E-3</v>
      </c>
      <c r="BD34" s="26">
        <f t="shared" si="14"/>
        <v>0.96319417692224818</v>
      </c>
      <c r="BE34" s="122">
        <f t="shared" si="15"/>
        <v>1.2047696402146535E-3</v>
      </c>
    </row>
    <row r="35" spans="3:57" x14ac:dyDescent="0.3">
      <c r="S35" s="17">
        <f>S9</f>
        <v>10</v>
      </c>
      <c r="T35" s="18" cm="1">
        <f t="array" ref="T35">flatInterpolation(S35,Calibration.Times,Calibration.HazardRates)</f>
        <v>5.0000000000000001E-3</v>
      </c>
      <c r="X35" s="24">
        <f t="shared" si="16"/>
        <v>7.75</v>
      </c>
      <c r="Y35" s="25" cm="1">
        <f t="array" ref="Y35">flatInterpolation(X35,$S$4:$S$9,$T$4:$T$9)</f>
        <v>5.0000000000000001E-3</v>
      </c>
      <c r="Z35" s="26">
        <f t="shared" si="2"/>
        <v>0.96199117688086899</v>
      </c>
      <c r="AA35" s="26">
        <f t="shared" si="3"/>
        <v>1.2032408399540451E-3</v>
      </c>
      <c r="AB35" s="27" cm="1">
        <f t="array" ref="AB35">cubicInterpolation(CurveResults.Times,CurveResults.DFs,$X35)</f>
        <v>0.73562692391484197</v>
      </c>
      <c r="AG35" s="24">
        <f t="shared" si="17"/>
        <v>7.75</v>
      </c>
      <c r="AI35" s="18" cm="1">
        <f t="array" ref="AI35">flatInterpolation($AG35,$S$4:$S$9,AH$5:AH$10)</f>
        <v>5.0000000000000001E-3</v>
      </c>
      <c r="AJ35" s="26">
        <f t="shared" si="4"/>
        <v>0.96199108068175609</v>
      </c>
      <c r="AK35" s="122">
        <f t="shared" si="5"/>
        <v>1.203240719629961E-3</v>
      </c>
      <c r="AL35" s="116"/>
      <c r="AM35" s="18" cm="1">
        <f t="array" ref="AM35">flatInterpolation($AG35,$S$4:$S$9,AL$5:AL$10)</f>
        <v>5.0000000000000001E-3</v>
      </c>
      <c r="AN35" s="26">
        <f t="shared" si="6"/>
        <v>0.96199108068175621</v>
      </c>
      <c r="AO35" s="122">
        <f t="shared" si="7"/>
        <v>1.203240719629961E-3</v>
      </c>
      <c r="AP35" s="116"/>
      <c r="AQ35" s="18" cm="1">
        <f t="array" ref="AQ35">flatInterpolation($AG35,$S$4:$S$9,AP$5:AP$10)</f>
        <v>5.0000000000000001E-3</v>
      </c>
      <c r="AR35" s="26">
        <f t="shared" si="8"/>
        <v>0.96199108068175609</v>
      </c>
      <c r="AS35" s="122">
        <f t="shared" si="9"/>
        <v>1.203240719629961E-3</v>
      </c>
      <c r="AT35" s="116"/>
      <c r="AU35" s="18" cm="1">
        <f t="array" ref="AU35">flatInterpolation($AG35,$S$4:$S$9,AT$5:AT$10)</f>
        <v>5.0000000000000001E-3</v>
      </c>
      <c r="AV35" s="26">
        <f t="shared" si="10"/>
        <v>0.96199108068175609</v>
      </c>
      <c r="AW35" s="122">
        <f t="shared" si="11"/>
        <v>1.203240719629961E-3</v>
      </c>
      <c r="AX35" s="116"/>
      <c r="AY35" s="18" cm="1">
        <f t="array" ref="AY35">flatInterpolation($AG35,$S$4:$S$9,AX$5:AX$10)</f>
        <v>5.0000000000000001E-3</v>
      </c>
      <c r="AZ35" s="26">
        <f t="shared" si="12"/>
        <v>0.96199108068175598</v>
      </c>
      <c r="BA35" s="122">
        <f t="shared" si="13"/>
        <v>1.203240719629961E-3</v>
      </c>
      <c r="BB35" s="116"/>
      <c r="BC35" s="18" cm="1">
        <f t="array" ref="BC35">flatInterpolation($AG35,$S$4:$S$9,BB$5:BB$10)</f>
        <v>5.0001000000000004E-3</v>
      </c>
      <c r="BD35" s="26">
        <f t="shared" si="14"/>
        <v>0.96199091233333112</v>
      </c>
      <c r="BE35" s="122">
        <f t="shared" si="15"/>
        <v>1.2032645889170634E-3</v>
      </c>
    </row>
    <row r="36" spans="3:57" x14ac:dyDescent="0.3">
      <c r="O36" s="55" t="s">
        <v>147</v>
      </c>
      <c r="T36" s="2"/>
      <c r="X36" s="24">
        <f t="shared" si="16"/>
        <v>8</v>
      </c>
      <c r="Y36" s="25" cm="1">
        <f t="array" ref="Y36">flatInterpolation(X36,$S$4:$S$9,$T$4:$T$9)</f>
        <v>5.0000000000000001E-3</v>
      </c>
      <c r="Z36" s="26">
        <f t="shared" si="2"/>
        <v>0.96078943915232451</v>
      </c>
      <c r="AA36" s="26">
        <f t="shared" si="3"/>
        <v>1.201737728544483E-3</v>
      </c>
      <c r="AB36" s="27" cm="1">
        <f t="array" ref="AB36">cubicInterpolation(CurveResults.Times,CurveResults.DFs,$X36)</f>
        <v>0.72878404327648572</v>
      </c>
      <c r="AG36" s="24">
        <f t="shared" si="17"/>
        <v>8</v>
      </c>
      <c r="AI36" s="18" cm="1">
        <f t="array" ref="AI36">flatInterpolation($AG36,$S$4:$S$9,AH$5:AH$10)</f>
        <v>5.0000000000000001E-3</v>
      </c>
      <c r="AJ36" s="26">
        <f t="shared" si="4"/>
        <v>0.96078934307338537</v>
      </c>
      <c r="AK36" s="122">
        <f t="shared" si="5"/>
        <v>1.2017376083707232E-3</v>
      </c>
      <c r="AL36" s="116"/>
      <c r="AM36" s="18" cm="1">
        <f t="array" ref="AM36">flatInterpolation($AG36,$S$4:$S$9,AL$5:AL$10)</f>
        <v>5.0000000000000001E-3</v>
      </c>
      <c r="AN36" s="26">
        <f t="shared" si="6"/>
        <v>0.96078934307338548</v>
      </c>
      <c r="AO36" s="122">
        <f t="shared" si="7"/>
        <v>1.2017376083707232E-3</v>
      </c>
      <c r="AP36" s="116"/>
      <c r="AQ36" s="18" cm="1">
        <f t="array" ref="AQ36">flatInterpolation($AG36,$S$4:$S$9,AP$5:AP$10)</f>
        <v>5.0000000000000001E-3</v>
      </c>
      <c r="AR36" s="26">
        <f t="shared" si="8"/>
        <v>0.96078934307338537</v>
      </c>
      <c r="AS36" s="122">
        <f t="shared" si="9"/>
        <v>1.2017376083707232E-3</v>
      </c>
      <c r="AT36" s="116"/>
      <c r="AU36" s="18" cm="1">
        <f t="array" ref="AU36">flatInterpolation($AG36,$S$4:$S$9,AT$5:AT$10)</f>
        <v>5.0000000000000001E-3</v>
      </c>
      <c r="AV36" s="26">
        <f t="shared" si="10"/>
        <v>0.96078934307338537</v>
      </c>
      <c r="AW36" s="122">
        <f t="shared" si="11"/>
        <v>1.2017376083707232E-3</v>
      </c>
      <c r="AX36" s="116"/>
      <c r="AY36" s="18" cm="1">
        <f t="array" ref="AY36">flatInterpolation($AG36,$S$4:$S$9,AX$5:AX$10)</f>
        <v>5.0000000000000001E-3</v>
      </c>
      <c r="AZ36" s="26">
        <f t="shared" si="12"/>
        <v>0.96078934307338526</v>
      </c>
      <c r="BA36" s="122">
        <f t="shared" si="13"/>
        <v>1.2017376083707232E-3</v>
      </c>
      <c r="BB36" s="116"/>
      <c r="BC36" s="18" cm="1">
        <f t="array" ref="BC36">flatInterpolation($AG36,$S$4:$S$9,BB$5:BB$10)</f>
        <v>5.0001000000000004E-3</v>
      </c>
      <c r="BD36" s="26">
        <f t="shared" si="14"/>
        <v>0.96078915091553541</v>
      </c>
      <c r="BE36" s="122">
        <f t="shared" si="15"/>
        <v>1.2017614177957103E-3</v>
      </c>
    </row>
    <row r="37" spans="3:57" x14ac:dyDescent="0.3">
      <c r="O37" s="46" t="b">
        <v>0</v>
      </c>
      <c r="X37" s="24">
        <f t="shared" si="16"/>
        <v>8.25</v>
      </c>
      <c r="Y37" s="25" cm="1">
        <f t="array" ref="Y37">flatInterpolation(X37,$S$4:$S$9,$T$4:$T$9)</f>
        <v>5.0000000000000001E-3</v>
      </c>
      <c r="Z37" s="26">
        <f t="shared" si="2"/>
        <v>0.95958920265747427</v>
      </c>
      <c r="AA37" s="26">
        <f t="shared" si="3"/>
        <v>1.2002364948502375E-3</v>
      </c>
      <c r="AB37" s="27" cm="1">
        <f t="array" ref="AB37">cubicInterpolation(CurveResults.Times,CurveResults.DFs,$X37)</f>
        <v>0.72197918670630057</v>
      </c>
      <c r="AG37" s="24">
        <f t="shared" si="17"/>
        <v>8.25</v>
      </c>
      <c r="AI37" s="18" cm="1">
        <f t="array" ref="AI37">flatInterpolation($AG37,$S$4:$S$9,AH$5:AH$10)</f>
        <v>5.0000000000000001E-3</v>
      </c>
      <c r="AJ37" s="26">
        <f t="shared" si="4"/>
        <v>0.95958910669855868</v>
      </c>
      <c r="AK37" s="122">
        <f t="shared" si="5"/>
        <v>1.2002363748266909E-3</v>
      </c>
      <c r="AL37" s="116"/>
      <c r="AM37" s="18" cm="1">
        <f t="array" ref="AM37">flatInterpolation($AG37,$S$4:$S$9,AL$5:AL$10)</f>
        <v>5.0000000000000001E-3</v>
      </c>
      <c r="AN37" s="26">
        <f t="shared" si="6"/>
        <v>0.95958910669855879</v>
      </c>
      <c r="AO37" s="122">
        <f t="shared" si="7"/>
        <v>1.2002363748266909E-3</v>
      </c>
      <c r="AP37" s="116"/>
      <c r="AQ37" s="18" cm="1">
        <f t="array" ref="AQ37">flatInterpolation($AG37,$S$4:$S$9,AP$5:AP$10)</f>
        <v>5.0000000000000001E-3</v>
      </c>
      <c r="AR37" s="26">
        <f t="shared" si="8"/>
        <v>0.95958910669855868</v>
      </c>
      <c r="AS37" s="122">
        <f t="shared" si="9"/>
        <v>1.2002363748266909E-3</v>
      </c>
      <c r="AT37" s="116"/>
      <c r="AU37" s="18" cm="1">
        <f t="array" ref="AU37">flatInterpolation($AG37,$S$4:$S$9,AT$5:AT$10)</f>
        <v>5.0000000000000001E-3</v>
      </c>
      <c r="AV37" s="26">
        <f t="shared" si="10"/>
        <v>0.95958910669855868</v>
      </c>
      <c r="AW37" s="122">
        <f t="shared" si="11"/>
        <v>1.2002363748266909E-3</v>
      </c>
      <c r="AX37" s="116"/>
      <c r="AY37" s="18" cm="1">
        <f t="array" ref="AY37">flatInterpolation($AG37,$S$4:$S$9,AX$5:AX$10)</f>
        <v>5.0000000000000001E-3</v>
      </c>
      <c r="AZ37" s="26">
        <f t="shared" si="12"/>
        <v>0.95958910669855857</v>
      </c>
      <c r="BA37" s="122">
        <f t="shared" si="13"/>
        <v>1.2002363748266909E-3</v>
      </c>
      <c r="BB37" s="116"/>
      <c r="BC37" s="18" cm="1">
        <f t="array" ref="BC37">flatInterpolation($AG37,$S$4:$S$9,BB$5:BB$10)</f>
        <v>5.0001000000000004E-3</v>
      </c>
      <c r="BD37" s="26">
        <f t="shared" si="14"/>
        <v>0.95958889079103338</v>
      </c>
      <c r="BE37" s="122">
        <f t="shared" si="15"/>
        <v>1.2002601245020283E-3</v>
      </c>
    </row>
    <row r="38" spans="3:57" x14ac:dyDescent="0.3">
      <c r="X38" s="24">
        <f t="shared" si="16"/>
        <v>8.5</v>
      </c>
      <c r="Y38" s="25" cm="1">
        <f t="array" ref="Y38">flatInterpolation(X38,$S$4:$S$9,$T$4:$T$9)</f>
        <v>5.0000000000000001E-3</v>
      </c>
      <c r="Z38" s="26">
        <f t="shared" si="2"/>
        <v>0.95839046552094842</v>
      </c>
      <c r="AA38" s="26">
        <f t="shared" si="3"/>
        <v>1.1987371365258515E-3</v>
      </c>
      <c r="AB38" s="27" cm="1">
        <f t="array" ref="AB38">cubicInterpolation(CurveResults.Times,CurveResults.DFs,$X38)</f>
        <v>0.71521904339088416</v>
      </c>
      <c r="AG38" s="24">
        <f t="shared" si="17"/>
        <v>8.5</v>
      </c>
      <c r="AI38" s="18" cm="1">
        <f t="array" ref="AI38">flatInterpolation($AG38,$S$4:$S$9,AH$5:AH$10)</f>
        <v>5.0000000000000001E-3</v>
      </c>
      <c r="AJ38" s="26">
        <f t="shared" si="4"/>
        <v>0.9583903696819065</v>
      </c>
      <c r="AK38" s="122">
        <f t="shared" si="5"/>
        <v>1.1987370166521849E-3</v>
      </c>
      <c r="AL38" s="116"/>
      <c r="AM38" s="18" cm="1">
        <f t="array" ref="AM38">flatInterpolation($AG38,$S$4:$S$9,AL$5:AL$10)</f>
        <v>5.0000000000000001E-3</v>
      </c>
      <c r="AN38" s="26">
        <f t="shared" si="6"/>
        <v>0.95839036968190661</v>
      </c>
      <c r="AO38" s="122">
        <f t="shared" si="7"/>
        <v>1.1987370166521849E-3</v>
      </c>
      <c r="AP38" s="116"/>
      <c r="AQ38" s="18" cm="1">
        <f t="array" ref="AQ38">flatInterpolation($AG38,$S$4:$S$9,AP$5:AP$10)</f>
        <v>5.0000000000000001E-3</v>
      </c>
      <c r="AR38" s="26">
        <f t="shared" si="8"/>
        <v>0.9583903696819065</v>
      </c>
      <c r="AS38" s="122">
        <f t="shared" si="9"/>
        <v>1.1987370166521849E-3</v>
      </c>
      <c r="AT38" s="116"/>
      <c r="AU38" s="18" cm="1">
        <f t="array" ref="AU38">flatInterpolation($AG38,$S$4:$S$9,AT$5:AT$10)</f>
        <v>5.0000000000000001E-3</v>
      </c>
      <c r="AV38" s="26">
        <f t="shared" si="10"/>
        <v>0.9583903696819065</v>
      </c>
      <c r="AW38" s="122">
        <f t="shared" si="11"/>
        <v>1.1987370166521849E-3</v>
      </c>
      <c r="AX38" s="116"/>
      <c r="AY38" s="18" cm="1">
        <f t="array" ref="AY38">flatInterpolation($AG38,$S$4:$S$9,AX$5:AX$10)</f>
        <v>5.0000000000000001E-3</v>
      </c>
      <c r="AZ38" s="26">
        <f t="shared" si="12"/>
        <v>0.95839036968190638</v>
      </c>
      <c r="BA38" s="122">
        <f t="shared" si="13"/>
        <v>1.1987370166521849E-3</v>
      </c>
      <c r="BB38" s="116"/>
      <c r="BC38" s="18" cm="1">
        <f t="array" ref="BC38">flatInterpolation($AG38,$S$4:$S$9,BB$5:BB$10)</f>
        <v>5.0001000000000004E-3</v>
      </c>
      <c r="BD38" s="26">
        <f t="shared" si="14"/>
        <v>0.95839013008434337</v>
      </c>
      <c r="BE38" s="122">
        <f t="shared" si="15"/>
        <v>1.1987607066900052E-3</v>
      </c>
    </row>
    <row r="39" spans="3:57" x14ac:dyDescent="0.3">
      <c r="U39" s="2"/>
      <c r="V39" s="2"/>
      <c r="W39" s="2"/>
      <c r="X39" s="24">
        <f t="shared" si="16"/>
        <v>8.75</v>
      </c>
      <c r="Y39" s="25" cm="1">
        <f t="array" ref="Y39">flatInterpolation(X39,$S$4:$S$9,$T$4:$T$9)</f>
        <v>5.0000000000000001E-3</v>
      </c>
      <c r="Z39" s="26">
        <f t="shared" si="2"/>
        <v>0.95719322586971989</v>
      </c>
      <c r="AA39" s="26">
        <f t="shared" si="3"/>
        <v>1.1972396512285322E-3</v>
      </c>
      <c r="AB39" s="27" cm="1">
        <f t="array" ref="AB39">cubicInterpolation(CurveResults.Times,CurveResults.DFs,$X39)</f>
        <v>0.70850408855642577</v>
      </c>
      <c r="AG39" s="24">
        <f t="shared" si="17"/>
        <v>8.75</v>
      </c>
      <c r="AI39" s="18" cm="1">
        <f t="array" ref="AI39">flatInterpolation($AG39,$S$4:$S$9,AH$5:AH$10)</f>
        <v>5.0000000000000001E-3</v>
      </c>
      <c r="AJ39" s="26">
        <f t="shared" si="4"/>
        <v>0.95719313015040186</v>
      </c>
      <c r="AK39" s="122">
        <f t="shared" si="5"/>
        <v>1.1972395315046347E-3</v>
      </c>
      <c r="AL39" s="116"/>
      <c r="AM39" s="18" cm="1">
        <f t="array" ref="AM39">flatInterpolation($AG39,$S$4:$S$9,AL$5:AL$10)</f>
        <v>5.0000000000000001E-3</v>
      </c>
      <c r="AN39" s="26">
        <f t="shared" si="6"/>
        <v>0.95719313015040197</v>
      </c>
      <c r="AO39" s="122">
        <f t="shared" si="7"/>
        <v>1.1972395315046347E-3</v>
      </c>
      <c r="AP39" s="116"/>
      <c r="AQ39" s="18" cm="1">
        <f t="array" ref="AQ39">flatInterpolation($AG39,$S$4:$S$9,AP$5:AP$10)</f>
        <v>5.0000000000000001E-3</v>
      </c>
      <c r="AR39" s="26">
        <f t="shared" si="8"/>
        <v>0.95719313015040186</v>
      </c>
      <c r="AS39" s="122">
        <f t="shared" si="9"/>
        <v>1.1972395315046347E-3</v>
      </c>
      <c r="AT39" s="116"/>
      <c r="AU39" s="18" cm="1">
        <f t="array" ref="AU39">flatInterpolation($AG39,$S$4:$S$9,AT$5:AT$10)</f>
        <v>5.0000000000000001E-3</v>
      </c>
      <c r="AV39" s="26">
        <f t="shared" si="10"/>
        <v>0.95719313015040186</v>
      </c>
      <c r="AW39" s="122">
        <f t="shared" si="11"/>
        <v>1.1972395315046347E-3</v>
      </c>
      <c r="AX39" s="116"/>
      <c r="AY39" s="18" cm="1">
        <f t="array" ref="AY39">flatInterpolation($AG39,$S$4:$S$9,AX$5:AX$10)</f>
        <v>5.0000000000000001E-3</v>
      </c>
      <c r="AZ39" s="26">
        <f t="shared" si="12"/>
        <v>0.95719313015040175</v>
      </c>
      <c r="BA39" s="122">
        <f t="shared" si="13"/>
        <v>1.1972395315046347E-3</v>
      </c>
      <c r="BB39" s="116"/>
      <c r="BC39" s="18" cm="1">
        <f t="array" ref="BC39">flatInterpolation($AG39,$S$4:$S$9,BB$5:BB$10)</f>
        <v>5.0001000000000004E-3</v>
      </c>
      <c r="BD39" s="26">
        <f t="shared" si="14"/>
        <v>0.95719286692232664</v>
      </c>
      <c r="BE39" s="122">
        <f t="shared" si="15"/>
        <v>1.1972631620167373E-3</v>
      </c>
    </row>
    <row r="40" spans="3:57" x14ac:dyDescent="0.3">
      <c r="K40" s="44" t="s">
        <v>42</v>
      </c>
      <c r="L40" s="2"/>
      <c r="M40" s="2"/>
      <c r="N40" s="2"/>
      <c r="O40" s="2"/>
      <c r="P40" s="45"/>
      <c r="Q40" s="2"/>
      <c r="R40" s="2"/>
      <c r="X40" s="24">
        <f t="shared" si="16"/>
        <v>9</v>
      </c>
      <c r="Y40" s="25" cm="1">
        <f t="array" ref="Y40">flatInterpolation(X40,$S$4:$S$9,$T$4:$T$9)</f>
        <v>5.0000000000000001E-3</v>
      </c>
      <c r="Z40" s="26">
        <f t="shared" si="2"/>
        <v>0.95599748183310151</v>
      </c>
      <c r="AA40" s="26">
        <f t="shared" si="3"/>
        <v>1.1957440366183736E-3</v>
      </c>
      <c r="AB40" s="27" cm="1">
        <f t="array" ref="AB40">cubicInterpolation(CurveResults.Times,CurveResults.DFs,$X40)</f>
        <v>0.70183479742911425</v>
      </c>
      <c r="AG40" s="24">
        <f t="shared" si="17"/>
        <v>9</v>
      </c>
      <c r="AI40" s="18" cm="1">
        <f t="array" ref="AI40">flatInterpolation($AG40,$S$4:$S$9,AH$5:AH$10)</f>
        <v>5.0000000000000001E-3</v>
      </c>
      <c r="AJ40" s="26">
        <f t="shared" si="4"/>
        <v>0.95599738623335784</v>
      </c>
      <c r="AK40" s="122">
        <f t="shared" si="5"/>
        <v>1.1957439170440232E-3</v>
      </c>
      <c r="AL40" s="116"/>
      <c r="AM40" s="18" cm="1">
        <f t="array" ref="AM40">flatInterpolation($AG40,$S$4:$S$9,AL$5:AL$10)</f>
        <v>5.0000000000000001E-3</v>
      </c>
      <c r="AN40" s="26">
        <f t="shared" si="6"/>
        <v>0.95599738623335795</v>
      </c>
      <c r="AO40" s="122">
        <f t="shared" si="7"/>
        <v>1.1957439170440232E-3</v>
      </c>
      <c r="AP40" s="116"/>
      <c r="AQ40" s="18" cm="1">
        <f t="array" ref="AQ40">flatInterpolation($AG40,$S$4:$S$9,AP$5:AP$10)</f>
        <v>5.0000000000000001E-3</v>
      </c>
      <c r="AR40" s="26">
        <f t="shared" si="8"/>
        <v>0.95599738623335784</v>
      </c>
      <c r="AS40" s="122">
        <f t="shared" si="9"/>
        <v>1.1957439170440232E-3</v>
      </c>
      <c r="AT40" s="116"/>
      <c r="AU40" s="18" cm="1">
        <f t="array" ref="AU40">flatInterpolation($AG40,$S$4:$S$9,AT$5:AT$10)</f>
        <v>5.0000000000000001E-3</v>
      </c>
      <c r="AV40" s="26">
        <f t="shared" si="10"/>
        <v>0.95599738623335784</v>
      </c>
      <c r="AW40" s="122">
        <f t="shared" si="11"/>
        <v>1.1957439170440232E-3</v>
      </c>
      <c r="AX40" s="116"/>
      <c r="AY40" s="18" cm="1">
        <f t="array" ref="AY40">flatInterpolation($AG40,$S$4:$S$9,AX$5:AX$10)</f>
        <v>5.0000000000000001E-3</v>
      </c>
      <c r="AZ40" s="26">
        <f t="shared" si="12"/>
        <v>0.95599738623335773</v>
      </c>
      <c r="BA40" s="122">
        <f t="shared" si="13"/>
        <v>1.1957439170440232E-3</v>
      </c>
      <c r="BB40" s="116"/>
      <c r="BC40" s="18" cm="1">
        <f t="array" ref="BC40">flatInterpolation($AG40,$S$4:$S$9,BB$5:BB$10)</f>
        <v>5.0001000000000004E-3</v>
      </c>
      <c r="BD40" s="26">
        <f t="shared" si="14"/>
        <v>0.95599709943418432</v>
      </c>
      <c r="BE40" s="122">
        <f t="shared" si="15"/>
        <v>1.1957674881423186E-3</v>
      </c>
    </row>
    <row r="41" spans="3:57" ht="15.6" x14ac:dyDescent="0.3">
      <c r="C41" s="54"/>
      <c r="D41" s="54"/>
      <c r="E41" s="54"/>
      <c r="F41" s="54"/>
      <c r="G41" s="54"/>
      <c r="H41" s="54"/>
      <c r="J41" s="54" t="s">
        <v>30</v>
      </c>
      <c r="K41" s="2" t="s">
        <v>31</v>
      </c>
      <c r="L41" s="2" t="s">
        <v>32</v>
      </c>
      <c r="M41" s="2" t="s">
        <v>33</v>
      </c>
      <c r="N41" s="2" t="s">
        <v>34</v>
      </c>
      <c r="O41" s="2" t="s">
        <v>35</v>
      </c>
      <c r="P41" s="2" t="s">
        <v>36</v>
      </c>
      <c r="Q41" s="2" t="s">
        <v>37</v>
      </c>
      <c r="R41" s="2" t="s">
        <v>38</v>
      </c>
      <c r="S41" s="2" t="s">
        <v>39</v>
      </c>
      <c r="T41" s="2" t="s">
        <v>40</v>
      </c>
      <c r="U41" s="2" t="s">
        <v>41</v>
      </c>
      <c r="V41" s="2"/>
      <c r="W41" s="2"/>
      <c r="X41" s="24">
        <f t="shared" si="16"/>
        <v>9.25</v>
      </c>
      <c r="Y41" s="25" cm="1">
        <f t="array" ref="Y41">flatInterpolation(X41,$S$4:$S$9,$T$4:$T$9)</f>
        <v>5.0000000000000001E-3</v>
      </c>
      <c r="Z41" s="26">
        <f t="shared" si="2"/>
        <v>0.95480323154274305</v>
      </c>
      <c r="AA41" s="26">
        <f t="shared" si="3"/>
        <v>1.1942502903584673E-3</v>
      </c>
      <c r="AB41" s="27" cm="1">
        <f t="array" ref="AB41">cubicInterpolation(CurveResults.Times,CurveResults.DFs,$X41)</f>
        <v>0.69522831370022098</v>
      </c>
      <c r="AG41" s="24">
        <f t="shared" si="17"/>
        <v>9.25</v>
      </c>
      <c r="AI41" s="18" cm="1">
        <f t="array" ref="AI41">flatInterpolation($AG41,$S$4:$S$9,AH$5:AH$10)</f>
        <v>5.0000000000000001E-3</v>
      </c>
      <c r="AJ41" s="26">
        <f t="shared" si="4"/>
        <v>0.9548031360624244</v>
      </c>
      <c r="AK41" s="122">
        <f t="shared" si="5"/>
        <v>1.1942501709334419E-3</v>
      </c>
      <c r="AL41" s="116"/>
      <c r="AM41" s="18" cm="1">
        <f t="array" ref="AM41">flatInterpolation($AG41,$S$4:$S$9,AL$5:AL$10)</f>
        <v>5.0000000000000001E-3</v>
      </c>
      <c r="AN41" s="26">
        <f t="shared" si="6"/>
        <v>0.95480313606242451</v>
      </c>
      <c r="AO41" s="122">
        <f t="shared" si="7"/>
        <v>1.1942501709334419E-3</v>
      </c>
      <c r="AP41" s="116"/>
      <c r="AQ41" s="18" cm="1">
        <f t="array" ref="AQ41">flatInterpolation($AG41,$S$4:$S$9,AP$5:AP$10)</f>
        <v>5.0000000000000001E-3</v>
      </c>
      <c r="AR41" s="26">
        <f t="shared" si="8"/>
        <v>0.9548031360624244</v>
      </c>
      <c r="AS41" s="122">
        <f t="shared" si="9"/>
        <v>1.1942501709334419E-3</v>
      </c>
      <c r="AT41" s="116"/>
      <c r="AU41" s="18" cm="1">
        <f t="array" ref="AU41">flatInterpolation($AG41,$S$4:$S$9,AT$5:AT$10)</f>
        <v>5.0000000000000001E-3</v>
      </c>
      <c r="AV41" s="26">
        <f t="shared" si="10"/>
        <v>0.9548031360624244</v>
      </c>
      <c r="AW41" s="122">
        <f t="shared" si="11"/>
        <v>1.1942501709334419E-3</v>
      </c>
      <c r="AX41" s="116"/>
      <c r="AY41" s="18" cm="1">
        <f t="array" ref="AY41">flatInterpolation($AG41,$S$4:$S$9,AX$5:AX$10)</f>
        <v>5.0000000000000001E-3</v>
      </c>
      <c r="AZ41" s="26">
        <f t="shared" si="12"/>
        <v>0.95480313606242428</v>
      </c>
      <c r="BA41" s="122">
        <f t="shared" si="13"/>
        <v>1.1942501709334419E-3</v>
      </c>
      <c r="BB41" s="116"/>
      <c r="BC41" s="18" cm="1">
        <f t="array" ref="BC41">flatInterpolation($AG41,$S$4:$S$9,BB$5:BB$10)</f>
        <v>5.0001000000000004E-3</v>
      </c>
      <c r="BD41" s="26">
        <f t="shared" si="14"/>
        <v>0.95480282575145481</v>
      </c>
      <c r="BE41" s="122">
        <f t="shared" si="15"/>
        <v>1.1942736827295075E-3</v>
      </c>
    </row>
    <row r="42" spans="3:57" x14ac:dyDescent="0.3">
      <c r="C42" s="2"/>
      <c r="D42" s="2"/>
      <c r="E42" s="2"/>
      <c r="F42" s="2"/>
      <c r="G42" s="2"/>
      <c r="H42" s="2"/>
      <c r="J42" s="2" t="s">
        <v>11</v>
      </c>
      <c r="K42" s="107">
        <v>5.0000000000000001E-3</v>
      </c>
      <c r="L42" s="108">
        <v>5.0000006510419375E-3</v>
      </c>
      <c r="M42" s="108"/>
      <c r="N42" s="108"/>
      <c r="O42" s="108"/>
      <c r="P42" s="108"/>
      <c r="Q42" s="108"/>
      <c r="R42" s="108"/>
      <c r="S42" s="108"/>
      <c r="T42" s="108"/>
      <c r="U42" s="109"/>
      <c r="V42" s="103"/>
      <c r="W42" s="103"/>
      <c r="X42" s="24">
        <f t="shared" si="16"/>
        <v>9.5</v>
      </c>
      <c r="Y42" s="25" cm="1">
        <f t="array" ref="Y42">flatInterpolation(X42,$S$4:$S$9,$T$4:$T$9)</f>
        <v>5.0000000000000001E-3</v>
      </c>
      <c r="Z42" s="26">
        <f t="shared" si="2"/>
        <v>0.95361047313262803</v>
      </c>
      <c r="AA42" s="26">
        <f t="shared" si="3"/>
        <v>1.1927584101150135E-3</v>
      </c>
      <c r="AB42" s="27" cm="1">
        <f t="array" ref="AB42">cubicInterpolation(CurveResults.Times,CurveResults.DFs,$X42)</f>
        <v>0.68867871159434935</v>
      </c>
      <c r="AG42" s="24">
        <f t="shared" si="17"/>
        <v>9.5</v>
      </c>
      <c r="AI42" s="18" cm="1">
        <f t="array" ref="AI42">flatInterpolation($AG42,$S$4:$S$9,AH$5:AH$10)</f>
        <v>5.0000000000000001E-3</v>
      </c>
      <c r="AJ42" s="26">
        <f t="shared" si="4"/>
        <v>0.9536103777715853</v>
      </c>
      <c r="AK42" s="122">
        <f t="shared" si="5"/>
        <v>1.192758290839091E-3</v>
      </c>
      <c r="AL42" s="116"/>
      <c r="AM42" s="18" cm="1">
        <f t="array" ref="AM42">flatInterpolation($AG42,$S$4:$S$9,AL$5:AL$10)</f>
        <v>5.0000000000000001E-3</v>
      </c>
      <c r="AN42" s="26">
        <f t="shared" si="6"/>
        <v>0.95361037777158542</v>
      </c>
      <c r="AO42" s="122">
        <f t="shared" si="7"/>
        <v>1.192758290839091E-3</v>
      </c>
      <c r="AP42" s="116"/>
      <c r="AQ42" s="18" cm="1">
        <f t="array" ref="AQ42">flatInterpolation($AG42,$S$4:$S$9,AP$5:AP$10)</f>
        <v>5.0000000000000001E-3</v>
      </c>
      <c r="AR42" s="26">
        <f t="shared" si="8"/>
        <v>0.9536103777715853</v>
      </c>
      <c r="AS42" s="122">
        <f t="shared" si="9"/>
        <v>1.192758290839091E-3</v>
      </c>
      <c r="AT42" s="116"/>
      <c r="AU42" s="18" cm="1">
        <f t="array" ref="AU42">flatInterpolation($AG42,$S$4:$S$9,AT$5:AT$10)</f>
        <v>5.0000000000000001E-3</v>
      </c>
      <c r="AV42" s="26">
        <f t="shared" si="10"/>
        <v>0.9536103777715853</v>
      </c>
      <c r="AW42" s="122">
        <f t="shared" si="11"/>
        <v>1.192758290839091E-3</v>
      </c>
      <c r="AX42" s="116"/>
      <c r="AY42" s="18" cm="1">
        <f t="array" ref="AY42">flatInterpolation($AG42,$S$4:$S$9,AX$5:AX$10)</f>
        <v>5.0000000000000001E-3</v>
      </c>
      <c r="AZ42" s="26">
        <f t="shared" si="12"/>
        <v>0.95361037777158519</v>
      </c>
      <c r="BA42" s="122">
        <f t="shared" si="13"/>
        <v>1.192758290839091E-3</v>
      </c>
      <c r="BB42" s="116"/>
      <c r="BC42" s="18" cm="1">
        <f t="array" ref="BC42">flatInterpolation($AG42,$S$4:$S$9,BB$5:BB$10)</f>
        <v>5.0001000000000004E-3</v>
      </c>
      <c r="BD42" s="26">
        <f t="shared" si="14"/>
        <v>0.95361004400801064</v>
      </c>
      <c r="BE42" s="122">
        <f t="shared" si="15"/>
        <v>1.1927817434441712E-3</v>
      </c>
    </row>
    <row r="43" spans="3:57" x14ac:dyDescent="0.3">
      <c r="C43" s="2"/>
      <c r="D43" s="2"/>
      <c r="E43" s="2"/>
      <c r="F43" s="2"/>
      <c r="G43" s="2"/>
      <c r="H43" s="2"/>
      <c r="J43" s="2" t="s">
        <v>12</v>
      </c>
      <c r="K43" s="110">
        <v>5.0000000000000001E-3</v>
      </c>
      <c r="L43" s="103">
        <v>5.0000006510419791E-3</v>
      </c>
      <c r="M43" s="103"/>
      <c r="N43" s="103"/>
      <c r="O43" s="103"/>
      <c r="P43" s="103"/>
      <c r="Q43" s="103"/>
      <c r="R43" s="103"/>
      <c r="S43" s="103"/>
      <c r="T43" s="103"/>
      <c r="U43" s="104"/>
      <c r="V43" s="103"/>
      <c r="W43" s="103"/>
      <c r="X43" s="24">
        <f t="shared" si="16"/>
        <v>9.75</v>
      </c>
      <c r="Y43" s="25" cm="1">
        <f t="array" ref="Y43">flatInterpolation(X43,$S$4:$S$9,$T$4:$T$9)</f>
        <v>5.0000000000000001E-3</v>
      </c>
      <c r="Z43" s="26">
        <f t="shared" si="2"/>
        <v>0.95241920473907138</v>
      </c>
      <c r="AA43" s="26">
        <f t="shared" si="3"/>
        <v>1.1912683935566548E-3</v>
      </c>
      <c r="AB43" s="27" cm="1">
        <f t="array" ref="AB43">cubicInterpolation(CurveResults.Times,CurveResults.DFs,$X43)</f>
        <v>0.6821518621376863</v>
      </c>
      <c r="AG43" s="24">
        <f t="shared" si="17"/>
        <v>9.75</v>
      </c>
      <c r="AI43" s="18" cm="1">
        <f t="array" ref="AI43">flatInterpolation($AG43,$S$4:$S$9,AH$5:AH$10)</f>
        <v>5.0000000000000001E-3</v>
      </c>
      <c r="AJ43" s="26">
        <f t="shared" si="4"/>
        <v>0.95241910949715547</v>
      </c>
      <c r="AK43" s="122">
        <f t="shared" si="5"/>
        <v>1.1912682744298353E-3</v>
      </c>
      <c r="AL43" s="116"/>
      <c r="AM43" s="18" cm="1">
        <f t="array" ref="AM43">flatInterpolation($AG43,$S$4:$S$9,AL$5:AL$10)</f>
        <v>5.0000000000000001E-3</v>
      </c>
      <c r="AN43" s="26">
        <f t="shared" si="6"/>
        <v>0.95241910949715558</v>
      </c>
      <c r="AO43" s="122">
        <f t="shared" si="7"/>
        <v>1.1912682744298353E-3</v>
      </c>
      <c r="AP43" s="116"/>
      <c r="AQ43" s="18" cm="1">
        <f t="array" ref="AQ43">flatInterpolation($AG43,$S$4:$S$9,AP$5:AP$10)</f>
        <v>5.0000000000000001E-3</v>
      </c>
      <c r="AR43" s="26">
        <f t="shared" si="8"/>
        <v>0.95241910949715547</v>
      </c>
      <c r="AS43" s="122">
        <f t="shared" si="9"/>
        <v>1.1912682744298353E-3</v>
      </c>
      <c r="AT43" s="116"/>
      <c r="AU43" s="18" cm="1">
        <f t="array" ref="AU43">flatInterpolation($AG43,$S$4:$S$9,AT$5:AT$10)</f>
        <v>5.0000000000000001E-3</v>
      </c>
      <c r="AV43" s="26">
        <f t="shared" si="10"/>
        <v>0.95241910949715547</v>
      </c>
      <c r="AW43" s="122">
        <f t="shared" si="11"/>
        <v>1.1912682744298353E-3</v>
      </c>
      <c r="AX43" s="116"/>
      <c r="AY43" s="18" cm="1">
        <f t="array" ref="AY43">flatInterpolation($AG43,$S$4:$S$9,AX$5:AX$10)</f>
        <v>5.0000000000000001E-3</v>
      </c>
      <c r="AZ43" s="26">
        <f t="shared" si="12"/>
        <v>0.95241910949715536</v>
      </c>
      <c r="BA43" s="122">
        <f t="shared" si="13"/>
        <v>1.1912682744298353E-3</v>
      </c>
      <c r="BB43" s="116"/>
      <c r="BC43" s="18" cm="1">
        <f t="array" ref="BC43">flatInterpolation($AG43,$S$4:$S$9,BB$5:BB$10)</f>
        <v>5.0001000000000004E-3</v>
      </c>
      <c r="BD43" s="26">
        <f t="shared" si="14"/>
        <v>0.95241875234005546</v>
      </c>
      <c r="BE43" s="122">
        <f t="shared" si="15"/>
        <v>1.1912916679551744E-3</v>
      </c>
    </row>
    <row r="44" spans="3:57" x14ac:dyDescent="0.3">
      <c r="C44" s="2"/>
      <c r="D44" s="2"/>
      <c r="E44" s="2"/>
      <c r="F44" s="2"/>
      <c r="G44" s="2"/>
      <c r="H44" s="2"/>
      <c r="J44" s="2" t="s">
        <v>13</v>
      </c>
      <c r="K44" s="110">
        <v>5.0000000000000001E-3</v>
      </c>
      <c r="L44" s="103">
        <v>5.0000006510420901E-3</v>
      </c>
      <c r="M44" s="103"/>
      <c r="N44" s="103"/>
      <c r="O44" s="103"/>
      <c r="P44" s="103"/>
      <c r="Q44" s="103"/>
      <c r="R44" s="103"/>
      <c r="S44" s="103"/>
      <c r="T44" s="103"/>
      <c r="U44" s="104"/>
      <c r="V44" s="103"/>
      <c r="W44" s="103"/>
      <c r="X44" s="9">
        <f t="shared" si="16"/>
        <v>10</v>
      </c>
      <c r="Y44" s="19" cm="1">
        <f t="array" ref="Y44">flatInterpolation(X44,$S$4:$S$9,$T$4:$T$9)</f>
        <v>5.0000000000000001E-3</v>
      </c>
      <c r="Z44" s="14">
        <f t="shared" si="2"/>
        <v>0.9512294245007159</v>
      </c>
      <c r="AA44" s="14">
        <f t="shared" si="3"/>
        <v>1.1897802383554756E-3</v>
      </c>
      <c r="AB44" s="15" cm="1">
        <f t="array" ref="AB44">cubicInterpolation(CurveResults.Times,CurveResults.DFs,$X44)</f>
        <v>0.67561363635641902</v>
      </c>
      <c r="AG44" s="9">
        <f t="shared" si="17"/>
        <v>10</v>
      </c>
      <c r="AH44" s="113"/>
      <c r="AI44" s="36" cm="1">
        <f t="array" ref="AI44">flatInterpolation($AG44,$S$4:$S$9,AH$5:AH$10)</f>
        <v>5.0000000000000001E-3</v>
      </c>
      <c r="AJ44" s="14">
        <f t="shared" si="4"/>
        <v>0.95122932937777793</v>
      </c>
      <c r="AK44" s="123">
        <f t="shared" si="5"/>
        <v>1.189780119377537E-3</v>
      </c>
      <c r="AL44" s="112"/>
      <c r="AM44" s="36" cm="1">
        <f t="array" ref="AM44">flatInterpolation($AG44,$S$4:$S$9,AL$5:AL$10)</f>
        <v>5.0000000000000001E-3</v>
      </c>
      <c r="AN44" s="14">
        <f t="shared" si="6"/>
        <v>0.95122932937777804</v>
      </c>
      <c r="AO44" s="123">
        <f t="shared" si="7"/>
        <v>1.189780119377537E-3</v>
      </c>
      <c r="AP44" s="112"/>
      <c r="AQ44" s="36" cm="1">
        <f t="array" ref="AQ44">flatInterpolation($AG44,$S$4:$S$9,AP$5:AP$10)</f>
        <v>5.0000000000000001E-3</v>
      </c>
      <c r="AR44" s="14">
        <f t="shared" si="8"/>
        <v>0.95122932937777793</v>
      </c>
      <c r="AS44" s="123">
        <f t="shared" si="9"/>
        <v>1.189780119377537E-3</v>
      </c>
      <c r="AT44" s="112"/>
      <c r="AU44" s="36" cm="1">
        <f t="array" ref="AU44">flatInterpolation($AG44,$S$4:$S$9,AT$5:AT$10)</f>
        <v>5.0000000000000001E-3</v>
      </c>
      <c r="AV44" s="14">
        <f t="shared" si="10"/>
        <v>0.95122932937777793</v>
      </c>
      <c r="AW44" s="123">
        <f t="shared" si="11"/>
        <v>1.189780119377537E-3</v>
      </c>
      <c r="AX44" s="112"/>
      <c r="AY44" s="36" cm="1">
        <f t="array" ref="AY44">flatInterpolation($AG44,$S$4:$S$9,AX$5:AX$10)</f>
        <v>5.0000000000000001E-3</v>
      </c>
      <c r="AZ44" s="14">
        <f t="shared" si="12"/>
        <v>0.95122932937777782</v>
      </c>
      <c r="BA44" s="123">
        <f t="shared" si="13"/>
        <v>1.189780119377537E-3</v>
      </c>
      <c r="BB44" s="112"/>
      <c r="BC44" s="36" cm="1">
        <f t="array" ref="BC44">flatInterpolation($AG44,$S$4:$S$9,BB$5:BB$10)</f>
        <v>5.0001000000000004E-3</v>
      </c>
      <c r="BD44" s="14">
        <f t="shared" si="14"/>
        <v>0.95122894888612131</v>
      </c>
      <c r="BE44" s="123">
        <f t="shared" si="15"/>
        <v>1.1898034539341573E-3</v>
      </c>
    </row>
    <row r="45" spans="3:57" x14ac:dyDescent="0.3">
      <c r="C45" s="2"/>
      <c r="D45" s="2"/>
      <c r="E45" s="2"/>
      <c r="F45" s="2"/>
      <c r="G45" s="2"/>
      <c r="H45" s="2"/>
      <c r="J45" s="2" t="s">
        <v>14</v>
      </c>
      <c r="K45" s="110">
        <v>5.0000000000000001E-3</v>
      </c>
      <c r="L45" s="103">
        <v>5.000000651041901E-3</v>
      </c>
      <c r="M45" s="103"/>
      <c r="N45" s="103"/>
      <c r="O45" s="103"/>
      <c r="P45" s="103"/>
      <c r="Q45" s="103"/>
      <c r="R45" s="103"/>
      <c r="S45" s="103"/>
      <c r="T45" s="103"/>
      <c r="U45" s="104"/>
      <c r="V45" s="103"/>
      <c r="W45" s="103"/>
    </row>
    <row r="46" spans="3:57" x14ac:dyDescent="0.3">
      <c r="C46" s="2"/>
      <c r="D46" s="2"/>
      <c r="E46" s="2"/>
      <c r="F46" s="2"/>
      <c r="G46" s="2"/>
      <c r="H46" s="2"/>
      <c r="J46" s="2" t="s">
        <v>15</v>
      </c>
      <c r="K46" s="110">
        <v>5.0000000000000001E-3</v>
      </c>
      <c r="L46" s="103">
        <v>5.0000006510420494E-3</v>
      </c>
      <c r="M46" s="103"/>
      <c r="N46" s="103"/>
      <c r="O46" s="103"/>
      <c r="P46" s="103"/>
      <c r="Q46" s="103"/>
      <c r="R46" s="103"/>
      <c r="S46" s="103"/>
      <c r="T46" s="103"/>
      <c r="U46" s="104"/>
      <c r="V46" s="103"/>
      <c r="W46" s="103"/>
    </row>
    <row r="47" spans="3:57" x14ac:dyDescent="0.3">
      <c r="C47" s="2"/>
      <c r="D47" s="2"/>
      <c r="E47" s="2"/>
      <c r="F47" s="2"/>
      <c r="G47" s="2"/>
      <c r="H47" s="2"/>
      <c r="J47" s="2" t="s">
        <v>16</v>
      </c>
      <c r="K47" s="111">
        <v>5.0000000000000001E-3</v>
      </c>
      <c r="L47" s="105">
        <v>5.0000006510421066E-3</v>
      </c>
      <c r="M47" s="105"/>
      <c r="N47" s="105"/>
      <c r="O47" s="105"/>
      <c r="P47" s="105"/>
      <c r="Q47" s="105"/>
      <c r="R47" s="105"/>
      <c r="S47" s="105"/>
      <c r="T47" s="105"/>
      <c r="U47" s="106"/>
      <c r="V47" s="103"/>
      <c r="W47" s="103"/>
      <c r="AH47" s="39" t="s">
        <v>107</v>
      </c>
    </row>
    <row r="48" spans="3:57" x14ac:dyDescent="0.3">
      <c r="AH48" s="148">
        <v>9.9999999999999995E-8</v>
      </c>
    </row>
    <row r="50" spans="3:49" x14ac:dyDescent="0.3">
      <c r="K50" s="55" t="s">
        <v>332</v>
      </c>
      <c r="Y50" s="1" t="s">
        <v>87</v>
      </c>
      <c r="AH50" s="1" t="s">
        <v>86</v>
      </c>
    </row>
    <row r="51" spans="3:49" x14ac:dyDescent="0.3">
      <c r="K51" s="166" t="s">
        <v>108</v>
      </c>
      <c r="L51" s="43" t="s">
        <v>109</v>
      </c>
    </row>
    <row r="52" spans="3:49" ht="15.6" x14ac:dyDescent="0.3">
      <c r="C52" s="39"/>
      <c r="D52" s="39"/>
      <c r="E52" s="39"/>
      <c r="F52" s="39"/>
      <c r="G52" s="39"/>
      <c r="H52" s="39"/>
      <c r="I52" s="39"/>
      <c r="J52" s="39" t="s">
        <v>52</v>
      </c>
      <c r="K52" s="2" t="s">
        <v>54</v>
      </c>
      <c r="L52" s="2" t="s">
        <v>55</v>
      </c>
      <c r="M52" s="2" t="s">
        <v>56</v>
      </c>
      <c r="N52" s="2" t="s">
        <v>57</v>
      </c>
      <c r="O52" s="2" t="s">
        <v>58</v>
      </c>
      <c r="P52" s="2" t="s">
        <v>59</v>
      </c>
      <c r="X52" s="39" t="s">
        <v>52</v>
      </c>
      <c r="Y52" s="2" t="s">
        <v>54</v>
      </c>
      <c r="Z52" s="2" t="s">
        <v>55</v>
      </c>
      <c r="AA52" s="2" t="s">
        <v>56</v>
      </c>
      <c r="AB52" s="2" t="s">
        <v>57</v>
      </c>
      <c r="AC52" s="2" t="s">
        <v>58</v>
      </c>
      <c r="AD52" s="2" t="s">
        <v>59</v>
      </c>
      <c r="AG52" s="39" t="s">
        <v>52</v>
      </c>
      <c r="AH52" s="2" t="s">
        <v>54</v>
      </c>
      <c r="AI52" s="2" t="s">
        <v>55</v>
      </c>
      <c r="AJ52" s="2" t="s">
        <v>56</v>
      </c>
      <c r="AK52" s="2" t="s">
        <v>57</v>
      </c>
      <c r="AL52" s="2" t="s">
        <v>58</v>
      </c>
      <c r="AM52" s="2" t="s">
        <v>59</v>
      </c>
    </row>
    <row r="53" spans="3:49" ht="15.6" x14ac:dyDescent="0.3">
      <c r="C53" s="2"/>
      <c r="D53" s="2"/>
      <c r="E53" s="2"/>
      <c r="F53" s="2"/>
      <c r="G53" s="2"/>
      <c r="H53" s="2"/>
      <c r="I53" s="2"/>
      <c r="J53" s="2" t="s">
        <v>60</v>
      </c>
      <c r="K53" s="89">
        <f t="shared" ref="K53:P58" si="27">IF($K$51="ANALYTICAL",Y53,AH53)</f>
        <v>0.59999976677153899</v>
      </c>
      <c r="L53" s="90">
        <f t="shared" si="27"/>
        <v>0</v>
      </c>
      <c r="M53" s="90">
        <f t="shared" si="27"/>
        <v>0</v>
      </c>
      <c r="N53" s="90">
        <f t="shared" si="27"/>
        <v>0</v>
      </c>
      <c r="O53" s="90">
        <f t="shared" si="27"/>
        <v>0</v>
      </c>
      <c r="P53" s="91">
        <f t="shared" si="27"/>
        <v>0</v>
      </c>
      <c r="X53" s="2" t="s">
        <v>60</v>
      </c>
      <c r="Y53" s="89">
        <f>(Y64*RiskyAnnuity1Y-Protection1Y*Y75)/RiskyAnnuity1Y^2*Notional</f>
        <v>0.59999976562506097</v>
      </c>
      <c r="Z53" s="90">
        <v>0</v>
      </c>
      <c r="AA53" s="90">
        <v>0</v>
      </c>
      <c r="AB53" s="90">
        <v>0</v>
      </c>
      <c r="AC53" s="90">
        <v>0</v>
      </c>
      <c r="AD53" s="91">
        <v>0</v>
      </c>
      <c r="AG53" s="2" t="s">
        <v>60</v>
      </c>
      <c r="AH53" s="89">
        <f t="shared" ref="AH53:AH58" si="28">(AH64-$U14)/ShiftSize</f>
        <v>0.59999976677153899</v>
      </c>
      <c r="AI53" s="90">
        <v>0</v>
      </c>
      <c r="AJ53" s="90">
        <v>0</v>
      </c>
      <c r="AK53" s="90">
        <v>0</v>
      </c>
      <c r="AL53" s="90">
        <v>0</v>
      </c>
      <c r="AM53" s="91">
        <v>0</v>
      </c>
      <c r="AO53" s="120"/>
      <c r="AP53" s="120"/>
      <c r="AQ53" s="120"/>
      <c r="AR53" s="120"/>
      <c r="AS53" s="120"/>
      <c r="AT53" s="120"/>
      <c r="AU53" s="120"/>
      <c r="AV53" s="120"/>
      <c r="AW53" s="120"/>
    </row>
    <row r="54" spans="3:49" ht="15.6" x14ac:dyDescent="0.3">
      <c r="C54" s="2"/>
      <c r="D54" s="2"/>
      <c r="E54" s="2"/>
      <c r="F54" s="2"/>
      <c r="G54" s="2"/>
      <c r="H54" s="2"/>
      <c r="I54" s="2"/>
      <c r="J54" s="2" t="s">
        <v>61</v>
      </c>
      <c r="K54" s="92">
        <f t="shared" si="27"/>
        <v>0.30736219958516636</v>
      </c>
      <c r="L54" s="93">
        <f t="shared" si="27"/>
        <v>0.29263756724708795</v>
      </c>
      <c r="M54" s="94">
        <f t="shared" si="27"/>
        <v>0</v>
      </c>
      <c r="N54" s="94">
        <f t="shared" si="27"/>
        <v>0</v>
      </c>
      <c r="O54" s="94">
        <f t="shared" si="27"/>
        <v>0</v>
      </c>
      <c r="P54" s="95">
        <f t="shared" si="27"/>
        <v>0</v>
      </c>
      <c r="X54" s="2" t="s">
        <v>61</v>
      </c>
      <c r="Y54" s="92">
        <f>(Y65*RiskyAnnuity2Y-Protection2Y*Y76)/RiskyAnnuity2Y^2*Notional</f>
        <v>0.30845955831675315</v>
      </c>
      <c r="Z54" s="93">
        <f>(Z65*RiskyAnnuity2Y-Protection2Y*Z76)/RiskyAnnuity2Y^2*Notional</f>
        <v>0.29263757431966758</v>
      </c>
      <c r="AA54" s="94">
        <v>0</v>
      </c>
      <c r="AB54" s="94">
        <v>0</v>
      </c>
      <c r="AC54" s="94">
        <v>0</v>
      </c>
      <c r="AD54" s="95">
        <v>0</v>
      </c>
      <c r="AG54" s="2" t="s">
        <v>61</v>
      </c>
      <c r="AH54" s="92">
        <f t="shared" si="28"/>
        <v>0.30736219958516636</v>
      </c>
      <c r="AI54" s="93">
        <f>(AI65-$U15)/ShiftSize</f>
        <v>0.29263756724708795</v>
      </c>
      <c r="AJ54" s="94">
        <v>0</v>
      </c>
      <c r="AK54" s="94">
        <v>0</v>
      </c>
      <c r="AL54" s="94">
        <v>0</v>
      </c>
      <c r="AM54" s="95">
        <v>0</v>
      </c>
      <c r="AO54" s="120"/>
      <c r="AP54" s="120"/>
      <c r="AQ54" s="120"/>
      <c r="AR54" s="120"/>
      <c r="AS54" s="120"/>
      <c r="AT54" s="120"/>
      <c r="AU54" s="120"/>
      <c r="AV54" s="120"/>
      <c r="AW54" s="120"/>
    </row>
    <row r="55" spans="3:49" ht="15.6" x14ac:dyDescent="0.3">
      <c r="C55" s="2"/>
      <c r="D55" s="2"/>
      <c r="E55" s="2"/>
      <c r="F55" s="2"/>
      <c r="G55" s="2"/>
      <c r="H55" s="2"/>
      <c r="I55" s="2"/>
      <c r="J55" s="2" t="s">
        <v>62</v>
      </c>
      <c r="K55" s="92">
        <f t="shared" si="27"/>
        <v>0.20968885587960284</v>
      </c>
      <c r="L55" s="93">
        <f t="shared" si="27"/>
        <v>0.19964341003292363</v>
      </c>
      <c r="M55" s="93">
        <f t="shared" si="27"/>
        <v>0.19066750134039828</v>
      </c>
      <c r="N55" s="94">
        <f t="shared" si="27"/>
        <v>0</v>
      </c>
      <c r="O55" s="94">
        <f t="shared" si="27"/>
        <v>0</v>
      </c>
      <c r="P55" s="95">
        <f t="shared" si="27"/>
        <v>0</v>
      </c>
      <c r="X55" s="2" t="s">
        <v>62</v>
      </c>
      <c r="Y55" s="92">
        <f>(Y66*RiskyAnnuity3Y-Protection3Y*Y77)/RiskyAnnuity3Y^2*Notional</f>
        <v>0.21310380724531919</v>
      </c>
      <c r="Z55" s="93">
        <f>(Z66*RiskyAnnuity3Y-Protection3Y*Z77)/RiskyAnnuity3Y^2*Notional</f>
        <v>0.20035839849137732</v>
      </c>
      <c r="AA55" s="93">
        <f>(AA66*RiskyAnnuity3Y-Protection3Y*AA77)/RiskyAnnuity3Y^2*Notional</f>
        <v>0.19066750725082476</v>
      </c>
      <c r="AB55" s="94">
        <v>0</v>
      </c>
      <c r="AC55" s="94">
        <v>0</v>
      </c>
      <c r="AD55" s="95">
        <v>0</v>
      </c>
      <c r="AG55" s="2" t="s">
        <v>62</v>
      </c>
      <c r="AH55" s="92">
        <f t="shared" si="28"/>
        <v>0.20968885587960284</v>
      </c>
      <c r="AI55" s="93">
        <f>(AI66-$U16)/ShiftSize</f>
        <v>0.19964341003292363</v>
      </c>
      <c r="AJ55" s="93">
        <f>(AJ66-$U16)/ShiftSize</f>
        <v>0.19066750134039828</v>
      </c>
      <c r="AK55" s="94">
        <v>0</v>
      </c>
      <c r="AL55" s="94">
        <v>0</v>
      </c>
      <c r="AM55" s="95">
        <v>0</v>
      </c>
      <c r="AO55" s="120"/>
      <c r="AP55" s="120"/>
      <c r="AQ55" s="120"/>
      <c r="AR55" s="120"/>
      <c r="AS55" s="120"/>
      <c r="AT55" s="120"/>
      <c r="AU55" s="120"/>
      <c r="AV55" s="120"/>
      <c r="AW55" s="120"/>
    </row>
    <row r="56" spans="3:49" ht="15.6" x14ac:dyDescent="0.3">
      <c r="C56" s="2"/>
      <c r="D56" s="2"/>
      <c r="E56" s="2"/>
      <c r="F56" s="2"/>
      <c r="G56" s="2"/>
      <c r="H56" s="2"/>
      <c r="I56" s="2"/>
      <c r="J56" s="2" t="s">
        <v>63</v>
      </c>
      <c r="K56" s="92">
        <f t="shared" si="27"/>
        <v>0.16079114497757202</v>
      </c>
      <c r="L56" s="93">
        <f t="shared" si="27"/>
        <v>0.15308821541600709</v>
      </c>
      <c r="M56" s="93">
        <f t="shared" si="27"/>
        <v>0.1462054156084816</v>
      </c>
      <c r="N56" s="93">
        <f t="shared" si="27"/>
        <v>0.13991499048758571</v>
      </c>
      <c r="O56" s="94">
        <f t="shared" si="27"/>
        <v>0</v>
      </c>
      <c r="P56" s="95">
        <f t="shared" si="27"/>
        <v>0</v>
      </c>
      <c r="X56" s="2" t="s">
        <v>63</v>
      </c>
      <c r="Y56" s="92">
        <f>(Y67*RiskyAnnuity4Y-Protection4Y*Y78)/RiskyAnnuity4Y^2*Notional</f>
        <v>0.16682927752071114</v>
      </c>
      <c r="Z56" s="93">
        <f>(Z67*RiskyAnnuity4Y-Protection4Y*Z78)/RiskyAnnuity4Y^2*Notional</f>
        <v>0.15559158501320444</v>
      </c>
      <c r="AA56" s="93">
        <f>(AA67*RiskyAnnuity4Y-Protection4Y*AA78)/RiskyAnnuity4Y^2*Notional</f>
        <v>0.14673008839988366</v>
      </c>
      <c r="AB56" s="93">
        <f>(AB67*RiskyAnnuity4Y-Protection4Y*AB78)/RiskyAnnuity4Y^2*Notional</f>
        <v>0.13991499562384882</v>
      </c>
      <c r="AC56" s="94">
        <v>0</v>
      </c>
      <c r="AD56" s="95">
        <v>0</v>
      </c>
      <c r="AG56" s="2" t="s">
        <v>63</v>
      </c>
      <c r="AH56" s="92">
        <f t="shared" si="28"/>
        <v>0.16079114497757202</v>
      </c>
      <c r="AI56" s="93">
        <f>(AI67-$U17)/ShiftSize</f>
        <v>0.15308821541600709</v>
      </c>
      <c r="AJ56" s="93">
        <f>(AJ67-$U17)/ShiftSize</f>
        <v>0.1462054156084816</v>
      </c>
      <c r="AK56" s="93">
        <f>(AK67-$U17)/ShiftSize</f>
        <v>0.13991499048758571</v>
      </c>
      <c r="AL56" s="94">
        <v>0</v>
      </c>
      <c r="AM56" s="95">
        <v>0</v>
      </c>
      <c r="AO56" s="120"/>
      <c r="AP56" s="120"/>
      <c r="AQ56" s="120"/>
      <c r="AR56" s="120"/>
      <c r="AS56" s="120"/>
      <c r="AT56" s="120"/>
      <c r="AU56" s="120"/>
      <c r="AV56" s="120"/>
      <c r="AW56" s="120"/>
    </row>
    <row r="57" spans="3:49" ht="15.6" x14ac:dyDescent="0.3">
      <c r="C57" s="2"/>
      <c r="D57" s="2"/>
      <c r="E57" s="2"/>
      <c r="F57" s="2"/>
      <c r="G57" s="2"/>
      <c r="H57" s="2"/>
      <c r="I57" s="2"/>
      <c r="J57" s="2" t="s">
        <v>64</v>
      </c>
      <c r="K57" s="92">
        <f t="shared" si="27"/>
        <v>0.13142836367829869</v>
      </c>
      <c r="L57" s="93">
        <f t="shared" si="27"/>
        <v>0.12513210070983632</v>
      </c>
      <c r="M57" s="93">
        <f t="shared" si="27"/>
        <v>0.11950619990125366</v>
      </c>
      <c r="N57" s="93">
        <f t="shared" si="27"/>
        <v>0.11436449755958256</v>
      </c>
      <c r="O57" s="93">
        <f t="shared" si="27"/>
        <v>0.10956860511338734</v>
      </c>
      <c r="P57" s="95">
        <f t="shared" si="27"/>
        <v>0</v>
      </c>
      <c r="X57" s="2" t="s">
        <v>64</v>
      </c>
      <c r="Y57" s="92">
        <f>(Y68*RiskyAnnuity5Y-Protection5Y*Y79)/RiskyAnnuity5Y^2*Notional</f>
        <v>0.14021163118668664</v>
      </c>
      <c r="Z57" s="93">
        <f>(Z68*RiskyAnnuity5Y-Protection5Y*Z79)/RiskyAnnuity5Y^2*Notional</f>
        <v>0.12985365314408953</v>
      </c>
      <c r="AA57" s="93">
        <f>(AA68*RiskyAnnuity5Y-Protection5Y*AA79)/RiskyAnnuity5Y^2*Notional</f>
        <v>0.12146547615433392</v>
      </c>
      <c r="AB57" s="93">
        <f>(AB68*RiskyAnnuity5Y-Protection5Y*AB79)/RiskyAnnuity5Y^2*Notional</f>
        <v>0.11477537421502407</v>
      </c>
      <c r="AC57" s="93">
        <f>(AC68*RiskyAnnuity5Y-Protection5Y*AC79)/RiskyAnnuity5Y^2*Notional</f>
        <v>0.10956860922869095</v>
      </c>
      <c r="AD57" s="95">
        <v>0</v>
      </c>
      <c r="AG57" s="2" t="s">
        <v>64</v>
      </c>
      <c r="AH57" s="92">
        <f t="shared" si="28"/>
        <v>0.13142836367829869</v>
      </c>
      <c r="AI57" s="93">
        <f>(AI68-$U18)/ShiftSize</f>
        <v>0.12513210070983632</v>
      </c>
      <c r="AJ57" s="93">
        <f>(AJ68-$U18)/ShiftSize</f>
        <v>0.11950619990125366</v>
      </c>
      <c r="AK57" s="93">
        <f>(AK68-$U18)/ShiftSize</f>
        <v>0.11436449755958256</v>
      </c>
      <c r="AL57" s="93">
        <f>(AL68-$U18)/ShiftSize</f>
        <v>0.10956860511338734</v>
      </c>
      <c r="AM57" s="95">
        <v>0</v>
      </c>
      <c r="AO57" s="120"/>
      <c r="AP57" s="120"/>
      <c r="AQ57" s="120"/>
      <c r="AR57" s="120"/>
      <c r="AS57" s="120"/>
      <c r="AT57" s="120"/>
      <c r="AU57" s="120"/>
      <c r="AV57" s="120"/>
      <c r="AW57" s="120"/>
    </row>
    <row r="58" spans="3:49" ht="15.6" x14ac:dyDescent="0.3">
      <c r="C58" s="2"/>
      <c r="D58" s="2"/>
      <c r="E58" s="2"/>
      <c r="F58" s="2"/>
      <c r="G58" s="2"/>
      <c r="H58" s="2"/>
      <c r="I58" s="2"/>
      <c r="J58" s="2" t="s">
        <v>65</v>
      </c>
      <c r="K58" s="96">
        <f t="shared" si="27"/>
        <v>7.2790516283775808E-2</v>
      </c>
      <c r="L58" s="97">
        <f t="shared" si="27"/>
        <v>6.9303383587460132E-2</v>
      </c>
      <c r="M58" s="97">
        <f t="shared" si="27"/>
        <v>6.6187525347635723E-2</v>
      </c>
      <c r="N58" s="97">
        <f t="shared" si="27"/>
        <v>6.3339836366312074E-2</v>
      </c>
      <c r="O58" s="97">
        <f t="shared" si="27"/>
        <v>6.0683671299771591E-2</v>
      </c>
      <c r="P58" s="98">
        <f t="shared" si="27"/>
        <v>0.26769480602692464</v>
      </c>
      <c r="X58" s="2" t="s">
        <v>65</v>
      </c>
      <c r="Y58" s="118">
        <f t="shared" ref="Y58:AD58" si="29">(Y69*RiskyAnnuity10Y-Protection10Y*Y80)/RiskyAnnuity10Y^2*Notional</f>
        <v>9.5825677238423182E-2</v>
      </c>
      <c r="Z58" s="97">
        <f t="shared" si="29"/>
        <v>8.7028936171964971E-2</v>
      </c>
      <c r="AA58" s="97">
        <f t="shared" si="29"/>
        <v>7.9397573509768296E-2</v>
      </c>
      <c r="AB58" s="97">
        <f t="shared" si="29"/>
        <v>7.2775210366172141E-2</v>
      </c>
      <c r="AC58" s="97">
        <f t="shared" si="29"/>
        <v>6.7038824371663128E-2</v>
      </c>
      <c r="AD58" s="98">
        <f t="shared" si="29"/>
        <v>0.26769484109991631</v>
      </c>
      <c r="AG58" s="2" t="s">
        <v>65</v>
      </c>
      <c r="AH58" s="118">
        <f t="shared" si="28"/>
        <v>7.2790516283775808E-2</v>
      </c>
      <c r="AI58" s="119">
        <f>(AI69-$U19)/ShiftSize</f>
        <v>6.9303383587460132E-2</v>
      </c>
      <c r="AJ58" s="119">
        <f>(AJ69-$U19)/ShiftSize</f>
        <v>6.6187525347635723E-2</v>
      </c>
      <c r="AK58" s="119">
        <f>(AK69-$U19)/ShiftSize</f>
        <v>6.3339836366312074E-2</v>
      </c>
      <c r="AL58" s="119">
        <f>(AL69-$U19)/ShiftSize</f>
        <v>6.0683671299771591E-2</v>
      </c>
      <c r="AM58" s="98">
        <f>(AM69-$U19)/ShiftSize</f>
        <v>0.26769480602692464</v>
      </c>
      <c r="AO58" s="120"/>
      <c r="AP58" s="120"/>
      <c r="AQ58" s="120"/>
      <c r="AR58" s="120"/>
      <c r="AS58" s="120"/>
      <c r="AT58" s="120"/>
      <c r="AU58" s="120"/>
      <c r="AV58" s="120"/>
      <c r="AW58" s="120"/>
    </row>
    <row r="61" spans="3:49" x14ac:dyDescent="0.3">
      <c r="K61" s="1" t="s">
        <v>51</v>
      </c>
      <c r="Y61" s="1" t="s">
        <v>70</v>
      </c>
      <c r="AH61" s="1" t="s">
        <v>106</v>
      </c>
    </row>
    <row r="63" spans="3:49" ht="15.6" x14ac:dyDescent="0.3">
      <c r="C63" s="39"/>
      <c r="D63" s="39"/>
      <c r="E63" s="39"/>
      <c r="F63" s="39"/>
      <c r="G63" s="39"/>
      <c r="H63" s="39"/>
      <c r="I63" s="39"/>
      <c r="J63" s="39" t="s">
        <v>53</v>
      </c>
      <c r="K63" s="2" t="s">
        <v>60</v>
      </c>
      <c r="L63" s="2" t="s">
        <v>61</v>
      </c>
      <c r="M63" s="2" t="s">
        <v>62</v>
      </c>
      <c r="N63" s="2" t="s">
        <v>63</v>
      </c>
      <c r="O63" s="2" t="s">
        <v>64</v>
      </c>
      <c r="P63" s="2" t="s">
        <v>65</v>
      </c>
      <c r="X63" s="39" t="s">
        <v>84</v>
      </c>
      <c r="Y63" s="2" t="s">
        <v>54</v>
      </c>
      <c r="Z63" s="2" t="s">
        <v>55</v>
      </c>
      <c r="AA63" s="2" t="s">
        <v>56</v>
      </c>
      <c r="AB63" s="2" t="s">
        <v>57</v>
      </c>
      <c r="AC63" s="2" t="s">
        <v>58</v>
      </c>
      <c r="AD63" s="2" t="s">
        <v>59</v>
      </c>
      <c r="AG63" s="39" t="s">
        <v>105</v>
      </c>
      <c r="AH63" s="2" t="s">
        <v>54</v>
      </c>
      <c r="AI63" s="2" t="s">
        <v>55</v>
      </c>
      <c r="AJ63" s="2" t="s">
        <v>56</v>
      </c>
      <c r="AK63" s="2" t="s">
        <v>57</v>
      </c>
      <c r="AL63" s="2" t="s">
        <v>58</v>
      </c>
      <c r="AM63" s="2" t="s">
        <v>59</v>
      </c>
    </row>
    <row r="64" spans="3:49" ht="15.6" x14ac:dyDescent="0.3">
      <c r="C64" s="2"/>
      <c r="D64" s="2"/>
      <c r="E64" s="2"/>
      <c r="F64" s="2"/>
      <c r="G64" s="2"/>
      <c r="H64" s="2"/>
      <c r="I64" s="2"/>
      <c r="J64" s="2" t="s">
        <v>54</v>
      </c>
      <c r="K64" s="89" cm="1">
        <f t="array" ref="K64:P69">MINVERSE(K53:P58)</f>
        <v>1.6666673145237547</v>
      </c>
      <c r="L64" s="90">
        <v>0</v>
      </c>
      <c r="M64" s="90">
        <v>0</v>
      </c>
      <c r="N64" s="90">
        <v>0</v>
      </c>
      <c r="O64" s="90">
        <v>0</v>
      </c>
      <c r="P64" s="91">
        <v>0</v>
      </c>
      <c r="X64" s="2" t="s">
        <v>72</v>
      </c>
      <c r="Y64" s="89">
        <f>(1-RecoveryRate)*YearFraction*(SUMPRODUCT($Z$5:$Z$8,$AB$5:$AB$8))</f>
        <v>0.58126972015273659</v>
      </c>
      <c r="Z64" s="90">
        <v>0</v>
      </c>
      <c r="AA64" s="90">
        <v>0</v>
      </c>
      <c r="AB64" s="90">
        <v>0</v>
      </c>
      <c r="AC64" s="90">
        <v>0</v>
      </c>
      <c r="AD64" s="91">
        <v>0</v>
      </c>
      <c r="AG64" s="2" t="s">
        <v>99</v>
      </c>
      <c r="AH64" s="133">
        <f t="shared" ref="AH64:AI69" si="30">AH75/AH86</f>
        <v>3.0000596093516666E-3</v>
      </c>
      <c r="AI64" s="30">
        <v>0</v>
      </c>
      <c r="AJ64" s="30">
        <v>0</v>
      </c>
      <c r="AK64" s="30">
        <v>0</v>
      </c>
      <c r="AL64" s="30">
        <v>0</v>
      </c>
      <c r="AM64" s="134">
        <v>0</v>
      </c>
    </row>
    <row r="65" spans="3:39" ht="15.6" x14ac:dyDescent="0.3">
      <c r="C65" s="2"/>
      <c r="D65" s="2"/>
      <c r="E65" s="2"/>
      <c r="F65" s="2"/>
      <c r="G65" s="2"/>
      <c r="H65" s="2"/>
      <c r="I65" s="2"/>
      <c r="J65" s="2" t="s">
        <v>55</v>
      </c>
      <c r="K65" s="92">
        <v>-1.7505289446866843</v>
      </c>
      <c r="L65" s="93">
        <v>3.4171962588646454</v>
      </c>
      <c r="M65" s="94">
        <v>0</v>
      </c>
      <c r="N65" s="94">
        <v>0</v>
      </c>
      <c r="O65" s="94">
        <v>0</v>
      </c>
      <c r="P65" s="95">
        <v>0</v>
      </c>
      <c r="X65" s="2" t="s">
        <v>73</v>
      </c>
      <c r="Y65" s="92">
        <f>(1-RecoveryRate)*YearFraction*(SUMPRODUCT($Z$5:$Z$8,$AB$5:$AB$8)-SUMPRODUCT($AA$9:$AA$12,$AB$9:$AB$12))</f>
        <v>0.58057750863726953</v>
      </c>
      <c r="Z65" s="93">
        <f>(1-RecoveryRate)*YearFraction*(SUMPRODUCT($Z$9:$Z$12,$AB$9:$AB$12))</f>
        <v>0.55342317872127944</v>
      </c>
      <c r="AA65" s="94">
        <v>0</v>
      </c>
      <c r="AB65" s="94">
        <v>0</v>
      </c>
      <c r="AC65" s="94">
        <v>0</v>
      </c>
      <c r="AD65" s="95">
        <v>0</v>
      </c>
      <c r="AG65" s="2" t="s">
        <v>100</v>
      </c>
      <c r="AH65" s="135">
        <f t="shared" si="30"/>
        <v>3.0000303455949358E-3</v>
      </c>
      <c r="AI65" s="136">
        <f t="shared" si="30"/>
        <v>3.000028873131702E-3</v>
      </c>
      <c r="AJ65" s="18">
        <v>0</v>
      </c>
      <c r="AK65" s="18">
        <v>0</v>
      </c>
      <c r="AL65" s="18">
        <v>0</v>
      </c>
      <c r="AM65" s="137">
        <v>0</v>
      </c>
    </row>
    <row r="66" spans="3:39" ht="15.6" x14ac:dyDescent="0.3">
      <c r="C66" s="2"/>
      <c r="D66" s="2"/>
      <c r="E66" s="2"/>
      <c r="F66" s="2"/>
      <c r="G66" s="2"/>
      <c r="H66" s="2"/>
      <c r="I66" s="2"/>
      <c r="J66" s="2" t="s">
        <v>56</v>
      </c>
      <c r="K66" s="99">
        <v>2.9182574249467734E-8</v>
      </c>
      <c r="L66" s="93">
        <v>-3.5780650036081387</v>
      </c>
      <c r="M66" s="93">
        <v>5.244732285103491</v>
      </c>
      <c r="N66" s="94">
        <v>0</v>
      </c>
      <c r="O66" s="94">
        <v>0</v>
      </c>
      <c r="P66" s="95">
        <v>0</v>
      </c>
      <c r="X66" s="2" t="s">
        <v>74</v>
      </c>
      <c r="Y66" s="92">
        <f>(1-RecoveryRate)*YearFraction*(SUMPRODUCT($Z$5:$Z$8,$AB$5:$AB$8)-SUMPRODUCT($AA$9:$AA$16,$AB$9:$AB$16))</f>
        <v>0.57991641872614075</v>
      </c>
      <c r="Z66" s="93">
        <f>(1-RecoveryRate)*YearFraction*(SUMPRODUCT($Z$9:$Z$12,$AB$9:$AB$12)-SUMPRODUCT($AA$13:$AA$16,$AB$13:$AB$16))</f>
        <v>0.55276208881015065</v>
      </c>
      <c r="AA66" s="93">
        <f>(1-RecoveryRate)*YearFraction*(SUMPRODUCT($Z$13:$Z$16,$AB$13:$AB$16))</f>
        <v>0.5285414528109863</v>
      </c>
      <c r="AB66" s="94">
        <v>0</v>
      </c>
      <c r="AC66" s="94">
        <v>0</v>
      </c>
      <c r="AD66" s="95">
        <v>0</v>
      </c>
      <c r="AG66" s="2" t="s">
        <v>101</v>
      </c>
      <c r="AH66" s="135">
        <f t="shared" si="30"/>
        <v>3.0000205782605397E-3</v>
      </c>
      <c r="AI66" s="136">
        <f t="shared" si="30"/>
        <v>3.000019573715955E-3</v>
      </c>
      <c r="AJ66" s="136">
        <f t="shared" ref="AJ66" si="31">AJ77/AJ88</f>
        <v>3.0000186761250857E-3</v>
      </c>
      <c r="AK66" s="18">
        <v>0</v>
      </c>
      <c r="AL66" s="18">
        <v>0</v>
      </c>
      <c r="AM66" s="137">
        <v>0</v>
      </c>
    </row>
    <row r="67" spans="3:39" ht="15.6" x14ac:dyDescent="0.3">
      <c r="C67" s="2"/>
      <c r="D67" s="2"/>
      <c r="E67" s="2"/>
      <c r="F67" s="2"/>
      <c r="G67" s="2"/>
      <c r="H67" s="2"/>
      <c r="I67" s="2"/>
      <c r="J67" s="2" t="s">
        <v>57</v>
      </c>
      <c r="K67" s="99">
        <v>1.5084378031735548E-8</v>
      </c>
      <c r="L67" s="100">
        <v>2.8094536950811631E-8</v>
      </c>
      <c r="M67" s="93">
        <v>-5.4805297189854301</v>
      </c>
      <c r="N67" s="93">
        <v>7.1471969980852581</v>
      </c>
      <c r="O67" s="94">
        <v>0</v>
      </c>
      <c r="P67" s="95">
        <v>0</v>
      </c>
      <c r="X67" s="2" t="s">
        <v>75</v>
      </c>
      <c r="Y67" s="92">
        <f>(1-RecoveryRate)*YearFraction*(SUMPRODUCT($Z$5:$Z$8,$AB$5:$AB$8)-SUMPRODUCT($AA$9:$AA$20,$AB$9:$AB$20))</f>
        <v>0.57928377190895852</v>
      </c>
      <c r="Z67" s="93">
        <f>(1-RecoveryRate)*YearFraction*(SUMPRODUCT($Z$9:$Z$12,$AB$9:$AB$12)-SUMPRODUCT($AA$13:$AA$20,$AB$13:$AB$20))</f>
        <v>0.55212944199296854</v>
      </c>
      <c r="AA67" s="93">
        <f>(1-RecoveryRate)*YearFraction*(SUMPRODUCT($Z$13:$Z$16,$AB$13:$AB$16)-SUMPRODUCT($AA$17:$AA$20,$AB$17:$AB$20))</f>
        <v>0.52790880599380419</v>
      </c>
      <c r="AB67" s="93">
        <f>(1-RecoveryRate)*YearFraction*(SUMPRODUCT($Z$17:$Z$20,$AB$17:$AB$20))</f>
        <v>0.50580119623787811</v>
      </c>
      <c r="AC67" s="94">
        <v>0</v>
      </c>
      <c r="AD67" s="95">
        <v>0</v>
      </c>
      <c r="AG67" s="2" t="s">
        <v>102</v>
      </c>
      <c r="AH67" s="135">
        <f t="shared" si="30"/>
        <v>3.0000156884894638E-3</v>
      </c>
      <c r="AI67" s="136">
        <f t="shared" si="30"/>
        <v>3.0000149181965076E-3</v>
      </c>
      <c r="AJ67" s="136">
        <f t="shared" ref="AJ67:AK67" si="32">AJ78/AJ89</f>
        <v>3.0000142299165269E-3</v>
      </c>
      <c r="AK67" s="136">
        <f t="shared" si="32"/>
        <v>3.0000136008740148E-3</v>
      </c>
      <c r="AL67" s="18">
        <v>0</v>
      </c>
      <c r="AM67" s="137">
        <v>0</v>
      </c>
    </row>
    <row r="68" spans="3:39" ht="15.6" x14ac:dyDescent="0.3">
      <c r="C68" s="2"/>
      <c r="D68" s="2"/>
      <c r="E68" s="2"/>
      <c r="F68" s="2"/>
      <c r="G68" s="2"/>
      <c r="H68" s="2"/>
      <c r="I68" s="2"/>
      <c r="J68" s="2" t="s">
        <v>58</v>
      </c>
      <c r="K68" s="99">
        <v>9.5414229292071105E-9</v>
      </c>
      <c r="L68" s="100">
        <v>1.7873092399753226E-8</v>
      </c>
      <c r="M68" s="100">
        <v>2.5372159502379991E-8</v>
      </c>
      <c r="N68" s="93">
        <v>-7.4600346768994976</v>
      </c>
      <c r="O68" s="93">
        <v>9.1267019322291052</v>
      </c>
      <c r="P68" s="95">
        <v>0</v>
      </c>
      <c r="X68" s="2" t="s">
        <v>76</v>
      </c>
      <c r="Y68" s="92">
        <f>(1-RecoveryRate)*YearFraction*(SUMPRODUCT($Z$5:$Z$8,$AB$5:$AB$8)-SUMPRODUCT($AA$9:$AA$24,$AB$9:$AB$24))</f>
        <v>0.57867765522076064</v>
      </c>
      <c r="Z68" s="93">
        <f>(1-RecoveryRate)*YearFraction*(SUMPRODUCT($Z$9:$Z$12,$AB$9:$AB$12)-SUMPRODUCT($AA$13:$AA$24,$AB$13:$AB$24))</f>
        <v>0.55152332530477066</v>
      </c>
      <c r="AA68" s="93">
        <f>(1-RecoveryRate)*YearFraction*(SUMPRODUCT($Z$13:$Z$16,$AB$13:$AB$16)-SUMPRODUCT($AA$17:$AA$24,$AB$17:$AB$24))</f>
        <v>0.52730268930560631</v>
      </c>
      <c r="AB68" s="93">
        <f>(1-RecoveryRate)*YearFraction*(SUMPRODUCT($Z$17:$Z$20,$AB$17:$AB$20)-SUMPRODUCT($AA$21:$AA$24,$AB$21:$AB$24))</f>
        <v>0.50519507954968024</v>
      </c>
      <c r="AC68" s="93">
        <f>(1-RecoveryRate)*YearFraction*(SUMPRODUCT($Z$21:$Z$24,$AB$21:$AB$24))</f>
        <v>0.48459035535137296</v>
      </c>
      <c r="AD68" s="95">
        <v>0</v>
      </c>
      <c r="AG68" s="2" t="s">
        <v>103</v>
      </c>
      <c r="AH68" s="135">
        <f t="shared" si="30"/>
        <v>3.0000127522113256E-3</v>
      </c>
      <c r="AI68" s="136">
        <f t="shared" si="30"/>
        <v>3.0000121225850288E-3</v>
      </c>
      <c r="AJ68" s="136">
        <f t="shared" ref="AJ68:AK68" si="33">AJ79/AJ90</f>
        <v>3.0000115599949479E-3</v>
      </c>
      <c r="AK68" s="136">
        <f t="shared" si="33"/>
        <v>3.0000110458247137E-3</v>
      </c>
      <c r="AL68" s="136">
        <f t="shared" ref="AL68" si="34">AL79/AL90</f>
        <v>3.0000105662354691E-3</v>
      </c>
      <c r="AM68" s="137">
        <v>0</v>
      </c>
    </row>
    <row r="69" spans="3:39" ht="15.6" x14ac:dyDescent="0.3">
      <c r="C69" s="2"/>
      <c r="D69" s="2"/>
      <c r="E69" s="2"/>
      <c r="F69" s="2"/>
      <c r="G69" s="2"/>
      <c r="H69" s="2"/>
      <c r="I69" s="2"/>
      <c r="J69" s="2" t="s">
        <v>59</v>
      </c>
      <c r="K69" s="101">
        <v>4.3748395454869543E-9</v>
      </c>
      <c r="L69" s="102">
        <v>7.9790996599431256E-9</v>
      </c>
      <c r="M69" s="102">
        <v>1.1205749371775745E-8</v>
      </c>
      <c r="N69" s="102">
        <v>1.4499160107872388E-8</v>
      </c>
      <c r="O69" s="97">
        <v>-2.0689298695271514</v>
      </c>
      <c r="P69" s="98">
        <v>3.7355973201042247</v>
      </c>
      <c r="X69" s="2" t="s">
        <v>77</v>
      </c>
      <c r="Y69" s="96">
        <f>(1-RecoveryRate)*YearFraction*(SUMPRODUCT($Z$5:$Z$8,$AB$5:$AB$8)-SUMPRODUCT($AA$9:$AA$44,$AB$9:$AB$44))</f>
        <v>0.57600388305650885</v>
      </c>
      <c r="Z69" s="119">
        <f>(1-RecoveryRate)*YearFraction*(SUMPRODUCT($Z$9:$Z$12,$AB$9:$AB$12)-SUMPRODUCT($AA$13:$AA$44,$AB$13:$AB$44))</f>
        <v>0.54884955314051875</v>
      </c>
      <c r="AA69" s="119">
        <f>(1-RecoveryRate)*YearFraction*(SUMPRODUCT($Z$13:$Z$16,$AB$13:$AB$16)-SUMPRODUCT($AA$17:$AA$44,$AB$17:$AB$44))</f>
        <v>0.52462891714135429</v>
      </c>
      <c r="AB69" s="119">
        <f>(1-RecoveryRate)*YearFraction*(SUMPRODUCT($Z$17:$Z$20,$AB$17:$AB$20)-SUMPRODUCT($AA$21:$AA$44,$AB$21:$AB$44))</f>
        <v>0.50252130738542833</v>
      </c>
      <c r="AC69" s="119">
        <f>(1-RecoveryRate)*YearFraction*(SUMPRODUCT($Z$21:$Z$24,$AB$21:$AB$24)-SUMPRODUCT($AA$25:$AA$44,$AB$25:$AB$44))</f>
        <v>0.48191658318712105</v>
      </c>
      <c r="AD69" s="98">
        <f>(1-RecoveryRate)*YearFraction*(SUMPRODUCT($Z$25:$Z$44,$AB$25:$AB$44))</f>
        <v>2.137681123837428</v>
      </c>
      <c r="AG69" s="2" t="s">
        <v>104</v>
      </c>
      <c r="AH69" s="138">
        <f t="shared" si="30"/>
        <v>3.0000068884265731E-3</v>
      </c>
      <c r="AI69" s="146">
        <f t="shared" si="30"/>
        <v>3.0000065397133035E-3</v>
      </c>
      <c r="AJ69" s="146">
        <f t="shared" ref="AJ69:AK69" si="35">AJ80/AJ91</f>
        <v>3.0000062281274795E-3</v>
      </c>
      <c r="AK69" s="146">
        <f t="shared" si="35"/>
        <v>3.0000059433585814E-3</v>
      </c>
      <c r="AL69" s="146">
        <f t="shared" ref="AL69:AM69" si="36">AL80/AL91</f>
        <v>3.0000056777420747E-3</v>
      </c>
      <c r="AM69" s="147">
        <f t="shared" si="36"/>
        <v>3.0000263788555474E-3</v>
      </c>
    </row>
    <row r="72" spans="3:39" x14ac:dyDescent="0.3">
      <c r="Y72" s="1" t="s">
        <v>71</v>
      </c>
      <c r="AH72" s="1" t="s">
        <v>97</v>
      </c>
    </row>
    <row r="74" spans="3:39" ht="15.6" x14ac:dyDescent="0.3">
      <c r="X74" s="39" t="s">
        <v>85</v>
      </c>
      <c r="Y74" s="2" t="s">
        <v>54</v>
      </c>
      <c r="Z74" s="2" t="s">
        <v>55</v>
      </c>
      <c r="AA74" s="2" t="s">
        <v>56</v>
      </c>
      <c r="AB74" s="2" t="s">
        <v>57</v>
      </c>
      <c r="AC74" s="2" t="s">
        <v>58</v>
      </c>
      <c r="AD74" s="2" t="s">
        <v>59</v>
      </c>
      <c r="AG74" s="39" t="s">
        <v>84</v>
      </c>
      <c r="AH74" s="2" t="s">
        <v>54</v>
      </c>
      <c r="AI74" s="2" t="s">
        <v>55</v>
      </c>
      <c r="AJ74" s="2" t="s">
        <v>56</v>
      </c>
      <c r="AK74" s="2" t="s">
        <v>57</v>
      </c>
      <c r="AL74" s="2" t="s">
        <v>58</v>
      </c>
      <c r="AM74" s="2" t="s">
        <v>59</v>
      </c>
    </row>
    <row r="75" spans="3:39" ht="15.6" x14ac:dyDescent="0.3">
      <c r="X75" s="2" t="s">
        <v>78</v>
      </c>
      <c r="Y75" s="89">
        <f>-YearFraction*(0.5*YearFraction*SUMPRODUCT($Z$5:$Z$8,$AB$5:$AB$8))</f>
        <v>-0.12109785836515345</v>
      </c>
      <c r="Z75" s="90">
        <v>0</v>
      </c>
      <c r="AA75" s="90">
        <v>0</v>
      </c>
      <c r="AB75" s="90">
        <v>0</v>
      </c>
      <c r="AC75" s="90">
        <v>0</v>
      </c>
      <c r="AD75" s="91">
        <v>0</v>
      </c>
      <c r="AG75" s="2" t="s">
        <v>72</v>
      </c>
      <c r="AH75" s="139">
        <f>LGD*SUMPRODUCT($AK$5:$AK$8,DiscFactors1Y)</f>
        <v>2908.2238448088974</v>
      </c>
      <c r="AI75" s="32">
        <v>0</v>
      </c>
      <c r="AJ75" s="32">
        <v>0</v>
      </c>
      <c r="AK75" s="32">
        <v>0</v>
      </c>
      <c r="AL75" s="32">
        <v>0</v>
      </c>
      <c r="AM75" s="33">
        <v>0</v>
      </c>
    </row>
    <row r="76" spans="3:39" ht="15.6" x14ac:dyDescent="0.3">
      <c r="X76" s="2" t="s">
        <v>79</v>
      </c>
      <c r="Y76" s="92">
        <f>-YearFraction*(0.5*YearFraction*SUMPRODUCT($Z$5:$Z$8,$AB$5:$AB$8)+SUM($AB$9:$AB$12)*(YearFraction*SUM($Z$9:$Z$12)+0.5*YearFraction*SUM($AA$9:$AA$12)))</f>
        <v>-1.0440314147747813</v>
      </c>
      <c r="Z76" s="93">
        <f>-YearFraction*(0.5*YearFraction*SUMPRODUCT($Z$9:$Z$12,$AB$9:$AB$12))</f>
        <v>-0.11529649556693322</v>
      </c>
      <c r="AA76" s="94">
        <v>0</v>
      </c>
      <c r="AB76" s="94">
        <v>0</v>
      </c>
      <c r="AC76" s="94">
        <v>0</v>
      </c>
      <c r="AD76" s="95">
        <v>0</v>
      </c>
      <c r="AG76" s="2" t="s">
        <v>73</v>
      </c>
      <c r="AH76" s="140">
        <f>LGD*SUMPRODUCT($AK$5:$AK$12,DiscFactors2Y)</f>
        <v>5677.0696297924851</v>
      </c>
      <c r="AI76" s="141">
        <f>LGD*SUMPRODUCT($AO$5:$AO$12,DiscFactors2Y)</f>
        <v>5677.0671271121355</v>
      </c>
      <c r="AJ76" s="28">
        <v>0</v>
      </c>
      <c r="AK76" s="28">
        <v>0</v>
      </c>
      <c r="AL76" s="28">
        <v>0</v>
      </c>
      <c r="AM76" s="142">
        <v>0</v>
      </c>
    </row>
    <row r="77" spans="3:39" ht="15.6" x14ac:dyDescent="0.3">
      <c r="X77" s="2" t="s">
        <v>80</v>
      </c>
      <c r="Y77" s="92">
        <f>-YearFraction*(0.5*YearFraction*SUMPRODUCT($Z$5:$Z$8,$AB$5:$AB$8)+SUM($AB$9:$AB$16)*(YearFraction*SUM($Z$9:$Z$16)+0.5*YearFraction*SUM($AA$9:$AA$16)))</f>
        <v>-3.729659343390797</v>
      </c>
      <c r="Z77" s="93">
        <f>-YearFraction*(0.5*YearFraction*SUMPRODUCT($Z$9:$Z$12,$AB$9:$AB$12)+SUM($AB$13:$AB$16)*(YearFraction*SUM($Z$13:$Z$16)+0.5*YearFraction*SUM($AA$13:$AA$16)))</f>
        <v>-0.99673613952748208</v>
      </c>
      <c r="AA77" s="93">
        <f>-YearFraction*(0.5*YearFraction*SUMPRODUCT($Z$13:$Z$16,$AB$13:$AB$16))</f>
        <v>-0.11011280266895548</v>
      </c>
      <c r="AB77" s="94">
        <v>0</v>
      </c>
      <c r="AC77" s="94">
        <v>0</v>
      </c>
      <c r="AD77" s="95">
        <v>0</v>
      </c>
      <c r="AG77" s="2" t="s">
        <v>74</v>
      </c>
      <c r="AH77" s="140">
        <f>LGD*SUMPRODUCT($AK$5:$AK$16,DiscFactors3Y)</f>
        <v>8321.4290098715155</v>
      </c>
      <c r="AI77" s="141">
        <f>LGD*SUMPRODUCT($AO$5:$AO$16,DiscFactors3Y)</f>
        <v>8321.4265071911668</v>
      </c>
      <c r="AJ77" s="141">
        <f>LGD*SUMPRODUCT($AS$5:$AS$16,DiscFactors3Y)</f>
        <v>8321.4242880241563</v>
      </c>
      <c r="AK77" s="28">
        <v>0</v>
      </c>
      <c r="AL77" s="28">
        <v>0</v>
      </c>
      <c r="AM77" s="142">
        <v>0</v>
      </c>
    </row>
    <row r="78" spans="3:39" ht="15.6" x14ac:dyDescent="0.3">
      <c r="X78" s="2" t="s">
        <v>81</v>
      </c>
      <c r="Y78" s="92">
        <f>-YearFraction*(0.5*YearFraction*SUMPRODUCT($Z$5:$Z$8,$AB$5:$AB$8)+SUM($AB$9:$AB$20)*(YearFraction*SUM($Z$9:$Z$20)+0.5*YearFraction*SUM($AA$9:$AA$20)))</f>
        <v>-8.063708431708017</v>
      </c>
      <c r="Z78" s="93">
        <f>-YearFraction*(0.5*YearFraction*SUMPRODUCT($Z$9:$Z$12,$AB$9:$AB$12)+SUM($AB$13:$AB$20)*(YearFraction*SUM($Z$13:$Z$20)+0.5*YearFraction*SUM($AA$13:$AA$20)))</f>
        <v>-3.565040930483887</v>
      </c>
      <c r="AA78" s="93">
        <f>-YearFraction*(0.5*YearFraction*SUMPRODUCT($Z$13:$Z$16,$AB$13:$AB$16)+SUM($AB$17:$AB$20)*(YearFraction*SUM($Z$17:$Z$20)+0.5*YearFraction*SUM($AA$17:$AA$20)))</f>
        <v>-0.95362940317157219</v>
      </c>
      <c r="AB78" s="93">
        <f>-YearFraction*(0.5*YearFraction*SUMPRODUCT($Z$17:$Z$20,$AB$17:$AB$20))</f>
        <v>-0.10537524921622461</v>
      </c>
      <c r="AC78" s="94">
        <v>0</v>
      </c>
      <c r="AD78" s="95">
        <v>0</v>
      </c>
      <c r="AG78" s="2" t="s">
        <v>75</v>
      </c>
      <c r="AH78" s="140">
        <f>LGD*SUMPRODUCT($AK$5:$AK$20,DiscFactors4Y)</f>
        <v>10852.016025541488</v>
      </c>
      <c r="AI78" s="141">
        <f>LGD*SUMPRODUCT($AO$5:$AO$20,DiscFactors4Y)</f>
        <v>10852.01352286114</v>
      </c>
      <c r="AJ78" s="141">
        <f>LGD*SUMPRODUCT($AS$5:$AS$20,DiscFactors4Y)</f>
        <v>10852.011303694129</v>
      </c>
      <c r="AK78" s="141">
        <f>LGD*SUMPRODUCT($AW$5:$AW$20,DiscFactors4Y)</f>
        <v>10852.009286924107</v>
      </c>
      <c r="AL78" s="28">
        <v>0</v>
      </c>
      <c r="AM78" s="142">
        <v>0</v>
      </c>
    </row>
    <row r="79" spans="3:39" ht="15.6" x14ac:dyDescent="0.3">
      <c r="X79" s="2" t="s">
        <v>82</v>
      </c>
      <c r="Y79" s="92">
        <f>-YearFraction*(0.5*YearFraction*SUMPRODUCT($Z$5:$Z$8,$AB$5:$AB$8)+SUM($AB$9:$AB$24)*(YearFraction*SUM($Z$9:$Z$24)+0.5*YearFraction*SUM($AA$9:$AA$24)))</f>
        <v>-13.941841807162001</v>
      </c>
      <c r="Z79" s="93">
        <f>-YearFraction*(0.5*YearFraction*SUMPRODUCT($Z$9:$Z$12,$AB$9:$AB$12)+SUM($AB$13:$AB$24)*(YearFraction*SUM($Z$13:$Z$24)+0.5*YearFraction*SUM($AA$13:$AA$24)))</f>
        <v>-7.7136240487884038</v>
      </c>
      <c r="AA79" s="93">
        <f>-YearFraction*(0.5*YearFraction*SUMPRODUCT($Z$13:$Z$16,$AB$13:$AB$16)+SUM($AB$17:$AB$24)*(YearFraction*SUM($Z$17:$Z$24)+0.5*YearFraction*SUM($AA$17:$AA$24)))</f>
        <v>-3.4132775068013861</v>
      </c>
      <c r="AB79" s="93">
        <f>-YearFraction*(0.5*YearFraction*SUMPRODUCT($Z$17:$Z$20,$AB$17:$AB$20)+SUM($AB$21:$AB$24)*(YearFraction*SUM($Z$21:$Z$24)+0.5*YearFraction*SUM($AA$21:$AA$24)))</f>
        <v>-0.91351911009795261</v>
      </c>
      <c r="AC79" s="93">
        <f>-YearFraction*(0.5*YearFraction*SUMPRODUCT($Z$21:$Z$24,$AB$21:$AB$24))</f>
        <v>-0.10095632403153604</v>
      </c>
      <c r="AD79" s="95">
        <v>0</v>
      </c>
      <c r="AG79" s="2" t="s">
        <v>76</v>
      </c>
      <c r="AH79" s="140">
        <f>LGD*SUMPRODUCT($AK$5:$AK$24,DiscFactors5Y)</f>
        <v>13276.482535886333</v>
      </c>
      <c r="AI79" s="141">
        <f>LGD*SUMPRODUCT($AO$5:$AO$24,DiscFactors5Y)</f>
        <v>13276.480033205984</v>
      </c>
      <c r="AJ79" s="141">
        <f>LGD*SUMPRODUCT($AS$5:$AS$24,DiscFactors5Y)</f>
        <v>13276.477814038974</v>
      </c>
      <c r="AK79" s="141">
        <f>LGD*SUMPRODUCT($AW$5:$AW$24,DiscFactors5Y)</f>
        <v>13276.475797268953</v>
      </c>
      <c r="AL79" s="141">
        <f>LGD*SUMPRODUCT($BA$5:$BA$24,DiscFactors5Y)</f>
        <v>13276.473922560837</v>
      </c>
      <c r="AM79" s="142">
        <v>0</v>
      </c>
    </row>
    <row r="80" spans="3:39" ht="15.6" x14ac:dyDescent="0.3">
      <c r="X80" s="2" t="s">
        <v>83</v>
      </c>
      <c r="Y80" s="96">
        <f>-YearFraction*(0.5*YearFraction*SUMPRODUCT($Z$5:$Z$8,$AB$5:$AB$8)+SUM($AB$9:$AB$44)*(YearFraction*SUM($Z$9:$Z$44)+0.5*YearFraction*SUM($AA$9:$AA$44)))</f>
        <v>-63.230589743842955</v>
      </c>
      <c r="Z80" s="97">
        <f>-YearFraction*(0.5*YearFraction*SUMPRODUCT($Z$9:$Z$12,$AB$9:$AB$12)+SUM($AB$13:$AB$44)*(YearFraction*SUM($Z$13:$Z$44)+0.5*YearFraction*SUM($AA$13:$AA$44)))</f>
        <v>-48.851894405925421</v>
      </c>
      <c r="AA80" s="97">
        <f>-YearFraction*(0.5*YearFraction*SUMPRODUCT($Z$13:$Z$16,$AB$13:$AB$16)+SUM($AB$17:$AB$44)*(YearFraction*SUM($Z$17:$Z$44)+0.5*YearFraction*SUM($AA$17:$AA$44)))</f>
        <v>-36.599288996570053</v>
      </c>
      <c r="AB80" s="97">
        <f>-YearFraction*(0.5*YearFraction*SUMPRODUCT($Z$17:$Z$20,$AB$17:$AB$20)+SUM($AB$21:$AB$44)*(YearFraction*SUM($Z$21:$Z$44)+0.5*YearFraction*SUM($AA$21:$AA$44)))</f>
        <v>-26.329813925249908</v>
      </c>
      <c r="AC80" s="97">
        <f>-YearFraction*(0.5*YearFraction*SUMPRODUCT($Z$21:$Z$24,$AB$21:$AB$24)+SUM($AB$25:$AB$44)*(YearFraction*SUM($Z$25:$Z$44)+0.5*YearFraction*SUM($AA$25:$AA$44)))</f>
        <v>-17.919179086209521</v>
      </c>
      <c r="AD80" s="98">
        <f>-YearFraction*(0.5*YearFraction*SUMPRODUCT($Z$25:$Z$44,$AB$25:$AB$44))</f>
        <v>-0.44535023413279751</v>
      </c>
      <c r="AG80" s="2" t="s">
        <v>77</v>
      </c>
      <c r="AH80" s="143">
        <f>LGD*SUMPRODUCT($AK$5:$AK$44,DiscFactors10Y)</f>
        <v>23971.57012338522</v>
      </c>
      <c r="AI80" s="144">
        <f>LGD*SUMPRODUCT($AO$5:$AO$44,DiscFactors10Y)</f>
        <v>23971.567620704875</v>
      </c>
      <c r="AJ80" s="144">
        <f>LGD*SUMPRODUCT($AS$5:$AS$44,DiscFactors10Y)</f>
        <v>23971.56540153786</v>
      </c>
      <c r="AK80" s="144">
        <f>LGD*SUMPRODUCT($AW$5:$AW$44,DiscFactors10Y)</f>
        <v>23971.56338476784</v>
      </c>
      <c r="AL80" s="144">
        <f>LGD*SUMPRODUCT($BA$5:$BA$44,DiscFactors10Y)</f>
        <v>23971.561510059724</v>
      </c>
      <c r="AM80" s="145">
        <f>LGD*SUMPRODUCT($BE$5:$BE$44,DiscFactors10Y)</f>
        <v>23971.725532870729</v>
      </c>
    </row>
    <row r="83" spans="33:39" x14ac:dyDescent="0.3">
      <c r="AH83" s="1" t="s">
        <v>98</v>
      </c>
    </row>
    <row r="85" spans="33:39" ht="15.6" x14ac:dyDescent="0.3">
      <c r="AG85" s="39" t="s">
        <v>85</v>
      </c>
      <c r="AH85" s="2" t="s">
        <v>54</v>
      </c>
      <c r="AI85" s="2" t="s">
        <v>55</v>
      </c>
      <c r="AJ85" s="2" t="s">
        <v>56</v>
      </c>
      <c r="AK85" s="2" t="s">
        <v>57</v>
      </c>
      <c r="AL85" s="2" t="s">
        <v>58</v>
      </c>
      <c r="AM85" s="2" t="s">
        <v>59</v>
      </c>
    </row>
    <row r="86" spans="33:39" ht="15.6" x14ac:dyDescent="0.3">
      <c r="AG86" s="2" t="s">
        <v>78</v>
      </c>
      <c r="AH86" s="139">
        <f>Notional*YearFraction*(SUMPRODUCT($AJ$5:$AJ$8,DiscFactors1Y)+0.5*SUMPRODUCT($AK$5:$AK$8,DiscFactors1Y))</f>
        <v>969388.68672592298</v>
      </c>
      <c r="AI86" s="32">
        <v>0</v>
      </c>
      <c r="AJ86" s="32">
        <v>0</v>
      </c>
      <c r="AK86" s="32">
        <v>0</v>
      </c>
      <c r="AL86" s="32">
        <v>0</v>
      </c>
      <c r="AM86" s="33">
        <v>0</v>
      </c>
    </row>
    <row r="87" spans="33:39" ht="15.6" x14ac:dyDescent="0.3">
      <c r="AG87" s="2" t="s">
        <v>79</v>
      </c>
      <c r="AH87" s="140">
        <f>Notional*YearFraction*(SUMPRODUCT($AJ$5:$AJ$12,DiscFactors2Y)+0.5*SUMPRODUCT($AK$5:$AK$12,DiscFactors2Y))</f>
        <v>1892337.4018960684</v>
      </c>
      <c r="AI87" s="141">
        <f>Notional*YearFraction*(SUMPRODUCT($AN$5:$AN$12,DiscFactors2Y)+0.5*SUMPRODUCT($AO$5:$AO$12,DiscFactors2Y))</f>
        <v>1892337.4964674585</v>
      </c>
      <c r="AJ87" s="28">
        <v>0</v>
      </c>
      <c r="AK87" s="28">
        <v>0</v>
      </c>
      <c r="AL87" s="28">
        <v>0</v>
      </c>
      <c r="AM87" s="142">
        <v>0</v>
      </c>
    </row>
    <row r="88" spans="33:39" ht="15.6" x14ac:dyDescent="0.3">
      <c r="AG88" s="2" t="s">
        <v>80</v>
      </c>
      <c r="AH88" s="140">
        <f>Notional*YearFraction*(SUMPRODUCT($AJ$5:$AJ$16,DiscFactors3Y)+0.5*SUMPRODUCT($AK$5:$AK$16,DiscFactors3Y))</f>
        <v>2773790.6433616579</v>
      </c>
      <c r="AI88" s="141">
        <f>Notional*YearFraction*(SUMPRODUCT($AN$5:$AN$16,DiscFactors3Y)+0.5*SUMPRODUCT($AO$5:$AO$16,DiscFactors3Y))</f>
        <v>2773790.737933048</v>
      </c>
      <c r="AJ88" s="141">
        <f>Notional*YearFraction*(SUMPRODUCT($AR$5:$AR$16,DiscFactors3Y)+0.5*SUMPRODUCT($AS$5:$AS$16,DiscFactors3Y))</f>
        <v>2773790.8281198964</v>
      </c>
      <c r="AK88" s="28">
        <v>0</v>
      </c>
      <c r="AL88" s="28">
        <v>0</v>
      </c>
      <c r="AM88" s="142">
        <v>0</v>
      </c>
    </row>
    <row r="89" spans="33:39" ht="15.6" x14ac:dyDescent="0.3">
      <c r="AG89" s="2" t="s">
        <v>81</v>
      </c>
      <c r="AH89" s="140">
        <f>Notional*YearFraction*(SUMPRODUCT($AJ$5:$AJ$20,DiscFactors4Y)+0.5*SUMPRODUCT($AK$5:$AK$20,DiscFactors4Y))</f>
        <v>3617319.7584195239</v>
      </c>
      <c r="AI89" s="141">
        <f>Notional*YearFraction*(SUMPRODUCT($AN$5:$AN$20,DiscFactors4Y)+0.5*SUMPRODUCT($AO$5:$AO$20,DiscFactors4Y))</f>
        <v>3617319.8529909141</v>
      </c>
      <c r="AJ89" s="141">
        <f>Notional*YearFraction*(SUMPRODUCT($AR$5:$AR$20,DiscFactors4Y)+0.5*SUMPRODUCT($AS$5:$AS$20,DiscFactors4Y))</f>
        <v>3617319.9431777624</v>
      </c>
      <c r="AK89" s="141">
        <f>Notional*YearFraction*(SUMPRODUCT($AV$5:$AV$20,DiscFactors4Y)+0.5*SUMPRODUCT($AW$5:$AW$20,DiscFactors4Y))</f>
        <v>3617320.0294033722</v>
      </c>
      <c r="AL89" s="28">
        <v>0</v>
      </c>
      <c r="AM89" s="142">
        <v>0</v>
      </c>
    </row>
    <row r="90" spans="33:39" ht="15.6" x14ac:dyDescent="0.3">
      <c r="AG90" s="2" t="s">
        <v>82</v>
      </c>
      <c r="AH90" s="140">
        <f>Notional*YearFraction*(SUMPRODUCT($AJ$5:$AJ$24,DiscFactors5Y)+0.5*SUMPRODUCT($AK$5:$AK$24,DiscFactors5Y))</f>
        <v>4425475.367096412</v>
      </c>
      <c r="AI90" s="141">
        <f>Notional*YearFraction*(SUMPRODUCT($AN$5:$AN$24,DiscFactors5Y)+0.5*SUMPRODUCT($AO$5:$AO$24,DiscFactors5Y))</f>
        <v>4425475.4616678022</v>
      </c>
      <c r="AJ90" s="141">
        <f>Notional*YearFraction*(SUMPRODUCT($AR$5:$AR$24,DiscFactors5Y)+0.5*SUMPRODUCT($AS$5:$AS$24,DiscFactors5Y))</f>
        <v>4425475.5518546505</v>
      </c>
      <c r="AK90" s="141">
        <f>Notional*YearFraction*(SUMPRODUCT($AV$5:$AV$24,DiscFactors5Y)+0.5*SUMPRODUCT($AW$5:$AW$24,DiscFactors5Y))</f>
        <v>4425475.6380802598</v>
      </c>
      <c r="AL90" s="141">
        <f>Notional*YearFraction*(SUMPRODUCT($AZ$5:$AZ$24,DiscFactors5Y)+0.5*SUMPRODUCT($BA$5:$BA$24,DiscFactors5Y))</f>
        <v>4425475.7206474366</v>
      </c>
      <c r="AM90" s="142">
        <v>0</v>
      </c>
    </row>
    <row r="91" spans="33:39" ht="15.6" x14ac:dyDescent="0.3">
      <c r="AG91" s="2" t="s">
        <v>83</v>
      </c>
      <c r="AH91" s="143">
        <f>Notional*YearFraction*(SUMPRODUCT($AJ$5:$AJ$44,DiscFactors10Y)+0.5*SUMPRODUCT($AK$5:$AK$44,DiscFactors10Y))</f>
        <v>7990505.0271260198</v>
      </c>
      <c r="AI91" s="144">
        <f>Notional*YearFraction*(SUMPRODUCT($AN$5:$AN$44,DiscFactors10Y)+0.5*SUMPRODUCT($AO$5:$AO$44,DiscFactors10Y))</f>
        <v>7990505.12169741</v>
      </c>
      <c r="AJ91" s="144">
        <f>Notional*YearFraction*(SUMPRODUCT($AR$5:$AR$44,DiscFactors10Y)+0.5*SUMPRODUCT($AS$5:$AS$44,DiscFactors10Y))</f>
        <v>7990505.2118842583</v>
      </c>
      <c r="AK91" s="144">
        <f>Notional*YearFraction*(SUMPRODUCT($AV$5:$AV$44,DiscFactors10Y)+0.5*SUMPRODUCT($AW$5:$AW$44,DiscFactors10Y))</f>
        <v>7990505.2981098685</v>
      </c>
      <c r="AL91" s="144">
        <f>Notional*YearFraction*(SUMPRODUCT($AZ$5:$AZ$44,DiscFactors10Y)+0.5*SUMPRODUCT($BA$5:$BA$44,DiscFactors10Y))</f>
        <v>7990505.3806770416</v>
      </c>
      <c r="AM91" s="145">
        <f>Notional*YearFraction*(SUMPRODUCT($BD$5:$BD$44,DiscFactors10Y)+0.5*SUMPRODUCT($BE$5:$BE$44,DiscFactors10Y))</f>
        <v>7990504.9174985867</v>
      </c>
    </row>
  </sheetData>
  <mergeCells count="7">
    <mergeCell ref="K9:L9"/>
    <mergeCell ref="K3:L3"/>
    <mergeCell ref="K4:L4"/>
    <mergeCell ref="K5:L5"/>
    <mergeCell ref="K8:L8"/>
    <mergeCell ref="K6:L6"/>
    <mergeCell ref="K7:L7"/>
  </mergeCells>
  <dataValidations count="2">
    <dataValidation type="list" allowBlank="1" showInputMessage="1" showErrorMessage="1" sqref="O37" xr:uid="{ED6D3334-3C12-4598-9B8E-3E8C11E28705}">
      <formula1>"TRUE,FALSE"</formula1>
    </dataValidation>
    <dataValidation type="list" allowBlank="1" showInputMessage="1" showErrorMessage="1" sqref="K51" xr:uid="{ABA15CA1-E0CD-4204-8952-CA2BCA25F43C}">
      <formula1>"ANALYTICAL,NUMERICAL"</formula1>
    </dataValidation>
  </dataValidations>
  <pageMargins left="0.7" right="0.7" top="0.75" bottom="0.75" header="0.3" footer="0.3"/>
  <headerFooter>
    <oddFooter>&amp;R_x000D_&amp;1#&amp;"Aptos"&amp;10&amp;K008000 [ CLASSIFICAÇÃO: PÚBLICA ]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RunCreditSolver">
                <anchor moveWithCells="1" sizeWithCells="1">
                  <from>
                    <xdr:col>10</xdr:col>
                    <xdr:colOff>30480</xdr:colOff>
                    <xdr:row>34</xdr:row>
                    <xdr:rowOff>38100</xdr:rowOff>
                  </from>
                  <to>
                    <xdr:col>12</xdr:col>
                    <xdr:colOff>144780</xdr:colOff>
                    <xdr:row>37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6E83B-F8B1-471A-8EF1-64A37CDDE28D}">
  <sheetPr codeName="Sheet2">
    <tabColor theme="7" tint="0.59999389629810485"/>
  </sheetPr>
  <dimension ref="B1:BF91"/>
  <sheetViews>
    <sheetView showGridLines="0" zoomScaleNormal="100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4.4" outlineLevelCol="2" x14ac:dyDescent="0.3"/>
  <cols>
    <col min="1" max="1" width="4.6640625" customWidth="1"/>
    <col min="2" max="2" width="9.33203125" hidden="1" customWidth="1" outlineLevel="1"/>
    <col min="3" max="8" width="12.6640625" hidden="1" customWidth="1" outlineLevel="1"/>
    <col min="9" max="9" width="12.6640625" customWidth="1" collapsed="1"/>
    <col min="10" max="10" width="9.33203125" customWidth="1"/>
    <col min="11" max="15" width="12.6640625" customWidth="1"/>
    <col min="16" max="16" width="15.6640625" customWidth="1"/>
    <col min="17" max="19" width="12.6640625" customWidth="1"/>
    <col min="20" max="22" width="15.6640625" customWidth="1"/>
    <col min="23" max="30" width="15.6640625" hidden="1" customWidth="1" outlineLevel="1"/>
    <col min="31" max="31" width="15.6640625" customWidth="1" collapsed="1"/>
    <col min="32" max="56" width="15.6640625" hidden="1" customWidth="1" outlineLevel="1"/>
    <col min="57" max="57" width="15.6640625" hidden="1" customWidth="1" outlineLevel="2"/>
    <col min="58" max="58" width="20.6640625" customWidth="1" collapsed="1"/>
  </cols>
  <sheetData>
    <row r="1" spans="3:58" x14ac:dyDescent="0.3">
      <c r="I1" s="124" t="s">
        <v>135</v>
      </c>
      <c r="J1" s="124"/>
      <c r="AE1" s="124" t="s">
        <v>158</v>
      </c>
      <c r="BF1" s="124" t="s">
        <v>159</v>
      </c>
    </row>
    <row r="2" spans="3:58" x14ac:dyDescent="0.3">
      <c r="C2" s="1" t="s">
        <v>139</v>
      </c>
      <c r="K2" s="55" t="s">
        <v>143</v>
      </c>
      <c r="O2" s="55" t="s">
        <v>144</v>
      </c>
      <c r="S2" s="1" t="s">
        <v>66</v>
      </c>
      <c r="X2" s="1" t="s">
        <v>93</v>
      </c>
      <c r="Y2" s="1"/>
      <c r="AE2" s="338" t="s">
        <v>329</v>
      </c>
      <c r="AH2" s="1" t="s">
        <v>88</v>
      </c>
      <c r="AJ2" s="1"/>
      <c r="AL2" s="1" t="s">
        <v>89</v>
      </c>
      <c r="AN2" s="1"/>
      <c r="AP2" s="1" t="s">
        <v>92</v>
      </c>
      <c r="AT2" s="1" t="s">
        <v>90</v>
      </c>
      <c r="AX2" s="1" t="s">
        <v>91</v>
      </c>
      <c r="BB2" s="1" t="s">
        <v>95</v>
      </c>
      <c r="BF2" s="124"/>
    </row>
    <row r="3" spans="3:58" x14ac:dyDescent="0.3">
      <c r="C3" t="s">
        <v>150</v>
      </c>
      <c r="K3" s="397" t="s">
        <v>0</v>
      </c>
      <c r="L3" s="398"/>
      <c r="M3" s="47" t="s">
        <v>336</v>
      </c>
      <c r="O3" s="40" t="s">
        <v>10</v>
      </c>
      <c r="P3" s="40" t="s">
        <v>67</v>
      </c>
      <c r="Q3" s="2" t="s">
        <v>110</v>
      </c>
      <c r="S3" s="40" t="s">
        <v>48</v>
      </c>
      <c r="T3" s="40" t="s">
        <v>20</v>
      </c>
      <c r="X3" s="41" t="s">
        <v>6</v>
      </c>
      <c r="Y3" s="41" t="s">
        <v>20</v>
      </c>
      <c r="Z3" s="41" t="s">
        <v>8</v>
      </c>
      <c r="AA3" s="41" t="s">
        <v>24</v>
      </c>
      <c r="AB3" s="41" t="s">
        <v>134</v>
      </c>
      <c r="AC3" s="41"/>
      <c r="AD3" s="41"/>
      <c r="AE3" s="41"/>
      <c r="AF3" s="41"/>
      <c r="AG3" s="41" t="s">
        <v>6</v>
      </c>
      <c r="AH3" s="2" t="s">
        <v>20</v>
      </c>
      <c r="AI3" s="41" t="s">
        <v>94</v>
      </c>
      <c r="AJ3" s="41" t="s">
        <v>8</v>
      </c>
      <c r="AK3" s="41" t="s">
        <v>24</v>
      </c>
      <c r="AL3" s="2" t="s">
        <v>20</v>
      </c>
      <c r="AM3" s="41" t="s">
        <v>94</v>
      </c>
      <c r="AN3" s="41" t="s">
        <v>8</v>
      </c>
      <c r="AO3" s="41" t="s">
        <v>24</v>
      </c>
      <c r="AP3" s="2" t="s">
        <v>20</v>
      </c>
      <c r="AQ3" s="41" t="s">
        <v>94</v>
      </c>
      <c r="AR3" s="41" t="s">
        <v>8</v>
      </c>
      <c r="AS3" s="41" t="s">
        <v>24</v>
      </c>
      <c r="AT3" s="2" t="s">
        <v>20</v>
      </c>
      <c r="AU3" s="41" t="s">
        <v>94</v>
      </c>
      <c r="AV3" s="41" t="s">
        <v>8</v>
      </c>
      <c r="AW3" s="41" t="s">
        <v>24</v>
      </c>
      <c r="AX3" s="2" t="s">
        <v>20</v>
      </c>
      <c r="AY3" s="41" t="s">
        <v>94</v>
      </c>
      <c r="AZ3" s="41" t="s">
        <v>8</v>
      </c>
      <c r="BA3" s="41" t="s">
        <v>24</v>
      </c>
      <c r="BB3" s="2" t="s">
        <v>20</v>
      </c>
      <c r="BC3" s="41" t="s">
        <v>94</v>
      </c>
      <c r="BD3" s="41" t="s">
        <v>8</v>
      </c>
      <c r="BE3" s="41" t="s">
        <v>24</v>
      </c>
    </row>
    <row r="4" spans="3:58" x14ac:dyDescent="0.3">
      <c r="C4" t="s">
        <v>151</v>
      </c>
      <c r="K4" s="399" t="s">
        <v>17</v>
      </c>
      <c r="L4" s="400"/>
      <c r="M4" s="48" t="s">
        <v>19</v>
      </c>
      <c r="O4" s="73" t="s">
        <v>11</v>
      </c>
      <c r="P4" s="74">
        <v>35</v>
      </c>
      <c r="Q4" s="18">
        <f t="shared" ref="Q4:Q9" si="0">P4/10000</f>
        <v>3.5000000000000001E-3</v>
      </c>
      <c r="S4" s="11">
        <v>1</v>
      </c>
      <c r="T4" s="86">
        <f t="shared" ref="T4:T9" si="1">N27</f>
        <v>5.8333333333333336E-3</v>
      </c>
      <c r="W4" s="18"/>
      <c r="X4" s="17">
        <v>0</v>
      </c>
      <c r="Y4" s="18" cm="1">
        <f t="array" ref="Y4">flatInterpolation(X4,$S$4:$S$9,$T$4:$T$9)</f>
        <v>5.8333333333333336E-3</v>
      </c>
      <c r="Z4" s="10">
        <v>1</v>
      </c>
      <c r="AA4" s="10">
        <v>0</v>
      </c>
      <c r="AB4" s="42" cm="1">
        <f t="array" ref="AB4">cubicInterpolation(CurveResults.Times,CurveResults.DFs,$X4)</f>
        <v>1</v>
      </c>
      <c r="AG4" s="17">
        <v>0</v>
      </c>
      <c r="AI4" s="10" t="s">
        <v>96</v>
      </c>
      <c r="AJ4" s="10">
        <v>1</v>
      </c>
      <c r="AK4" s="10">
        <v>0</v>
      </c>
      <c r="AM4" s="10" t="s">
        <v>96</v>
      </c>
      <c r="AN4" s="10">
        <v>1</v>
      </c>
      <c r="AO4" s="10">
        <v>0</v>
      </c>
      <c r="AQ4" s="10" t="s">
        <v>96</v>
      </c>
      <c r="AR4" s="10">
        <v>1</v>
      </c>
      <c r="AS4" s="10">
        <v>0</v>
      </c>
      <c r="AU4" s="10" t="s">
        <v>96</v>
      </c>
      <c r="AV4" s="10">
        <v>1</v>
      </c>
      <c r="AW4" s="10">
        <v>0</v>
      </c>
      <c r="AY4" s="10" t="s">
        <v>96</v>
      </c>
      <c r="AZ4" s="10">
        <v>1</v>
      </c>
      <c r="BA4" s="10">
        <v>0</v>
      </c>
      <c r="BC4" s="10" t="s">
        <v>96</v>
      </c>
      <c r="BD4" s="10">
        <v>1</v>
      </c>
      <c r="BE4" s="10">
        <v>0</v>
      </c>
    </row>
    <row r="5" spans="3:58" x14ac:dyDescent="0.3">
      <c r="K5" s="399" t="s">
        <v>3</v>
      </c>
      <c r="L5" s="400"/>
      <c r="M5" s="49" t="s">
        <v>4</v>
      </c>
      <c r="O5" s="75" t="s">
        <v>12</v>
      </c>
      <c r="P5" s="76">
        <v>35</v>
      </c>
      <c r="Q5" s="18">
        <f t="shared" si="0"/>
        <v>3.5000000000000001E-3</v>
      </c>
      <c r="S5" s="12">
        <v>2</v>
      </c>
      <c r="T5" s="87">
        <f t="shared" si="1"/>
        <v>5.8333333333333336E-3</v>
      </c>
      <c r="W5" s="18"/>
      <c r="X5" s="20">
        <f>YearFraction</f>
        <v>0.25</v>
      </c>
      <c r="Y5" s="21" cm="1">
        <f t="array" ref="Y5">flatInterpolation(X5,$S$4:$S$9,$T$4:$T$9)</f>
        <v>5.8333333333333336E-3</v>
      </c>
      <c r="Z5" s="22">
        <f t="shared" ref="Z5" si="2">EXP(-Y5*YearFraction)*Z4</f>
        <v>0.99854272951799561</v>
      </c>
      <c r="AA5" s="22">
        <f t="shared" ref="AA5:AA44" si="3">Z4-Z5</f>
        <v>1.4572704820043914E-3</v>
      </c>
      <c r="AB5" s="23" cm="1">
        <f t="array" ref="AB5">cubicInterpolation(CurveResults.Times,CurveResults.DFs,$X5)</f>
        <v>0.98868042001719347</v>
      </c>
      <c r="AG5" s="20">
        <f>YearFraction</f>
        <v>0.25</v>
      </c>
      <c r="AH5" s="129">
        <f>HazardRate1Y+ShiftSize</f>
        <v>5.8334333333333339E-3</v>
      </c>
      <c r="AI5" s="30" cm="1">
        <f t="array" ref="AI5">flatInterpolation($AG5,$S$4:$S$9,AH$5:AH$10)</f>
        <v>5.8334333333333339E-3</v>
      </c>
      <c r="AJ5" s="22">
        <f t="shared" ref="AJ5" si="4">EXP(-AI5*YearFraction)*AJ4</f>
        <v>0.99854270455442762</v>
      </c>
      <c r="AK5" s="121">
        <f t="shared" ref="AK5:AK44" si="5">AJ4-AJ5</f>
        <v>1.4572954455723819E-3</v>
      </c>
      <c r="AL5" s="126">
        <f>HazardRate1Y</f>
        <v>5.8333333333333336E-3</v>
      </c>
      <c r="AM5" s="30" cm="1">
        <f t="array" ref="AM5">flatInterpolation($AG5,$S$4:$S$9,AL$5:AL$10)</f>
        <v>5.8333333333333336E-3</v>
      </c>
      <c r="AN5" s="22">
        <f t="shared" ref="AN5" si="6">EXP(-AM5*YearFraction)*AN4</f>
        <v>0.99854272951799561</v>
      </c>
      <c r="AO5" s="121">
        <f t="shared" ref="AO5:AO44" si="7">AN4-AN5</f>
        <v>1.4572704820043914E-3</v>
      </c>
      <c r="AP5" s="126">
        <f>HazardRate1Y</f>
        <v>5.8333333333333336E-3</v>
      </c>
      <c r="AQ5" s="30" cm="1">
        <f t="array" ref="AQ5">flatInterpolation($AG5,$S$4:$S$9,AP$5:AP$10)</f>
        <v>5.8333333333333336E-3</v>
      </c>
      <c r="AR5" s="22">
        <f t="shared" ref="AR5" si="8">EXP(-AQ5*YearFraction)*AR4</f>
        <v>0.99854272951799561</v>
      </c>
      <c r="AS5" s="121">
        <f t="shared" ref="AS5:AS44" si="9">AR4-AR5</f>
        <v>1.4572704820043914E-3</v>
      </c>
      <c r="AT5" s="126">
        <f>HazardRate1Y</f>
        <v>5.8333333333333336E-3</v>
      </c>
      <c r="AU5" s="30" cm="1">
        <f t="array" ref="AU5">flatInterpolation($AG5,$S$4:$S$9,AT$5:AT$10)</f>
        <v>5.8333333333333336E-3</v>
      </c>
      <c r="AV5" s="22">
        <f t="shared" ref="AV5" si="10">EXP(-AU5*YearFraction)*AV4</f>
        <v>0.99854272951799561</v>
      </c>
      <c r="AW5" s="121">
        <f t="shared" ref="AW5:AW44" si="11">AV4-AV5</f>
        <v>1.4572704820043914E-3</v>
      </c>
      <c r="AX5" s="126">
        <f>HazardRate1Y</f>
        <v>5.8333333333333336E-3</v>
      </c>
      <c r="AY5" s="30" cm="1">
        <f t="array" ref="AY5">flatInterpolation($AG5,$S$4:$S$9,AX$5:AX$10)</f>
        <v>5.8333333333333336E-3</v>
      </c>
      <c r="AZ5" s="22">
        <f t="shared" ref="AZ5" si="12">EXP(-AY5*YearFraction)*AZ4</f>
        <v>0.99854272951799561</v>
      </c>
      <c r="BA5" s="121">
        <f t="shared" ref="BA5:BA44" si="13">AZ4-AZ5</f>
        <v>1.4572704820043914E-3</v>
      </c>
      <c r="BB5" s="126">
        <f>HazardRate1Y</f>
        <v>5.8333333333333336E-3</v>
      </c>
      <c r="BC5" s="30" cm="1">
        <f t="array" ref="BC5">flatInterpolation($AG5,$S$4:$S$9,BB$5:BB$10)</f>
        <v>5.8333333333333336E-3</v>
      </c>
      <c r="BD5" s="22">
        <f t="shared" ref="BD5" si="14">EXP(-BC5*YearFraction)*BD4</f>
        <v>0.99854272951799561</v>
      </c>
      <c r="BE5" s="121">
        <f t="shared" ref="BE5:BE44" si="15">BD4-BD5</f>
        <v>1.4572704820043914E-3</v>
      </c>
    </row>
    <row r="6" spans="3:58" x14ac:dyDescent="0.3">
      <c r="C6" s="1" t="s">
        <v>137</v>
      </c>
      <c r="D6" t="s">
        <v>141</v>
      </c>
      <c r="K6" s="399" t="s">
        <v>1</v>
      </c>
      <c r="L6" s="400"/>
      <c r="M6" s="51">
        <v>0.4</v>
      </c>
      <c r="O6" s="75" t="s">
        <v>13</v>
      </c>
      <c r="P6" s="76">
        <v>35</v>
      </c>
      <c r="Q6" s="18">
        <f t="shared" si="0"/>
        <v>3.5000000000000001E-3</v>
      </c>
      <c r="S6" s="12">
        <v>3</v>
      </c>
      <c r="T6" s="87">
        <f t="shared" si="1"/>
        <v>5.8333333333333336E-3</v>
      </c>
      <c r="W6" s="18"/>
      <c r="X6" s="24">
        <f t="shared" ref="X6" si="16">X5+YearFraction</f>
        <v>0.5</v>
      </c>
      <c r="Y6" s="25" cm="1">
        <f t="array" ref="Y6">flatInterpolation(X6,$S$4:$S$9,$T$4:$T$9)</f>
        <v>5.8333333333333336E-3</v>
      </c>
      <c r="Z6" s="26">
        <f t="shared" ref="Z6" si="17">EXP(-Y6*YearFraction)*Z5</f>
        <v>0.99708758267324893</v>
      </c>
      <c r="AA6" s="26">
        <f t="shared" si="3"/>
        <v>1.4551468447466798E-3</v>
      </c>
      <c r="AB6" s="27" cm="1">
        <f t="array" ref="AB6">cubicInterpolation(CurveResults.Times,CurveResults.DFs,$X6)</f>
        <v>0.97728436827331244</v>
      </c>
      <c r="AG6" s="24">
        <f t="shared" ref="AG6" si="18">AG5+YearFraction</f>
        <v>0.5</v>
      </c>
      <c r="AH6" s="130">
        <f>HazardRate2Y</f>
        <v>5.8333333333333336E-3</v>
      </c>
      <c r="AI6" s="18" cm="1">
        <f t="array" ref="AI6">flatInterpolation($AG6,$S$4:$S$9,AH$5:AH$10)</f>
        <v>5.8334333333333339E-3</v>
      </c>
      <c r="AJ6" s="26">
        <f t="shared" ref="AJ6" si="19">EXP(-AI6*YearFraction)*AJ5</f>
        <v>0.99708753281887097</v>
      </c>
      <c r="AK6" s="122">
        <f t="shared" si="5"/>
        <v>1.4551717355566485E-3</v>
      </c>
      <c r="AL6" s="128">
        <f>HazardRate2Y+ShiftSize</f>
        <v>5.8334333333333339E-3</v>
      </c>
      <c r="AM6" s="18" cm="1">
        <f t="array" ref="AM6">flatInterpolation($AG6,$S$4:$S$9,AL$5:AL$10)</f>
        <v>5.8333333333333336E-3</v>
      </c>
      <c r="AN6" s="26">
        <f t="shared" ref="AN6" si="20">EXP(-AM6*YearFraction)*AN5</f>
        <v>0.99708758267324893</v>
      </c>
      <c r="AO6" s="122">
        <f t="shared" si="7"/>
        <v>1.4551468447466798E-3</v>
      </c>
      <c r="AP6" s="127">
        <f>HazardRate2Y</f>
        <v>5.8333333333333336E-3</v>
      </c>
      <c r="AQ6" s="18" cm="1">
        <f t="array" ref="AQ6">flatInterpolation($AG6,$S$4:$S$9,AP$5:AP$10)</f>
        <v>5.8333333333333336E-3</v>
      </c>
      <c r="AR6" s="26">
        <f t="shared" ref="AR6" si="21">EXP(-AQ6*YearFraction)*AR5</f>
        <v>0.99708758267324893</v>
      </c>
      <c r="AS6" s="122">
        <f t="shared" si="9"/>
        <v>1.4551468447466798E-3</v>
      </c>
      <c r="AT6" s="127">
        <f>HazardRate2Y</f>
        <v>5.8333333333333336E-3</v>
      </c>
      <c r="AU6" s="18" cm="1">
        <f t="array" ref="AU6">flatInterpolation($AG6,$S$4:$S$9,AT$5:AT$10)</f>
        <v>5.8333333333333336E-3</v>
      </c>
      <c r="AV6" s="26">
        <f t="shared" ref="AV6" si="22">EXP(-AU6*YearFraction)*AV5</f>
        <v>0.99708758267324893</v>
      </c>
      <c r="AW6" s="122">
        <f t="shared" si="11"/>
        <v>1.4551468447466798E-3</v>
      </c>
      <c r="AX6" s="127">
        <f>HazardRate2Y</f>
        <v>5.8333333333333336E-3</v>
      </c>
      <c r="AY6" s="18" cm="1">
        <f t="array" ref="AY6">flatInterpolation($AG6,$S$4:$S$9,AX$5:AX$10)</f>
        <v>5.8333333333333336E-3</v>
      </c>
      <c r="AZ6" s="26">
        <f t="shared" ref="AZ6" si="23">EXP(-AY6*YearFraction)*AZ5</f>
        <v>0.99708758267324893</v>
      </c>
      <c r="BA6" s="122">
        <f t="shared" si="13"/>
        <v>1.4551468447466798E-3</v>
      </c>
      <c r="BB6" s="127">
        <f>HazardRate2Y</f>
        <v>5.8333333333333336E-3</v>
      </c>
      <c r="BC6" s="18" cm="1">
        <f t="array" ref="BC6">flatInterpolation($AG6,$S$4:$S$9,BB$5:BB$10)</f>
        <v>5.8333333333333336E-3</v>
      </c>
      <c r="BD6" s="26">
        <f t="shared" ref="BD6" si="24">EXP(-BC6*YearFraction)*BD5</f>
        <v>0.99708758267324893</v>
      </c>
      <c r="BE6" s="122">
        <f t="shared" si="15"/>
        <v>1.4551468447466798E-3</v>
      </c>
    </row>
    <row r="7" spans="3:58" x14ac:dyDescent="0.3">
      <c r="C7" s="1" t="s">
        <v>138</v>
      </c>
      <c r="D7" t="s">
        <v>142</v>
      </c>
      <c r="K7" s="399" t="s">
        <v>5</v>
      </c>
      <c r="L7" s="400"/>
      <c r="M7" s="52">
        <v>0.25</v>
      </c>
      <c r="O7" s="75" t="s">
        <v>14</v>
      </c>
      <c r="P7" s="76">
        <v>35</v>
      </c>
      <c r="Q7" s="18">
        <f t="shared" si="0"/>
        <v>3.5000000000000001E-3</v>
      </c>
      <c r="S7" s="12">
        <v>4</v>
      </c>
      <c r="T7" s="87">
        <f t="shared" si="1"/>
        <v>5.8333333333333336E-3</v>
      </c>
      <c r="W7" s="18"/>
      <c r="X7" s="24">
        <f t="shared" ref="X7" si="25">X6+YearFraction</f>
        <v>0.75</v>
      </c>
      <c r="Y7" s="25" cm="1">
        <f t="array" ref="Y7">flatInterpolation(X7,$S$4:$S$9,$T$4:$T$9)</f>
        <v>5.8333333333333336E-3</v>
      </c>
      <c r="Z7" s="26">
        <f t="shared" ref="Z7" si="26">EXP(-Y7*YearFraction)*Z6</f>
        <v>0.99563455637104614</v>
      </c>
      <c r="AA7" s="26">
        <f t="shared" si="3"/>
        <v>1.4530263022027867E-3</v>
      </c>
      <c r="AB7" s="27" cm="1">
        <f t="array" ref="AB7">cubicInterpolation(CurveResults.Times,CurveResults.DFs,$X7)</f>
        <v>0.96604126005158042</v>
      </c>
      <c r="AG7" s="24">
        <f t="shared" ref="AG7" si="27">AG6+YearFraction</f>
        <v>0.75</v>
      </c>
      <c r="AH7" s="130">
        <f>HazardRate3Y</f>
        <v>5.8333333333333336E-3</v>
      </c>
      <c r="AI7" s="18" cm="1">
        <f t="array" ref="AI7">flatInterpolation($AG7,$S$4:$S$9,AH$5:AH$10)</f>
        <v>5.8334333333333339E-3</v>
      </c>
      <c r="AJ7" s="26">
        <f t="shared" ref="AJ7" si="28">EXP(-AI7*YearFraction)*AJ6</f>
        <v>0.99563448169845703</v>
      </c>
      <c r="AK7" s="122">
        <f t="shared" si="5"/>
        <v>1.4530511204139396E-3</v>
      </c>
      <c r="AL7" s="127">
        <f>HazardRate3Y</f>
        <v>5.8333333333333336E-3</v>
      </c>
      <c r="AM7" s="18" cm="1">
        <f t="array" ref="AM7">flatInterpolation($AG7,$S$4:$S$9,AL$5:AL$10)</f>
        <v>5.8333333333333336E-3</v>
      </c>
      <c r="AN7" s="26">
        <f t="shared" ref="AN7" si="29">EXP(-AM7*YearFraction)*AN6</f>
        <v>0.99563455637104614</v>
      </c>
      <c r="AO7" s="122">
        <f t="shared" si="7"/>
        <v>1.4530263022027867E-3</v>
      </c>
      <c r="AP7" s="128">
        <f>HazardRate3Y+ShiftSize</f>
        <v>5.8334333333333339E-3</v>
      </c>
      <c r="AQ7" s="18" cm="1">
        <f t="array" ref="AQ7">flatInterpolation($AG7,$S$4:$S$9,AP$5:AP$10)</f>
        <v>5.8333333333333336E-3</v>
      </c>
      <c r="AR7" s="26">
        <f t="shared" ref="AR7" si="30">EXP(-AQ7*YearFraction)*AR6</f>
        <v>0.99563455637104614</v>
      </c>
      <c r="AS7" s="122">
        <f t="shared" si="9"/>
        <v>1.4530263022027867E-3</v>
      </c>
      <c r="AT7" s="127">
        <f>HazardRate3Y</f>
        <v>5.8333333333333336E-3</v>
      </c>
      <c r="AU7" s="18" cm="1">
        <f t="array" ref="AU7">flatInterpolation($AG7,$S$4:$S$9,AT$5:AT$10)</f>
        <v>5.8333333333333336E-3</v>
      </c>
      <c r="AV7" s="26">
        <f t="shared" ref="AV7" si="31">EXP(-AU7*YearFraction)*AV6</f>
        <v>0.99563455637104614</v>
      </c>
      <c r="AW7" s="122">
        <f t="shared" si="11"/>
        <v>1.4530263022027867E-3</v>
      </c>
      <c r="AX7" s="127">
        <f>HazardRate3Y</f>
        <v>5.8333333333333336E-3</v>
      </c>
      <c r="AY7" s="18" cm="1">
        <f t="array" ref="AY7">flatInterpolation($AG7,$S$4:$S$9,AX$5:AX$10)</f>
        <v>5.8333333333333336E-3</v>
      </c>
      <c r="AZ7" s="26">
        <f t="shared" ref="AZ7" si="32">EXP(-AY7*YearFraction)*AZ6</f>
        <v>0.99563455637104614</v>
      </c>
      <c r="BA7" s="122">
        <f t="shared" si="13"/>
        <v>1.4530263022027867E-3</v>
      </c>
      <c r="BB7" s="127">
        <f>HazardRate3Y</f>
        <v>5.8333333333333336E-3</v>
      </c>
      <c r="BC7" s="18" cm="1">
        <f t="array" ref="BC7">flatInterpolation($AG7,$S$4:$S$9,BB$5:BB$10)</f>
        <v>5.8333333333333336E-3</v>
      </c>
      <c r="BD7" s="26">
        <f t="shared" ref="BD7" si="33">EXP(-BC7*YearFraction)*BD6</f>
        <v>0.99563455637104614</v>
      </c>
      <c r="BE7" s="122">
        <f t="shared" si="15"/>
        <v>1.4530263022027867E-3</v>
      </c>
    </row>
    <row r="8" spans="3:58" x14ac:dyDescent="0.3">
      <c r="K8" s="399" t="s">
        <v>18</v>
      </c>
      <c r="L8" s="400"/>
      <c r="M8" s="165">
        <v>1000000</v>
      </c>
      <c r="O8" s="75" t="s">
        <v>15</v>
      </c>
      <c r="P8" s="76">
        <v>35</v>
      </c>
      <c r="Q8" s="18">
        <f t="shared" si="0"/>
        <v>3.5000000000000001E-3</v>
      </c>
      <c r="S8" s="12">
        <v>5</v>
      </c>
      <c r="T8" s="87">
        <f t="shared" si="1"/>
        <v>5.8333333333333336E-3</v>
      </c>
      <c r="W8" s="18"/>
      <c r="X8" s="24">
        <f t="shared" ref="X8" si="34">X7+YearFraction</f>
        <v>1</v>
      </c>
      <c r="Y8" s="25" cm="1">
        <f t="array" ref="Y8">flatInterpolation(X8,$S$4:$S$9,$T$4:$T$9)</f>
        <v>5.8333333333333336E-3</v>
      </c>
      <c r="Z8" s="26">
        <f t="shared" ref="Z8" si="35">EXP(-Y8*YearFraction)*Z7</f>
        <v>0.99418364752118304</v>
      </c>
      <c r="AA8" s="26">
        <f t="shared" si="3"/>
        <v>1.4509088498630973E-3</v>
      </c>
      <c r="AB8" s="27" cm="1">
        <f t="array" ref="AB8">cubicInterpolation(CurveResults.Times,CurveResults.DFs,$X8)</f>
        <v>0.95518051063522103</v>
      </c>
      <c r="AG8" s="24">
        <f t="shared" ref="AG8" si="36">AG7+YearFraction</f>
        <v>1</v>
      </c>
      <c r="AH8" s="130">
        <f>HazardRate4Y</f>
        <v>5.8333333333333336E-3</v>
      </c>
      <c r="AI8" s="18" cm="1">
        <f t="array" ref="AI8">flatInterpolation($AG8,$S$4:$S$9,AH$5:AH$10)</f>
        <v>5.8334333333333339E-3</v>
      </c>
      <c r="AJ8" s="26">
        <f t="shared" ref="AJ8" si="37">EXP(-AI8*YearFraction)*AJ7</f>
        <v>0.99418354810282306</v>
      </c>
      <c r="AK8" s="122">
        <f t="shared" si="5"/>
        <v>1.4509335956339742E-3</v>
      </c>
      <c r="AL8" s="127">
        <f>HazardRate4Y</f>
        <v>5.8333333333333336E-3</v>
      </c>
      <c r="AM8" s="18" cm="1">
        <f t="array" ref="AM8">flatInterpolation($AG8,$S$4:$S$9,AL$5:AL$10)</f>
        <v>5.8333333333333336E-3</v>
      </c>
      <c r="AN8" s="26">
        <f t="shared" ref="AN8" si="38">EXP(-AM8*YearFraction)*AN7</f>
        <v>0.99418364752118304</v>
      </c>
      <c r="AO8" s="122">
        <f t="shared" si="7"/>
        <v>1.4509088498630973E-3</v>
      </c>
      <c r="AP8" s="127">
        <f>HazardRate4Y</f>
        <v>5.8333333333333336E-3</v>
      </c>
      <c r="AQ8" s="18" cm="1">
        <f t="array" ref="AQ8">flatInterpolation($AG8,$S$4:$S$9,AP$5:AP$10)</f>
        <v>5.8333333333333336E-3</v>
      </c>
      <c r="AR8" s="26">
        <f t="shared" ref="AR8" si="39">EXP(-AQ8*YearFraction)*AR7</f>
        <v>0.99418364752118304</v>
      </c>
      <c r="AS8" s="122">
        <f t="shared" si="9"/>
        <v>1.4509088498630973E-3</v>
      </c>
      <c r="AT8" s="128">
        <f>HazardRate4Y+ShiftSize</f>
        <v>5.8334333333333339E-3</v>
      </c>
      <c r="AU8" s="18" cm="1">
        <f t="array" ref="AU8">flatInterpolation($AG8,$S$4:$S$9,AT$5:AT$10)</f>
        <v>5.8333333333333336E-3</v>
      </c>
      <c r="AV8" s="26">
        <f t="shared" ref="AV8" si="40">EXP(-AU8*YearFraction)*AV7</f>
        <v>0.99418364752118304</v>
      </c>
      <c r="AW8" s="122">
        <f t="shared" si="11"/>
        <v>1.4509088498630973E-3</v>
      </c>
      <c r="AX8" s="127">
        <f>HazardRate4Y</f>
        <v>5.8333333333333336E-3</v>
      </c>
      <c r="AY8" s="18" cm="1">
        <f t="array" ref="AY8">flatInterpolation($AG8,$S$4:$S$9,AX$5:AX$10)</f>
        <v>5.8333333333333336E-3</v>
      </c>
      <c r="AZ8" s="26">
        <f t="shared" ref="AZ8" si="41">EXP(-AY8*YearFraction)*AZ7</f>
        <v>0.99418364752118304</v>
      </c>
      <c r="BA8" s="122">
        <f t="shared" si="13"/>
        <v>1.4509088498630973E-3</v>
      </c>
      <c r="BB8" s="127">
        <f>HazardRate4Y</f>
        <v>5.8333333333333336E-3</v>
      </c>
      <c r="BC8" s="18" cm="1">
        <f t="array" ref="BC8">flatInterpolation($AG8,$S$4:$S$9,BB$5:BB$10)</f>
        <v>5.8333333333333336E-3</v>
      </c>
      <c r="BD8" s="26">
        <f t="shared" ref="BD8" si="42">EXP(-BC8*YearFraction)*BD7</f>
        <v>0.99418364752118304</v>
      </c>
      <c r="BE8" s="122">
        <f t="shared" si="15"/>
        <v>1.4509088498630973E-3</v>
      </c>
    </row>
    <row r="9" spans="3:58" x14ac:dyDescent="0.3">
      <c r="C9" s="1" t="s">
        <v>136</v>
      </c>
      <c r="K9" s="395" t="s">
        <v>9</v>
      </c>
      <c r="L9" s="396"/>
      <c r="M9" s="53">
        <f>Notional*(1-RecoveryRate)</f>
        <v>600000</v>
      </c>
      <c r="O9" s="77" t="s">
        <v>16</v>
      </c>
      <c r="P9" s="78">
        <v>35</v>
      </c>
      <c r="Q9" s="18">
        <f t="shared" si="0"/>
        <v>3.5000000000000001E-3</v>
      </c>
      <c r="S9" s="13">
        <v>10</v>
      </c>
      <c r="T9" s="88">
        <f t="shared" si="1"/>
        <v>5.8333333333333336E-3</v>
      </c>
      <c r="W9" s="18"/>
      <c r="X9" s="24">
        <f t="shared" ref="X9" si="43">X8+YearFraction</f>
        <v>1.25</v>
      </c>
      <c r="Y9" s="25" cm="1">
        <f t="array" ref="Y9">flatInterpolation(X9,$S$4:$S$9,$T$4:$T$9)</f>
        <v>5.8333333333333336E-3</v>
      </c>
      <c r="Z9" s="26">
        <f t="shared" ref="Z9" si="44">EXP(-Y9*YearFraction)*Z8</f>
        <v>0.99273485303795894</v>
      </c>
      <c r="AA9" s="26">
        <f t="shared" si="3"/>
        <v>1.4487944832241029E-3</v>
      </c>
      <c r="AB9" s="27" cm="1">
        <f t="array" ref="AB9">cubicInterpolation(CurveResults.Times,CurveResults.DFs,$X9)</f>
        <v>0.94476174559314918</v>
      </c>
      <c r="AG9" s="24">
        <f t="shared" ref="AG9" si="45">AG8+YearFraction</f>
        <v>1.25</v>
      </c>
      <c r="AH9" s="130">
        <f>HazardRate5Y</f>
        <v>5.8333333333333336E-3</v>
      </c>
      <c r="AI9" s="18" cm="1">
        <f t="array" ref="AI9">flatInterpolation($AG9,$S$4:$S$9,AH$5:AH$10)</f>
        <v>5.8333333333333336E-3</v>
      </c>
      <c r="AJ9" s="26">
        <f t="shared" ref="AJ9" si="46">EXP(-AI9*YearFraction)*AJ8</f>
        <v>0.99273475376447839</v>
      </c>
      <c r="AK9" s="122">
        <f t="shared" si="5"/>
        <v>1.4487943383446611E-3</v>
      </c>
      <c r="AL9" s="127">
        <f>HazardRate5Y</f>
        <v>5.8333333333333336E-3</v>
      </c>
      <c r="AM9" s="18" cm="1">
        <f t="array" ref="AM9">flatInterpolation($AG9,$S$4:$S$9,AL$5:AL$10)</f>
        <v>5.8334333333333339E-3</v>
      </c>
      <c r="AN9" s="26">
        <f t="shared" ref="AN9" si="47">EXP(-AM9*YearFraction)*AN8</f>
        <v>0.99273482821958792</v>
      </c>
      <c r="AO9" s="122">
        <f t="shared" si="7"/>
        <v>1.4488193015951278E-3</v>
      </c>
      <c r="AP9" s="127">
        <f>HazardRate5Y</f>
        <v>5.8333333333333336E-3</v>
      </c>
      <c r="AQ9" s="18" cm="1">
        <f t="array" ref="AQ9">flatInterpolation($AG9,$S$4:$S$9,AP$5:AP$10)</f>
        <v>5.8333333333333336E-3</v>
      </c>
      <c r="AR9" s="26">
        <f t="shared" ref="AR9" si="48">EXP(-AQ9*YearFraction)*AR8</f>
        <v>0.99273485303795894</v>
      </c>
      <c r="AS9" s="122">
        <f t="shared" si="9"/>
        <v>1.4487944832241029E-3</v>
      </c>
      <c r="AT9" s="127">
        <f>HazardRate5Y</f>
        <v>5.8333333333333336E-3</v>
      </c>
      <c r="AU9" s="18" cm="1">
        <f t="array" ref="AU9">flatInterpolation($AG9,$S$4:$S$9,AT$5:AT$10)</f>
        <v>5.8333333333333336E-3</v>
      </c>
      <c r="AV9" s="26">
        <f t="shared" ref="AV9" si="49">EXP(-AU9*YearFraction)*AV8</f>
        <v>0.99273485303795894</v>
      </c>
      <c r="AW9" s="122">
        <f t="shared" si="11"/>
        <v>1.4487944832241029E-3</v>
      </c>
      <c r="AX9" s="128">
        <f>HazardRate5Y+ShiftSize</f>
        <v>5.8334333333333339E-3</v>
      </c>
      <c r="AY9" s="18" cm="1">
        <f t="array" ref="AY9">flatInterpolation($AG9,$S$4:$S$9,AX$5:AX$10)</f>
        <v>5.8333333333333336E-3</v>
      </c>
      <c r="AZ9" s="26">
        <f t="shared" ref="AZ9" si="50">EXP(-AY9*YearFraction)*AZ8</f>
        <v>0.99273485303795894</v>
      </c>
      <c r="BA9" s="122">
        <f t="shared" si="13"/>
        <v>1.4487944832241029E-3</v>
      </c>
      <c r="BB9" s="127">
        <f>HazardRate5Y</f>
        <v>5.8333333333333336E-3</v>
      </c>
      <c r="BC9" s="18" cm="1">
        <f t="array" ref="BC9">flatInterpolation($AG9,$S$4:$S$9,BB$5:BB$10)</f>
        <v>5.8333333333333336E-3</v>
      </c>
      <c r="BD9" s="26">
        <f t="shared" ref="BD9" si="51">EXP(-BC9*YearFraction)*BD8</f>
        <v>0.99273485303795894</v>
      </c>
      <c r="BE9" s="122">
        <f t="shared" si="15"/>
        <v>1.4487944832241029E-3</v>
      </c>
    </row>
    <row r="10" spans="3:58" x14ac:dyDescent="0.3">
      <c r="C10" t="s">
        <v>140</v>
      </c>
      <c r="X10" s="24">
        <f t="shared" ref="X10" si="52">X9+YearFraction</f>
        <v>1.5</v>
      </c>
      <c r="Y10" s="25" cm="1">
        <f t="array" ref="Y10">flatInterpolation(X10,$S$4:$S$9,$T$4:$T$9)</f>
        <v>5.8333333333333336E-3</v>
      </c>
      <c r="Z10" s="26">
        <f t="shared" ref="Z10" si="53">EXP(-Y10*YearFraction)*Z9</f>
        <v>0.99128816984016976</v>
      </c>
      <c r="AA10" s="26">
        <f t="shared" si="3"/>
        <v>1.4466831977891781E-3</v>
      </c>
      <c r="AB10" s="27" cm="1">
        <f t="array" ref="AB10">cubicInterpolation(CurveResults.Times,CurveResults.DFs,$X10)</f>
        <v>0.93466312738762736</v>
      </c>
      <c r="AG10" s="24">
        <f t="shared" ref="AG10" si="54">AG9+YearFraction</f>
        <v>1.5</v>
      </c>
      <c r="AH10" s="130">
        <f>HazardRate10Y</f>
        <v>5.8333333333333336E-3</v>
      </c>
      <c r="AI10" s="18" cm="1">
        <f t="array" ref="AI10">flatInterpolation($AG10,$S$4:$S$9,AH$5:AH$10)</f>
        <v>5.8333333333333336E-3</v>
      </c>
      <c r="AJ10" s="26">
        <f t="shared" ref="AJ10" si="55">EXP(-AI10*YearFraction)*AJ9</f>
        <v>0.99128807071135749</v>
      </c>
      <c r="AK10" s="122">
        <f t="shared" si="5"/>
        <v>1.4466830531209007E-3</v>
      </c>
      <c r="AL10" s="127">
        <f>HazardRate10Y</f>
        <v>5.8333333333333336E-3</v>
      </c>
      <c r="AM10" s="18" cm="1">
        <f t="array" ref="AM10">flatInterpolation($AG10,$S$4:$S$9,AL$5:AL$10)</f>
        <v>5.8334333333333339E-3</v>
      </c>
      <c r="AN10" s="26">
        <f t="shared" ref="AN10" si="56">EXP(-AM10*YearFraction)*AN9</f>
        <v>0.99128812027576241</v>
      </c>
      <c r="AO10" s="122">
        <f t="shared" si="7"/>
        <v>1.4467079438255093E-3</v>
      </c>
      <c r="AP10" s="127">
        <f>HazardRate10Y</f>
        <v>5.8333333333333336E-3</v>
      </c>
      <c r="AQ10" s="18" cm="1">
        <f t="array" ref="AQ10">flatInterpolation($AG10,$S$4:$S$9,AP$5:AP$10)</f>
        <v>5.8333333333333336E-3</v>
      </c>
      <c r="AR10" s="26">
        <f t="shared" ref="AR10" si="57">EXP(-AQ10*YearFraction)*AR9</f>
        <v>0.99128816984016976</v>
      </c>
      <c r="AS10" s="122">
        <f t="shared" si="9"/>
        <v>1.4466831977891781E-3</v>
      </c>
      <c r="AT10" s="127">
        <f>HazardRate10Y</f>
        <v>5.8333333333333336E-3</v>
      </c>
      <c r="AU10" s="18" cm="1">
        <f t="array" ref="AU10">flatInterpolation($AG10,$S$4:$S$9,AT$5:AT$10)</f>
        <v>5.8333333333333336E-3</v>
      </c>
      <c r="AV10" s="26">
        <f t="shared" ref="AV10" si="58">EXP(-AU10*YearFraction)*AV9</f>
        <v>0.99128816984016976</v>
      </c>
      <c r="AW10" s="122">
        <f t="shared" si="11"/>
        <v>1.4466831977891781E-3</v>
      </c>
      <c r="AX10" s="127">
        <f>HazardRate10Y</f>
        <v>5.8333333333333336E-3</v>
      </c>
      <c r="AY10" s="18" cm="1">
        <f t="array" ref="AY10">flatInterpolation($AG10,$S$4:$S$9,AX$5:AX$10)</f>
        <v>5.8333333333333336E-3</v>
      </c>
      <c r="AZ10" s="26">
        <f t="shared" ref="AZ10" si="59">EXP(-AY10*YearFraction)*AZ9</f>
        <v>0.99128816984016976</v>
      </c>
      <c r="BA10" s="122">
        <f t="shared" si="13"/>
        <v>1.4466831977891781E-3</v>
      </c>
      <c r="BB10" s="128">
        <f>HazardRate10Y+ShiftSize</f>
        <v>5.8334333333333339E-3</v>
      </c>
      <c r="BC10" s="18" cm="1">
        <f t="array" ref="BC10">flatInterpolation($AG10,$S$4:$S$9,BB$5:BB$10)</f>
        <v>5.8333333333333336E-3</v>
      </c>
      <c r="BD10" s="26">
        <f t="shared" ref="BD10" si="60">EXP(-BC10*YearFraction)*BD9</f>
        <v>0.99128816984016976</v>
      </c>
      <c r="BE10" s="122">
        <f t="shared" si="15"/>
        <v>1.4466831977891781E-3</v>
      </c>
    </row>
    <row r="11" spans="3:58" x14ac:dyDescent="0.3">
      <c r="C11" t="s">
        <v>160</v>
      </c>
      <c r="X11" s="24">
        <f t="shared" ref="X11" si="61">X10+YearFraction</f>
        <v>1.75</v>
      </c>
      <c r="Y11" s="25" cm="1">
        <f t="array" ref="Y11">flatInterpolation(X11,$S$4:$S$9,$T$4:$T$9)</f>
        <v>5.8333333333333336E-3</v>
      </c>
      <c r="Z11" s="26">
        <f t="shared" ref="Z11" si="62">EXP(-Y11*YearFraction)*Z10</f>
        <v>0.98984359485110152</v>
      </c>
      <c r="AA11" s="26">
        <f t="shared" si="3"/>
        <v>1.444574989068248E-3</v>
      </c>
      <c r="AB11" s="27" cm="1">
        <f t="array" ref="AB11">cubicInterpolation(CurveResults.Times,CurveResults.DFs,$X11)</f>
        <v>0.92484187664189998</v>
      </c>
      <c r="AG11" s="24">
        <f t="shared" ref="AG11" si="63">AG10+YearFraction</f>
        <v>1.75</v>
      </c>
      <c r="AI11" s="18" cm="1">
        <f t="array" ref="AI11">flatInterpolation($AG11,$S$4:$S$9,AH$5:AH$10)</f>
        <v>5.8333333333333336E-3</v>
      </c>
      <c r="AJ11" s="26">
        <f t="shared" ref="AJ11" si="64">EXP(-AI11*YearFraction)*AJ10</f>
        <v>0.9898434958667468</v>
      </c>
      <c r="AK11" s="122">
        <f t="shared" si="5"/>
        <v>1.444574844610691E-3</v>
      </c>
      <c r="AL11" s="116"/>
      <c r="AM11" s="18" cm="1">
        <f t="array" ref="AM11">flatInterpolation($AG11,$S$4:$S$9,AL$5:AL$10)</f>
        <v>5.8334333333333339E-3</v>
      </c>
      <c r="AN11" s="26">
        <f t="shared" ref="AN11" si="65">EXP(-AM11*YearFraction)*AN10</f>
        <v>0.98984352061283454</v>
      </c>
      <c r="AO11" s="122">
        <f t="shared" si="7"/>
        <v>1.4445996629278701E-3</v>
      </c>
      <c r="AP11" s="116"/>
      <c r="AQ11" s="18" cm="1">
        <f t="array" ref="AQ11">flatInterpolation($AG11,$S$4:$S$9,AP$5:AP$10)</f>
        <v>5.8333333333333336E-3</v>
      </c>
      <c r="AR11" s="26">
        <f t="shared" ref="AR11" si="66">EXP(-AQ11*YearFraction)*AR10</f>
        <v>0.98984359485110152</v>
      </c>
      <c r="AS11" s="122">
        <f t="shared" si="9"/>
        <v>1.444574989068248E-3</v>
      </c>
      <c r="AT11" s="116"/>
      <c r="AU11" s="18" cm="1">
        <f t="array" ref="AU11">flatInterpolation($AG11,$S$4:$S$9,AT$5:AT$10)</f>
        <v>5.8333333333333336E-3</v>
      </c>
      <c r="AV11" s="26">
        <f t="shared" ref="AV11" si="67">EXP(-AU11*YearFraction)*AV10</f>
        <v>0.98984359485110152</v>
      </c>
      <c r="AW11" s="122">
        <f t="shared" si="11"/>
        <v>1.444574989068248E-3</v>
      </c>
      <c r="AX11" s="116"/>
      <c r="AY11" s="18" cm="1">
        <f t="array" ref="AY11">flatInterpolation($AG11,$S$4:$S$9,AX$5:AX$10)</f>
        <v>5.8333333333333336E-3</v>
      </c>
      <c r="AZ11" s="26">
        <f t="shared" ref="AZ11" si="68">EXP(-AY11*YearFraction)*AZ10</f>
        <v>0.98984359485110152</v>
      </c>
      <c r="BA11" s="122">
        <f t="shared" si="13"/>
        <v>1.444574989068248E-3</v>
      </c>
      <c r="BB11" s="116"/>
      <c r="BC11" s="18" cm="1">
        <f t="array" ref="BC11">flatInterpolation($AG11,$S$4:$S$9,BB$5:BB$10)</f>
        <v>5.8333333333333336E-3</v>
      </c>
      <c r="BD11" s="26">
        <f t="shared" ref="BD11" si="69">EXP(-BC11*YearFraction)*BD10</f>
        <v>0.98984359485110152</v>
      </c>
      <c r="BE11" s="122">
        <f t="shared" si="15"/>
        <v>1.444574989068248E-3</v>
      </c>
    </row>
    <row r="12" spans="3:58" x14ac:dyDescent="0.3">
      <c r="K12" s="1" t="s">
        <v>50</v>
      </c>
      <c r="S12" s="1" t="s">
        <v>68</v>
      </c>
      <c r="X12" s="24">
        <f t="shared" ref="X12" si="70">X11+YearFraction</f>
        <v>2</v>
      </c>
      <c r="Y12" s="25" cm="1">
        <f t="array" ref="Y12">flatInterpolation(X12,$S$4:$S$9,$T$4:$T$9)</f>
        <v>5.8333333333333336E-3</v>
      </c>
      <c r="Z12" s="26">
        <f t="shared" ref="Z12" si="71">EXP(-Y12*YearFraction)*Z11</f>
        <v>0.98840112499852384</v>
      </c>
      <c r="AA12" s="26">
        <f t="shared" si="3"/>
        <v>1.4424698525776769E-3</v>
      </c>
      <c r="AB12" s="27" cm="1">
        <f t="array" ref="AB12">cubicInterpolation(CurveResults.Times,CurveResults.DFs,$X12)</f>
        <v>0.91525521397921195</v>
      </c>
      <c r="AG12" s="24">
        <f t="shared" ref="AG12" si="72">AG11+YearFraction</f>
        <v>2</v>
      </c>
      <c r="AI12" s="18" cm="1">
        <f t="array" ref="AI12">flatInterpolation($AG12,$S$4:$S$9,AH$5:AH$10)</f>
        <v>5.8333333333333336E-3</v>
      </c>
      <c r="AJ12" s="26">
        <f t="shared" ref="AJ12" si="73">EXP(-AI12*YearFraction)*AJ11</f>
        <v>0.98840102615841618</v>
      </c>
      <c r="AK12" s="122">
        <f t="shared" si="5"/>
        <v>1.4424697083306182E-3</v>
      </c>
      <c r="AL12" s="116"/>
      <c r="AM12" s="18" cm="1">
        <f t="array" ref="AM12">flatInterpolation($AG12,$S$4:$S$9,AL$5:AL$10)</f>
        <v>5.8334333333333339E-3</v>
      </c>
      <c r="AN12" s="26">
        <f t="shared" ref="AN12" si="74">EXP(-AM12*YearFraction)*AN11</f>
        <v>0.98840102615841607</v>
      </c>
      <c r="AO12" s="122">
        <f t="shared" si="7"/>
        <v>1.4424944544184637E-3</v>
      </c>
      <c r="AP12" s="116"/>
      <c r="AQ12" s="18" cm="1">
        <f t="array" ref="AQ12">flatInterpolation($AG12,$S$4:$S$9,AP$5:AP$10)</f>
        <v>5.8333333333333336E-3</v>
      </c>
      <c r="AR12" s="26">
        <f t="shared" ref="AR12" si="75">EXP(-AQ12*YearFraction)*AR11</f>
        <v>0.98840112499852384</v>
      </c>
      <c r="AS12" s="122">
        <f t="shared" si="9"/>
        <v>1.4424698525776769E-3</v>
      </c>
      <c r="AT12" s="116"/>
      <c r="AU12" s="18" cm="1">
        <f t="array" ref="AU12">flatInterpolation($AG12,$S$4:$S$9,AT$5:AT$10)</f>
        <v>5.8333333333333336E-3</v>
      </c>
      <c r="AV12" s="26">
        <f t="shared" ref="AV12" si="76">EXP(-AU12*YearFraction)*AV11</f>
        <v>0.98840112499852384</v>
      </c>
      <c r="AW12" s="122">
        <f t="shared" si="11"/>
        <v>1.4424698525776769E-3</v>
      </c>
      <c r="AX12" s="116"/>
      <c r="AY12" s="18" cm="1">
        <f t="array" ref="AY12">flatInterpolation($AG12,$S$4:$S$9,AX$5:AX$10)</f>
        <v>5.8333333333333336E-3</v>
      </c>
      <c r="AZ12" s="26">
        <f t="shared" ref="AZ12" si="77">EXP(-AY12*YearFraction)*AZ11</f>
        <v>0.98840112499852384</v>
      </c>
      <c r="BA12" s="122">
        <f t="shared" si="13"/>
        <v>1.4424698525776769E-3</v>
      </c>
      <c r="BB12" s="116"/>
      <c r="BC12" s="18" cm="1">
        <f t="array" ref="BC12">flatInterpolation($AG12,$S$4:$S$9,BB$5:BB$10)</f>
        <v>5.8333333333333336E-3</v>
      </c>
      <c r="BD12" s="26">
        <f t="shared" ref="BD12" si="78">EXP(-BC12*YearFraction)*BD11</f>
        <v>0.98840112499852384</v>
      </c>
      <c r="BE12" s="122">
        <f t="shared" si="15"/>
        <v>1.4424698525776769E-3</v>
      </c>
    </row>
    <row r="13" spans="3:58" x14ac:dyDescent="0.3">
      <c r="C13" s="1" t="s">
        <v>135</v>
      </c>
      <c r="K13" s="2" t="s">
        <v>10</v>
      </c>
      <c r="L13" s="2" t="s">
        <v>27</v>
      </c>
      <c r="M13" s="2" t="s">
        <v>7</v>
      </c>
      <c r="N13" s="2" t="s">
        <v>2</v>
      </c>
      <c r="O13" s="2" t="s">
        <v>25</v>
      </c>
      <c r="P13" s="2" t="s">
        <v>26</v>
      </c>
      <c r="Q13" s="2" t="s">
        <v>28</v>
      </c>
      <c r="S13" s="2" t="s">
        <v>49</v>
      </c>
      <c r="T13" s="2" t="s">
        <v>67</v>
      </c>
      <c r="U13" s="2" t="s">
        <v>110</v>
      </c>
      <c r="V13" s="117" t="s">
        <v>69</v>
      </c>
      <c r="W13" s="117"/>
      <c r="X13" s="24">
        <f t="shared" ref="X13" si="79">X12+YearFraction</f>
        <v>2.25</v>
      </c>
      <c r="Y13" s="25" cm="1">
        <f t="array" ref="Y13">flatInterpolation(X13,$S$4:$S$9,$T$4:$T$9)</f>
        <v>5.8333333333333336E-3</v>
      </c>
      <c r="Z13" s="26">
        <f t="shared" ref="Z13" si="80">EXP(-Y13*YearFraction)*Z12</f>
        <v>0.98696075721468357</v>
      </c>
      <c r="AA13" s="26">
        <f t="shared" si="3"/>
        <v>1.4403677838402684E-3</v>
      </c>
      <c r="AB13" s="27" cm="1">
        <f t="array" ref="AB13">cubicInterpolation(CurveResults.Times,CurveResults.DFs,$X13)</f>
        <v>0.90592386234408706</v>
      </c>
      <c r="AG13" s="24">
        <f t="shared" ref="AG13" si="81">AG12+YearFraction</f>
        <v>2.25</v>
      </c>
      <c r="AI13" s="18" cm="1">
        <f t="array" ref="AI13">flatInterpolation($AG13,$S$4:$S$9,AH$5:AH$10)</f>
        <v>5.8333333333333336E-3</v>
      </c>
      <c r="AJ13" s="26">
        <f t="shared" ref="AJ13" si="82">EXP(-AI13*YearFraction)*AJ12</f>
        <v>0.9869606585186127</v>
      </c>
      <c r="AK13" s="122">
        <f t="shared" si="5"/>
        <v>1.4403676398034859E-3</v>
      </c>
      <c r="AL13" s="116"/>
      <c r="AM13" s="18" cm="1">
        <f t="array" ref="AM13">flatInterpolation($AG13,$S$4:$S$9,AL$5:AL$10)</f>
        <v>5.8333333333333336E-3</v>
      </c>
      <c r="AN13" s="26">
        <f t="shared" ref="AN13" si="83">EXP(-AM13*YearFraction)*AN12</f>
        <v>0.98696065851861259</v>
      </c>
      <c r="AO13" s="122">
        <f t="shared" si="7"/>
        <v>1.4403676398034859E-3</v>
      </c>
      <c r="AP13" s="116"/>
      <c r="AQ13" s="18" cm="1">
        <f t="array" ref="AQ13">flatInterpolation($AG13,$S$4:$S$9,AP$5:AP$10)</f>
        <v>5.8334333333333339E-3</v>
      </c>
      <c r="AR13" s="26">
        <f t="shared" ref="AR13" si="84">EXP(-AQ13*YearFraction)*AR12</f>
        <v>0.98696073254066485</v>
      </c>
      <c r="AS13" s="122">
        <f t="shared" si="9"/>
        <v>1.4403924578589855E-3</v>
      </c>
      <c r="AT13" s="116"/>
      <c r="AU13" s="18" cm="1">
        <f t="array" ref="AU13">flatInterpolation($AG13,$S$4:$S$9,AT$5:AT$10)</f>
        <v>5.8333333333333336E-3</v>
      </c>
      <c r="AV13" s="26">
        <f t="shared" ref="AV13" si="85">EXP(-AU13*YearFraction)*AV12</f>
        <v>0.98696075721468357</v>
      </c>
      <c r="AW13" s="122">
        <f t="shared" si="11"/>
        <v>1.4403677838402684E-3</v>
      </c>
      <c r="AX13" s="116"/>
      <c r="AY13" s="18" cm="1">
        <f t="array" ref="AY13">flatInterpolation($AG13,$S$4:$S$9,AX$5:AX$10)</f>
        <v>5.8333333333333336E-3</v>
      </c>
      <c r="AZ13" s="26">
        <f t="shared" ref="AZ13" si="86">EXP(-AY13*YearFraction)*AZ12</f>
        <v>0.98696075721468357</v>
      </c>
      <c r="BA13" s="122">
        <f t="shared" si="13"/>
        <v>1.4403677838402684E-3</v>
      </c>
      <c r="BB13" s="116"/>
      <c r="BC13" s="18" cm="1">
        <f t="array" ref="BC13">flatInterpolation($AG13,$S$4:$S$9,BB$5:BB$10)</f>
        <v>5.8333333333333336E-3</v>
      </c>
      <c r="BD13" s="26">
        <f t="shared" ref="BD13" si="87">EXP(-BC13*YearFraction)*BD12</f>
        <v>0.98696075721468357</v>
      </c>
      <c r="BE13" s="122">
        <f t="shared" si="15"/>
        <v>1.4403677838402684E-3</v>
      </c>
    </row>
    <row r="14" spans="3:58" x14ac:dyDescent="0.3">
      <c r="C14" t="s">
        <v>148</v>
      </c>
      <c r="K14" s="29" t="s">
        <v>11</v>
      </c>
      <c r="L14" s="30">
        <f t="shared" ref="L14:L19" si="88">Q4</f>
        <v>3.5000000000000001E-3</v>
      </c>
      <c r="M14" s="31">
        <f t="shared" ref="M14" si="89">-Notional*L14*YearFraction</f>
        <v>-875</v>
      </c>
      <c r="N14" s="32">
        <f>M14*SUMPRODUCT(PSurvival1Y,DiscFactors1Y)</f>
        <v>-3388.985826680133</v>
      </c>
      <c r="O14" s="32">
        <f>M14*0.5*SUMPRODUCT(PDefault1Y,DiscFactors1Y)</f>
        <v>-2.4729382444836063</v>
      </c>
      <c r="P14" s="32">
        <f>LGD*SUMPRODUCT(PDefault1Y,DiscFactors1Y)</f>
        <v>3391.4581638632312</v>
      </c>
      <c r="Q14" s="33">
        <f t="shared" ref="Q14:Q19" si="90">SUM(N14:P14)</f>
        <v>-6.0106138516857754E-4</v>
      </c>
      <c r="S14" s="79">
        <f>Notional*YearFraction*(SUMPRODUCT(PSurvival1Y,DiscFactors1Y)+0.5*SUMPRODUCT(PDefault1Y,DiscFactors1Y))</f>
        <v>968988.21854989044</v>
      </c>
      <c r="T14" s="80">
        <f t="shared" ref="T14:T19" si="91">P14/S14*10000</f>
        <v>34.999993797020707</v>
      </c>
      <c r="U14" s="18">
        <f t="shared" ref="U14:U19" si="92">T14/10000</f>
        <v>3.4999993797020707E-3</v>
      </c>
      <c r="V14" s="18">
        <f t="shared" ref="V14:V19" si="93">U14-Q4</f>
        <v>-6.2029792934070738E-10</v>
      </c>
      <c r="W14" s="17"/>
      <c r="X14" s="24">
        <f t="shared" ref="X14" si="94">X13+YearFraction</f>
        <v>2.5</v>
      </c>
      <c r="Y14" s="25" cm="1">
        <f t="array" ref="Y14">flatInterpolation(X14,$S$4:$S$9,$T$4:$T$9)</f>
        <v>5.8333333333333336E-3</v>
      </c>
      <c r="Z14" s="26">
        <f t="shared" ref="Z14" si="95">EXP(-Y14*YearFraction)*Z13</f>
        <v>0.98552248843629786</v>
      </c>
      <c r="AA14" s="26">
        <f t="shared" si="3"/>
        <v>1.4382687783857095E-3</v>
      </c>
      <c r="AB14" s="27" cm="1">
        <f t="array" ref="AB14">cubicInterpolation(CurveResults.Times,CurveResults.DFs,$X14)</f>
        <v>0.89685992714468643</v>
      </c>
      <c r="AG14" s="24">
        <f t="shared" ref="AG14" si="96">AG13+YearFraction</f>
        <v>2.5</v>
      </c>
      <c r="AI14" s="18" cm="1">
        <f t="array" ref="AI14">flatInterpolation($AG14,$S$4:$S$9,AH$5:AH$10)</f>
        <v>5.8333333333333336E-3</v>
      </c>
      <c r="AJ14" s="26">
        <f t="shared" ref="AJ14" si="97">EXP(-AI14*YearFraction)*AJ13</f>
        <v>0.98552238988405394</v>
      </c>
      <c r="AK14" s="122">
        <f t="shared" si="5"/>
        <v>1.4382686345587592E-3</v>
      </c>
      <c r="AL14" s="116"/>
      <c r="AM14" s="18" cm="1">
        <f t="array" ref="AM14">flatInterpolation($AG14,$S$4:$S$9,AL$5:AL$10)</f>
        <v>5.8333333333333336E-3</v>
      </c>
      <c r="AN14" s="26">
        <f t="shared" ref="AN14" si="98">EXP(-AM14*YearFraction)*AN13</f>
        <v>0.98552238988405383</v>
      </c>
      <c r="AO14" s="122">
        <f t="shared" si="7"/>
        <v>1.4382686345587592E-3</v>
      </c>
      <c r="AP14" s="116"/>
      <c r="AQ14" s="18" cm="1">
        <f t="array" ref="AQ14">flatInterpolation($AG14,$S$4:$S$9,AP$5:AP$10)</f>
        <v>5.8334333333333339E-3</v>
      </c>
      <c r="AR14" s="26">
        <f t="shared" ref="AR14" si="99">EXP(-AQ14*YearFraction)*AR13</f>
        <v>0.98552243916017457</v>
      </c>
      <c r="AS14" s="122">
        <f t="shared" si="9"/>
        <v>1.4382933804902853E-3</v>
      </c>
      <c r="AT14" s="116"/>
      <c r="AU14" s="18" cm="1">
        <f t="array" ref="AU14">flatInterpolation($AG14,$S$4:$S$9,AT$5:AT$10)</f>
        <v>5.8333333333333336E-3</v>
      </c>
      <c r="AV14" s="26">
        <f t="shared" ref="AV14" si="100">EXP(-AU14*YearFraction)*AV13</f>
        <v>0.98552248843629786</v>
      </c>
      <c r="AW14" s="122">
        <f t="shared" si="11"/>
        <v>1.4382687783857095E-3</v>
      </c>
      <c r="AX14" s="116"/>
      <c r="AY14" s="18" cm="1">
        <f t="array" ref="AY14">flatInterpolation($AG14,$S$4:$S$9,AX$5:AX$10)</f>
        <v>5.8333333333333336E-3</v>
      </c>
      <c r="AZ14" s="26">
        <f t="shared" ref="AZ14" si="101">EXP(-AY14*YearFraction)*AZ13</f>
        <v>0.98552248843629786</v>
      </c>
      <c r="BA14" s="122">
        <f t="shared" si="13"/>
        <v>1.4382687783857095E-3</v>
      </c>
      <c r="BB14" s="116"/>
      <c r="BC14" s="18" cm="1">
        <f t="array" ref="BC14">flatInterpolation($AG14,$S$4:$S$9,BB$5:BB$10)</f>
        <v>5.8333333333333336E-3</v>
      </c>
      <c r="BD14" s="26">
        <f t="shared" ref="BD14" si="102">EXP(-BC14*YearFraction)*BD13</f>
        <v>0.98552248843629786</v>
      </c>
      <c r="BE14" s="122">
        <f t="shared" si="15"/>
        <v>1.4382687783857095E-3</v>
      </c>
    </row>
    <row r="15" spans="3:58" x14ac:dyDescent="0.3">
      <c r="C15" t="s">
        <v>149</v>
      </c>
      <c r="K15" s="34" t="s">
        <v>12</v>
      </c>
      <c r="L15" s="18">
        <f t="shared" si="88"/>
        <v>3.5000000000000001E-3</v>
      </c>
      <c r="M15" s="2">
        <f t="shared" ref="M15" si="103">-Notional*L15*YearFraction</f>
        <v>-875</v>
      </c>
      <c r="N15" s="28">
        <f>M15*SUMPRODUCT(PSurvival2Y,DiscFactors2Y)</f>
        <v>-6612.929018235186</v>
      </c>
      <c r="O15" s="4">
        <f>M15*0.5*SUMPRODUCT(PDefault2Y,DiscFactors2Y)</f>
        <v>-4.8254451076501477</v>
      </c>
      <c r="P15" s="4">
        <f>LGD*SUMPRODUCT(PDefault2Y,DiscFactors2Y)</f>
        <v>6617.7532904916316</v>
      </c>
      <c r="Q15" s="5">
        <f t="shared" si="90"/>
        <v>-1.1728512045010575E-3</v>
      </c>
      <c r="S15" s="3">
        <f>Notional*YearFraction*(SUMPRODUCT(PSurvival2Y,DiscFactors2Y)+0.5*SUMPRODUCT(PDefault2Y,DiscFactors2Y))</f>
        <v>1890786.9895265247</v>
      </c>
      <c r="T15" s="81">
        <f t="shared" si="91"/>
        <v>34.99999379702097</v>
      </c>
      <c r="U15" s="18">
        <f t="shared" si="92"/>
        <v>3.4999993797020972E-3</v>
      </c>
      <c r="V15" s="18">
        <f t="shared" si="93"/>
        <v>-6.2029790288617437E-10</v>
      </c>
      <c r="W15" s="17"/>
      <c r="X15" s="24">
        <f t="shared" ref="X15" si="104">X14+YearFraction</f>
        <v>2.75</v>
      </c>
      <c r="Y15" s="25" cm="1">
        <f t="array" ref="Y15">flatInterpolation(X15,$S$4:$S$9,$T$4:$T$9)</f>
        <v>5.8333333333333336E-3</v>
      </c>
      <c r="Z15" s="26">
        <f t="shared" ref="Z15" si="105">EXP(-Y15*YearFraction)*Z14</f>
        <v>0.98408631560454818</v>
      </c>
      <c r="AA15" s="26">
        <f t="shared" si="3"/>
        <v>1.4361728317496825E-3</v>
      </c>
      <c r="AB15" s="27" cm="1">
        <f t="array" ref="AB15">cubicInterpolation(CurveResults.Times,CurveResults.DFs,$X15)</f>
        <v>0.8880077026997103</v>
      </c>
      <c r="AG15" s="24">
        <f t="shared" ref="AG15" si="106">AG14+YearFraction</f>
        <v>2.75</v>
      </c>
      <c r="AI15" s="18" cm="1">
        <f t="array" ref="AI15">flatInterpolation($AG15,$S$4:$S$9,AH$5:AH$10)</f>
        <v>5.8333333333333336E-3</v>
      </c>
      <c r="AJ15" s="26">
        <f t="shared" ref="AJ15" si="107">EXP(-AI15*YearFraction)*AJ14</f>
        <v>0.98408621719592149</v>
      </c>
      <c r="AK15" s="122">
        <f t="shared" si="5"/>
        <v>1.4361726881324532E-3</v>
      </c>
      <c r="AL15" s="116"/>
      <c r="AM15" s="18" cm="1">
        <f t="array" ref="AM15">flatInterpolation($AG15,$S$4:$S$9,AL$5:AL$10)</f>
        <v>5.8333333333333336E-3</v>
      </c>
      <c r="AN15" s="26">
        <f t="shared" ref="AN15" si="108">EXP(-AM15*YearFraction)*AN14</f>
        <v>0.98408621719592138</v>
      </c>
      <c r="AO15" s="122">
        <f t="shared" si="7"/>
        <v>1.4361726881324532E-3</v>
      </c>
      <c r="AP15" s="116"/>
      <c r="AQ15" s="18" cm="1">
        <f t="array" ref="AQ15">flatInterpolation($AG15,$S$4:$S$9,AP$5:AP$10)</f>
        <v>5.8334333333333339E-3</v>
      </c>
      <c r="AR15" s="26">
        <f t="shared" ref="AR15" si="109">EXP(-AQ15*YearFraction)*AR14</f>
        <v>0.98408624179807702</v>
      </c>
      <c r="AS15" s="122">
        <f t="shared" si="9"/>
        <v>1.4361973620975466E-3</v>
      </c>
      <c r="AT15" s="116"/>
      <c r="AU15" s="18" cm="1">
        <f t="array" ref="AU15">flatInterpolation($AG15,$S$4:$S$9,AT$5:AT$10)</f>
        <v>5.8333333333333336E-3</v>
      </c>
      <c r="AV15" s="26">
        <f t="shared" ref="AV15" si="110">EXP(-AU15*YearFraction)*AV14</f>
        <v>0.98408631560454818</v>
      </c>
      <c r="AW15" s="122">
        <f t="shared" si="11"/>
        <v>1.4361728317496825E-3</v>
      </c>
      <c r="AX15" s="116"/>
      <c r="AY15" s="18" cm="1">
        <f t="array" ref="AY15">flatInterpolation($AG15,$S$4:$S$9,AX$5:AX$10)</f>
        <v>5.8333333333333336E-3</v>
      </c>
      <c r="AZ15" s="26">
        <f t="shared" ref="AZ15" si="111">EXP(-AY15*YearFraction)*AZ14</f>
        <v>0.98408631560454818</v>
      </c>
      <c r="BA15" s="122">
        <f t="shared" si="13"/>
        <v>1.4361728317496825E-3</v>
      </c>
      <c r="BB15" s="116"/>
      <c r="BC15" s="18" cm="1">
        <f t="array" ref="BC15">flatInterpolation($AG15,$S$4:$S$9,BB$5:BB$10)</f>
        <v>5.8333333333333336E-3</v>
      </c>
      <c r="BD15" s="26">
        <f t="shared" ref="BD15" si="112">EXP(-BC15*YearFraction)*BD14</f>
        <v>0.98408631560454818</v>
      </c>
      <c r="BE15" s="122">
        <f t="shared" si="15"/>
        <v>1.4361728317496825E-3</v>
      </c>
    </row>
    <row r="16" spans="3:58" x14ac:dyDescent="0.3">
      <c r="C16" t="s">
        <v>152</v>
      </c>
      <c r="K16" s="34" t="s">
        <v>13</v>
      </c>
      <c r="L16" s="18">
        <f t="shared" si="88"/>
        <v>3.5000000000000001E-3</v>
      </c>
      <c r="M16" s="2">
        <f t="shared" ref="M16" si="113">-Notional*L16*YearFraction</f>
        <v>-875</v>
      </c>
      <c r="N16" s="28">
        <f>M16*SUMPRODUCT(PSurvival3Y,DiscFactors3Y)</f>
        <v>-9689.3595009313049</v>
      </c>
      <c r="O16" s="4">
        <f>M16*0.5*SUMPRODUCT(PDefault3Y,DiscFactors3Y)</f>
        <v>-7.0703121523161512</v>
      </c>
      <c r="P16" s="4">
        <f>LGD*SUMPRODUCT(PDefault3Y,DiscFactors3Y)</f>
        <v>9696.4280946050076</v>
      </c>
      <c r="Q16" s="5">
        <f t="shared" si="90"/>
        <v>-1.7184786138386698E-3</v>
      </c>
      <c r="S16" s="3">
        <f>Notional*YearFraction*(SUMPRODUCT(PSurvival3Y,DiscFactors3Y)+0.5*SUMPRODUCT(PDefault3Y,DiscFactors3Y))</f>
        <v>2770408.5180238914</v>
      </c>
      <c r="T16" s="81">
        <f t="shared" si="91"/>
        <v>34.999993797020906</v>
      </c>
      <c r="U16" s="18">
        <f t="shared" si="92"/>
        <v>3.4999993797020907E-3</v>
      </c>
      <c r="V16" s="18">
        <f t="shared" si="93"/>
        <v>-6.202979093913874E-10</v>
      </c>
      <c r="W16" s="17"/>
      <c r="X16" s="24">
        <f t="shared" ref="X16" si="114">X15+YearFraction</f>
        <v>3</v>
      </c>
      <c r="Y16" s="25" cm="1">
        <f t="array" ref="Y16">flatInterpolation(X16,$S$4:$S$9,$T$4:$T$9)</f>
        <v>5.8333333333333336E-3</v>
      </c>
      <c r="Z16" s="26">
        <f t="shared" ref="Z16" si="115">EXP(-Y16*YearFraction)*Z15</f>
        <v>0.9826522356650732</v>
      </c>
      <c r="AA16" s="26">
        <f t="shared" si="3"/>
        <v>1.4340799394749748E-3</v>
      </c>
      <c r="AB16" s="27" cm="1">
        <f t="array" ref="AB16">cubicInterpolation(CurveResults.Times,CurveResults.DFs,$X16)</f>
        <v>0.87931148332785924</v>
      </c>
      <c r="AG16" s="24">
        <f t="shared" ref="AG16" si="116">AG15+YearFraction</f>
        <v>3</v>
      </c>
      <c r="AI16" s="18" cm="1">
        <f t="array" ref="AI16">flatInterpolation($AG16,$S$4:$S$9,AH$5:AH$10)</f>
        <v>5.8333333333333336E-3</v>
      </c>
      <c r="AJ16" s="26">
        <f t="shared" ref="AJ16" si="117">EXP(-AI16*YearFraction)*AJ15</f>
        <v>0.98265213739985446</v>
      </c>
      <c r="AK16" s="122">
        <f t="shared" si="5"/>
        <v>1.4340797960670226E-3</v>
      </c>
      <c r="AL16" s="116"/>
      <c r="AM16" s="18" cm="1">
        <f t="array" ref="AM16">flatInterpolation($AG16,$S$4:$S$9,AL$5:AL$10)</f>
        <v>5.8333333333333336E-3</v>
      </c>
      <c r="AN16" s="26">
        <f t="shared" ref="AN16" si="118">EXP(-AM16*YearFraction)*AN15</f>
        <v>0.98265213739985435</v>
      </c>
      <c r="AO16" s="122">
        <f t="shared" si="7"/>
        <v>1.4340797960670226E-3</v>
      </c>
      <c r="AP16" s="116"/>
      <c r="AQ16" s="18" cm="1">
        <f t="array" ref="AQ16">flatInterpolation($AG16,$S$4:$S$9,AP$5:AP$10)</f>
        <v>5.8334333333333339E-3</v>
      </c>
      <c r="AR16" s="26">
        <f t="shared" ref="AR16" si="119">EXP(-AQ16*YearFraction)*AR15</f>
        <v>0.98265213739985424</v>
      </c>
      <c r="AS16" s="122">
        <f t="shared" si="9"/>
        <v>1.4341043982227797E-3</v>
      </c>
      <c r="AT16" s="116"/>
      <c r="AU16" s="18" cm="1">
        <f t="array" ref="AU16">flatInterpolation($AG16,$S$4:$S$9,AT$5:AT$10)</f>
        <v>5.8333333333333336E-3</v>
      </c>
      <c r="AV16" s="26">
        <f t="shared" ref="AV16" si="120">EXP(-AU16*YearFraction)*AV15</f>
        <v>0.9826522356650732</v>
      </c>
      <c r="AW16" s="122">
        <f t="shared" si="11"/>
        <v>1.4340799394749748E-3</v>
      </c>
      <c r="AX16" s="116"/>
      <c r="AY16" s="18" cm="1">
        <f t="array" ref="AY16">flatInterpolation($AG16,$S$4:$S$9,AX$5:AX$10)</f>
        <v>5.8333333333333336E-3</v>
      </c>
      <c r="AZ16" s="26">
        <f t="shared" ref="AZ16" si="121">EXP(-AY16*YearFraction)*AZ15</f>
        <v>0.9826522356650732</v>
      </c>
      <c r="BA16" s="122">
        <f t="shared" si="13"/>
        <v>1.4340799394749748E-3</v>
      </c>
      <c r="BB16" s="116"/>
      <c r="BC16" s="18" cm="1">
        <f t="array" ref="BC16">flatInterpolation($AG16,$S$4:$S$9,BB$5:BB$10)</f>
        <v>5.8333333333333336E-3</v>
      </c>
      <c r="BD16" s="26">
        <f t="shared" ref="BD16" si="122">EXP(-BC16*YearFraction)*BD15</f>
        <v>0.9826522356650732</v>
      </c>
      <c r="BE16" s="122">
        <f t="shared" si="15"/>
        <v>1.4340799394749748E-3</v>
      </c>
    </row>
    <row r="17" spans="3:57" x14ac:dyDescent="0.3">
      <c r="C17" t="s">
        <v>153</v>
      </c>
      <c r="K17" s="34" t="s">
        <v>14</v>
      </c>
      <c r="L17" s="18">
        <f t="shared" si="88"/>
        <v>3.5000000000000001E-3</v>
      </c>
      <c r="M17" s="2">
        <f t="shared" ref="M17" si="123">-Notional*L17*YearFraction</f>
        <v>-875</v>
      </c>
      <c r="N17" s="28">
        <f>M17*SUMPRODUCT(PSurvival4Y,DiscFactors4Y)</f>
        <v>-12630.975297932951</v>
      </c>
      <c r="O17" s="4">
        <f>M17*0.5*SUMPRODUCT(PDefault4Y,DiscFactors4Y)</f>
        <v>-9.2168051083249463</v>
      </c>
      <c r="P17" s="4">
        <f>LGD*SUMPRODUCT(PDefault4Y,DiscFactors4Y)</f>
        <v>12640.189862845642</v>
      </c>
      <c r="Q17" s="5">
        <f t="shared" si="90"/>
        <v>-2.2401956339308526E-3</v>
      </c>
      <c r="S17" s="3">
        <f>Notional*YearFraction*(SUMPRODUCT(PSurvival4Y,DiscFactors4Y)+0.5*SUMPRODUCT(PDefault4Y,DiscFactors4Y))</f>
        <v>3611483.458011793</v>
      </c>
      <c r="T17" s="81">
        <f t="shared" si="91"/>
        <v>34.99999379702092</v>
      </c>
      <c r="U17" s="18">
        <f t="shared" si="92"/>
        <v>3.499999379702092E-3</v>
      </c>
      <c r="V17" s="18">
        <f t="shared" si="93"/>
        <v>-6.202979080903448E-10</v>
      </c>
      <c r="W17" s="17"/>
      <c r="X17" s="24">
        <f t="shared" ref="X17" si="124">X16+YearFraction</f>
        <v>3.25</v>
      </c>
      <c r="Y17" s="25" cm="1">
        <f t="array" ref="Y17">flatInterpolation(X17,$S$4:$S$9,$T$4:$T$9)</f>
        <v>5.8333333333333336E-3</v>
      </c>
      <c r="Z17" s="26">
        <f t="shared" ref="Z17" si="125">EXP(-Y17*YearFraction)*Z16</f>
        <v>0.98122024556796283</v>
      </c>
      <c r="AA17" s="26">
        <f t="shared" si="3"/>
        <v>1.4319900971103694E-3</v>
      </c>
      <c r="AB17" s="27" cm="1">
        <f t="array" ref="AB17">cubicInterpolation(CurveResults.Times,CurveResults.DFs,$X17)</f>
        <v>0.87078171535403615</v>
      </c>
      <c r="AG17" s="24">
        <f t="shared" ref="AG17" si="126">AG16+YearFraction</f>
        <v>3.25</v>
      </c>
      <c r="AI17" s="18" cm="1">
        <f t="array" ref="AI17">flatInterpolation($AG17,$S$4:$S$9,AH$5:AH$10)</f>
        <v>5.8333333333333336E-3</v>
      </c>
      <c r="AJ17" s="26">
        <f t="shared" ref="AJ17" si="127">EXP(-AI17*YearFraction)*AJ16</f>
        <v>0.9812201474459431</v>
      </c>
      <c r="AK17" s="122">
        <f t="shared" si="5"/>
        <v>1.4319899539113612E-3</v>
      </c>
      <c r="AL17" s="116"/>
      <c r="AM17" s="18" cm="1">
        <f t="array" ref="AM17">flatInterpolation($AG17,$S$4:$S$9,AL$5:AL$10)</f>
        <v>5.8333333333333336E-3</v>
      </c>
      <c r="AN17" s="26">
        <f t="shared" ref="AN17" si="128">EXP(-AM17*YearFraction)*AN16</f>
        <v>0.98122014744594299</v>
      </c>
      <c r="AO17" s="122">
        <f t="shared" si="7"/>
        <v>1.4319899539113612E-3</v>
      </c>
      <c r="AP17" s="116"/>
      <c r="AQ17" s="18" cm="1">
        <f t="array" ref="AQ17">flatInterpolation($AG17,$S$4:$S$9,AP$5:AP$10)</f>
        <v>5.8333333333333336E-3</v>
      </c>
      <c r="AR17" s="26">
        <f t="shared" ref="AR17" si="129">EXP(-AQ17*YearFraction)*AR16</f>
        <v>0.98122014744594288</v>
      </c>
      <c r="AS17" s="122">
        <f t="shared" si="9"/>
        <v>1.4319899539113612E-3</v>
      </c>
      <c r="AT17" s="116"/>
      <c r="AU17" s="18" cm="1">
        <f t="array" ref="AU17">flatInterpolation($AG17,$S$4:$S$9,AT$5:AT$10)</f>
        <v>5.8334333333333339E-3</v>
      </c>
      <c r="AV17" s="26">
        <f t="shared" ref="AV17" si="130">EXP(-AU17*YearFraction)*AV16</f>
        <v>0.98122022103745699</v>
      </c>
      <c r="AW17" s="122">
        <f t="shared" si="11"/>
        <v>1.4320146276162182E-3</v>
      </c>
      <c r="AX17" s="116"/>
      <c r="AY17" s="18" cm="1">
        <f t="array" ref="AY17">flatInterpolation($AG17,$S$4:$S$9,AX$5:AX$10)</f>
        <v>5.8333333333333336E-3</v>
      </c>
      <c r="AZ17" s="26">
        <f t="shared" ref="AZ17" si="131">EXP(-AY17*YearFraction)*AZ16</f>
        <v>0.98122024556796283</v>
      </c>
      <c r="BA17" s="122">
        <f t="shared" si="13"/>
        <v>1.4319900971103694E-3</v>
      </c>
      <c r="BB17" s="116"/>
      <c r="BC17" s="18" cm="1">
        <f t="array" ref="BC17">flatInterpolation($AG17,$S$4:$S$9,BB$5:BB$10)</f>
        <v>5.8333333333333336E-3</v>
      </c>
      <c r="BD17" s="26">
        <f t="shared" ref="BD17" si="132">EXP(-BC17*YearFraction)*BD16</f>
        <v>0.98122024556796283</v>
      </c>
      <c r="BE17" s="122">
        <f t="shared" si="15"/>
        <v>1.4319900971103694E-3</v>
      </c>
    </row>
    <row r="18" spans="3:57" x14ac:dyDescent="0.3">
      <c r="C18" t="s">
        <v>154</v>
      </c>
      <c r="K18" s="34" t="s">
        <v>15</v>
      </c>
      <c r="L18" s="18">
        <f t="shared" si="88"/>
        <v>3.5000000000000001E-3</v>
      </c>
      <c r="M18" s="2">
        <f t="shared" ref="M18" si="133">-Notional*L18*YearFraction</f>
        <v>-875</v>
      </c>
      <c r="N18" s="28">
        <f>M18*SUMPRODUCT(PSurvival5Y,DiscFactors5Y)</f>
        <v>-15446.88633144598</v>
      </c>
      <c r="O18" s="4">
        <f>M18*0.5*SUMPRODUCT(PDefault5Y,DiscFactors5Y)</f>
        <v>-11.271571473240458</v>
      </c>
      <c r="P18" s="4">
        <f>LGD*SUMPRODUCT(PDefault5Y,DiscFactors5Y)</f>
        <v>15458.155163301199</v>
      </c>
      <c r="Q18" s="5">
        <f t="shared" si="90"/>
        <v>-2.7396180212235777E-3</v>
      </c>
      <c r="S18" s="3">
        <f>Notional*YearFraction*(SUMPRODUCT(PSurvival5Y,DiscFactors5Y)+0.5*SUMPRODUCT(PDefault5Y,DiscFactors5Y))</f>
        <v>4416616.5436912049</v>
      </c>
      <c r="T18" s="81">
        <f t="shared" si="91"/>
        <v>34.999993797020885</v>
      </c>
      <c r="U18" s="18">
        <f t="shared" si="92"/>
        <v>3.4999993797020885E-3</v>
      </c>
      <c r="V18" s="18">
        <f t="shared" si="93"/>
        <v>-6.2029791155979175E-10</v>
      </c>
      <c r="W18" s="17"/>
      <c r="X18" s="24">
        <f t="shared" ref="X18" si="134">X17+YearFraction</f>
        <v>3.5</v>
      </c>
      <c r="Y18" s="25" cm="1">
        <f t="array" ref="Y18">flatInterpolation(X18,$S$4:$S$9,$T$4:$T$9)</f>
        <v>5.8333333333333336E-3</v>
      </c>
      <c r="Z18" s="26">
        <f t="shared" ref="Z18" si="135">EXP(-Y18*YearFraction)*Z17</f>
        <v>0.97979034226775152</v>
      </c>
      <c r="AA18" s="26">
        <f t="shared" si="3"/>
        <v>1.4299033002113104E-3</v>
      </c>
      <c r="AB18" s="27" cm="1">
        <f t="array" ref="AB18">cubicInterpolation(CurveResults.Times,CurveResults.DFs,$X18)</f>
        <v>0.86243967475051753</v>
      </c>
      <c r="AG18" s="24">
        <f t="shared" ref="AG18" si="136">AG17+YearFraction</f>
        <v>3.5</v>
      </c>
      <c r="AI18" s="18" cm="1">
        <f t="array" ref="AI18">flatInterpolation($AG18,$S$4:$S$9,AH$5:AH$10)</f>
        <v>5.8333333333333336E-3</v>
      </c>
      <c r="AJ18" s="26">
        <f t="shared" ref="AJ18" si="137">EXP(-AI18*YearFraction)*AJ17</f>
        <v>0.97979024428872208</v>
      </c>
      <c r="AK18" s="122">
        <f t="shared" si="5"/>
        <v>1.4299031572210241E-3</v>
      </c>
      <c r="AL18" s="116"/>
      <c r="AM18" s="18" cm="1">
        <f t="array" ref="AM18">flatInterpolation($AG18,$S$4:$S$9,AL$5:AL$10)</f>
        <v>5.8333333333333336E-3</v>
      </c>
      <c r="AN18" s="26">
        <f t="shared" ref="AN18" si="138">EXP(-AM18*YearFraction)*AN17</f>
        <v>0.97979024428872197</v>
      </c>
      <c r="AO18" s="122">
        <f t="shared" si="7"/>
        <v>1.4299031572210241E-3</v>
      </c>
      <c r="AP18" s="116"/>
      <c r="AQ18" s="18" cm="1">
        <f t="array" ref="AQ18">flatInterpolation($AG18,$S$4:$S$9,AP$5:AP$10)</f>
        <v>5.8333333333333336E-3</v>
      </c>
      <c r="AR18" s="26">
        <f t="shared" ref="AR18" si="139">EXP(-AQ18*YearFraction)*AR17</f>
        <v>0.97979024428872186</v>
      </c>
      <c r="AS18" s="122">
        <f t="shared" si="9"/>
        <v>1.4299031572210241E-3</v>
      </c>
      <c r="AT18" s="116"/>
      <c r="AU18" s="18" cm="1">
        <f t="array" ref="AU18">flatInterpolation($AG18,$S$4:$S$9,AT$5:AT$10)</f>
        <v>5.8334333333333339E-3</v>
      </c>
      <c r="AV18" s="26">
        <f t="shared" ref="AV18" si="140">EXP(-AU18*YearFraction)*AV17</f>
        <v>0.97979029327823552</v>
      </c>
      <c r="AW18" s="122">
        <f t="shared" si="11"/>
        <v>1.429927759221461E-3</v>
      </c>
      <c r="AX18" s="116"/>
      <c r="AY18" s="18" cm="1">
        <f t="array" ref="AY18">flatInterpolation($AG18,$S$4:$S$9,AX$5:AX$10)</f>
        <v>5.8333333333333336E-3</v>
      </c>
      <c r="AZ18" s="26">
        <f t="shared" ref="AZ18" si="141">EXP(-AY18*YearFraction)*AZ17</f>
        <v>0.97979034226775152</v>
      </c>
      <c r="BA18" s="122">
        <f t="shared" si="13"/>
        <v>1.4299033002113104E-3</v>
      </c>
      <c r="BB18" s="116"/>
      <c r="BC18" s="18" cm="1">
        <f t="array" ref="BC18">flatInterpolation($AG18,$S$4:$S$9,BB$5:BB$10)</f>
        <v>5.8333333333333336E-3</v>
      </c>
      <c r="BD18" s="26">
        <f t="shared" ref="BD18" si="142">EXP(-BC18*YearFraction)*BD17</f>
        <v>0.97979034226775152</v>
      </c>
      <c r="BE18" s="122">
        <f t="shared" si="15"/>
        <v>1.4299033002113104E-3</v>
      </c>
    </row>
    <row r="19" spans="3:57" x14ac:dyDescent="0.3">
      <c r="C19" t="s">
        <v>330</v>
      </c>
      <c r="K19" s="35" t="s">
        <v>16</v>
      </c>
      <c r="L19" s="36">
        <f t="shared" si="88"/>
        <v>3.5000000000000001E-3</v>
      </c>
      <c r="M19" s="37">
        <f t="shared" ref="M19" si="143">-Notional*L19*YearFraction</f>
        <v>-875</v>
      </c>
      <c r="N19" s="38">
        <f>M19*SUMPRODUCT(PSurvival10Y,DiscFactors10Y)</f>
        <v>-27838.627706213538</v>
      </c>
      <c r="O19" s="7">
        <f>M19*0.5*SUMPRODUCT(PDefault10Y,DiscFactors10Y)</f>
        <v>-20.313807920547035</v>
      </c>
      <c r="P19" s="7">
        <f>LGD*SUMPRODUCT(PDefault10Y,DiscFactors10Y)</f>
        <v>27858.93657675022</v>
      </c>
      <c r="Q19" s="8">
        <f t="shared" si="90"/>
        <v>-4.9373838628525846E-3</v>
      </c>
      <c r="S19" s="6">
        <f>Notional*YearFraction*(SUMPRODUCT(PSurvival10Y,DiscFactors10Y)+0.5*SUMPRODUCT(PDefault10Y,DiscFactors10Y))</f>
        <v>7959697.5754668815</v>
      </c>
      <c r="T19" s="82">
        <f t="shared" si="91"/>
        <v>34.999993797020778</v>
      </c>
      <c r="U19" s="18">
        <f t="shared" si="92"/>
        <v>3.4999993797020777E-3</v>
      </c>
      <c r="V19" s="18">
        <f t="shared" si="93"/>
        <v>-6.2029792240181347E-10</v>
      </c>
      <c r="W19" s="17"/>
      <c r="X19" s="24">
        <f t="shared" ref="X19" si="144">X18+YearFraction</f>
        <v>3.75</v>
      </c>
      <c r="Y19" s="25" cm="1">
        <f t="array" ref="Y19">flatInterpolation(X19,$S$4:$S$9,$T$4:$T$9)</f>
        <v>5.8333333333333336E-3</v>
      </c>
      <c r="Z19" s="26">
        <f t="shared" ref="Z19" si="145">EXP(-Y19*YearFraction)*Z18</f>
        <v>0.97836252272341173</v>
      </c>
      <c r="AA19" s="26">
        <f t="shared" si="3"/>
        <v>1.4278195443397923E-3</v>
      </c>
      <c r="AB19" s="27" cm="1">
        <f t="array" ref="AB19">cubicInterpolation(CurveResults.Times,CurveResults.DFs,$X19)</f>
        <v>0.85424590030706427</v>
      </c>
      <c r="AG19" s="24">
        <f t="shared" ref="AG19" si="146">AG18+YearFraction</f>
        <v>3.75</v>
      </c>
      <c r="AI19" s="18" cm="1">
        <f t="array" ref="AI19">flatInterpolation($AG19,$S$4:$S$9,AH$5:AH$10)</f>
        <v>5.8333333333333336E-3</v>
      </c>
      <c r="AJ19" s="26">
        <f t="shared" ref="AJ19" si="147">EXP(-AI19*YearFraction)*AJ18</f>
        <v>0.97836242488716429</v>
      </c>
      <c r="AK19" s="122">
        <f t="shared" si="5"/>
        <v>1.4278194015577839E-3</v>
      </c>
      <c r="AL19" s="116"/>
      <c r="AM19" s="18" cm="1">
        <f t="array" ref="AM19">flatInterpolation($AG19,$S$4:$S$9,AL$5:AL$10)</f>
        <v>5.8333333333333336E-3</v>
      </c>
      <c r="AN19" s="26">
        <f t="shared" ref="AN19" si="148">EXP(-AM19*YearFraction)*AN18</f>
        <v>0.97836242488716418</v>
      </c>
      <c r="AO19" s="122">
        <f t="shared" si="7"/>
        <v>1.4278194015577839E-3</v>
      </c>
      <c r="AP19" s="116"/>
      <c r="AQ19" s="18" cm="1">
        <f t="array" ref="AQ19">flatInterpolation($AG19,$S$4:$S$9,AP$5:AP$10)</f>
        <v>5.8333333333333336E-3</v>
      </c>
      <c r="AR19" s="26">
        <f t="shared" ref="AR19" si="149">EXP(-AQ19*YearFraction)*AR18</f>
        <v>0.97836242488716407</v>
      </c>
      <c r="AS19" s="122">
        <f t="shared" si="9"/>
        <v>1.4278194015577839E-3</v>
      </c>
      <c r="AT19" s="116"/>
      <c r="AU19" s="18" cm="1">
        <f t="array" ref="AU19">flatInterpolation($AG19,$S$4:$S$9,AT$5:AT$10)</f>
        <v>5.8334333333333339E-3</v>
      </c>
      <c r="AV19" s="26">
        <f t="shared" ref="AV19" si="150">EXP(-AU19*YearFraction)*AV18</f>
        <v>0.97836244934622507</v>
      </c>
      <c r="AW19" s="122">
        <f t="shared" si="11"/>
        <v>1.427843932010453E-3</v>
      </c>
      <c r="AX19" s="116"/>
      <c r="AY19" s="18" cm="1">
        <f t="array" ref="AY19">flatInterpolation($AG19,$S$4:$S$9,AX$5:AX$10)</f>
        <v>5.8333333333333336E-3</v>
      </c>
      <c r="AZ19" s="26">
        <f t="shared" ref="AZ19" si="151">EXP(-AY19*YearFraction)*AZ18</f>
        <v>0.97836252272341173</v>
      </c>
      <c r="BA19" s="122">
        <f t="shared" si="13"/>
        <v>1.4278195443397923E-3</v>
      </c>
      <c r="BB19" s="116"/>
      <c r="BC19" s="18" cm="1">
        <f t="array" ref="BC19">flatInterpolation($AG19,$S$4:$S$9,BB$5:BB$10)</f>
        <v>5.8333333333333336E-3</v>
      </c>
      <c r="BD19" s="26">
        <f t="shared" ref="BD19" si="152">EXP(-BC19*YearFraction)*BD18</f>
        <v>0.97836252272341173</v>
      </c>
      <c r="BE19" s="122">
        <f t="shared" si="15"/>
        <v>1.4278195443397923E-3</v>
      </c>
    </row>
    <row r="20" spans="3:57" x14ac:dyDescent="0.3">
      <c r="C20" t="s">
        <v>331</v>
      </c>
      <c r="X20" s="24">
        <f t="shared" ref="X20" si="153">X19+YearFraction</f>
        <v>4</v>
      </c>
      <c r="Y20" s="25" cm="1">
        <f t="array" ref="Y20">flatInterpolation(X20,$S$4:$S$9,$T$4:$T$9)</f>
        <v>5.8333333333333336E-3</v>
      </c>
      <c r="Z20" s="26">
        <f t="shared" ref="Z20" si="154">EXP(-Y20*YearFraction)*Z19</f>
        <v>0.97693678389834759</v>
      </c>
      <c r="AA20" s="26">
        <f t="shared" si="3"/>
        <v>1.4257388250641378E-3</v>
      </c>
      <c r="AB20" s="27" cm="1">
        <f t="array" ref="AB20">cubicInterpolation(CurveResults.Times,CurveResults.DFs,$X20)</f>
        <v>0.84616093081343713</v>
      </c>
      <c r="AG20" s="24">
        <f t="shared" ref="AG20" si="155">AG19+YearFraction</f>
        <v>4</v>
      </c>
      <c r="AI20" s="18" cm="1">
        <f t="array" ref="AI20">flatInterpolation($AG20,$S$4:$S$9,AH$5:AH$10)</f>
        <v>5.8333333333333336E-3</v>
      </c>
      <c r="AJ20" s="26">
        <f t="shared" ref="AJ20" si="156">EXP(-AI20*YearFraction)*AJ19</f>
        <v>0.976936686204674</v>
      </c>
      <c r="AK20" s="122">
        <f t="shared" si="5"/>
        <v>1.4257386824902962E-3</v>
      </c>
      <c r="AL20" s="116"/>
      <c r="AM20" s="18" cm="1">
        <f t="array" ref="AM20">flatInterpolation($AG20,$S$4:$S$9,AL$5:AL$10)</f>
        <v>5.8333333333333336E-3</v>
      </c>
      <c r="AN20" s="26">
        <f t="shared" ref="AN20" si="157">EXP(-AM20*YearFraction)*AN19</f>
        <v>0.97693668620467389</v>
      </c>
      <c r="AO20" s="122">
        <f t="shared" si="7"/>
        <v>1.4257386824902962E-3</v>
      </c>
      <c r="AP20" s="116"/>
      <c r="AQ20" s="18" cm="1">
        <f t="array" ref="AQ20">flatInterpolation($AG20,$S$4:$S$9,AP$5:AP$10)</f>
        <v>5.8333333333333336E-3</v>
      </c>
      <c r="AR20" s="26">
        <f t="shared" ref="AR20" si="158">EXP(-AQ20*YearFraction)*AR19</f>
        <v>0.97693668620467378</v>
      </c>
      <c r="AS20" s="122">
        <f t="shared" si="9"/>
        <v>1.4257386824902962E-3</v>
      </c>
      <c r="AT20" s="116"/>
      <c r="AU20" s="18" cm="1">
        <f t="array" ref="AU20">flatInterpolation($AG20,$S$4:$S$9,AT$5:AT$10)</f>
        <v>5.8334333333333339E-3</v>
      </c>
      <c r="AV20" s="26">
        <f t="shared" ref="AV20" si="159">EXP(-AU20*YearFraction)*AV19</f>
        <v>0.97693668620467378</v>
      </c>
      <c r="AW20" s="122">
        <f t="shared" si="11"/>
        <v>1.425763141551295E-3</v>
      </c>
      <c r="AX20" s="116"/>
      <c r="AY20" s="18" cm="1">
        <f t="array" ref="AY20">flatInterpolation($AG20,$S$4:$S$9,AX$5:AX$10)</f>
        <v>5.8333333333333336E-3</v>
      </c>
      <c r="AZ20" s="26">
        <f t="shared" ref="AZ20" si="160">EXP(-AY20*YearFraction)*AZ19</f>
        <v>0.97693678389834759</v>
      </c>
      <c r="BA20" s="122">
        <f t="shared" si="13"/>
        <v>1.4257388250641378E-3</v>
      </c>
      <c r="BB20" s="116"/>
      <c r="BC20" s="18" cm="1">
        <f t="array" ref="BC20">flatInterpolation($AG20,$S$4:$S$9,BB$5:BB$10)</f>
        <v>5.8333333333333336E-3</v>
      </c>
      <c r="BD20" s="26">
        <f t="shared" ref="BD20" si="161">EXP(-BC20*YearFraction)*BD19</f>
        <v>0.97693678389834759</v>
      </c>
      <c r="BE20" s="122">
        <f t="shared" si="15"/>
        <v>1.4257388250641378E-3</v>
      </c>
    </row>
    <row r="21" spans="3:57" x14ac:dyDescent="0.3">
      <c r="X21" s="24">
        <f t="shared" ref="X21" si="162">X20+YearFraction</f>
        <v>4.25</v>
      </c>
      <c r="Y21" s="25" cm="1">
        <f t="array" ref="Y21">flatInterpolation(X21,$S$4:$S$9,$T$4:$T$9)</f>
        <v>5.8333333333333336E-3</v>
      </c>
      <c r="Z21" s="26">
        <f t="shared" ref="Z21" si="163">EXP(-Y21*YearFraction)*Z20</f>
        <v>0.97551312276038826</v>
      </c>
      <c r="AA21" s="26">
        <f t="shared" si="3"/>
        <v>1.4236611379593311E-3</v>
      </c>
      <c r="AB21" s="27" cm="1">
        <f t="array" ref="AB21">cubicInterpolation(CurveResults.Times,CurveResults.DFs,$X21)</f>
        <v>0.83819214507342643</v>
      </c>
      <c r="AG21" s="24">
        <f t="shared" ref="AG21" si="164">AG20+YearFraction</f>
        <v>4.25</v>
      </c>
      <c r="AI21" s="18" cm="1">
        <f t="array" ref="AI21">flatInterpolation($AG21,$S$4:$S$9,AH$5:AH$10)</f>
        <v>5.8333333333333336E-3</v>
      </c>
      <c r="AJ21" s="26">
        <f t="shared" ref="AJ21" si="165">EXP(-AI21*YearFraction)*AJ20</f>
        <v>0.97551302520908079</v>
      </c>
      <c r="AK21" s="122">
        <f t="shared" si="5"/>
        <v>1.4236609955932122E-3</v>
      </c>
      <c r="AL21" s="116"/>
      <c r="AM21" s="18" cm="1">
        <f t="array" ref="AM21">flatInterpolation($AG21,$S$4:$S$9,AL$5:AL$10)</f>
        <v>5.8333333333333336E-3</v>
      </c>
      <c r="AN21" s="26">
        <f t="shared" ref="AN21" si="166">EXP(-AM21*YearFraction)*AN20</f>
        <v>0.97551302520908068</v>
      </c>
      <c r="AO21" s="122">
        <f t="shared" si="7"/>
        <v>1.4236609955932122E-3</v>
      </c>
      <c r="AP21" s="116"/>
      <c r="AQ21" s="18" cm="1">
        <f t="array" ref="AQ21">flatInterpolation($AG21,$S$4:$S$9,AP$5:AP$10)</f>
        <v>5.8333333333333336E-3</v>
      </c>
      <c r="AR21" s="26">
        <f t="shared" ref="AR21" si="167">EXP(-AQ21*YearFraction)*AR20</f>
        <v>0.97551302520908056</v>
      </c>
      <c r="AS21" s="122">
        <f t="shared" si="9"/>
        <v>1.4236609955932122E-3</v>
      </c>
      <c r="AT21" s="116"/>
      <c r="AU21" s="18" cm="1">
        <f t="array" ref="AU21">flatInterpolation($AG21,$S$4:$S$9,AT$5:AT$10)</f>
        <v>5.8333333333333336E-3</v>
      </c>
      <c r="AV21" s="26">
        <f t="shared" ref="AV21" si="168">EXP(-AU21*YearFraction)*AV20</f>
        <v>0.97551302520908056</v>
      </c>
      <c r="AW21" s="122">
        <f t="shared" si="11"/>
        <v>1.4236609955932122E-3</v>
      </c>
      <c r="AX21" s="116"/>
      <c r="AY21" s="18" cm="1">
        <f t="array" ref="AY21">flatInterpolation($AG21,$S$4:$S$9,AX$5:AX$10)</f>
        <v>5.8334333333333339E-3</v>
      </c>
      <c r="AZ21" s="26">
        <f t="shared" ref="AZ21" si="169">EXP(-AY21*YearFraction)*AZ20</f>
        <v>0.97551309837256039</v>
      </c>
      <c r="BA21" s="122">
        <f t="shared" si="13"/>
        <v>1.4236855257871994E-3</v>
      </c>
      <c r="BB21" s="116"/>
      <c r="BC21" s="18" cm="1">
        <f t="array" ref="BC21">flatInterpolation($AG21,$S$4:$S$9,BB$5:BB$10)</f>
        <v>5.8333333333333336E-3</v>
      </c>
      <c r="BD21" s="26">
        <f t="shared" ref="BD21" si="170">EXP(-BC21*YearFraction)*BD20</f>
        <v>0.97551312276038826</v>
      </c>
      <c r="BE21" s="122">
        <f t="shared" si="15"/>
        <v>1.4236611379593311E-3</v>
      </c>
    </row>
    <row r="22" spans="3:57" x14ac:dyDescent="0.3">
      <c r="K22" s="1" t="s">
        <v>157</v>
      </c>
      <c r="M22" s="1"/>
      <c r="N22" s="1"/>
      <c r="O22" s="56" t="s">
        <v>145</v>
      </c>
      <c r="Q22" s="2" t="s">
        <v>43</v>
      </c>
      <c r="S22" s="1" t="s">
        <v>155</v>
      </c>
      <c r="X22" s="24">
        <f t="shared" ref="X22" si="171">X21+YearFraction</f>
        <v>4.5</v>
      </c>
      <c r="Y22" s="25" cm="1">
        <f t="array" ref="Y22">flatInterpolation(X22,$S$4:$S$9,$T$4:$T$9)</f>
        <v>5.8333333333333336E-3</v>
      </c>
      <c r="Z22" s="26">
        <f t="shared" ref="Z22" si="172">EXP(-Y22*YearFraction)*Z21</f>
        <v>0.97409153628178158</v>
      </c>
      <c r="AA22" s="26">
        <f t="shared" si="3"/>
        <v>1.4215864786066845E-3</v>
      </c>
      <c r="AB22" s="27" cm="1">
        <f t="array" ref="AB22">cubicInterpolation(CurveResults.Times,CurveResults.DFs,$X22)</f>
        <v>0.8303546218014306</v>
      </c>
      <c r="AG22" s="24">
        <f t="shared" ref="AG22" si="173">AG21+YearFraction</f>
        <v>4.5</v>
      </c>
      <c r="AI22" s="18" cm="1">
        <f t="array" ref="AI22">flatInterpolation($AG22,$S$4:$S$9,AH$5:AH$10)</f>
        <v>5.8333333333333336E-3</v>
      </c>
      <c r="AJ22" s="26">
        <f t="shared" ref="AJ22" si="174">EXP(-AI22*YearFraction)*AJ21</f>
        <v>0.97409143887263283</v>
      </c>
      <c r="AK22" s="122">
        <f t="shared" si="5"/>
        <v>1.4215863364479553E-3</v>
      </c>
      <c r="AL22" s="116"/>
      <c r="AM22" s="18" cm="1">
        <f t="array" ref="AM22">flatInterpolation($AG22,$S$4:$S$9,AL$5:AL$10)</f>
        <v>5.8333333333333336E-3</v>
      </c>
      <c r="AN22" s="26">
        <f t="shared" ref="AN22" si="175">EXP(-AM22*YearFraction)*AN21</f>
        <v>0.97409143887263272</v>
      </c>
      <c r="AO22" s="122">
        <f t="shared" si="7"/>
        <v>1.4215863364479553E-3</v>
      </c>
      <c r="AP22" s="116"/>
      <c r="AQ22" s="18" cm="1">
        <f t="array" ref="AQ22">flatInterpolation($AG22,$S$4:$S$9,AP$5:AP$10)</f>
        <v>5.8333333333333336E-3</v>
      </c>
      <c r="AR22" s="26">
        <f t="shared" ref="AR22" si="176">EXP(-AQ22*YearFraction)*AR21</f>
        <v>0.97409143887263261</v>
      </c>
      <c r="AS22" s="122">
        <f t="shared" si="9"/>
        <v>1.4215863364479553E-3</v>
      </c>
      <c r="AT22" s="116"/>
      <c r="AU22" s="18" cm="1">
        <f t="array" ref="AU22">flatInterpolation($AG22,$S$4:$S$9,AT$5:AT$10)</f>
        <v>5.8333333333333336E-3</v>
      </c>
      <c r="AV22" s="26">
        <f t="shared" ref="AV22" si="177">EXP(-AU22*YearFraction)*AV21</f>
        <v>0.97409143887263261</v>
      </c>
      <c r="AW22" s="122">
        <f t="shared" si="11"/>
        <v>1.4215863364479553E-3</v>
      </c>
      <c r="AX22" s="116"/>
      <c r="AY22" s="18" cm="1">
        <f t="array" ref="AY22">flatInterpolation($AG22,$S$4:$S$9,AX$5:AX$10)</f>
        <v>5.8334333333333339E-3</v>
      </c>
      <c r="AZ22" s="26">
        <f t="shared" ref="AZ22" si="178">EXP(-AY22*YearFraction)*AZ21</f>
        <v>0.97409148757720587</v>
      </c>
      <c r="BA22" s="122">
        <f t="shared" si="13"/>
        <v>1.4216107953545221E-3</v>
      </c>
      <c r="BB22" s="116"/>
      <c r="BC22" s="18" cm="1">
        <f t="array" ref="BC22">flatInterpolation($AG22,$S$4:$S$9,BB$5:BB$10)</f>
        <v>5.8333333333333336E-3</v>
      </c>
      <c r="BD22" s="26">
        <f t="shared" ref="BD22" si="179">EXP(-BC22*YearFraction)*BD21</f>
        <v>0.97409153628178158</v>
      </c>
      <c r="BE22" s="122">
        <f t="shared" si="15"/>
        <v>1.4215864786066845E-3</v>
      </c>
    </row>
    <row r="23" spans="3:57" ht="16.8" x14ac:dyDescent="0.35">
      <c r="K23" t="s">
        <v>44</v>
      </c>
      <c r="N23" s="1"/>
      <c r="O23" s="57">
        <v>1E-8</v>
      </c>
      <c r="Q23" s="58">
        <f>SQRT(SUMPRODUCT(Q27:Q32,Q27:Q32))</f>
        <v>2.5323570230200253E-9</v>
      </c>
      <c r="S23" s="2" t="s">
        <v>156</v>
      </c>
      <c r="T23" s="2" t="s">
        <v>20</v>
      </c>
      <c r="X23" s="24">
        <f t="shared" ref="X23" si="180">X22+YearFraction</f>
        <v>4.75</v>
      </c>
      <c r="Y23" s="25" cm="1">
        <f t="array" ref="Y23">flatInterpolation(X23,$S$4:$S$9,$T$4:$T$9)</f>
        <v>5.8333333333333336E-3</v>
      </c>
      <c r="Z23" s="26">
        <f t="shared" ref="Z23" si="181">EXP(-Y23*YearFraction)*Z22</f>
        <v>0.97267202143918785</v>
      </c>
      <c r="AA23" s="26">
        <f t="shared" si="3"/>
        <v>1.4195148425937276E-3</v>
      </c>
      <c r="AB23" s="27" cm="1">
        <f t="array" ref="AB23">cubicInterpolation(CurveResults.Times,CurveResults.DFs,$X23)</f>
        <v>0.82262044965312253</v>
      </c>
      <c r="AG23" s="24">
        <f t="shared" ref="AG23" si="182">AG22+YearFraction</f>
        <v>4.75</v>
      </c>
      <c r="AI23" s="18" cm="1">
        <f t="array" ref="AI23">flatInterpolation($AG23,$S$4:$S$9,AH$5:AH$10)</f>
        <v>5.8333333333333336E-3</v>
      </c>
      <c r="AJ23" s="26">
        <f t="shared" ref="AJ23" si="183">EXP(-AI23*YearFraction)*AJ22</f>
        <v>0.97267192417199055</v>
      </c>
      <c r="AK23" s="122">
        <f t="shared" si="5"/>
        <v>1.419514700642277E-3</v>
      </c>
      <c r="AL23" s="116"/>
      <c r="AM23" s="18" cm="1">
        <f t="array" ref="AM23">flatInterpolation($AG23,$S$4:$S$9,AL$5:AL$10)</f>
        <v>5.8333333333333336E-3</v>
      </c>
      <c r="AN23" s="26">
        <f t="shared" ref="AN23" si="184">EXP(-AM23*YearFraction)*AN22</f>
        <v>0.97267192417199044</v>
      </c>
      <c r="AO23" s="122">
        <f t="shared" si="7"/>
        <v>1.419514700642277E-3</v>
      </c>
      <c r="AP23" s="116"/>
      <c r="AQ23" s="18" cm="1">
        <f t="array" ref="AQ23">flatInterpolation($AG23,$S$4:$S$9,AP$5:AP$10)</f>
        <v>5.8333333333333336E-3</v>
      </c>
      <c r="AR23" s="26">
        <f t="shared" ref="AR23" si="185">EXP(-AQ23*YearFraction)*AR22</f>
        <v>0.97267192417199033</v>
      </c>
      <c r="AS23" s="122">
        <f t="shared" si="9"/>
        <v>1.419514700642277E-3</v>
      </c>
      <c r="AT23" s="116"/>
      <c r="AU23" s="18" cm="1">
        <f t="array" ref="AU23">flatInterpolation($AG23,$S$4:$S$9,AT$5:AT$10)</f>
        <v>5.8333333333333336E-3</v>
      </c>
      <c r="AV23" s="26">
        <f t="shared" ref="AV23" si="186">EXP(-AU23*YearFraction)*AV22</f>
        <v>0.97267192417199033</v>
      </c>
      <c r="AW23" s="122">
        <f t="shared" si="11"/>
        <v>1.419514700642277E-3</v>
      </c>
      <c r="AX23" s="116"/>
      <c r="AY23" s="18" cm="1">
        <f t="array" ref="AY23">flatInterpolation($AG23,$S$4:$S$9,AX$5:AX$10)</f>
        <v>5.8334333333333339E-3</v>
      </c>
      <c r="AZ23" s="26">
        <f t="shared" ref="AZ23" si="187">EXP(-AY23*YearFraction)*AZ22</f>
        <v>0.9726719484887888</v>
      </c>
      <c r="BA23" s="122">
        <f t="shared" si="13"/>
        <v>1.4195390884170767E-3</v>
      </c>
      <c r="BB23" s="116"/>
      <c r="BC23" s="18" cm="1">
        <f t="array" ref="BC23">flatInterpolation($AG23,$S$4:$S$9,BB$5:BB$10)</f>
        <v>5.8333333333333336E-3</v>
      </c>
      <c r="BD23" s="26">
        <f t="shared" ref="BD23" si="188">EXP(-BC23*YearFraction)*BD22</f>
        <v>0.97267202143918785</v>
      </c>
      <c r="BE23" s="122">
        <f t="shared" si="15"/>
        <v>1.4195148425937276E-3</v>
      </c>
    </row>
    <row r="24" spans="3:57" x14ac:dyDescent="0.3">
      <c r="S24" s="17">
        <v>0</v>
      </c>
      <c r="T24" s="18" cm="1">
        <f t="array" ref="T24">flatInterpolation(S24,Calibration.Times,Calibration.HazardRates)</f>
        <v>5.8333333333333336E-3</v>
      </c>
      <c r="X24" s="24">
        <f t="shared" ref="X24" si="189">X23+YearFraction</f>
        <v>5</v>
      </c>
      <c r="Y24" s="25" cm="1">
        <f t="array" ref="Y24">flatInterpolation(X24,$S$4:$S$9,$T$4:$T$9)</f>
        <v>5.8333333333333336E-3</v>
      </c>
      <c r="Z24" s="26">
        <f t="shared" ref="Z24" si="190">EXP(-Y24*YearFraction)*Z23</f>
        <v>0.97125457521367298</v>
      </c>
      <c r="AA24" s="26">
        <f t="shared" si="3"/>
        <v>1.4174462255148734E-3</v>
      </c>
      <c r="AB24" s="27" cm="1">
        <f t="array" ref="AB24">cubicInterpolation(CurveResults.Times,CurveResults.DFs,$X24)</f>
        <v>0.81496171728417521</v>
      </c>
      <c r="AG24" s="24">
        <f t="shared" ref="AG24" si="191">AG23+YearFraction</f>
        <v>5</v>
      </c>
      <c r="AI24" s="18" cm="1">
        <f t="array" ref="AI24">flatInterpolation($AG24,$S$4:$S$9,AH$5:AH$10)</f>
        <v>5.8333333333333336E-3</v>
      </c>
      <c r="AJ24" s="26">
        <f t="shared" ref="AJ24" si="192">EXP(-AI24*YearFraction)*AJ23</f>
        <v>0.9712544780882203</v>
      </c>
      <c r="AK24" s="122">
        <f t="shared" si="5"/>
        <v>1.4174460837702574E-3</v>
      </c>
      <c r="AL24" s="116"/>
      <c r="AM24" s="18" cm="1">
        <f t="array" ref="AM24">flatInterpolation($AG24,$S$4:$S$9,AL$5:AL$10)</f>
        <v>5.8333333333333336E-3</v>
      </c>
      <c r="AN24" s="26">
        <f t="shared" ref="AN24" si="193">EXP(-AM24*YearFraction)*AN23</f>
        <v>0.97125447808822019</v>
      </c>
      <c r="AO24" s="122">
        <f t="shared" si="7"/>
        <v>1.4174460837702574E-3</v>
      </c>
      <c r="AP24" s="116"/>
      <c r="AQ24" s="18" cm="1">
        <f t="array" ref="AQ24">flatInterpolation($AG24,$S$4:$S$9,AP$5:AP$10)</f>
        <v>5.8333333333333336E-3</v>
      </c>
      <c r="AR24" s="26">
        <f t="shared" ref="AR24" si="194">EXP(-AQ24*YearFraction)*AR23</f>
        <v>0.97125447808822007</v>
      </c>
      <c r="AS24" s="122">
        <f t="shared" si="9"/>
        <v>1.4174460837702574E-3</v>
      </c>
      <c r="AT24" s="116"/>
      <c r="AU24" s="18" cm="1">
        <f t="array" ref="AU24">flatInterpolation($AG24,$S$4:$S$9,AT$5:AT$10)</f>
        <v>5.8333333333333336E-3</v>
      </c>
      <c r="AV24" s="26">
        <f t="shared" ref="AV24" si="195">EXP(-AU24*YearFraction)*AV23</f>
        <v>0.97125447808822007</v>
      </c>
      <c r="AW24" s="122">
        <f t="shared" si="11"/>
        <v>1.4174460837702574E-3</v>
      </c>
      <c r="AX24" s="116"/>
      <c r="AY24" s="18" cm="1">
        <f t="array" ref="AY24">flatInterpolation($AG24,$S$4:$S$9,AX$5:AX$10)</f>
        <v>5.8334333333333339E-3</v>
      </c>
      <c r="AZ24" s="26">
        <f t="shared" ref="AZ24" si="196">EXP(-AY24*YearFraction)*AZ23</f>
        <v>0.97125447808822007</v>
      </c>
      <c r="BA24" s="122">
        <f t="shared" si="13"/>
        <v>1.4174704005687211E-3</v>
      </c>
      <c r="BB24" s="116"/>
      <c r="BC24" s="18" cm="1">
        <f t="array" ref="BC24">flatInterpolation($AG24,$S$4:$S$9,BB$5:BB$10)</f>
        <v>5.8333333333333336E-3</v>
      </c>
      <c r="BD24" s="26">
        <f t="shared" ref="BD24" si="197">EXP(-BC24*YearFraction)*BD23</f>
        <v>0.97125457521367298</v>
      </c>
      <c r="BE24" s="122">
        <f t="shared" si="15"/>
        <v>1.4174462255148734E-3</v>
      </c>
    </row>
    <row r="25" spans="3:57" x14ac:dyDescent="0.3">
      <c r="K25" s="43" t="s">
        <v>338</v>
      </c>
      <c r="M25" s="1"/>
      <c r="O25" s="164" t="s">
        <v>146</v>
      </c>
      <c r="R25" s="2"/>
      <c r="S25" s="17">
        <v>1</v>
      </c>
      <c r="T25" s="18" cm="1">
        <f t="array" ref="T25">flatInterpolation(S25,Calibration.Times,Calibration.HazardRates)</f>
        <v>5.8333333333333336E-3</v>
      </c>
      <c r="X25" s="24">
        <f t="shared" ref="X25" si="198">X24+YearFraction</f>
        <v>5.25</v>
      </c>
      <c r="Y25" s="25" cm="1">
        <f t="array" ref="Y25">flatInterpolation(X25,$S$4:$S$9,$T$4:$T$9)</f>
        <v>5.8333333333333336E-3</v>
      </c>
      <c r="Z25" s="26">
        <f t="shared" ref="Z25" si="199">EXP(-Y25*YearFraction)*Z24</f>
        <v>0.96983919459070234</v>
      </c>
      <c r="AA25" s="26">
        <f t="shared" si="3"/>
        <v>1.4153806229706412E-3</v>
      </c>
      <c r="AB25" s="27" cm="1">
        <f t="array" ref="AB25">cubicInterpolation(CurveResults.Times,CurveResults.DFs,$X25)</f>
        <v>0.80737798558678209</v>
      </c>
      <c r="AG25" s="24">
        <f t="shared" ref="AG25" si="200">AG24+YearFraction</f>
        <v>5.25</v>
      </c>
      <c r="AI25" s="18" cm="1">
        <f t="array" ref="AI25">flatInterpolation($AG25,$S$4:$S$9,AH$5:AH$10)</f>
        <v>5.8333333333333336E-3</v>
      </c>
      <c r="AJ25" s="26">
        <f t="shared" ref="AJ25" si="201">EXP(-AI25*YearFraction)*AJ24</f>
        <v>0.96983909760678777</v>
      </c>
      <c r="AK25" s="122">
        <f t="shared" si="5"/>
        <v>1.4153804814325266E-3</v>
      </c>
      <c r="AL25" s="116"/>
      <c r="AM25" s="18" cm="1">
        <f t="array" ref="AM25">flatInterpolation($AG25,$S$4:$S$9,AL$5:AL$10)</f>
        <v>5.8333333333333336E-3</v>
      </c>
      <c r="AN25" s="26">
        <f t="shared" ref="AN25" si="202">EXP(-AM25*YearFraction)*AN24</f>
        <v>0.96983909760678766</v>
      </c>
      <c r="AO25" s="122">
        <f t="shared" si="7"/>
        <v>1.4153804814325266E-3</v>
      </c>
      <c r="AP25" s="116"/>
      <c r="AQ25" s="18" cm="1">
        <f t="array" ref="AQ25">flatInterpolation($AG25,$S$4:$S$9,AP$5:AP$10)</f>
        <v>5.8333333333333336E-3</v>
      </c>
      <c r="AR25" s="26">
        <f t="shared" ref="AR25" si="203">EXP(-AQ25*YearFraction)*AR24</f>
        <v>0.96983909760678755</v>
      </c>
      <c r="AS25" s="122">
        <f t="shared" si="9"/>
        <v>1.4153804814325266E-3</v>
      </c>
      <c r="AT25" s="116"/>
      <c r="AU25" s="18" cm="1">
        <f t="array" ref="AU25">flatInterpolation($AG25,$S$4:$S$9,AT$5:AT$10)</f>
        <v>5.8333333333333336E-3</v>
      </c>
      <c r="AV25" s="26">
        <f t="shared" ref="AV25" si="204">EXP(-AU25*YearFraction)*AV24</f>
        <v>0.96983909760678755</v>
      </c>
      <c r="AW25" s="122">
        <f t="shared" si="11"/>
        <v>1.4153804814325266E-3</v>
      </c>
      <c r="AX25" s="116"/>
      <c r="AY25" s="18" cm="1">
        <f t="array" ref="AY25">flatInterpolation($AG25,$S$4:$S$9,AX$5:AX$10)</f>
        <v>5.8333333333333336E-3</v>
      </c>
      <c r="AZ25" s="26">
        <f t="shared" ref="AZ25" si="205">EXP(-AY25*YearFraction)*AZ24</f>
        <v>0.96983909760678755</v>
      </c>
      <c r="BA25" s="122">
        <f t="shared" si="13"/>
        <v>1.4153804814325266E-3</v>
      </c>
      <c r="BB25" s="116"/>
      <c r="BC25" s="18" cm="1">
        <f t="array" ref="BC25">flatInterpolation($AG25,$S$4:$S$9,BB$5:BB$10)</f>
        <v>5.8334333333333339E-3</v>
      </c>
      <c r="BD25" s="26">
        <f t="shared" ref="BD25" si="206">EXP(-BC25*YearFraction)*BD24</f>
        <v>0.96983917034472278</v>
      </c>
      <c r="BE25" s="122">
        <f t="shared" si="15"/>
        <v>1.4154048689501986E-3</v>
      </c>
    </row>
    <row r="26" spans="3:57" ht="15.6" x14ac:dyDescent="0.3">
      <c r="K26" s="54" t="s">
        <v>10</v>
      </c>
      <c r="L26" s="54" t="s">
        <v>21</v>
      </c>
      <c r="M26" s="54" t="s">
        <v>45</v>
      </c>
      <c r="N26" s="54" t="s">
        <v>46</v>
      </c>
      <c r="O26" s="2" t="s">
        <v>31</v>
      </c>
      <c r="P26" s="54" t="s">
        <v>47</v>
      </c>
      <c r="Q26" s="59" t="s">
        <v>29</v>
      </c>
      <c r="S26" s="17">
        <f>S25+0.01</f>
        <v>1.01</v>
      </c>
      <c r="T26" s="18" cm="1">
        <f t="array" ref="T26">flatInterpolation(S26,Calibration.Times,Calibration.HazardRates)</f>
        <v>5.8333333333333336E-3</v>
      </c>
      <c r="X26" s="24">
        <f t="shared" ref="X26" si="207">X25+YearFraction</f>
        <v>5.5</v>
      </c>
      <c r="Y26" s="25" cm="1">
        <f t="array" ref="Y26">flatInterpolation(X26,$S$4:$S$9,$T$4:$T$9)</f>
        <v>5.8333333333333336E-3</v>
      </c>
      <c r="Z26" s="26">
        <f t="shared" ref="Z26" si="208">EXP(-Y26*YearFraction)*Z25</f>
        <v>0.96842587656013435</v>
      </c>
      <c r="AA26" s="26">
        <f t="shared" si="3"/>
        <v>1.4133180305679893E-3</v>
      </c>
      <c r="AB26" s="27" cm="1">
        <f t="array" ref="AB26">cubicInterpolation(CurveResults.Times,CurveResults.DFs,$X26)</f>
        <v>0.79988180597213521</v>
      </c>
      <c r="AG26" s="24">
        <f t="shared" ref="AG26" si="209">AG25+YearFraction</f>
        <v>5.5</v>
      </c>
      <c r="AI26" s="18" cm="1">
        <f t="array" ref="AI26">flatInterpolation($AG26,$S$4:$S$9,AH$5:AH$10)</f>
        <v>5.8333333333333336E-3</v>
      </c>
      <c r="AJ26" s="26">
        <f t="shared" ref="AJ26" si="210">EXP(-AI26*YearFraction)*AJ25</f>
        <v>0.96842577971755162</v>
      </c>
      <c r="AK26" s="122">
        <f t="shared" si="5"/>
        <v>1.4133178892361542E-3</v>
      </c>
      <c r="AL26" s="116"/>
      <c r="AM26" s="18" cm="1">
        <f t="array" ref="AM26">flatInterpolation($AG26,$S$4:$S$9,AL$5:AL$10)</f>
        <v>5.8333333333333336E-3</v>
      </c>
      <c r="AN26" s="26">
        <f t="shared" ref="AN26" si="211">EXP(-AM26*YearFraction)*AN25</f>
        <v>0.9684257797175515</v>
      </c>
      <c r="AO26" s="122">
        <f t="shared" si="7"/>
        <v>1.4133178892361542E-3</v>
      </c>
      <c r="AP26" s="116"/>
      <c r="AQ26" s="18" cm="1">
        <f t="array" ref="AQ26">flatInterpolation($AG26,$S$4:$S$9,AP$5:AP$10)</f>
        <v>5.8333333333333336E-3</v>
      </c>
      <c r="AR26" s="26">
        <f t="shared" ref="AR26" si="212">EXP(-AQ26*YearFraction)*AR25</f>
        <v>0.96842577971755139</v>
      </c>
      <c r="AS26" s="122">
        <f t="shared" si="9"/>
        <v>1.4133178892361542E-3</v>
      </c>
      <c r="AT26" s="116"/>
      <c r="AU26" s="18" cm="1">
        <f t="array" ref="AU26">flatInterpolation($AG26,$S$4:$S$9,AT$5:AT$10)</f>
        <v>5.8333333333333336E-3</v>
      </c>
      <c r="AV26" s="26">
        <f t="shared" ref="AV26" si="213">EXP(-AU26*YearFraction)*AV25</f>
        <v>0.96842577971755139</v>
      </c>
      <c r="AW26" s="122">
        <f t="shared" si="11"/>
        <v>1.4133178892361542E-3</v>
      </c>
      <c r="AX26" s="116"/>
      <c r="AY26" s="18" cm="1">
        <f t="array" ref="AY26">flatInterpolation($AG26,$S$4:$S$9,AX$5:AX$10)</f>
        <v>5.8333333333333336E-3</v>
      </c>
      <c r="AZ26" s="26">
        <f t="shared" ref="AZ26" si="214">EXP(-AY26*YearFraction)*AZ25</f>
        <v>0.96842577971755139</v>
      </c>
      <c r="BA26" s="122">
        <f t="shared" si="13"/>
        <v>1.4133178892361542E-3</v>
      </c>
      <c r="BB26" s="116"/>
      <c r="BC26" s="18" cm="1">
        <f t="array" ref="BC26">flatInterpolation($AG26,$S$4:$S$9,BB$5:BB$10)</f>
        <v>5.8334333333333339E-3</v>
      </c>
      <c r="BD26" s="26">
        <f t="shared" ref="BD26" si="215">EXP(-BC26*YearFraction)*BD25</f>
        <v>0.9684258281388417</v>
      </c>
      <c r="BE26" s="122">
        <f t="shared" si="15"/>
        <v>1.4133422058810741E-3</v>
      </c>
    </row>
    <row r="27" spans="3:57" x14ac:dyDescent="0.3">
      <c r="K27" s="62" t="s">
        <v>11</v>
      </c>
      <c r="L27" s="63">
        <v>1</v>
      </c>
      <c r="M27" s="64" cm="1">
        <f t="array" ref="M27:M32">N27:N32-MMULT(K64:P69,P27:P32)</f>
        <v>5.8333343671637637E-3</v>
      </c>
      <c r="N27" s="65">
        <v>5.8333333333333336E-3</v>
      </c>
      <c r="O27" s="66">
        <f t="shared" ref="O27" si="216">Q4/(1-RecoveryRate)</f>
        <v>5.8333333333333336E-3</v>
      </c>
      <c r="P27" s="65">
        <f t="shared" ref="P27:P32" si="217">V14</f>
        <v>-6.2029792934070738E-10</v>
      </c>
      <c r="Q27" s="83">
        <f t="shared" ref="Q27:Q32" si="218">M27-N27</f>
        <v>1.0338304301180101E-9</v>
      </c>
      <c r="S27" s="17">
        <f>S5</f>
        <v>2</v>
      </c>
      <c r="T27" s="18" cm="1">
        <f t="array" ref="T27">flatInterpolation(S27,Calibration.Times,Calibration.HazardRates)</f>
        <v>5.8333333333333336E-3</v>
      </c>
      <c r="X27" s="24">
        <f t="shared" ref="X27" si="219">X26+YearFraction</f>
        <v>5.75</v>
      </c>
      <c r="Y27" s="25" cm="1">
        <f t="array" ref="Y27">flatInterpolation(X27,$S$4:$S$9,$T$4:$T$9)</f>
        <v>5.8333333333333336E-3</v>
      </c>
      <c r="Z27" s="26">
        <f t="shared" ref="Z27" si="220">EXP(-Y27*YearFraction)*Z26</f>
        <v>0.96701461811621403</v>
      </c>
      <c r="AA27" s="26">
        <f t="shared" si="3"/>
        <v>1.4112584439203157E-3</v>
      </c>
      <c r="AB27" s="27" cm="1">
        <f t="array" ref="AB27">cubicInterpolation(CurveResults.Times,CurveResults.DFs,$X27)</f>
        <v>0.79246475287440499</v>
      </c>
      <c r="AG27" s="24">
        <f t="shared" ref="AG27" si="221">AG26+YearFraction</f>
        <v>5.75</v>
      </c>
      <c r="AI27" s="18" cm="1">
        <f t="array" ref="AI27">flatInterpolation($AG27,$S$4:$S$9,AH$5:AH$10)</f>
        <v>5.8333333333333336E-3</v>
      </c>
      <c r="AJ27" s="26">
        <f t="shared" ref="AJ27" si="222">EXP(-AI27*YearFraction)*AJ26</f>
        <v>0.96701452141475719</v>
      </c>
      <c r="AK27" s="122">
        <f t="shared" si="5"/>
        <v>1.411258302794427E-3</v>
      </c>
      <c r="AL27" s="116"/>
      <c r="AM27" s="18" cm="1">
        <f t="array" ref="AM27">flatInterpolation($AG27,$S$4:$S$9,AL$5:AL$10)</f>
        <v>5.8333333333333336E-3</v>
      </c>
      <c r="AN27" s="26">
        <f t="shared" ref="AN27" si="223">EXP(-AM27*YearFraction)*AN26</f>
        <v>0.96701452141475708</v>
      </c>
      <c r="AO27" s="122">
        <f t="shared" si="7"/>
        <v>1.411258302794427E-3</v>
      </c>
      <c r="AP27" s="116"/>
      <c r="AQ27" s="18" cm="1">
        <f t="array" ref="AQ27">flatInterpolation($AG27,$S$4:$S$9,AP$5:AP$10)</f>
        <v>5.8333333333333336E-3</v>
      </c>
      <c r="AR27" s="26">
        <f t="shared" ref="AR27" si="224">EXP(-AQ27*YearFraction)*AR26</f>
        <v>0.96701452141475697</v>
      </c>
      <c r="AS27" s="122">
        <f t="shared" si="9"/>
        <v>1.411258302794427E-3</v>
      </c>
      <c r="AT27" s="116"/>
      <c r="AU27" s="18" cm="1">
        <f t="array" ref="AU27">flatInterpolation($AG27,$S$4:$S$9,AT$5:AT$10)</f>
        <v>5.8333333333333336E-3</v>
      </c>
      <c r="AV27" s="26">
        <f t="shared" ref="AV27" si="225">EXP(-AU27*YearFraction)*AV26</f>
        <v>0.96701452141475697</v>
      </c>
      <c r="AW27" s="122">
        <f t="shared" si="11"/>
        <v>1.411258302794427E-3</v>
      </c>
      <c r="AX27" s="116"/>
      <c r="AY27" s="18" cm="1">
        <f t="array" ref="AY27">flatInterpolation($AG27,$S$4:$S$9,AX$5:AX$10)</f>
        <v>5.8333333333333336E-3</v>
      </c>
      <c r="AZ27" s="26">
        <f t="shared" ref="AZ27" si="226">EXP(-AY27*YearFraction)*AZ26</f>
        <v>0.96701452141475697</v>
      </c>
      <c r="BA27" s="122">
        <f t="shared" si="13"/>
        <v>1.411258302794427E-3</v>
      </c>
      <c r="BB27" s="116"/>
      <c r="BC27" s="18" cm="1">
        <f t="array" ref="BC27">flatInterpolation($AG27,$S$4:$S$9,BB$5:BB$10)</f>
        <v>5.8334333333333339E-3</v>
      </c>
      <c r="BD27" s="26">
        <f t="shared" ref="BD27" si="227">EXP(-BC27*YearFraction)*BD26</f>
        <v>0.96701454559012034</v>
      </c>
      <c r="BE27" s="122">
        <f t="shared" si="15"/>
        <v>1.4112825487213598E-3</v>
      </c>
    </row>
    <row r="28" spans="3:57" x14ac:dyDescent="0.3">
      <c r="K28" s="67" t="s">
        <v>12</v>
      </c>
      <c r="L28" s="17">
        <v>2</v>
      </c>
      <c r="M28" s="60">
        <v>5.8333343671636735E-3</v>
      </c>
      <c r="N28" s="45">
        <v>5.8333333333333336E-3</v>
      </c>
      <c r="O28" s="61">
        <f t="shared" ref="O28" si="228">Q5/(1-RecoveryRate)</f>
        <v>5.8333333333333336E-3</v>
      </c>
      <c r="P28" s="45">
        <f t="shared" si="217"/>
        <v>-6.2029790288617437E-10</v>
      </c>
      <c r="Q28" s="84">
        <f t="shared" si="218"/>
        <v>1.0338303399123894E-9</v>
      </c>
      <c r="S28" s="17">
        <f>S27+0.01</f>
        <v>2.0099999999999998</v>
      </c>
      <c r="T28" s="18" cm="1">
        <f t="array" ref="T28">flatInterpolation(S28,Calibration.Times,Calibration.HazardRates)</f>
        <v>5.8333333333333336E-3</v>
      </c>
      <c r="X28" s="24">
        <f t="shared" ref="X28" si="229">X27+YearFraction</f>
        <v>6</v>
      </c>
      <c r="Y28" s="25" cm="1">
        <f t="array" ref="Y28">flatInterpolation(X28,$S$4:$S$9,$T$4:$T$9)</f>
        <v>5.8333333333333336E-3</v>
      </c>
      <c r="Z28" s="26">
        <f t="shared" ref="Z28" si="230">EXP(-Y28*YearFraction)*Z27</f>
        <v>0.96560541625756657</v>
      </c>
      <c r="AA28" s="26">
        <f t="shared" si="3"/>
        <v>1.4092018586474575E-3</v>
      </c>
      <c r="AB28" s="27" cm="1">
        <f t="array" ref="AB28">cubicInterpolation(CurveResults.Times,CurveResults.DFs,$X28)</f>
        <v>0.78511840072776184</v>
      </c>
      <c r="AG28" s="24">
        <f t="shared" ref="AG28" si="231">AG27+YearFraction</f>
        <v>6</v>
      </c>
      <c r="AI28" s="18" cm="1">
        <f t="array" ref="AI28">flatInterpolation($AG28,$S$4:$S$9,AH$5:AH$10)</f>
        <v>5.8333333333333336E-3</v>
      </c>
      <c r="AJ28" s="26">
        <f t="shared" ref="AJ28" si="232">EXP(-AI28*YearFraction)*AJ27</f>
        <v>0.9656053196970299</v>
      </c>
      <c r="AK28" s="122">
        <f t="shared" si="5"/>
        <v>1.4092017177272931E-3</v>
      </c>
      <c r="AL28" s="116"/>
      <c r="AM28" s="18" cm="1">
        <f t="array" ref="AM28">flatInterpolation($AG28,$S$4:$S$9,AL$5:AL$10)</f>
        <v>5.8333333333333336E-3</v>
      </c>
      <c r="AN28" s="26">
        <f t="shared" ref="AN28" si="233">EXP(-AM28*YearFraction)*AN27</f>
        <v>0.96560531969702978</v>
      </c>
      <c r="AO28" s="122">
        <f t="shared" si="7"/>
        <v>1.4092017177272931E-3</v>
      </c>
      <c r="AP28" s="116"/>
      <c r="AQ28" s="18" cm="1">
        <f t="array" ref="AQ28">flatInterpolation($AG28,$S$4:$S$9,AP$5:AP$10)</f>
        <v>5.8333333333333336E-3</v>
      </c>
      <c r="AR28" s="26">
        <f t="shared" ref="AR28" si="234">EXP(-AQ28*YearFraction)*AR27</f>
        <v>0.96560531969702967</v>
      </c>
      <c r="AS28" s="122">
        <f t="shared" si="9"/>
        <v>1.4092017177272931E-3</v>
      </c>
      <c r="AT28" s="116"/>
      <c r="AU28" s="18" cm="1">
        <f t="array" ref="AU28">flatInterpolation($AG28,$S$4:$S$9,AT$5:AT$10)</f>
        <v>5.8333333333333336E-3</v>
      </c>
      <c r="AV28" s="26">
        <f t="shared" ref="AV28" si="235">EXP(-AU28*YearFraction)*AV27</f>
        <v>0.96560531969702967</v>
      </c>
      <c r="AW28" s="122">
        <f t="shared" si="11"/>
        <v>1.4092017177272931E-3</v>
      </c>
      <c r="AX28" s="116"/>
      <c r="AY28" s="18" cm="1">
        <f t="array" ref="AY28">flatInterpolation($AG28,$S$4:$S$9,AX$5:AX$10)</f>
        <v>5.8333333333333336E-3</v>
      </c>
      <c r="AZ28" s="26">
        <f t="shared" ref="AZ28" si="236">EXP(-AY28*YearFraction)*AZ27</f>
        <v>0.96560531969702967</v>
      </c>
      <c r="BA28" s="122">
        <f t="shared" si="13"/>
        <v>1.4092017177272931E-3</v>
      </c>
      <c r="BB28" s="116"/>
      <c r="BC28" s="18" cm="1">
        <f t="array" ref="BC28">flatInterpolation($AG28,$S$4:$S$9,BB$5:BB$10)</f>
        <v>5.8334333333333339E-3</v>
      </c>
      <c r="BD28" s="26">
        <f t="shared" ref="BD28" si="237">EXP(-BC28*YearFraction)*BD27</f>
        <v>0.96560531969702956</v>
      </c>
      <c r="BE28" s="122">
        <f t="shared" si="15"/>
        <v>1.4092258930907819E-3</v>
      </c>
    </row>
    <row r="29" spans="3:57" x14ac:dyDescent="0.3">
      <c r="K29" s="67" t="s">
        <v>13</v>
      </c>
      <c r="L29" s="17">
        <v>3</v>
      </c>
      <c r="M29" s="60">
        <v>5.8333343671637524E-3</v>
      </c>
      <c r="N29" s="45">
        <v>5.8333333333333336E-3</v>
      </c>
      <c r="O29" s="61">
        <f t="shared" ref="O29" si="238">Q6/(1-RecoveryRate)</f>
        <v>5.8333333333333336E-3</v>
      </c>
      <c r="P29" s="45">
        <f t="shared" si="217"/>
        <v>-6.202979093913874E-10</v>
      </c>
      <c r="Q29" s="84">
        <f t="shared" si="218"/>
        <v>1.0338304188423075E-9</v>
      </c>
      <c r="S29" s="17">
        <f>S6</f>
        <v>3</v>
      </c>
      <c r="T29" s="18" cm="1">
        <f t="array" ref="T29">flatInterpolation(S29,Calibration.Times,Calibration.HazardRates)</f>
        <v>5.8333333333333336E-3</v>
      </c>
      <c r="X29" s="24">
        <f t="shared" ref="X29" si="239">X28+YearFraction</f>
        <v>6.25</v>
      </c>
      <c r="Y29" s="25" cm="1">
        <f t="array" ref="Y29">flatInterpolation(X29,$S$4:$S$9,$T$4:$T$9)</f>
        <v>5.8333333333333336E-3</v>
      </c>
      <c r="Z29" s="26">
        <f t="shared" ref="Z29" si="240">EXP(-Y29*YearFraction)*Z28</f>
        <v>0.96419826798719088</v>
      </c>
      <c r="AA29" s="26">
        <f t="shared" si="3"/>
        <v>1.407148270375691E-3</v>
      </c>
      <c r="AB29" s="27" cm="1">
        <f t="array" ref="AB29">cubicInterpolation(CurveResults.Times,CurveResults.DFs,$X29)</f>
        <v>0.77784547446757579</v>
      </c>
      <c r="AG29" s="24">
        <f t="shared" ref="AG29" si="241">AG28+YearFraction</f>
        <v>6.25</v>
      </c>
      <c r="AI29" s="18" cm="1">
        <f t="array" ref="AI29">flatInterpolation($AG29,$S$4:$S$9,AH$5:AH$10)</f>
        <v>5.8333333333333336E-3</v>
      </c>
      <c r="AJ29" s="26">
        <f t="shared" ref="AJ29" si="242">EXP(-AI29*YearFraction)*AJ28</f>
        <v>0.96419817156736898</v>
      </c>
      <c r="AK29" s="122">
        <f t="shared" si="5"/>
        <v>1.4071481296609178E-3</v>
      </c>
      <c r="AL29" s="116"/>
      <c r="AM29" s="18" cm="1">
        <f t="array" ref="AM29">flatInterpolation($AG29,$S$4:$S$9,AL$5:AL$10)</f>
        <v>5.8333333333333336E-3</v>
      </c>
      <c r="AN29" s="26">
        <f t="shared" ref="AN29" si="243">EXP(-AM29*YearFraction)*AN28</f>
        <v>0.96419817156736887</v>
      </c>
      <c r="AO29" s="122">
        <f t="shared" si="7"/>
        <v>1.4071481296609178E-3</v>
      </c>
      <c r="AP29" s="116"/>
      <c r="AQ29" s="18" cm="1">
        <f t="array" ref="AQ29">flatInterpolation($AG29,$S$4:$S$9,AP$5:AP$10)</f>
        <v>5.8333333333333336E-3</v>
      </c>
      <c r="AR29" s="26">
        <f t="shared" ref="AR29" si="244">EXP(-AQ29*YearFraction)*AR28</f>
        <v>0.96419817156736876</v>
      </c>
      <c r="AS29" s="122">
        <f t="shared" si="9"/>
        <v>1.4071481296609178E-3</v>
      </c>
      <c r="AT29" s="116"/>
      <c r="AU29" s="18" cm="1">
        <f t="array" ref="AU29">flatInterpolation($AG29,$S$4:$S$9,AT$5:AT$10)</f>
        <v>5.8333333333333336E-3</v>
      </c>
      <c r="AV29" s="26">
        <f t="shared" ref="AV29" si="245">EXP(-AU29*YearFraction)*AV28</f>
        <v>0.96419817156736876</v>
      </c>
      <c r="AW29" s="122">
        <f t="shared" si="11"/>
        <v>1.4071481296609178E-3</v>
      </c>
      <c r="AX29" s="116"/>
      <c r="AY29" s="18" cm="1">
        <f t="array" ref="AY29">flatInterpolation($AG29,$S$4:$S$9,AX$5:AX$10)</f>
        <v>5.8333333333333336E-3</v>
      </c>
      <c r="AZ29" s="26">
        <f t="shared" ref="AZ29" si="246">EXP(-AY29*YearFraction)*AZ28</f>
        <v>0.96419817156736876</v>
      </c>
      <c r="BA29" s="122">
        <f t="shared" si="13"/>
        <v>1.4071481296609178E-3</v>
      </c>
      <c r="BB29" s="116"/>
      <c r="BC29" s="18" cm="1">
        <f t="array" ref="BC29">flatInterpolation($AG29,$S$4:$S$9,BB$5:BB$10)</f>
        <v>5.8334333333333339E-3</v>
      </c>
      <c r="BD29" s="26">
        <f t="shared" ref="BD29" si="247">EXP(-BC29*YearFraction)*BD28</f>
        <v>0.96419814746241461</v>
      </c>
      <c r="BE29" s="122">
        <f t="shared" si="15"/>
        <v>1.4071722346149507E-3</v>
      </c>
    </row>
    <row r="30" spans="3:57" x14ac:dyDescent="0.3">
      <c r="K30" s="67" t="s">
        <v>14</v>
      </c>
      <c r="L30" s="17">
        <v>4</v>
      </c>
      <c r="M30" s="60">
        <v>5.8333343671637195E-3</v>
      </c>
      <c r="N30" s="45">
        <v>5.8333333333333336E-3</v>
      </c>
      <c r="O30" s="61">
        <f t="shared" ref="O30" si="248">Q7/(1-RecoveryRate)</f>
        <v>5.8333333333333336E-3</v>
      </c>
      <c r="P30" s="45">
        <f t="shared" si="217"/>
        <v>-6.202979080903448E-10</v>
      </c>
      <c r="Q30" s="84">
        <f t="shared" si="218"/>
        <v>1.0338303858825615E-9</v>
      </c>
      <c r="S30" s="17">
        <f>S29+0.01</f>
        <v>3.01</v>
      </c>
      <c r="T30" s="18" cm="1">
        <f t="array" ref="T30">flatInterpolation(S30,Calibration.Times,Calibration.HazardRates)</f>
        <v>5.8333333333333336E-3</v>
      </c>
      <c r="X30" s="24">
        <f t="shared" ref="X30" si="249">X29+YearFraction</f>
        <v>6.5</v>
      </c>
      <c r="Y30" s="25" cm="1">
        <f t="array" ref="Y30">flatInterpolation(X30,$S$4:$S$9,$T$4:$T$9)</f>
        <v>5.8333333333333336E-3</v>
      </c>
      <c r="Z30" s="26">
        <f t="shared" ref="Z30" si="250">EXP(-Y30*YearFraction)*Z29</f>
        <v>0.96279317031245337</v>
      </c>
      <c r="AA30" s="26">
        <f t="shared" si="3"/>
        <v>1.4050976747375099E-3</v>
      </c>
      <c r="AB30" s="27" cm="1">
        <f t="array" ref="AB30">cubicInterpolation(CurveResults.Times,CurveResults.DFs,$X30)</f>
        <v>0.77064881047798106</v>
      </c>
      <c r="AG30" s="24">
        <f t="shared" ref="AG30" si="251">AG29+YearFraction</f>
        <v>6.5</v>
      </c>
      <c r="AI30" s="18" cm="1">
        <f t="array" ref="AI30">flatInterpolation($AG30,$S$4:$S$9,AH$5:AH$10)</f>
        <v>5.8333333333333336E-3</v>
      </c>
      <c r="AJ30" s="26">
        <f t="shared" ref="AJ30" si="252">EXP(-AI30*YearFraction)*AJ29</f>
        <v>0.96279307403314129</v>
      </c>
      <c r="AK30" s="122">
        <f t="shared" si="5"/>
        <v>1.4050975342276839E-3</v>
      </c>
      <c r="AL30" s="116"/>
      <c r="AM30" s="18" cm="1">
        <f t="array" ref="AM30">flatInterpolation($AG30,$S$4:$S$9,AL$5:AL$10)</f>
        <v>5.8333333333333336E-3</v>
      </c>
      <c r="AN30" s="26">
        <f t="shared" ref="AN30" si="253">EXP(-AM30*YearFraction)*AN29</f>
        <v>0.96279307403314118</v>
      </c>
      <c r="AO30" s="122">
        <f t="shared" si="7"/>
        <v>1.4050975342276839E-3</v>
      </c>
      <c r="AP30" s="116"/>
      <c r="AQ30" s="18" cm="1">
        <f t="array" ref="AQ30">flatInterpolation($AG30,$S$4:$S$9,AP$5:AP$10)</f>
        <v>5.8333333333333336E-3</v>
      </c>
      <c r="AR30" s="26">
        <f t="shared" ref="AR30" si="254">EXP(-AQ30*YearFraction)*AR29</f>
        <v>0.96279307403314107</v>
      </c>
      <c r="AS30" s="122">
        <f t="shared" si="9"/>
        <v>1.4050975342276839E-3</v>
      </c>
      <c r="AT30" s="116"/>
      <c r="AU30" s="18" cm="1">
        <f t="array" ref="AU30">flatInterpolation($AG30,$S$4:$S$9,AT$5:AT$10)</f>
        <v>5.8333333333333336E-3</v>
      </c>
      <c r="AV30" s="26">
        <f t="shared" ref="AV30" si="255">EXP(-AU30*YearFraction)*AV29</f>
        <v>0.96279307403314107</v>
      </c>
      <c r="AW30" s="122">
        <f t="shared" si="11"/>
        <v>1.4050975342276839E-3</v>
      </c>
      <c r="AX30" s="116"/>
      <c r="AY30" s="18" cm="1">
        <f t="array" ref="AY30">flatInterpolation($AG30,$S$4:$S$9,AX$5:AX$10)</f>
        <v>5.8333333333333336E-3</v>
      </c>
      <c r="AZ30" s="26">
        <f t="shared" ref="AZ30" si="256">EXP(-AY30*YearFraction)*AZ29</f>
        <v>0.96279307403314107</v>
      </c>
      <c r="BA30" s="122">
        <f t="shared" si="13"/>
        <v>1.4050975342276839E-3</v>
      </c>
      <c r="BB30" s="116"/>
      <c r="BC30" s="18" cm="1">
        <f t="array" ref="BC30">flatInterpolation($AG30,$S$4:$S$9,BB$5:BB$10)</f>
        <v>5.8334333333333339E-3</v>
      </c>
      <c r="BD30" s="26">
        <f t="shared" ref="BD30" si="257">EXP(-BC30*YearFraction)*BD29</f>
        <v>0.96279302589348825</v>
      </c>
      <c r="BE30" s="122">
        <f t="shared" si="15"/>
        <v>1.4051215689263596E-3</v>
      </c>
    </row>
    <row r="31" spans="3:57" x14ac:dyDescent="0.3">
      <c r="K31" s="67" t="s">
        <v>15</v>
      </c>
      <c r="L31" s="17">
        <v>5</v>
      </c>
      <c r="M31" s="60">
        <v>5.833334367163762E-3</v>
      </c>
      <c r="N31" s="45">
        <v>5.8333333333333336E-3</v>
      </c>
      <c r="O31" s="61">
        <f t="shared" ref="O31" si="258">Q8/(1-RecoveryRate)</f>
        <v>5.8333333333333336E-3</v>
      </c>
      <c r="P31" s="45">
        <f t="shared" si="217"/>
        <v>-6.2029791155979175E-10</v>
      </c>
      <c r="Q31" s="84">
        <f t="shared" si="218"/>
        <v>1.0338304283832866E-9</v>
      </c>
      <c r="S31" s="17">
        <f>S7</f>
        <v>4</v>
      </c>
      <c r="T31" s="18" cm="1">
        <f t="array" ref="T31">flatInterpolation(S31,Calibration.Times,Calibration.HazardRates)</f>
        <v>5.8333333333333336E-3</v>
      </c>
      <c r="X31" s="24">
        <f t="shared" ref="X31" si="259">X30+YearFraction</f>
        <v>6.75</v>
      </c>
      <c r="Y31" s="25" cm="1">
        <f t="array" ref="Y31">flatInterpolation(X31,$S$4:$S$9,$T$4:$T$9)</f>
        <v>5.8333333333333336E-3</v>
      </c>
      <c r="Z31" s="26">
        <f t="shared" ref="Z31" si="260">EXP(-Y31*YearFraction)*Z30</f>
        <v>0.96139012024508164</v>
      </c>
      <c r="AA31" s="26">
        <f t="shared" si="3"/>
        <v>1.4030500673717361E-3</v>
      </c>
      <c r="AB31" s="27" cm="1">
        <f t="array" ref="AB31">cubicInterpolation(CurveResults.Times,CurveResults.DFs,$X31)</f>
        <v>0.76352015036629473</v>
      </c>
      <c r="AG31" s="24">
        <f t="shared" ref="AG31" si="261">AG30+YearFraction</f>
        <v>6.75</v>
      </c>
      <c r="AI31" s="18" cm="1">
        <f t="array" ref="AI31">flatInterpolation($AG31,$S$4:$S$9,AH$5:AH$10)</f>
        <v>5.8333333333333336E-3</v>
      </c>
      <c r="AJ31" s="26">
        <f t="shared" ref="AJ31" si="262">EXP(-AI31*YearFraction)*AJ30</f>
        <v>0.96139002410607455</v>
      </c>
      <c r="AK31" s="122">
        <f t="shared" si="5"/>
        <v>1.4030499270667462E-3</v>
      </c>
      <c r="AL31" s="116"/>
      <c r="AM31" s="18" cm="1">
        <f t="array" ref="AM31">flatInterpolation($AG31,$S$4:$S$9,AL$5:AL$10)</f>
        <v>5.8333333333333336E-3</v>
      </c>
      <c r="AN31" s="26">
        <f t="shared" ref="AN31" si="263">EXP(-AM31*YearFraction)*AN30</f>
        <v>0.96139002410607444</v>
      </c>
      <c r="AO31" s="122">
        <f t="shared" si="7"/>
        <v>1.4030499270667462E-3</v>
      </c>
      <c r="AP31" s="116"/>
      <c r="AQ31" s="18" cm="1">
        <f t="array" ref="AQ31">flatInterpolation($AG31,$S$4:$S$9,AP$5:AP$10)</f>
        <v>5.8333333333333336E-3</v>
      </c>
      <c r="AR31" s="26">
        <f t="shared" ref="AR31" si="264">EXP(-AQ31*YearFraction)*AR30</f>
        <v>0.96139002410607433</v>
      </c>
      <c r="AS31" s="122">
        <f t="shared" si="9"/>
        <v>1.4030499270667462E-3</v>
      </c>
      <c r="AT31" s="116"/>
      <c r="AU31" s="18" cm="1">
        <f t="array" ref="AU31">flatInterpolation($AG31,$S$4:$S$9,AT$5:AT$10)</f>
        <v>5.8333333333333336E-3</v>
      </c>
      <c r="AV31" s="26">
        <f t="shared" ref="AV31" si="265">EXP(-AU31*YearFraction)*AV30</f>
        <v>0.96139002410607433</v>
      </c>
      <c r="AW31" s="122">
        <f t="shared" si="11"/>
        <v>1.4030499270667462E-3</v>
      </c>
      <c r="AX31" s="116"/>
      <c r="AY31" s="18" cm="1">
        <f t="array" ref="AY31">flatInterpolation($AG31,$S$4:$S$9,AX$5:AX$10)</f>
        <v>5.8333333333333336E-3</v>
      </c>
      <c r="AZ31" s="26">
        <f t="shared" ref="AZ31" si="266">EXP(-AY31*YearFraction)*AZ30</f>
        <v>0.96139002410607433</v>
      </c>
      <c r="BA31" s="122">
        <f t="shared" si="13"/>
        <v>1.4030499270667462E-3</v>
      </c>
      <c r="BB31" s="116"/>
      <c r="BC31" s="18" cm="1">
        <f t="array" ref="BC31">flatInterpolation($AG31,$S$4:$S$9,BB$5:BB$10)</f>
        <v>5.8334333333333339E-3</v>
      </c>
      <c r="BD31" s="26">
        <f t="shared" ref="BD31" si="267">EXP(-BC31*YearFraction)*BD30</f>
        <v>0.96138995200182487</v>
      </c>
      <c r="BE31" s="122">
        <f t="shared" si="15"/>
        <v>1.4030738916633867E-3</v>
      </c>
    </row>
    <row r="32" spans="3:57" x14ac:dyDescent="0.3">
      <c r="K32" s="68" t="s">
        <v>16</v>
      </c>
      <c r="L32" s="69">
        <v>10</v>
      </c>
      <c r="M32" s="70">
        <v>5.8333343671638834E-3</v>
      </c>
      <c r="N32" s="71">
        <v>5.8333333333333336E-3</v>
      </c>
      <c r="O32" s="72">
        <f t="shared" ref="O32" si="268">Q9/(1-RecoveryRate)</f>
        <v>5.8333333333333336E-3</v>
      </c>
      <c r="P32" s="71">
        <f t="shared" si="217"/>
        <v>-6.2029792240181347E-10</v>
      </c>
      <c r="Q32" s="85">
        <f t="shared" si="218"/>
        <v>1.03383054981393E-9</v>
      </c>
      <c r="S32" s="17">
        <f>S31+0.01</f>
        <v>4.01</v>
      </c>
      <c r="T32" s="18" cm="1">
        <f t="array" ref="T32">flatInterpolation(S32,Calibration.Times,Calibration.HazardRates)</f>
        <v>5.8333333333333336E-3</v>
      </c>
      <c r="X32" s="24">
        <f t="shared" ref="X32" si="269">X31+YearFraction</f>
        <v>7</v>
      </c>
      <c r="Y32" s="25" cm="1">
        <f t="array" ref="Y32">flatInterpolation(X32,$S$4:$S$9,$T$4:$T$9)</f>
        <v>5.8333333333333336E-3</v>
      </c>
      <c r="Z32" s="26">
        <f t="shared" ref="Z32" si="270">EXP(-Y32*YearFraction)*Z31</f>
        <v>0.95998911480115778</v>
      </c>
      <c r="AA32" s="26">
        <f t="shared" si="3"/>
        <v>1.4010054439238528E-3</v>
      </c>
      <c r="AB32" s="27" cm="1">
        <f t="array" ref="AB32">cubicInterpolation(CurveResults.Times,CurveResults.DFs,$X32)</f>
        <v>0.75645123573983353</v>
      </c>
      <c r="AG32" s="24">
        <f t="shared" ref="AG32" si="271">AG31+YearFraction</f>
        <v>7</v>
      </c>
      <c r="AI32" s="18" cm="1">
        <f t="array" ref="AI32">flatInterpolation($AG32,$S$4:$S$9,AH$5:AH$10)</f>
        <v>5.8333333333333336E-3</v>
      </c>
      <c r="AJ32" s="26">
        <f t="shared" ref="AJ32" si="272">EXP(-AI32*YearFraction)*AJ31</f>
        <v>0.95998901880225129</v>
      </c>
      <c r="AK32" s="122">
        <f t="shared" si="5"/>
        <v>1.4010053038232551E-3</v>
      </c>
      <c r="AL32" s="116"/>
      <c r="AM32" s="18" cm="1">
        <f t="array" ref="AM32">flatInterpolation($AG32,$S$4:$S$9,AL$5:AL$10)</f>
        <v>5.8333333333333336E-3</v>
      </c>
      <c r="AN32" s="26">
        <f t="shared" ref="AN32" si="273">EXP(-AM32*YearFraction)*AN31</f>
        <v>0.95998901880225118</v>
      </c>
      <c r="AO32" s="122">
        <f t="shared" si="7"/>
        <v>1.4010053038232551E-3</v>
      </c>
      <c r="AP32" s="116"/>
      <c r="AQ32" s="18" cm="1">
        <f t="array" ref="AQ32">flatInterpolation($AG32,$S$4:$S$9,AP$5:AP$10)</f>
        <v>5.8333333333333336E-3</v>
      </c>
      <c r="AR32" s="26">
        <f t="shared" ref="AR32" si="274">EXP(-AQ32*YearFraction)*AR31</f>
        <v>0.95998901880225107</v>
      </c>
      <c r="AS32" s="122">
        <f t="shared" si="9"/>
        <v>1.4010053038232551E-3</v>
      </c>
      <c r="AT32" s="116"/>
      <c r="AU32" s="18" cm="1">
        <f t="array" ref="AU32">flatInterpolation($AG32,$S$4:$S$9,AT$5:AT$10)</f>
        <v>5.8333333333333336E-3</v>
      </c>
      <c r="AV32" s="26">
        <f t="shared" ref="AV32" si="275">EXP(-AU32*YearFraction)*AV31</f>
        <v>0.95998901880225107</v>
      </c>
      <c r="AW32" s="122">
        <f t="shared" si="11"/>
        <v>1.4010053038232551E-3</v>
      </c>
      <c r="AX32" s="116"/>
      <c r="AY32" s="18" cm="1">
        <f t="array" ref="AY32">flatInterpolation($AG32,$S$4:$S$9,AX$5:AX$10)</f>
        <v>5.8333333333333336E-3</v>
      </c>
      <c r="AZ32" s="26">
        <f t="shared" ref="AZ32" si="276">EXP(-AY32*YearFraction)*AZ31</f>
        <v>0.95998901880225107</v>
      </c>
      <c r="BA32" s="122">
        <f t="shared" si="13"/>
        <v>1.4010053038232551E-3</v>
      </c>
      <c r="BB32" s="116"/>
      <c r="BC32" s="18" cm="1">
        <f t="array" ref="BC32">flatInterpolation($AG32,$S$4:$S$9,BB$5:BB$10)</f>
        <v>5.8334333333333339E-3</v>
      </c>
      <c r="BD32" s="26">
        <f t="shared" ref="BD32" si="277">EXP(-BC32*YearFraction)*BD31</f>
        <v>0.95998892280335357</v>
      </c>
      <c r="BE32" s="122">
        <f t="shared" si="15"/>
        <v>1.401029198471293E-3</v>
      </c>
    </row>
    <row r="33" spans="3:57" x14ac:dyDescent="0.3">
      <c r="S33" s="17">
        <f>S8</f>
        <v>5</v>
      </c>
      <c r="T33" s="18" cm="1">
        <f t="array" ref="T33">flatInterpolation(S33,Calibration.Times,Calibration.HazardRates)</f>
        <v>5.8333333333333336E-3</v>
      </c>
      <c r="X33" s="24">
        <f t="shared" ref="X33" si="278">X32+YearFraction</f>
        <v>7.25</v>
      </c>
      <c r="Y33" s="25" cm="1">
        <f t="array" ref="Y33">flatInterpolation(X33,$S$4:$S$9,$T$4:$T$9)</f>
        <v>5.8333333333333336E-3</v>
      </c>
      <c r="Z33" s="26">
        <f t="shared" ref="Z33" si="279">EXP(-Y33*YearFraction)*Z32</f>
        <v>0.95859015100111256</v>
      </c>
      <c r="AA33" s="26">
        <f t="shared" si="3"/>
        <v>1.3989638000452276E-3</v>
      </c>
      <c r="AB33" s="27" cm="1">
        <f t="array" ref="AB33">cubicInterpolation(CurveResults.Times,CurveResults.DFs,$X33)</f>
        <v>0.74944730018205008</v>
      </c>
      <c r="AG33" s="24">
        <f t="shared" ref="AG33" si="280">AG32+YearFraction</f>
        <v>7.25</v>
      </c>
      <c r="AI33" s="18" cm="1">
        <f t="array" ref="AI33">flatInterpolation($AG33,$S$4:$S$9,AH$5:AH$10)</f>
        <v>5.8333333333333336E-3</v>
      </c>
      <c r="AJ33" s="26">
        <f t="shared" ref="AJ33" si="281">EXP(-AI33*YearFraction)*AJ32</f>
        <v>0.95859005514210238</v>
      </c>
      <c r="AK33" s="122">
        <f t="shared" si="5"/>
        <v>1.3989636601489108E-3</v>
      </c>
      <c r="AL33" s="116"/>
      <c r="AM33" s="18" cm="1">
        <f t="array" ref="AM33">flatInterpolation($AG33,$S$4:$S$9,AL$5:AL$10)</f>
        <v>5.8333333333333336E-3</v>
      </c>
      <c r="AN33" s="26">
        <f t="shared" ref="AN33" si="282">EXP(-AM33*YearFraction)*AN32</f>
        <v>0.95859005514210227</v>
      </c>
      <c r="AO33" s="122">
        <f t="shared" si="7"/>
        <v>1.3989636601489108E-3</v>
      </c>
      <c r="AP33" s="116"/>
      <c r="AQ33" s="18" cm="1">
        <f t="array" ref="AQ33">flatInterpolation($AG33,$S$4:$S$9,AP$5:AP$10)</f>
        <v>5.8333333333333336E-3</v>
      </c>
      <c r="AR33" s="26">
        <f t="shared" ref="AR33" si="283">EXP(-AQ33*YearFraction)*AR32</f>
        <v>0.95859005514210216</v>
      </c>
      <c r="AS33" s="122">
        <f t="shared" si="9"/>
        <v>1.3989636601489108E-3</v>
      </c>
      <c r="AT33" s="116"/>
      <c r="AU33" s="18" cm="1">
        <f t="array" ref="AU33">flatInterpolation($AG33,$S$4:$S$9,AT$5:AT$10)</f>
        <v>5.8333333333333336E-3</v>
      </c>
      <c r="AV33" s="26">
        <f t="shared" ref="AV33" si="284">EXP(-AU33*YearFraction)*AV32</f>
        <v>0.95859005514210216</v>
      </c>
      <c r="AW33" s="122">
        <f t="shared" si="11"/>
        <v>1.3989636601489108E-3</v>
      </c>
      <c r="AX33" s="116"/>
      <c r="AY33" s="18" cm="1">
        <f t="array" ref="AY33">flatInterpolation($AG33,$S$4:$S$9,AX$5:AX$10)</f>
        <v>5.8333333333333336E-3</v>
      </c>
      <c r="AZ33" s="26">
        <f t="shared" ref="AZ33" si="285">EXP(-AY33*YearFraction)*AZ32</f>
        <v>0.95859005514210216</v>
      </c>
      <c r="BA33" s="122">
        <f t="shared" si="13"/>
        <v>1.3989636601489108E-3</v>
      </c>
      <c r="BB33" s="116"/>
      <c r="BC33" s="18" cm="1">
        <f t="array" ref="BC33">flatInterpolation($AG33,$S$4:$S$9,BB$5:BB$10)</f>
        <v>5.8334333333333339E-3</v>
      </c>
      <c r="BD33" s="26">
        <f t="shared" ref="BD33" si="286">EXP(-BC33*YearFraction)*BD32</f>
        <v>0.95858993531835235</v>
      </c>
      <c r="BE33" s="122">
        <f t="shared" si="15"/>
        <v>1.3989874850012241E-3</v>
      </c>
    </row>
    <row r="34" spans="3:57" x14ac:dyDescent="0.3">
      <c r="K34" s="164" t="s">
        <v>333</v>
      </c>
      <c r="S34" s="17">
        <f>S33+0.01</f>
        <v>5.01</v>
      </c>
      <c r="T34" s="18" cm="1">
        <f t="array" ref="T34">flatInterpolation(S34,Calibration.Times,Calibration.HazardRates)</f>
        <v>5.8333333333333336E-3</v>
      </c>
      <c r="X34" s="24">
        <f t="shared" ref="X34" si="287">X33+YearFraction</f>
        <v>7.5</v>
      </c>
      <c r="Y34" s="25" cm="1">
        <f t="array" ref="Y34">flatInterpolation(X34,$S$4:$S$9,$T$4:$T$9)</f>
        <v>5.8333333333333336E-3</v>
      </c>
      <c r="Z34" s="26">
        <f t="shared" ref="Z34" si="288">EXP(-Y34*YearFraction)*Z33</f>
        <v>0.95719322586971856</v>
      </c>
      <c r="AA34" s="26">
        <f t="shared" si="3"/>
        <v>1.3969251313940001E-3</v>
      </c>
      <c r="AB34" s="27" cm="1">
        <f t="array" ref="AB34">cubicInterpolation(CurveResults.Times,CurveResults.DFs,$X34)</f>
        <v>0.74251026956187482</v>
      </c>
      <c r="AG34" s="24">
        <f t="shared" ref="AG34" si="289">AG33+YearFraction</f>
        <v>7.5</v>
      </c>
      <c r="AI34" s="18" cm="1">
        <f t="array" ref="AI34">flatInterpolation($AG34,$S$4:$S$9,AH$5:AH$10)</f>
        <v>5.8333333333333336E-3</v>
      </c>
      <c r="AJ34" s="26">
        <f t="shared" ref="AJ34" si="290">EXP(-AI34*YearFraction)*AJ33</f>
        <v>0.95719313015040086</v>
      </c>
      <c r="AK34" s="122">
        <f t="shared" si="5"/>
        <v>1.3969249917015203E-3</v>
      </c>
      <c r="AL34" s="116"/>
      <c r="AM34" s="18" cm="1">
        <f t="array" ref="AM34">flatInterpolation($AG34,$S$4:$S$9,AL$5:AL$10)</f>
        <v>5.8333333333333336E-3</v>
      </c>
      <c r="AN34" s="26">
        <f t="shared" ref="AN34" si="291">EXP(-AM34*YearFraction)*AN33</f>
        <v>0.95719313015040075</v>
      </c>
      <c r="AO34" s="122">
        <f t="shared" si="7"/>
        <v>1.3969249917015203E-3</v>
      </c>
      <c r="AP34" s="116"/>
      <c r="AQ34" s="18" cm="1">
        <f t="array" ref="AQ34">flatInterpolation($AG34,$S$4:$S$9,AP$5:AP$10)</f>
        <v>5.8333333333333336E-3</v>
      </c>
      <c r="AR34" s="26">
        <f t="shared" ref="AR34" si="292">EXP(-AQ34*YearFraction)*AR33</f>
        <v>0.95719313015040064</v>
      </c>
      <c r="AS34" s="122">
        <f t="shared" si="9"/>
        <v>1.3969249917015203E-3</v>
      </c>
      <c r="AT34" s="116"/>
      <c r="AU34" s="18" cm="1">
        <f t="array" ref="AU34">flatInterpolation($AG34,$S$4:$S$9,AT$5:AT$10)</f>
        <v>5.8333333333333336E-3</v>
      </c>
      <c r="AV34" s="26">
        <f t="shared" ref="AV34" si="293">EXP(-AU34*YearFraction)*AV33</f>
        <v>0.95719313015040064</v>
      </c>
      <c r="AW34" s="122">
        <f t="shared" si="11"/>
        <v>1.3969249917015203E-3</v>
      </c>
      <c r="AX34" s="116"/>
      <c r="AY34" s="18" cm="1">
        <f t="array" ref="AY34">flatInterpolation($AG34,$S$4:$S$9,AX$5:AX$10)</f>
        <v>5.8333333333333336E-3</v>
      </c>
      <c r="AZ34" s="26">
        <f t="shared" ref="AZ34" si="294">EXP(-AY34*YearFraction)*AZ33</f>
        <v>0.95719313015040064</v>
      </c>
      <c r="BA34" s="122">
        <f t="shared" si="13"/>
        <v>1.3969249917015203E-3</v>
      </c>
      <c r="BB34" s="116"/>
      <c r="BC34" s="18" cm="1">
        <f t="array" ref="BC34">flatInterpolation($AG34,$S$4:$S$9,BB$5:BB$10)</f>
        <v>5.8334333333333339E-3</v>
      </c>
      <c r="BD34" s="26">
        <f t="shared" ref="BD34" si="295">EXP(-BC34*YearFraction)*BD33</f>
        <v>0.95719298657144136</v>
      </c>
      <c r="BE34" s="122">
        <f t="shared" si="15"/>
        <v>1.3969487469109865E-3</v>
      </c>
    </row>
    <row r="35" spans="3:57" x14ac:dyDescent="0.3">
      <c r="S35" s="17">
        <f>S9</f>
        <v>10</v>
      </c>
      <c r="T35" s="18" cm="1">
        <f t="array" ref="T35">flatInterpolation(S35,Calibration.Times,Calibration.HazardRates)</f>
        <v>5.8333333333333336E-3</v>
      </c>
      <c r="X35" s="24">
        <f t="shared" ref="X35" si="296">X34+YearFraction</f>
        <v>7.75</v>
      </c>
      <c r="Y35" s="25" cm="1">
        <f t="array" ref="Y35">flatInterpolation(X35,$S$4:$S$9,$T$4:$T$9)</f>
        <v>5.8333333333333336E-3</v>
      </c>
      <c r="Z35" s="26">
        <f t="shared" ref="Z35" si="297">EXP(-Y35*YearFraction)*Z34</f>
        <v>0.95579833643608403</v>
      </c>
      <c r="AA35" s="26">
        <f t="shared" si="3"/>
        <v>1.3948894336345274E-3</v>
      </c>
      <c r="AB35" s="27" cm="1">
        <f t="array" ref="AB35">cubicInterpolation(CurveResults.Times,CurveResults.DFs,$X35)</f>
        <v>0.73562692391484197</v>
      </c>
      <c r="AG35" s="24">
        <f t="shared" ref="AG35" si="298">AG34+YearFraction</f>
        <v>7.75</v>
      </c>
      <c r="AI35" s="18" cm="1">
        <f t="array" ref="AI35">flatInterpolation($AG35,$S$4:$S$9,AH$5:AH$10)</f>
        <v>5.8333333333333336E-3</v>
      </c>
      <c r="AJ35" s="26">
        <f t="shared" ref="AJ35" si="299">EXP(-AI35*YearFraction)*AJ34</f>
        <v>0.95579824085625531</v>
      </c>
      <c r="AK35" s="122">
        <f t="shared" si="5"/>
        <v>1.3948892941455515E-3</v>
      </c>
      <c r="AL35" s="116"/>
      <c r="AM35" s="18" cm="1">
        <f t="array" ref="AM35">flatInterpolation($AG35,$S$4:$S$9,AL$5:AL$10)</f>
        <v>5.8333333333333336E-3</v>
      </c>
      <c r="AN35" s="26">
        <f t="shared" ref="AN35" si="300">EXP(-AM35*YearFraction)*AN34</f>
        <v>0.9557982408562552</v>
      </c>
      <c r="AO35" s="122">
        <f t="shared" si="7"/>
        <v>1.3948892941455515E-3</v>
      </c>
      <c r="AP35" s="116"/>
      <c r="AQ35" s="18" cm="1">
        <f t="array" ref="AQ35">flatInterpolation($AG35,$S$4:$S$9,AP$5:AP$10)</f>
        <v>5.8333333333333336E-3</v>
      </c>
      <c r="AR35" s="26">
        <f t="shared" ref="AR35" si="301">EXP(-AQ35*YearFraction)*AR34</f>
        <v>0.95579824085625509</v>
      </c>
      <c r="AS35" s="122">
        <f t="shared" si="9"/>
        <v>1.3948892941455515E-3</v>
      </c>
      <c r="AT35" s="116"/>
      <c r="AU35" s="18" cm="1">
        <f t="array" ref="AU35">flatInterpolation($AG35,$S$4:$S$9,AT$5:AT$10)</f>
        <v>5.8333333333333336E-3</v>
      </c>
      <c r="AV35" s="26">
        <f t="shared" ref="AV35" si="302">EXP(-AU35*YearFraction)*AV34</f>
        <v>0.95579824085625509</v>
      </c>
      <c r="AW35" s="122">
        <f t="shared" si="11"/>
        <v>1.3948892941455515E-3</v>
      </c>
      <c r="AX35" s="116"/>
      <c r="AY35" s="18" cm="1">
        <f t="array" ref="AY35">flatInterpolation($AG35,$S$4:$S$9,AX$5:AX$10)</f>
        <v>5.8333333333333336E-3</v>
      </c>
      <c r="AZ35" s="26">
        <f t="shared" ref="AZ35" si="303">EXP(-AY35*YearFraction)*AZ34</f>
        <v>0.95579824085625509</v>
      </c>
      <c r="BA35" s="122">
        <f t="shared" si="13"/>
        <v>1.3948892941455515E-3</v>
      </c>
      <c r="BB35" s="116"/>
      <c r="BC35" s="18" cm="1">
        <f t="array" ref="BC35">flatInterpolation($AG35,$S$4:$S$9,BB$5:BB$10)</f>
        <v>5.8334333333333339E-3</v>
      </c>
      <c r="BD35" s="26">
        <f t="shared" ref="BD35" si="304">EXP(-BC35*YearFraction)*BD34</f>
        <v>0.95579807359157698</v>
      </c>
      <c r="BE35" s="122">
        <f t="shared" si="15"/>
        <v>1.3949129798643822E-3</v>
      </c>
    </row>
    <row r="36" spans="3:57" x14ac:dyDescent="0.3">
      <c r="O36" s="55" t="s">
        <v>147</v>
      </c>
      <c r="T36" s="2"/>
      <c r="X36" s="24">
        <f t="shared" ref="X36" si="305">X35+YearFraction</f>
        <v>8</v>
      </c>
      <c r="Y36" s="25" cm="1">
        <f t="array" ref="Y36">flatInterpolation(X36,$S$4:$S$9,$T$4:$T$9)</f>
        <v>5.8333333333333336E-3</v>
      </c>
      <c r="Z36" s="26">
        <f t="shared" ref="Z36" si="306">EXP(-Y36*YearFraction)*Z35</f>
        <v>0.95440547973364687</v>
      </c>
      <c r="AA36" s="26">
        <f t="shared" si="3"/>
        <v>1.3928567024371619E-3</v>
      </c>
      <c r="AB36" s="27" cm="1">
        <f t="array" ref="AB36">cubicInterpolation(CurveResults.Times,CurveResults.DFs,$X36)</f>
        <v>0.72878404327648572</v>
      </c>
      <c r="AG36" s="24">
        <f t="shared" ref="AG36" si="307">AG35+YearFraction</f>
        <v>8</v>
      </c>
      <c r="AI36" s="18" cm="1">
        <f t="array" ref="AI36">flatInterpolation($AG36,$S$4:$S$9,AH$5:AH$10)</f>
        <v>5.8333333333333336E-3</v>
      </c>
      <c r="AJ36" s="26">
        <f t="shared" ref="AJ36" si="308">EXP(-AI36*YearFraction)*AJ35</f>
        <v>0.95440538429310373</v>
      </c>
      <c r="AK36" s="122">
        <f t="shared" si="5"/>
        <v>1.3928565631515788E-3</v>
      </c>
      <c r="AL36" s="116"/>
      <c r="AM36" s="18" cm="1">
        <f t="array" ref="AM36">flatInterpolation($AG36,$S$4:$S$9,AL$5:AL$10)</f>
        <v>5.8333333333333336E-3</v>
      </c>
      <c r="AN36" s="26">
        <f t="shared" ref="AN36" si="309">EXP(-AM36*YearFraction)*AN35</f>
        <v>0.95440538429310362</v>
      </c>
      <c r="AO36" s="122">
        <f t="shared" si="7"/>
        <v>1.3928565631515788E-3</v>
      </c>
      <c r="AP36" s="116"/>
      <c r="AQ36" s="18" cm="1">
        <f t="array" ref="AQ36">flatInterpolation($AG36,$S$4:$S$9,AP$5:AP$10)</f>
        <v>5.8333333333333336E-3</v>
      </c>
      <c r="AR36" s="26">
        <f t="shared" ref="AR36" si="310">EXP(-AQ36*YearFraction)*AR35</f>
        <v>0.95440538429310351</v>
      </c>
      <c r="AS36" s="122">
        <f t="shared" si="9"/>
        <v>1.3928565631515788E-3</v>
      </c>
      <c r="AT36" s="116"/>
      <c r="AU36" s="18" cm="1">
        <f t="array" ref="AU36">flatInterpolation($AG36,$S$4:$S$9,AT$5:AT$10)</f>
        <v>5.8333333333333336E-3</v>
      </c>
      <c r="AV36" s="26">
        <f t="shared" ref="AV36" si="311">EXP(-AU36*YearFraction)*AV35</f>
        <v>0.95440538429310351</v>
      </c>
      <c r="AW36" s="122">
        <f t="shared" si="11"/>
        <v>1.3928565631515788E-3</v>
      </c>
      <c r="AX36" s="116"/>
      <c r="AY36" s="18" cm="1">
        <f t="array" ref="AY36">flatInterpolation($AG36,$S$4:$S$9,AX$5:AX$10)</f>
        <v>5.8333333333333336E-3</v>
      </c>
      <c r="AZ36" s="26">
        <f t="shared" ref="AZ36" si="312">EXP(-AY36*YearFraction)*AZ35</f>
        <v>0.95440538429310351</v>
      </c>
      <c r="BA36" s="122">
        <f t="shared" si="13"/>
        <v>1.3928565631515788E-3</v>
      </c>
      <c r="BB36" s="116"/>
      <c r="BC36" s="18" cm="1">
        <f t="array" ref="BC36">flatInterpolation($AG36,$S$4:$S$9,BB$5:BB$10)</f>
        <v>5.8334333333333339E-3</v>
      </c>
      <c r="BD36" s="26">
        <f t="shared" ref="BD36" si="313">EXP(-BC36*YearFraction)*BD35</f>
        <v>0.95440519341204511</v>
      </c>
      <c r="BE36" s="122">
        <f t="shared" si="15"/>
        <v>1.3928801795318746E-3</v>
      </c>
    </row>
    <row r="37" spans="3:57" x14ac:dyDescent="0.3">
      <c r="O37" s="46" t="b">
        <v>0</v>
      </c>
      <c r="X37" s="24">
        <f t="shared" ref="X37" si="314">X36+YearFraction</f>
        <v>8.25</v>
      </c>
      <c r="Y37" s="25" cm="1">
        <f t="array" ref="Y37">flatInterpolation(X37,$S$4:$S$9,$T$4:$T$9)</f>
        <v>5.8333333333333336E-3</v>
      </c>
      <c r="Z37" s="26">
        <f t="shared" ref="Z37" si="315">EXP(-Y37*YearFraction)*Z36</f>
        <v>0.95301465280016773</v>
      </c>
      <c r="AA37" s="26">
        <f t="shared" si="3"/>
        <v>1.390826933479139E-3</v>
      </c>
      <c r="AB37" s="27" cm="1">
        <f t="array" ref="AB37">cubicInterpolation(CurveResults.Times,CurveResults.DFs,$X37)</f>
        <v>0.72197918670630057</v>
      </c>
      <c r="AG37" s="24">
        <f t="shared" ref="AG37" si="316">AG36+YearFraction</f>
        <v>8.25</v>
      </c>
      <c r="AI37" s="18" cm="1">
        <f t="array" ref="AI37">flatInterpolation($AG37,$S$4:$S$9,AH$5:AH$10)</f>
        <v>5.8333333333333336E-3</v>
      </c>
      <c r="AJ37" s="26">
        <f t="shared" ref="AJ37" si="317">EXP(-AI37*YearFraction)*AJ36</f>
        <v>0.95301455749870734</v>
      </c>
      <c r="AK37" s="122">
        <f t="shared" si="5"/>
        <v>1.3908267943963937E-3</v>
      </c>
      <c r="AL37" s="116"/>
      <c r="AM37" s="18" cm="1">
        <f t="array" ref="AM37">flatInterpolation($AG37,$S$4:$S$9,AL$5:AL$10)</f>
        <v>5.8333333333333336E-3</v>
      </c>
      <c r="AN37" s="26">
        <f t="shared" ref="AN37" si="318">EXP(-AM37*YearFraction)*AN36</f>
        <v>0.95301455749870723</v>
      </c>
      <c r="AO37" s="122">
        <f t="shared" si="7"/>
        <v>1.3908267943963937E-3</v>
      </c>
      <c r="AP37" s="116"/>
      <c r="AQ37" s="18" cm="1">
        <f t="array" ref="AQ37">flatInterpolation($AG37,$S$4:$S$9,AP$5:AP$10)</f>
        <v>5.8333333333333336E-3</v>
      </c>
      <c r="AR37" s="26">
        <f t="shared" ref="AR37" si="319">EXP(-AQ37*YearFraction)*AR36</f>
        <v>0.95301455749870712</v>
      </c>
      <c r="AS37" s="122">
        <f t="shared" si="9"/>
        <v>1.3908267943963937E-3</v>
      </c>
      <c r="AT37" s="116"/>
      <c r="AU37" s="18" cm="1">
        <f t="array" ref="AU37">flatInterpolation($AG37,$S$4:$S$9,AT$5:AT$10)</f>
        <v>5.8333333333333336E-3</v>
      </c>
      <c r="AV37" s="26">
        <f t="shared" ref="AV37" si="320">EXP(-AU37*YearFraction)*AV36</f>
        <v>0.95301455749870712</v>
      </c>
      <c r="AW37" s="122">
        <f t="shared" si="11"/>
        <v>1.3908267943963937E-3</v>
      </c>
      <c r="AX37" s="116"/>
      <c r="AY37" s="18" cm="1">
        <f t="array" ref="AY37">flatInterpolation($AG37,$S$4:$S$9,AX$5:AX$10)</f>
        <v>5.8333333333333336E-3</v>
      </c>
      <c r="AZ37" s="26">
        <f t="shared" ref="AZ37" si="321">EXP(-AY37*YearFraction)*AZ36</f>
        <v>0.95301455749870712</v>
      </c>
      <c r="BA37" s="122">
        <f t="shared" si="13"/>
        <v>1.3908267943963937E-3</v>
      </c>
      <c r="BB37" s="116"/>
      <c r="BC37" s="18" cm="1">
        <f t="array" ref="BC37">flatInterpolation($AG37,$S$4:$S$9,BB$5:BB$10)</f>
        <v>5.8334333333333339E-3</v>
      </c>
      <c r="BD37" s="26">
        <f t="shared" ref="BD37" si="322">EXP(-BC37*YearFraction)*BD36</f>
        <v>0.95301434307045507</v>
      </c>
      <c r="BE37" s="122">
        <f t="shared" si="15"/>
        <v>1.3908503415900331E-3</v>
      </c>
    </row>
    <row r="38" spans="3:57" x14ac:dyDescent="0.3">
      <c r="X38" s="24">
        <f t="shared" ref="X38" si="323">X37+YearFraction</f>
        <v>8.5</v>
      </c>
      <c r="Y38" s="25" cm="1">
        <f t="array" ref="Y38">flatInterpolation(X38,$S$4:$S$9,$T$4:$T$9)</f>
        <v>5.8333333333333336E-3</v>
      </c>
      <c r="Z38" s="26">
        <f t="shared" ref="Z38" si="324">EXP(-Y38*YearFraction)*Z37</f>
        <v>0.95162585267772437</v>
      </c>
      <c r="AA38" s="26">
        <f t="shared" si="3"/>
        <v>1.3888001224433566E-3</v>
      </c>
      <c r="AB38" s="27" cm="1">
        <f t="array" ref="AB38">cubicInterpolation(CurveResults.Times,CurveResults.DFs,$X38)</f>
        <v>0.71521904339088416</v>
      </c>
      <c r="AG38" s="24">
        <f t="shared" ref="AG38" si="325">AG37+YearFraction</f>
        <v>8.5</v>
      </c>
      <c r="AI38" s="18" cm="1">
        <f t="array" ref="AI38">flatInterpolation($AG38,$S$4:$S$9,AH$5:AH$10)</f>
        <v>5.8333333333333336E-3</v>
      </c>
      <c r="AJ38" s="26">
        <f t="shared" ref="AJ38" si="326">EXP(-AI38*YearFraction)*AJ37</f>
        <v>0.951625757515144</v>
      </c>
      <c r="AK38" s="122">
        <f t="shared" si="5"/>
        <v>1.388799983563338E-3</v>
      </c>
      <c r="AL38" s="116"/>
      <c r="AM38" s="18" cm="1">
        <f t="array" ref="AM38">flatInterpolation($AG38,$S$4:$S$9,AL$5:AL$10)</f>
        <v>5.8333333333333336E-3</v>
      </c>
      <c r="AN38" s="26">
        <f t="shared" ref="AN38" si="327">EXP(-AM38*YearFraction)*AN37</f>
        <v>0.95162575751514389</v>
      </c>
      <c r="AO38" s="122">
        <f t="shared" si="7"/>
        <v>1.388799983563338E-3</v>
      </c>
      <c r="AP38" s="116"/>
      <c r="AQ38" s="18" cm="1">
        <f t="array" ref="AQ38">flatInterpolation($AG38,$S$4:$S$9,AP$5:AP$10)</f>
        <v>5.8333333333333336E-3</v>
      </c>
      <c r="AR38" s="26">
        <f t="shared" ref="AR38" si="328">EXP(-AQ38*YearFraction)*AR37</f>
        <v>0.95162575751514378</v>
      </c>
      <c r="AS38" s="122">
        <f t="shared" si="9"/>
        <v>1.388799983563338E-3</v>
      </c>
      <c r="AT38" s="116"/>
      <c r="AU38" s="18" cm="1">
        <f t="array" ref="AU38">flatInterpolation($AG38,$S$4:$S$9,AT$5:AT$10)</f>
        <v>5.8333333333333336E-3</v>
      </c>
      <c r="AV38" s="26">
        <f t="shared" ref="AV38" si="329">EXP(-AU38*YearFraction)*AV37</f>
        <v>0.95162575751514378</v>
      </c>
      <c r="AW38" s="122">
        <f t="shared" si="11"/>
        <v>1.388799983563338E-3</v>
      </c>
      <c r="AX38" s="116"/>
      <c r="AY38" s="18" cm="1">
        <f t="array" ref="AY38">flatInterpolation($AG38,$S$4:$S$9,AX$5:AX$10)</f>
        <v>5.8333333333333336E-3</v>
      </c>
      <c r="AZ38" s="26">
        <f t="shared" ref="AZ38" si="330">EXP(-AY38*YearFraction)*AZ37</f>
        <v>0.95162575751514378</v>
      </c>
      <c r="BA38" s="122">
        <f t="shared" si="13"/>
        <v>1.388799983563338E-3</v>
      </c>
      <c r="BB38" s="116"/>
      <c r="BC38" s="18" cm="1">
        <f t="array" ref="BC38">flatInterpolation($AG38,$S$4:$S$9,BB$5:BB$10)</f>
        <v>5.8334333333333339E-3</v>
      </c>
      <c r="BD38" s="26">
        <f t="shared" ref="BD38" si="331">EXP(-BC38*YearFraction)*BD37</f>
        <v>0.95162551960873332</v>
      </c>
      <c r="BE38" s="122">
        <f t="shared" si="15"/>
        <v>1.3888234617217554E-3</v>
      </c>
    </row>
    <row r="39" spans="3:57" x14ac:dyDescent="0.3">
      <c r="U39" s="2"/>
      <c r="V39" s="2"/>
      <c r="W39" s="2"/>
      <c r="X39" s="24">
        <f t="shared" ref="X39" si="332">X38+YearFraction</f>
        <v>8.75</v>
      </c>
      <c r="Y39" s="25" cm="1">
        <f t="array" ref="Y39">flatInterpolation(X39,$S$4:$S$9,$T$4:$T$9)</f>
        <v>5.8333333333333336E-3</v>
      </c>
      <c r="Z39" s="26">
        <f t="shared" ref="Z39" si="333">EXP(-Y39*YearFraction)*Z38</f>
        <v>0.95023907641270489</v>
      </c>
      <c r="AA39" s="26">
        <f t="shared" si="3"/>
        <v>1.3867762650194848E-3</v>
      </c>
      <c r="AB39" s="27" cm="1">
        <f t="array" ref="AB39">cubicInterpolation(CurveResults.Times,CurveResults.DFs,$X39)</f>
        <v>0.70850408855642577</v>
      </c>
      <c r="AG39" s="24">
        <f t="shared" ref="AG39" si="334">AG38+YearFraction</f>
        <v>8.75</v>
      </c>
      <c r="AI39" s="18" cm="1">
        <f t="array" ref="AI39">flatInterpolation($AG39,$S$4:$S$9,AH$5:AH$10)</f>
        <v>5.8333333333333336E-3</v>
      </c>
      <c r="AJ39" s="26">
        <f t="shared" ref="AJ39" si="335">EXP(-AI39*YearFraction)*AJ38</f>
        <v>0.95023898138880214</v>
      </c>
      <c r="AK39" s="122">
        <f t="shared" si="5"/>
        <v>1.3867761263418599E-3</v>
      </c>
      <c r="AL39" s="116"/>
      <c r="AM39" s="18" cm="1">
        <f t="array" ref="AM39">flatInterpolation($AG39,$S$4:$S$9,AL$5:AL$10)</f>
        <v>5.8333333333333336E-3</v>
      </c>
      <c r="AN39" s="26">
        <f t="shared" ref="AN39" si="336">EXP(-AM39*YearFraction)*AN38</f>
        <v>0.95023898138880203</v>
      </c>
      <c r="AO39" s="122">
        <f t="shared" si="7"/>
        <v>1.3867761263418599E-3</v>
      </c>
      <c r="AP39" s="116"/>
      <c r="AQ39" s="18" cm="1">
        <f t="array" ref="AQ39">flatInterpolation($AG39,$S$4:$S$9,AP$5:AP$10)</f>
        <v>5.8333333333333336E-3</v>
      </c>
      <c r="AR39" s="26">
        <f t="shared" ref="AR39" si="337">EXP(-AQ39*YearFraction)*AR38</f>
        <v>0.95023898138880192</v>
      </c>
      <c r="AS39" s="122">
        <f t="shared" si="9"/>
        <v>1.3867761263418599E-3</v>
      </c>
      <c r="AT39" s="116"/>
      <c r="AU39" s="18" cm="1">
        <f t="array" ref="AU39">flatInterpolation($AG39,$S$4:$S$9,AT$5:AT$10)</f>
        <v>5.8333333333333336E-3</v>
      </c>
      <c r="AV39" s="26">
        <f t="shared" ref="AV39" si="338">EXP(-AU39*YearFraction)*AV38</f>
        <v>0.95023898138880192</v>
      </c>
      <c r="AW39" s="122">
        <f t="shared" si="11"/>
        <v>1.3867761263418599E-3</v>
      </c>
      <c r="AX39" s="116"/>
      <c r="AY39" s="18" cm="1">
        <f t="array" ref="AY39">flatInterpolation($AG39,$S$4:$S$9,AX$5:AX$10)</f>
        <v>5.8333333333333336E-3</v>
      </c>
      <c r="AZ39" s="26">
        <f t="shared" ref="AZ39" si="339">EXP(-AY39*YearFraction)*AZ38</f>
        <v>0.95023898138880192</v>
      </c>
      <c r="BA39" s="122">
        <f t="shared" si="13"/>
        <v>1.3867761263418599E-3</v>
      </c>
      <c r="BB39" s="116"/>
      <c r="BC39" s="18" cm="1">
        <f t="array" ref="BC39">flatInterpolation($AG39,$S$4:$S$9,BB$5:BB$10)</f>
        <v>5.8334333333333339E-3</v>
      </c>
      <c r="BD39" s="26">
        <f t="shared" ref="BD39" si="340">EXP(-BC39*YearFraction)*BD38</f>
        <v>0.95023872007311705</v>
      </c>
      <c r="BE39" s="122">
        <f t="shared" si="15"/>
        <v>1.3867995356162677E-3</v>
      </c>
    </row>
    <row r="40" spans="3:57" x14ac:dyDescent="0.3">
      <c r="K40" s="44" t="s">
        <v>42</v>
      </c>
      <c r="L40" s="2"/>
      <c r="M40" s="2"/>
      <c r="N40" s="2"/>
      <c r="O40" s="2"/>
      <c r="P40" s="45"/>
      <c r="Q40" s="2"/>
      <c r="R40" s="2"/>
      <c r="X40" s="24">
        <f t="shared" ref="X40" si="341">X39+YearFraction</f>
        <v>9</v>
      </c>
      <c r="Y40" s="25" cm="1">
        <f t="array" ref="Y40">flatInterpolation(X40,$S$4:$S$9,$T$4:$T$9)</f>
        <v>5.8333333333333336E-3</v>
      </c>
      <c r="Z40" s="26">
        <f t="shared" ref="Z40" si="342">EXP(-Y40*YearFraction)*Z39</f>
        <v>0.94885432105580159</v>
      </c>
      <c r="AA40" s="26">
        <f t="shared" si="3"/>
        <v>1.3847553569033E-3</v>
      </c>
      <c r="AB40" s="27" cm="1">
        <f t="array" ref="AB40">cubicInterpolation(CurveResults.Times,CurveResults.DFs,$X40)</f>
        <v>0.70183479742911425</v>
      </c>
      <c r="AG40" s="24">
        <f t="shared" ref="AG40" si="343">AG39+YearFraction</f>
        <v>9</v>
      </c>
      <c r="AI40" s="18" cm="1">
        <f t="array" ref="AI40">flatInterpolation($AG40,$S$4:$S$9,AH$5:AH$10)</f>
        <v>5.8333333333333336E-3</v>
      </c>
      <c r="AJ40" s="26">
        <f t="shared" ref="AJ40" si="344">EXP(-AI40*YearFraction)*AJ39</f>
        <v>0.94885422617037429</v>
      </c>
      <c r="AK40" s="122">
        <f t="shared" si="5"/>
        <v>1.3847552184278467E-3</v>
      </c>
      <c r="AL40" s="116"/>
      <c r="AM40" s="18" cm="1">
        <f t="array" ref="AM40">flatInterpolation($AG40,$S$4:$S$9,AL$5:AL$10)</f>
        <v>5.8333333333333336E-3</v>
      </c>
      <c r="AN40" s="26">
        <f t="shared" ref="AN40" si="345">EXP(-AM40*YearFraction)*AN39</f>
        <v>0.94885422617037418</v>
      </c>
      <c r="AO40" s="122">
        <f t="shared" si="7"/>
        <v>1.3847552184278467E-3</v>
      </c>
      <c r="AP40" s="116"/>
      <c r="AQ40" s="18" cm="1">
        <f t="array" ref="AQ40">flatInterpolation($AG40,$S$4:$S$9,AP$5:AP$10)</f>
        <v>5.8333333333333336E-3</v>
      </c>
      <c r="AR40" s="26">
        <f t="shared" ref="AR40" si="346">EXP(-AQ40*YearFraction)*AR39</f>
        <v>0.94885422617037407</v>
      </c>
      <c r="AS40" s="122">
        <f t="shared" si="9"/>
        <v>1.3847552184278467E-3</v>
      </c>
      <c r="AT40" s="116"/>
      <c r="AU40" s="18" cm="1">
        <f t="array" ref="AU40">flatInterpolation($AG40,$S$4:$S$9,AT$5:AT$10)</f>
        <v>5.8333333333333336E-3</v>
      </c>
      <c r="AV40" s="26">
        <f t="shared" ref="AV40" si="347">EXP(-AU40*YearFraction)*AV39</f>
        <v>0.94885422617037407</v>
      </c>
      <c r="AW40" s="122">
        <f t="shared" si="11"/>
        <v>1.3847552184278467E-3</v>
      </c>
      <c r="AX40" s="116"/>
      <c r="AY40" s="18" cm="1">
        <f t="array" ref="AY40">flatInterpolation($AG40,$S$4:$S$9,AX$5:AX$10)</f>
        <v>5.8333333333333336E-3</v>
      </c>
      <c r="AZ40" s="26">
        <f t="shared" ref="AZ40" si="348">EXP(-AY40*YearFraction)*AZ39</f>
        <v>0.94885422617037407</v>
      </c>
      <c r="BA40" s="122">
        <f t="shared" si="13"/>
        <v>1.3847552184278467E-3</v>
      </c>
      <c r="BB40" s="116"/>
      <c r="BC40" s="18" cm="1">
        <f t="array" ref="BC40">flatInterpolation($AG40,$S$4:$S$9,BB$5:BB$10)</f>
        <v>5.8334333333333339E-3</v>
      </c>
      <c r="BD40" s="26">
        <f t="shared" ref="BD40" si="349">EXP(-BC40*YearFraction)*BD39</f>
        <v>0.94885394151414792</v>
      </c>
      <c r="BE40" s="122">
        <f t="shared" si="15"/>
        <v>1.3847785589691242E-3</v>
      </c>
    </row>
    <row r="41" spans="3:57" ht="15.6" x14ac:dyDescent="0.3">
      <c r="C41" s="54"/>
      <c r="D41" s="54"/>
      <c r="E41" s="54"/>
      <c r="F41" s="54"/>
      <c r="G41" s="54"/>
      <c r="H41" s="54"/>
      <c r="J41" s="54" t="s">
        <v>30</v>
      </c>
      <c r="K41" s="2" t="s">
        <v>31</v>
      </c>
      <c r="L41" s="2" t="s">
        <v>32</v>
      </c>
      <c r="M41" s="2" t="s">
        <v>33</v>
      </c>
      <c r="N41" s="2" t="s">
        <v>34</v>
      </c>
      <c r="O41" s="2" t="s">
        <v>35</v>
      </c>
      <c r="P41" s="2" t="s">
        <v>36</v>
      </c>
      <c r="Q41" s="2" t="s">
        <v>37</v>
      </c>
      <c r="R41" s="2" t="s">
        <v>38</v>
      </c>
      <c r="S41" s="2" t="s">
        <v>39</v>
      </c>
      <c r="T41" s="2" t="s">
        <v>40</v>
      </c>
      <c r="U41" s="2" t="s">
        <v>41</v>
      </c>
      <c r="V41" s="2"/>
      <c r="W41" s="2"/>
      <c r="X41" s="24">
        <f t="shared" ref="X41" si="350">X40+YearFraction</f>
        <v>9.25</v>
      </c>
      <c r="Y41" s="25" cm="1">
        <f t="array" ref="Y41">flatInterpolation(X41,$S$4:$S$9,$T$4:$T$9)</f>
        <v>5.8333333333333336E-3</v>
      </c>
      <c r="Z41" s="26">
        <f t="shared" ref="Z41" si="351">EXP(-Y41*YearFraction)*Z40</f>
        <v>0.94747158366200468</v>
      </c>
      <c r="AA41" s="26">
        <f t="shared" si="3"/>
        <v>1.3827373937969067E-3</v>
      </c>
      <c r="AB41" s="27" cm="1">
        <f t="array" ref="AB41">cubicInterpolation(CurveResults.Times,CurveResults.DFs,$X41)</f>
        <v>0.69522831370022098</v>
      </c>
      <c r="AG41" s="24">
        <f t="shared" ref="AG41" si="352">AG40+YearFraction</f>
        <v>9.25</v>
      </c>
      <c r="AI41" s="18" cm="1">
        <f t="array" ref="AI41">flatInterpolation($AG41,$S$4:$S$9,AH$5:AH$10)</f>
        <v>5.8333333333333336E-3</v>
      </c>
      <c r="AJ41" s="26">
        <f t="shared" ref="AJ41" si="353">EXP(-AI41*YearFraction)*AJ40</f>
        <v>0.94747148891485111</v>
      </c>
      <c r="AK41" s="122">
        <f t="shared" si="5"/>
        <v>1.3827372555231809E-3</v>
      </c>
      <c r="AL41" s="116"/>
      <c r="AM41" s="18" cm="1">
        <f t="array" ref="AM41">flatInterpolation($AG41,$S$4:$S$9,AL$5:AL$10)</f>
        <v>5.8333333333333336E-3</v>
      </c>
      <c r="AN41" s="26">
        <f t="shared" ref="AN41" si="354">EXP(-AM41*YearFraction)*AN40</f>
        <v>0.947471488914851</v>
      </c>
      <c r="AO41" s="122">
        <f t="shared" si="7"/>
        <v>1.3827372555231809E-3</v>
      </c>
      <c r="AP41" s="116"/>
      <c r="AQ41" s="18" cm="1">
        <f t="array" ref="AQ41">flatInterpolation($AG41,$S$4:$S$9,AP$5:AP$10)</f>
        <v>5.8333333333333336E-3</v>
      </c>
      <c r="AR41" s="26">
        <f t="shared" ref="AR41" si="355">EXP(-AQ41*YearFraction)*AR40</f>
        <v>0.94747148891485089</v>
      </c>
      <c r="AS41" s="122">
        <f t="shared" si="9"/>
        <v>1.3827372555231809E-3</v>
      </c>
      <c r="AT41" s="116"/>
      <c r="AU41" s="18" cm="1">
        <f t="array" ref="AU41">flatInterpolation($AG41,$S$4:$S$9,AT$5:AT$10)</f>
        <v>5.8333333333333336E-3</v>
      </c>
      <c r="AV41" s="26">
        <f t="shared" ref="AV41" si="356">EXP(-AU41*YearFraction)*AV40</f>
        <v>0.94747148891485089</v>
      </c>
      <c r="AW41" s="122">
        <f t="shared" si="11"/>
        <v>1.3827372555231809E-3</v>
      </c>
      <c r="AX41" s="116"/>
      <c r="AY41" s="18" cm="1">
        <f t="array" ref="AY41">flatInterpolation($AG41,$S$4:$S$9,AX$5:AX$10)</f>
        <v>5.8333333333333336E-3</v>
      </c>
      <c r="AZ41" s="26">
        <f t="shared" ref="AZ41" si="357">EXP(-AY41*YearFraction)*AZ40</f>
        <v>0.94747148891485089</v>
      </c>
      <c r="BA41" s="122">
        <f t="shared" si="13"/>
        <v>1.3827372555231809E-3</v>
      </c>
      <c r="BB41" s="116"/>
      <c r="BC41" s="18" cm="1">
        <f t="array" ref="BC41">flatInterpolation($AG41,$S$4:$S$9,BB$5:BB$10)</f>
        <v>5.8334333333333339E-3</v>
      </c>
      <c r="BD41" s="26">
        <f t="shared" ref="BD41" si="358">EXP(-BC41*YearFraction)*BD40</f>
        <v>0.94747118098666594</v>
      </c>
      <c r="BE41" s="122">
        <f t="shared" si="15"/>
        <v>1.3827605274819854E-3</v>
      </c>
    </row>
    <row r="42" spans="3:57" x14ac:dyDescent="0.3">
      <c r="C42" s="2"/>
      <c r="D42" s="2"/>
      <c r="E42" s="2"/>
      <c r="F42" s="2"/>
      <c r="G42" s="2"/>
      <c r="H42" s="2"/>
      <c r="J42" s="2" t="s">
        <v>11</v>
      </c>
      <c r="K42" s="107">
        <v>5.8333333333333336E-3</v>
      </c>
      <c r="L42" s="108">
        <v>5.8333343671637637E-3</v>
      </c>
      <c r="M42" s="108"/>
      <c r="N42" s="108"/>
      <c r="O42" s="108"/>
      <c r="P42" s="108"/>
      <c r="Q42" s="108"/>
      <c r="R42" s="108"/>
      <c r="S42" s="108"/>
      <c r="T42" s="108"/>
      <c r="U42" s="109"/>
      <c r="V42" s="103"/>
      <c r="W42" s="103"/>
      <c r="X42" s="24">
        <f t="shared" ref="X42" si="359">X41+YearFraction</f>
        <v>9.5</v>
      </c>
      <c r="Y42" s="25" cm="1">
        <f t="array" ref="Y42">flatInterpolation(X42,$S$4:$S$9,$T$4:$T$9)</f>
        <v>5.8333333333333336E-3</v>
      </c>
      <c r="Z42" s="26">
        <f t="shared" ref="Z42" si="360">EXP(-Y42*YearFraction)*Z41</f>
        <v>0.94609086129059605</v>
      </c>
      <c r="AA42" s="26">
        <f t="shared" si="3"/>
        <v>1.380722371408627E-3</v>
      </c>
      <c r="AB42" s="27" cm="1">
        <f t="array" ref="AB42">cubicInterpolation(CurveResults.Times,CurveResults.DFs,$X42)</f>
        <v>0.68867871159434935</v>
      </c>
      <c r="AG42" s="24">
        <f t="shared" ref="AG42" si="361">AG41+YearFraction</f>
        <v>9.5</v>
      </c>
      <c r="AI42" s="18" cm="1">
        <f t="array" ref="AI42">flatInterpolation($AG42,$S$4:$S$9,AH$5:AH$10)</f>
        <v>5.8333333333333336E-3</v>
      </c>
      <c r="AJ42" s="26">
        <f t="shared" ref="AJ42" si="362">EXP(-AI42*YearFraction)*AJ41</f>
        <v>0.94609076668151471</v>
      </c>
      <c r="AK42" s="122">
        <f t="shared" si="5"/>
        <v>1.3807222333364066E-3</v>
      </c>
      <c r="AL42" s="116"/>
      <c r="AM42" s="18" cm="1">
        <f t="array" ref="AM42">flatInterpolation($AG42,$S$4:$S$9,AL$5:AL$10)</f>
        <v>5.8333333333333336E-3</v>
      </c>
      <c r="AN42" s="26">
        <f t="shared" ref="AN42" si="363">EXP(-AM42*YearFraction)*AN41</f>
        <v>0.94609076668151459</v>
      </c>
      <c r="AO42" s="122">
        <f t="shared" si="7"/>
        <v>1.3807222333364066E-3</v>
      </c>
      <c r="AP42" s="116"/>
      <c r="AQ42" s="18" cm="1">
        <f t="array" ref="AQ42">flatInterpolation($AG42,$S$4:$S$9,AP$5:AP$10)</f>
        <v>5.8333333333333336E-3</v>
      </c>
      <c r="AR42" s="26">
        <f t="shared" ref="AR42" si="364">EXP(-AQ42*YearFraction)*AR41</f>
        <v>0.94609076668151448</v>
      </c>
      <c r="AS42" s="122">
        <f t="shared" si="9"/>
        <v>1.3807222333364066E-3</v>
      </c>
      <c r="AT42" s="116"/>
      <c r="AU42" s="18" cm="1">
        <f t="array" ref="AU42">flatInterpolation($AG42,$S$4:$S$9,AT$5:AT$10)</f>
        <v>5.8333333333333336E-3</v>
      </c>
      <c r="AV42" s="26">
        <f t="shared" ref="AV42" si="365">EXP(-AU42*YearFraction)*AV41</f>
        <v>0.94609076668151448</v>
      </c>
      <c r="AW42" s="122">
        <f t="shared" si="11"/>
        <v>1.3807222333364066E-3</v>
      </c>
      <c r="AX42" s="116"/>
      <c r="AY42" s="18" cm="1">
        <f t="array" ref="AY42">flatInterpolation($AG42,$S$4:$S$9,AX$5:AX$10)</f>
        <v>5.8333333333333336E-3</v>
      </c>
      <c r="AZ42" s="26">
        <f t="shared" ref="AZ42" si="366">EXP(-AY42*YearFraction)*AZ41</f>
        <v>0.94609076668151448</v>
      </c>
      <c r="BA42" s="122">
        <f t="shared" si="13"/>
        <v>1.3807222333364066E-3</v>
      </c>
      <c r="BB42" s="116"/>
      <c r="BC42" s="18" cm="1">
        <f t="array" ref="BC42">flatInterpolation($AG42,$S$4:$S$9,BB$5:BB$10)</f>
        <v>5.8334333333333339E-3</v>
      </c>
      <c r="BD42" s="26">
        <f t="shared" ref="BD42" si="367">EXP(-BC42*YearFraction)*BD41</f>
        <v>0.94609043554980299</v>
      </c>
      <c r="BE42" s="122">
        <f t="shared" si="15"/>
        <v>1.3807454368629513E-3</v>
      </c>
    </row>
    <row r="43" spans="3:57" x14ac:dyDescent="0.3">
      <c r="C43" s="2"/>
      <c r="D43" s="2"/>
      <c r="E43" s="2"/>
      <c r="F43" s="2"/>
      <c r="G43" s="2"/>
      <c r="H43" s="2"/>
      <c r="J43" s="2" t="s">
        <v>12</v>
      </c>
      <c r="K43" s="110">
        <v>5.8333333333333336E-3</v>
      </c>
      <c r="L43" s="103">
        <v>5.8333343671636735E-3</v>
      </c>
      <c r="M43" s="103"/>
      <c r="N43" s="103"/>
      <c r="O43" s="103"/>
      <c r="P43" s="103"/>
      <c r="Q43" s="103"/>
      <c r="R43" s="103"/>
      <c r="S43" s="103"/>
      <c r="T43" s="103"/>
      <c r="U43" s="104"/>
      <c r="V43" s="103"/>
      <c r="W43" s="103"/>
      <c r="X43" s="24">
        <f t="shared" ref="X43" si="368">X42+YearFraction</f>
        <v>9.75</v>
      </c>
      <c r="Y43" s="25" cm="1">
        <f t="array" ref="Y43">flatInterpolation(X43,$S$4:$S$9,$T$4:$T$9)</f>
        <v>5.8333333333333336E-3</v>
      </c>
      <c r="Z43" s="26">
        <f t="shared" ref="Z43" si="369">EXP(-Y43*YearFraction)*Z42</f>
        <v>0.94471215100514316</v>
      </c>
      <c r="AA43" s="26">
        <f t="shared" si="3"/>
        <v>1.3787102854528888E-3</v>
      </c>
      <c r="AB43" s="27" cm="1">
        <f t="array" ref="AB43">cubicInterpolation(CurveResults.Times,CurveResults.DFs,$X43)</f>
        <v>0.6821518621376863</v>
      </c>
      <c r="AG43" s="24">
        <f t="shared" ref="AG43" si="370">AG42+YearFraction</f>
        <v>9.75</v>
      </c>
      <c r="AI43" s="18" cm="1">
        <f t="array" ref="AI43">flatInterpolation($AG43,$S$4:$S$9,AH$5:AH$10)</f>
        <v>5.8333333333333336E-3</v>
      </c>
      <c r="AJ43" s="26">
        <f t="shared" ref="AJ43" si="371">EXP(-AI43*YearFraction)*AJ42</f>
        <v>0.94471205653393286</v>
      </c>
      <c r="AK43" s="122">
        <f t="shared" si="5"/>
        <v>1.3787101475818409E-3</v>
      </c>
      <c r="AL43" s="116"/>
      <c r="AM43" s="18" cm="1">
        <f t="array" ref="AM43">flatInterpolation($AG43,$S$4:$S$9,AL$5:AL$10)</f>
        <v>5.8333333333333336E-3</v>
      </c>
      <c r="AN43" s="26">
        <f t="shared" ref="AN43" si="372">EXP(-AM43*YearFraction)*AN42</f>
        <v>0.94471205653393275</v>
      </c>
      <c r="AO43" s="122">
        <f t="shared" si="7"/>
        <v>1.3787101475818409E-3</v>
      </c>
      <c r="AP43" s="116"/>
      <c r="AQ43" s="18" cm="1">
        <f t="array" ref="AQ43">flatInterpolation($AG43,$S$4:$S$9,AP$5:AP$10)</f>
        <v>5.8333333333333336E-3</v>
      </c>
      <c r="AR43" s="26">
        <f t="shared" ref="AR43" si="373">EXP(-AQ43*YearFraction)*AR42</f>
        <v>0.94471205653393264</v>
      </c>
      <c r="AS43" s="122">
        <f t="shared" si="9"/>
        <v>1.3787101475818409E-3</v>
      </c>
      <c r="AT43" s="116"/>
      <c r="AU43" s="18" cm="1">
        <f t="array" ref="AU43">flatInterpolation($AG43,$S$4:$S$9,AT$5:AT$10)</f>
        <v>5.8333333333333336E-3</v>
      </c>
      <c r="AV43" s="26">
        <f t="shared" ref="AV43" si="374">EXP(-AU43*YearFraction)*AV42</f>
        <v>0.94471205653393264</v>
      </c>
      <c r="AW43" s="122">
        <f t="shared" si="11"/>
        <v>1.3787101475818409E-3</v>
      </c>
      <c r="AX43" s="116"/>
      <c r="AY43" s="18" cm="1">
        <f t="array" ref="AY43">flatInterpolation($AG43,$S$4:$S$9,AX$5:AX$10)</f>
        <v>5.8333333333333336E-3</v>
      </c>
      <c r="AZ43" s="26">
        <f t="shared" ref="AZ43" si="375">EXP(-AY43*YearFraction)*AZ42</f>
        <v>0.94471205653393264</v>
      </c>
      <c r="BA43" s="122">
        <f t="shared" si="13"/>
        <v>1.3787101475818409E-3</v>
      </c>
      <c r="BB43" s="116"/>
      <c r="BC43" s="18" cm="1">
        <f t="array" ref="BC43">flatInterpolation($AG43,$S$4:$S$9,BB$5:BB$10)</f>
        <v>5.8334333333333339E-3</v>
      </c>
      <c r="BD43" s="26">
        <f t="shared" ref="BD43" si="376">EXP(-BC43*YearFraction)*BD42</f>
        <v>0.94471170226697665</v>
      </c>
      <c r="BE43" s="122">
        <f t="shared" si="15"/>
        <v>1.3787332828263388E-3</v>
      </c>
    </row>
    <row r="44" spans="3:57" x14ac:dyDescent="0.3">
      <c r="C44" s="2"/>
      <c r="D44" s="2"/>
      <c r="E44" s="2"/>
      <c r="F44" s="2"/>
      <c r="G44" s="2"/>
      <c r="H44" s="2"/>
      <c r="J44" s="2" t="s">
        <v>13</v>
      </c>
      <c r="K44" s="110">
        <v>5.8333333333333336E-3</v>
      </c>
      <c r="L44" s="103">
        <v>5.8333343671637524E-3</v>
      </c>
      <c r="M44" s="103"/>
      <c r="N44" s="103"/>
      <c r="O44" s="103"/>
      <c r="P44" s="103"/>
      <c r="Q44" s="103"/>
      <c r="R44" s="103"/>
      <c r="S44" s="103"/>
      <c r="T44" s="103"/>
      <c r="U44" s="104"/>
      <c r="V44" s="103"/>
      <c r="W44" s="103"/>
      <c r="X44" s="9">
        <f t="shared" ref="X44" si="377">X43+YearFraction</f>
        <v>10</v>
      </c>
      <c r="Y44" s="19" cm="1">
        <f t="array" ref="Y44">flatInterpolation(X44,$S$4:$S$9,$T$4:$T$9)</f>
        <v>5.8333333333333336E-3</v>
      </c>
      <c r="Z44" s="14">
        <f t="shared" ref="Z44" si="378">EXP(-Y44*YearFraction)*Z43</f>
        <v>0.94333544987349249</v>
      </c>
      <c r="AA44" s="14">
        <f t="shared" si="3"/>
        <v>1.3767011316506705E-3</v>
      </c>
      <c r="AB44" s="15" cm="1">
        <f t="array" ref="AB44">cubicInterpolation(CurveResults.Times,CurveResults.DFs,$X44)</f>
        <v>0.67561363635641902</v>
      </c>
      <c r="AG44" s="9">
        <f t="shared" ref="AG44" si="379">AG43+YearFraction</f>
        <v>10</v>
      </c>
      <c r="AH44" s="113"/>
      <c r="AI44" s="36" cm="1">
        <f t="array" ref="AI44">flatInterpolation($AG44,$S$4:$S$9,AH$5:AH$10)</f>
        <v>5.8333333333333336E-3</v>
      </c>
      <c r="AJ44" s="14">
        <f t="shared" ref="AJ44" si="380">EXP(-AI44*YearFraction)*AJ43</f>
        <v>0.94333535553995229</v>
      </c>
      <c r="AK44" s="123">
        <f t="shared" si="5"/>
        <v>1.376700993980573E-3</v>
      </c>
      <c r="AL44" s="112"/>
      <c r="AM44" s="36" cm="1">
        <f t="array" ref="AM44">flatInterpolation($AG44,$S$4:$S$9,AL$5:AL$10)</f>
        <v>5.8333333333333336E-3</v>
      </c>
      <c r="AN44" s="14">
        <f t="shared" ref="AN44" si="381">EXP(-AM44*YearFraction)*AN43</f>
        <v>0.94333535553995218</v>
      </c>
      <c r="AO44" s="123">
        <f t="shared" si="7"/>
        <v>1.376700993980573E-3</v>
      </c>
      <c r="AP44" s="112"/>
      <c r="AQ44" s="36" cm="1">
        <f t="array" ref="AQ44">flatInterpolation($AG44,$S$4:$S$9,AP$5:AP$10)</f>
        <v>5.8333333333333336E-3</v>
      </c>
      <c r="AR44" s="14">
        <f t="shared" ref="AR44" si="382">EXP(-AQ44*YearFraction)*AR43</f>
        <v>0.94333535553995207</v>
      </c>
      <c r="AS44" s="123">
        <f t="shared" si="9"/>
        <v>1.376700993980573E-3</v>
      </c>
      <c r="AT44" s="112"/>
      <c r="AU44" s="36" cm="1">
        <f t="array" ref="AU44">flatInterpolation($AG44,$S$4:$S$9,AT$5:AT$10)</f>
        <v>5.8333333333333336E-3</v>
      </c>
      <c r="AV44" s="14">
        <f t="shared" ref="AV44" si="383">EXP(-AU44*YearFraction)*AV43</f>
        <v>0.94333535553995207</v>
      </c>
      <c r="AW44" s="123">
        <f t="shared" si="11"/>
        <v>1.376700993980573E-3</v>
      </c>
      <c r="AX44" s="112"/>
      <c r="AY44" s="36" cm="1">
        <f t="array" ref="AY44">flatInterpolation($AG44,$S$4:$S$9,AX$5:AX$10)</f>
        <v>5.8333333333333336E-3</v>
      </c>
      <c r="AZ44" s="14">
        <f t="shared" ref="AZ44" si="384">EXP(-AY44*YearFraction)*AZ43</f>
        <v>0.94333535553995207</v>
      </c>
      <c r="BA44" s="123">
        <f t="shared" si="13"/>
        <v>1.376700993980573E-3</v>
      </c>
      <c r="BB44" s="112"/>
      <c r="BC44" s="36" cm="1">
        <f t="array" ref="BC44">flatInterpolation($AG44,$S$4:$S$9,BB$5:BB$10)</f>
        <v>5.8334333333333339E-3</v>
      </c>
      <c r="BD44" s="14">
        <f t="shared" ref="BD44" si="385">EXP(-BC44*YearFraction)*BD43</f>
        <v>0.94333497820588408</v>
      </c>
      <c r="BE44" s="123">
        <f t="shared" si="15"/>
        <v>1.3767240610925713E-3</v>
      </c>
    </row>
    <row r="45" spans="3:57" x14ac:dyDescent="0.3">
      <c r="C45" s="2"/>
      <c r="D45" s="2"/>
      <c r="E45" s="2"/>
      <c r="F45" s="2"/>
      <c r="G45" s="2"/>
      <c r="H45" s="2"/>
      <c r="J45" s="2" t="s">
        <v>14</v>
      </c>
      <c r="K45" s="110">
        <v>5.8333333333333336E-3</v>
      </c>
      <c r="L45" s="103">
        <v>5.8333343671637195E-3</v>
      </c>
      <c r="M45" s="103"/>
      <c r="N45" s="103"/>
      <c r="O45" s="103"/>
      <c r="P45" s="103"/>
      <c r="Q45" s="103"/>
      <c r="R45" s="103"/>
      <c r="S45" s="103"/>
      <c r="T45" s="103"/>
      <c r="U45" s="104"/>
      <c r="V45" s="103"/>
      <c r="W45" s="103"/>
    </row>
    <row r="46" spans="3:57" x14ac:dyDescent="0.3">
      <c r="C46" s="2"/>
      <c r="D46" s="2"/>
      <c r="E46" s="2"/>
      <c r="F46" s="2"/>
      <c r="G46" s="2"/>
      <c r="H46" s="2"/>
      <c r="J46" s="2" t="s">
        <v>15</v>
      </c>
      <c r="K46" s="110">
        <v>5.8333333333333336E-3</v>
      </c>
      <c r="L46" s="103">
        <v>5.833334367163762E-3</v>
      </c>
      <c r="M46" s="103"/>
      <c r="N46" s="103"/>
      <c r="O46" s="103"/>
      <c r="P46" s="103"/>
      <c r="Q46" s="103"/>
      <c r="R46" s="103"/>
      <c r="S46" s="103"/>
      <c r="T46" s="103"/>
      <c r="U46" s="104"/>
      <c r="V46" s="103"/>
      <c r="W46" s="103"/>
    </row>
    <row r="47" spans="3:57" x14ac:dyDescent="0.3">
      <c r="C47" s="2"/>
      <c r="D47" s="2"/>
      <c r="E47" s="2"/>
      <c r="F47" s="2"/>
      <c r="G47" s="2"/>
      <c r="H47" s="2"/>
      <c r="J47" s="2" t="s">
        <v>16</v>
      </c>
      <c r="K47" s="111">
        <v>5.8333333333333336E-3</v>
      </c>
      <c r="L47" s="105">
        <v>5.8333343671638834E-3</v>
      </c>
      <c r="M47" s="105"/>
      <c r="N47" s="105"/>
      <c r="O47" s="105"/>
      <c r="P47" s="105"/>
      <c r="Q47" s="105"/>
      <c r="R47" s="105"/>
      <c r="S47" s="105"/>
      <c r="T47" s="105"/>
      <c r="U47" s="106"/>
      <c r="V47" s="103"/>
      <c r="W47" s="103"/>
      <c r="AH47" s="39" t="s">
        <v>107</v>
      </c>
    </row>
    <row r="48" spans="3:57" x14ac:dyDescent="0.3">
      <c r="AH48" s="148">
        <v>9.9999999999999995E-8</v>
      </c>
    </row>
    <row r="50" spans="3:49" x14ac:dyDescent="0.3">
      <c r="K50" s="55" t="s">
        <v>332</v>
      </c>
      <c r="Y50" s="1" t="s">
        <v>87</v>
      </c>
      <c r="AH50" s="1" t="s">
        <v>86</v>
      </c>
    </row>
    <row r="51" spans="3:49" x14ac:dyDescent="0.3">
      <c r="K51" s="166" t="s">
        <v>108</v>
      </c>
      <c r="L51" s="43" t="s">
        <v>109</v>
      </c>
    </row>
    <row r="52" spans="3:49" ht="15.6" x14ac:dyDescent="0.3">
      <c r="C52" s="39"/>
      <c r="D52" s="39"/>
      <c r="E52" s="39"/>
      <c r="F52" s="39"/>
      <c r="G52" s="39"/>
      <c r="H52" s="39"/>
      <c r="I52" s="39"/>
      <c r="J52" s="39" t="s">
        <v>52</v>
      </c>
      <c r="K52" s="2" t="s">
        <v>54</v>
      </c>
      <c r="L52" s="2" t="s">
        <v>55</v>
      </c>
      <c r="M52" s="2" t="s">
        <v>56</v>
      </c>
      <c r="N52" s="2" t="s">
        <v>57</v>
      </c>
      <c r="O52" s="2" t="s">
        <v>58</v>
      </c>
      <c r="P52" s="2" t="s">
        <v>59</v>
      </c>
      <c r="X52" s="39" t="s">
        <v>52</v>
      </c>
      <c r="Y52" s="2" t="s">
        <v>54</v>
      </c>
      <c r="Z52" s="2" t="s">
        <v>55</v>
      </c>
      <c r="AA52" s="2" t="s">
        <v>56</v>
      </c>
      <c r="AB52" s="2" t="s">
        <v>57</v>
      </c>
      <c r="AC52" s="2" t="s">
        <v>58</v>
      </c>
      <c r="AD52" s="2" t="s">
        <v>59</v>
      </c>
      <c r="AG52" s="39" t="s">
        <v>52</v>
      </c>
      <c r="AH52" s="2" t="s">
        <v>54</v>
      </c>
      <c r="AI52" s="2" t="s">
        <v>55</v>
      </c>
      <c r="AJ52" s="2" t="s">
        <v>56</v>
      </c>
      <c r="AK52" s="2" t="s">
        <v>57</v>
      </c>
      <c r="AL52" s="2" t="s">
        <v>58</v>
      </c>
      <c r="AM52" s="2" t="s">
        <v>59</v>
      </c>
    </row>
    <row r="53" spans="3:49" ht="15.6" x14ac:dyDescent="0.3">
      <c r="C53" s="2"/>
      <c r="D53" s="2"/>
      <c r="E53" s="2"/>
      <c r="F53" s="2"/>
      <c r="G53" s="2"/>
      <c r="H53" s="2"/>
      <c r="I53" s="2"/>
      <c r="J53" s="2" t="s">
        <v>60</v>
      </c>
      <c r="K53" s="89">
        <f t="shared" ref="K53:P58" si="386">IF($K$51="ANALYTICAL",Y53,AH53)</f>
        <v>0.59999968224713762</v>
      </c>
      <c r="L53" s="90">
        <f t="shared" si="386"/>
        <v>0</v>
      </c>
      <c r="M53" s="90">
        <f t="shared" si="386"/>
        <v>0</v>
      </c>
      <c r="N53" s="90">
        <f t="shared" si="386"/>
        <v>0</v>
      </c>
      <c r="O53" s="90">
        <f t="shared" si="386"/>
        <v>0</v>
      </c>
      <c r="P53" s="91">
        <f t="shared" si="386"/>
        <v>0</v>
      </c>
      <c r="X53" s="2" t="s">
        <v>60</v>
      </c>
      <c r="Y53" s="89">
        <f>(Y64*RiskyAnnuity1Y-Protection1Y*Y75)/RiskyAnnuity1Y^2*Notional</f>
        <v>0.59999968098969625</v>
      </c>
      <c r="Z53" s="90">
        <v>0</v>
      </c>
      <c r="AA53" s="90">
        <v>0</v>
      </c>
      <c r="AB53" s="90">
        <v>0</v>
      </c>
      <c r="AC53" s="90">
        <v>0</v>
      </c>
      <c r="AD53" s="91">
        <v>0</v>
      </c>
      <c r="AG53" s="2" t="s">
        <v>60</v>
      </c>
      <c r="AH53" s="89">
        <f t="shared" ref="AH53:AH58" si="387">(AH64-$U14)/ShiftSize</f>
        <v>0.59999968224713762</v>
      </c>
      <c r="AI53" s="90">
        <v>0</v>
      </c>
      <c r="AJ53" s="90">
        <v>0</v>
      </c>
      <c r="AK53" s="90">
        <v>0</v>
      </c>
      <c r="AL53" s="90">
        <v>0</v>
      </c>
      <c r="AM53" s="91">
        <v>0</v>
      </c>
      <c r="AO53" s="120"/>
      <c r="AP53" s="120"/>
      <c r="AQ53" s="120"/>
      <c r="AR53" s="120"/>
      <c r="AS53" s="120"/>
      <c r="AT53" s="120"/>
      <c r="AU53" s="120"/>
      <c r="AV53" s="120"/>
      <c r="AW53" s="120"/>
    </row>
    <row r="54" spans="3:49" ht="15.6" x14ac:dyDescent="0.3">
      <c r="C54" s="2"/>
      <c r="D54" s="2"/>
      <c r="E54" s="2"/>
      <c r="F54" s="2"/>
      <c r="G54" s="2"/>
      <c r="H54" s="2"/>
      <c r="I54" s="2"/>
      <c r="J54" s="2" t="s">
        <v>61</v>
      </c>
      <c r="K54" s="92">
        <f t="shared" si="386"/>
        <v>0.30748711522723265</v>
      </c>
      <c r="L54" s="93">
        <f t="shared" si="386"/>
        <v>0.29251256681607496</v>
      </c>
      <c r="M54" s="94">
        <f t="shared" si="386"/>
        <v>0</v>
      </c>
      <c r="N54" s="94">
        <f t="shared" si="386"/>
        <v>0</v>
      </c>
      <c r="O54" s="94">
        <f t="shared" si="386"/>
        <v>0</v>
      </c>
      <c r="P54" s="95">
        <f t="shared" si="386"/>
        <v>0</v>
      </c>
      <c r="X54" s="2" t="s">
        <v>61</v>
      </c>
      <c r="Y54" s="92">
        <f>(Y65*RiskyAnnuity2Y-Protection2Y*Y76)/RiskyAnnuity2Y^2*Notional</f>
        <v>0.30876681741207285</v>
      </c>
      <c r="Z54" s="93">
        <f>(Z65*RiskyAnnuity2Y-Protection2Y*Z76)/RiskyAnnuity2Y^2*Notional</f>
        <v>0.29251257364594624</v>
      </c>
      <c r="AA54" s="94">
        <v>0</v>
      </c>
      <c r="AB54" s="94">
        <v>0</v>
      </c>
      <c r="AC54" s="94">
        <v>0</v>
      </c>
      <c r="AD54" s="95">
        <v>0</v>
      </c>
      <c r="AG54" s="2" t="s">
        <v>61</v>
      </c>
      <c r="AH54" s="92">
        <f t="shared" si="387"/>
        <v>0.30748711522723265</v>
      </c>
      <c r="AI54" s="93">
        <f>(AI65-$U15)/ShiftSize</f>
        <v>0.29251256681607496</v>
      </c>
      <c r="AJ54" s="94">
        <v>0</v>
      </c>
      <c r="AK54" s="94">
        <v>0</v>
      </c>
      <c r="AL54" s="94">
        <v>0</v>
      </c>
      <c r="AM54" s="95">
        <v>0</v>
      </c>
      <c r="AO54" s="120"/>
      <c r="AP54" s="120"/>
      <c r="AQ54" s="120"/>
      <c r="AR54" s="120"/>
      <c r="AS54" s="120"/>
      <c r="AT54" s="120"/>
      <c r="AU54" s="120"/>
      <c r="AV54" s="120"/>
      <c r="AW54" s="120"/>
    </row>
    <row r="55" spans="3:49" ht="15.6" x14ac:dyDescent="0.3">
      <c r="C55" s="2"/>
      <c r="D55" s="2"/>
      <c r="E55" s="2"/>
      <c r="F55" s="2"/>
      <c r="G55" s="2"/>
      <c r="H55" s="2"/>
      <c r="I55" s="2"/>
      <c r="J55" s="2" t="s">
        <v>62</v>
      </c>
      <c r="K55" s="92">
        <f t="shared" si="386"/>
        <v>0.20985809053627319</v>
      </c>
      <c r="L55" s="93">
        <f t="shared" si="386"/>
        <v>0.19963805527548756</v>
      </c>
      <c r="M55" s="93">
        <f t="shared" si="386"/>
        <v>0.1905035364960922</v>
      </c>
      <c r="N55" s="94">
        <f t="shared" si="386"/>
        <v>0</v>
      </c>
      <c r="O55" s="94">
        <f t="shared" si="386"/>
        <v>0</v>
      </c>
      <c r="P55" s="95">
        <f t="shared" si="386"/>
        <v>0</v>
      </c>
      <c r="X55" s="2" t="s">
        <v>62</v>
      </c>
      <c r="Y55" s="92">
        <f>(Y66*RiskyAnnuity3Y-Protection3Y*Y77)/RiskyAnnuity3Y^2*Notional</f>
        <v>0.21384042309761095</v>
      </c>
      <c r="Z55" s="93">
        <f>(Z66*RiskyAnnuity3Y-Protection3Y*Z77)/RiskyAnnuity3Y^2*Notional</f>
        <v>0.20047148831865766</v>
      </c>
      <c r="AA55" s="93">
        <f>(AA66*RiskyAnnuity3Y-Protection3Y*AA77)/RiskyAnnuity3Y^2*Notional</f>
        <v>0.19050354236802061</v>
      </c>
      <c r="AB55" s="94">
        <v>0</v>
      </c>
      <c r="AC55" s="94">
        <v>0</v>
      </c>
      <c r="AD55" s="95">
        <v>0</v>
      </c>
      <c r="AG55" s="2" t="s">
        <v>62</v>
      </c>
      <c r="AH55" s="92">
        <f t="shared" si="387"/>
        <v>0.20985809053627319</v>
      </c>
      <c r="AI55" s="93">
        <f>(AI66-$U16)/ShiftSize</f>
        <v>0.19963805527548756</v>
      </c>
      <c r="AJ55" s="93">
        <f>(AJ66-$U16)/ShiftSize</f>
        <v>0.1905035364960922</v>
      </c>
      <c r="AK55" s="94">
        <v>0</v>
      </c>
      <c r="AL55" s="94">
        <v>0</v>
      </c>
      <c r="AM55" s="95">
        <v>0</v>
      </c>
      <c r="AO55" s="120"/>
      <c r="AP55" s="120"/>
      <c r="AQ55" s="120"/>
      <c r="AR55" s="120"/>
      <c r="AS55" s="120"/>
      <c r="AT55" s="120"/>
      <c r="AU55" s="120"/>
      <c r="AV55" s="120"/>
      <c r="AW55" s="120"/>
    </row>
    <row r="56" spans="3:49" ht="15.6" x14ac:dyDescent="0.3">
      <c r="C56" s="2"/>
      <c r="D56" s="2"/>
      <c r="E56" s="2"/>
      <c r="F56" s="2"/>
      <c r="G56" s="2"/>
      <c r="H56" s="2"/>
      <c r="I56" s="2"/>
      <c r="J56" s="2" t="s">
        <v>63</v>
      </c>
      <c r="K56" s="92">
        <f t="shared" si="386"/>
        <v>0.16098444053508354</v>
      </c>
      <c r="L56" s="93">
        <f t="shared" si="386"/>
        <v>0.15314454072934414</v>
      </c>
      <c r="M56" s="93">
        <f t="shared" si="386"/>
        <v>0.14613735234078606</v>
      </c>
      <c r="N56" s="93">
        <f t="shared" si="386"/>
        <v>0.13973334888912198</v>
      </c>
      <c r="O56" s="94">
        <f t="shared" si="386"/>
        <v>0</v>
      </c>
      <c r="P56" s="95">
        <f t="shared" si="386"/>
        <v>0</v>
      </c>
      <c r="X56" s="2" t="s">
        <v>63</v>
      </c>
      <c r="Y56" s="92">
        <f>(Y67*RiskyAnnuity4Y-Protection4Y*Y78)/RiskyAnnuity4Y^2*Notional</f>
        <v>0.16802563790489286</v>
      </c>
      <c r="Z56" s="93">
        <f>(Z67*RiskyAnnuity4Y-Protection4Y*Z78)/RiskyAnnuity4Y^2*Notional</f>
        <v>0.15606255447224979</v>
      </c>
      <c r="AA56" s="93">
        <f>(AA67*RiskyAnnuity4Y-Protection4Y*AA78)/RiskyAnnuity4Y^2*Notional</f>
        <v>0.14674867341418979</v>
      </c>
      <c r="AB56" s="93">
        <f>(AB67*RiskyAnnuity4Y-Protection4Y*AB78)/RiskyAnnuity4Y^2*Notional</f>
        <v>0.1397333537722994</v>
      </c>
      <c r="AC56" s="94">
        <v>0</v>
      </c>
      <c r="AD56" s="95">
        <v>0</v>
      </c>
      <c r="AG56" s="2" t="s">
        <v>63</v>
      </c>
      <c r="AH56" s="92">
        <f t="shared" si="387"/>
        <v>0.16098444053508354</v>
      </c>
      <c r="AI56" s="93">
        <f>(AI67-$U17)/ShiftSize</f>
        <v>0.15314454072934414</v>
      </c>
      <c r="AJ56" s="93">
        <f>(AJ67-$U17)/ShiftSize</f>
        <v>0.14613735234078606</v>
      </c>
      <c r="AK56" s="93">
        <f>(AK67-$U17)/ShiftSize</f>
        <v>0.13973334888912198</v>
      </c>
      <c r="AL56" s="94">
        <v>0</v>
      </c>
      <c r="AM56" s="95">
        <v>0</v>
      </c>
      <c r="AO56" s="120"/>
      <c r="AP56" s="120"/>
      <c r="AQ56" s="120"/>
      <c r="AR56" s="120"/>
      <c r="AS56" s="120"/>
      <c r="AT56" s="120"/>
      <c r="AU56" s="120"/>
      <c r="AV56" s="120"/>
      <c r="AW56" s="120"/>
    </row>
    <row r="57" spans="3:49" ht="15.6" x14ac:dyDescent="0.3">
      <c r="C57" s="2"/>
      <c r="D57" s="2"/>
      <c r="E57" s="2"/>
      <c r="F57" s="2"/>
      <c r="G57" s="2"/>
      <c r="H57" s="2"/>
      <c r="I57" s="2"/>
      <c r="J57" s="2" t="s">
        <v>64</v>
      </c>
      <c r="K57" s="92">
        <f t="shared" si="386"/>
        <v>0.13163756447734376</v>
      </c>
      <c r="L57" s="93">
        <f t="shared" si="386"/>
        <v>0.12522685038235393</v>
      </c>
      <c r="M57" s="93">
        <f t="shared" si="386"/>
        <v>0.11949704739177419</v>
      </c>
      <c r="N57" s="93">
        <f t="shared" si="386"/>
        <v>0.11426047085479757</v>
      </c>
      <c r="O57" s="93">
        <f t="shared" si="386"/>
        <v>0.10937774907581604</v>
      </c>
      <c r="P57" s="95">
        <f t="shared" si="386"/>
        <v>0</v>
      </c>
      <c r="X57" s="2" t="s">
        <v>64</v>
      </c>
      <c r="Y57" s="92">
        <f>(Y68*RiskyAnnuity5Y-Protection5Y*Y79)/RiskyAnnuity5Y^2*Notional</f>
        <v>0.14187966037665761</v>
      </c>
      <c r="Z57" s="93">
        <f>(Z68*RiskyAnnuity5Y-Protection5Y*Z79)/RiskyAnnuity5Y^2*Notional</f>
        <v>0.13073030946726197</v>
      </c>
      <c r="AA57" s="93">
        <f>(AA68*RiskyAnnuity5Y-Protection5Y*AA79)/RiskyAnnuity5Y^2*Notional</f>
        <v>0.1217798328061559</v>
      </c>
      <c r="AB57" s="93">
        <f>(AB68*RiskyAnnuity5Y-Protection5Y*AB79)/RiskyAnnuity5Y^2*Notional</f>
        <v>0.11473899002189226</v>
      </c>
      <c r="AC57" s="93">
        <f>(AC68*RiskyAnnuity5Y-Protection5Y*AC79)/RiskyAnnuity5Y^2*Notional</f>
        <v>0.10937775326045436</v>
      </c>
      <c r="AD57" s="95">
        <v>0</v>
      </c>
      <c r="AG57" s="2" t="s">
        <v>64</v>
      </c>
      <c r="AH57" s="92">
        <f t="shared" si="387"/>
        <v>0.13163756447734376</v>
      </c>
      <c r="AI57" s="93">
        <f>(AI68-$U18)/ShiftSize</f>
        <v>0.12522685038235393</v>
      </c>
      <c r="AJ57" s="93">
        <f>(AJ68-$U18)/ShiftSize</f>
        <v>0.11949704739177419</v>
      </c>
      <c r="AK57" s="93">
        <f>(AK68-$U18)/ShiftSize</f>
        <v>0.11426047085479757</v>
      </c>
      <c r="AL57" s="93">
        <f>(AL68-$U18)/ShiftSize</f>
        <v>0.10937774907581604</v>
      </c>
      <c r="AM57" s="95">
        <v>0</v>
      </c>
      <c r="AO57" s="120"/>
      <c r="AP57" s="120"/>
      <c r="AQ57" s="120"/>
      <c r="AR57" s="120"/>
      <c r="AS57" s="120"/>
      <c r="AT57" s="120"/>
      <c r="AU57" s="120"/>
      <c r="AV57" s="120"/>
      <c r="AW57" s="120"/>
    </row>
    <row r="58" spans="3:49" ht="15.6" x14ac:dyDescent="0.3">
      <c r="C58" s="2"/>
      <c r="D58" s="2"/>
      <c r="E58" s="2"/>
      <c r="F58" s="2"/>
      <c r="G58" s="2"/>
      <c r="H58" s="2"/>
      <c r="I58" s="2"/>
      <c r="J58" s="2" t="s">
        <v>65</v>
      </c>
      <c r="K58" s="96">
        <f t="shared" si="386"/>
        <v>7.304205242811973E-2</v>
      </c>
      <c r="L58" s="97">
        <f t="shared" si="386"/>
        <v>6.9484924719413754E-2</v>
      </c>
      <c r="M58" s="97">
        <f t="shared" si="386"/>
        <v>6.6305615707175358E-2</v>
      </c>
      <c r="N58" s="97">
        <f t="shared" si="386"/>
        <v>6.3399984364005679E-2</v>
      </c>
      <c r="O58" s="97">
        <f t="shared" si="386"/>
        <v>6.0690697203068245E-2</v>
      </c>
      <c r="P58" s="98">
        <f t="shared" si="386"/>
        <v>0.26707637956237262</v>
      </c>
      <c r="X58" s="2" t="s">
        <v>65</v>
      </c>
      <c r="Y58" s="118">
        <f t="shared" ref="Y58:AD58" si="388">(Y69*RiskyAnnuity10Y-Protection10Y*Y80)/RiskyAnnuity10Y^2*Notional</f>
        <v>9.9897712444837652E-2</v>
      </c>
      <c r="Z58" s="97">
        <f t="shared" si="388"/>
        <v>9.0141624181893656E-2</v>
      </c>
      <c r="AA58" s="97">
        <f t="shared" si="388"/>
        <v>8.1693624758531438E-2</v>
      </c>
      <c r="AB58" s="97">
        <f t="shared" si="388"/>
        <v>7.4386357714393697E-2</v>
      </c>
      <c r="AC58" s="97">
        <f t="shared" si="388"/>
        <v>6.8087410402293352E-2</v>
      </c>
      <c r="AD58" s="98">
        <f t="shared" si="388"/>
        <v>0.26707641447814129</v>
      </c>
      <c r="AG58" s="2" t="s">
        <v>65</v>
      </c>
      <c r="AH58" s="118">
        <f t="shared" si="387"/>
        <v>7.304205242811973E-2</v>
      </c>
      <c r="AI58" s="119">
        <f>(AI69-$U19)/ShiftSize</f>
        <v>6.9484924719413754E-2</v>
      </c>
      <c r="AJ58" s="119">
        <f>(AJ69-$U19)/ShiftSize</f>
        <v>6.6305615707175358E-2</v>
      </c>
      <c r="AK58" s="119">
        <f>(AK69-$U19)/ShiftSize</f>
        <v>6.3399984364005679E-2</v>
      </c>
      <c r="AL58" s="119">
        <f>(AL69-$U19)/ShiftSize</f>
        <v>6.0690697203068245E-2</v>
      </c>
      <c r="AM58" s="98">
        <f>(AM69-$U19)/ShiftSize</f>
        <v>0.26707637956237262</v>
      </c>
      <c r="AO58" s="120"/>
      <c r="AP58" s="120"/>
      <c r="AQ58" s="120"/>
      <c r="AR58" s="120"/>
      <c r="AS58" s="120"/>
      <c r="AT58" s="120"/>
      <c r="AU58" s="120"/>
      <c r="AV58" s="120"/>
      <c r="AW58" s="120"/>
    </row>
    <row r="61" spans="3:49" x14ac:dyDescent="0.3">
      <c r="K61" s="1" t="s">
        <v>51</v>
      </c>
      <c r="Y61" s="1" t="s">
        <v>70</v>
      </c>
      <c r="AH61" s="1" t="s">
        <v>106</v>
      </c>
    </row>
    <row r="63" spans="3:49" ht="15.6" x14ac:dyDescent="0.3">
      <c r="C63" s="39"/>
      <c r="D63" s="39"/>
      <c r="E63" s="39"/>
      <c r="F63" s="39"/>
      <c r="G63" s="39"/>
      <c r="H63" s="39"/>
      <c r="I63" s="39"/>
      <c r="J63" s="39" t="s">
        <v>53</v>
      </c>
      <c r="K63" s="2" t="s">
        <v>60</v>
      </c>
      <c r="L63" s="2" t="s">
        <v>61</v>
      </c>
      <c r="M63" s="2" t="s">
        <v>62</v>
      </c>
      <c r="N63" s="2" t="s">
        <v>63</v>
      </c>
      <c r="O63" s="2" t="s">
        <v>64</v>
      </c>
      <c r="P63" s="2" t="s">
        <v>65</v>
      </c>
      <c r="X63" s="39" t="s">
        <v>84</v>
      </c>
      <c r="Y63" s="2" t="s">
        <v>54</v>
      </c>
      <c r="Z63" s="2" t="s">
        <v>55</v>
      </c>
      <c r="AA63" s="2" t="s">
        <v>56</v>
      </c>
      <c r="AB63" s="2" t="s">
        <v>57</v>
      </c>
      <c r="AC63" s="2" t="s">
        <v>58</v>
      </c>
      <c r="AD63" s="2" t="s">
        <v>59</v>
      </c>
      <c r="AG63" s="39" t="s">
        <v>105</v>
      </c>
      <c r="AH63" s="2" t="s">
        <v>54</v>
      </c>
      <c r="AI63" s="2" t="s">
        <v>55</v>
      </c>
      <c r="AJ63" s="2" t="s">
        <v>56</v>
      </c>
      <c r="AK63" s="2" t="s">
        <v>57</v>
      </c>
      <c r="AL63" s="2" t="s">
        <v>58</v>
      </c>
      <c r="AM63" s="2" t="s">
        <v>59</v>
      </c>
    </row>
    <row r="64" spans="3:49" ht="15.6" x14ac:dyDescent="0.3">
      <c r="C64" s="2"/>
      <c r="D64" s="2"/>
      <c r="E64" s="2"/>
      <c r="F64" s="2"/>
      <c r="G64" s="2"/>
      <c r="H64" s="2"/>
      <c r="I64" s="2"/>
      <c r="J64" s="2" t="s">
        <v>54</v>
      </c>
      <c r="K64" s="89" cm="1">
        <f t="array" ref="K64:P69">MINVERSE(K53:P58)</f>
        <v>1.666667549313974</v>
      </c>
      <c r="L64" s="90">
        <v>0</v>
      </c>
      <c r="M64" s="90">
        <v>0</v>
      </c>
      <c r="N64" s="90">
        <v>0</v>
      </c>
      <c r="O64" s="90">
        <v>0</v>
      </c>
      <c r="P64" s="91">
        <v>0</v>
      </c>
      <c r="X64" s="2" t="s">
        <v>72</v>
      </c>
      <c r="Y64" s="89">
        <f>(1-RecoveryRate)*YearFraction*(SUMPRODUCT($Z$5:$Z$8,$AB$5:$AB$8))</f>
        <v>0.5809689988594513</v>
      </c>
      <c r="Z64" s="90">
        <v>0</v>
      </c>
      <c r="AA64" s="90">
        <v>0</v>
      </c>
      <c r="AB64" s="90">
        <v>0</v>
      </c>
      <c r="AC64" s="90">
        <v>0</v>
      </c>
      <c r="AD64" s="91">
        <v>0</v>
      </c>
      <c r="AG64" s="2" t="s">
        <v>99</v>
      </c>
      <c r="AH64" s="133">
        <f t="shared" ref="AH64:AM69" si="389">AH75/AH86</f>
        <v>3.5000593796702954E-3</v>
      </c>
      <c r="AI64" s="30">
        <v>0</v>
      </c>
      <c r="AJ64" s="30">
        <v>0</v>
      </c>
      <c r="AK64" s="30">
        <v>0</v>
      </c>
      <c r="AL64" s="30">
        <v>0</v>
      </c>
      <c r="AM64" s="134">
        <v>0</v>
      </c>
    </row>
    <row r="65" spans="3:39" ht="15.6" x14ac:dyDescent="0.3">
      <c r="C65" s="2"/>
      <c r="D65" s="2"/>
      <c r="E65" s="2"/>
      <c r="F65" s="2"/>
      <c r="G65" s="2"/>
      <c r="H65" s="2"/>
      <c r="I65" s="2"/>
      <c r="J65" s="2" t="s">
        <v>55</v>
      </c>
      <c r="K65" s="92">
        <v>-1.7519889909674549</v>
      </c>
      <c r="L65" s="93">
        <v>3.4186565414428043</v>
      </c>
      <c r="M65" s="94">
        <v>0</v>
      </c>
      <c r="N65" s="94">
        <v>0</v>
      </c>
      <c r="O65" s="94">
        <v>0</v>
      </c>
      <c r="P65" s="95">
        <v>0</v>
      </c>
      <c r="X65" s="2" t="s">
        <v>73</v>
      </c>
      <c r="Y65" s="92">
        <f>(1-RecoveryRate)*YearFraction*(SUMPRODUCT($Z$5:$Z$8,$AB$5:$AB$8)-SUMPRODUCT($AA$9:$AA$12,$AB$9:$AB$12))</f>
        <v>0.58016242507779425</v>
      </c>
      <c r="Z65" s="93">
        <f>(1-RecoveryRate)*YearFraction*(SUMPRODUCT($Z$9:$Z$12,$AB$9:$AB$12))</f>
        <v>0.55267597569515181</v>
      </c>
      <c r="AA65" s="94">
        <v>0</v>
      </c>
      <c r="AB65" s="94">
        <v>0</v>
      </c>
      <c r="AC65" s="94">
        <v>0</v>
      </c>
      <c r="AD65" s="95">
        <v>0</v>
      </c>
      <c r="AG65" s="2" t="s">
        <v>100</v>
      </c>
      <c r="AH65" s="135">
        <f t="shared" si="389"/>
        <v>3.5000301284136199E-3</v>
      </c>
      <c r="AI65" s="136">
        <f t="shared" si="389"/>
        <v>3.5000286309587788E-3</v>
      </c>
      <c r="AJ65" s="18">
        <v>0</v>
      </c>
      <c r="AK65" s="18">
        <v>0</v>
      </c>
      <c r="AL65" s="18">
        <v>0</v>
      </c>
      <c r="AM65" s="137">
        <v>0</v>
      </c>
    </row>
    <row r="66" spans="3:39" ht="15.6" x14ac:dyDescent="0.3">
      <c r="C66" s="2"/>
      <c r="D66" s="2"/>
      <c r="E66" s="2"/>
      <c r="F66" s="2"/>
      <c r="G66" s="2"/>
      <c r="H66" s="2"/>
      <c r="I66" s="2"/>
      <c r="J66" s="2" t="s">
        <v>56</v>
      </c>
      <c r="K66" s="99">
        <v>2.9201588837173841E-8</v>
      </c>
      <c r="L66" s="93">
        <v>-3.5825788651564783</v>
      </c>
      <c r="M66" s="93">
        <v>5.2492463835206182</v>
      </c>
      <c r="N66" s="94">
        <v>0</v>
      </c>
      <c r="O66" s="94">
        <v>0</v>
      </c>
      <c r="P66" s="95">
        <v>0</v>
      </c>
      <c r="X66" s="2" t="s">
        <v>74</v>
      </c>
      <c r="Y66" s="92">
        <f>(1-RecoveryRate)*YearFraction*(SUMPRODUCT($Z$5:$Z$8,$AB$5:$AB$8)-SUMPRODUCT($AA$9:$AA$16,$AB$9:$AB$16))</f>
        <v>0.57939275637676591</v>
      </c>
      <c r="Z66" s="93">
        <f>(1-RecoveryRate)*YearFraction*(SUMPRODUCT($Z$9:$Z$12,$AB$9:$AB$12)-SUMPRODUCT($AA$13:$AA$16,$AB$13:$AB$16))</f>
        <v>0.55190630699412346</v>
      </c>
      <c r="AA66" s="93">
        <f>(1-RecoveryRate)*YearFraction*(SUMPRODUCT($Z$13:$Z$16,$AB$13:$AB$16))</f>
        <v>0.52738808274790627</v>
      </c>
      <c r="AB66" s="94">
        <v>0</v>
      </c>
      <c r="AC66" s="94">
        <v>0</v>
      </c>
      <c r="AD66" s="95">
        <v>0</v>
      </c>
      <c r="AG66" s="2" t="s">
        <v>101</v>
      </c>
      <c r="AH66" s="135">
        <f t="shared" si="389"/>
        <v>3.5000203655111443E-3</v>
      </c>
      <c r="AI66" s="136">
        <f t="shared" si="389"/>
        <v>3.5000193435076182E-3</v>
      </c>
      <c r="AJ66" s="136">
        <f t="shared" si="389"/>
        <v>3.5000184300557403E-3</v>
      </c>
      <c r="AK66" s="18">
        <v>0</v>
      </c>
      <c r="AL66" s="18">
        <v>0</v>
      </c>
      <c r="AM66" s="137">
        <v>0</v>
      </c>
    </row>
    <row r="67" spans="3:39" ht="15.6" x14ac:dyDescent="0.3">
      <c r="C67" s="2"/>
      <c r="D67" s="2"/>
      <c r="E67" s="2"/>
      <c r="F67" s="2"/>
      <c r="G67" s="2"/>
      <c r="H67" s="2"/>
      <c r="I67" s="2"/>
      <c r="J67" s="2" t="s">
        <v>57</v>
      </c>
      <c r="K67" s="99">
        <v>1.526368730971224E-8</v>
      </c>
      <c r="L67" s="100">
        <v>2.8306767739132327E-8</v>
      </c>
      <c r="M67" s="93">
        <v>-5.4898202495729915</v>
      </c>
      <c r="N67" s="93">
        <v>7.156487752923586</v>
      </c>
      <c r="O67" s="94">
        <v>0</v>
      </c>
      <c r="P67" s="95">
        <v>0</v>
      </c>
      <c r="X67" s="2" t="s">
        <v>75</v>
      </c>
      <c r="Y67" s="92">
        <f>(1-RecoveryRate)*YearFraction*(SUMPRODUCT($Z$5:$Z$8,$AB$5:$AB$8)-SUMPRODUCT($AA$9:$AA$20,$AB$9:$AB$20))</f>
        <v>0.57865681593470575</v>
      </c>
      <c r="Z67" s="93">
        <f>(1-RecoveryRate)*YearFraction*(SUMPRODUCT($Z$9:$Z$12,$AB$9:$AB$12)-SUMPRODUCT($AA$13:$AA$20,$AB$13:$AB$20))</f>
        <v>0.55117036655206331</v>
      </c>
      <c r="AA67" s="93">
        <f>(1-RecoveryRate)*YearFraction*(SUMPRODUCT($Z$13:$Z$16,$AB$13:$AB$16)-SUMPRODUCT($AA$17:$AA$20,$AB$17:$AB$20))</f>
        <v>0.52665214230584612</v>
      </c>
      <c r="AB67" s="93">
        <f>(1-RecoveryRate)*YearFraction*(SUMPRODUCT($Z$17:$Z$20,$AB$17:$AB$20))</f>
        <v>0.50427699377171098</v>
      </c>
      <c r="AC67" s="94">
        <v>0</v>
      </c>
      <c r="AD67" s="95">
        <v>0</v>
      </c>
      <c r="AG67" s="2" t="s">
        <v>102</v>
      </c>
      <c r="AH67" s="135">
        <f t="shared" si="389"/>
        <v>3.5000154781461455E-3</v>
      </c>
      <c r="AI67" s="136">
        <f t="shared" si="389"/>
        <v>3.5000146941561649E-3</v>
      </c>
      <c r="AJ67" s="136">
        <f t="shared" si="389"/>
        <v>3.5000139934373261E-3</v>
      </c>
      <c r="AK67" s="136">
        <f t="shared" si="389"/>
        <v>3.5000133530369809E-3</v>
      </c>
      <c r="AL67" s="18">
        <v>0</v>
      </c>
      <c r="AM67" s="137">
        <v>0</v>
      </c>
    </row>
    <row r="68" spans="3:39" ht="15.6" x14ac:dyDescent="0.3">
      <c r="C68" s="2"/>
      <c r="D68" s="2"/>
      <c r="E68" s="2"/>
      <c r="F68" s="2"/>
      <c r="G68" s="2"/>
      <c r="H68" s="2"/>
      <c r="I68" s="2"/>
      <c r="J68" s="2" t="s">
        <v>58</v>
      </c>
      <c r="K68" s="99">
        <v>9.3689822648114989E-9</v>
      </c>
      <c r="L68" s="100">
        <v>1.8066875005093456E-8</v>
      </c>
      <c r="M68" s="100">
        <v>2.5249648499269259E-8</v>
      </c>
      <c r="N68" s="93">
        <v>-7.475959847636318</v>
      </c>
      <c r="O68" s="93">
        <v>9.1426273483361058</v>
      </c>
      <c r="P68" s="95">
        <v>0</v>
      </c>
      <c r="X68" s="2" t="s">
        <v>76</v>
      </c>
      <c r="Y68" s="92">
        <f>(1-RecoveryRate)*YearFraction*(SUMPRODUCT($Z$5:$Z$8,$AB$5:$AB$8)-SUMPRODUCT($AA$9:$AA$24,$AB$9:$AB$24))</f>
        <v>0.57795232460959178</v>
      </c>
      <c r="Z68" s="93">
        <f>(1-RecoveryRate)*YearFraction*(SUMPRODUCT($Z$9:$Z$12,$AB$9:$AB$12)-SUMPRODUCT($AA$13:$AA$24,$AB$13:$AB$24))</f>
        <v>0.55046587522694945</v>
      </c>
      <c r="AA68" s="93">
        <f>(1-RecoveryRate)*YearFraction*(SUMPRODUCT($Z$13:$Z$16,$AB$13:$AB$16)-SUMPRODUCT($AA$17:$AA$24,$AB$17:$AB$24))</f>
        <v>0.52594765098073226</v>
      </c>
      <c r="AB68" s="93">
        <f>(1-RecoveryRate)*YearFraction*(SUMPRODUCT($Z$17:$Z$20,$AB$17:$AB$20)-SUMPRODUCT($AA$21:$AA$24,$AB$21:$AB$24))</f>
        <v>0.50357250244659713</v>
      </c>
      <c r="AC68" s="93">
        <f>(1-RecoveryRate)*YearFraction*(SUMPRODUCT($Z$21:$Z$24,$AB$21:$AB$24))</f>
        <v>0.48272760574509049</v>
      </c>
      <c r="AD68" s="95">
        <v>0</v>
      </c>
      <c r="AG68" s="2" t="s">
        <v>103</v>
      </c>
      <c r="AH68" s="135">
        <f t="shared" si="389"/>
        <v>3.5000125434585362E-3</v>
      </c>
      <c r="AI68" s="136">
        <f t="shared" si="389"/>
        <v>3.5000119023871267E-3</v>
      </c>
      <c r="AJ68" s="136">
        <f t="shared" si="389"/>
        <v>3.5000113294068277E-3</v>
      </c>
      <c r="AK68" s="136">
        <f t="shared" si="389"/>
        <v>3.500010805749174E-3</v>
      </c>
      <c r="AL68" s="136">
        <f t="shared" si="389"/>
        <v>3.5000103174769961E-3</v>
      </c>
      <c r="AM68" s="137">
        <v>0</v>
      </c>
    </row>
    <row r="69" spans="3:39" ht="15.6" x14ac:dyDescent="0.3">
      <c r="C69" s="2"/>
      <c r="D69" s="2"/>
      <c r="E69" s="2"/>
      <c r="F69" s="2"/>
      <c r="G69" s="2"/>
      <c r="H69" s="2"/>
      <c r="I69" s="2"/>
      <c r="J69" s="2" t="s">
        <v>59</v>
      </c>
      <c r="K69" s="101">
        <v>4.3314246532303568E-9</v>
      </c>
      <c r="L69" s="102">
        <v>8.0834155355391123E-9</v>
      </c>
      <c r="M69" s="102">
        <v>1.1209199916655335E-8</v>
      </c>
      <c r="N69" s="102">
        <v>1.4148156865793292E-8</v>
      </c>
      <c r="O69" s="97">
        <v>-2.0775795633727063</v>
      </c>
      <c r="P69" s="98">
        <v>3.7442472510619811</v>
      </c>
      <c r="X69" s="2" t="s">
        <v>77</v>
      </c>
      <c r="Y69" s="96">
        <f>(1-RecoveryRate)*YearFraction*(SUMPRODUCT($Z$5:$Z$8,$AB$5:$AB$8)-SUMPRODUCT($AA$9:$AA$44,$AB$9:$AB$44))</f>
        <v>0.57485212925622964</v>
      </c>
      <c r="Z69" s="119">
        <f>(1-RecoveryRate)*YearFraction*(SUMPRODUCT($Z$9:$Z$12,$AB$9:$AB$12)-SUMPRODUCT($AA$13:$AA$44,$AB$13:$AB$44))</f>
        <v>0.5473656798735872</v>
      </c>
      <c r="AA69" s="119">
        <f>(1-RecoveryRate)*YearFraction*(SUMPRODUCT($Z$13:$Z$16,$AB$13:$AB$16)-SUMPRODUCT($AA$17:$AA$44,$AB$17:$AB$44))</f>
        <v>0.52284745562737001</v>
      </c>
      <c r="AB69" s="119">
        <f>(1-RecoveryRate)*YearFraction*(SUMPRODUCT($Z$17:$Z$20,$AB$17:$AB$20)-SUMPRODUCT($AA$21:$AA$44,$AB$21:$AB$44))</f>
        <v>0.50047230709323487</v>
      </c>
      <c r="AC69" s="119">
        <f>(1-RecoveryRate)*YearFraction*(SUMPRODUCT($Z$21:$Z$24,$AB$21:$AB$24)-SUMPRODUCT($AA$25:$AA$44,$AB$25:$AB$44))</f>
        <v>0.47962741039172824</v>
      </c>
      <c r="AD69" s="98">
        <f>(1-RecoveryRate)*YearFraction*(SUMPRODUCT($Z$25:$Z$44,$AB$25:$AB$44))</f>
        <v>2.1242985213887238</v>
      </c>
      <c r="AG69" s="2" t="s">
        <v>104</v>
      </c>
      <c r="AH69" s="138">
        <f t="shared" si="389"/>
        <v>3.5000066839073205E-3</v>
      </c>
      <c r="AI69" s="146">
        <f t="shared" si="389"/>
        <v>3.5000063281945496E-3</v>
      </c>
      <c r="AJ69" s="146">
        <f t="shared" si="389"/>
        <v>3.5000060102636484E-3</v>
      </c>
      <c r="AK69" s="146">
        <f t="shared" si="389"/>
        <v>3.5000057197005141E-3</v>
      </c>
      <c r="AL69" s="146">
        <f t="shared" si="389"/>
        <v>3.500005448771798E-3</v>
      </c>
      <c r="AM69" s="147">
        <f t="shared" si="389"/>
        <v>3.5000260873400339E-3</v>
      </c>
    </row>
    <row r="72" spans="3:39" x14ac:dyDescent="0.3">
      <c r="Y72" s="1" t="s">
        <v>71</v>
      </c>
      <c r="AH72" s="1" t="s">
        <v>97</v>
      </c>
    </row>
    <row r="74" spans="3:39" ht="15.6" x14ac:dyDescent="0.3">
      <c r="X74" s="39" t="s">
        <v>85</v>
      </c>
      <c r="Y74" s="2" t="s">
        <v>54</v>
      </c>
      <c r="Z74" s="2" t="s">
        <v>55</v>
      </c>
      <c r="AA74" s="2" t="s">
        <v>56</v>
      </c>
      <c r="AB74" s="2" t="s">
        <v>57</v>
      </c>
      <c r="AC74" s="2" t="s">
        <v>58</v>
      </c>
      <c r="AD74" s="2" t="s">
        <v>59</v>
      </c>
      <c r="AG74" s="39" t="s">
        <v>84</v>
      </c>
      <c r="AH74" s="2" t="s">
        <v>54</v>
      </c>
      <c r="AI74" s="2" t="s">
        <v>55</v>
      </c>
      <c r="AJ74" s="2" t="s">
        <v>56</v>
      </c>
      <c r="AK74" s="2" t="s">
        <v>57</v>
      </c>
      <c r="AL74" s="2" t="s">
        <v>58</v>
      </c>
      <c r="AM74" s="2" t="s">
        <v>59</v>
      </c>
    </row>
    <row r="75" spans="3:39" ht="15.6" x14ac:dyDescent="0.3">
      <c r="X75" s="2" t="s">
        <v>78</v>
      </c>
      <c r="Y75" s="89">
        <f>-YearFraction*(0.5*YearFraction*SUMPRODUCT($Z$5:$Z$8,$AB$5:$AB$8))</f>
        <v>-0.12103520809571904</v>
      </c>
      <c r="Z75" s="90">
        <v>0</v>
      </c>
      <c r="AA75" s="90">
        <v>0</v>
      </c>
      <c r="AB75" s="90">
        <v>0</v>
      </c>
      <c r="AC75" s="90">
        <v>0</v>
      </c>
      <c r="AD75" s="91">
        <v>0</v>
      </c>
      <c r="AG75" s="2" t="s">
        <v>72</v>
      </c>
      <c r="AH75" s="139">
        <f>LGD*SUMPRODUCT($AK$5:$AK$8,DiscFactors1Y)</f>
        <v>3391.5161349538821</v>
      </c>
      <c r="AI75" s="32">
        <v>0</v>
      </c>
      <c r="AJ75" s="32">
        <v>0</v>
      </c>
      <c r="AK75" s="32">
        <v>0</v>
      </c>
      <c r="AL75" s="32">
        <v>0</v>
      </c>
      <c r="AM75" s="33">
        <v>0</v>
      </c>
    </row>
    <row r="76" spans="3:39" ht="15.6" x14ac:dyDescent="0.3">
      <c r="X76" s="2" t="s">
        <v>79</v>
      </c>
      <c r="Y76" s="92">
        <f>-YearFraction*(0.5*YearFraction*SUMPRODUCT($Z$5:$Z$8,$AB$5:$AB$8)+SUM($AB$9:$AB$12)*(YearFraction*SUM($Z$9:$Z$12)+0.5*YearFraction*SUM($AA$9:$AA$12)))</f>
        <v>-1.0428162083776682</v>
      </c>
      <c r="Z76" s="93">
        <f>-YearFraction*(0.5*YearFraction*SUMPRODUCT($Z$9:$Z$12,$AB$9:$AB$12))</f>
        <v>-0.1151408282698233</v>
      </c>
      <c r="AA76" s="94">
        <v>0</v>
      </c>
      <c r="AB76" s="94">
        <v>0</v>
      </c>
      <c r="AC76" s="94">
        <v>0</v>
      </c>
      <c r="AD76" s="95">
        <v>0</v>
      </c>
      <c r="AG76" s="2" t="s">
        <v>73</v>
      </c>
      <c r="AH76" s="140">
        <f>LGD*SUMPRODUCT($AK$5:$AK$12,DiscFactors2Y)</f>
        <v>6617.8109389527262</v>
      </c>
      <c r="AI76" s="141">
        <f>LGD*SUMPRODUCT($AO$5:$AO$12,DiscFactors2Y)</f>
        <v>6617.8084383137912</v>
      </c>
      <c r="AJ76" s="28">
        <v>0</v>
      </c>
      <c r="AK76" s="28">
        <v>0</v>
      </c>
      <c r="AL76" s="28">
        <v>0</v>
      </c>
      <c r="AM76" s="142">
        <v>0</v>
      </c>
    </row>
    <row r="77" spans="3:39" ht="15.6" x14ac:dyDescent="0.3">
      <c r="X77" s="2" t="s">
        <v>80</v>
      </c>
      <c r="Y77" s="92">
        <f>-YearFraction*(0.5*YearFraction*SUMPRODUCT($Z$5:$Z$8,$AB$5:$AB$8)+SUM($AB$9:$AB$16)*(YearFraction*SUM($Z$9:$Z$16)+0.5*YearFraction*SUM($AA$9:$AA$16)))</f>
        <v>-3.7235930229786733</v>
      </c>
      <c r="Z77" s="93">
        <f>-YearFraction*(0.5*YearFraction*SUMPRODUCT($Z$9:$Z$12,$AB$9:$AB$12)+SUM($AB$13:$AB$16)*(YearFraction*SUM($Z$13:$Z$16)+0.5*YearFraction*SUM($AA$13:$AA$16)))</f>
        <v>-0.99474642338624275</v>
      </c>
      <c r="AA77" s="93">
        <f>-YearFraction*(0.5*YearFraction*SUMPRODUCT($Z$13:$Z$16,$AB$13:$AB$16))</f>
        <v>-0.10987251723914715</v>
      </c>
      <c r="AB77" s="94">
        <v>0</v>
      </c>
      <c r="AC77" s="94">
        <v>0</v>
      </c>
      <c r="AD77" s="95">
        <v>0</v>
      </c>
      <c r="AG77" s="2" t="s">
        <v>74</v>
      </c>
      <c r="AH77" s="140">
        <f>LGD*SUMPRODUCT($AK$5:$AK$16,DiscFactors3Y)</f>
        <v>9696.4854351986305</v>
      </c>
      <c r="AI77" s="141">
        <f>LGD*SUMPRODUCT($AO$5:$AO$16,DiscFactors3Y)</f>
        <v>9696.4829345596972</v>
      </c>
      <c r="AJ77" s="141">
        <f>LGD*SUMPRODUCT($AS$5:$AS$16,DiscFactors3Y)</f>
        <v>9696.480719056839</v>
      </c>
      <c r="AK77" s="28">
        <v>0</v>
      </c>
      <c r="AL77" s="28">
        <v>0</v>
      </c>
      <c r="AM77" s="142">
        <v>0</v>
      </c>
    </row>
    <row r="78" spans="3:39" ht="15.6" x14ac:dyDescent="0.3">
      <c r="X78" s="2" t="s">
        <v>81</v>
      </c>
      <c r="Y78" s="92">
        <f>-YearFraction*(0.5*YearFraction*SUMPRODUCT($Z$5:$Z$8,$AB$5:$AB$8)+SUM($AB$9:$AB$20)*(YearFraction*SUM($Z$9:$Z$20)+0.5*YearFraction*SUM($AA$9:$AA$20)))</f>
        <v>-8.0471431063771703</v>
      </c>
      <c r="Z78" s="93">
        <f>-YearFraction*(0.5*YearFraction*SUMPRODUCT($Z$9:$Z$12,$AB$9:$AB$12)+SUM($AB$13:$AB$20)*(YearFraction*SUM($Z$13:$Z$20)+0.5*YearFraction*SUM($AA$13:$AA$20)))</f>
        <v>-3.556277012994951</v>
      </c>
      <c r="AA78" s="93">
        <f>-YearFraction*(0.5*YearFraction*SUMPRODUCT($Z$13:$Z$16,$AB$13:$AB$16)+SUM($AB$17:$AB$20)*(YearFraction*SUM($Z$17:$Z$20)+0.5*YearFraction*SUM($AA$17:$AA$20)))</f>
        <v>-0.95093280129625579</v>
      </c>
      <c r="AB78" s="93">
        <f>-YearFraction*(0.5*YearFraction*SUMPRODUCT($Z$17:$Z$20,$AB$17:$AB$20))</f>
        <v>-0.10505770703577313</v>
      </c>
      <c r="AC78" s="94">
        <v>0</v>
      </c>
      <c r="AD78" s="95">
        <v>0</v>
      </c>
      <c r="AG78" s="2" t="s">
        <v>75</v>
      </c>
      <c r="AH78" s="140">
        <f>LGD*SUMPRODUCT($AK$5:$AK$20,DiscFactors4Y)</f>
        <v>12640.246909063102</v>
      </c>
      <c r="AI78" s="141">
        <f>LGD*SUMPRODUCT($AO$5:$AO$20,DiscFactors4Y)</f>
        <v>12640.244408424169</v>
      </c>
      <c r="AJ78" s="141">
        <f>LGD*SUMPRODUCT($AS$5:$AS$20,DiscFactors4Y)</f>
        <v>12640.242192921311</v>
      </c>
      <c r="AK78" s="141">
        <f>LGD*SUMPRODUCT($AW$5:$AW$20,DiscFactors4Y)</f>
        <v>12640.240181165125</v>
      </c>
      <c r="AL78" s="28">
        <v>0</v>
      </c>
      <c r="AM78" s="142">
        <v>0</v>
      </c>
    </row>
    <row r="79" spans="3:39" ht="15.6" x14ac:dyDescent="0.3">
      <c r="X79" s="2" t="s">
        <v>82</v>
      </c>
      <c r="Y79" s="92">
        <f>-YearFraction*(0.5*YearFraction*SUMPRODUCT($Z$5:$Z$8,$AB$5:$AB$8)+SUM($AB$9:$AB$24)*(YearFraction*SUM($Z$9:$Z$24)+0.5*YearFraction*SUM($AA$9:$AA$24)))</f>
        <v>-13.907354071413238</v>
      </c>
      <c r="Z79" s="93">
        <f>-YearFraction*(0.5*YearFraction*SUMPRODUCT($Z$9:$Z$12,$AB$9:$AB$12)+SUM($AB$13:$AB$24)*(YearFraction*SUM($Z$13:$Z$24)+0.5*YearFraction*SUM($AA$13:$AA$24)))</f>
        <v>-7.6913648854194951</v>
      </c>
      <c r="AA79" s="93">
        <f>-YearFraction*(0.5*YearFraction*SUMPRODUCT($Z$13:$Z$16,$AB$13:$AB$16)+SUM($AB$17:$AB$24)*(YearFraction*SUM($Z$17:$Z$24)+0.5*YearFraction*SUM($AA$17:$AA$24)))</f>
        <v>-3.4020501111912331</v>
      </c>
      <c r="AB79" s="93">
        <f>-YearFraction*(0.5*YearFraction*SUMPRODUCT($Z$17:$Z$20,$AB$17:$AB$20)+SUM($AB$21:$AB$24)*(YearFraction*SUM($Z$21:$Z$24)+0.5*YearFraction*SUM($AA$21:$AA$24)))</f>
        <v>-0.91017704431236646</v>
      </c>
      <c r="AC79" s="93">
        <f>-YearFraction*(0.5*YearFraction*SUMPRODUCT($Z$21:$Z$24,$AB$21:$AB$24))</f>
        <v>-0.10056825119689386</v>
      </c>
      <c r="AD79" s="95">
        <v>0</v>
      </c>
      <c r="AG79" s="2" t="s">
        <v>76</v>
      </c>
      <c r="AH79" s="140">
        <f>LGD*SUMPRODUCT($AK$5:$AK$24,DiscFactors5Y)</f>
        <v>15458.211927722108</v>
      </c>
      <c r="AI79" s="141">
        <f>LGD*SUMPRODUCT($AO$5:$AO$24,DiscFactors5Y)</f>
        <v>15458.209427083175</v>
      </c>
      <c r="AJ79" s="141">
        <f>LGD*SUMPRODUCT($AS$5:$AS$24,DiscFactors5Y)</f>
        <v>15458.207211580315</v>
      </c>
      <c r="AK79" s="141">
        <f>LGD*SUMPRODUCT($AW$5:$AW$24,DiscFactors5Y)</f>
        <v>15458.205199824131</v>
      </c>
      <c r="AL79" s="141">
        <f>LGD*SUMPRODUCT($BA$5:$BA$24,DiscFactors5Y)</f>
        <v>15458.203331339126</v>
      </c>
      <c r="AM79" s="142">
        <v>0</v>
      </c>
    </row>
    <row r="80" spans="3:39" ht="15.6" x14ac:dyDescent="0.3">
      <c r="X80" s="2" t="s">
        <v>83</v>
      </c>
      <c r="Y80" s="96">
        <f>-YearFraction*(0.5*YearFraction*SUMPRODUCT($Z$5:$Z$8,$AB$5:$AB$8)+SUM($AB$9:$AB$44)*(YearFraction*SUM($Z$9:$Z$44)+0.5*YearFraction*SUM($AA$9:$AA$44)))</f>
        <v>-62.943854094164074</v>
      </c>
      <c r="Z80" s="97">
        <f>-YearFraction*(0.5*YearFraction*SUMPRODUCT($Z$9:$Z$12,$AB$9:$AB$12)+SUM($AB$13:$AB$44)*(YearFraction*SUM($Z$13:$Z$44)+0.5*YearFraction*SUM($AA$13:$AA$44)))</f>
        <v>-48.609833636644957</v>
      </c>
      <c r="AA80" s="97">
        <f>-YearFraction*(0.5*YearFraction*SUMPRODUCT($Z$13:$Z$16,$AB$13:$AB$16)+SUM($AB$17:$AB$44)*(YearFraction*SUM($Z$17:$Z$44)+0.5*YearFraction*SUM($AA$17:$AA$44)))</f>
        <v>-36.402603964192423</v>
      </c>
      <c r="AB80" s="97">
        <f>-YearFraction*(0.5*YearFraction*SUMPRODUCT($Z$17:$Z$20,$AB$17:$AB$20)+SUM($AB$21:$AB$44)*(YearFraction*SUM($Z$21:$Z$44)+0.5*YearFraction*SUM($AA$21:$AA$44)))</f>
        <v>-26.17732008330686</v>
      </c>
      <c r="AC80" s="97">
        <f>-YearFraction*(0.5*YearFraction*SUMPRODUCT($Z$21:$Z$24,$AB$21:$AB$24)+SUM($AB$25:$AB$44)*(YearFraction*SUM($Z$25:$Z$44)+0.5*YearFraction*SUM($AA$25:$AA$44)))</f>
        <v>-17.80794175812969</v>
      </c>
      <c r="AD80" s="98">
        <f>-YearFraction*(0.5*YearFraction*SUMPRODUCT($Z$25:$Z$44,$AB$25:$AB$44))</f>
        <v>-0.44256219195598412</v>
      </c>
      <c r="AG80" s="2" t="s">
        <v>77</v>
      </c>
      <c r="AH80" s="143">
        <f>LGD*SUMPRODUCT($AK$5:$AK$44,DiscFactors10Y)</f>
        <v>27858.992101093012</v>
      </c>
      <c r="AI80" s="144">
        <f>LGD*SUMPRODUCT($AO$5:$AO$44,DiscFactors10Y)</f>
        <v>27858.989600454079</v>
      </c>
      <c r="AJ80" s="144">
        <f>LGD*SUMPRODUCT($AS$5:$AS$44,DiscFactors10Y)</f>
        <v>27858.987384951219</v>
      </c>
      <c r="AK80" s="144">
        <f>LGD*SUMPRODUCT($AW$5:$AW$44,DiscFactors10Y)</f>
        <v>27858.985373195035</v>
      </c>
      <c r="AL80" s="144">
        <f>LGD*SUMPRODUCT($BA$5:$BA$44,DiscFactors10Y)</f>
        <v>27858.983504710028</v>
      </c>
      <c r="AM80" s="145">
        <f>LGD*SUMPRODUCT($BE$5:$BE$44,DiscFactors10Y)</f>
        <v>27859.146172783501</v>
      </c>
    </row>
    <row r="83" spans="33:39" x14ac:dyDescent="0.3">
      <c r="AH83" s="1" t="s">
        <v>98</v>
      </c>
    </row>
    <row r="85" spans="33:39" ht="15.6" x14ac:dyDescent="0.3">
      <c r="AG85" s="39" t="s">
        <v>85</v>
      </c>
      <c r="AH85" s="2" t="s">
        <v>54</v>
      </c>
      <c r="AI85" s="2" t="s">
        <v>55</v>
      </c>
      <c r="AJ85" s="2" t="s">
        <v>56</v>
      </c>
      <c r="AK85" s="2" t="s">
        <v>57</v>
      </c>
      <c r="AL85" s="2" t="s">
        <v>58</v>
      </c>
      <c r="AM85" s="2" t="s">
        <v>59</v>
      </c>
    </row>
    <row r="86" spans="33:39" ht="15.6" x14ac:dyDescent="0.3">
      <c r="AG86" s="2" t="s">
        <v>78</v>
      </c>
      <c r="AH86" s="139">
        <f>Notional*YearFraction*(SUMPRODUCT($AJ$5:$AJ$8,DiscFactors1Y)+0.5*SUMPRODUCT($AK$5:$AK$8,DiscFactors1Y))</f>
        <v>968988.17050165648</v>
      </c>
      <c r="AI86" s="32">
        <v>0</v>
      </c>
      <c r="AJ86" s="32">
        <v>0</v>
      </c>
      <c r="AK86" s="32">
        <v>0</v>
      </c>
      <c r="AL86" s="32">
        <v>0</v>
      </c>
      <c r="AM86" s="33">
        <v>0</v>
      </c>
    </row>
    <row r="87" spans="33:39" ht="15.6" x14ac:dyDescent="0.3">
      <c r="AG87" s="2" t="s">
        <v>79</v>
      </c>
      <c r="AH87" s="140">
        <f>Notional*YearFraction*(SUMPRODUCT($AJ$5:$AJ$12,DiscFactors2Y)+0.5*SUMPRODUCT($AK$5:$AK$12,DiscFactors2Y))</f>
        <v>1890786.849298418</v>
      </c>
      <c r="AI87" s="141">
        <f>Notional*YearFraction*(SUMPRODUCT($AN$5:$AN$12,DiscFactors2Y)+0.5*SUMPRODUCT($AO$5:$AO$12,DiscFactors2Y))</f>
        <v>1890786.9437916412</v>
      </c>
      <c r="AJ87" s="28">
        <v>0</v>
      </c>
      <c r="AK87" s="28">
        <v>0</v>
      </c>
      <c r="AL87" s="28">
        <v>0</v>
      </c>
      <c r="AM87" s="142">
        <v>0</v>
      </c>
    </row>
    <row r="88" spans="33:39" ht="15.6" x14ac:dyDescent="0.3">
      <c r="AG88" s="2" t="s">
        <v>80</v>
      </c>
      <c r="AH88" s="140">
        <f>Notional*YearFraction*(SUMPRODUCT($AJ$5:$AJ$16,DiscFactors3Y)+0.5*SUMPRODUCT($AK$5:$AK$16,DiscFactors3Y))</f>
        <v>2770408.289833637</v>
      </c>
      <c r="AI88" s="141">
        <f>Notional*YearFraction*(SUMPRODUCT($AN$5:$AN$16,DiscFactors3Y)+0.5*SUMPRODUCT($AO$5:$AO$16,DiscFactors3Y))</f>
        <v>2770408.3843268598</v>
      </c>
      <c r="AJ88" s="141">
        <f>Notional*YearFraction*(SUMPRODUCT($AR$5:$AR$16,DiscFactors3Y)+0.5*SUMPRODUCT($AS$5:$AS$16,DiscFactors3Y))</f>
        <v>2770408.4743640665</v>
      </c>
      <c r="AK88" s="28">
        <v>0</v>
      </c>
      <c r="AL88" s="28">
        <v>0</v>
      </c>
      <c r="AM88" s="142">
        <v>0</v>
      </c>
    </row>
    <row r="89" spans="33:39" ht="15.6" x14ac:dyDescent="0.3">
      <c r="AG89" s="2" t="s">
        <v>81</v>
      </c>
      <c r="AH89" s="140">
        <f>Notional*YearFraction*(SUMPRODUCT($AJ$5:$AJ$20,DiscFactors4Y)+0.5*SUMPRODUCT($AK$5:$AK$20,DiscFactors4Y))</f>
        <v>3611483.1457140488</v>
      </c>
      <c r="AI89" s="141">
        <f>Notional*YearFraction*(SUMPRODUCT($AN$5:$AN$20,DiscFactors4Y)+0.5*SUMPRODUCT($AO$5:$AO$20,DiscFactors4Y))</f>
        <v>3611483.2402072717</v>
      </c>
      <c r="AJ89" s="141">
        <f>Notional*YearFraction*(SUMPRODUCT($AR$5:$AR$20,DiscFactors4Y)+0.5*SUMPRODUCT($AS$5:$AS$20,DiscFactors4Y))</f>
        <v>3611483.3302444783</v>
      </c>
      <c r="AK89" s="141">
        <f>Notional*YearFraction*(SUMPRODUCT($AV$5:$AV$20,DiscFactors4Y)+0.5*SUMPRODUCT($AW$5:$AW$20,DiscFactors4Y))</f>
        <v>3611483.4162552892</v>
      </c>
      <c r="AL89" s="28">
        <v>0</v>
      </c>
      <c r="AM89" s="142">
        <v>0</v>
      </c>
    </row>
    <row r="90" spans="33:39" ht="15.6" x14ac:dyDescent="0.3">
      <c r="AG90" s="2" t="s">
        <v>82</v>
      </c>
      <c r="AH90" s="140">
        <f>Notional*YearFraction*(SUMPRODUCT($AJ$5:$AJ$24,DiscFactors5Y)+0.5*SUMPRODUCT($AK$5:$AK$24,DiscFactors5Y))</f>
        <v>4416616.150880157</v>
      </c>
      <c r="AI90" s="141">
        <f>Notional*YearFraction*(SUMPRODUCT($AN$5:$AN$24,DiscFactors5Y)+0.5*SUMPRODUCT($AO$5:$AO$24,DiscFactors5Y))</f>
        <v>4416616.2453733804</v>
      </c>
      <c r="AJ90" s="141">
        <f>Notional*YearFraction*(SUMPRODUCT($AR$5:$AR$24,DiscFactors5Y)+0.5*SUMPRODUCT($AS$5:$AS$24,DiscFactors5Y))</f>
        <v>4416616.3354105856</v>
      </c>
      <c r="AK90" s="141">
        <f>Notional*YearFraction*(SUMPRODUCT($AV$5:$AV$24,DiscFactors5Y)+0.5*SUMPRODUCT($AW$5:$AW$24,DiscFactors5Y))</f>
        <v>4416616.4214213956</v>
      </c>
      <c r="AL90" s="141">
        <f>Notional*YearFraction*(SUMPRODUCT($AZ$5:$AZ$24,DiscFactors5Y)+0.5*SUMPRODUCT($BA$5:$BA$24,DiscFactors5Y))</f>
        <v>4416616.5037142709</v>
      </c>
      <c r="AM90" s="142">
        <v>0</v>
      </c>
    </row>
    <row r="91" spans="33:39" ht="15.6" x14ac:dyDescent="0.3">
      <c r="AG91" s="2" t="s">
        <v>83</v>
      </c>
      <c r="AH91" s="143">
        <f>Notional*YearFraction*(SUMPRODUCT($AJ$5:$AJ$44,DiscFactors10Y)+0.5*SUMPRODUCT($AK$5:$AK$44,DiscFactors10Y))</f>
        <v>7959696.8283477463</v>
      </c>
      <c r="AI91" s="144">
        <f>Notional*YearFraction*(SUMPRODUCT($AN$5:$AN$44,DiscFactors10Y)+0.5*SUMPRODUCT($AO$5:$AO$44,DiscFactors10Y))</f>
        <v>7959696.9228409696</v>
      </c>
      <c r="AJ91" s="144">
        <f>Notional*YearFraction*(SUMPRODUCT($AR$5:$AR$44,DiscFactors10Y)+0.5*SUMPRODUCT($AS$5:$AS$44,DiscFactors10Y))</f>
        <v>7959697.012878174</v>
      </c>
      <c r="AK91" s="144">
        <f>Notional*YearFraction*(SUMPRODUCT($AV$5:$AV$44,DiscFactors10Y)+0.5*SUMPRODUCT($AW$5:$AW$44,DiscFactors10Y))</f>
        <v>7959697.0988889849</v>
      </c>
      <c r="AL91" s="144">
        <f>Notional*YearFraction*(SUMPRODUCT($AZ$5:$AZ$44,DiscFactors10Y)+0.5*SUMPRODUCT($BA$5:$BA$44,DiscFactors10Y))</f>
        <v>7959697.1811818592</v>
      </c>
      <c r="AM91" s="145">
        <f>Notional*YearFraction*(SUMPRODUCT($BD$5:$BD$44,DiscFactors10Y)+0.5*SUMPRODUCT($BE$5:$BE$44,DiscFactors10Y))</f>
        <v>7959696.7215624452</v>
      </c>
    </row>
  </sheetData>
  <mergeCells count="7">
    <mergeCell ref="K9:L9"/>
    <mergeCell ref="K3:L3"/>
    <mergeCell ref="K4:L4"/>
    <mergeCell ref="K5:L5"/>
    <mergeCell ref="K6:L6"/>
    <mergeCell ref="K7:L7"/>
    <mergeCell ref="K8:L8"/>
  </mergeCells>
  <dataValidations count="2">
    <dataValidation type="list" allowBlank="1" showInputMessage="1" showErrorMessage="1" sqref="K51" xr:uid="{899B60DC-5F45-4045-B0AB-CB12A6081C8E}">
      <formula1>"ANALYTICAL,NUMERICAL"</formula1>
    </dataValidation>
    <dataValidation type="list" allowBlank="1" showInputMessage="1" showErrorMessage="1" sqref="O37" xr:uid="{3C0512C9-8732-4CD3-B20D-A600E7CF5C20}">
      <formula1>"TRUE,FALSE"</formula1>
    </dataValidation>
  </dataValidations>
  <pageMargins left="0.7" right="0.7" top="0.75" bottom="0.75" header="0.3" footer="0.3"/>
  <headerFooter>
    <oddFooter>&amp;R_x000D_&amp;1#&amp;"Aptos"&amp;10&amp;K008000 [ CLASSIFICAÇÃO: PÚBLICA ]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unCreditSolver">
                <anchor moveWithCells="1" sizeWithCells="1">
                  <from>
                    <xdr:col>10</xdr:col>
                    <xdr:colOff>30480</xdr:colOff>
                    <xdr:row>34</xdr:row>
                    <xdr:rowOff>38100</xdr:rowOff>
                  </from>
                  <to>
                    <xdr:col>12</xdr:col>
                    <xdr:colOff>144780</xdr:colOff>
                    <xdr:row>37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AC5DA-E8F3-4B0D-869F-162A35AA3D99}">
  <sheetPr codeName="Sheet4">
    <tabColor theme="7" tint="0.59999389629810485"/>
  </sheetPr>
  <dimension ref="B1:BF91"/>
  <sheetViews>
    <sheetView showGridLines="0" zoomScaleNormal="100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4.4" outlineLevelCol="2" x14ac:dyDescent="0.3"/>
  <cols>
    <col min="1" max="1" width="4.6640625" customWidth="1"/>
    <col min="2" max="2" width="9.33203125" hidden="1" customWidth="1" outlineLevel="1"/>
    <col min="3" max="8" width="12.6640625" hidden="1" customWidth="1" outlineLevel="1"/>
    <col min="9" max="9" width="12.6640625" customWidth="1" collapsed="1"/>
    <col min="10" max="10" width="9.33203125" customWidth="1"/>
    <col min="11" max="15" width="12.6640625" customWidth="1"/>
    <col min="16" max="16" width="15.6640625" customWidth="1"/>
    <col min="17" max="19" width="12.6640625" customWidth="1"/>
    <col min="20" max="22" width="15.6640625" customWidth="1"/>
    <col min="23" max="30" width="15.6640625" hidden="1" customWidth="1" outlineLevel="1"/>
    <col min="31" max="31" width="15.6640625" customWidth="1" collapsed="1"/>
    <col min="32" max="56" width="15.6640625" hidden="1" customWidth="1" outlineLevel="1"/>
    <col min="57" max="57" width="15.6640625" hidden="1" customWidth="1" outlineLevel="2"/>
    <col min="58" max="58" width="20.6640625" customWidth="1" collapsed="1"/>
  </cols>
  <sheetData>
    <row r="1" spans="3:58" x14ac:dyDescent="0.3">
      <c r="I1" s="124" t="s">
        <v>135</v>
      </c>
      <c r="J1" s="124"/>
      <c r="AE1" s="124" t="s">
        <v>158</v>
      </c>
      <c r="BF1" s="124" t="s">
        <v>159</v>
      </c>
    </row>
    <row r="2" spans="3:58" x14ac:dyDescent="0.3">
      <c r="C2" s="1" t="s">
        <v>139</v>
      </c>
      <c r="K2" s="55" t="s">
        <v>143</v>
      </c>
      <c r="O2" s="55" t="s">
        <v>144</v>
      </c>
      <c r="S2" s="1" t="s">
        <v>66</v>
      </c>
      <c r="X2" s="1" t="s">
        <v>93</v>
      </c>
      <c r="Y2" s="1"/>
      <c r="AE2" s="338" t="s">
        <v>329</v>
      </c>
      <c r="AH2" s="1" t="s">
        <v>88</v>
      </c>
      <c r="AJ2" s="1"/>
      <c r="AL2" s="1" t="s">
        <v>89</v>
      </c>
      <c r="AN2" s="1"/>
      <c r="AP2" s="1" t="s">
        <v>92</v>
      </c>
      <c r="AT2" s="1" t="s">
        <v>90</v>
      </c>
      <c r="AX2" s="1" t="s">
        <v>91</v>
      </c>
      <c r="BB2" s="1" t="s">
        <v>95</v>
      </c>
      <c r="BF2" s="124"/>
    </row>
    <row r="3" spans="3:58" x14ac:dyDescent="0.3">
      <c r="C3" t="s">
        <v>150</v>
      </c>
      <c r="K3" s="397" t="s">
        <v>0</v>
      </c>
      <c r="L3" s="398"/>
      <c r="M3" s="47" t="s">
        <v>337</v>
      </c>
      <c r="O3" s="40" t="s">
        <v>10</v>
      </c>
      <c r="P3" s="40" t="s">
        <v>67</v>
      </c>
      <c r="Q3" s="2" t="s">
        <v>110</v>
      </c>
      <c r="S3" s="40" t="s">
        <v>48</v>
      </c>
      <c r="T3" s="40" t="s">
        <v>20</v>
      </c>
      <c r="X3" s="41" t="s">
        <v>6</v>
      </c>
      <c r="Y3" s="41" t="s">
        <v>20</v>
      </c>
      <c r="Z3" s="41" t="s">
        <v>8</v>
      </c>
      <c r="AA3" s="41" t="s">
        <v>24</v>
      </c>
      <c r="AB3" s="41" t="s">
        <v>134</v>
      </c>
      <c r="AC3" s="41"/>
      <c r="AD3" s="41"/>
      <c r="AE3" s="41"/>
      <c r="AF3" s="41"/>
      <c r="AG3" s="41" t="s">
        <v>6</v>
      </c>
      <c r="AH3" s="2" t="s">
        <v>20</v>
      </c>
      <c r="AI3" s="41" t="s">
        <v>94</v>
      </c>
      <c r="AJ3" s="41" t="s">
        <v>8</v>
      </c>
      <c r="AK3" s="41" t="s">
        <v>24</v>
      </c>
      <c r="AL3" s="2" t="s">
        <v>20</v>
      </c>
      <c r="AM3" s="41" t="s">
        <v>94</v>
      </c>
      <c r="AN3" s="41" t="s">
        <v>8</v>
      </c>
      <c r="AO3" s="41" t="s">
        <v>24</v>
      </c>
      <c r="AP3" s="2" t="s">
        <v>20</v>
      </c>
      <c r="AQ3" s="41" t="s">
        <v>94</v>
      </c>
      <c r="AR3" s="41" t="s">
        <v>8</v>
      </c>
      <c r="AS3" s="41" t="s">
        <v>24</v>
      </c>
      <c r="AT3" s="2" t="s">
        <v>20</v>
      </c>
      <c r="AU3" s="41" t="s">
        <v>94</v>
      </c>
      <c r="AV3" s="41" t="s">
        <v>8</v>
      </c>
      <c r="AW3" s="41" t="s">
        <v>24</v>
      </c>
      <c r="AX3" s="2" t="s">
        <v>20</v>
      </c>
      <c r="AY3" s="41" t="s">
        <v>94</v>
      </c>
      <c r="AZ3" s="41" t="s">
        <v>8</v>
      </c>
      <c r="BA3" s="41" t="s">
        <v>24</v>
      </c>
      <c r="BB3" s="2" t="s">
        <v>20</v>
      </c>
      <c r="BC3" s="41" t="s">
        <v>94</v>
      </c>
      <c r="BD3" s="41" t="s">
        <v>8</v>
      </c>
      <c r="BE3" s="41" t="s">
        <v>24</v>
      </c>
    </row>
    <row r="4" spans="3:58" x14ac:dyDescent="0.3">
      <c r="C4" t="s">
        <v>151</v>
      </c>
      <c r="K4" s="399" t="s">
        <v>17</v>
      </c>
      <c r="L4" s="400"/>
      <c r="M4" s="48" t="s">
        <v>19</v>
      </c>
      <c r="O4" s="73" t="s">
        <v>11</v>
      </c>
      <c r="P4" s="74">
        <v>45</v>
      </c>
      <c r="Q4" s="18">
        <f t="shared" ref="Q4:Q9" si="0">P4/10000</f>
        <v>4.4999999999999997E-3</v>
      </c>
      <c r="S4" s="11">
        <v>1</v>
      </c>
      <c r="T4" s="86">
        <f t="shared" ref="T4:T9" si="1">N27</f>
        <v>7.4999999999999997E-3</v>
      </c>
      <c r="W4" s="18"/>
      <c r="X4" s="17">
        <v>0</v>
      </c>
      <c r="Y4" s="18" cm="1">
        <f t="array" ref="Y4">flatInterpolation(X4,$S$4:$S$9,$T$4:$T$9)</f>
        <v>7.4999999999999997E-3</v>
      </c>
      <c r="Z4" s="10">
        <v>1</v>
      </c>
      <c r="AA4" s="10">
        <v>0</v>
      </c>
      <c r="AB4" s="42" cm="1">
        <f t="array" ref="AB4">cubicInterpolation(CurveResults.Times,CurveResults.DFs,$X4)</f>
        <v>1</v>
      </c>
      <c r="AG4" s="17">
        <v>0</v>
      </c>
      <c r="AI4" s="10" t="s">
        <v>96</v>
      </c>
      <c r="AJ4" s="10">
        <v>1</v>
      </c>
      <c r="AK4" s="10">
        <v>0</v>
      </c>
      <c r="AM4" s="10" t="s">
        <v>96</v>
      </c>
      <c r="AN4" s="10">
        <v>1</v>
      </c>
      <c r="AO4" s="10">
        <v>0</v>
      </c>
      <c r="AQ4" s="10" t="s">
        <v>96</v>
      </c>
      <c r="AR4" s="10">
        <v>1</v>
      </c>
      <c r="AS4" s="10">
        <v>0</v>
      </c>
      <c r="AU4" s="10" t="s">
        <v>96</v>
      </c>
      <c r="AV4" s="10">
        <v>1</v>
      </c>
      <c r="AW4" s="10">
        <v>0</v>
      </c>
      <c r="AY4" s="10" t="s">
        <v>96</v>
      </c>
      <c r="AZ4" s="10">
        <v>1</v>
      </c>
      <c r="BA4" s="10">
        <v>0</v>
      </c>
      <c r="BC4" s="10" t="s">
        <v>96</v>
      </c>
      <c r="BD4" s="10">
        <v>1</v>
      </c>
      <c r="BE4" s="10">
        <v>0</v>
      </c>
    </row>
    <row r="5" spans="3:58" x14ac:dyDescent="0.3">
      <c r="K5" s="399" t="s">
        <v>3</v>
      </c>
      <c r="L5" s="400"/>
      <c r="M5" s="49" t="s">
        <v>4</v>
      </c>
      <c r="O5" s="75" t="s">
        <v>12</v>
      </c>
      <c r="P5" s="76">
        <v>45</v>
      </c>
      <c r="Q5" s="18">
        <f t="shared" si="0"/>
        <v>4.4999999999999997E-3</v>
      </c>
      <c r="S5" s="12">
        <v>2</v>
      </c>
      <c r="T5" s="87">
        <f t="shared" si="1"/>
        <v>7.4999999999999997E-3</v>
      </c>
      <c r="W5" s="18"/>
      <c r="X5" s="20">
        <f>YearFraction</f>
        <v>0.25</v>
      </c>
      <c r="Y5" s="21" cm="1">
        <f t="array" ref="Y5">flatInterpolation(X5,$S$4:$S$9,$T$4:$T$9)</f>
        <v>7.4999999999999997E-3</v>
      </c>
      <c r="Z5" s="22">
        <f t="shared" ref="Z5" si="2">EXP(-Y5*YearFraction)*Z4</f>
        <v>0.998126756714382</v>
      </c>
      <c r="AA5" s="22">
        <f t="shared" ref="AA5:AA44" si="3">Z4-Z5</f>
        <v>1.8732432856179981E-3</v>
      </c>
      <c r="AB5" s="23" cm="1">
        <f t="array" ref="AB5">cubicInterpolation(CurveResults.Times,CurveResults.DFs,$X5)</f>
        <v>0.98868042001719347</v>
      </c>
      <c r="AG5" s="20">
        <f>YearFraction</f>
        <v>0.25</v>
      </c>
      <c r="AH5" s="129">
        <f>HazardRate1Y+ShiftSize</f>
        <v>7.5001E-3</v>
      </c>
      <c r="AI5" s="30" cm="1">
        <f t="array" ref="AI5">flatInterpolation($AG5,$S$4:$S$9,AH$5:AH$10)</f>
        <v>7.5001E-3</v>
      </c>
      <c r="AJ5" s="22">
        <f t="shared" ref="AJ5" si="4">EXP(-AI5*YearFraction)*AJ4</f>
        <v>0.99812673176121336</v>
      </c>
      <c r="AK5" s="121">
        <f t="shared" ref="AK5:AK44" si="5">AJ4-AJ5</f>
        <v>1.8732682387866406E-3</v>
      </c>
      <c r="AL5" s="126">
        <f>HazardRate1Y</f>
        <v>7.4999999999999997E-3</v>
      </c>
      <c r="AM5" s="30" cm="1">
        <f t="array" ref="AM5">flatInterpolation($AG5,$S$4:$S$9,AL$5:AL$10)</f>
        <v>7.4999999999999997E-3</v>
      </c>
      <c r="AN5" s="22">
        <f t="shared" ref="AN5" si="6">EXP(-AM5*YearFraction)*AN4</f>
        <v>0.998126756714382</v>
      </c>
      <c r="AO5" s="121">
        <f t="shared" ref="AO5:AO44" si="7">AN4-AN5</f>
        <v>1.8732432856179981E-3</v>
      </c>
      <c r="AP5" s="126">
        <f>HazardRate1Y</f>
        <v>7.4999999999999997E-3</v>
      </c>
      <c r="AQ5" s="30" cm="1">
        <f t="array" ref="AQ5">flatInterpolation($AG5,$S$4:$S$9,AP$5:AP$10)</f>
        <v>7.4999999999999997E-3</v>
      </c>
      <c r="AR5" s="22">
        <f t="shared" ref="AR5" si="8">EXP(-AQ5*YearFraction)*AR4</f>
        <v>0.998126756714382</v>
      </c>
      <c r="AS5" s="121">
        <f t="shared" ref="AS5:AS44" si="9">AR4-AR5</f>
        <v>1.8732432856179981E-3</v>
      </c>
      <c r="AT5" s="126">
        <f>HazardRate1Y</f>
        <v>7.4999999999999997E-3</v>
      </c>
      <c r="AU5" s="30" cm="1">
        <f t="array" ref="AU5">flatInterpolation($AG5,$S$4:$S$9,AT$5:AT$10)</f>
        <v>7.4999999999999997E-3</v>
      </c>
      <c r="AV5" s="22">
        <f t="shared" ref="AV5" si="10">EXP(-AU5*YearFraction)*AV4</f>
        <v>0.998126756714382</v>
      </c>
      <c r="AW5" s="121">
        <f t="shared" ref="AW5:AW44" si="11">AV4-AV5</f>
        <v>1.8732432856179981E-3</v>
      </c>
      <c r="AX5" s="126">
        <f>HazardRate1Y</f>
        <v>7.4999999999999997E-3</v>
      </c>
      <c r="AY5" s="30" cm="1">
        <f t="array" ref="AY5">flatInterpolation($AG5,$S$4:$S$9,AX$5:AX$10)</f>
        <v>7.4999999999999997E-3</v>
      </c>
      <c r="AZ5" s="22">
        <f t="shared" ref="AZ5" si="12">EXP(-AY5*YearFraction)*AZ4</f>
        <v>0.998126756714382</v>
      </c>
      <c r="BA5" s="121">
        <f t="shared" ref="BA5:BA44" si="13">AZ4-AZ5</f>
        <v>1.8732432856179981E-3</v>
      </c>
      <c r="BB5" s="126">
        <f>HazardRate1Y</f>
        <v>7.4999999999999997E-3</v>
      </c>
      <c r="BC5" s="30" cm="1">
        <f t="array" ref="BC5">flatInterpolation($AG5,$S$4:$S$9,BB$5:BB$10)</f>
        <v>7.4999999999999997E-3</v>
      </c>
      <c r="BD5" s="22">
        <f t="shared" ref="BD5" si="14">EXP(-BC5*YearFraction)*BD4</f>
        <v>0.998126756714382</v>
      </c>
      <c r="BE5" s="121">
        <f t="shared" ref="BE5:BE44" si="15">BD4-BD5</f>
        <v>1.8732432856179981E-3</v>
      </c>
    </row>
    <row r="6" spans="3:58" x14ac:dyDescent="0.3">
      <c r="C6" s="1" t="s">
        <v>137</v>
      </c>
      <c r="D6" t="s">
        <v>141</v>
      </c>
      <c r="K6" s="399" t="s">
        <v>1</v>
      </c>
      <c r="L6" s="400"/>
      <c r="M6" s="51">
        <v>0.4</v>
      </c>
      <c r="O6" s="75" t="s">
        <v>13</v>
      </c>
      <c r="P6" s="76">
        <v>45</v>
      </c>
      <c r="Q6" s="18">
        <f t="shared" si="0"/>
        <v>4.4999999999999997E-3</v>
      </c>
      <c r="S6" s="12">
        <v>3</v>
      </c>
      <c r="T6" s="87">
        <f t="shared" si="1"/>
        <v>7.4999999999999997E-3</v>
      </c>
      <c r="W6" s="18"/>
      <c r="X6" s="24">
        <f t="shared" ref="X6" si="16">X5+YearFraction</f>
        <v>0.5</v>
      </c>
      <c r="Y6" s="25" cm="1">
        <f t="array" ref="Y6">flatInterpolation(X6,$S$4:$S$9,$T$4:$T$9)</f>
        <v>7.4999999999999997E-3</v>
      </c>
      <c r="Z6" s="26">
        <f t="shared" ref="Z6" si="17">EXP(-Y6*YearFraction)*Z5</f>
        <v>0.99625702246917114</v>
      </c>
      <c r="AA6" s="26">
        <f t="shared" si="3"/>
        <v>1.8697342452108634E-3</v>
      </c>
      <c r="AB6" s="27" cm="1">
        <f t="array" ref="AB6">cubicInterpolation(CurveResults.Times,CurveResults.DFs,$X6)</f>
        <v>0.97728436827331244</v>
      </c>
      <c r="AG6" s="24">
        <f t="shared" ref="AG6" si="18">AG5+YearFraction</f>
        <v>0.5</v>
      </c>
      <c r="AH6" s="130">
        <f>HazardRate2Y</f>
        <v>7.4999999999999997E-3</v>
      </c>
      <c r="AI6" s="18" cm="1">
        <f t="array" ref="AI6">flatInterpolation($AG6,$S$4:$S$9,AH$5:AH$10)</f>
        <v>7.5001E-3</v>
      </c>
      <c r="AJ6" s="26">
        <f t="shared" ref="AJ6" si="19">EXP(-AI6*YearFraction)*AJ5</f>
        <v>0.99625697265632118</v>
      </c>
      <c r="AK6" s="122">
        <f t="shared" si="5"/>
        <v>1.8697591048921769E-3</v>
      </c>
      <c r="AL6" s="128">
        <f>HazardRate2Y+ShiftSize</f>
        <v>7.5001E-3</v>
      </c>
      <c r="AM6" s="18" cm="1">
        <f t="array" ref="AM6">flatInterpolation($AG6,$S$4:$S$9,AL$5:AL$10)</f>
        <v>7.4999999999999997E-3</v>
      </c>
      <c r="AN6" s="26">
        <f t="shared" ref="AN6" si="20">EXP(-AM6*YearFraction)*AN5</f>
        <v>0.99625702246917114</v>
      </c>
      <c r="AO6" s="122">
        <f t="shared" si="7"/>
        <v>1.8697342452108634E-3</v>
      </c>
      <c r="AP6" s="127">
        <f>HazardRate2Y</f>
        <v>7.4999999999999997E-3</v>
      </c>
      <c r="AQ6" s="18" cm="1">
        <f t="array" ref="AQ6">flatInterpolation($AG6,$S$4:$S$9,AP$5:AP$10)</f>
        <v>7.4999999999999997E-3</v>
      </c>
      <c r="AR6" s="26">
        <f t="shared" ref="AR6" si="21">EXP(-AQ6*YearFraction)*AR5</f>
        <v>0.99625702246917114</v>
      </c>
      <c r="AS6" s="122">
        <f t="shared" si="9"/>
        <v>1.8697342452108634E-3</v>
      </c>
      <c r="AT6" s="127">
        <f>HazardRate2Y</f>
        <v>7.4999999999999997E-3</v>
      </c>
      <c r="AU6" s="18" cm="1">
        <f t="array" ref="AU6">flatInterpolation($AG6,$S$4:$S$9,AT$5:AT$10)</f>
        <v>7.4999999999999997E-3</v>
      </c>
      <c r="AV6" s="26">
        <f t="shared" ref="AV6" si="22">EXP(-AU6*YearFraction)*AV5</f>
        <v>0.99625702246917114</v>
      </c>
      <c r="AW6" s="122">
        <f t="shared" si="11"/>
        <v>1.8697342452108634E-3</v>
      </c>
      <c r="AX6" s="127">
        <f>HazardRate2Y</f>
        <v>7.4999999999999997E-3</v>
      </c>
      <c r="AY6" s="18" cm="1">
        <f t="array" ref="AY6">flatInterpolation($AG6,$S$4:$S$9,AX$5:AX$10)</f>
        <v>7.4999999999999997E-3</v>
      </c>
      <c r="AZ6" s="26">
        <f t="shared" ref="AZ6" si="23">EXP(-AY6*YearFraction)*AZ5</f>
        <v>0.99625702246917114</v>
      </c>
      <c r="BA6" s="122">
        <f t="shared" si="13"/>
        <v>1.8697342452108634E-3</v>
      </c>
      <c r="BB6" s="127">
        <f>HazardRate2Y</f>
        <v>7.4999999999999997E-3</v>
      </c>
      <c r="BC6" s="18" cm="1">
        <f t="array" ref="BC6">flatInterpolation($AG6,$S$4:$S$9,BB$5:BB$10)</f>
        <v>7.4999999999999997E-3</v>
      </c>
      <c r="BD6" s="26">
        <f t="shared" ref="BD6" si="24">EXP(-BC6*YearFraction)*BD5</f>
        <v>0.99625702246917114</v>
      </c>
      <c r="BE6" s="122">
        <f t="shared" si="15"/>
        <v>1.8697342452108634E-3</v>
      </c>
    </row>
    <row r="7" spans="3:58" x14ac:dyDescent="0.3">
      <c r="C7" s="1" t="s">
        <v>138</v>
      </c>
      <c r="D7" t="s">
        <v>142</v>
      </c>
      <c r="K7" s="399" t="s">
        <v>5</v>
      </c>
      <c r="L7" s="400"/>
      <c r="M7" s="52">
        <v>0.25</v>
      </c>
      <c r="O7" s="75" t="s">
        <v>14</v>
      </c>
      <c r="P7" s="76">
        <v>45</v>
      </c>
      <c r="Q7" s="18">
        <f t="shared" si="0"/>
        <v>4.4999999999999997E-3</v>
      </c>
      <c r="S7" s="12">
        <v>4</v>
      </c>
      <c r="T7" s="87">
        <f t="shared" si="1"/>
        <v>7.4999999999999997E-3</v>
      </c>
      <c r="W7" s="18"/>
      <c r="X7" s="24">
        <f t="shared" ref="X7" si="25">X6+YearFraction</f>
        <v>0.75</v>
      </c>
      <c r="Y7" s="25" cm="1">
        <f t="array" ref="Y7">flatInterpolation(X7,$S$4:$S$9,$T$4:$T$9)</f>
        <v>7.4999999999999997E-3</v>
      </c>
      <c r="Z7" s="26">
        <f t="shared" ref="Z7" si="26">EXP(-Y7*YearFraction)*Z6</f>
        <v>0.99439079069108094</v>
      </c>
      <c r="AA7" s="26">
        <f t="shared" si="3"/>
        <v>1.8662317780901994E-3</v>
      </c>
      <c r="AB7" s="27" cm="1">
        <f t="array" ref="AB7">cubicInterpolation(CurveResults.Times,CurveResults.DFs,$X7)</f>
        <v>0.96604126005158042</v>
      </c>
      <c r="AG7" s="24">
        <f t="shared" ref="AG7" si="27">AG6+YearFraction</f>
        <v>0.75</v>
      </c>
      <c r="AH7" s="130">
        <f>HazardRate3Y</f>
        <v>7.4999999999999997E-3</v>
      </c>
      <c r="AI7" s="18" cm="1">
        <f t="array" ref="AI7">flatInterpolation($AG7,$S$4:$S$9,AH$5:AH$10)</f>
        <v>7.5001E-3</v>
      </c>
      <c r="AJ7" s="26">
        <f t="shared" ref="AJ7" si="28">EXP(-AI7*YearFraction)*AJ6</f>
        <v>0.99439071611177432</v>
      </c>
      <c r="AK7" s="122">
        <f t="shared" si="5"/>
        <v>1.8662565445468626E-3</v>
      </c>
      <c r="AL7" s="127">
        <f>HazardRate3Y</f>
        <v>7.4999999999999997E-3</v>
      </c>
      <c r="AM7" s="18" cm="1">
        <f t="array" ref="AM7">flatInterpolation($AG7,$S$4:$S$9,AL$5:AL$10)</f>
        <v>7.4999999999999997E-3</v>
      </c>
      <c r="AN7" s="26">
        <f t="shared" ref="AN7" si="29">EXP(-AM7*YearFraction)*AN6</f>
        <v>0.99439079069108094</v>
      </c>
      <c r="AO7" s="122">
        <f t="shared" si="7"/>
        <v>1.8662317780901994E-3</v>
      </c>
      <c r="AP7" s="128">
        <f>HazardRate3Y+ShiftSize</f>
        <v>7.5001E-3</v>
      </c>
      <c r="AQ7" s="18" cm="1">
        <f t="array" ref="AQ7">flatInterpolation($AG7,$S$4:$S$9,AP$5:AP$10)</f>
        <v>7.4999999999999997E-3</v>
      </c>
      <c r="AR7" s="26">
        <f t="shared" ref="AR7" si="30">EXP(-AQ7*YearFraction)*AR6</f>
        <v>0.99439079069108094</v>
      </c>
      <c r="AS7" s="122">
        <f t="shared" si="9"/>
        <v>1.8662317780901994E-3</v>
      </c>
      <c r="AT7" s="127">
        <f>HazardRate3Y</f>
        <v>7.4999999999999997E-3</v>
      </c>
      <c r="AU7" s="18" cm="1">
        <f t="array" ref="AU7">flatInterpolation($AG7,$S$4:$S$9,AT$5:AT$10)</f>
        <v>7.4999999999999997E-3</v>
      </c>
      <c r="AV7" s="26">
        <f t="shared" ref="AV7" si="31">EXP(-AU7*YearFraction)*AV6</f>
        <v>0.99439079069108094</v>
      </c>
      <c r="AW7" s="122">
        <f t="shared" si="11"/>
        <v>1.8662317780901994E-3</v>
      </c>
      <c r="AX7" s="127">
        <f>HazardRate3Y</f>
        <v>7.4999999999999997E-3</v>
      </c>
      <c r="AY7" s="18" cm="1">
        <f t="array" ref="AY7">flatInterpolation($AG7,$S$4:$S$9,AX$5:AX$10)</f>
        <v>7.4999999999999997E-3</v>
      </c>
      <c r="AZ7" s="26">
        <f t="shared" ref="AZ7" si="32">EXP(-AY7*YearFraction)*AZ6</f>
        <v>0.99439079069108094</v>
      </c>
      <c r="BA7" s="122">
        <f t="shared" si="13"/>
        <v>1.8662317780901994E-3</v>
      </c>
      <c r="BB7" s="127">
        <f>HazardRate3Y</f>
        <v>7.4999999999999997E-3</v>
      </c>
      <c r="BC7" s="18" cm="1">
        <f t="array" ref="BC7">flatInterpolation($AG7,$S$4:$S$9,BB$5:BB$10)</f>
        <v>7.4999999999999997E-3</v>
      </c>
      <c r="BD7" s="26">
        <f t="shared" ref="BD7" si="33">EXP(-BC7*YearFraction)*BD6</f>
        <v>0.99439079069108094</v>
      </c>
      <c r="BE7" s="122">
        <f t="shared" si="15"/>
        <v>1.8662317780901994E-3</v>
      </c>
    </row>
    <row r="8" spans="3:58" x14ac:dyDescent="0.3">
      <c r="K8" s="399" t="s">
        <v>18</v>
      </c>
      <c r="L8" s="400"/>
      <c r="M8" s="165">
        <v>1000000</v>
      </c>
      <c r="O8" s="75" t="s">
        <v>15</v>
      </c>
      <c r="P8" s="76">
        <v>45</v>
      </c>
      <c r="Q8" s="18">
        <f t="shared" si="0"/>
        <v>4.4999999999999997E-3</v>
      </c>
      <c r="S8" s="12">
        <v>5</v>
      </c>
      <c r="T8" s="87">
        <f t="shared" si="1"/>
        <v>7.4999999999999997E-3</v>
      </c>
      <c r="W8" s="18"/>
      <c r="X8" s="24">
        <f t="shared" ref="X8" si="34">X7+YearFraction</f>
        <v>1</v>
      </c>
      <c r="Y8" s="25" cm="1">
        <f t="array" ref="Y8">flatInterpolation(X8,$S$4:$S$9,$T$4:$T$9)</f>
        <v>7.4999999999999997E-3</v>
      </c>
      <c r="Z8" s="26">
        <f t="shared" ref="Z8" si="35">EXP(-Y8*YearFraction)*Z7</f>
        <v>0.99252805481913853</v>
      </c>
      <c r="AA8" s="26">
        <f t="shared" si="3"/>
        <v>1.8627358719424114E-3</v>
      </c>
      <c r="AB8" s="27" cm="1">
        <f t="array" ref="AB8">cubicInterpolation(CurveResults.Times,CurveResults.DFs,$X8)</f>
        <v>0.95518051063522103</v>
      </c>
      <c r="AG8" s="24">
        <f t="shared" ref="AG8" si="36">AG7+YearFraction</f>
        <v>1</v>
      </c>
      <c r="AH8" s="130">
        <f>HazardRate4Y</f>
        <v>7.4999999999999997E-3</v>
      </c>
      <c r="AI8" s="18" cm="1">
        <f t="array" ref="AI8">flatInterpolation($AG8,$S$4:$S$9,AH$5:AH$10)</f>
        <v>7.5001E-3</v>
      </c>
      <c r="AJ8" s="26">
        <f t="shared" ref="AJ8" si="37">EXP(-AI8*YearFraction)*AJ7</f>
        <v>0.99252795556633788</v>
      </c>
      <c r="AK8" s="122">
        <f t="shared" si="5"/>
        <v>1.8627605454364371E-3</v>
      </c>
      <c r="AL8" s="127">
        <f>HazardRate4Y</f>
        <v>7.4999999999999997E-3</v>
      </c>
      <c r="AM8" s="18" cm="1">
        <f t="array" ref="AM8">flatInterpolation($AG8,$S$4:$S$9,AL$5:AL$10)</f>
        <v>7.4999999999999997E-3</v>
      </c>
      <c r="AN8" s="26">
        <f t="shared" ref="AN8" si="38">EXP(-AM8*YearFraction)*AN7</f>
        <v>0.99252805481913853</v>
      </c>
      <c r="AO8" s="122">
        <f t="shared" si="7"/>
        <v>1.8627358719424114E-3</v>
      </c>
      <c r="AP8" s="127">
        <f>HazardRate4Y</f>
        <v>7.4999999999999997E-3</v>
      </c>
      <c r="AQ8" s="18" cm="1">
        <f t="array" ref="AQ8">flatInterpolation($AG8,$S$4:$S$9,AP$5:AP$10)</f>
        <v>7.4999999999999997E-3</v>
      </c>
      <c r="AR8" s="26">
        <f t="shared" ref="AR8" si="39">EXP(-AQ8*YearFraction)*AR7</f>
        <v>0.99252805481913853</v>
      </c>
      <c r="AS8" s="122">
        <f t="shared" si="9"/>
        <v>1.8627358719424114E-3</v>
      </c>
      <c r="AT8" s="128">
        <f>HazardRate4Y+ShiftSize</f>
        <v>7.5001E-3</v>
      </c>
      <c r="AU8" s="18" cm="1">
        <f t="array" ref="AU8">flatInterpolation($AG8,$S$4:$S$9,AT$5:AT$10)</f>
        <v>7.4999999999999997E-3</v>
      </c>
      <c r="AV8" s="26">
        <f t="shared" ref="AV8" si="40">EXP(-AU8*YearFraction)*AV7</f>
        <v>0.99252805481913853</v>
      </c>
      <c r="AW8" s="122">
        <f t="shared" si="11"/>
        <v>1.8627358719424114E-3</v>
      </c>
      <c r="AX8" s="127">
        <f>HazardRate4Y</f>
        <v>7.4999999999999997E-3</v>
      </c>
      <c r="AY8" s="18" cm="1">
        <f t="array" ref="AY8">flatInterpolation($AG8,$S$4:$S$9,AX$5:AX$10)</f>
        <v>7.4999999999999997E-3</v>
      </c>
      <c r="AZ8" s="26">
        <f t="shared" ref="AZ8" si="41">EXP(-AY8*YearFraction)*AZ7</f>
        <v>0.99252805481913853</v>
      </c>
      <c r="BA8" s="122">
        <f t="shared" si="13"/>
        <v>1.8627358719424114E-3</v>
      </c>
      <c r="BB8" s="127">
        <f>HazardRate4Y</f>
        <v>7.4999999999999997E-3</v>
      </c>
      <c r="BC8" s="18" cm="1">
        <f t="array" ref="BC8">flatInterpolation($AG8,$S$4:$S$9,BB$5:BB$10)</f>
        <v>7.4999999999999997E-3</v>
      </c>
      <c r="BD8" s="26">
        <f t="shared" ref="BD8" si="42">EXP(-BC8*YearFraction)*BD7</f>
        <v>0.99252805481913853</v>
      </c>
      <c r="BE8" s="122">
        <f t="shared" si="15"/>
        <v>1.8627358719424114E-3</v>
      </c>
    </row>
    <row r="9" spans="3:58" x14ac:dyDescent="0.3">
      <c r="C9" s="1" t="s">
        <v>136</v>
      </c>
      <c r="K9" s="395" t="s">
        <v>9</v>
      </c>
      <c r="L9" s="396"/>
      <c r="M9" s="53">
        <f>Notional*(1-RecoveryRate)</f>
        <v>600000</v>
      </c>
      <c r="O9" s="77" t="s">
        <v>16</v>
      </c>
      <c r="P9" s="78">
        <v>45</v>
      </c>
      <c r="Q9" s="18">
        <f t="shared" si="0"/>
        <v>4.4999999999999997E-3</v>
      </c>
      <c r="S9" s="13">
        <v>10</v>
      </c>
      <c r="T9" s="88">
        <f t="shared" si="1"/>
        <v>7.4999999999999997E-3</v>
      </c>
      <c r="W9" s="18"/>
      <c r="X9" s="24">
        <f t="shared" ref="X9" si="43">X8+YearFraction</f>
        <v>1.25</v>
      </c>
      <c r="Y9" s="25" cm="1">
        <f t="array" ref="Y9">flatInterpolation(X9,$S$4:$S$9,$T$4:$T$9)</f>
        <v>7.4999999999999997E-3</v>
      </c>
      <c r="Z9" s="26">
        <f t="shared" ref="Z9" si="44">EXP(-Y9*YearFraction)*Z8</f>
        <v>0.99066880830466109</v>
      </c>
      <c r="AA9" s="26">
        <f t="shared" si="3"/>
        <v>1.8592465144774417E-3</v>
      </c>
      <c r="AB9" s="27" cm="1">
        <f t="array" ref="AB9">cubicInterpolation(CurveResults.Times,CurveResults.DFs,$X9)</f>
        <v>0.94476174559314918</v>
      </c>
      <c r="AG9" s="24">
        <f t="shared" ref="AG9" si="45">AG8+YearFraction</f>
        <v>1.25</v>
      </c>
      <c r="AH9" s="130">
        <f>HazardRate5Y</f>
        <v>7.4999999999999997E-3</v>
      </c>
      <c r="AI9" s="18" cm="1">
        <f t="array" ref="AI9">flatInterpolation($AG9,$S$4:$S$9,AH$5:AH$10)</f>
        <v>7.4999999999999997E-3</v>
      </c>
      <c r="AJ9" s="26">
        <f t="shared" ref="AJ9" si="46">EXP(-AI9*YearFraction)*AJ8</f>
        <v>0.99066870923778505</v>
      </c>
      <c r="AK9" s="122">
        <f t="shared" si="5"/>
        <v>1.8592463285528327E-3</v>
      </c>
      <c r="AL9" s="127">
        <f>HazardRate5Y</f>
        <v>7.4999999999999997E-3</v>
      </c>
      <c r="AM9" s="18" cm="1">
        <f t="array" ref="AM9">flatInterpolation($AG9,$S$4:$S$9,AL$5:AL$10)</f>
        <v>7.5001E-3</v>
      </c>
      <c r="AN9" s="26">
        <f t="shared" ref="AN9" si="47">EXP(-AM9*YearFraction)*AN8</f>
        <v>0.99066878353794119</v>
      </c>
      <c r="AO9" s="122">
        <f t="shared" si="7"/>
        <v>1.8592712811973389E-3</v>
      </c>
      <c r="AP9" s="127">
        <f>HazardRate5Y</f>
        <v>7.4999999999999997E-3</v>
      </c>
      <c r="AQ9" s="18" cm="1">
        <f t="array" ref="AQ9">flatInterpolation($AG9,$S$4:$S$9,AP$5:AP$10)</f>
        <v>7.4999999999999997E-3</v>
      </c>
      <c r="AR9" s="26">
        <f t="shared" ref="AR9" si="48">EXP(-AQ9*YearFraction)*AR8</f>
        <v>0.99066880830466109</v>
      </c>
      <c r="AS9" s="122">
        <f t="shared" si="9"/>
        <v>1.8592465144774417E-3</v>
      </c>
      <c r="AT9" s="127">
        <f>HazardRate5Y</f>
        <v>7.4999999999999997E-3</v>
      </c>
      <c r="AU9" s="18" cm="1">
        <f t="array" ref="AU9">flatInterpolation($AG9,$S$4:$S$9,AT$5:AT$10)</f>
        <v>7.4999999999999997E-3</v>
      </c>
      <c r="AV9" s="26">
        <f t="shared" ref="AV9" si="49">EXP(-AU9*YearFraction)*AV8</f>
        <v>0.99066880830466109</v>
      </c>
      <c r="AW9" s="122">
        <f t="shared" si="11"/>
        <v>1.8592465144774417E-3</v>
      </c>
      <c r="AX9" s="128">
        <f>HazardRate5Y+ShiftSize</f>
        <v>7.5001E-3</v>
      </c>
      <c r="AY9" s="18" cm="1">
        <f t="array" ref="AY9">flatInterpolation($AG9,$S$4:$S$9,AX$5:AX$10)</f>
        <v>7.4999999999999997E-3</v>
      </c>
      <c r="AZ9" s="26">
        <f t="shared" ref="AZ9" si="50">EXP(-AY9*YearFraction)*AZ8</f>
        <v>0.99066880830466109</v>
      </c>
      <c r="BA9" s="122">
        <f t="shared" si="13"/>
        <v>1.8592465144774417E-3</v>
      </c>
      <c r="BB9" s="127">
        <f>HazardRate5Y</f>
        <v>7.4999999999999997E-3</v>
      </c>
      <c r="BC9" s="18" cm="1">
        <f t="array" ref="BC9">flatInterpolation($AG9,$S$4:$S$9,BB$5:BB$10)</f>
        <v>7.4999999999999997E-3</v>
      </c>
      <c r="BD9" s="26">
        <f t="shared" ref="BD9" si="51">EXP(-BC9*YearFraction)*BD8</f>
        <v>0.99066880830466109</v>
      </c>
      <c r="BE9" s="122">
        <f t="shared" si="15"/>
        <v>1.8592465144774417E-3</v>
      </c>
    </row>
    <row r="10" spans="3:58" x14ac:dyDescent="0.3">
      <c r="C10" t="s">
        <v>140</v>
      </c>
      <c r="X10" s="24">
        <f t="shared" ref="X10" si="52">X9+YearFraction</f>
        <v>1.5</v>
      </c>
      <c r="Y10" s="25" cm="1">
        <f t="array" ref="Y10">flatInterpolation(X10,$S$4:$S$9,$T$4:$T$9)</f>
        <v>7.4999999999999997E-3</v>
      </c>
      <c r="Z10" s="26">
        <f t="shared" ref="Z10" si="53">EXP(-Y10*YearFraction)*Z9</f>
        <v>0.98881304461123321</v>
      </c>
      <c r="AA10" s="26">
        <f t="shared" si="3"/>
        <v>1.8557636934278809E-3</v>
      </c>
      <c r="AB10" s="27" cm="1">
        <f t="array" ref="AB10">cubicInterpolation(CurveResults.Times,CurveResults.DFs,$X10)</f>
        <v>0.93466312738762736</v>
      </c>
      <c r="AG10" s="24">
        <f t="shared" ref="AG10" si="54">AG9+YearFraction</f>
        <v>1.5</v>
      </c>
      <c r="AH10" s="130">
        <f>HazardRate10Y</f>
        <v>7.4999999999999997E-3</v>
      </c>
      <c r="AI10" s="18" cm="1">
        <f t="array" ref="AI10">flatInterpolation($AG10,$S$4:$S$9,AH$5:AH$10)</f>
        <v>7.4999999999999997E-3</v>
      </c>
      <c r="AJ10" s="26">
        <f t="shared" ref="AJ10" si="55">EXP(-AI10*YearFraction)*AJ9</f>
        <v>0.9888129457299335</v>
      </c>
      <c r="AK10" s="122">
        <f t="shared" si="5"/>
        <v>1.8557635078515489E-3</v>
      </c>
      <c r="AL10" s="127">
        <f>HazardRate10Y</f>
        <v>7.4999999999999997E-3</v>
      </c>
      <c r="AM10" s="18" cm="1">
        <f t="array" ref="AM10">flatInterpolation($AG10,$S$4:$S$9,AL$5:AL$10)</f>
        <v>7.5001E-3</v>
      </c>
      <c r="AN10" s="26">
        <f t="shared" ref="AN10" si="56">EXP(-AM10*YearFraction)*AN9</f>
        <v>0.98881299517058219</v>
      </c>
      <c r="AO10" s="122">
        <f t="shared" si="7"/>
        <v>1.8557883673590014E-3</v>
      </c>
      <c r="AP10" s="127">
        <f>HazardRate10Y</f>
        <v>7.4999999999999997E-3</v>
      </c>
      <c r="AQ10" s="18" cm="1">
        <f t="array" ref="AQ10">flatInterpolation($AG10,$S$4:$S$9,AP$5:AP$10)</f>
        <v>7.4999999999999997E-3</v>
      </c>
      <c r="AR10" s="26">
        <f t="shared" ref="AR10" si="57">EXP(-AQ10*YearFraction)*AR9</f>
        <v>0.98881304461123321</v>
      </c>
      <c r="AS10" s="122">
        <f t="shared" si="9"/>
        <v>1.8557636934278809E-3</v>
      </c>
      <c r="AT10" s="127">
        <f>HazardRate10Y</f>
        <v>7.4999999999999997E-3</v>
      </c>
      <c r="AU10" s="18" cm="1">
        <f t="array" ref="AU10">flatInterpolation($AG10,$S$4:$S$9,AT$5:AT$10)</f>
        <v>7.4999999999999997E-3</v>
      </c>
      <c r="AV10" s="26">
        <f t="shared" ref="AV10" si="58">EXP(-AU10*YearFraction)*AV9</f>
        <v>0.98881304461123321</v>
      </c>
      <c r="AW10" s="122">
        <f t="shared" si="11"/>
        <v>1.8557636934278809E-3</v>
      </c>
      <c r="AX10" s="127">
        <f>HazardRate10Y</f>
        <v>7.4999999999999997E-3</v>
      </c>
      <c r="AY10" s="18" cm="1">
        <f t="array" ref="AY10">flatInterpolation($AG10,$S$4:$S$9,AX$5:AX$10)</f>
        <v>7.4999999999999997E-3</v>
      </c>
      <c r="AZ10" s="26">
        <f t="shared" ref="AZ10" si="59">EXP(-AY10*YearFraction)*AZ9</f>
        <v>0.98881304461123321</v>
      </c>
      <c r="BA10" s="122">
        <f t="shared" si="13"/>
        <v>1.8557636934278809E-3</v>
      </c>
      <c r="BB10" s="128">
        <f>HazardRate10Y+ShiftSize</f>
        <v>7.5001E-3</v>
      </c>
      <c r="BC10" s="18" cm="1">
        <f t="array" ref="BC10">flatInterpolation($AG10,$S$4:$S$9,BB$5:BB$10)</f>
        <v>7.4999999999999997E-3</v>
      </c>
      <c r="BD10" s="26">
        <f t="shared" ref="BD10" si="60">EXP(-BC10*YearFraction)*BD9</f>
        <v>0.98881304461123321</v>
      </c>
      <c r="BE10" s="122">
        <f t="shared" si="15"/>
        <v>1.8557636934278809E-3</v>
      </c>
    </row>
    <row r="11" spans="3:58" x14ac:dyDescent="0.3">
      <c r="C11" t="s">
        <v>160</v>
      </c>
      <c r="X11" s="24">
        <f t="shared" ref="X11" si="61">X10+YearFraction</f>
        <v>1.75</v>
      </c>
      <c r="Y11" s="25" cm="1">
        <f t="array" ref="Y11">flatInterpolation(X11,$S$4:$S$9,$T$4:$T$9)</f>
        <v>7.4999999999999997E-3</v>
      </c>
      <c r="Z11" s="26">
        <f t="shared" ref="Z11" si="62">EXP(-Y11*YearFraction)*Z10</f>
        <v>0.98696075721468368</v>
      </c>
      <c r="AA11" s="26">
        <f t="shared" si="3"/>
        <v>1.8522873965495235E-3</v>
      </c>
      <c r="AB11" s="27" cm="1">
        <f t="array" ref="AB11">cubicInterpolation(CurveResults.Times,CurveResults.DFs,$X11)</f>
        <v>0.92484187664189998</v>
      </c>
      <c r="AG11" s="24">
        <f t="shared" ref="AG11" si="63">AG10+YearFraction</f>
        <v>1.75</v>
      </c>
      <c r="AI11" s="18" cm="1">
        <f t="array" ref="AI11">flatInterpolation($AG11,$S$4:$S$9,AH$5:AH$10)</f>
        <v>7.4999999999999997E-3</v>
      </c>
      <c r="AJ11" s="26">
        <f t="shared" ref="AJ11" si="64">EXP(-AI11*YearFraction)*AJ10</f>
        <v>0.9869606585186127</v>
      </c>
      <c r="AK11" s="122">
        <f t="shared" si="5"/>
        <v>1.8522872113208022E-3</v>
      </c>
      <c r="AL11" s="116"/>
      <c r="AM11" s="18" cm="1">
        <f t="array" ref="AM11">flatInterpolation($AG11,$S$4:$S$9,AL$5:AL$10)</f>
        <v>7.5001E-3</v>
      </c>
      <c r="AN11" s="26">
        <f t="shared" ref="AN11" si="65">EXP(-AM11*YearFraction)*AN10</f>
        <v>0.98696068319262964</v>
      </c>
      <c r="AO11" s="122">
        <f t="shared" si="7"/>
        <v>1.8523119779525477E-3</v>
      </c>
      <c r="AP11" s="116"/>
      <c r="AQ11" s="18" cm="1">
        <f t="array" ref="AQ11">flatInterpolation($AG11,$S$4:$S$9,AP$5:AP$10)</f>
        <v>7.4999999999999997E-3</v>
      </c>
      <c r="AR11" s="26">
        <f t="shared" ref="AR11" si="66">EXP(-AQ11*YearFraction)*AR10</f>
        <v>0.98696075721468368</v>
      </c>
      <c r="AS11" s="122">
        <f t="shared" si="9"/>
        <v>1.8522873965495235E-3</v>
      </c>
      <c r="AT11" s="116"/>
      <c r="AU11" s="18" cm="1">
        <f t="array" ref="AU11">flatInterpolation($AG11,$S$4:$S$9,AT$5:AT$10)</f>
        <v>7.4999999999999997E-3</v>
      </c>
      <c r="AV11" s="26">
        <f t="shared" ref="AV11" si="67">EXP(-AU11*YearFraction)*AV10</f>
        <v>0.98696075721468368</v>
      </c>
      <c r="AW11" s="122">
        <f t="shared" si="11"/>
        <v>1.8522873965495235E-3</v>
      </c>
      <c r="AX11" s="116"/>
      <c r="AY11" s="18" cm="1">
        <f t="array" ref="AY11">flatInterpolation($AG11,$S$4:$S$9,AX$5:AX$10)</f>
        <v>7.4999999999999997E-3</v>
      </c>
      <c r="AZ11" s="26">
        <f t="shared" ref="AZ11" si="68">EXP(-AY11*YearFraction)*AZ10</f>
        <v>0.98696075721468368</v>
      </c>
      <c r="BA11" s="122">
        <f t="shared" si="13"/>
        <v>1.8522873965495235E-3</v>
      </c>
      <c r="BB11" s="116"/>
      <c r="BC11" s="18" cm="1">
        <f t="array" ref="BC11">flatInterpolation($AG11,$S$4:$S$9,BB$5:BB$10)</f>
        <v>7.4999999999999997E-3</v>
      </c>
      <c r="BD11" s="26">
        <f t="shared" ref="BD11" si="69">EXP(-BC11*YearFraction)*BD10</f>
        <v>0.98696075721468368</v>
      </c>
      <c r="BE11" s="122">
        <f t="shared" si="15"/>
        <v>1.8522873965495235E-3</v>
      </c>
    </row>
    <row r="12" spans="3:58" x14ac:dyDescent="0.3">
      <c r="K12" s="1" t="s">
        <v>50</v>
      </c>
      <c r="S12" s="1" t="s">
        <v>68</v>
      </c>
      <c r="X12" s="24">
        <f t="shared" ref="X12" si="70">X11+YearFraction</f>
        <v>2</v>
      </c>
      <c r="Y12" s="25" cm="1">
        <f t="array" ref="Y12">flatInterpolation(X12,$S$4:$S$9,$T$4:$T$9)</f>
        <v>7.4999999999999997E-3</v>
      </c>
      <c r="Z12" s="26">
        <f t="shared" ref="Z12" si="71">EXP(-Y12*YearFraction)*Z11</f>
        <v>0.98511193960306287</v>
      </c>
      <c r="AA12" s="26">
        <f t="shared" si="3"/>
        <v>1.8488176116208122E-3</v>
      </c>
      <c r="AB12" s="27" cm="1">
        <f t="array" ref="AB12">cubicInterpolation(CurveResults.Times,CurveResults.DFs,$X12)</f>
        <v>0.91525521397921195</v>
      </c>
      <c r="AG12" s="24">
        <f t="shared" ref="AG12" si="72">AG11+YearFraction</f>
        <v>2</v>
      </c>
      <c r="AI12" s="18" cm="1">
        <f t="array" ref="AI12">flatInterpolation($AG12,$S$4:$S$9,AH$5:AH$10)</f>
        <v>7.4999999999999997E-3</v>
      </c>
      <c r="AJ12" s="26">
        <f t="shared" ref="AJ12" si="73">EXP(-AI12*YearFraction)*AJ11</f>
        <v>0.98511184109187355</v>
      </c>
      <c r="AK12" s="122">
        <f t="shared" si="5"/>
        <v>1.8488174267391466E-3</v>
      </c>
      <c r="AL12" s="116"/>
      <c r="AM12" s="18" cm="1">
        <f t="array" ref="AM12">flatInterpolation($AG12,$S$4:$S$9,AL$5:AL$10)</f>
        <v>7.5001E-3</v>
      </c>
      <c r="AN12" s="26">
        <f t="shared" ref="AN12" si="74">EXP(-AM12*YearFraction)*AN11</f>
        <v>0.98511184109187377</v>
      </c>
      <c r="AO12" s="122">
        <f t="shared" si="7"/>
        <v>1.8488421007558653E-3</v>
      </c>
      <c r="AP12" s="116"/>
      <c r="AQ12" s="18" cm="1">
        <f t="array" ref="AQ12">flatInterpolation($AG12,$S$4:$S$9,AP$5:AP$10)</f>
        <v>7.4999999999999997E-3</v>
      </c>
      <c r="AR12" s="26">
        <f t="shared" ref="AR12" si="75">EXP(-AQ12*YearFraction)*AR11</f>
        <v>0.98511193960306287</v>
      </c>
      <c r="AS12" s="122">
        <f t="shared" si="9"/>
        <v>1.8488176116208122E-3</v>
      </c>
      <c r="AT12" s="116"/>
      <c r="AU12" s="18" cm="1">
        <f t="array" ref="AU12">flatInterpolation($AG12,$S$4:$S$9,AT$5:AT$10)</f>
        <v>7.4999999999999997E-3</v>
      </c>
      <c r="AV12" s="26">
        <f t="shared" ref="AV12" si="76">EXP(-AU12*YearFraction)*AV11</f>
        <v>0.98511193960306287</v>
      </c>
      <c r="AW12" s="122">
        <f t="shared" si="11"/>
        <v>1.8488176116208122E-3</v>
      </c>
      <c r="AX12" s="116"/>
      <c r="AY12" s="18" cm="1">
        <f t="array" ref="AY12">flatInterpolation($AG12,$S$4:$S$9,AX$5:AX$10)</f>
        <v>7.4999999999999997E-3</v>
      </c>
      <c r="AZ12" s="26">
        <f t="shared" ref="AZ12" si="77">EXP(-AY12*YearFraction)*AZ11</f>
        <v>0.98511193960306287</v>
      </c>
      <c r="BA12" s="122">
        <f t="shared" si="13"/>
        <v>1.8488176116208122E-3</v>
      </c>
      <c r="BB12" s="116"/>
      <c r="BC12" s="18" cm="1">
        <f t="array" ref="BC12">flatInterpolation($AG12,$S$4:$S$9,BB$5:BB$10)</f>
        <v>7.4999999999999997E-3</v>
      </c>
      <c r="BD12" s="26">
        <f t="shared" ref="BD12" si="78">EXP(-BC12*YearFraction)*BD11</f>
        <v>0.98511193960306287</v>
      </c>
      <c r="BE12" s="122">
        <f t="shared" si="15"/>
        <v>1.8488176116208122E-3</v>
      </c>
    </row>
    <row r="13" spans="3:58" x14ac:dyDescent="0.3">
      <c r="C13" s="1" t="s">
        <v>135</v>
      </c>
      <c r="K13" s="2" t="s">
        <v>10</v>
      </c>
      <c r="L13" s="2" t="s">
        <v>27</v>
      </c>
      <c r="M13" s="2" t="s">
        <v>7</v>
      </c>
      <c r="N13" s="2" t="s">
        <v>2</v>
      </c>
      <c r="O13" s="2" t="s">
        <v>25</v>
      </c>
      <c r="P13" s="2" t="s">
        <v>26</v>
      </c>
      <c r="Q13" s="2" t="s">
        <v>28</v>
      </c>
      <c r="S13" s="2" t="s">
        <v>49</v>
      </c>
      <c r="T13" s="2" t="s">
        <v>67</v>
      </c>
      <c r="U13" s="2" t="s">
        <v>110</v>
      </c>
      <c r="V13" s="117" t="s">
        <v>69</v>
      </c>
      <c r="W13" s="117"/>
      <c r="X13" s="24">
        <f t="shared" ref="X13" si="79">X12+YearFraction</f>
        <v>2.25</v>
      </c>
      <c r="Y13" s="25" cm="1">
        <f t="array" ref="Y13">flatInterpolation(X13,$S$4:$S$9,$T$4:$T$9)</f>
        <v>7.4999999999999997E-3</v>
      </c>
      <c r="Z13" s="26">
        <f t="shared" ref="Z13" si="80">EXP(-Y13*YearFraction)*Z12</f>
        <v>0.98326658527661925</v>
      </c>
      <c r="AA13" s="26">
        <f t="shared" si="3"/>
        <v>1.8453543264436156E-3</v>
      </c>
      <c r="AB13" s="27" cm="1">
        <f t="array" ref="AB13">cubicInterpolation(CurveResults.Times,CurveResults.DFs,$X13)</f>
        <v>0.90592386234408706</v>
      </c>
      <c r="AG13" s="24">
        <f t="shared" ref="AG13" si="81">AG12+YearFraction</f>
        <v>2.25</v>
      </c>
      <c r="AI13" s="18" cm="1">
        <f t="array" ref="AI13">flatInterpolation($AG13,$S$4:$S$9,AH$5:AH$10)</f>
        <v>7.4999999999999997E-3</v>
      </c>
      <c r="AJ13" s="26">
        <f t="shared" ref="AJ13" si="82">EXP(-AI13*YearFraction)*AJ12</f>
        <v>0.98326648694996543</v>
      </c>
      <c r="AK13" s="122">
        <f t="shared" si="5"/>
        <v>1.8453541419081176E-3</v>
      </c>
      <c r="AL13" s="116"/>
      <c r="AM13" s="18" cm="1">
        <f t="array" ref="AM13">flatInterpolation($AG13,$S$4:$S$9,AL$5:AL$10)</f>
        <v>7.4999999999999997E-3</v>
      </c>
      <c r="AN13" s="26">
        <f t="shared" ref="AN13" si="83">EXP(-AM13*YearFraction)*AN12</f>
        <v>0.98326648694996566</v>
      </c>
      <c r="AO13" s="122">
        <f t="shared" si="7"/>
        <v>1.8453541419081176E-3</v>
      </c>
      <c r="AP13" s="116"/>
      <c r="AQ13" s="18" cm="1">
        <f t="array" ref="AQ13">flatInterpolation($AG13,$S$4:$S$9,AP$5:AP$10)</f>
        <v>7.5001E-3</v>
      </c>
      <c r="AR13" s="26">
        <f t="shared" ref="AR13" si="84">EXP(-AQ13*YearFraction)*AR12</f>
        <v>0.98326656069495499</v>
      </c>
      <c r="AS13" s="122">
        <f t="shared" si="9"/>
        <v>1.8453789081078753E-3</v>
      </c>
      <c r="AT13" s="116"/>
      <c r="AU13" s="18" cm="1">
        <f t="array" ref="AU13">flatInterpolation($AG13,$S$4:$S$9,AT$5:AT$10)</f>
        <v>7.4999999999999997E-3</v>
      </c>
      <c r="AV13" s="26">
        <f t="shared" ref="AV13" si="85">EXP(-AU13*YearFraction)*AV12</f>
        <v>0.98326658527661925</v>
      </c>
      <c r="AW13" s="122">
        <f t="shared" si="11"/>
        <v>1.8453543264436156E-3</v>
      </c>
      <c r="AX13" s="116"/>
      <c r="AY13" s="18" cm="1">
        <f t="array" ref="AY13">flatInterpolation($AG13,$S$4:$S$9,AX$5:AX$10)</f>
        <v>7.4999999999999997E-3</v>
      </c>
      <c r="AZ13" s="26">
        <f t="shared" ref="AZ13" si="86">EXP(-AY13*YearFraction)*AZ12</f>
        <v>0.98326658527661925</v>
      </c>
      <c r="BA13" s="122">
        <f t="shared" si="13"/>
        <v>1.8453543264436156E-3</v>
      </c>
      <c r="BB13" s="116"/>
      <c r="BC13" s="18" cm="1">
        <f t="array" ref="BC13">flatInterpolation($AG13,$S$4:$S$9,BB$5:BB$10)</f>
        <v>7.4999999999999997E-3</v>
      </c>
      <c r="BD13" s="26">
        <f t="shared" ref="BD13" si="87">EXP(-BC13*YearFraction)*BD12</f>
        <v>0.98326658527661925</v>
      </c>
      <c r="BE13" s="122">
        <f t="shared" si="15"/>
        <v>1.8453543264436156E-3</v>
      </c>
    </row>
    <row r="14" spans="3:58" x14ac:dyDescent="0.3">
      <c r="C14" t="s">
        <v>148</v>
      </c>
      <c r="K14" s="29" t="s">
        <v>11</v>
      </c>
      <c r="L14" s="30">
        <f t="shared" ref="L14:L19" si="88">Q4</f>
        <v>4.4999999999999997E-3</v>
      </c>
      <c r="M14" s="31">
        <f t="shared" ref="M14" si="89">-Notional*L14*YearFraction</f>
        <v>-1125</v>
      </c>
      <c r="N14" s="32">
        <f>M14*SUMPRODUCT(PSurvival1Y,DiscFactors1Y)</f>
        <v>-4352.7608803633902</v>
      </c>
      <c r="O14" s="32">
        <f>M14*0.5*SUMPRODUCT(PDefault1Y,DiscFactors1Y)</f>
        <v>-4.0845413862473183</v>
      </c>
      <c r="P14" s="32">
        <f>LGD*SUMPRODUCT(PDefault1Y,DiscFactors1Y)</f>
        <v>4356.8441453304731</v>
      </c>
      <c r="Q14" s="33">
        <f t="shared" ref="Q14:Q19" si="90">SUM(N14:P14)</f>
        <v>-1.2764191642418155E-3</v>
      </c>
      <c r="S14" s="79">
        <f>Notional*YearFraction*(SUMPRODUCT(PSurvival1Y,DiscFactors1Y)+0.5*SUMPRODUCT(PDefault1Y,DiscFactors1Y))</f>
        <v>968187.87149991945</v>
      </c>
      <c r="T14" s="80">
        <f t="shared" ref="T14:T19" si="91">P14/S14*10000</f>
        <v>44.999986816410306</v>
      </c>
      <c r="U14" s="18">
        <f t="shared" ref="U14:U19" si="92">T14/10000</f>
        <v>4.4999986816410308E-3</v>
      </c>
      <c r="V14" s="18">
        <f t="shared" ref="V14:V19" si="93">U14-Q4</f>
        <v>-1.3183589688686714E-9</v>
      </c>
      <c r="W14" s="17"/>
      <c r="X14" s="24">
        <f t="shared" ref="X14" si="94">X13+YearFraction</f>
        <v>2.5</v>
      </c>
      <c r="Y14" s="25" cm="1">
        <f t="array" ref="Y14">flatInterpolation(X14,$S$4:$S$9,$T$4:$T$9)</f>
        <v>7.4999999999999997E-3</v>
      </c>
      <c r="Z14" s="26">
        <f t="shared" ref="Z14" si="95">EXP(-Y14*YearFraction)*Z13</f>
        <v>0.98142468774777725</v>
      </c>
      <c r="AA14" s="26">
        <f t="shared" si="3"/>
        <v>1.841897528842007E-3</v>
      </c>
      <c r="AB14" s="27" cm="1">
        <f t="array" ref="AB14">cubicInterpolation(CurveResults.Times,CurveResults.DFs,$X14)</f>
        <v>0.89685992714468643</v>
      </c>
      <c r="AG14" s="24">
        <f t="shared" ref="AG14" si="96">AG13+YearFraction</f>
        <v>2.5</v>
      </c>
      <c r="AI14" s="18" cm="1">
        <f t="array" ref="AI14">flatInterpolation($AG14,$S$4:$S$9,AH$5:AH$10)</f>
        <v>7.4999999999999997E-3</v>
      </c>
      <c r="AJ14" s="26">
        <f t="shared" ref="AJ14" si="97">EXP(-AI14*YearFraction)*AJ13</f>
        <v>0.9814245896053132</v>
      </c>
      <c r="AK14" s="122">
        <f t="shared" si="5"/>
        <v>1.8418973446522324E-3</v>
      </c>
      <c r="AL14" s="116"/>
      <c r="AM14" s="18" cm="1">
        <f t="array" ref="AM14">flatInterpolation($AG14,$S$4:$S$9,AL$5:AL$10)</f>
        <v>7.4999999999999997E-3</v>
      </c>
      <c r="AN14" s="26">
        <f t="shared" ref="AN14" si="98">EXP(-AM14*YearFraction)*AN13</f>
        <v>0.98142458960531342</v>
      </c>
      <c r="AO14" s="122">
        <f t="shared" si="7"/>
        <v>1.8418973446522324E-3</v>
      </c>
      <c r="AP14" s="116"/>
      <c r="AQ14" s="18" cm="1">
        <f t="array" ref="AQ14">flatInterpolation($AG14,$S$4:$S$9,AP$5:AP$10)</f>
        <v>7.5001E-3</v>
      </c>
      <c r="AR14" s="26">
        <f t="shared" ref="AR14" si="99">EXP(-AQ14*YearFraction)*AR13</f>
        <v>0.98142463867654417</v>
      </c>
      <c r="AS14" s="122">
        <f t="shared" si="9"/>
        <v>1.8419220184108243E-3</v>
      </c>
      <c r="AT14" s="116"/>
      <c r="AU14" s="18" cm="1">
        <f t="array" ref="AU14">flatInterpolation($AG14,$S$4:$S$9,AT$5:AT$10)</f>
        <v>7.4999999999999997E-3</v>
      </c>
      <c r="AV14" s="26">
        <f t="shared" ref="AV14" si="100">EXP(-AU14*YearFraction)*AV13</f>
        <v>0.98142468774777725</v>
      </c>
      <c r="AW14" s="122">
        <f t="shared" si="11"/>
        <v>1.841897528842007E-3</v>
      </c>
      <c r="AX14" s="116"/>
      <c r="AY14" s="18" cm="1">
        <f t="array" ref="AY14">flatInterpolation($AG14,$S$4:$S$9,AX$5:AX$10)</f>
        <v>7.4999999999999997E-3</v>
      </c>
      <c r="AZ14" s="26">
        <f t="shared" ref="AZ14" si="101">EXP(-AY14*YearFraction)*AZ13</f>
        <v>0.98142468774777725</v>
      </c>
      <c r="BA14" s="122">
        <f t="shared" si="13"/>
        <v>1.841897528842007E-3</v>
      </c>
      <c r="BB14" s="116"/>
      <c r="BC14" s="18" cm="1">
        <f t="array" ref="BC14">flatInterpolation($AG14,$S$4:$S$9,BB$5:BB$10)</f>
        <v>7.4999999999999997E-3</v>
      </c>
      <c r="BD14" s="26">
        <f t="shared" ref="BD14" si="102">EXP(-BC14*YearFraction)*BD13</f>
        <v>0.98142468774777725</v>
      </c>
      <c r="BE14" s="122">
        <f t="shared" si="15"/>
        <v>1.841897528842007E-3</v>
      </c>
    </row>
    <row r="15" spans="3:58" x14ac:dyDescent="0.3">
      <c r="C15" t="s">
        <v>149</v>
      </c>
      <c r="K15" s="34" t="s">
        <v>12</v>
      </c>
      <c r="L15" s="18">
        <f t="shared" si="88"/>
        <v>4.4999999999999997E-3</v>
      </c>
      <c r="M15" s="2">
        <f t="shared" ref="M15" si="103">-Notional*L15*YearFraction</f>
        <v>-1125</v>
      </c>
      <c r="N15" s="28">
        <f>M15*SUMPRODUCT(PSurvival2Y,DiscFactors2Y)</f>
        <v>-8486.6460140374475</v>
      </c>
      <c r="O15" s="4">
        <f>M15*0.5*SUMPRODUCT(PDefault2Y,DiscFactors2Y)</f>
        <v>-7.9636942684232253</v>
      </c>
      <c r="P15" s="4">
        <f>LGD*SUMPRODUCT(PDefault2Y,DiscFactors2Y)</f>
        <v>8494.6072196514415</v>
      </c>
      <c r="Q15" s="5">
        <f t="shared" si="90"/>
        <v>-2.4886544288165169E-3</v>
      </c>
      <c r="S15" s="3">
        <f>Notional*YearFraction*(SUMPRODUCT(PSurvival2Y,DiscFactors2Y)+0.5*SUMPRODUCT(PDefault2Y,DiscFactors2Y))</f>
        <v>1887691.0462901935</v>
      </c>
      <c r="T15" s="81">
        <f t="shared" si="91"/>
        <v>44.999986816410271</v>
      </c>
      <c r="U15" s="18">
        <f t="shared" si="92"/>
        <v>4.4999986816410273E-3</v>
      </c>
      <c r="V15" s="18">
        <f t="shared" si="93"/>
        <v>-1.3183589723381184E-9</v>
      </c>
      <c r="W15" s="17"/>
      <c r="X15" s="24">
        <f t="shared" ref="X15" si="104">X14+YearFraction</f>
        <v>2.75</v>
      </c>
      <c r="Y15" s="25" cm="1">
        <f t="array" ref="Y15">flatInterpolation(X15,$S$4:$S$9,$T$4:$T$9)</f>
        <v>7.4999999999999997E-3</v>
      </c>
      <c r="Z15" s="26">
        <f t="shared" ref="Z15" si="105">EXP(-Y15*YearFraction)*Z14</f>
        <v>0.97958624054111398</v>
      </c>
      <c r="AA15" s="26">
        <f t="shared" si="3"/>
        <v>1.8384472066632629E-3</v>
      </c>
      <c r="AB15" s="27" cm="1">
        <f t="array" ref="AB15">cubicInterpolation(CurveResults.Times,CurveResults.DFs,$X15)</f>
        <v>0.8880077026997103</v>
      </c>
      <c r="AG15" s="24">
        <f t="shared" ref="AG15" si="106">AG14+YearFraction</f>
        <v>2.75</v>
      </c>
      <c r="AI15" s="18" cm="1">
        <f t="array" ref="AI15">flatInterpolation($AG15,$S$4:$S$9,AH$5:AH$10)</f>
        <v>7.4999999999999997E-3</v>
      </c>
      <c r="AJ15" s="26">
        <f t="shared" ref="AJ15" si="107">EXP(-AI15*YearFraction)*AJ14</f>
        <v>0.97958614258249466</v>
      </c>
      <c r="AK15" s="122">
        <f t="shared" si="5"/>
        <v>1.8384470228185457E-3</v>
      </c>
      <c r="AL15" s="116"/>
      <c r="AM15" s="18" cm="1">
        <f t="array" ref="AM15">flatInterpolation($AG15,$S$4:$S$9,AL$5:AL$10)</f>
        <v>7.4999999999999997E-3</v>
      </c>
      <c r="AN15" s="26">
        <f t="shared" ref="AN15" si="108">EXP(-AM15*YearFraction)*AN14</f>
        <v>0.97958614258249488</v>
      </c>
      <c r="AO15" s="122">
        <f t="shared" si="7"/>
        <v>1.8384470228185457E-3</v>
      </c>
      <c r="AP15" s="116"/>
      <c r="AQ15" s="18" cm="1">
        <f t="array" ref="AQ15">flatInterpolation($AG15,$S$4:$S$9,AP$5:AP$10)</f>
        <v>7.5001E-3</v>
      </c>
      <c r="AR15" s="26">
        <f t="shared" ref="AR15" si="109">EXP(-AQ15*YearFraction)*AR14</f>
        <v>0.97958616707214874</v>
      </c>
      <c r="AS15" s="122">
        <f t="shared" si="9"/>
        <v>1.8384716043954308E-3</v>
      </c>
      <c r="AT15" s="116"/>
      <c r="AU15" s="18" cm="1">
        <f t="array" ref="AU15">flatInterpolation($AG15,$S$4:$S$9,AT$5:AT$10)</f>
        <v>7.4999999999999997E-3</v>
      </c>
      <c r="AV15" s="26">
        <f t="shared" ref="AV15" si="110">EXP(-AU15*YearFraction)*AV14</f>
        <v>0.97958624054111398</v>
      </c>
      <c r="AW15" s="122">
        <f t="shared" si="11"/>
        <v>1.8384472066632629E-3</v>
      </c>
      <c r="AX15" s="116"/>
      <c r="AY15" s="18" cm="1">
        <f t="array" ref="AY15">flatInterpolation($AG15,$S$4:$S$9,AX$5:AX$10)</f>
        <v>7.4999999999999997E-3</v>
      </c>
      <c r="AZ15" s="26">
        <f t="shared" ref="AZ15" si="111">EXP(-AY15*YearFraction)*AZ14</f>
        <v>0.97958624054111398</v>
      </c>
      <c r="BA15" s="122">
        <f t="shared" si="13"/>
        <v>1.8384472066632629E-3</v>
      </c>
      <c r="BB15" s="116"/>
      <c r="BC15" s="18" cm="1">
        <f t="array" ref="BC15">flatInterpolation($AG15,$S$4:$S$9,BB$5:BB$10)</f>
        <v>7.4999999999999997E-3</v>
      </c>
      <c r="BD15" s="26">
        <f t="shared" ref="BD15" si="112">EXP(-BC15*YearFraction)*BD14</f>
        <v>0.97958624054111398</v>
      </c>
      <c r="BE15" s="122">
        <f t="shared" si="15"/>
        <v>1.8384472066632629E-3</v>
      </c>
    </row>
    <row r="16" spans="3:58" x14ac:dyDescent="0.3">
      <c r="C16" t="s">
        <v>152</v>
      </c>
      <c r="K16" s="34" t="s">
        <v>13</v>
      </c>
      <c r="L16" s="18">
        <f t="shared" si="88"/>
        <v>4.4999999999999997E-3</v>
      </c>
      <c r="M16" s="2">
        <f t="shared" ref="M16" si="113">-Notional*L16*YearFraction</f>
        <v>-1125</v>
      </c>
      <c r="N16" s="28">
        <f>M16*SUMPRODUCT(PSurvival3Y,DiscFactors3Y)</f>
        <v>-12424.813312692928</v>
      </c>
      <c r="O16" s="4">
        <f>M16*0.5*SUMPRODUCT(PDefault3Y,DiscFactors3Y)</f>
        <v>-11.659189555079411</v>
      </c>
      <c r="P16" s="4">
        <f>LGD*SUMPRODUCT(PDefault3Y,DiscFactors3Y)</f>
        <v>12436.468858751372</v>
      </c>
      <c r="Q16" s="5">
        <f t="shared" si="90"/>
        <v>-3.6434966350498144E-3</v>
      </c>
      <c r="S16" s="3">
        <f>Notional*YearFraction*(SUMPRODUCT(PSurvival3Y,DiscFactors3Y)+0.5*SUMPRODUCT(PDefault3Y,DiscFactors3Y))</f>
        <v>2763660.5560551127</v>
      </c>
      <c r="T16" s="81">
        <f t="shared" si="91"/>
        <v>44.99998681641047</v>
      </c>
      <c r="U16" s="18">
        <f t="shared" si="92"/>
        <v>4.4999986816410473E-3</v>
      </c>
      <c r="V16" s="18">
        <f t="shared" si="93"/>
        <v>-1.3183589523887984E-9</v>
      </c>
      <c r="W16" s="17"/>
      <c r="X16" s="24">
        <f t="shared" ref="X16" si="114">X15+YearFraction</f>
        <v>3</v>
      </c>
      <c r="Y16" s="25" cm="1">
        <f t="array" ref="Y16">flatInterpolation(X16,$S$4:$S$9,$T$4:$T$9)</f>
        <v>7.4999999999999997E-3</v>
      </c>
      <c r="Z16" s="26">
        <f t="shared" ref="Z16" si="115">EXP(-Y16*YearFraction)*Z15</f>
        <v>0.97775123719333656</v>
      </c>
      <c r="AA16" s="26">
        <f t="shared" si="3"/>
        <v>1.8350033477774197E-3</v>
      </c>
      <c r="AB16" s="27" cm="1">
        <f t="array" ref="AB16">cubicInterpolation(CurveResults.Times,CurveResults.DFs,$X16)</f>
        <v>0.87931148332785924</v>
      </c>
      <c r="AG16" s="24">
        <f t="shared" ref="AG16" si="116">AG15+YearFraction</f>
        <v>3</v>
      </c>
      <c r="AI16" s="18" cm="1">
        <f t="array" ref="AI16">flatInterpolation($AG16,$S$4:$S$9,AH$5:AH$10)</f>
        <v>7.4999999999999997E-3</v>
      </c>
      <c r="AJ16" s="26">
        <f t="shared" ref="AJ16" si="117">EXP(-AI16*YearFraction)*AJ15</f>
        <v>0.97775113941821756</v>
      </c>
      <c r="AK16" s="122">
        <f t="shared" si="5"/>
        <v>1.8350031642770936E-3</v>
      </c>
      <c r="AL16" s="116"/>
      <c r="AM16" s="18" cm="1">
        <f t="array" ref="AM16">flatInterpolation($AG16,$S$4:$S$9,AL$5:AL$10)</f>
        <v>7.4999999999999997E-3</v>
      </c>
      <c r="AN16" s="26">
        <f t="shared" ref="AN16" si="118">EXP(-AM16*YearFraction)*AN15</f>
        <v>0.97775113941821779</v>
      </c>
      <c r="AO16" s="122">
        <f t="shared" si="7"/>
        <v>1.8350031642770936E-3</v>
      </c>
      <c r="AP16" s="116"/>
      <c r="AQ16" s="18" cm="1">
        <f t="array" ref="AQ16">flatInterpolation($AG16,$S$4:$S$9,AP$5:AP$10)</f>
        <v>7.5001E-3</v>
      </c>
      <c r="AR16" s="26">
        <f t="shared" ref="AR16" si="119">EXP(-AQ16*YearFraction)*AR15</f>
        <v>0.97775113941821779</v>
      </c>
      <c r="AS16" s="122">
        <f t="shared" si="9"/>
        <v>1.835027653930954E-3</v>
      </c>
      <c r="AT16" s="116"/>
      <c r="AU16" s="18" cm="1">
        <f t="array" ref="AU16">flatInterpolation($AG16,$S$4:$S$9,AT$5:AT$10)</f>
        <v>7.4999999999999997E-3</v>
      </c>
      <c r="AV16" s="26">
        <f t="shared" ref="AV16" si="120">EXP(-AU16*YearFraction)*AV15</f>
        <v>0.97775123719333656</v>
      </c>
      <c r="AW16" s="122">
        <f t="shared" si="11"/>
        <v>1.8350033477774197E-3</v>
      </c>
      <c r="AX16" s="116"/>
      <c r="AY16" s="18" cm="1">
        <f t="array" ref="AY16">flatInterpolation($AG16,$S$4:$S$9,AX$5:AX$10)</f>
        <v>7.4999999999999997E-3</v>
      </c>
      <c r="AZ16" s="26">
        <f t="shared" ref="AZ16" si="121">EXP(-AY16*YearFraction)*AZ15</f>
        <v>0.97775123719333656</v>
      </c>
      <c r="BA16" s="122">
        <f t="shared" si="13"/>
        <v>1.8350033477774197E-3</v>
      </c>
      <c r="BB16" s="116"/>
      <c r="BC16" s="18" cm="1">
        <f t="array" ref="BC16">flatInterpolation($AG16,$S$4:$S$9,BB$5:BB$10)</f>
        <v>7.4999999999999997E-3</v>
      </c>
      <c r="BD16" s="26">
        <f t="shared" ref="BD16" si="122">EXP(-BC16*YearFraction)*BD15</f>
        <v>0.97775123719333656</v>
      </c>
      <c r="BE16" s="122">
        <f t="shared" si="15"/>
        <v>1.8350033477774197E-3</v>
      </c>
    </row>
    <row r="17" spans="3:57" x14ac:dyDescent="0.3">
      <c r="C17" t="s">
        <v>153</v>
      </c>
      <c r="K17" s="34" t="s">
        <v>14</v>
      </c>
      <c r="L17" s="18">
        <f t="shared" si="88"/>
        <v>4.4999999999999997E-3</v>
      </c>
      <c r="M17" s="2">
        <f t="shared" ref="M17" si="123">-Notional*L17*YearFraction</f>
        <v>-1125</v>
      </c>
      <c r="N17" s="28">
        <f>M17*SUMPRODUCT(PSurvival4Y,DiscFactors4Y)</f>
        <v>-16184.131581646025</v>
      </c>
      <c r="O17" s="4">
        <f>M17*0.5*SUMPRODUCT(PDefault4Y,DiscFactors4Y)</f>
        <v>-15.186856586568821</v>
      </c>
      <c r="P17" s="4">
        <f>LGD*SUMPRODUCT(PDefault4Y,DiscFactors4Y)</f>
        <v>16199.313692340076</v>
      </c>
      <c r="Q17" s="5">
        <f t="shared" si="90"/>
        <v>-4.7458925164391985E-3</v>
      </c>
      <c r="S17" s="3">
        <f>Notional*YearFraction*(SUMPRODUCT(PSurvival4Y,DiscFactors4Y)+0.5*SUMPRODUCT(PDefault4Y,DiscFactors4Y))</f>
        <v>3599848.541829465</v>
      </c>
      <c r="T17" s="81">
        <f t="shared" si="91"/>
        <v>44.999986816410576</v>
      </c>
      <c r="U17" s="18">
        <f t="shared" si="92"/>
        <v>4.4999986816410577E-3</v>
      </c>
      <c r="V17" s="18">
        <f t="shared" si="93"/>
        <v>-1.3183589419804576E-9</v>
      </c>
      <c r="W17" s="17"/>
      <c r="X17" s="24">
        <f t="shared" ref="X17" si="124">X16+YearFraction</f>
        <v>3.25</v>
      </c>
      <c r="Y17" s="25" cm="1">
        <f t="array" ref="Y17">flatInterpolation(X17,$S$4:$S$9,$T$4:$T$9)</f>
        <v>7.4999999999999997E-3</v>
      </c>
      <c r="Z17" s="26">
        <f t="shared" ref="Z17" si="125">EXP(-Y17*YearFraction)*Z16</f>
        <v>0.9759196712532594</v>
      </c>
      <c r="AA17" s="26">
        <f t="shared" si="3"/>
        <v>1.8315659400771622E-3</v>
      </c>
      <c r="AB17" s="27" cm="1">
        <f t="array" ref="AB17">cubicInterpolation(CurveResults.Times,CurveResults.DFs,$X17)</f>
        <v>0.87078171535403615</v>
      </c>
      <c r="AG17" s="24">
        <f t="shared" ref="AG17" si="126">AG16+YearFraction</f>
        <v>3.25</v>
      </c>
      <c r="AI17" s="18" cm="1">
        <f t="array" ref="AI17">flatInterpolation($AG17,$S$4:$S$9,AH$5:AH$10)</f>
        <v>7.4999999999999997E-3</v>
      </c>
      <c r="AJ17" s="26">
        <f t="shared" ref="AJ17" si="127">EXP(-AI17*YearFraction)*AJ16</f>
        <v>0.975919573661297</v>
      </c>
      <c r="AK17" s="122">
        <f t="shared" si="5"/>
        <v>1.8315657569205612E-3</v>
      </c>
      <c r="AL17" s="116"/>
      <c r="AM17" s="18" cm="1">
        <f t="array" ref="AM17">flatInterpolation($AG17,$S$4:$S$9,AL$5:AL$10)</f>
        <v>7.4999999999999997E-3</v>
      </c>
      <c r="AN17" s="26">
        <f t="shared" ref="AN17" si="128">EXP(-AM17*YearFraction)*AN16</f>
        <v>0.97591957366129722</v>
      </c>
      <c r="AO17" s="122">
        <f t="shared" si="7"/>
        <v>1.8315657569205612E-3</v>
      </c>
      <c r="AP17" s="116"/>
      <c r="AQ17" s="18" cm="1">
        <f t="array" ref="AQ17">flatInterpolation($AG17,$S$4:$S$9,AP$5:AP$10)</f>
        <v>7.4999999999999997E-3</v>
      </c>
      <c r="AR17" s="26">
        <f t="shared" ref="AR17" si="129">EXP(-AQ17*YearFraction)*AR16</f>
        <v>0.97591957366129722</v>
      </c>
      <c r="AS17" s="122">
        <f t="shared" si="9"/>
        <v>1.8315657569205612E-3</v>
      </c>
      <c r="AT17" s="116"/>
      <c r="AU17" s="18" cm="1">
        <f t="array" ref="AU17">flatInterpolation($AG17,$S$4:$S$9,AT$5:AT$10)</f>
        <v>7.5001E-3</v>
      </c>
      <c r="AV17" s="26">
        <f t="shared" ref="AV17" si="130">EXP(-AU17*YearFraction)*AV16</f>
        <v>0.975919646855268</v>
      </c>
      <c r="AW17" s="122">
        <f t="shared" si="11"/>
        <v>1.8315903380685672E-3</v>
      </c>
      <c r="AX17" s="116"/>
      <c r="AY17" s="18" cm="1">
        <f t="array" ref="AY17">flatInterpolation($AG17,$S$4:$S$9,AX$5:AX$10)</f>
        <v>7.4999999999999997E-3</v>
      </c>
      <c r="AZ17" s="26">
        <f t="shared" ref="AZ17" si="131">EXP(-AY17*YearFraction)*AZ16</f>
        <v>0.9759196712532594</v>
      </c>
      <c r="BA17" s="122">
        <f t="shared" si="13"/>
        <v>1.8315659400771622E-3</v>
      </c>
      <c r="BB17" s="116"/>
      <c r="BC17" s="18" cm="1">
        <f t="array" ref="BC17">flatInterpolation($AG17,$S$4:$S$9,BB$5:BB$10)</f>
        <v>7.4999999999999997E-3</v>
      </c>
      <c r="BD17" s="26">
        <f t="shared" ref="BD17" si="132">EXP(-BC17*YearFraction)*BD16</f>
        <v>0.9759196712532594</v>
      </c>
      <c r="BE17" s="122">
        <f t="shared" si="15"/>
        <v>1.8315659400771622E-3</v>
      </c>
    </row>
    <row r="18" spans="3:57" x14ac:dyDescent="0.3">
      <c r="C18" t="s">
        <v>154</v>
      </c>
      <c r="K18" s="34" t="s">
        <v>15</v>
      </c>
      <c r="L18" s="18">
        <f t="shared" si="88"/>
        <v>4.4999999999999997E-3</v>
      </c>
      <c r="M18" s="2">
        <f t="shared" ref="M18" si="133">-Notional*L18*YearFraction</f>
        <v>-1125</v>
      </c>
      <c r="N18" s="28">
        <f>M18*SUMPRODUCT(PSurvival5Y,DiscFactors5Y)</f>
        <v>-19776.808866754083</v>
      </c>
      <c r="O18" s="4">
        <f>M18*0.5*SUMPRODUCT(PDefault5Y,DiscFactors5Y)</f>
        <v>-18.558151142319716</v>
      </c>
      <c r="P18" s="4">
        <f>LGD*SUMPRODUCT(PDefault5Y,DiscFactors5Y)</f>
        <v>19795.361218474362</v>
      </c>
      <c r="Q18" s="5">
        <f t="shared" si="90"/>
        <v>-5.7994220405817032E-3</v>
      </c>
      <c r="S18" s="3">
        <f>Notional*YearFraction*(SUMPRODUCT(PSurvival5Y,DiscFactors5Y)+0.5*SUMPRODUCT(PDefault5Y,DiscFactors5Y))</f>
        <v>4398970.4484214233</v>
      </c>
      <c r="T18" s="81">
        <f t="shared" si="91"/>
        <v>44.999986816410541</v>
      </c>
      <c r="U18" s="18">
        <f t="shared" si="92"/>
        <v>4.4999986816410542E-3</v>
      </c>
      <c r="V18" s="18">
        <f t="shared" si="93"/>
        <v>-1.3183589454499045E-9</v>
      </c>
      <c r="W18" s="17"/>
      <c r="X18" s="24">
        <f t="shared" ref="X18" si="134">X17+YearFraction</f>
        <v>3.5</v>
      </c>
      <c r="Y18" s="25" cm="1">
        <f t="array" ref="Y18">flatInterpolation(X18,$S$4:$S$9,$T$4:$T$9)</f>
        <v>7.4999999999999997E-3</v>
      </c>
      <c r="Z18" s="26">
        <f t="shared" ref="Z18" si="135">EXP(-Y18*YearFraction)*Z17</f>
        <v>0.97409153628178169</v>
      </c>
      <c r="AA18" s="26">
        <f t="shared" si="3"/>
        <v>1.8281349714777129E-3</v>
      </c>
      <c r="AB18" s="27" cm="1">
        <f t="array" ref="AB18">cubicInterpolation(CurveResults.Times,CurveResults.DFs,$X18)</f>
        <v>0.86243967475051753</v>
      </c>
      <c r="AG18" s="24">
        <f t="shared" ref="AG18" si="136">AG17+YearFraction</f>
        <v>3.5</v>
      </c>
      <c r="AI18" s="18" cm="1">
        <f t="array" ref="AI18">flatInterpolation($AG18,$S$4:$S$9,AH$5:AH$10)</f>
        <v>7.4999999999999997E-3</v>
      </c>
      <c r="AJ18" s="26">
        <f t="shared" ref="AJ18" si="137">EXP(-AI18*YearFraction)*AJ17</f>
        <v>0.97409143887263283</v>
      </c>
      <c r="AK18" s="122">
        <f t="shared" si="5"/>
        <v>1.8281347886641708E-3</v>
      </c>
      <c r="AL18" s="116"/>
      <c r="AM18" s="18" cm="1">
        <f t="array" ref="AM18">flatInterpolation($AG18,$S$4:$S$9,AL$5:AL$10)</f>
        <v>7.4999999999999997E-3</v>
      </c>
      <c r="AN18" s="26">
        <f t="shared" ref="AN18" si="138">EXP(-AM18*YearFraction)*AN17</f>
        <v>0.97409143887263305</v>
      </c>
      <c r="AO18" s="122">
        <f t="shared" si="7"/>
        <v>1.8281347886641708E-3</v>
      </c>
      <c r="AP18" s="116"/>
      <c r="AQ18" s="18" cm="1">
        <f t="array" ref="AQ18">flatInterpolation($AG18,$S$4:$S$9,AP$5:AP$10)</f>
        <v>7.4999999999999997E-3</v>
      </c>
      <c r="AR18" s="26">
        <f t="shared" ref="AR18" si="139">EXP(-AQ18*YearFraction)*AR17</f>
        <v>0.97409143887263305</v>
      </c>
      <c r="AS18" s="122">
        <f t="shared" si="9"/>
        <v>1.8281347886641708E-3</v>
      </c>
      <c r="AT18" s="116"/>
      <c r="AU18" s="18" cm="1">
        <f t="array" ref="AU18">flatInterpolation($AG18,$S$4:$S$9,AT$5:AT$10)</f>
        <v>7.5001E-3</v>
      </c>
      <c r="AV18" s="26">
        <f t="shared" ref="AV18" si="140">EXP(-AU18*YearFraction)*AV17</f>
        <v>0.97409148757720609</v>
      </c>
      <c r="AW18" s="122">
        <f t="shared" si="11"/>
        <v>1.8281592780619027E-3</v>
      </c>
      <c r="AX18" s="116"/>
      <c r="AY18" s="18" cm="1">
        <f t="array" ref="AY18">flatInterpolation($AG18,$S$4:$S$9,AX$5:AX$10)</f>
        <v>7.4999999999999997E-3</v>
      </c>
      <c r="AZ18" s="26">
        <f t="shared" ref="AZ18" si="141">EXP(-AY18*YearFraction)*AZ17</f>
        <v>0.97409153628178169</v>
      </c>
      <c r="BA18" s="122">
        <f t="shared" si="13"/>
        <v>1.8281349714777129E-3</v>
      </c>
      <c r="BB18" s="116"/>
      <c r="BC18" s="18" cm="1">
        <f t="array" ref="BC18">flatInterpolation($AG18,$S$4:$S$9,BB$5:BB$10)</f>
        <v>7.4999999999999997E-3</v>
      </c>
      <c r="BD18" s="26">
        <f t="shared" ref="BD18" si="142">EXP(-BC18*YearFraction)*BD17</f>
        <v>0.97409153628178169</v>
      </c>
      <c r="BE18" s="122">
        <f t="shared" si="15"/>
        <v>1.8281349714777129E-3</v>
      </c>
    </row>
    <row r="19" spans="3:57" x14ac:dyDescent="0.3">
      <c r="C19" t="s">
        <v>330</v>
      </c>
      <c r="K19" s="35" t="s">
        <v>16</v>
      </c>
      <c r="L19" s="36">
        <f t="shared" si="88"/>
        <v>4.4999999999999997E-3</v>
      </c>
      <c r="M19" s="37">
        <f t="shared" ref="M19" si="143">-Notional*L19*YearFraction</f>
        <v>-1125</v>
      </c>
      <c r="N19" s="38">
        <f>M19*SUMPRODUCT(PSurvival10Y,DiscFactors10Y)</f>
        <v>-35510.257789943287</v>
      </c>
      <c r="O19" s="7">
        <f>M19*0.5*SUMPRODUCT(PDefault10Y,DiscFactors10Y)</f>
        <v>-33.322096381096507</v>
      </c>
      <c r="P19" s="7">
        <f>LGD*SUMPRODUCT(PDefault10Y,DiscFactors10Y)</f>
        <v>35543.569473169613</v>
      </c>
      <c r="Q19" s="8">
        <f t="shared" si="90"/>
        <v>-1.0413154770503752E-2</v>
      </c>
      <c r="S19" s="6">
        <f>Notional*YearFraction*(SUMPRODUCT(PSurvival10Y,DiscFactors10Y)+0.5*SUMPRODUCT(PDefault10Y,DiscFactors10Y))</f>
        <v>7898573.3080720846</v>
      </c>
      <c r="T19" s="82">
        <f t="shared" si="91"/>
        <v>44.999986816410562</v>
      </c>
      <c r="U19" s="18">
        <f t="shared" si="92"/>
        <v>4.4999986816410559E-3</v>
      </c>
      <c r="V19" s="18">
        <f t="shared" si="93"/>
        <v>-1.318358943715181E-9</v>
      </c>
      <c r="W19" s="17"/>
      <c r="X19" s="24">
        <f t="shared" ref="X19" si="144">X18+YearFraction</f>
        <v>3.75</v>
      </c>
      <c r="Y19" s="25" cm="1">
        <f t="array" ref="Y19">flatInterpolation(X19,$S$4:$S$9,$T$4:$T$9)</f>
        <v>7.4999999999999997E-3</v>
      </c>
      <c r="Z19" s="26">
        <f t="shared" ref="Z19" si="145">EXP(-Y19*YearFraction)*Z18</f>
        <v>0.97226682585186452</v>
      </c>
      <c r="AA19" s="26">
        <f t="shared" si="3"/>
        <v>1.8247104299171646E-3</v>
      </c>
      <c r="AB19" s="27" cm="1">
        <f t="array" ref="AB19">cubicInterpolation(CurveResults.Times,CurveResults.DFs,$X19)</f>
        <v>0.85424590030706427</v>
      </c>
      <c r="AG19" s="24">
        <f t="shared" ref="AG19" si="146">AG18+YearFraction</f>
        <v>3.75</v>
      </c>
      <c r="AI19" s="18" cm="1">
        <f t="array" ref="AI19">flatInterpolation($AG19,$S$4:$S$9,AH$5:AH$10)</f>
        <v>7.4999999999999997E-3</v>
      </c>
      <c r="AJ19" s="26">
        <f t="shared" ref="AJ19" si="147">EXP(-AI19*YearFraction)*AJ18</f>
        <v>0.9722667286251867</v>
      </c>
      <c r="AK19" s="122">
        <f t="shared" si="5"/>
        <v>1.8247102474461263E-3</v>
      </c>
      <c r="AL19" s="116"/>
      <c r="AM19" s="18" cm="1">
        <f t="array" ref="AM19">flatInterpolation($AG19,$S$4:$S$9,AL$5:AL$10)</f>
        <v>7.4999999999999997E-3</v>
      </c>
      <c r="AN19" s="26">
        <f t="shared" ref="AN19" si="148">EXP(-AM19*YearFraction)*AN18</f>
        <v>0.97226672862518693</v>
      </c>
      <c r="AO19" s="122">
        <f t="shared" si="7"/>
        <v>1.8247102474461263E-3</v>
      </c>
      <c r="AP19" s="116"/>
      <c r="AQ19" s="18" cm="1">
        <f t="array" ref="AQ19">flatInterpolation($AG19,$S$4:$S$9,AP$5:AP$10)</f>
        <v>7.4999999999999997E-3</v>
      </c>
      <c r="AR19" s="26">
        <f t="shared" ref="AR19" si="149">EXP(-AQ19*YearFraction)*AR18</f>
        <v>0.97226672862518693</v>
      </c>
      <c r="AS19" s="122">
        <f t="shared" si="9"/>
        <v>1.8247102474461263E-3</v>
      </c>
      <c r="AT19" s="116"/>
      <c r="AU19" s="18" cm="1">
        <f t="array" ref="AU19">flatInterpolation($AG19,$S$4:$S$9,AT$5:AT$10)</f>
        <v>7.5001E-3</v>
      </c>
      <c r="AV19" s="26">
        <f t="shared" ref="AV19" si="150">EXP(-AU19*YearFraction)*AV18</f>
        <v>0.97226675293185527</v>
      </c>
      <c r="AW19" s="122">
        <f t="shared" si="11"/>
        <v>1.8247346453508229E-3</v>
      </c>
      <c r="AX19" s="116"/>
      <c r="AY19" s="18" cm="1">
        <f t="array" ref="AY19">flatInterpolation($AG19,$S$4:$S$9,AX$5:AX$10)</f>
        <v>7.4999999999999997E-3</v>
      </c>
      <c r="AZ19" s="26">
        <f t="shared" ref="AZ19" si="151">EXP(-AY19*YearFraction)*AZ18</f>
        <v>0.97226682585186452</v>
      </c>
      <c r="BA19" s="122">
        <f t="shared" si="13"/>
        <v>1.8247104299171646E-3</v>
      </c>
      <c r="BB19" s="116"/>
      <c r="BC19" s="18" cm="1">
        <f t="array" ref="BC19">flatInterpolation($AG19,$S$4:$S$9,BB$5:BB$10)</f>
        <v>7.4999999999999997E-3</v>
      </c>
      <c r="BD19" s="26">
        <f t="shared" ref="BD19" si="152">EXP(-BC19*YearFraction)*BD18</f>
        <v>0.97226682585186452</v>
      </c>
      <c r="BE19" s="122">
        <f t="shared" si="15"/>
        <v>1.8247104299171646E-3</v>
      </c>
    </row>
    <row r="20" spans="3:57" x14ac:dyDescent="0.3">
      <c r="C20" t="s">
        <v>331</v>
      </c>
      <c r="X20" s="24">
        <f t="shared" ref="X20" si="153">X19+YearFraction</f>
        <v>4</v>
      </c>
      <c r="Y20" s="25" cm="1">
        <f t="array" ref="Y20">flatInterpolation(X20,$S$4:$S$9,$T$4:$T$9)</f>
        <v>7.4999999999999997E-3</v>
      </c>
      <c r="Z20" s="26">
        <f t="shared" ref="Z20" si="154">EXP(-Y20*YearFraction)*Z19</f>
        <v>0.97044553354850838</v>
      </c>
      <c r="AA20" s="26">
        <f t="shared" si="3"/>
        <v>1.8212923033561479E-3</v>
      </c>
      <c r="AB20" s="27" cm="1">
        <f t="array" ref="AB20">cubicInterpolation(CurveResults.Times,CurveResults.DFs,$X20)</f>
        <v>0.84616093081343713</v>
      </c>
      <c r="AG20" s="24">
        <f t="shared" ref="AG20" si="155">AG19+YearFraction</f>
        <v>4</v>
      </c>
      <c r="AI20" s="18" cm="1">
        <f t="array" ref="AI20">flatInterpolation($AG20,$S$4:$S$9,AH$5:AH$10)</f>
        <v>7.4999999999999997E-3</v>
      </c>
      <c r="AJ20" s="26">
        <f t="shared" ref="AJ20" si="156">EXP(-AI20*YearFraction)*AJ19</f>
        <v>0.97044543650395976</v>
      </c>
      <c r="AK20" s="122">
        <f t="shared" si="5"/>
        <v>1.8212921212269473E-3</v>
      </c>
      <c r="AL20" s="116"/>
      <c r="AM20" s="18" cm="1">
        <f t="array" ref="AM20">flatInterpolation($AG20,$S$4:$S$9,AL$5:AL$10)</f>
        <v>7.4999999999999997E-3</v>
      </c>
      <c r="AN20" s="26">
        <f t="shared" ref="AN20" si="157">EXP(-AM20*YearFraction)*AN19</f>
        <v>0.97044543650395998</v>
      </c>
      <c r="AO20" s="122">
        <f t="shared" si="7"/>
        <v>1.8212921212269473E-3</v>
      </c>
      <c r="AP20" s="116"/>
      <c r="AQ20" s="18" cm="1">
        <f t="array" ref="AQ20">flatInterpolation($AG20,$S$4:$S$9,AP$5:AP$10)</f>
        <v>7.4999999999999997E-3</v>
      </c>
      <c r="AR20" s="26">
        <f t="shared" ref="AR20" si="158">EXP(-AQ20*YearFraction)*AR19</f>
        <v>0.97044543650395998</v>
      </c>
      <c r="AS20" s="122">
        <f t="shared" si="9"/>
        <v>1.8212921212269473E-3</v>
      </c>
      <c r="AT20" s="116"/>
      <c r="AU20" s="18" cm="1">
        <f t="array" ref="AU20">flatInterpolation($AG20,$S$4:$S$9,AT$5:AT$10)</f>
        <v>7.5001E-3</v>
      </c>
      <c r="AV20" s="26">
        <f t="shared" ref="AV20" si="159">EXP(-AU20*YearFraction)*AV19</f>
        <v>0.97044543650395976</v>
      </c>
      <c r="AW20" s="122">
        <f t="shared" si="11"/>
        <v>1.8213164278955141E-3</v>
      </c>
      <c r="AX20" s="116"/>
      <c r="AY20" s="18" cm="1">
        <f t="array" ref="AY20">flatInterpolation($AG20,$S$4:$S$9,AX$5:AX$10)</f>
        <v>7.4999999999999997E-3</v>
      </c>
      <c r="AZ20" s="26">
        <f t="shared" ref="AZ20" si="160">EXP(-AY20*YearFraction)*AZ19</f>
        <v>0.97044553354850838</v>
      </c>
      <c r="BA20" s="122">
        <f t="shared" si="13"/>
        <v>1.8212923033561479E-3</v>
      </c>
      <c r="BB20" s="116"/>
      <c r="BC20" s="18" cm="1">
        <f t="array" ref="BC20">flatInterpolation($AG20,$S$4:$S$9,BB$5:BB$10)</f>
        <v>7.4999999999999997E-3</v>
      </c>
      <c r="BD20" s="26">
        <f t="shared" ref="BD20" si="161">EXP(-BC20*YearFraction)*BD19</f>
        <v>0.97044553354850838</v>
      </c>
      <c r="BE20" s="122">
        <f t="shared" si="15"/>
        <v>1.8212923033561479E-3</v>
      </c>
    </row>
    <row r="21" spans="3:57" x14ac:dyDescent="0.3">
      <c r="X21" s="24">
        <f t="shared" ref="X21" si="162">X20+YearFraction</f>
        <v>4.25</v>
      </c>
      <c r="Y21" s="25" cm="1">
        <f t="array" ref="Y21">flatInterpolation(X21,$S$4:$S$9,$T$4:$T$9)</f>
        <v>7.4999999999999997E-3</v>
      </c>
      <c r="Z21" s="26">
        <f t="shared" ref="Z21" si="163">EXP(-Y21*YearFraction)*Z20</f>
        <v>0.96862765296873066</v>
      </c>
      <c r="AA21" s="26">
        <f t="shared" si="3"/>
        <v>1.8178805797777198E-3</v>
      </c>
      <c r="AB21" s="27" cm="1">
        <f t="array" ref="AB21">cubicInterpolation(CurveResults.Times,CurveResults.DFs,$X21)</f>
        <v>0.83819214507342643</v>
      </c>
      <c r="AG21" s="24">
        <f t="shared" ref="AG21" si="164">AG20+YearFraction</f>
        <v>4.25</v>
      </c>
      <c r="AI21" s="18" cm="1">
        <f t="array" ref="AI21">flatInterpolation($AG21,$S$4:$S$9,AH$5:AH$10)</f>
        <v>7.4999999999999997E-3</v>
      </c>
      <c r="AJ21" s="26">
        <f t="shared" ref="AJ21" si="165">EXP(-AI21*YearFraction)*AJ20</f>
        <v>0.96862755610597007</v>
      </c>
      <c r="AK21" s="122">
        <f t="shared" si="5"/>
        <v>1.8178803979896907E-3</v>
      </c>
      <c r="AL21" s="116"/>
      <c r="AM21" s="18" cm="1">
        <f t="array" ref="AM21">flatInterpolation($AG21,$S$4:$S$9,AL$5:AL$10)</f>
        <v>7.4999999999999997E-3</v>
      </c>
      <c r="AN21" s="26">
        <f t="shared" ref="AN21" si="166">EXP(-AM21*YearFraction)*AN20</f>
        <v>0.96862755610597029</v>
      </c>
      <c r="AO21" s="122">
        <f t="shared" si="7"/>
        <v>1.8178803979896907E-3</v>
      </c>
      <c r="AP21" s="116"/>
      <c r="AQ21" s="18" cm="1">
        <f t="array" ref="AQ21">flatInterpolation($AG21,$S$4:$S$9,AP$5:AP$10)</f>
        <v>7.4999999999999997E-3</v>
      </c>
      <c r="AR21" s="26">
        <f t="shared" ref="AR21" si="167">EXP(-AQ21*YearFraction)*AR20</f>
        <v>0.96862755610597029</v>
      </c>
      <c r="AS21" s="122">
        <f t="shared" si="9"/>
        <v>1.8178803979896907E-3</v>
      </c>
      <c r="AT21" s="116"/>
      <c r="AU21" s="18" cm="1">
        <f t="array" ref="AU21">flatInterpolation($AG21,$S$4:$S$9,AT$5:AT$10)</f>
        <v>7.4999999999999997E-3</v>
      </c>
      <c r="AV21" s="26">
        <f t="shared" ref="AV21" si="168">EXP(-AU21*YearFraction)*AV20</f>
        <v>0.96862755610597007</v>
      </c>
      <c r="AW21" s="122">
        <f t="shared" si="11"/>
        <v>1.8178803979896907E-3</v>
      </c>
      <c r="AX21" s="116"/>
      <c r="AY21" s="18" cm="1">
        <f t="array" ref="AY21">flatInterpolation($AG21,$S$4:$S$9,AX$5:AX$10)</f>
        <v>7.5001E-3</v>
      </c>
      <c r="AZ21" s="26">
        <f t="shared" ref="AZ21" si="169">EXP(-AY21*YearFraction)*AZ20</f>
        <v>0.96862762875303965</v>
      </c>
      <c r="BA21" s="122">
        <f t="shared" si="13"/>
        <v>1.8179047954687277E-3</v>
      </c>
      <c r="BB21" s="116"/>
      <c r="BC21" s="18" cm="1">
        <f t="array" ref="BC21">flatInterpolation($AG21,$S$4:$S$9,BB$5:BB$10)</f>
        <v>7.4999999999999997E-3</v>
      </c>
      <c r="BD21" s="26">
        <f t="shared" ref="BD21" si="170">EXP(-BC21*YearFraction)*BD20</f>
        <v>0.96862765296873066</v>
      </c>
      <c r="BE21" s="122">
        <f t="shared" si="15"/>
        <v>1.8178805797777198E-3</v>
      </c>
    </row>
    <row r="22" spans="3:57" x14ac:dyDescent="0.3">
      <c r="K22" s="1" t="s">
        <v>157</v>
      </c>
      <c r="M22" s="1"/>
      <c r="N22" s="1"/>
      <c r="O22" s="56" t="s">
        <v>145</v>
      </c>
      <c r="Q22" s="2" t="s">
        <v>43</v>
      </c>
      <c r="S22" s="1" t="s">
        <v>155</v>
      </c>
      <c r="X22" s="24">
        <f t="shared" ref="X22" si="171">X21+YearFraction</f>
        <v>4.5</v>
      </c>
      <c r="Y22" s="25" cm="1">
        <f t="array" ref="Y22">flatInterpolation(X22,$S$4:$S$9,$T$4:$T$9)</f>
        <v>7.4999999999999997E-3</v>
      </c>
      <c r="Z22" s="26">
        <f t="shared" ref="Z22" si="172">EXP(-Y22*YearFraction)*Z21</f>
        <v>0.96681317772154307</v>
      </c>
      <c r="AA22" s="26">
        <f t="shared" si="3"/>
        <v>1.8144752471875858E-3</v>
      </c>
      <c r="AB22" s="27" cm="1">
        <f t="array" ref="AB22">cubicInterpolation(CurveResults.Times,CurveResults.DFs,$X22)</f>
        <v>0.8303546218014306</v>
      </c>
      <c r="AG22" s="24">
        <f t="shared" ref="AG22" si="173">AG21+YearFraction</f>
        <v>4.5</v>
      </c>
      <c r="AI22" s="18" cm="1">
        <f t="array" ref="AI22">flatInterpolation($AG22,$S$4:$S$9,AH$5:AH$10)</f>
        <v>7.4999999999999997E-3</v>
      </c>
      <c r="AJ22" s="26">
        <f t="shared" ref="AJ22" si="174">EXP(-AI22*YearFraction)*AJ21</f>
        <v>0.96681308104023</v>
      </c>
      <c r="AK22" s="122">
        <f t="shared" si="5"/>
        <v>1.8144750657400621E-3</v>
      </c>
      <c r="AL22" s="116"/>
      <c r="AM22" s="18" cm="1">
        <f t="array" ref="AM22">flatInterpolation($AG22,$S$4:$S$9,AL$5:AL$10)</f>
        <v>7.4999999999999997E-3</v>
      </c>
      <c r="AN22" s="26">
        <f t="shared" ref="AN22" si="175">EXP(-AM22*YearFraction)*AN21</f>
        <v>0.96681308104023023</v>
      </c>
      <c r="AO22" s="122">
        <f t="shared" si="7"/>
        <v>1.8144750657400621E-3</v>
      </c>
      <c r="AP22" s="116"/>
      <c r="AQ22" s="18" cm="1">
        <f t="array" ref="AQ22">flatInterpolation($AG22,$S$4:$S$9,AP$5:AP$10)</f>
        <v>7.4999999999999997E-3</v>
      </c>
      <c r="AR22" s="26">
        <f t="shared" ref="AR22" si="176">EXP(-AQ22*YearFraction)*AR21</f>
        <v>0.96681308104023023</v>
      </c>
      <c r="AS22" s="122">
        <f t="shared" si="9"/>
        <v>1.8144750657400621E-3</v>
      </c>
      <c r="AT22" s="116"/>
      <c r="AU22" s="18" cm="1">
        <f t="array" ref="AU22">flatInterpolation($AG22,$S$4:$S$9,AT$5:AT$10)</f>
        <v>7.4999999999999997E-3</v>
      </c>
      <c r="AV22" s="26">
        <f t="shared" ref="AV22" si="177">EXP(-AU22*YearFraction)*AV21</f>
        <v>0.96681308104023</v>
      </c>
      <c r="AW22" s="122">
        <f t="shared" si="11"/>
        <v>1.8144750657400621E-3</v>
      </c>
      <c r="AX22" s="116"/>
      <c r="AY22" s="18" cm="1">
        <f t="array" ref="AY22">flatInterpolation($AG22,$S$4:$S$9,AX$5:AX$10)</f>
        <v>7.5001E-3</v>
      </c>
      <c r="AZ22" s="26">
        <f t="shared" ref="AZ22" si="178">EXP(-AY22*YearFraction)*AZ21</f>
        <v>0.96681312938088537</v>
      </c>
      <c r="BA22" s="122">
        <f t="shared" si="13"/>
        <v>1.8144993721542768E-3</v>
      </c>
      <c r="BB22" s="116"/>
      <c r="BC22" s="18" cm="1">
        <f t="array" ref="BC22">flatInterpolation($AG22,$S$4:$S$9,BB$5:BB$10)</f>
        <v>7.4999999999999997E-3</v>
      </c>
      <c r="BD22" s="26">
        <f t="shared" ref="BD22" si="179">EXP(-BC22*YearFraction)*BD21</f>
        <v>0.96681317772154307</v>
      </c>
      <c r="BE22" s="122">
        <f t="shared" si="15"/>
        <v>1.8144752471875858E-3</v>
      </c>
    </row>
    <row r="23" spans="3:57" ht="16.8" x14ac:dyDescent="0.35">
      <c r="K23" t="s">
        <v>44</v>
      </c>
      <c r="N23" s="1"/>
      <c r="O23" s="57">
        <v>1E-8</v>
      </c>
      <c r="Q23" s="58">
        <f>SQRT(SUMPRODUCT(Q27:Q32,Q27:Q32))</f>
        <v>5.3821826748469217E-9</v>
      </c>
      <c r="S23" s="2" t="s">
        <v>156</v>
      </c>
      <c r="T23" s="2" t="s">
        <v>20</v>
      </c>
      <c r="X23" s="24">
        <f t="shared" ref="X23" si="180">X22+YearFraction</f>
        <v>4.75</v>
      </c>
      <c r="Y23" s="25" cm="1">
        <f t="array" ref="Y23">flatInterpolation(X23,$S$4:$S$9,$T$4:$T$9)</f>
        <v>7.4999999999999997E-3</v>
      </c>
      <c r="Z23" s="26">
        <f t="shared" ref="Z23" si="181">EXP(-Y23*YearFraction)*Z22</f>
        <v>0.96500210142792919</v>
      </c>
      <c r="AA23" s="26">
        <f t="shared" si="3"/>
        <v>1.811076293613878E-3</v>
      </c>
      <c r="AB23" s="27" cm="1">
        <f t="array" ref="AB23">cubicInterpolation(CurveResults.Times,CurveResults.DFs,$X23)</f>
        <v>0.82262044965312253</v>
      </c>
      <c r="AG23" s="24">
        <f t="shared" ref="AG23" si="182">AG22+YearFraction</f>
        <v>4.75</v>
      </c>
      <c r="AI23" s="18" cm="1">
        <f t="array" ref="AI23">flatInterpolation($AG23,$S$4:$S$9,AH$5:AH$10)</f>
        <v>7.4999999999999997E-3</v>
      </c>
      <c r="AJ23" s="26">
        <f t="shared" ref="AJ23" si="183">EXP(-AI23*YearFraction)*AJ22</f>
        <v>0.9650020049277237</v>
      </c>
      <c r="AK23" s="122">
        <f t="shared" si="5"/>
        <v>1.8110761125063046E-3</v>
      </c>
      <c r="AL23" s="116"/>
      <c r="AM23" s="18" cm="1">
        <f t="array" ref="AM23">flatInterpolation($AG23,$S$4:$S$9,AL$5:AL$10)</f>
        <v>7.4999999999999997E-3</v>
      </c>
      <c r="AN23" s="26">
        <f t="shared" ref="AN23" si="184">EXP(-AM23*YearFraction)*AN22</f>
        <v>0.96500200492772392</v>
      </c>
      <c r="AO23" s="122">
        <f t="shared" si="7"/>
        <v>1.8110761125063046E-3</v>
      </c>
      <c r="AP23" s="116"/>
      <c r="AQ23" s="18" cm="1">
        <f t="array" ref="AQ23">flatInterpolation($AG23,$S$4:$S$9,AP$5:AP$10)</f>
        <v>7.4999999999999997E-3</v>
      </c>
      <c r="AR23" s="26">
        <f t="shared" ref="AR23" si="185">EXP(-AQ23*YearFraction)*AR22</f>
        <v>0.96500200492772392</v>
      </c>
      <c r="AS23" s="122">
        <f t="shared" si="9"/>
        <v>1.8110761125063046E-3</v>
      </c>
      <c r="AT23" s="116"/>
      <c r="AU23" s="18" cm="1">
        <f t="array" ref="AU23">flatInterpolation($AG23,$S$4:$S$9,AT$5:AT$10)</f>
        <v>7.4999999999999997E-3</v>
      </c>
      <c r="AV23" s="26">
        <f t="shared" ref="AV23" si="186">EXP(-AU23*YearFraction)*AV22</f>
        <v>0.9650020049277237</v>
      </c>
      <c r="AW23" s="122">
        <f t="shared" si="11"/>
        <v>1.8110761125063046E-3</v>
      </c>
      <c r="AX23" s="116"/>
      <c r="AY23" s="18" cm="1">
        <f t="array" ref="AY23">flatInterpolation($AG23,$S$4:$S$9,AX$5:AX$10)</f>
        <v>7.5001E-3</v>
      </c>
      <c r="AZ23" s="26">
        <f t="shared" ref="AZ23" si="187">EXP(-AY23*YearFraction)*AZ22</f>
        <v>0.96500202905277421</v>
      </c>
      <c r="BA23" s="122">
        <f t="shared" si="13"/>
        <v>1.8111003281111593E-3</v>
      </c>
      <c r="BB23" s="116"/>
      <c r="BC23" s="18" cm="1">
        <f t="array" ref="BC23">flatInterpolation($AG23,$S$4:$S$9,BB$5:BB$10)</f>
        <v>7.4999999999999997E-3</v>
      </c>
      <c r="BD23" s="26">
        <f t="shared" ref="BD23" si="188">EXP(-BC23*YearFraction)*BD22</f>
        <v>0.96500210142792919</v>
      </c>
      <c r="BE23" s="122">
        <f t="shared" si="15"/>
        <v>1.811076293613878E-3</v>
      </c>
    </row>
    <row r="24" spans="3:57" x14ac:dyDescent="0.3">
      <c r="S24" s="17">
        <v>0</v>
      </c>
      <c r="T24" s="18" cm="1">
        <f t="array" ref="T24">flatInterpolation(S24,Calibration.Times,Calibration.HazardRates)</f>
        <v>7.4999999999999997E-3</v>
      </c>
      <c r="X24" s="24">
        <f t="shared" ref="X24" si="189">X23+YearFraction</f>
        <v>5</v>
      </c>
      <c r="Y24" s="25" cm="1">
        <f t="array" ref="Y24">flatInterpolation(X24,$S$4:$S$9,$T$4:$T$9)</f>
        <v>7.4999999999999997E-3</v>
      </c>
      <c r="Z24" s="26">
        <f t="shared" ref="Z24" si="190">EXP(-Y24*YearFraction)*Z23</f>
        <v>0.96319441772082204</v>
      </c>
      <c r="AA24" s="26">
        <f t="shared" si="3"/>
        <v>1.807683707107155E-3</v>
      </c>
      <c r="AB24" s="27" cm="1">
        <f t="array" ref="AB24">cubicInterpolation(CurveResults.Times,CurveResults.DFs,$X24)</f>
        <v>0.81496171728417521</v>
      </c>
      <c r="AG24" s="24">
        <f t="shared" ref="AG24" si="191">AG23+YearFraction</f>
        <v>5</v>
      </c>
      <c r="AI24" s="18" cm="1">
        <f t="array" ref="AI24">flatInterpolation($AG24,$S$4:$S$9,AH$5:AH$10)</f>
        <v>7.4999999999999997E-3</v>
      </c>
      <c r="AJ24" s="26">
        <f t="shared" ref="AJ24" si="192">EXP(-AI24*YearFraction)*AJ23</f>
        <v>0.96319432140138495</v>
      </c>
      <c r="AK24" s="122">
        <f t="shared" si="5"/>
        <v>1.8076835263387547E-3</v>
      </c>
      <c r="AL24" s="116"/>
      <c r="AM24" s="18" cm="1">
        <f t="array" ref="AM24">flatInterpolation($AG24,$S$4:$S$9,AL$5:AL$10)</f>
        <v>7.4999999999999997E-3</v>
      </c>
      <c r="AN24" s="26">
        <f t="shared" ref="AN24" si="193">EXP(-AM24*YearFraction)*AN23</f>
        <v>0.96319432140138517</v>
      </c>
      <c r="AO24" s="122">
        <f t="shared" si="7"/>
        <v>1.8076835263387547E-3</v>
      </c>
      <c r="AP24" s="116"/>
      <c r="AQ24" s="18" cm="1">
        <f t="array" ref="AQ24">flatInterpolation($AG24,$S$4:$S$9,AP$5:AP$10)</f>
        <v>7.4999999999999997E-3</v>
      </c>
      <c r="AR24" s="26">
        <f t="shared" ref="AR24" si="194">EXP(-AQ24*YearFraction)*AR23</f>
        <v>0.96319432140138517</v>
      </c>
      <c r="AS24" s="122">
        <f t="shared" si="9"/>
        <v>1.8076835263387547E-3</v>
      </c>
      <c r="AT24" s="116"/>
      <c r="AU24" s="18" cm="1">
        <f t="array" ref="AU24">flatInterpolation($AG24,$S$4:$S$9,AT$5:AT$10)</f>
        <v>7.4999999999999997E-3</v>
      </c>
      <c r="AV24" s="26">
        <f t="shared" ref="AV24" si="195">EXP(-AU24*YearFraction)*AV23</f>
        <v>0.96319432140138495</v>
      </c>
      <c r="AW24" s="122">
        <f t="shared" si="11"/>
        <v>1.8076835263387547E-3</v>
      </c>
      <c r="AX24" s="116"/>
      <c r="AY24" s="18" cm="1">
        <f t="array" ref="AY24">flatInterpolation($AG24,$S$4:$S$9,AX$5:AX$10)</f>
        <v>7.5001E-3</v>
      </c>
      <c r="AZ24" s="26">
        <f t="shared" ref="AZ24" si="196">EXP(-AY24*YearFraction)*AZ23</f>
        <v>0.96319432140138495</v>
      </c>
      <c r="BA24" s="122">
        <f t="shared" si="13"/>
        <v>1.8077076513892676E-3</v>
      </c>
      <c r="BB24" s="116"/>
      <c r="BC24" s="18" cm="1">
        <f t="array" ref="BC24">flatInterpolation($AG24,$S$4:$S$9,BB$5:BB$10)</f>
        <v>7.4999999999999997E-3</v>
      </c>
      <c r="BD24" s="26">
        <f t="shared" ref="BD24" si="197">EXP(-BC24*YearFraction)*BD23</f>
        <v>0.96319441772082204</v>
      </c>
      <c r="BE24" s="122">
        <f t="shared" si="15"/>
        <v>1.807683707107155E-3</v>
      </c>
    </row>
    <row r="25" spans="3:57" x14ac:dyDescent="0.3">
      <c r="K25" s="43" t="s">
        <v>338</v>
      </c>
      <c r="M25" s="1"/>
      <c r="O25" s="164" t="s">
        <v>146</v>
      </c>
      <c r="R25" s="2"/>
      <c r="S25" s="17">
        <v>1</v>
      </c>
      <c r="T25" s="18" cm="1">
        <f t="array" ref="T25">flatInterpolation(S25,Calibration.Times,Calibration.HazardRates)</f>
        <v>7.4999999999999997E-3</v>
      </c>
      <c r="X25" s="24">
        <f t="shared" ref="X25" si="198">X24+YearFraction</f>
        <v>5.25</v>
      </c>
      <c r="Y25" s="25" cm="1">
        <f t="array" ref="Y25">flatInterpolation(X25,$S$4:$S$9,$T$4:$T$9)</f>
        <v>7.4999999999999997E-3</v>
      </c>
      <c r="Z25" s="26">
        <f t="shared" ref="Z25" si="199">EXP(-Y25*YearFraction)*Z24</f>
        <v>0.96139012024508175</v>
      </c>
      <c r="AA25" s="26">
        <f t="shared" si="3"/>
        <v>1.8042974757402908E-3</v>
      </c>
      <c r="AB25" s="27" cm="1">
        <f t="array" ref="AB25">cubicInterpolation(CurveResults.Times,CurveResults.DFs,$X25)</f>
        <v>0.80737798558678209</v>
      </c>
      <c r="AG25" s="24">
        <f t="shared" ref="AG25" si="200">AG24+YearFraction</f>
        <v>5.25</v>
      </c>
      <c r="AI25" s="18" cm="1">
        <f t="array" ref="AI25">flatInterpolation($AG25,$S$4:$S$9,AH$5:AH$10)</f>
        <v>7.4999999999999997E-3</v>
      </c>
      <c r="AJ25" s="26">
        <f t="shared" ref="AJ25" si="201">EXP(-AI25*YearFraction)*AJ24</f>
        <v>0.96139002410607444</v>
      </c>
      <c r="AK25" s="122">
        <f t="shared" si="5"/>
        <v>1.8042972953105085E-3</v>
      </c>
      <c r="AL25" s="116"/>
      <c r="AM25" s="18" cm="1">
        <f t="array" ref="AM25">flatInterpolation($AG25,$S$4:$S$9,AL$5:AL$10)</f>
        <v>7.4999999999999997E-3</v>
      </c>
      <c r="AN25" s="26">
        <f t="shared" ref="AN25" si="202">EXP(-AM25*YearFraction)*AN24</f>
        <v>0.96139002410607466</v>
      </c>
      <c r="AO25" s="122">
        <f t="shared" si="7"/>
        <v>1.8042972953105085E-3</v>
      </c>
      <c r="AP25" s="116"/>
      <c r="AQ25" s="18" cm="1">
        <f t="array" ref="AQ25">flatInterpolation($AG25,$S$4:$S$9,AP$5:AP$10)</f>
        <v>7.4999999999999997E-3</v>
      </c>
      <c r="AR25" s="26">
        <f t="shared" ref="AR25" si="203">EXP(-AQ25*YearFraction)*AR24</f>
        <v>0.96139002410607466</v>
      </c>
      <c r="AS25" s="122">
        <f t="shared" si="9"/>
        <v>1.8042972953105085E-3</v>
      </c>
      <c r="AT25" s="116"/>
      <c r="AU25" s="18" cm="1">
        <f t="array" ref="AU25">flatInterpolation($AG25,$S$4:$S$9,AT$5:AT$10)</f>
        <v>7.4999999999999997E-3</v>
      </c>
      <c r="AV25" s="26">
        <f t="shared" ref="AV25" si="204">EXP(-AU25*YearFraction)*AV24</f>
        <v>0.96139002410607444</v>
      </c>
      <c r="AW25" s="122">
        <f t="shared" si="11"/>
        <v>1.8042972953105085E-3</v>
      </c>
      <c r="AX25" s="116"/>
      <c r="AY25" s="18" cm="1">
        <f t="array" ref="AY25">flatInterpolation($AG25,$S$4:$S$9,AX$5:AX$10)</f>
        <v>7.4999999999999997E-3</v>
      </c>
      <c r="AZ25" s="26">
        <f t="shared" ref="AZ25" si="205">EXP(-AY25*YearFraction)*AZ24</f>
        <v>0.96139002410607444</v>
      </c>
      <c r="BA25" s="122">
        <f t="shared" si="13"/>
        <v>1.8042972953105085E-3</v>
      </c>
      <c r="BB25" s="116"/>
      <c r="BC25" s="18" cm="1">
        <f t="array" ref="BC25">flatInterpolation($AG25,$S$4:$S$9,BB$5:BB$10)</f>
        <v>7.5001E-3</v>
      </c>
      <c r="BD25" s="26">
        <f t="shared" ref="BD25" si="206">EXP(-BC25*YearFraction)*BD24</f>
        <v>0.961390096210329</v>
      </c>
      <c r="BE25" s="122">
        <f t="shared" si="15"/>
        <v>1.8043215104930344E-3</v>
      </c>
    </row>
    <row r="26" spans="3:57" ht="15.6" x14ac:dyDescent="0.3">
      <c r="K26" s="54" t="s">
        <v>10</v>
      </c>
      <c r="L26" s="54" t="s">
        <v>21</v>
      </c>
      <c r="M26" s="54" t="s">
        <v>45</v>
      </c>
      <c r="N26" s="54" t="s">
        <v>46</v>
      </c>
      <c r="O26" s="2" t="s">
        <v>31</v>
      </c>
      <c r="P26" s="54" t="s">
        <v>47</v>
      </c>
      <c r="Q26" s="59" t="s">
        <v>29</v>
      </c>
      <c r="S26" s="17">
        <f>S25+0.01</f>
        <v>1.01</v>
      </c>
      <c r="T26" s="18" cm="1">
        <f t="array" ref="T26">flatInterpolation(S26,Calibration.Times,Calibration.HazardRates)</f>
        <v>7.4999999999999997E-3</v>
      </c>
      <c r="X26" s="24">
        <f t="shared" ref="X26" si="207">X25+YearFraction</f>
        <v>5.5</v>
      </c>
      <c r="Y26" s="25" cm="1">
        <f t="array" ref="Y26">flatInterpolation(X26,$S$4:$S$9,$T$4:$T$9)</f>
        <v>7.4999999999999997E-3</v>
      </c>
      <c r="Z26" s="26">
        <f t="shared" ref="Z26" si="208">EXP(-Y26*YearFraction)*Z25</f>
        <v>0.95958920265747316</v>
      </c>
      <c r="AA26" s="26">
        <f t="shared" si="3"/>
        <v>1.8009175876085859E-3</v>
      </c>
      <c r="AB26" s="27" cm="1">
        <f t="array" ref="AB26">cubicInterpolation(CurveResults.Times,CurveResults.DFs,$X26)</f>
        <v>0.79988180597213521</v>
      </c>
      <c r="AG26" s="24">
        <f t="shared" ref="AG26" si="209">AG25+YearFraction</f>
        <v>5.5</v>
      </c>
      <c r="AI26" s="18" cm="1">
        <f t="array" ref="AI26">flatInterpolation($AG26,$S$4:$S$9,AH$5:AH$10)</f>
        <v>7.4999999999999997E-3</v>
      </c>
      <c r="AJ26" s="26">
        <f t="shared" ref="AJ26" si="210">EXP(-AI26*YearFraction)*AJ25</f>
        <v>0.95958910669855757</v>
      </c>
      <c r="AK26" s="122">
        <f t="shared" si="5"/>
        <v>1.8009174075168666E-3</v>
      </c>
      <c r="AL26" s="116"/>
      <c r="AM26" s="18" cm="1">
        <f t="array" ref="AM26">flatInterpolation($AG26,$S$4:$S$9,AL$5:AL$10)</f>
        <v>7.4999999999999997E-3</v>
      </c>
      <c r="AN26" s="26">
        <f t="shared" ref="AN26" si="211">EXP(-AM26*YearFraction)*AN25</f>
        <v>0.95958910669855779</v>
      </c>
      <c r="AO26" s="122">
        <f t="shared" si="7"/>
        <v>1.8009174075168666E-3</v>
      </c>
      <c r="AP26" s="116"/>
      <c r="AQ26" s="18" cm="1">
        <f t="array" ref="AQ26">flatInterpolation($AG26,$S$4:$S$9,AP$5:AP$10)</f>
        <v>7.4999999999999997E-3</v>
      </c>
      <c r="AR26" s="26">
        <f t="shared" ref="AR26" si="212">EXP(-AQ26*YearFraction)*AR25</f>
        <v>0.95958910669855779</v>
      </c>
      <c r="AS26" s="122">
        <f t="shared" si="9"/>
        <v>1.8009174075168666E-3</v>
      </c>
      <c r="AT26" s="116"/>
      <c r="AU26" s="18" cm="1">
        <f t="array" ref="AU26">flatInterpolation($AG26,$S$4:$S$9,AT$5:AT$10)</f>
        <v>7.4999999999999997E-3</v>
      </c>
      <c r="AV26" s="26">
        <f t="shared" ref="AV26" si="213">EXP(-AU26*YearFraction)*AV25</f>
        <v>0.95958910669855757</v>
      </c>
      <c r="AW26" s="122">
        <f t="shared" si="11"/>
        <v>1.8009174075168666E-3</v>
      </c>
      <c r="AX26" s="116"/>
      <c r="AY26" s="18" cm="1">
        <f t="array" ref="AY26">flatInterpolation($AG26,$S$4:$S$9,AX$5:AX$10)</f>
        <v>7.4999999999999997E-3</v>
      </c>
      <c r="AZ26" s="26">
        <f t="shared" ref="AZ26" si="214">EXP(-AY26*YearFraction)*AZ25</f>
        <v>0.95958910669855757</v>
      </c>
      <c r="BA26" s="122">
        <f t="shared" si="13"/>
        <v>1.8009174075168666E-3</v>
      </c>
      <c r="BB26" s="116"/>
      <c r="BC26" s="18" cm="1">
        <f t="array" ref="BC26">flatInterpolation($AG26,$S$4:$S$9,BB$5:BB$10)</f>
        <v>7.5001E-3</v>
      </c>
      <c r="BD26" s="26">
        <f t="shared" ref="BD26" si="215">EXP(-BC26*YearFraction)*BD25</f>
        <v>0.9595891546780142</v>
      </c>
      <c r="BE26" s="122">
        <f t="shared" si="15"/>
        <v>1.8009415323148037E-3</v>
      </c>
    </row>
    <row r="27" spans="3:57" x14ac:dyDescent="0.3">
      <c r="K27" s="62" t="s">
        <v>11</v>
      </c>
      <c r="L27" s="63">
        <v>1</v>
      </c>
      <c r="M27" s="64" cm="1">
        <f t="array" ref="M27:M32">N27:N32-MMULT(K64:P69,P27:P32)</f>
        <v>7.500002197266876E-3</v>
      </c>
      <c r="N27" s="65">
        <v>7.4999999999999997E-3</v>
      </c>
      <c r="O27" s="66">
        <f t="shared" ref="O27" si="216">Q4/(1-RecoveryRate)</f>
        <v>7.4999999999999997E-3</v>
      </c>
      <c r="P27" s="65">
        <f t="shared" ref="P27:P32" si="217">V14</f>
        <v>-1.3183589688686714E-9</v>
      </c>
      <c r="Q27" s="83">
        <f t="shared" ref="Q27:Q32" si="218">M27-N27</f>
        <v>2.1972668762595959E-9</v>
      </c>
      <c r="S27" s="17">
        <f>S5</f>
        <v>2</v>
      </c>
      <c r="T27" s="18" cm="1">
        <f t="array" ref="T27">flatInterpolation(S27,Calibration.Times,Calibration.HazardRates)</f>
        <v>7.4999999999999997E-3</v>
      </c>
      <c r="X27" s="24">
        <f t="shared" ref="X27" si="219">X26+YearFraction</f>
        <v>5.75</v>
      </c>
      <c r="Y27" s="25" cm="1">
        <f t="array" ref="Y27">flatInterpolation(X27,$S$4:$S$9,$T$4:$T$9)</f>
        <v>7.4999999999999997E-3</v>
      </c>
      <c r="Z27" s="26">
        <f t="shared" ref="Z27" si="220">EXP(-Y27*YearFraction)*Z26</f>
        <v>0.95779165862664351</v>
      </c>
      <c r="AA27" s="26">
        <f t="shared" si="3"/>
        <v>1.7975440308296564E-3</v>
      </c>
      <c r="AB27" s="27" cm="1">
        <f t="array" ref="AB27">cubicInterpolation(CurveResults.Times,CurveResults.DFs,$X27)</f>
        <v>0.79246475287440499</v>
      </c>
      <c r="AG27" s="24">
        <f t="shared" ref="AG27" si="221">AG26+YearFraction</f>
        <v>5.75</v>
      </c>
      <c r="AI27" s="18" cm="1">
        <f t="array" ref="AI27">flatInterpolation($AG27,$S$4:$S$9,AH$5:AH$10)</f>
        <v>7.4999999999999997E-3</v>
      </c>
      <c r="AJ27" s="26">
        <f t="shared" ref="AJ27" si="222">EXP(-AI27*YearFraction)*AJ26</f>
        <v>0.95779156284748235</v>
      </c>
      <c r="AK27" s="122">
        <f t="shared" si="5"/>
        <v>1.7975438510752229E-3</v>
      </c>
      <c r="AL27" s="116"/>
      <c r="AM27" s="18" cm="1">
        <f t="array" ref="AM27">flatInterpolation($AG27,$S$4:$S$9,AL$5:AL$10)</f>
        <v>7.4999999999999997E-3</v>
      </c>
      <c r="AN27" s="26">
        <f t="shared" ref="AN27" si="223">EXP(-AM27*YearFraction)*AN26</f>
        <v>0.95779156284748257</v>
      </c>
      <c r="AO27" s="122">
        <f t="shared" si="7"/>
        <v>1.7975438510752229E-3</v>
      </c>
      <c r="AP27" s="116"/>
      <c r="AQ27" s="18" cm="1">
        <f t="array" ref="AQ27">flatInterpolation($AG27,$S$4:$S$9,AP$5:AP$10)</f>
        <v>7.4999999999999997E-3</v>
      </c>
      <c r="AR27" s="26">
        <f t="shared" ref="AR27" si="224">EXP(-AQ27*YearFraction)*AR26</f>
        <v>0.95779156284748257</v>
      </c>
      <c r="AS27" s="122">
        <f t="shared" si="9"/>
        <v>1.7975438510752229E-3</v>
      </c>
      <c r="AT27" s="116"/>
      <c r="AU27" s="18" cm="1">
        <f t="array" ref="AU27">flatInterpolation($AG27,$S$4:$S$9,AT$5:AT$10)</f>
        <v>7.4999999999999997E-3</v>
      </c>
      <c r="AV27" s="26">
        <f t="shared" ref="AV27" si="225">EXP(-AU27*YearFraction)*AV26</f>
        <v>0.95779156284748235</v>
      </c>
      <c r="AW27" s="122">
        <f t="shared" si="11"/>
        <v>1.7975438510752229E-3</v>
      </c>
      <c r="AX27" s="116"/>
      <c r="AY27" s="18" cm="1">
        <f t="array" ref="AY27">flatInterpolation($AG27,$S$4:$S$9,AX$5:AX$10)</f>
        <v>7.4999999999999997E-3</v>
      </c>
      <c r="AZ27" s="26">
        <f t="shared" ref="AZ27" si="226">EXP(-AY27*YearFraction)*AZ26</f>
        <v>0.95779156284748235</v>
      </c>
      <c r="BA27" s="122">
        <f t="shared" si="13"/>
        <v>1.7975438510752229E-3</v>
      </c>
      <c r="BB27" s="116"/>
      <c r="BC27" s="18" cm="1">
        <f t="array" ref="BC27">flatInterpolation($AG27,$S$4:$S$9,BB$5:BB$10)</f>
        <v>7.5001E-3</v>
      </c>
      <c r="BD27" s="26">
        <f t="shared" ref="BD27" si="227">EXP(-BC27*YearFraction)*BD26</f>
        <v>0.95779158679227172</v>
      </c>
      <c r="BE27" s="122">
        <f t="shared" si="15"/>
        <v>1.7975678857424793E-3</v>
      </c>
    </row>
    <row r="28" spans="3:57" x14ac:dyDescent="0.3">
      <c r="K28" s="67" t="s">
        <v>12</v>
      </c>
      <c r="L28" s="17">
        <v>2</v>
      </c>
      <c r="M28" s="60">
        <v>7.5000021972668855E-3</v>
      </c>
      <c r="N28" s="45">
        <v>7.4999999999999997E-3</v>
      </c>
      <c r="O28" s="61">
        <f t="shared" ref="O28" si="228">Q5/(1-RecoveryRate)</f>
        <v>7.4999999999999997E-3</v>
      </c>
      <c r="P28" s="45">
        <f t="shared" si="217"/>
        <v>-1.3183589723381184E-9</v>
      </c>
      <c r="Q28" s="84">
        <f t="shared" si="218"/>
        <v>2.1972668858005751E-9</v>
      </c>
      <c r="S28" s="17">
        <f>S27+0.01</f>
        <v>2.0099999999999998</v>
      </c>
      <c r="T28" s="18" cm="1">
        <f t="array" ref="T28">flatInterpolation(S28,Calibration.Times,Calibration.HazardRates)</f>
        <v>7.4999999999999997E-3</v>
      </c>
      <c r="X28" s="24">
        <f t="shared" ref="X28" si="229">X27+YearFraction</f>
        <v>6</v>
      </c>
      <c r="Y28" s="25" cm="1">
        <f t="array" ref="Y28">flatInterpolation(X28,$S$4:$S$9,$T$4:$T$9)</f>
        <v>7.4999999999999997E-3</v>
      </c>
      <c r="Z28" s="26">
        <f t="shared" ref="Z28" si="230">EXP(-Y28*YearFraction)*Z27</f>
        <v>0.95599748183310018</v>
      </c>
      <c r="AA28" s="26">
        <f t="shared" si="3"/>
        <v>1.7941767935433228E-3</v>
      </c>
      <c r="AB28" s="27" cm="1">
        <f t="array" ref="AB28">cubicInterpolation(CurveResults.Times,CurveResults.DFs,$X28)</f>
        <v>0.78511840072776184</v>
      </c>
      <c r="AG28" s="24">
        <f t="shared" ref="AG28" si="231">AG27+YearFraction</f>
        <v>6</v>
      </c>
      <c r="AI28" s="18" cm="1">
        <f t="array" ref="AI28">flatInterpolation($AG28,$S$4:$S$9,AH$5:AH$10)</f>
        <v>7.4999999999999997E-3</v>
      </c>
      <c r="AJ28" s="26">
        <f t="shared" ref="AJ28" si="232">EXP(-AI28*YearFraction)*AJ27</f>
        <v>0.95599738623335673</v>
      </c>
      <c r="AK28" s="122">
        <f t="shared" si="5"/>
        <v>1.7941766141256199E-3</v>
      </c>
      <c r="AL28" s="116"/>
      <c r="AM28" s="18" cm="1">
        <f t="array" ref="AM28">flatInterpolation($AG28,$S$4:$S$9,AL$5:AL$10)</f>
        <v>7.4999999999999997E-3</v>
      </c>
      <c r="AN28" s="26">
        <f t="shared" ref="AN28" si="233">EXP(-AM28*YearFraction)*AN27</f>
        <v>0.95599738623335695</v>
      </c>
      <c r="AO28" s="122">
        <f t="shared" si="7"/>
        <v>1.7941766141256199E-3</v>
      </c>
      <c r="AP28" s="116"/>
      <c r="AQ28" s="18" cm="1">
        <f t="array" ref="AQ28">flatInterpolation($AG28,$S$4:$S$9,AP$5:AP$10)</f>
        <v>7.4999999999999997E-3</v>
      </c>
      <c r="AR28" s="26">
        <f t="shared" ref="AR28" si="234">EXP(-AQ28*YearFraction)*AR27</f>
        <v>0.95599738623335695</v>
      </c>
      <c r="AS28" s="122">
        <f t="shared" si="9"/>
        <v>1.7941766141256199E-3</v>
      </c>
      <c r="AT28" s="116"/>
      <c r="AU28" s="18" cm="1">
        <f t="array" ref="AU28">flatInterpolation($AG28,$S$4:$S$9,AT$5:AT$10)</f>
        <v>7.4999999999999997E-3</v>
      </c>
      <c r="AV28" s="26">
        <f t="shared" ref="AV28" si="235">EXP(-AU28*YearFraction)*AV27</f>
        <v>0.95599738623335673</v>
      </c>
      <c r="AW28" s="122">
        <f t="shared" si="11"/>
        <v>1.7941766141256199E-3</v>
      </c>
      <c r="AX28" s="116"/>
      <c r="AY28" s="18" cm="1">
        <f t="array" ref="AY28">flatInterpolation($AG28,$S$4:$S$9,AX$5:AX$10)</f>
        <v>7.4999999999999997E-3</v>
      </c>
      <c r="AZ28" s="26">
        <f t="shared" ref="AZ28" si="236">EXP(-AY28*YearFraction)*AZ27</f>
        <v>0.95599738623335673</v>
      </c>
      <c r="BA28" s="122">
        <f t="shared" si="13"/>
        <v>1.7941766141256199E-3</v>
      </c>
      <c r="BB28" s="116"/>
      <c r="BC28" s="18" cm="1">
        <f t="array" ref="BC28">flatInterpolation($AG28,$S$4:$S$9,BB$5:BB$10)</f>
        <v>7.5001E-3</v>
      </c>
      <c r="BD28" s="26">
        <f t="shared" ref="BD28" si="237">EXP(-BC28*YearFraction)*BD27</f>
        <v>0.95599738623335673</v>
      </c>
      <c r="BE28" s="122">
        <f t="shared" si="15"/>
        <v>1.7942005589149934E-3</v>
      </c>
    </row>
    <row r="29" spans="3:57" x14ac:dyDescent="0.3">
      <c r="K29" s="67" t="s">
        <v>13</v>
      </c>
      <c r="L29" s="17">
        <v>3</v>
      </c>
      <c r="M29" s="60">
        <v>7.5000021972667849E-3</v>
      </c>
      <c r="N29" s="45">
        <v>7.4999999999999997E-3</v>
      </c>
      <c r="O29" s="61">
        <f t="shared" ref="O29" si="238">Q6/(1-RecoveryRate)</f>
        <v>7.4999999999999997E-3</v>
      </c>
      <c r="P29" s="45">
        <f t="shared" si="217"/>
        <v>-1.3183589523887984E-9</v>
      </c>
      <c r="Q29" s="84">
        <f t="shared" si="218"/>
        <v>2.1972667851866134E-9</v>
      </c>
      <c r="S29" s="17">
        <f>S6</f>
        <v>3</v>
      </c>
      <c r="T29" s="18" cm="1">
        <f t="array" ref="T29">flatInterpolation(S29,Calibration.Times,Calibration.HazardRates)</f>
        <v>7.4999999999999997E-3</v>
      </c>
      <c r="X29" s="24">
        <f t="shared" ref="X29" si="239">X28+YearFraction</f>
        <v>6.25</v>
      </c>
      <c r="Y29" s="25" cm="1">
        <f t="array" ref="Y29">flatInterpolation(X29,$S$4:$S$9,$T$4:$T$9)</f>
        <v>7.4999999999999997E-3</v>
      </c>
      <c r="Z29" s="26">
        <f t="shared" ref="Z29" si="240">EXP(-Y29*YearFraction)*Z28</f>
        <v>0.95420666596918857</v>
      </c>
      <c r="AA29" s="26">
        <f t="shared" si="3"/>
        <v>1.7908158639116101E-3</v>
      </c>
      <c r="AB29" s="27" cm="1">
        <f t="array" ref="AB29">cubicInterpolation(CurveResults.Times,CurveResults.DFs,$X29)</f>
        <v>0.77784547446757579</v>
      </c>
      <c r="AG29" s="24">
        <f t="shared" ref="AG29" si="241">AG28+YearFraction</f>
        <v>6.25</v>
      </c>
      <c r="AI29" s="18" cm="1">
        <f t="array" ref="AI29">flatInterpolation($AG29,$S$4:$S$9,AH$5:AH$10)</f>
        <v>7.4999999999999997E-3</v>
      </c>
      <c r="AJ29" s="26">
        <f t="shared" ref="AJ29" si="242">EXP(-AI29*YearFraction)*AJ28</f>
        <v>0.95420657054852676</v>
      </c>
      <c r="AK29" s="122">
        <f t="shared" si="5"/>
        <v>1.7908156848299717E-3</v>
      </c>
      <c r="AL29" s="116"/>
      <c r="AM29" s="18" cm="1">
        <f t="array" ref="AM29">flatInterpolation($AG29,$S$4:$S$9,AL$5:AL$10)</f>
        <v>7.4999999999999997E-3</v>
      </c>
      <c r="AN29" s="26">
        <f t="shared" ref="AN29" si="243">EXP(-AM29*YearFraction)*AN28</f>
        <v>0.95420657054852698</v>
      </c>
      <c r="AO29" s="122">
        <f t="shared" si="7"/>
        <v>1.7908156848299717E-3</v>
      </c>
      <c r="AP29" s="116"/>
      <c r="AQ29" s="18" cm="1">
        <f t="array" ref="AQ29">flatInterpolation($AG29,$S$4:$S$9,AP$5:AP$10)</f>
        <v>7.4999999999999997E-3</v>
      </c>
      <c r="AR29" s="26">
        <f t="shared" ref="AR29" si="244">EXP(-AQ29*YearFraction)*AR28</f>
        <v>0.95420657054852698</v>
      </c>
      <c r="AS29" s="122">
        <f t="shared" si="9"/>
        <v>1.7908156848299717E-3</v>
      </c>
      <c r="AT29" s="116"/>
      <c r="AU29" s="18" cm="1">
        <f t="array" ref="AU29">flatInterpolation($AG29,$S$4:$S$9,AT$5:AT$10)</f>
        <v>7.4999999999999997E-3</v>
      </c>
      <c r="AV29" s="26">
        <f t="shared" ref="AV29" si="245">EXP(-AU29*YearFraction)*AV28</f>
        <v>0.95420657054852676</v>
      </c>
      <c r="AW29" s="122">
        <f t="shared" si="11"/>
        <v>1.7908156848299717E-3</v>
      </c>
      <c r="AX29" s="116"/>
      <c r="AY29" s="18" cm="1">
        <f t="array" ref="AY29">flatInterpolation($AG29,$S$4:$S$9,AX$5:AX$10)</f>
        <v>7.4999999999999997E-3</v>
      </c>
      <c r="AZ29" s="26">
        <f t="shared" ref="AZ29" si="246">EXP(-AY29*YearFraction)*AZ28</f>
        <v>0.95420657054852676</v>
      </c>
      <c r="BA29" s="122">
        <f t="shared" si="13"/>
        <v>1.7908156848299717E-3</v>
      </c>
      <c r="BB29" s="116"/>
      <c r="BC29" s="18" cm="1">
        <f t="array" ref="BC29">flatInterpolation($AG29,$S$4:$S$9,BB$5:BB$10)</f>
        <v>7.5001E-3</v>
      </c>
      <c r="BD29" s="26">
        <f t="shared" ref="BD29" si="247">EXP(-BC29*YearFraction)*BD28</f>
        <v>0.95420654669336269</v>
      </c>
      <c r="BE29" s="122">
        <f t="shared" si="15"/>
        <v>1.790839539994038E-3</v>
      </c>
    </row>
    <row r="30" spans="3:57" x14ac:dyDescent="0.3">
      <c r="K30" s="67" t="s">
        <v>14</v>
      </c>
      <c r="L30" s="17">
        <v>4</v>
      </c>
      <c r="M30" s="60">
        <v>7.5000021972667771E-3</v>
      </c>
      <c r="N30" s="45">
        <v>7.4999999999999997E-3</v>
      </c>
      <c r="O30" s="61">
        <f t="shared" ref="O30" si="248">Q7/(1-RecoveryRate)</f>
        <v>7.4999999999999997E-3</v>
      </c>
      <c r="P30" s="45">
        <f t="shared" si="217"/>
        <v>-1.3183589419804576E-9</v>
      </c>
      <c r="Q30" s="84">
        <f t="shared" si="218"/>
        <v>2.1972667773803578E-9</v>
      </c>
      <c r="S30" s="17">
        <f>S29+0.01</f>
        <v>3.01</v>
      </c>
      <c r="T30" s="18" cm="1">
        <f t="array" ref="T30">flatInterpolation(S30,Calibration.Times,Calibration.HazardRates)</f>
        <v>7.4999999999999997E-3</v>
      </c>
      <c r="X30" s="24">
        <f t="shared" ref="X30" si="249">X29+YearFraction</f>
        <v>6.5</v>
      </c>
      <c r="Y30" s="25" cm="1">
        <f t="array" ref="Y30">flatInterpolation(X30,$S$4:$S$9,$T$4:$T$9)</f>
        <v>7.4999999999999997E-3</v>
      </c>
      <c r="Z30" s="26">
        <f t="shared" ref="Z30" si="250">EXP(-Y30*YearFraction)*Z29</f>
        <v>0.95241920473906982</v>
      </c>
      <c r="AA30" s="26">
        <f t="shared" si="3"/>
        <v>1.7874612301187476E-3</v>
      </c>
      <c r="AB30" s="27" cm="1">
        <f t="array" ref="AB30">cubicInterpolation(CurveResults.Times,CurveResults.DFs,$X30)</f>
        <v>0.77064881047798106</v>
      </c>
      <c r="AG30" s="24">
        <f t="shared" ref="AG30" si="251">AG29+YearFraction</f>
        <v>6.5</v>
      </c>
      <c r="AI30" s="18" cm="1">
        <f t="array" ref="AI30">flatInterpolation($AG30,$S$4:$S$9,AH$5:AH$10)</f>
        <v>7.4999999999999997E-3</v>
      </c>
      <c r="AJ30" s="26">
        <f t="shared" ref="AJ30" si="252">EXP(-AI30*YearFraction)*AJ29</f>
        <v>0.95241910949715414</v>
      </c>
      <c r="AK30" s="122">
        <f t="shared" si="5"/>
        <v>1.7874610513726186E-3</v>
      </c>
      <c r="AL30" s="116"/>
      <c r="AM30" s="18" cm="1">
        <f t="array" ref="AM30">flatInterpolation($AG30,$S$4:$S$9,AL$5:AL$10)</f>
        <v>7.4999999999999997E-3</v>
      </c>
      <c r="AN30" s="26">
        <f t="shared" ref="AN30" si="253">EXP(-AM30*YearFraction)*AN29</f>
        <v>0.95241910949715436</v>
      </c>
      <c r="AO30" s="122">
        <f t="shared" si="7"/>
        <v>1.7874610513726186E-3</v>
      </c>
      <c r="AP30" s="116"/>
      <c r="AQ30" s="18" cm="1">
        <f t="array" ref="AQ30">flatInterpolation($AG30,$S$4:$S$9,AP$5:AP$10)</f>
        <v>7.4999999999999997E-3</v>
      </c>
      <c r="AR30" s="26">
        <f t="shared" ref="AR30" si="254">EXP(-AQ30*YearFraction)*AR29</f>
        <v>0.95241910949715436</v>
      </c>
      <c r="AS30" s="122">
        <f t="shared" si="9"/>
        <v>1.7874610513726186E-3</v>
      </c>
      <c r="AT30" s="116"/>
      <c r="AU30" s="18" cm="1">
        <f t="array" ref="AU30">flatInterpolation($AG30,$S$4:$S$9,AT$5:AT$10)</f>
        <v>7.4999999999999997E-3</v>
      </c>
      <c r="AV30" s="26">
        <f t="shared" ref="AV30" si="255">EXP(-AU30*YearFraction)*AV29</f>
        <v>0.95241910949715414</v>
      </c>
      <c r="AW30" s="122">
        <f t="shared" si="11"/>
        <v>1.7874610513726186E-3</v>
      </c>
      <c r="AX30" s="116"/>
      <c r="AY30" s="18" cm="1">
        <f t="array" ref="AY30">flatInterpolation($AG30,$S$4:$S$9,AX$5:AX$10)</f>
        <v>7.4999999999999997E-3</v>
      </c>
      <c r="AZ30" s="26">
        <f t="shared" ref="AZ30" si="256">EXP(-AY30*YearFraction)*AZ29</f>
        <v>0.95241910949715414</v>
      </c>
      <c r="BA30" s="122">
        <f t="shared" si="13"/>
        <v>1.7874610513726186E-3</v>
      </c>
      <c r="BB30" s="116"/>
      <c r="BC30" s="18" cm="1">
        <f t="array" ref="BC30">flatInterpolation($AG30,$S$4:$S$9,BB$5:BB$10)</f>
        <v>7.5001E-3</v>
      </c>
      <c r="BD30" s="26">
        <f t="shared" ref="BD30" si="257">EXP(-BC30*YearFraction)*BD29</f>
        <v>0.95241906187619974</v>
      </c>
      <c r="BE30" s="122">
        <f t="shared" si="15"/>
        <v>1.7874848171629543E-3</v>
      </c>
    </row>
    <row r="31" spans="3:57" x14ac:dyDescent="0.3">
      <c r="K31" s="67" t="s">
        <v>15</v>
      </c>
      <c r="L31" s="17">
        <v>5</v>
      </c>
      <c r="M31" s="60">
        <v>7.5000021972668586E-3</v>
      </c>
      <c r="N31" s="45">
        <v>7.4999999999999997E-3</v>
      </c>
      <c r="O31" s="61">
        <f t="shared" ref="O31" si="258">Q8/(1-RecoveryRate)</f>
        <v>7.4999999999999997E-3</v>
      </c>
      <c r="P31" s="45">
        <f t="shared" si="217"/>
        <v>-1.3183589454499045E-9</v>
      </c>
      <c r="Q31" s="84">
        <f t="shared" si="218"/>
        <v>2.1972668589123612E-9</v>
      </c>
      <c r="S31" s="17">
        <f>S7</f>
        <v>4</v>
      </c>
      <c r="T31" s="18" cm="1">
        <f t="array" ref="T31">flatInterpolation(S31,Calibration.Times,Calibration.HazardRates)</f>
        <v>7.4999999999999997E-3</v>
      </c>
      <c r="X31" s="24">
        <f t="shared" ref="X31" si="259">X30+YearFraction</f>
        <v>6.75</v>
      </c>
      <c r="Y31" s="25" cm="1">
        <f t="array" ref="Y31">flatInterpolation(X31,$S$4:$S$9,$T$4:$T$9)</f>
        <v>7.4999999999999997E-3</v>
      </c>
      <c r="Z31" s="26">
        <f t="shared" ref="Z31" si="260">EXP(-Y31*YearFraction)*Z30</f>
        <v>0.95063509185869877</v>
      </c>
      <c r="AA31" s="26">
        <f t="shared" si="3"/>
        <v>1.7841128803710582E-3</v>
      </c>
      <c r="AB31" s="27" cm="1">
        <f t="array" ref="AB31">cubicInterpolation(CurveResults.Times,CurveResults.DFs,$X31)</f>
        <v>0.76352015036629473</v>
      </c>
      <c r="AG31" s="24">
        <f t="shared" ref="AG31" si="261">AG30+YearFraction</f>
        <v>6.75</v>
      </c>
      <c r="AI31" s="18" cm="1">
        <f t="array" ref="AI31">flatInterpolation($AG31,$S$4:$S$9,AH$5:AH$10)</f>
        <v>7.4999999999999997E-3</v>
      </c>
      <c r="AJ31" s="26">
        <f t="shared" ref="AJ31" si="262">EXP(-AI31*YearFraction)*AJ30</f>
        <v>0.95063499679519436</v>
      </c>
      <c r="AK31" s="122">
        <f t="shared" si="5"/>
        <v>1.7841127019597725E-3</v>
      </c>
      <c r="AL31" s="116"/>
      <c r="AM31" s="18" cm="1">
        <f t="array" ref="AM31">flatInterpolation($AG31,$S$4:$S$9,AL$5:AL$10)</f>
        <v>7.4999999999999997E-3</v>
      </c>
      <c r="AN31" s="26">
        <f t="shared" ref="AN31" si="263">EXP(-AM31*YearFraction)*AN30</f>
        <v>0.95063499679519459</v>
      </c>
      <c r="AO31" s="122">
        <f t="shared" si="7"/>
        <v>1.7841127019597725E-3</v>
      </c>
      <c r="AP31" s="116"/>
      <c r="AQ31" s="18" cm="1">
        <f t="array" ref="AQ31">flatInterpolation($AG31,$S$4:$S$9,AP$5:AP$10)</f>
        <v>7.4999999999999997E-3</v>
      </c>
      <c r="AR31" s="26">
        <f t="shared" ref="AR31" si="264">EXP(-AQ31*YearFraction)*AR30</f>
        <v>0.95063499679519459</v>
      </c>
      <c r="AS31" s="122">
        <f t="shared" si="9"/>
        <v>1.7841127019597725E-3</v>
      </c>
      <c r="AT31" s="116"/>
      <c r="AU31" s="18" cm="1">
        <f t="array" ref="AU31">flatInterpolation($AG31,$S$4:$S$9,AT$5:AT$10)</f>
        <v>7.4999999999999997E-3</v>
      </c>
      <c r="AV31" s="26">
        <f t="shared" ref="AV31" si="265">EXP(-AU31*YearFraction)*AV30</f>
        <v>0.95063499679519436</v>
      </c>
      <c r="AW31" s="122">
        <f t="shared" si="11"/>
        <v>1.7841127019597725E-3</v>
      </c>
      <c r="AX31" s="116"/>
      <c r="AY31" s="18" cm="1">
        <f t="array" ref="AY31">flatInterpolation($AG31,$S$4:$S$9,AX$5:AX$10)</f>
        <v>7.4999999999999997E-3</v>
      </c>
      <c r="AZ31" s="26">
        <f t="shared" ref="AZ31" si="266">EXP(-AY31*YearFraction)*AZ30</f>
        <v>0.95063499679519436</v>
      </c>
      <c r="BA31" s="122">
        <f t="shared" si="13"/>
        <v>1.7841127019597725E-3</v>
      </c>
      <c r="BB31" s="116"/>
      <c r="BC31" s="18" cm="1">
        <f t="array" ref="BC31">flatInterpolation($AG31,$S$4:$S$9,BB$5:BB$10)</f>
        <v>7.5001E-3</v>
      </c>
      <c r="BD31" s="26">
        <f t="shared" ref="BD31" si="267">EXP(-BC31*YearFraction)*BD30</f>
        <v>0.95063492549757211</v>
      </c>
      <c r="BE31" s="122">
        <f t="shared" si="15"/>
        <v>1.784136378627621E-3</v>
      </c>
    </row>
    <row r="32" spans="3:57" x14ac:dyDescent="0.3">
      <c r="K32" s="68" t="s">
        <v>16</v>
      </c>
      <c r="L32" s="69">
        <v>10</v>
      </c>
      <c r="M32" s="70">
        <v>7.500002197267072E-3</v>
      </c>
      <c r="N32" s="71">
        <v>7.4999999999999997E-3</v>
      </c>
      <c r="O32" s="72">
        <f t="shared" ref="O32" si="268">Q9/(1-RecoveryRate)</f>
        <v>7.4999999999999997E-3</v>
      </c>
      <c r="P32" s="71">
        <f t="shared" si="217"/>
        <v>-1.318358943715181E-9</v>
      </c>
      <c r="Q32" s="85">
        <f t="shared" si="218"/>
        <v>2.1972670722833487E-9</v>
      </c>
      <c r="S32" s="17">
        <f>S31+0.01</f>
        <v>4.01</v>
      </c>
      <c r="T32" s="18" cm="1">
        <f t="array" ref="T32">flatInterpolation(S32,Calibration.Times,Calibration.HazardRates)</f>
        <v>7.4999999999999997E-3</v>
      </c>
      <c r="X32" s="24">
        <f t="shared" ref="X32" si="269">X31+YearFraction</f>
        <v>7</v>
      </c>
      <c r="Y32" s="25" cm="1">
        <f t="array" ref="Y32">flatInterpolation(X32,$S$4:$S$9,$T$4:$T$9)</f>
        <v>7.4999999999999997E-3</v>
      </c>
      <c r="Z32" s="26">
        <f t="shared" ref="Z32" si="270">EXP(-Y32*YearFraction)*Z31</f>
        <v>0.94885432105580159</v>
      </c>
      <c r="AA32" s="26">
        <f t="shared" si="3"/>
        <v>1.7807708028971803E-3</v>
      </c>
      <c r="AB32" s="27" cm="1">
        <f t="array" ref="AB32">cubicInterpolation(CurveResults.Times,CurveResults.DFs,$X32)</f>
        <v>0.75645123573983353</v>
      </c>
      <c r="AG32" s="24">
        <f t="shared" ref="AG32" si="271">AG31+YearFraction</f>
        <v>7</v>
      </c>
      <c r="AI32" s="18" cm="1">
        <f t="array" ref="AI32">flatInterpolation($AG32,$S$4:$S$9,AH$5:AH$10)</f>
        <v>7.4999999999999997E-3</v>
      </c>
      <c r="AJ32" s="26">
        <f t="shared" ref="AJ32" si="272">EXP(-AI32*YearFraction)*AJ31</f>
        <v>0.94885422617037429</v>
      </c>
      <c r="AK32" s="122">
        <f t="shared" si="5"/>
        <v>1.7807706248200716E-3</v>
      </c>
      <c r="AL32" s="116"/>
      <c r="AM32" s="18" cm="1">
        <f t="array" ref="AM32">flatInterpolation($AG32,$S$4:$S$9,AL$5:AL$10)</f>
        <v>7.4999999999999997E-3</v>
      </c>
      <c r="AN32" s="26">
        <f t="shared" ref="AN32" si="273">EXP(-AM32*YearFraction)*AN31</f>
        <v>0.94885422617037452</v>
      </c>
      <c r="AO32" s="122">
        <f t="shared" si="7"/>
        <v>1.7807706248200716E-3</v>
      </c>
      <c r="AP32" s="116"/>
      <c r="AQ32" s="18" cm="1">
        <f t="array" ref="AQ32">flatInterpolation($AG32,$S$4:$S$9,AP$5:AP$10)</f>
        <v>7.4999999999999997E-3</v>
      </c>
      <c r="AR32" s="26">
        <f t="shared" ref="AR32" si="274">EXP(-AQ32*YearFraction)*AR31</f>
        <v>0.94885422617037452</v>
      </c>
      <c r="AS32" s="122">
        <f t="shared" si="9"/>
        <v>1.7807706248200716E-3</v>
      </c>
      <c r="AT32" s="116"/>
      <c r="AU32" s="18" cm="1">
        <f t="array" ref="AU32">flatInterpolation($AG32,$S$4:$S$9,AT$5:AT$10)</f>
        <v>7.4999999999999997E-3</v>
      </c>
      <c r="AV32" s="26">
        <f t="shared" ref="AV32" si="275">EXP(-AU32*YearFraction)*AV31</f>
        <v>0.94885422617037429</v>
      </c>
      <c r="AW32" s="122">
        <f t="shared" si="11"/>
        <v>1.7807706248200716E-3</v>
      </c>
      <c r="AX32" s="116"/>
      <c r="AY32" s="18" cm="1">
        <f t="array" ref="AY32">flatInterpolation($AG32,$S$4:$S$9,AX$5:AX$10)</f>
        <v>7.4999999999999997E-3</v>
      </c>
      <c r="AZ32" s="26">
        <f t="shared" ref="AZ32" si="276">EXP(-AY32*YearFraction)*AZ31</f>
        <v>0.94885422617037429</v>
      </c>
      <c r="BA32" s="122">
        <f t="shared" si="13"/>
        <v>1.7807706248200716E-3</v>
      </c>
      <c r="BB32" s="116"/>
      <c r="BC32" s="18" cm="1">
        <f t="array" ref="BC32">flatInterpolation($AG32,$S$4:$S$9,BB$5:BB$10)</f>
        <v>7.5001E-3</v>
      </c>
      <c r="BD32" s="26">
        <f t="shared" ref="BD32" si="277">EXP(-BC32*YearFraction)*BD31</f>
        <v>0.94885413128495621</v>
      </c>
      <c r="BE32" s="122">
        <f t="shared" si="15"/>
        <v>1.7807942126158993E-3</v>
      </c>
    </row>
    <row r="33" spans="3:57" x14ac:dyDescent="0.3">
      <c r="S33" s="17">
        <f>S8</f>
        <v>5</v>
      </c>
      <c r="T33" s="18" cm="1">
        <f t="array" ref="T33">flatInterpolation(S33,Calibration.Times,Calibration.HazardRates)</f>
        <v>7.4999999999999997E-3</v>
      </c>
      <c r="X33" s="24">
        <f t="shared" ref="X33" si="278">X32+YearFraction</f>
        <v>7.25</v>
      </c>
      <c r="Y33" s="25" cm="1">
        <f t="array" ref="Y33">flatInterpolation(X33,$S$4:$S$9,$T$4:$T$9)</f>
        <v>7.4999999999999997E-3</v>
      </c>
      <c r="Z33" s="26">
        <f t="shared" ref="Z33" si="279">EXP(-Y33*YearFraction)*Z32</f>
        <v>0.94707688606985418</v>
      </c>
      <c r="AA33" s="26">
        <f t="shared" si="3"/>
        <v>1.7774349859474015E-3</v>
      </c>
      <c r="AB33" s="27" cm="1">
        <f t="array" ref="AB33">cubicInterpolation(CurveResults.Times,CurveResults.DFs,$X33)</f>
        <v>0.74944730018205008</v>
      </c>
      <c r="AG33" s="24">
        <f t="shared" ref="AG33" si="280">AG32+YearFraction</f>
        <v>7.25</v>
      </c>
      <c r="AI33" s="18" cm="1">
        <f t="array" ref="AI33">flatInterpolation($AG33,$S$4:$S$9,AH$5:AH$10)</f>
        <v>7.4999999999999997E-3</v>
      </c>
      <c r="AJ33" s="26">
        <f t="shared" ref="AJ33" si="281">EXP(-AI33*YearFraction)*AJ32</f>
        <v>0.94707679136217038</v>
      </c>
      <c r="AK33" s="122">
        <f t="shared" si="5"/>
        <v>1.7774348082039149E-3</v>
      </c>
      <c r="AL33" s="116"/>
      <c r="AM33" s="18" cm="1">
        <f t="array" ref="AM33">flatInterpolation($AG33,$S$4:$S$9,AL$5:AL$10)</f>
        <v>7.4999999999999997E-3</v>
      </c>
      <c r="AN33" s="26">
        <f t="shared" ref="AN33" si="282">EXP(-AM33*YearFraction)*AN32</f>
        <v>0.9470767913621706</v>
      </c>
      <c r="AO33" s="122">
        <f t="shared" si="7"/>
        <v>1.7774348082039149E-3</v>
      </c>
      <c r="AP33" s="116"/>
      <c r="AQ33" s="18" cm="1">
        <f t="array" ref="AQ33">flatInterpolation($AG33,$S$4:$S$9,AP$5:AP$10)</f>
        <v>7.4999999999999997E-3</v>
      </c>
      <c r="AR33" s="26">
        <f t="shared" ref="AR33" si="283">EXP(-AQ33*YearFraction)*AR32</f>
        <v>0.9470767913621706</v>
      </c>
      <c r="AS33" s="122">
        <f t="shared" si="9"/>
        <v>1.7774348082039149E-3</v>
      </c>
      <c r="AT33" s="116"/>
      <c r="AU33" s="18" cm="1">
        <f t="array" ref="AU33">flatInterpolation($AG33,$S$4:$S$9,AT$5:AT$10)</f>
        <v>7.4999999999999997E-3</v>
      </c>
      <c r="AV33" s="26">
        <f t="shared" ref="AV33" si="284">EXP(-AU33*YearFraction)*AV32</f>
        <v>0.94707679136217038</v>
      </c>
      <c r="AW33" s="122">
        <f t="shared" si="11"/>
        <v>1.7774348082039149E-3</v>
      </c>
      <c r="AX33" s="116"/>
      <c r="AY33" s="18" cm="1">
        <f t="array" ref="AY33">flatInterpolation($AG33,$S$4:$S$9,AX$5:AX$10)</f>
        <v>7.4999999999999997E-3</v>
      </c>
      <c r="AZ33" s="26">
        <f t="shared" ref="AZ33" si="285">EXP(-AY33*YearFraction)*AZ32</f>
        <v>0.94707679136217038</v>
      </c>
      <c r="BA33" s="122">
        <f t="shared" si="13"/>
        <v>1.7774348082039149E-3</v>
      </c>
      <c r="BB33" s="116"/>
      <c r="BC33" s="18" cm="1">
        <f t="array" ref="BC33">flatInterpolation($AG33,$S$4:$S$9,BB$5:BB$10)</f>
        <v>7.5001E-3</v>
      </c>
      <c r="BD33" s="26">
        <f t="shared" ref="BD33" si="286">EXP(-BC33*YearFraction)*BD32</f>
        <v>0.94707667297757858</v>
      </c>
      <c r="BE33" s="122">
        <f t="shared" si="15"/>
        <v>1.7774583073776329E-3</v>
      </c>
    </row>
    <row r="34" spans="3:57" x14ac:dyDescent="0.3">
      <c r="K34" s="164" t="s">
        <v>333</v>
      </c>
      <c r="S34" s="17">
        <f>S33+0.01</f>
        <v>5.01</v>
      </c>
      <c r="T34" s="18" cm="1">
        <f t="array" ref="T34">flatInterpolation(S34,Calibration.Times,Calibration.HazardRates)</f>
        <v>7.4999999999999997E-3</v>
      </c>
      <c r="X34" s="24">
        <f t="shared" ref="X34" si="287">X33+YearFraction</f>
        <v>7.5</v>
      </c>
      <c r="Y34" s="25" cm="1">
        <f t="array" ref="Y34">flatInterpolation(X34,$S$4:$S$9,$T$4:$T$9)</f>
        <v>7.4999999999999997E-3</v>
      </c>
      <c r="Z34" s="26">
        <f t="shared" ref="Z34" si="288">EXP(-Y34*YearFraction)*Z33</f>
        <v>0.94530278065205986</v>
      </c>
      <c r="AA34" s="26">
        <f t="shared" si="3"/>
        <v>1.774105417794325E-3</v>
      </c>
      <c r="AB34" s="27" cm="1">
        <f t="array" ref="AB34">cubicInterpolation(CurveResults.Times,CurveResults.DFs,$X34)</f>
        <v>0.74251026956187482</v>
      </c>
      <c r="AG34" s="24">
        <f t="shared" ref="AG34" si="289">AG33+YearFraction</f>
        <v>7.5</v>
      </c>
      <c r="AI34" s="18" cm="1">
        <f t="array" ref="AI34">flatInterpolation($AG34,$S$4:$S$9,AH$5:AH$10)</f>
        <v>7.4999999999999997E-3</v>
      </c>
      <c r="AJ34" s="26">
        <f t="shared" ref="AJ34" si="290">EXP(-AI34*YearFraction)*AJ33</f>
        <v>0.94530268612178658</v>
      </c>
      <c r="AK34" s="122">
        <f t="shared" si="5"/>
        <v>1.7741052403837942E-3</v>
      </c>
      <c r="AL34" s="116"/>
      <c r="AM34" s="18" cm="1">
        <f t="array" ref="AM34">flatInterpolation($AG34,$S$4:$S$9,AL$5:AL$10)</f>
        <v>7.4999999999999997E-3</v>
      </c>
      <c r="AN34" s="26">
        <f t="shared" ref="AN34" si="291">EXP(-AM34*YearFraction)*AN33</f>
        <v>0.94530268612178681</v>
      </c>
      <c r="AO34" s="122">
        <f t="shared" si="7"/>
        <v>1.7741052403837942E-3</v>
      </c>
      <c r="AP34" s="116"/>
      <c r="AQ34" s="18" cm="1">
        <f t="array" ref="AQ34">flatInterpolation($AG34,$S$4:$S$9,AP$5:AP$10)</f>
        <v>7.4999999999999997E-3</v>
      </c>
      <c r="AR34" s="26">
        <f t="shared" ref="AR34" si="292">EXP(-AQ34*YearFraction)*AR33</f>
        <v>0.94530268612178681</v>
      </c>
      <c r="AS34" s="122">
        <f t="shared" si="9"/>
        <v>1.7741052403837942E-3</v>
      </c>
      <c r="AT34" s="116"/>
      <c r="AU34" s="18" cm="1">
        <f t="array" ref="AU34">flatInterpolation($AG34,$S$4:$S$9,AT$5:AT$10)</f>
        <v>7.4999999999999997E-3</v>
      </c>
      <c r="AV34" s="26">
        <f t="shared" ref="AV34" si="293">EXP(-AU34*YearFraction)*AV33</f>
        <v>0.94530268612178658</v>
      </c>
      <c r="AW34" s="122">
        <f t="shared" si="11"/>
        <v>1.7741052403837942E-3</v>
      </c>
      <c r="AX34" s="116"/>
      <c r="AY34" s="18" cm="1">
        <f t="array" ref="AY34">flatInterpolation($AG34,$S$4:$S$9,AX$5:AX$10)</f>
        <v>7.4999999999999997E-3</v>
      </c>
      <c r="AZ34" s="26">
        <f t="shared" ref="AZ34" si="294">EXP(-AY34*YearFraction)*AZ33</f>
        <v>0.94530268612178658</v>
      </c>
      <c r="BA34" s="122">
        <f t="shared" si="13"/>
        <v>1.7741052403837942E-3</v>
      </c>
      <c r="BB34" s="116"/>
      <c r="BC34" s="18" cm="1">
        <f t="array" ref="BC34">flatInterpolation($AG34,$S$4:$S$9,BB$5:BB$10)</f>
        <v>7.5001E-3</v>
      </c>
      <c r="BD34" s="26">
        <f t="shared" ref="BD34" si="295">EXP(-BC34*YearFraction)*BD33</f>
        <v>0.94530254432639393</v>
      </c>
      <c r="BE34" s="122">
        <f t="shared" si="15"/>
        <v>1.7741286511846477E-3</v>
      </c>
    </row>
    <row r="35" spans="3:57" x14ac:dyDescent="0.3">
      <c r="S35" s="17">
        <f>S9</f>
        <v>10</v>
      </c>
      <c r="T35" s="18" cm="1">
        <f t="array" ref="T35">flatInterpolation(S35,Calibration.Times,Calibration.HazardRates)</f>
        <v>7.4999999999999997E-3</v>
      </c>
      <c r="X35" s="24">
        <f t="shared" ref="X35" si="296">X34+YearFraction</f>
        <v>7.75</v>
      </c>
      <c r="Y35" s="25" cm="1">
        <f t="array" ref="Y35">flatInterpolation(X35,$S$4:$S$9,$T$4:$T$9)</f>
        <v>7.4999999999999997E-3</v>
      </c>
      <c r="Z35" s="26">
        <f t="shared" ref="Z35" si="297">EXP(-Y35*YearFraction)*Z34</f>
        <v>0.94353199856532732</v>
      </c>
      <c r="AA35" s="26">
        <f t="shared" si="3"/>
        <v>1.7707820867325363E-3</v>
      </c>
      <c r="AB35" s="27" cm="1">
        <f t="array" ref="AB35">cubicInterpolation(CurveResults.Times,CurveResults.DFs,$X35)</f>
        <v>0.73562692391484197</v>
      </c>
      <c r="AG35" s="24">
        <f t="shared" ref="AG35" si="298">AG34+YearFraction</f>
        <v>7.75</v>
      </c>
      <c r="AI35" s="18" cm="1">
        <f t="array" ref="AI35">flatInterpolation($AG35,$S$4:$S$9,AH$5:AH$10)</f>
        <v>7.4999999999999997E-3</v>
      </c>
      <c r="AJ35" s="26">
        <f t="shared" ref="AJ35" si="299">EXP(-AI35*YearFraction)*AJ34</f>
        <v>0.94353190421213229</v>
      </c>
      <c r="AK35" s="122">
        <f t="shared" si="5"/>
        <v>1.7707819096542954E-3</v>
      </c>
      <c r="AL35" s="116"/>
      <c r="AM35" s="18" cm="1">
        <f t="array" ref="AM35">flatInterpolation($AG35,$S$4:$S$9,AL$5:AL$10)</f>
        <v>7.4999999999999997E-3</v>
      </c>
      <c r="AN35" s="26">
        <f t="shared" ref="AN35" si="300">EXP(-AM35*YearFraction)*AN34</f>
        <v>0.94353190421213251</v>
      </c>
      <c r="AO35" s="122">
        <f t="shared" si="7"/>
        <v>1.7707819096542954E-3</v>
      </c>
      <c r="AP35" s="116"/>
      <c r="AQ35" s="18" cm="1">
        <f t="array" ref="AQ35">flatInterpolation($AG35,$S$4:$S$9,AP$5:AP$10)</f>
        <v>7.4999999999999997E-3</v>
      </c>
      <c r="AR35" s="26">
        <f t="shared" ref="AR35" si="301">EXP(-AQ35*YearFraction)*AR34</f>
        <v>0.94353190421213251</v>
      </c>
      <c r="AS35" s="122">
        <f t="shared" si="9"/>
        <v>1.7707819096542954E-3</v>
      </c>
      <c r="AT35" s="116"/>
      <c r="AU35" s="18" cm="1">
        <f t="array" ref="AU35">flatInterpolation($AG35,$S$4:$S$9,AT$5:AT$10)</f>
        <v>7.4999999999999997E-3</v>
      </c>
      <c r="AV35" s="26">
        <f t="shared" ref="AV35" si="302">EXP(-AU35*YearFraction)*AV34</f>
        <v>0.94353190421213229</v>
      </c>
      <c r="AW35" s="122">
        <f t="shared" si="11"/>
        <v>1.7707819096542954E-3</v>
      </c>
      <c r="AX35" s="116"/>
      <c r="AY35" s="18" cm="1">
        <f t="array" ref="AY35">flatInterpolation($AG35,$S$4:$S$9,AX$5:AX$10)</f>
        <v>7.4999999999999997E-3</v>
      </c>
      <c r="AZ35" s="26">
        <f t="shared" ref="AZ35" si="303">EXP(-AY35*YearFraction)*AZ34</f>
        <v>0.94353190421213229</v>
      </c>
      <c r="BA35" s="122">
        <f t="shared" si="13"/>
        <v>1.7707819096542954E-3</v>
      </c>
      <c r="BB35" s="116"/>
      <c r="BC35" s="18" cm="1">
        <f t="array" ref="BC35">flatInterpolation($AG35,$S$4:$S$9,BB$5:BB$10)</f>
        <v>7.5001E-3</v>
      </c>
      <c r="BD35" s="26">
        <f t="shared" ref="BD35" si="304">EXP(-BC35*YearFraction)*BD34</f>
        <v>0.94353173909406307</v>
      </c>
      <c r="BE35" s="122">
        <f t="shared" si="15"/>
        <v>1.7708052323308632E-3</v>
      </c>
    </row>
    <row r="36" spans="3:57" x14ac:dyDescent="0.3">
      <c r="O36" s="55" t="s">
        <v>147</v>
      </c>
      <c r="T36" s="2"/>
      <c r="X36" s="24">
        <f t="shared" ref="X36" si="305">X35+YearFraction</f>
        <v>8</v>
      </c>
      <c r="Y36" s="25" cm="1">
        <f t="array" ref="Y36">flatInterpolation(X36,$S$4:$S$9,$T$4:$T$9)</f>
        <v>7.4999999999999997E-3</v>
      </c>
      <c r="Z36" s="26">
        <f t="shared" ref="Z36" si="306">EXP(-Y36*YearFraction)*Z35</f>
        <v>0.94176453358424905</v>
      </c>
      <c r="AA36" s="26">
        <f t="shared" si="3"/>
        <v>1.7674649810782705E-3</v>
      </c>
      <c r="AB36" s="27" cm="1">
        <f t="array" ref="AB36">cubicInterpolation(CurveResults.Times,CurveResults.DFs,$X36)</f>
        <v>0.72878404327648572</v>
      </c>
      <c r="AG36" s="24">
        <f t="shared" ref="AG36" si="307">AG35+YearFraction</f>
        <v>8</v>
      </c>
      <c r="AI36" s="18" cm="1">
        <f t="array" ref="AI36">flatInterpolation($AG36,$S$4:$S$9,AH$5:AH$10)</f>
        <v>7.4999999999999997E-3</v>
      </c>
      <c r="AJ36" s="26">
        <f t="shared" ref="AJ36" si="308">EXP(-AI36*YearFraction)*AJ35</f>
        <v>0.94176443940780052</v>
      </c>
      <c r="AK36" s="122">
        <f t="shared" si="5"/>
        <v>1.7674648043317642E-3</v>
      </c>
      <c r="AL36" s="116"/>
      <c r="AM36" s="18" cm="1">
        <f t="array" ref="AM36">flatInterpolation($AG36,$S$4:$S$9,AL$5:AL$10)</f>
        <v>7.4999999999999997E-3</v>
      </c>
      <c r="AN36" s="26">
        <f t="shared" ref="AN36" si="309">EXP(-AM36*YearFraction)*AN35</f>
        <v>0.94176443940780075</v>
      </c>
      <c r="AO36" s="122">
        <f t="shared" si="7"/>
        <v>1.7674648043317642E-3</v>
      </c>
      <c r="AP36" s="116"/>
      <c r="AQ36" s="18" cm="1">
        <f t="array" ref="AQ36">flatInterpolation($AG36,$S$4:$S$9,AP$5:AP$10)</f>
        <v>7.4999999999999997E-3</v>
      </c>
      <c r="AR36" s="26">
        <f t="shared" ref="AR36" si="310">EXP(-AQ36*YearFraction)*AR35</f>
        <v>0.94176443940780075</v>
      </c>
      <c r="AS36" s="122">
        <f t="shared" si="9"/>
        <v>1.7674648043317642E-3</v>
      </c>
      <c r="AT36" s="116"/>
      <c r="AU36" s="18" cm="1">
        <f t="array" ref="AU36">flatInterpolation($AG36,$S$4:$S$9,AT$5:AT$10)</f>
        <v>7.4999999999999997E-3</v>
      </c>
      <c r="AV36" s="26">
        <f t="shared" ref="AV36" si="311">EXP(-AU36*YearFraction)*AV35</f>
        <v>0.94176443940780052</v>
      </c>
      <c r="AW36" s="122">
        <f t="shared" si="11"/>
        <v>1.7674648043317642E-3</v>
      </c>
      <c r="AX36" s="116"/>
      <c r="AY36" s="18" cm="1">
        <f t="array" ref="AY36">flatInterpolation($AG36,$S$4:$S$9,AX$5:AX$10)</f>
        <v>7.4999999999999997E-3</v>
      </c>
      <c r="AZ36" s="26">
        <f t="shared" ref="AZ36" si="312">EXP(-AY36*YearFraction)*AZ35</f>
        <v>0.94176443940780052</v>
      </c>
      <c r="BA36" s="122">
        <f t="shared" si="13"/>
        <v>1.7674648043317642E-3</v>
      </c>
      <c r="BB36" s="116"/>
      <c r="BC36" s="18" cm="1">
        <f t="array" ref="BC36">flatInterpolation($AG36,$S$4:$S$9,BB$5:BB$10)</f>
        <v>7.5001E-3</v>
      </c>
      <c r="BD36" s="26">
        <f t="shared" ref="BD36" si="313">EXP(-BC36*YearFraction)*BD35</f>
        <v>0.941764251054931</v>
      </c>
      <c r="BE36" s="122">
        <f t="shared" si="15"/>
        <v>1.7674880391320702E-3</v>
      </c>
    </row>
    <row r="37" spans="3:57" x14ac:dyDescent="0.3">
      <c r="O37" s="46" t="b">
        <v>0</v>
      </c>
      <c r="X37" s="24">
        <f t="shared" ref="X37" si="314">X36+YearFraction</f>
        <v>8.25</v>
      </c>
      <c r="Y37" s="25" cm="1">
        <f t="array" ref="Y37">flatInterpolation(X37,$S$4:$S$9,$T$4:$T$9)</f>
        <v>7.4999999999999997E-3</v>
      </c>
      <c r="Z37" s="26">
        <f t="shared" ref="Z37" si="315">EXP(-Y37*YearFraction)*Z36</f>
        <v>0.9400003794950792</v>
      </c>
      <c r="AA37" s="26">
        <f t="shared" si="3"/>
        <v>1.7641540891698559E-3</v>
      </c>
      <c r="AB37" s="27" cm="1">
        <f t="array" ref="AB37">cubicInterpolation(CurveResults.Times,CurveResults.DFs,$X37)</f>
        <v>0.72197918670630057</v>
      </c>
      <c r="AG37" s="24">
        <f t="shared" ref="AG37" si="316">AG36+YearFraction</f>
        <v>8.25</v>
      </c>
      <c r="AI37" s="18" cm="1">
        <f t="array" ref="AI37">flatInterpolation($AG37,$S$4:$S$9,AH$5:AH$10)</f>
        <v>7.4999999999999997E-3</v>
      </c>
      <c r="AJ37" s="26">
        <f t="shared" ref="AJ37" si="317">EXP(-AI37*YearFraction)*AJ36</f>
        <v>0.94000028549504611</v>
      </c>
      <c r="AK37" s="122">
        <f t="shared" si="5"/>
        <v>1.7641539127544181E-3</v>
      </c>
      <c r="AL37" s="116"/>
      <c r="AM37" s="18" cm="1">
        <f t="array" ref="AM37">flatInterpolation($AG37,$S$4:$S$9,AL$5:AL$10)</f>
        <v>7.4999999999999997E-3</v>
      </c>
      <c r="AN37" s="26">
        <f t="shared" ref="AN37" si="318">EXP(-AM37*YearFraction)*AN36</f>
        <v>0.94000028549504633</v>
      </c>
      <c r="AO37" s="122">
        <f t="shared" si="7"/>
        <v>1.7641539127544181E-3</v>
      </c>
      <c r="AP37" s="116"/>
      <c r="AQ37" s="18" cm="1">
        <f t="array" ref="AQ37">flatInterpolation($AG37,$S$4:$S$9,AP$5:AP$10)</f>
        <v>7.4999999999999997E-3</v>
      </c>
      <c r="AR37" s="26">
        <f t="shared" ref="AR37" si="319">EXP(-AQ37*YearFraction)*AR36</f>
        <v>0.94000028549504633</v>
      </c>
      <c r="AS37" s="122">
        <f t="shared" si="9"/>
        <v>1.7641539127544181E-3</v>
      </c>
      <c r="AT37" s="116"/>
      <c r="AU37" s="18" cm="1">
        <f t="array" ref="AU37">flatInterpolation($AG37,$S$4:$S$9,AT$5:AT$10)</f>
        <v>7.4999999999999997E-3</v>
      </c>
      <c r="AV37" s="26">
        <f t="shared" ref="AV37" si="320">EXP(-AU37*YearFraction)*AV36</f>
        <v>0.94000028549504611</v>
      </c>
      <c r="AW37" s="122">
        <f t="shared" si="11"/>
        <v>1.7641539127544181E-3</v>
      </c>
      <c r="AX37" s="116"/>
      <c r="AY37" s="18" cm="1">
        <f t="array" ref="AY37">flatInterpolation($AG37,$S$4:$S$9,AX$5:AX$10)</f>
        <v>7.4999999999999997E-3</v>
      </c>
      <c r="AZ37" s="26">
        <f t="shared" ref="AZ37" si="321">EXP(-AY37*YearFraction)*AZ36</f>
        <v>0.94000028549504611</v>
      </c>
      <c r="BA37" s="122">
        <f t="shared" si="13"/>
        <v>1.7641539127544181E-3</v>
      </c>
      <c r="BB37" s="116"/>
      <c r="BC37" s="18" cm="1">
        <f t="array" ref="BC37">flatInterpolation($AG37,$S$4:$S$9,BB$5:BB$10)</f>
        <v>7.5001E-3</v>
      </c>
      <c r="BD37" s="26">
        <f t="shared" ref="BD37" si="322">EXP(-BC37*YearFraction)*BD36</f>
        <v>0.94000007399500507</v>
      </c>
      <c r="BE37" s="122">
        <f t="shared" si="15"/>
        <v>1.764177059925931E-3</v>
      </c>
    </row>
    <row r="38" spans="3:57" x14ac:dyDescent="0.3">
      <c r="X38" s="24">
        <f t="shared" ref="X38" si="323">X37+YearFraction</f>
        <v>8.5</v>
      </c>
      <c r="Y38" s="25" cm="1">
        <f t="array" ref="Y38">flatInterpolation(X38,$S$4:$S$9,$T$4:$T$9)</f>
        <v>7.4999999999999997E-3</v>
      </c>
      <c r="Z38" s="26">
        <f t="shared" ref="Z38" si="324">EXP(-Y38*YearFraction)*Z37</f>
        <v>0.9382395300957117</v>
      </c>
      <c r="AA38" s="26">
        <f t="shared" si="3"/>
        <v>1.7608493993674923E-3</v>
      </c>
      <c r="AB38" s="27" cm="1">
        <f t="array" ref="AB38">cubicInterpolation(CurveResults.Times,CurveResults.DFs,$X38)</f>
        <v>0.71521904339088416</v>
      </c>
      <c r="AG38" s="24">
        <f t="shared" ref="AG38" si="325">AG37+YearFraction</f>
        <v>8.5</v>
      </c>
      <c r="AI38" s="18" cm="1">
        <f t="array" ref="AI38">flatInterpolation($AG38,$S$4:$S$9,AH$5:AH$10)</f>
        <v>7.4999999999999997E-3</v>
      </c>
      <c r="AJ38" s="26">
        <f t="shared" ref="AJ38" si="326">EXP(-AI38*YearFraction)*AJ37</f>
        <v>0.93823943627176354</v>
      </c>
      <c r="AK38" s="122">
        <f t="shared" si="5"/>
        <v>1.7608492232825679E-3</v>
      </c>
      <c r="AL38" s="116"/>
      <c r="AM38" s="18" cm="1">
        <f t="array" ref="AM38">flatInterpolation($AG38,$S$4:$S$9,AL$5:AL$10)</f>
        <v>7.4999999999999997E-3</v>
      </c>
      <c r="AN38" s="26">
        <f t="shared" ref="AN38" si="327">EXP(-AM38*YearFraction)*AN37</f>
        <v>0.93823943627176376</v>
      </c>
      <c r="AO38" s="122">
        <f t="shared" si="7"/>
        <v>1.7608492232825679E-3</v>
      </c>
      <c r="AP38" s="116"/>
      <c r="AQ38" s="18" cm="1">
        <f t="array" ref="AQ38">flatInterpolation($AG38,$S$4:$S$9,AP$5:AP$10)</f>
        <v>7.4999999999999997E-3</v>
      </c>
      <c r="AR38" s="26">
        <f t="shared" ref="AR38" si="328">EXP(-AQ38*YearFraction)*AR37</f>
        <v>0.93823943627176376</v>
      </c>
      <c r="AS38" s="122">
        <f t="shared" si="9"/>
        <v>1.7608492232825679E-3</v>
      </c>
      <c r="AT38" s="116"/>
      <c r="AU38" s="18" cm="1">
        <f t="array" ref="AU38">flatInterpolation($AG38,$S$4:$S$9,AT$5:AT$10)</f>
        <v>7.4999999999999997E-3</v>
      </c>
      <c r="AV38" s="26">
        <f t="shared" ref="AV38" si="329">EXP(-AU38*YearFraction)*AV37</f>
        <v>0.93823943627176354</v>
      </c>
      <c r="AW38" s="122">
        <f t="shared" si="11"/>
        <v>1.7608492232825679E-3</v>
      </c>
      <c r="AX38" s="116"/>
      <c r="AY38" s="18" cm="1">
        <f t="array" ref="AY38">flatInterpolation($AG38,$S$4:$S$9,AX$5:AX$10)</f>
        <v>7.4999999999999997E-3</v>
      </c>
      <c r="AZ38" s="26">
        <f t="shared" ref="AZ38" si="330">EXP(-AY38*YearFraction)*AZ37</f>
        <v>0.93823943627176354</v>
      </c>
      <c r="BA38" s="122">
        <f t="shared" si="13"/>
        <v>1.7608492232825679E-3</v>
      </c>
      <c r="BB38" s="116"/>
      <c r="BC38" s="18" cm="1">
        <f t="array" ref="BC38">flatInterpolation($AG38,$S$4:$S$9,BB$5:BB$10)</f>
        <v>7.5001E-3</v>
      </c>
      <c r="BD38" s="26">
        <f t="shared" ref="BD38" si="331">EXP(-BC38*YearFraction)*BD37</f>
        <v>0.93823920171193309</v>
      </c>
      <c r="BE38" s="122">
        <f t="shared" si="15"/>
        <v>1.7608722830719792E-3</v>
      </c>
    </row>
    <row r="39" spans="3:57" x14ac:dyDescent="0.3">
      <c r="U39" s="2"/>
      <c r="V39" s="2"/>
      <c r="W39" s="2"/>
      <c r="X39" s="24">
        <f t="shared" ref="X39" si="332">X38+YearFraction</f>
        <v>8.75</v>
      </c>
      <c r="Y39" s="25" cm="1">
        <f t="array" ref="Y39">flatInterpolation(X39,$S$4:$S$9,$T$4:$T$9)</f>
        <v>7.4999999999999997E-3</v>
      </c>
      <c r="Z39" s="26">
        <f t="shared" ref="Z39" si="333">EXP(-Y39*YearFraction)*Z38</f>
        <v>0.93648197919565856</v>
      </c>
      <c r="AA39" s="26">
        <f t="shared" si="3"/>
        <v>1.7575509000531397E-3</v>
      </c>
      <c r="AB39" s="27" cm="1">
        <f t="array" ref="AB39">cubicInterpolation(CurveResults.Times,CurveResults.DFs,$X39)</f>
        <v>0.70850408855642577</v>
      </c>
      <c r="AG39" s="24">
        <f t="shared" ref="AG39" si="334">AG38+YearFraction</f>
        <v>8.75</v>
      </c>
      <c r="AI39" s="18" cm="1">
        <f t="array" ref="AI39">flatInterpolation($AG39,$S$4:$S$9,AH$5:AH$10)</f>
        <v>7.4999999999999997E-3</v>
      </c>
      <c r="AJ39" s="26">
        <f t="shared" ref="AJ39" si="335">EXP(-AI39*YearFraction)*AJ38</f>
        <v>0.93648188554746548</v>
      </c>
      <c r="AK39" s="122">
        <f t="shared" si="5"/>
        <v>1.7575507242980626E-3</v>
      </c>
      <c r="AL39" s="116"/>
      <c r="AM39" s="18" cm="1">
        <f t="array" ref="AM39">flatInterpolation($AG39,$S$4:$S$9,AL$5:AL$10)</f>
        <v>7.4999999999999997E-3</v>
      </c>
      <c r="AN39" s="26">
        <f t="shared" ref="AN39" si="336">EXP(-AM39*YearFraction)*AN38</f>
        <v>0.9364818855474657</v>
      </c>
      <c r="AO39" s="122">
        <f t="shared" si="7"/>
        <v>1.7575507242980626E-3</v>
      </c>
      <c r="AP39" s="116"/>
      <c r="AQ39" s="18" cm="1">
        <f t="array" ref="AQ39">flatInterpolation($AG39,$S$4:$S$9,AP$5:AP$10)</f>
        <v>7.4999999999999997E-3</v>
      </c>
      <c r="AR39" s="26">
        <f t="shared" ref="AR39" si="337">EXP(-AQ39*YearFraction)*AR38</f>
        <v>0.9364818855474657</v>
      </c>
      <c r="AS39" s="122">
        <f t="shared" si="9"/>
        <v>1.7575507242980626E-3</v>
      </c>
      <c r="AT39" s="116"/>
      <c r="AU39" s="18" cm="1">
        <f t="array" ref="AU39">flatInterpolation($AG39,$S$4:$S$9,AT$5:AT$10)</f>
        <v>7.4999999999999997E-3</v>
      </c>
      <c r="AV39" s="26">
        <f t="shared" ref="AV39" si="338">EXP(-AU39*YearFraction)*AV38</f>
        <v>0.93648188554746548</v>
      </c>
      <c r="AW39" s="122">
        <f t="shared" si="11"/>
        <v>1.7575507242980626E-3</v>
      </c>
      <c r="AX39" s="116"/>
      <c r="AY39" s="18" cm="1">
        <f t="array" ref="AY39">flatInterpolation($AG39,$S$4:$S$9,AX$5:AX$10)</f>
        <v>7.4999999999999997E-3</v>
      </c>
      <c r="AZ39" s="26">
        <f t="shared" ref="AZ39" si="339">EXP(-AY39*YearFraction)*AZ38</f>
        <v>0.93648188554746548</v>
      </c>
      <c r="BA39" s="122">
        <f t="shared" si="13"/>
        <v>1.7575507242980626E-3</v>
      </c>
      <c r="BB39" s="116"/>
      <c r="BC39" s="18" cm="1">
        <f t="array" ref="BC39">flatInterpolation($AG39,$S$4:$S$9,BB$5:BB$10)</f>
        <v>7.5001E-3</v>
      </c>
      <c r="BD39" s="26">
        <f t="shared" ref="BD39" si="340">EXP(-BC39*YearFraction)*BD38</f>
        <v>0.93648162801498158</v>
      </c>
      <c r="BE39" s="122">
        <f t="shared" si="15"/>
        <v>1.7575736969515088E-3</v>
      </c>
    </row>
    <row r="40" spans="3:57" x14ac:dyDescent="0.3">
      <c r="K40" s="44" t="s">
        <v>42</v>
      </c>
      <c r="L40" s="2"/>
      <c r="M40" s="2"/>
      <c r="N40" s="2"/>
      <c r="O40" s="2"/>
      <c r="P40" s="45"/>
      <c r="Q40" s="2"/>
      <c r="R40" s="2"/>
      <c r="X40" s="24">
        <f t="shared" ref="X40" si="341">X39+YearFraction</f>
        <v>9</v>
      </c>
      <c r="Y40" s="25" cm="1">
        <f t="array" ref="Y40">flatInterpolation(X40,$S$4:$S$9,$T$4:$T$9)</f>
        <v>7.4999999999999997E-3</v>
      </c>
      <c r="Z40" s="26">
        <f t="shared" ref="Z40" si="342">EXP(-Y40*YearFraction)*Z39</f>
        <v>0.93472772061602805</v>
      </c>
      <c r="AA40" s="26">
        <f t="shared" si="3"/>
        <v>1.7542585796305188E-3</v>
      </c>
      <c r="AB40" s="27" cm="1">
        <f t="array" ref="AB40">cubicInterpolation(CurveResults.Times,CurveResults.DFs,$X40)</f>
        <v>0.70183479742911425</v>
      </c>
      <c r="AG40" s="24">
        <f t="shared" ref="AG40" si="343">AG39+YearFraction</f>
        <v>9</v>
      </c>
      <c r="AI40" s="18" cm="1">
        <f t="array" ref="AI40">flatInterpolation($AG40,$S$4:$S$9,AH$5:AH$10)</f>
        <v>7.4999999999999997E-3</v>
      </c>
      <c r="AJ40" s="26">
        <f t="shared" ref="AJ40" si="344">EXP(-AI40*YearFraction)*AJ39</f>
        <v>0.93472762714326085</v>
      </c>
      <c r="AK40" s="122">
        <f t="shared" si="5"/>
        <v>1.7542584042046228E-3</v>
      </c>
      <c r="AL40" s="116"/>
      <c r="AM40" s="18" cm="1">
        <f t="array" ref="AM40">flatInterpolation($AG40,$S$4:$S$9,AL$5:AL$10)</f>
        <v>7.4999999999999997E-3</v>
      </c>
      <c r="AN40" s="26">
        <f t="shared" ref="AN40" si="345">EXP(-AM40*YearFraction)*AN39</f>
        <v>0.93472762714326108</v>
      </c>
      <c r="AO40" s="122">
        <f t="shared" si="7"/>
        <v>1.7542584042046228E-3</v>
      </c>
      <c r="AP40" s="116"/>
      <c r="AQ40" s="18" cm="1">
        <f t="array" ref="AQ40">flatInterpolation($AG40,$S$4:$S$9,AP$5:AP$10)</f>
        <v>7.4999999999999997E-3</v>
      </c>
      <c r="AR40" s="26">
        <f t="shared" ref="AR40" si="346">EXP(-AQ40*YearFraction)*AR39</f>
        <v>0.93472762714326108</v>
      </c>
      <c r="AS40" s="122">
        <f t="shared" si="9"/>
        <v>1.7542584042046228E-3</v>
      </c>
      <c r="AT40" s="116"/>
      <c r="AU40" s="18" cm="1">
        <f t="array" ref="AU40">flatInterpolation($AG40,$S$4:$S$9,AT$5:AT$10)</f>
        <v>7.4999999999999997E-3</v>
      </c>
      <c r="AV40" s="26">
        <f t="shared" ref="AV40" si="347">EXP(-AU40*YearFraction)*AV39</f>
        <v>0.93472762714326085</v>
      </c>
      <c r="AW40" s="122">
        <f t="shared" si="11"/>
        <v>1.7542584042046228E-3</v>
      </c>
      <c r="AX40" s="116"/>
      <c r="AY40" s="18" cm="1">
        <f t="array" ref="AY40">flatInterpolation($AG40,$S$4:$S$9,AX$5:AX$10)</f>
        <v>7.4999999999999997E-3</v>
      </c>
      <c r="AZ40" s="26">
        <f t="shared" ref="AZ40" si="348">EXP(-AY40*YearFraction)*AZ39</f>
        <v>0.93472762714326085</v>
      </c>
      <c r="BA40" s="122">
        <f t="shared" si="13"/>
        <v>1.7542584042046228E-3</v>
      </c>
      <c r="BB40" s="116"/>
      <c r="BC40" s="18" cm="1">
        <f t="array" ref="BC40">flatInterpolation($AG40,$S$4:$S$9,BB$5:BB$10)</f>
        <v>7.5001E-3</v>
      </c>
      <c r="BD40" s="26">
        <f t="shared" ref="BD40" si="349">EXP(-BC40*YearFraction)*BD39</f>
        <v>0.9347273467250139</v>
      </c>
      <c r="BE40" s="122">
        <f t="shared" si="15"/>
        <v>1.7542812899676852E-3</v>
      </c>
    </row>
    <row r="41" spans="3:57" ht="15.6" x14ac:dyDescent="0.3">
      <c r="C41" s="54"/>
      <c r="D41" s="54"/>
      <c r="E41" s="54"/>
      <c r="F41" s="54"/>
      <c r="G41" s="54"/>
      <c r="H41" s="54"/>
      <c r="J41" s="54" t="s">
        <v>30</v>
      </c>
      <c r="K41" s="2" t="s">
        <v>31</v>
      </c>
      <c r="L41" s="2" t="s">
        <v>32</v>
      </c>
      <c r="M41" s="2" t="s">
        <v>33</v>
      </c>
      <c r="N41" s="2" t="s">
        <v>34</v>
      </c>
      <c r="O41" s="2" t="s">
        <v>35</v>
      </c>
      <c r="P41" s="2" t="s">
        <v>36</v>
      </c>
      <c r="Q41" s="2" t="s">
        <v>37</v>
      </c>
      <c r="R41" s="2" t="s">
        <v>38</v>
      </c>
      <c r="S41" s="2" t="s">
        <v>39</v>
      </c>
      <c r="T41" s="2" t="s">
        <v>40</v>
      </c>
      <c r="U41" s="2" t="s">
        <v>41</v>
      </c>
      <c r="V41" s="2"/>
      <c r="W41" s="2"/>
      <c r="X41" s="24">
        <f t="shared" ref="X41" si="350">X40+YearFraction</f>
        <v>9.25</v>
      </c>
      <c r="Y41" s="25" cm="1">
        <f t="array" ref="Y41">flatInterpolation(X41,$S$4:$S$9,$T$4:$T$9)</f>
        <v>7.4999999999999997E-3</v>
      </c>
      <c r="Z41" s="26">
        <f t="shared" ref="Z41" si="351">EXP(-Y41*YearFraction)*Z40</f>
        <v>0.93297674818950305</v>
      </c>
      <c r="AA41" s="26">
        <f t="shared" si="3"/>
        <v>1.7509724265249993E-3</v>
      </c>
      <c r="AB41" s="27" cm="1">
        <f t="array" ref="AB41">cubicInterpolation(CurveResults.Times,CurveResults.DFs,$X41)</f>
        <v>0.69522831370022098</v>
      </c>
      <c r="AG41" s="24">
        <f t="shared" ref="AG41" si="352">AG40+YearFraction</f>
        <v>9.25</v>
      </c>
      <c r="AI41" s="18" cm="1">
        <f t="array" ref="AI41">flatInterpolation($AG41,$S$4:$S$9,AH$5:AH$10)</f>
        <v>7.4999999999999997E-3</v>
      </c>
      <c r="AJ41" s="26">
        <f t="shared" ref="AJ41" si="353">EXP(-AI41*YearFraction)*AJ40</f>
        <v>0.93297665489183312</v>
      </c>
      <c r="AK41" s="122">
        <f t="shared" si="5"/>
        <v>1.7509722514277293E-3</v>
      </c>
      <c r="AL41" s="116"/>
      <c r="AM41" s="18" cm="1">
        <f t="array" ref="AM41">flatInterpolation($AG41,$S$4:$S$9,AL$5:AL$10)</f>
        <v>7.4999999999999997E-3</v>
      </c>
      <c r="AN41" s="26">
        <f t="shared" ref="AN41" si="354">EXP(-AM41*YearFraction)*AN40</f>
        <v>0.93297665489183335</v>
      </c>
      <c r="AO41" s="122">
        <f t="shared" si="7"/>
        <v>1.7509722514277293E-3</v>
      </c>
      <c r="AP41" s="116"/>
      <c r="AQ41" s="18" cm="1">
        <f t="array" ref="AQ41">flatInterpolation($AG41,$S$4:$S$9,AP$5:AP$10)</f>
        <v>7.4999999999999997E-3</v>
      </c>
      <c r="AR41" s="26">
        <f t="shared" ref="AR41" si="355">EXP(-AQ41*YearFraction)*AR40</f>
        <v>0.93297665489183335</v>
      </c>
      <c r="AS41" s="122">
        <f t="shared" si="9"/>
        <v>1.7509722514277293E-3</v>
      </c>
      <c r="AT41" s="116"/>
      <c r="AU41" s="18" cm="1">
        <f t="array" ref="AU41">flatInterpolation($AG41,$S$4:$S$9,AT$5:AT$10)</f>
        <v>7.4999999999999997E-3</v>
      </c>
      <c r="AV41" s="26">
        <f t="shared" ref="AV41" si="356">EXP(-AU41*YearFraction)*AV40</f>
        <v>0.93297665489183312</v>
      </c>
      <c r="AW41" s="122">
        <f t="shared" si="11"/>
        <v>1.7509722514277293E-3</v>
      </c>
      <c r="AX41" s="116"/>
      <c r="AY41" s="18" cm="1">
        <f t="array" ref="AY41">flatInterpolation($AG41,$S$4:$S$9,AX$5:AX$10)</f>
        <v>7.4999999999999997E-3</v>
      </c>
      <c r="AZ41" s="26">
        <f t="shared" ref="AZ41" si="357">EXP(-AY41*YearFraction)*AZ40</f>
        <v>0.93297665489183312</v>
      </c>
      <c r="BA41" s="122">
        <f t="shared" si="13"/>
        <v>1.7509722514277293E-3</v>
      </c>
      <c r="BB41" s="116"/>
      <c r="BC41" s="18" cm="1">
        <f t="array" ref="BC41">flatInterpolation($AG41,$S$4:$S$9,BB$5:BB$10)</f>
        <v>7.5001E-3</v>
      </c>
      <c r="BD41" s="26">
        <f t="shared" ref="BD41" si="358">EXP(-BC41*YearFraction)*BD40</f>
        <v>0.93297635167446857</v>
      </c>
      <c r="BE41" s="122">
        <f t="shared" si="15"/>
        <v>1.7509950505453231E-3</v>
      </c>
    </row>
    <row r="42" spans="3:57" x14ac:dyDescent="0.3">
      <c r="C42" s="2"/>
      <c r="D42" s="2"/>
      <c r="E42" s="2"/>
      <c r="F42" s="2"/>
      <c r="G42" s="2"/>
      <c r="H42" s="2"/>
      <c r="J42" s="2" t="s">
        <v>11</v>
      </c>
      <c r="K42" s="107">
        <v>7.4999999999999997E-3</v>
      </c>
      <c r="L42" s="108">
        <v>7.500002197266876E-3</v>
      </c>
      <c r="M42" s="108"/>
      <c r="N42" s="108"/>
      <c r="O42" s="108"/>
      <c r="P42" s="108"/>
      <c r="Q42" s="108"/>
      <c r="R42" s="108"/>
      <c r="S42" s="108"/>
      <c r="T42" s="108"/>
      <c r="U42" s="109"/>
      <c r="V42" s="103"/>
      <c r="W42" s="103"/>
      <c r="X42" s="24">
        <f t="shared" ref="X42" si="359">X41+YearFraction</f>
        <v>9.5</v>
      </c>
      <c r="Y42" s="25" cm="1">
        <f t="array" ref="Y42">flatInterpolation(X42,$S$4:$S$9,$T$4:$T$9)</f>
        <v>7.4999999999999997E-3</v>
      </c>
      <c r="Z42" s="26">
        <f t="shared" ref="Z42" si="360">EXP(-Y42*YearFraction)*Z41</f>
        <v>0.93122905576031934</v>
      </c>
      <c r="AA42" s="26">
        <f t="shared" si="3"/>
        <v>1.7476924291837115E-3</v>
      </c>
      <c r="AB42" s="27" cm="1">
        <f t="array" ref="AB42">cubicInterpolation(CurveResults.Times,CurveResults.DFs,$X42)</f>
        <v>0.68867871159434935</v>
      </c>
      <c r="AG42" s="24">
        <f t="shared" ref="AG42" si="361">AG41+YearFraction</f>
        <v>9.5</v>
      </c>
      <c r="AI42" s="18" cm="1">
        <f t="array" ref="AI42">flatInterpolation($AG42,$S$4:$S$9,AH$5:AH$10)</f>
        <v>7.4999999999999997E-3</v>
      </c>
      <c r="AJ42" s="26">
        <f t="shared" ref="AJ42" si="362">EXP(-AI42*YearFraction)*AJ41</f>
        <v>0.93122896263741861</v>
      </c>
      <c r="AK42" s="122">
        <f t="shared" si="5"/>
        <v>1.7476922544145124E-3</v>
      </c>
      <c r="AL42" s="116"/>
      <c r="AM42" s="18" cm="1">
        <f t="array" ref="AM42">flatInterpolation($AG42,$S$4:$S$9,AL$5:AL$10)</f>
        <v>7.4999999999999997E-3</v>
      </c>
      <c r="AN42" s="26">
        <f t="shared" ref="AN42" si="363">EXP(-AM42*YearFraction)*AN41</f>
        <v>0.93122896263741883</v>
      </c>
      <c r="AO42" s="122">
        <f t="shared" si="7"/>
        <v>1.7476922544145124E-3</v>
      </c>
      <c r="AP42" s="116"/>
      <c r="AQ42" s="18" cm="1">
        <f t="array" ref="AQ42">flatInterpolation($AG42,$S$4:$S$9,AP$5:AP$10)</f>
        <v>7.4999999999999997E-3</v>
      </c>
      <c r="AR42" s="26">
        <f t="shared" ref="AR42" si="364">EXP(-AQ42*YearFraction)*AR41</f>
        <v>0.93122896263741883</v>
      </c>
      <c r="AS42" s="122">
        <f t="shared" si="9"/>
        <v>1.7476922544145124E-3</v>
      </c>
      <c r="AT42" s="116"/>
      <c r="AU42" s="18" cm="1">
        <f t="array" ref="AU42">flatInterpolation($AG42,$S$4:$S$9,AT$5:AT$10)</f>
        <v>7.4999999999999997E-3</v>
      </c>
      <c r="AV42" s="26">
        <f t="shared" ref="AV42" si="365">EXP(-AU42*YearFraction)*AV41</f>
        <v>0.93122896263741861</v>
      </c>
      <c r="AW42" s="122">
        <f t="shared" si="11"/>
        <v>1.7476922544145124E-3</v>
      </c>
      <c r="AX42" s="116"/>
      <c r="AY42" s="18" cm="1">
        <f t="array" ref="AY42">flatInterpolation($AG42,$S$4:$S$9,AX$5:AX$10)</f>
        <v>7.4999999999999997E-3</v>
      </c>
      <c r="AZ42" s="26">
        <f t="shared" ref="AZ42" si="366">EXP(-AY42*YearFraction)*AZ41</f>
        <v>0.93122896263741861</v>
      </c>
      <c r="BA42" s="122">
        <f t="shared" si="13"/>
        <v>1.7476922544145124E-3</v>
      </c>
      <c r="BB42" s="116"/>
      <c r="BC42" s="18" cm="1">
        <f t="array" ref="BC42">flatInterpolation($AG42,$S$4:$S$9,BB$5:BB$10)</f>
        <v>7.5001E-3</v>
      </c>
      <c r="BD42" s="26">
        <f t="shared" ref="BD42" si="367">EXP(-BC42*YearFraction)*BD41</f>
        <v>0.9312286367073378</v>
      </c>
      <c r="BE42" s="122">
        <f t="shared" si="15"/>
        <v>1.7477149671307757E-3</v>
      </c>
    </row>
    <row r="43" spans="3:57" x14ac:dyDescent="0.3">
      <c r="C43" s="2"/>
      <c r="D43" s="2"/>
      <c r="E43" s="2"/>
      <c r="F43" s="2"/>
      <c r="G43" s="2"/>
      <c r="H43" s="2"/>
      <c r="J43" s="2" t="s">
        <v>12</v>
      </c>
      <c r="K43" s="110">
        <v>7.4999999999999997E-3</v>
      </c>
      <c r="L43" s="103">
        <v>7.5000021972668855E-3</v>
      </c>
      <c r="M43" s="103"/>
      <c r="N43" s="103"/>
      <c r="O43" s="103"/>
      <c r="P43" s="103"/>
      <c r="Q43" s="103"/>
      <c r="R43" s="103"/>
      <c r="S43" s="103"/>
      <c r="T43" s="103"/>
      <c r="U43" s="104"/>
      <c r="V43" s="103"/>
      <c r="W43" s="103"/>
      <c r="X43" s="24">
        <f t="shared" ref="X43" si="368">X42+YearFraction</f>
        <v>9.75</v>
      </c>
      <c r="Y43" s="25" cm="1">
        <f t="array" ref="Y43">flatInterpolation(X43,$S$4:$S$9,$T$4:$T$9)</f>
        <v>7.4999999999999997E-3</v>
      </c>
      <c r="Z43" s="26">
        <f t="shared" ref="Z43" si="369">EXP(-Y43*YearFraction)*Z42</f>
        <v>0.9294846371842439</v>
      </c>
      <c r="AA43" s="26">
        <f t="shared" si="3"/>
        <v>1.7444185760754349E-3</v>
      </c>
      <c r="AB43" s="27" cm="1">
        <f t="array" ref="AB43">cubicInterpolation(CurveResults.Times,CurveResults.DFs,$X43)</f>
        <v>0.6821518621376863</v>
      </c>
      <c r="AG43" s="24">
        <f t="shared" ref="AG43" si="370">AG42+YearFraction</f>
        <v>9.75</v>
      </c>
      <c r="AI43" s="18" cm="1">
        <f t="array" ref="AI43">flatInterpolation($AG43,$S$4:$S$9,AH$5:AH$10)</f>
        <v>7.4999999999999997E-3</v>
      </c>
      <c r="AJ43" s="26">
        <f t="shared" ref="AJ43" si="371">EXP(-AI43*YearFraction)*AJ42</f>
        <v>0.92948454423578508</v>
      </c>
      <c r="AK43" s="122">
        <f t="shared" si="5"/>
        <v>1.7444184016335296E-3</v>
      </c>
      <c r="AL43" s="116"/>
      <c r="AM43" s="18" cm="1">
        <f t="array" ref="AM43">flatInterpolation($AG43,$S$4:$S$9,AL$5:AL$10)</f>
        <v>7.4999999999999997E-3</v>
      </c>
      <c r="AN43" s="26">
        <f t="shared" ref="AN43" si="372">EXP(-AM43*YearFraction)*AN42</f>
        <v>0.9294845442357853</v>
      </c>
      <c r="AO43" s="122">
        <f t="shared" si="7"/>
        <v>1.7444184016335296E-3</v>
      </c>
      <c r="AP43" s="116"/>
      <c r="AQ43" s="18" cm="1">
        <f t="array" ref="AQ43">flatInterpolation($AG43,$S$4:$S$9,AP$5:AP$10)</f>
        <v>7.4999999999999997E-3</v>
      </c>
      <c r="AR43" s="26">
        <f t="shared" ref="AR43" si="373">EXP(-AQ43*YearFraction)*AR42</f>
        <v>0.9294845442357853</v>
      </c>
      <c r="AS43" s="122">
        <f t="shared" si="9"/>
        <v>1.7444184016335296E-3</v>
      </c>
      <c r="AT43" s="116"/>
      <c r="AU43" s="18" cm="1">
        <f t="array" ref="AU43">flatInterpolation($AG43,$S$4:$S$9,AT$5:AT$10)</f>
        <v>7.4999999999999997E-3</v>
      </c>
      <c r="AV43" s="26">
        <f t="shared" ref="AV43" si="374">EXP(-AU43*YearFraction)*AV42</f>
        <v>0.92948454423578508</v>
      </c>
      <c r="AW43" s="122">
        <f t="shared" si="11"/>
        <v>1.7444184016335296E-3</v>
      </c>
      <c r="AX43" s="116"/>
      <c r="AY43" s="18" cm="1">
        <f t="array" ref="AY43">flatInterpolation($AG43,$S$4:$S$9,AX$5:AX$10)</f>
        <v>7.4999999999999997E-3</v>
      </c>
      <c r="AZ43" s="26">
        <f t="shared" ref="AZ43" si="375">EXP(-AY43*YearFraction)*AZ42</f>
        <v>0.92948454423578508</v>
      </c>
      <c r="BA43" s="122">
        <f t="shared" si="13"/>
        <v>1.7444184016335296E-3</v>
      </c>
      <c r="BB43" s="116"/>
      <c r="BC43" s="18" cm="1">
        <f t="array" ref="BC43">flatInterpolation($AG43,$S$4:$S$9,BB$5:BB$10)</f>
        <v>7.5001E-3</v>
      </c>
      <c r="BD43" s="26">
        <f t="shared" ref="BD43" si="376">EXP(-BC43*YearFraction)*BD42</f>
        <v>0.92948419567914531</v>
      </c>
      <c r="BE43" s="122">
        <f t="shared" si="15"/>
        <v>1.7444410281924894E-3</v>
      </c>
    </row>
    <row r="44" spans="3:57" x14ac:dyDescent="0.3">
      <c r="C44" s="2"/>
      <c r="D44" s="2"/>
      <c r="E44" s="2"/>
      <c r="F44" s="2"/>
      <c r="G44" s="2"/>
      <c r="H44" s="2"/>
      <c r="J44" s="2" t="s">
        <v>13</v>
      </c>
      <c r="K44" s="110">
        <v>7.4999999999999997E-3</v>
      </c>
      <c r="L44" s="103">
        <v>7.5000021972667849E-3</v>
      </c>
      <c r="M44" s="103"/>
      <c r="N44" s="103"/>
      <c r="O44" s="103"/>
      <c r="P44" s="103"/>
      <c r="Q44" s="103"/>
      <c r="R44" s="103"/>
      <c r="S44" s="103"/>
      <c r="T44" s="103"/>
      <c r="U44" s="104"/>
      <c r="V44" s="103"/>
      <c r="W44" s="103"/>
      <c r="X44" s="9">
        <f t="shared" ref="X44" si="377">X43+YearFraction</f>
        <v>10</v>
      </c>
      <c r="Y44" s="19" cm="1">
        <f t="array" ref="Y44">flatInterpolation(X44,$S$4:$S$9,$T$4:$T$9)</f>
        <v>7.4999999999999997E-3</v>
      </c>
      <c r="Z44" s="14">
        <f t="shared" ref="Z44" si="378">EXP(-Y44*YearFraction)*Z43</f>
        <v>0.92774348632855341</v>
      </c>
      <c r="AA44" s="14">
        <f t="shared" si="3"/>
        <v>1.7411508556904876E-3</v>
      </c>
      <c r="AB44" s="15" cm="1">
        <f t="array" ref="AB44">cubicInterpolation(CurveResults.Times,CurveResults.DFs,$X44)</f>
        <v>0.67561363635641902</v>
      </c>
      <c r="AG44" s="9">
        <f t="shared" ref="AG44" si="379">AG43+YearFraction</f>
        <v>10</v>
      </c>
      <c r="AH44" s="113"/>
      <c r="AI44" s="36" cm="1">
        <f t="array" ref="AI44">flatInterpolation($AG44,$S$4:$S$9,AH$5:AH$10)</f>
        <v>7.4999999999999997E-3</v>
      </c>
      <c r="AJ44" s="14">
        <f t="shared" ref="AJ44" si="380">EXP(-AI44*YearFraction)*AJ43</f>
        <v>0.92774339355420965</v>
      </c>
      <c r="AK44" s="123">
        <f t="shared" si="5"/>
        <v>1.7411506815754318E-3</v>
      </c>
      <c r="AL44" s="112"/>
      <c r="AM44" s="36" cm="1">
        <f t="array" ref="AM44">flatInterpolation($AG44,$S$4:$S$9,AL$5:AL$10)</f>
        <v>7.4999999999999997E-3</v>
      </c>
      <c r="AN44" s="14">
        <f t="shared" ref="AN44" si="381">EXP(-AM44*YearFraction)*AN43</f>
        <v>0.92774339355420987</v>
      </c>
      <c r="AO44" s="123">
        <f t="shared" si="7"/>
        <v>1.7411506815754318E-3</v>
      </c>
      <c r="AP44" s="112"/>
      <c r="AQ44" s="36" cm="1">
        <f t="array" ref="AQ44">flatInterpolation($AG44,$S$4:$S$9,AP$5:AP$10)</f>
        <v>7.4999999999999997E-3</v>
      </c>
      <c r="AR44" s="14">
        <f t="shared" ref="AR44" si="382">EXP(-AQ44*YearFraction)*AR43</f>
        <v>0.92774339355420987</v>
      </c>
      <c r="AS44" s="123">
        <f t="shared" si="9"/>
        <v>1.7411506815754318E-3</v>
      </c>
      <c r="AT44" s="112"/>
      <c r="AU44" s="36" cm="1">
        <f t="array" ref="AU44">flatInterpolation($AG44,$S$4:$S$9,AT$5:AT$10)</f>
        <v>7.4999999999999997E-3</v>
      </c>
      <c r="AV44" s="14">
        <f t="shared" ref="AV44" si="383">EXP(-AU44*YearFraction)*AV43</f>
        <v>0.92774339355420965</v>
      </c>
      <c r="AW44" s="123">
        <f t="shared" si="11"/>
        <v>1.7411506815754318E-3</v>
      </c>
      <c r="AX44" s="112"/>
      <c r="AY44" s="36" cm="1">
        <f t="array" ref="AY44">flatInterpolation($AG44,$S$4:$S$9,AX$5:AX$10)</f>
        <v>7.4999999999999997E-3</v>
      </c>
      <c r="AZ44" s="14">
        <f t="shared" ref="AZ44" si="384">EXP(-AY44*YearFraction)*AZ43</f>
        <v>0.92774339355420965</v>
      </c>
      <c r="BA44" s="123">
        <f t="shared" si="13"/>
        <v>1.7411506815754318E-3</v>
      </c>
      <c r="BB44" s="112"/>
      <c r="BC44" s="36" cm="1">
        <f t="array" ref="BC44">flatInterpolation($AG44,$S$4:$S$9,BB$5:BB$10)</f>
        <v>7.5001E-3</v>
      </c>
      <c r="BD44" s="14">
        <f t="shared" ref="BD44" si="385">EXP(-BC44*YearFraction)*BD43</f>
        <v>0.92774302245692541</v>
      </c>
      <c r="BE44" s="123">
        <f t="shared" si="15"/>
        <v>1.7411732222198939E-3</v>
      </c>
    </row>
    <row r="45" spans="3:57" x14ac:dyDescent="0.3">
      <c r="C45" s="2"/>
      <c r="D45" s="2"/>
      <c r="E45" s="2"/>
      <c r="F45" s="2"/>
      <c r="G45" s="2"/>
      <c r="H45" s="2"/>
      <c r="J45" s="2" t="s">
        <v>14</v>
      </c>
      <c r="K45" s="110">
        <v>7.4999999999999997E-3</v>
      </c>
      <c r="L45" s="103">
        <v>7.5000021972667771E-3</v>
      </c>
      <c r="M45" s="103"/>
      <c r="N45" s="103"/>
      <c r="O45" s="103"/>
      <c r="P45" s="103"/>
      <c r="Q45" s="103"/>
      <c r="R45" s="103"/>
      <c r="S45" s="103"/>
      <c r="T45" s="103"/>
      <c r="U45" s="104"/>
      <c r="V45" s="103"/>
      <c r="W45" s="103"/>
    </row>
    <row r="46" spans="3:57" x14ac:dyDescent="0.3">
      <c r="C46" s="2"/>
      <c r="D46" s="2"/>
      <c r="E46" s="2"/>
      <c r="F46" s="2"/>
      <c r="G46" s="2"/>
      <c r="H46" s="2"/>
      <c r="J46" s="2" t="s">
        <v>15</v>
      </c>
      <c r="K46" s="110">
        <v>7.4999999999999997E-3</v>
      </c>
      <c r="L46" s="103">
        <v>7.5000021972668586E-3</v>
      </c>
      <c r="M46" s="103"/>
      <c r="N46" s="103"/>
      <c r="O46" s="103"/>
      <c r="P46" s="103"/>
      <c r="Q46" s="103"/>
      <c r="R46" s="103"/>
      <c r="S46" s="103"/>
      <c r="T46" s="103"/>
      <c r="U46" s="104"/>
      <c r="V46" s="103"/>
      <c r="W46" s="103"/>
    </row>
    <row r="47" spans="3:57" x14ac:dyDescent="0.3">
      <c r="C47" s="2"/>
      <c r="D47" s="2"/>
      <c r="E47" s="2"/>
      <c r="F47" s="2"/>
      <c r="G47" s="2"/>
      <c r="H47" s="2"/>
      <c r="J47" s="2" t="s">
        <v>16</v>
      </c>
      <c r="K47" s="111">
        <v>7.4999999999999997E-3</v>
      </c>
      <c r="L47" s="105">
        <v>7.500002197267072E-3</v>
      </c>
      <c r="M47" s="105"/>
      <c r="N47" s="105"/>
      <c r="O47" s="105"/>
      <c r="P47" s="105"/>
      <c r="Q47" s="105"/>
      <c r="R47" s="105"/>
      <c r="S47" s="105"/>
      <c r="T47" s="105"/>
      <c r="U47" s="106"/>
      <c r="V47" s="103"/>
      <c r="W47" s="103"/>
      <c r="AH47" s="39" t="s">
        <v>107</v>
      </c>
    </row>
    <row r="48" spans="3:57" x14ac:dyDescent="0.3">
      <c r="AH48" s="148">
        <v>9.9999999999999995E-8</v>
      </c>
    </row>
    <row r="50" spans="3:49" x14ac:dyDescent="0.3">
      <c r="K50" s="55" t="s">
        <v>332</v>
      </c>
      <c r="Y50" s="1" t="s">
        <v>87</v>
      </c>
      <c r="AH50" s="1" t="s">
        <v>86</v>
      </c>
    </row>
    <row r="51" spans="3:49" x14ac:dyDescent="0.3">
      <c r="K51" s="166" t="s">
        <v>108</v>
      </c>
      <c r="L51" s="43" t="s">
        <v>109</v>
      </c>
    </row>
    <row r="52" spans="3:49" ht="15.6" x14ac:dyDescent="0.3">
      <c r="C52" s="39"/>
      <c r="D52" s="39"/>
      <c r="E52" s="39"/>
      <c r="F52" s="39"/>
      <c r="G52" s="39"/>
      <c r="H52" s="39"/>
      <c r="I52" s="39"/>
      <c r="J52" s="39" t="s">
        <v>52</v>
      </c>
      <c r="K52" s="2" t="s">
        <v>54</v>
      </c>
      <c r="L52" s="2" t="s">
        <v>55</v>
      </c>
      <c r="M52" s="2" t="s">
        <v>56</v>
      </c>
      <c r="N52" s="2" t="s">
        <v>57</v>
      </c>
      <c r="O52" s="2" t="s">
        <v>58</v>
      </c>
      <c r="P52" s="2" t="s">
        <v>59</v>
      </c>
      <c r="X52" s="39" t="s">
        <v>52</v>
      </c>
      <c r="Y52" s="2" t="s">
        <v>54</v>
      </c>
      <c r="Z52" s="2" t="s">
        <v>55</v>
      </c>
      <c r="AA52" s="2" t="s">
        <v>56</v>
      </c>
      <c r="AB52" s="2" t="s">
        <v>57</v>
      </c>
      <c r="AC52" s="2" t="s">
        <v>58</v>
      </c>
      <c r="AD52" s="2" t="s">
        <v>59</v>
      </c>
      <c r="AG52" s="39" t="s">
        <v>52</v>
      </c>
      <c r="AH52" s="2" t="s">
        <v>54</v>
      </c>
      <c r="AI52" s="2" t="s">
        <v>55</v>
      </c>
      <c r="AJ52" s="2" t="s">
        <v>56</v>
      </c>
      <c r="AK52" s="2" t="s">
        <v>57</v>
      </c>
      <c r="AL52" s="2" t="s">
        <v>58</v>
      </c>
      <c r="AM52" s="2" t="s">
        <v>59</v>
      </c>
    </row>
    <row r="53" spans="3:49" ht="15.6" x14ac:dyDescent="0.3">
      <c r="C53" s="2"/>
      <c r="D53" s="2"/>
      <c r="E53" s="2"/>
      <c r="F53" s="2"/>
      <c r="G53" s="2"/>
      <c r="H53" s="2"/>
      <c r="I53" s="2"/>
      <c r="J53" s="2" t="s">
        <v>60</v>
      </c>
      <c r="K53" s="89">
        <f t="shared" ref="K53:P58" si="386">IF($K$51="ANALYTICAL",Y53,AH53)</f>
        <v>0.59999947339510473</v>
      </c>
      <c r="L53" s="90">
        <f t="shared" si="386"/>
        <v>0</v>
      </c>
      <c r="M53" s="90">
        <f t="shared" si="386"/>
        <v>0</v>
      </c>
      <c r="N53" s="90">
        <f t="shared" si="386"/>
        <v>0</v>
      </c>
      <c r="O53" s="90">
        <f t="shared" si="386"/>
        <v>0</v>
      </c>
      <c r="P53" s="91">
        <f t="shared" si="386"/>
        <v>0</v>
      </c>
      <c r="X53" s="2" t="s">
        <v>60</v>
      </c>
      <c r="Y53" s="89">
        <f>(Y64*RiskyAnnuity1Y-Protection1Y*Y75)/RiskyAnnuity1Y^2*Notional</f>
        <v>0.59999947265655906</v>
      </c>
      <c r="Z53" s="90">
        <v>0</v>
      </c>
      <c r="AA53" s="90">
        <v>0</v>
      </c>
      <c r="AB53" s="90">
        <v>0</v>
      </c>
      <c r="AC53" s="90">
        <v>0</v>
      </c>
      <c r="AD53" s="91">
        <v>0</v>
      </c>
      <c r="AG53" s="2" t="s">
        <v>60</v>
      </c>
      <c r="AH53" s="89">
        <f t="shared" ref="AH53:AH58" si="387">(AH64-$U14)/ShiftSize</f>
        <v>0.59999947339510473</v>
      </c>
      <c r="AI53" s="90">
        <v>0</v>
      </c>
      <c r="AJ53" s="90">
        <v>0</v>
      </c>
      <c r="AK53" s="90">
        <v>0</v>
      </c>
      <c r="AL53" s="90">
        <v>0</v>
      </c>
      <c r="AM53" s="91">
        <v>0</v>
      </c>
      <c r="AO53" s="120"/>
      <c r="AP53" s="120"/>
      <c r="AQ53" s="120"/>
      <c r="AR53" s="120"/>
      <c r="AS53" s="120"/>
      <c r="AT53" s="120"/>
      <c r="AU53" s="120"/>
      <c r="AV53" s="120"/>
      <c r="AW53" s="120"/>
    </row>
    <row r="54" spans="3:49" ht="15.6" x14ac:dyDescent="0.3">
      <c r="C54" s="2"/>
      <c r="D54" s="2"/>
      <c r="E54" s="2"/>
      <c r="F54" s="2"/>
      <c r="G54" s="2"/>
      <c r="H54" s="2"/>
      <c r="I54" s="2"/>
      <c r="J54" s="2" t="s">
        <v>61</v>
      </c>
      <c r="K54" s="92">
        <f t="shared" si="386"/>
        <v>0.30773691983565499</v>
      </c>
      <c r="L54" s="93">
        <f t="shared" si="386"/>
        <v>0.29226255393241529</v>
      </c>
      <c r="M54" s="94">
        <f t="shared" si="386"/>
        <v>0</v>
      </c>
      <c r="N54" s="94">
        <f t="shared" si="386"/>
        <v>0</v>
      </c>
      <c r="O54" s="94">
        <f t="shared" si="386"/>
        <v>0</v>
      </c>
      <c r="P54" s="95">
        <f t="shared" si="386"/>
        <v>0</v>
      </c>
      <c r="X54" s="2" t="s">
        <v>61</v>
      </c>
      <c r="Y54" s="92">
        <f>(Y65*RiskyAnnuity2Y-Protection2Y*Y76)/RiskyAnnuity2Y^2*Notional</f>
        <v>0.30938083497625846</v>
      </c>
      <c r="Z54" s="93">
        <f>(Z65*RiskyAnnuity2Y-Protection2Y*Z76)/RiskyAnnuity2Y^2*Notional</f>
        <v>0.29226256121966249</v>
      </c>
      <c r="AA54" s="94">
        <v>0</v>
      </c>
      <c r="AB54" s="94">
        <v>0</v>
      </c>
      <c r="AC54" s="94">
        <v>0</v>
      </c>
      <c r="AD54" s="95">
        <v>0</v>
      </c>
      <c r="AG54" s="2" t="s">
        <v>61</v>
      </c>
      <c r="AH54" s="92">
        <f t="shared" si="387"/>
        <v>0.30773691983565499</v>
      </c>
      <c r="AI54" s="93">
        <f>(AI65-$U15)/ShiftSize</f>
        <v>0.29226255393241529</v>
      </c>
      <c r="AJ54" s="94">
        <v>0</v>
      </c>
      <c r="AK54" s="94">
        <v>0</v>
      </c>
      <c r="AL54" s="94">
        <v>0</v>
      </c>
      <c r="AM54" s="95">
        <v>0</v>
      </c>
      <c r="AO54" s="120"/>
      <c r="AP54" s="120"/>
      <c r="AQ54" s="120"/>
      <c r="AR54" s="120"/>
      <c r="AS54" s="120"/>
      <c r="AT54" s="120"/>
      <c r="AU54" s="120"/>
      <c r="AV54" s="120"/>
      <c r="AW54" s="120"/>
    </row>
    <row r="55" spans="3:49" ht="15.6" x14ac:dyDescent="0.3">
      <c r="C55" s="2"/>
      <c r="D55" s="2"/>
      <c r="E55" s="2"/>
      <c r="F55" s="2"/>
      <c r="G55" s="2"/>
      <c r="H55" s="2"/>
      <c r="I55" s="2"/>
      <c r="J55" s="2" t="s">
        <v>62</v>
      </c>
      <c r="K55" s="92">
        <f t="shared" si="386"/>
        <v>0.2101966651082976</v>
      </c>
      <c r="L55" s="93">
        <f t="shared" si="386"/>
        <v>0.19962705538091596</v>
      </c>
      <c r="M55" s="93">
        <f t="shared" si="386"/>
        <v>0.19017575246353668</v>
      </c>
      <c r="N55" s="94">
        <f t="shared" si="386"/>
        <v>0</v>
      </c>
      <c r="O55" s="94">
        <f t="shared" si="386"/>
        <v>0</v>
      </c>
      <c r="P55" s="95">
        <f t="shared" si="386"/>
        <v>0</v>
      </c>
      <c r="X55" s="2" t="s">
        <v>62</v>
      </c>
      <c r="Y55" s="92">
        <f>(Y66*RiskyAnnuity3Y-Protection3Y*Y77)/RiskyAnnuity3Y^2*Notional</f>
        <v>0.2153122327534798</v>
      </c>
      <c r="Z55" s="93">
        <f>(Z66*RiskyAnnuity3Y-Protection3Y*Z77)/RiskyAnnuity3Y^2*Notional</f>
        <v>0.20069676183328955</v>
      </c>
      <c r="AA55" s="93">
        <f>(AA66*RiskyAnnuity3Y-Protection3Y*AA77)/RiskyAnnuity3Y^2*Notional</f>
        <v>0.19017575902027492</v>
      </c>
      <c r="AB55" s="94">
        <v>0</v>
      </c>
      <c r="AC55" s="94">
        <v>0</v>
      </c>
      <c r="AD55" s="95">
        <v>0</v>
      </c>
      <c r="AG55" s="2" t="s">
        <v>62</v>
      </c>
      <c r="AH55" s="92">
        <f t="shared" si="387"/>
        <v>0.2101966651082976</v>
      </c>
      <c r="AI55" s="93">
        <f>(AI66-$U16)/ShiftSize</f>
        <v>0.19962705538091596</v>
      </c>
      <c r="AJ55" s="93">
        <f>(AJ66-$U16)/ShiftSize</f>
        <v>0.19017575246353668</v>
      </c>
      <c r="AK55" s="94">
        <v>0</v>
      </c>
      <c r="AL55" s="94">
        <v>0</v>
      </c>
      <c r="AM55" s="95">
        <v>0</v>
      </c>
      <c r="AO55" s="120"/>
      <c r="AP55" s="120"/>
      <c r="AQ55" s="120"/>
      <c r="AR55" s="120"/>
      <c r="AS55" s="120"/>
      <c r="AT55" s="120"/>
      <c r="AU55" s="120"/>
      <c r="AV55" s="120"/>
      <c r="AW55" s="120"/>
    </row>
    <row r="56" spans="3:49" ht="15.6" x14ac:dyDescent="0.3">
      <c r="C56" s="2"/>
      <c r="D56" s="2"/>
      <c r="E56" s="2"/>
      <c r="F56" s="2"/>
      <c r="G56" s="2"/>
      <c r="H56" s="2"/>
      <c r="I56" s="2"/>
      <c r="J56" s="2" t="s">
        <v>63</v>
      </c>
      <c r="K56" s="92">
        <f t="shared" si="386"/>
        <v>0.16137129874548017</v>
      </c>
      <c r="L56" s="93">
        <f t="shared" si="386"/>
        <v>0.15325684367406556</v>
      </c>
      <c r="M56" s="93">
        <f t="shared" si="386"/>
        <v>0.14600093022586191</v>
      </c>
      <c r="N56" s="93">
        <f t="shared" si="386"/>
        <v>0.13937040020325919</v>
      </c>
      <c r="O56" s="94">
        <f t="shared" si="386"/>
        <v>0</v>
      </c>
      <c r="P56" s="95">
        <f t="shared" si="386"/>
        <v>0</v>
      </c>
      <c r="X56" s="2" t="s">
        <v>63</v>
      </c>
      <c r="Y56" s="92">
        <f>(Y67*RiskyAnnuity4Y-Protection4Y*Y78)/RiskyAnnuity4Y^2*Notional</f>
        <v>0.17041579880870505</v>
      </c>
      <c r="Z56" s="93">
        <f>(Z67*RiskyAnnuity4Y-Protection4Y*Z78)/RiskyAnnuity4Y^2*Notional</f>
        <v>0.15700193261993423</v>
      </c>
      <c r="AA56" s="93">
        <f>(AA67*RiskyAnnuity4Y-Protection4Y*AA78)/RiskyAnnuity4Y^2*Notional</f>
        <v>0.14678486805915991</v>
      </c>
      <c r="AB56" s="93">
        <f>(AB67*RiskyAnnuity4Y-Protection4Y*AB78)/RiskyAnnuity4Y^2*Notional</f>
        <v>0.13937040535916223</v>
      </c>
      <c r="AC56" s="94">
        <v>0</v>
      </c>
      <c r="AD56" s="95">
        <v>0</v>
      </c>
      <c r="AG56" s="2" t="s">
        <v>63</v>
      </c>
      <c r="AH56" s="92">
        <f t="shared" si="387"/>
        <v>0.16137129874548017</v>
      </c>
      <c r="AI56" s="93">
        <f>(AI67-$U17)/ShiftSize</f>
        <v>0.15325684367406556</v>
      </c>
      <c r="AJ56" s="93">
        <f>(AJ67-$U17)/ShiftSize</f>
        <v>0.14600093022586191</v>
      </c>
      <c r="AK56" s="93">
        <f>(AK67-$U17)/ShiftSize</f>
        <v>0.13937040020325919</v>
      </c>
      <c r="AL56" s="94">
        <v>0</v>
      </c>
      <c r="AM56" s="95">
        <v>0</v>
      </c>
      <c r="AO56" s="120"/>
      <c r="AP56" s="120"/>
      <c r="AQ56" s="120"/>
      <c r="AR56" s="120"/>
      <c r="AS56" s="120"/>
      <c r="AT56" s="120"/>
      <c r="AU56" s="120"/>
      <c r="AV56" s="120"/>
      <c r="AW56" s="120"/>
    </row>
    <row r="57" spans="3:49" ht="15.6" x14ac:dyDescent="0.3">
      <c r="C57" s="2"/>
      <c r="D57" s="2"/>
      <c r="E57" s="2"/>
      <c r="F57" s="2"/>
      <c r="G57" s="2"/>
      <c r="H57" s="2"/>
      <c r="I57" s="2"/>
      <c r="J57" s="2" t="s">
        <v>64</v>
      </c>
      <c r="K57" s="92">
        <f t="shared" si="386"/>
        <v>0.13205640793552409</v>
      </c>
      <c r="L57" s="93">
        <f t="shared" si="386"/>
        <v>0.12541603446741822</v>
      </c>
      <c r="M57" s="93">
        <f t="shared" si="386"/>
        <v>0.11947823889968401</v>
      </c>
      <c r="N57" s="93">
        <f t="shared" si="386"/>
        <v>0.11405221881505279</v>
      </c>
      <c r="O57" s="93">
        <f t="shared" si="386"/>
        <v>0.10899657304323795</v>
      </c>
      <c r="P57" s="95">
        <f t="shared" si="386"/>
        <v>0</v>
      </c>
      <c r="X57" s="2" t="s">
        <v>64</v>
      </c>
      <c r="Y57" s="92">
        <f>(Y68*RiskyAnnuity5Y-Protection5Y*Y79)/RiskyAnnuity5Y^2*Notional</f>
        <v>0.14521181967769442</v>
      </c>
      <c r="Z57" s="93">
        <f>(Z68*RiskyAnnuity5Y-Protection5Y*Z79)/RiskyAnnuity5Y^2*Notional</f>
        <v>0.13247900299983975</v>
      </c>
      <c r="AA57" s="93">
        <f>(AA68*RiskyAnnuity5Y-Protection5Y*AA79)/RiskyAnnuity5Y^2*Notional</f>
        <v>0.12240544495011134</v>
      </c>
      <c r="AB57" s="93">
        <f>(AB68*RiskyAnnuity5Y-Protection5Y*AB79)/RiskyAnnuity5Y^2*Notional</f>
        <v>0.11466530932979706</v>
      </c>
      <c r="AC57" s="93">
        <f>(AC68*RiskyAnnuity5Y-Protection5Y*AC79)/RiskyAnnuity5Y^2*Notional</f>
        <v>0.10899657730493244</v>
      </c>
      <c r="AD57" s="95">
        <v>0</v>
      </c>
      <c r="AG57" s="2" t="s">
        <v>64</v>
      </c>
      <c r="AH57" s="92">
        <f t="shared" si="387"/>
        <v>0.13205640793552409</v>
      </c>
      <c r="AI57" s="93">
        <f>(AI68-$U18)/ShiftSize</f>
        <v>0.12541603446741822</v>
      </c>
      <c r="AJ57" s="93">
        <f>(AJ68-$U18)/ShiftSize</f>
        <v>0.11947823889968401</v>
      </c>
      <c r="AK57" s="93">
        <f>(AK68-$U18)/ShiftSize</f>
        <v>0.11405221881505279</v>
      </c>
      <c r="AL57" s="93">
        <f>(AL68-$U18)/ShiftSize</f>
        <v>0.10899657304323795</v>
      </c>
      <c r="AM57" s="95">
        <v>0</v>
      </c>
      <c r="AO57" s="120"/>
      <c r="AP57" s="120"/>
      <c r="AQ57" s="120"/>
      <c r="AR57" s="120"/>
      <c r="AS57" s="120"/>
      <c r="AT57" s="120"/>
      <c r="AU57" s="120"/>
      <c r="AV57" s="120"/>
      <c r="AW57" s="120"/>
    </row>
    <row r="58" spans="3:49" ht="15.6" x14ac:dyDescent="0.3">
      <c r="C58" s="2"/>
      <c r="D58" s="2"/>
      <c r="E58" s="2"/>
      <c r="F58" s="2"/>
      <c r="G58" s="2"/>
      <c r="H58" s="2"/>
      <c r="I58" s="2"/>
      <c r="J58" s="2" t="s">
        <v>65</v>
      </c>
      <c r="K58" s="96">
        <f t="shared" si="386"/>
        <v>7.3546476625843682E-2</v>
      </c>
      <c r="L58" s="97">
        <f t="shared" si="386"/>
        <v>6.9848238928860162E-2</v>
      </c>
      <c r="M58" s="97">
        <f t="shared" si="386"/>
        <v>6.6541289448981966E-2</v>
      </c>
      <c r="N58" s="97">
        <f t="shared" si="386"/>
        <v>6.3519364195546713E-2</v>
      </c>
      <c r="O58" s="97">
        <f t="shared" si="386"/>
        <v>6.070371226518656E-2</v>
      </c>
      <c r="P58" s="98">
        <f t="shared" si="386"/>
        <v>0.2658403626138589</v>
      </c>
      <c r="X58" s="2" t="s">
        <v>65</v>
      </c>
      <c r="Y58" s="118">
        <f t="shared" ref="Y58:AD58" si="388">(Y69*RiskyAnnuity10Y-Protection10Y*Y80)/RiskyAnnuity10Y^2*Notional</f>
        <v>0.10802705017074314</v>
      </c>
      <c r="Z58" s="97">
        <f t="shared" si="388"/>
        <v>9.6347358685531778E-2</v>
      </c>
      <c r="AA58" s="97">
        <f t="shared" si="388"/>
        <v>8.6264862434104E-2</v>
      </c>
      <c r="AB58" s="97">
        <f t="shared" si="388"/>
        <v>7.7589261773088239E-2</v>
      </c>
      <c r="AC58" s="97">
        <f t="shared" si="388"/>
        <v>7.0168471813839034E-2</v>
      </c>
      <c r="AD58" s="98">
        <f t="shared" si="388"/>
        <v>0.26584039780347368</v>
      </c>
      <c r="AG58" s="2" t="s">
        <v>65</v>
      </c>
      <c r="AH58" s="118">
        <f t="shared" si="387"/>
        <v>7.3546476625843682E-2</v>
      </c>
      <c r="AI58" s="119">
        <f>(AI69-$U19)/ShiftSize</f>
        <v>6.9848238928860162E-2</v>
      </c>
      <c r="AJ58" s="119">
        <f>(AJ69-$U19)/ShiftSize</f>
        <v>6.6541289448981966E-2</v>
      </c>
      <c r="AK58" s="119">
        <f>(AK69-$U19)/ShiftSize</f>
        <v>6.3519364195546713E-2</v>
      </c>
      <c r="AL58" s="119">
        <f>(AL69-$U19)/ShiftSize</f>
        <v>6.070371226518656E-2</v>
      </c>
      <c r="AM58" s="98">
        <f>(AM69-$U19)/ShiftSize</f>
        <v>0.2658403626138589</v>
      </c>
      <c r="AO58" s="120"/>
      <c r="AP58" s="120"/>
      <c r="AQ58" s="120"/>
      <c r="AR58" s="120"/>
      <c r="AS58" s="120"/>
      <c r="AT58" s="120"/>
      <c r="AU58" s="120"/>
      <c r="AV58" s="120"/>
      <c r="AW58" s="120"/>
    </row>
    <row r="61" spans="3:49" x14ac:dyDescent="0.3">
      <c r="K61" s="1" t="s">
        <v>51</v>
      </c>
      <c r="Y61" s="1" t="s">
        <v>70</v>
      </c>
      <c r="AH61" s="1" t="s">
        <v>106</v>
      </c>
    </row>
    <row r="63" spans="3:49" ht="15.6" x14ac:dyDescent="0.3">
      <c r="C63" s="39"/>
      <c r="D63" s="39"/>
      <c r="E63" s="39"/>
      <c r="F63" s="39"/>
      <c r="G63" s="39"/>
      <c r="H63" s="39"/>
      <c r="I63" s="39"/>
      <c r="J63" s="39" t="s">
        <v>53</v>
      </c>
      <c r="K63" s="2" t="s">
        <v>60</v>
      </c>
      <c r="L63" s="2" t="s">
        <v>61</v>
      </c>
      <c r="M63" s="2" t="s">
        <v>62</v>
      </c>
      <c r="N63" s="2" t="s">
        <v>63</v>
      </c>
      <c r="O63" s="2" t="s">
        <v>64</v>
      </c>
      <c r="P63" s="2" t="s">
        <v>65</v>
      </c>
      <c r="X63" s="39" t="s">
        <v>84</v>
      </c>
      <c r="Y63" s="2" t="s">
        <v>54</v>
      </c>
      <c r="Z63" s="2" t="s">
        <v>55</v>
      </c>
      <c r="AA63" s="2" t="s">
        <v>56</v>
      </c>
      <c r="AB63" s="2" t="s">
        <v>57</v>
      </c>
      <c r="AC63" s="2" t="s">
        <v>58</v>
      </c>
      <c r="AD63" s="2" t="s">
        <v>59</v>
      </c>
      <c r="AG63" s="39" t="s">
        <v>105</v>
      </c>
      <c r="AH63" s="2" t="s">
        <v>54</v>
      </c>
      <c r="AI63" s="2" t="s">
        <v>55</v>
      </c>
      <c r="AJ63" s="2" t="s">
        <v>56</v>
      </c>
      <c r="AK63" s="2" t="s">
        <v>57</v>
      </c>
      <c r="AL63" s="2" t="s">
        <v>58</v>
      </c>
      <c r="AM63" s="2" t="s">
        <v>59</v>
      </c>
    </row>
    <row r="64" spans="3:49" ht="15.6" x14ac:dyDescent="0.3">
      <c r="C64" s="2"/>
      <c r="D64" s="2"/>
      <c r="E64" s="2"/>
      <c r="F64" s="2"/>
      <c r="G64" s="2"/>
      <c r="H64" s="2"/>
      <c r="I64" s="2"/>
      <c r="J64" s="2" t="s">
        <v>54</v>
      </c>
      <c r="K64" s="89" cm="1">
        <f t="array" ref="K64:P69">MINVERSE(K53:P58)</f>
        <v>1.6666681294593262</v>
      </c>
      <c r="L64" s="90">
        <v>0</v>
      </c>
      <c r="M64" s="90">
        <v>0</v>
      </c>
      <c r="N64" s="90">
        <v>0</v>
      </c>
      <c r="O64" s="90">
        <v>0</v>
      </c>
      <c r="P64" s="91">
        <v>0</v>
      </c>
      <c r="X64" s="2" t="s">
        <v>72</v>
      </c>
      <c r="Y64" s="89">
        <f>(1-RecoveryRate)*YearFraction*(SUMPRODUCT($Z$5:$Z$8,$AB$5:$AB$8))</f>
        <v>0.5803681173817854</v>
      </c>
      <c r="Z64" s="90">
        <v>0</v>
      </c>
      <c r="AA64" s="90">
        <v>0</v>
      </c>
      <c r="AB64" s="90">
        <v>0</v>
      </c>
      <c r="AC64" s="90">
        <v>0</v>
      </c>
      <c r="AD64" s="91">
        <v>0</v>
      </c>
      <c r="AG64" s="2" t="s">
        <v>99</v>
      </c>
      <c r="AH64" s="133">
        <f t="shared" ref="AH64:AM69" si="389">AH75/AH86</f>
        <v>4.5000586815883703E-3</v>
      </c>
      <c r="AI64" s="30">
        <v>0</v>
      </c>
      <c r="AJ64" s="30">
        <v>0</v>
      </c>
      <c r="AK64" s="30">
        <v>0</v>
      </c>
      <c r="AL64" s="30">
        <v>0</v>
      </c>
      <c r="AM64" s="134">
        <v>0</v>
      </c>
    </row>
    <row r="65" spans="3:39" ht="15.6" x14ac:dyDescent="0.3">
      <c r="C65" s="2"/>
      <c r="D65" s="2"/>
      <c r="E65" s="2"/>
      <c r="F65" s="2"/>
      <c r="G65" s="2"/>
      <c r="H65" s="2"/>
      <c r="I65" s="2"/>
      <c r="J65" s="2" t="s">
        <v>55</v>
      </c>
      <c r="K65" s="92">
        <v>-1.7549128673756509</v>
      </c>
      <c r="L65" s="93">
        <v>3.4215809947080889</v>
      </c>
      <c r="M65" s="94">
        <v>0</v>
      </c>
      <c r="N65" s="94">
        <v>0</v>
      </c>
      <c r="O65" s="94">
        <v>0</v>
      </c>
      <c r="P65" s="95">
        <v>0</v>
      </c>
      <c r="X65" s="2" t="s">
        <v>73</v>
      </c>
      <c r="Y65" s="92">
        <f>(1-RecoveryRate)*YearFraction*(SUMPRODUCT($Z$5:$Z$8,$AB$5:$AB$8)-SUMPRODUCT($AA$9:$AA$12,$AB$9:$AB$12))</f>
        <v>0.57933367661320512</v>
      </c>
      <c r="Z65" s="93">
        <f>(1-RecoveryRate)*YearFraction*(SUMPRODUCT($Z$9:$Z$12,$AB$9:$AB$12))</f>
        <v>0.55118468448987445</v>
      </c>
      <c r="AA65" s="94">
        <v>0</v>
      </c>
      <c r="AB65" s="94">
        <v>0</v>
      </c>
      <c r="AC65" s="94">
        <v>0</v>
      </c>
      <c r="AD65" s="95">
        <v>0</v>
      </c>
      <c r="AG65" s="2" t="s">
        <v>100</v>
      </c>
      <c r="AH65" s="135">
        <f t="shared" si="389"/>
        <v>4.5000294553330109E-3</v>
      </c>
      <c r="AI65" s="136">
        <f t="shared" si="389"/>
        <v>4.5000279078964206E-3</v>
      </c>
      <c r="AJ65" s="18">
        <v>0</v>
      </c>
      <c r="AK65" s="18">
        <v>0</v>
      </c>
      <c r="AL65" s="18">
        <v>0</v>
      </c>
      <c r="AM65" s="137">
        <v>0</v>
      </c>
    </row>
    <row r="66" spans="3:39" ht="15.6" x14ac:dyDescent="0.3">
      <c r="C66" s="2"/>
      <c r="D66" s="2"/>
      <c r="E66" s="2"/>
      <c r="F66" s="2"/>
      <c r="G66" s="2"/>
      <c r="H66" s="2"/>
      <c r="I66" s="2"/>
      <c r="J66" s="2" t="s">
        <v>56</v>
      </c>
      <c r="K66" s="99">
        <v>2.8971339820633184E-8</v>
      </c>
      <c r="L66" s="93">
        <v>-3.5916257980987552</v>
      </c>
      <c r="M66" s="93">
        <v>5.2582939046960515</v>
      </c>
      <c r="N66" s="94">
        <v>0</v>
      </c>
      <c r="O66" s="94">
        <v>0</v>
      </c>
      <c r="P66" s="95">
        <v>0</v>
      </c>
      <c r="X66" s="2" t="s">
        <v>74</v>
      </c>
      <c r="Y66" s="92">
        <f>(1-RecoveryRate)*YearFraction*(SUMPRODUCT($Z$5:$Z$8,$AB$5:$AB$8)-SUMPRODUCT($AA$9:$AA$16,$AB$9:$AB$16))</f>
        <v>0.57834821120343005</v>
      </c>
      <c r="Z66" s="93">
        <f>(1-RecoveryRate)*YearFraction*(SUMPRODUCT($Z$9:$Z$12,$AB$9:$AB$12)-SUMPRODUCT($AA$13:$AA$16,$AB$13:$AB$16))</f>
        <v>0.5501992190800995</v>
      </c>
      <c r="AA66" s="93">
        <f>(1-RecoveryRate)*YearFraction*(SUMPRODUCT($Z$13:$Z$16,$AB$13:$AB$16))</f>
        <v>0.52508897315406411</v>
      </c>
      <c r="AB66" s="94">
        <v>0</v>
      </c>
      <c r="AC66" s="94">
        <v>0</v>
      </c>
      <c r="AD66" s="95">
        <v>0</v>
      </c>
      <c r="AG66" s="2" t="s">
        <v>101</v>
      </c>
      <c r="AH66" s="135">
        <f t="shared" si="389"/>
        <v>4.5000197013075581E-3</v>
      </c>
      <c r="AI66" s="136">
        <f t="shared" si="389"/>
        <v>4.5000186443465854E-3</v>
      </c>
      <c r="AJ66" s="136">
        <f t="shared" si="389"/>
        <v>4.5000176992162936E-3</v>
      </c>
      <c r="AK66" s="18">
        <v>0</v>
      </c>
      <c r="AL66" s="18">
        <v>0</v>
      </c>
      <c r="AM66" s="137">
        <v>0</v>
      </c>
    </row>
    <row r="67" spans="3:39" ht="15.6" x14ac:dyDescent="0.3">
      <c r="C67" s="2"/>
      <c r="D67" s="2"/>
      <c r="E67" s="2"/>
      <c r="F67" s="2"/>
      <c r="G67" s="2"/>
      <c r="H67" s="2"/>
      <c r="I67" s="2"/>
      <c r="J67" s="2" t="s">
        <v>57</v>
      </c>
      <c r="K67" s="99">
        <v>1.5201234606300953E-8</v>
      </c>
      <c r="L67" s="100">
        <v>2.8137183871102237E-8</v>
      </c>
      <c r="M67" s="93">
        <v>-5.5084566046087167</v>
      </c>
      <c r="N67" s="93">
        <v>7.1751246932030757</v>
      </c>
      <c r="O67" s="94">
        <v>0</v>
      </c>
      <c r="P67" s="95">
        <v>0</v>
      </c>
      <c r="X67" s="2" t="s">
        <v>75</v>
      </c>
      <c r="Y67" s="92">
        <f>(1-RecoveryRate)*YearFraction*(SUMPRODUCT($Z$5:$Z$8,$AB$5:$AB$8)-SUMPRODUCT($AA$9:$AA$20,$AB$9:$AB$20))</f>
        <v>0.57740749999503294</v>
      </c>
      <c r="Z67" s="93">
        <f>(1-RecoveryRate)*YearFraction*(SUMPRODUCT($Z$9:$Z$12,$AB$9:$AB$12)-SUMPRODUCT($AA$13:$AA$20,$AB$13:$AB$20))</f>
        <v>0.54925850787170227</v>
      </c>
      <c r="AA67" s="93">
        <f>(1-RecoveryRate)*YearFraction*(SUMPRODUCT($Z$13:$Z$16,$AB$13:$AB$16)-SUMPRODUCT($AA$17:$AA$20,$AB$17:$AB$20))</f>
        <v>0.52414826194566688</v>
      </c>
      <c r="AB67" s="93">
        <f>(1-RecoveryRate)*YearFraction*(SUMPRODUCT($Z$17:$Z$20,$AB$17:$AB$20))</f>
        <v>0.50124243586041273</v>
      </c>
      <c r="AC67" s="94">
        <v>0</v>
      </c>
      <c r="AD67" s="95">
        <v>0</v>
      </c>
      <c r="AG67" s="2" t="s">
        <v>102</v>
      </c>
      <c r="AH67" s="135">
        <f t="shared" si="389"/>
        <v>4.5000148187709322E-3</v>
      </c>
      <c r="AI67" s="136">
        <f t="shared" si="389"/>
        <v>4.5000140073254251E-3</v>
      </c>
      <c r="AJ67" s="136">
        <f t="shared" si="389"/>
        <v>4.5000132817340803E-3</v>
      </c>
      <c r="AK67" s="136">
        <f t="shared" si="389"/>
        <v>4.500012618681078E-3</v>
      </c>
      <c r="AL67" s="18">
        <v>0</v>
      </c>
      <c r="AM67" s="137">
        <v>0</v>
      </c>
    </row>
    <row r="68" spans="3:39" ht="15.6" x14ac:dyDescent="0.3">
      <c r="C68" s="2"/>
      <c r="D68" s="2"/>
      <c r="E68" s="2"/>
      <c r="F68" s="2"/>
      <c r="G68" s="2"/>
      <c r="H68" s="2"/>
      <c r="I68" s="2"/>
      <c r="J68" s="2" t="s">
        <v>58</v>
      </c>
      <c r="K68" s="99">
        <v>9.8159373694129569E-9</v>
      </c>
      <c r="L68" s="100">
        <v>1.8065065413323591E-8</v>
      </c>
      <c r="M68" s="100">
        <v>2.4331305615845782E-8</v>
      </c>
      <c r="N68" s="93">
        <v>-7.5079323017784976</v>
      </c>
      <c r="O68" s="93">
        <v>9.1746003757687777</v>
      </c>
      <c r="P68" s="95">
        <v>0</v>
      </c>
      <c r="X68" s="2" t="s">
        <v>76</v>
      </c>
      <c r="Y68" s="92">
        <f>(1-RecoveryRate)*YearFraction*(SUMPRODUCT($Z$5:$Z$8,$AB$5:$AB$8)-SUMPRODUCT($AA$9:$AA$24,$AB$9:$AB$24))</f>
        <v>0.57650848811349942</v>
      </c>
      <c r="Z68" s="93">
        <f>(1-RecoveryRate)*YearFraction*(SUMPRODUCT($Z$9:$Z$12,$AB$9:$AB$12)-SUMPRODUCT($AA$13:$AA$24,$AB$13:$AB$24))</f>
        <v>0.54835949599016875</v>
      </c>
      <c r="AA68" s="93">
        <f>(1-RecoveryRate)*YearFraction*(SUMPRODUCT($Z$13:$Z$16,$AB$13:$AB$16)-SUMPRODUCT($AA$17:$AA$24,$AB$17:$AB$24))</f>
        <v>0.52324925006413336</v>
      </c>
      <c r="AB68" s="93">
        <f>(1-RecoveryRate)*YearFraction*(SUMPRODUCT($Z$17:$Z$20,$AB$17:$AB$20)-SUMPRODUCT($AA$21:$AA$24,$AB$21:$AB$24))</f>
        <v>0.5003434239788791</v>
      </c>
      <c r="AC68" s="93">
        <f>(1-RecoveryRate)*YearFraction*(SUMPRODUCT($Z$21:$Z$24,$AB$21:$AB$24))</f>
        <v>0.47902363801440812</v>
      </c>
      <c r="AD68" s="95">
        <v>0</v>
      </c>
      <c r="AG68" s="2" t="s">
        <v>103</v>
      </c>
      <c r="AH68" s="135">
        <f t="shared" si="389"/>
        <v>4.5000118872818478E-3</v>
      </c>
      <c r="AI68" s="136">
        <f t="shared" si="389"/>
        <v>4.500011223244501E-3</v>
      </c>
      <c r="AJ68" s="136">
        <f t="shared" si="389"/>
        <v>4.5000106294649442E-3</v>
      </c>
      <c r="AK68" s="136">
        <f t="shared" si="389"/>
        <v>4.5000100868629357E-3</v>
      </c>
      <c r="AL68" s="136">
        <f t="shared" si="389"/>
        <v>4.5000095812983585E-3</v>
      </c>
      <c r="AM68" s="137">
        <v>0</v>
      </c>
    </row>
    <row r="69" spans="3:39" ht="15.6" x14ac:dyDescent="0.3">
      <c r="C69" s="2"/>
      <c r="D69" s="2"/>
      <c r="E69" s="2"/>
      <c r="F69" s="2"/>
      <c r="G69" s="2"/>
      <c r="H69" s="2"/>
      <c r="I69" s="2"/>
      <c r="J69" s="2" t="s">
        <v>59</v>
      </c>
      <c r="K69" s="101">
        <v>4.3042361275374489E-9</v>
      </c>
      <c r="L69" s="102">
        <v>7.9259219376173511E-9</v>
      </c>
      <c r="M69" s="102">
        <v>1.1383928181238678E-8</v>
      </c>
      <c r="N69" s="102">
        <v>1.3608299190689518E-8</v>
      </c>
      <c r="O69" s="97">
        <v>-2.0949877433311408</v>
      </c>
      <c r="P69" s="98">
        <v>3.7616560185502377</v>
      </c>
      <c r="X69" s="2" t="s">
        <v>77</v>
      </c>
      <c r="Y69" s="96">
        <f>(1-RecoveryRate)*YearFraction*(SUMPRODUCT($Z$5:$Z$8,$AB$5:$AB$8)-SUMPRODUCT($AA$9:$AA$44,$AB$9:$AB$44))</f>
        <v>0.57257143604982563</v>
      </c>
      <c r="Z69" s="119">
        <f>(1-RecoveryRate)*YearFraction*(SUMPRODUCT($Z$9:$Z$12,$AB$9:$AB$12)-SUMPRODUCT($AA$13:$AA$44,$AB$13:$AB$44))</f>
        <v>0.54442244392649486</v>
      </c>
      <c r="AA69" s="119">
        <f>(1-RecoveryRate)*YearFraction*(SUMPRODUCT($Z$13:$Z$16,$AB$13:$AB$16)-SUMPRODUCT($AA$17:$AA$44,$AB$17:$AB$44))</f>
        <v>0.51931219800045947</v>
      </c>
      <c r="AB69" s="119">
        <f>(1-RecoveryRate)*YearFraction*(SUMPRODUCT($Z$17:$Z$20,$AB$17:$AB$20)-SUMPRODUCT($AA$21:$AA$44,$AB$21:$AB$44))</f>
        <v>0.49640637191520531</v>
      </c>
      <c r="AC69" s="119">
        <f>(1-RecoveryRate)*YearFraction*(SUMPRODUCT($Z$21:$Z$24,$AB$21:$AB$24)-SUMPRODUCT($AA$25:$AA$44,$AB$25:$AB$44))</f>
        <v>0.47508658595073433</v>
      </c>
      <c r="AD69" s="98">
        <f>(1-RecoveryRate)*YearFraction*(SUMPRODUCT($Z$25:$Z$44,$AB$25:$AB$44))</f>
        <v>2.0977931897585593</v>
      </c>
      <c r="AG69" s="2" t="s">
        <v>104</v>
      </c>
      <c r="AH69" s="138">
        <f t="shared" si="389"/>
        <v>4.5000060362887185E-3</v>
      </c>
      <c r="AI69" s="146">
        <f t="shared" si="389"/>
        <v>4.5000056664649488E-3</v>
      </c>
      <c r="AJ69" s="146">
        <f t="shared" si="389"/>
        <v>4.5000053357700008E-3</v>
      </c>
      <c r="AK69" s="146">
        <f t="shared" si="389"/>
        <v>4.5000050335774755E-3</v>
      </c>
      <c r="AL69" s="146">
        <f t="shared" si="389"/>
        <v>4.5000047520122825E-3</v>
      </c>
      <c r="AM69" s="147">
        <f t="shared" si="389"/>
        <v>4.5000252656773173E-3</v>
      </c>
    </row>
    <row r="72" spans="3:39" x14ac:dyDescent="0.3">
      <c r="Y72" s="1" t="s">
        <v>71</v>
      </c>
      <c r="AH72" s="1" t="s">
        <v>97</v>
      </c>
    </row>
    <row r="74" spans="3:39" ht="15.6" x14ac:dyDescent="0.3">
      <c r="X74" s="39" t="s">
        <v>85</v>
      </c>
      <c r="Y74" s="2" t="s">
        <v>54</v>
      </c>
      <c r="Z74" s="2" t="s">
        <v>55</v>
      </c>
      <c r="AA74" s="2" t="s">
        <v>56</v>
      </c>
      <c r="AB74" s="2" t="s">
        <v>57</v>
      </c>
      <c r="AC74" s="2" t="s">
        <v>58</v>
      </c>
      <c r="AD74" s="2" t="s">
        <v>59</v>
      </c>
      <c r="AG74" s="39" t="s">
        <v>84</v>
      </c>
      <c r="AH74" s="2" t="s">
        <v>54</v>
      </c>
      <c r="AI74" s="2" t="s">
        <v>55</v>
      </c>
      <c r="AJ74" s="2" t="s">
        <v>56</v>
      </c>
      <c r="AK74" s="2" t="s">
        <v>57</v>
      </c>
      <c r="AL74" s="2" t="s">
        <v>58</v>
      </c>
      <c r="AM74" s="2" t="s">
        <v>59</v>
      </c>
    </row>
    <row r="75" spans="3:39" ht="15.6" x14ac:dyDescent="0.3">
      <c r="X75" s="2" t="s">
        <v>78</v>
      </c>
      <c r="Y75" s="89">
        <f>-YearFraction*(0.5*YearFraction*SUMPRODUCT($Z$5:$Z$8,$AB$5:$AB$8))</f>
        <v>-0.12091002445453862</v>
      </c>
      <c r="Z75" s="90">
        <v>0</v>
      </c>
      <c r="AA75" s="90">
        <v>0</v>
      </c>
      <c r="AB75" s="90">
        <v>0</v>
      </c>
      <c r="AC75" s="90">
        <v>0</v>
      </c>
      <c r="AD75" s="91">
        <v>0</v>
      </c>
      <c r="AG75" s="2" t="s">
        <v>72</v>
      </c>
      <c r="AH75" s="139">
        <f>LGD*SUMPRODUCT($AK$5:$AK$8,DiscFactors1Y)</f>
        <v>4356.9020205785682</v>
      </c>
      <c r="AI75" s="32">
        <v>0</v>
      </c>
      <c r="AJ75" s="32">
        <v>0</v>
      </c>
      <c r="AK75" s="32">
        <v>0</v>
      </c>
      <c r="AL75" s="32">
        <v>0</v>
      </c>
      <c r="AM75" s="33">
        <v>0</v>
      </c>
    </row>
    <row r="76" spans="3:39" ht="15.6" x14ac:dyDescent="0.3">
      <c r="X76" s="2" t="s">
        <v>79</v>
      </c>
      <c r="Y76" s="92">
        <f>-YearFraction*(0.5*YearFraction*SUMPRODUCT($Z$5:$Z$8,$AB$5:$AB$8)+SUM($AB$9:$AB$12)*(YearFraction*SUM($Z$9:$Z$12)+0.5*YearFraction*SUM($AA$9:$AA$12)))</f>
        <v>-1.0403904081933288</v>
      </c>
      <c r="Z76" s="93">
        <f>-YearFraction*(0.5*YearFraction*SUMPRODUCT($Z$9:$Z$12,$AB$9:$AB$12))</f>
        <v>-0.11483014260205718</v>
      </c>
      <c r="AA76" s="94">
        <v>0</v>
      </c>
      <c r="AB76" s="94">
        <v>0</v>
      </c>
      <c r="AC76" s="94">
        <v>0</v>
      </c>
      <c r="AD76" s="95">
        <v>0</v>
      </c>
      <c r="AG76" s="2" t="s">
        <v>73</v>
      </c>
      <c r="AH76" s="140">
        <f>LGD*SUMPRODUCT($AK$5:$AK$12,DiscFactors2Y)</f>
        <v>8494.6646811233368</v>
      </c>
      <c r="AI76" s="141">
        <f>LGD*SUMPRODUCT($AO$5:$AO$12,DiscFactors2Y)</f>
        <v>8494.662184560997</v>
      </c>
      <c r="AJ76" s="28">
        <v>0</v>
      </c>
      <c r="AK76" s="28">
        <v>0</v>
      </c>
      <c r="AL76" s="28">
        <v>0</v>
      </c>
      <c r="AM76" s="142">
        <v>0</v>
      </c>
    </row>
    <row r="77" spans="3:39" ht="15.6" x14ac:dyDescent="0.3">
      <c r="X77" s="2" t="s">
        <v>80</v>
      </c>
      <c r="Y77" s="92">
        <f>-YearFraction*(0.5*YearFraction*SUMPRODUCT($Z$5:$Z$8,$AB$5:$AB$8)+SUM($AB$9:$AB$16)*(YearFraction*SUM($Z$9:$Z$16)+0.5*YearFraction*SUM($AA$9:$AA$16)))</f>
        <v>-3.7114930192444007</v>
      </c>
      <c r="Z77" s="93">
        <f>-YearFraction*(0.5*YearFraction*SUMPRODUCT($Z$9:$Z$12,$AB$9:$AB$12)+SUM($AB$13:$AB$16)*(YearFraction*SUM($Z$13:$Z$16)+0.5*YearFraction*SUM($AA$13:$AA$16)))</f>
        <v>-0.99077925172282166</v>
      </c>
      <c r="AA77" s="93">
        <f>-YearFraction*(0.5*YearFraction*SUMPRODUCT($Z$13:$Z$16,$AB$13:$AB$16))</f>
        <v>-0.10939353607376336</v>
      </c>
      <c r="AB77" s="94">
        <v>0</v>
      </c>
      <c r="AC77" s="94">
        <v>0</v>
      </c>
      <c r="AD77" s="95">
        <v>0</v>
      </c>
      <c r="AG77" s="2" t="s">
        <v>74</v>
      </c>
      <c r="AH77" s="140">
        <f>LGD*SUMPRODUCT($AK$5:$AK$16,DiscFactors3Y)</f>
        <v>12436.525926037064</v>
      </c>
      <c r="AI77" s="141">
        <f>LGD*SUMPRODUCT($AO$5:$AO$16,DiscFactors3Y)</f>
        <v>12436.523429474724</v>
      </c>
      <c r="AJ77" s="141">
        <f>LGD*SUMPRODUCT($AS$5:$AS$16,DiscFactors3Y)</f>
        <v>12436.521221281258</v>
      </c>
      <c r="AK77" s="28">
        <v>0</v>
      </c>
      <c r="AL77" s="28">
        <v>0</v>
      </c>
      <c r="AM77" s="142">
        <v>0</v>
      </c>
    </row>
    <row r="78" spans="3:39" ht="15.6" x14ac:dyDescent="0.3">
      <c r="X78" s="2" t="s">
        <v>81</v>
      </c>
      <c r="Y78" s="92">
        <f>-YearFraction*(0.5*YearFraction*SUMPRODUCT($Z$5:$Z$8,$AB$5:$AB$8)+SUM($AB$9:$AB$20)*(YearFraction*SUM($Z$9:$Z$20)+0.5*YearFraction*SUM($AA$9:$AA$20)))</f>
        <v>-8.014127870374347</v>
      </c>
      <c r="Z78" s="93">
        <f>-YearFraction*(0.5*YearFraction*SUMPRODUCT($Z$9:$Z$12,$AB$9:$AB$12)+SUM($AB$13:$AB$20)*(YearFraction*SUM($Z$13:$Z$20)+0.5*YearFraction*SUM($AA$13:$AA$20)))</f>
        <v>-3.5388166666680965</v>
      </c>
      <c r="AA78" s="93">
        <f>-YearFraction*(0.5*YearFraction*SUMPRODUCT($Z$13:$Z$16,$AB$13:$AB$16)+SUM($AB$17:$AB$20)*(YearFraction*SUM($Z$17:$Z$20)+0.5*YearFraction*SUM($AA$17:$AA$20)))</f>
        <v>-0.94556278807143157</v>
      </c>
      <c r="AB78" s="93">
        <f>-YearFraction*(0.5*YearFraction*SUMPRODUCT($Z$17:$Z$20,$AB$17:$AB$20))</f>
        <v>-0.10442550747091932</v>
      </c>
      <c r="AC78" s="94">
        <v>0</v>
      </c>
      <c r="AD78" s="95">
        <v>0</v>
      </c>
      <c r="AG78" s="2" t="s">
        <v>75</v>
      </c>
      <c r="AH78" s="140">
        <f>LGD*SUMPRODUCT($AK$5:$AK$20,DiscFactors4Y)</f>
        <v>16199.370383341275</v>
      </c>
      <c r="AI78" s="141">
        <f>LGD*SUMPRODUCT($AO$5:$AO$20,DiscFactors4Y)</f>
        <v>16199.367886778933</v>
      </c>
      <c r="AJ78" s="141">
        <f>LGD*SUMPRODUCT($AS$5:$AS$20,DiscFactors4Y)</f>
        <v>16199.365678585467</v>
      </c>
      <c r="AK78" s="141">
        <f>LGD*SUMPRODUCT($AW$5:$AW$20,DiscFactors4Y)</f>
        <v>16199.363676819061</v>
      </c>
      <c r="AL78" s="28">
        <v>0</v>
      </c>
      <c r="AM78" s="142">
        <v>0</v>
      </c>
    </row>
    <row r="79" spans="3:39" ht="15.6" x14ac:dyDescent="0.3">
      <c r="X79" s="2" t="s">
        <v>82</v>
      </c>
      <c r="Y79" s="92">
        <f>-YearFraction*(0.5*YearFraction*SUMPRODUCT($Z$5:$Z$8,$AB$5:$AB$8)+SUM($AB$9:$AB$24)*(YearFraction*SUM($Z$9:$Z$24)+0.5*YearFraction*SUM($AA$9:$AA$24)))</f>
        <v>-13.838674145448582</v>
      </c>
      <c r="Z79" s="93">
        <f>-YearFraction*(0.5*YearFraction*SUMPRODUCT($Z$9:$Z$12,$AB$9:$AB$12)+SUM($AB$13:$AB$24)*(YearFraction*SUM($Z$13:$Z$24)+0.5*YearFraction*SUM($AA$13:$AA$24)))</f>
        <v>-7.6470518497818762</v>
      </c>
      <c r="AA79" s="93">
        <f>-YearFraction*(0.5*YearFraction*SUMPRODUCT($Z$13:$Z$16,$AB$13:$AB$16)+SUM($AB$17:$AB$24)*(YearFraction*SUM($Z$17:$Z$24)+0.5*YearFraction*SUM($AA$17:$AA$24)))</f>
        <v>-3.3797087673224344</v>
      </c>
      <c r="AB79" s="93">
        <f>-YearFraction*(0.5*YearFraction*SUMPRODUCT($Z$17:$Z$20,$AB$17:$AB$20)+SUM($AB$21:$AB$24)*(YearFraction*SUM($Z$21:$Z$24)+0.5*YearFraction*SUM($AA$21:$AA$24)))</f>
        <v>-0.90352986959468706</v>
      </c>
      <c r="AC79" s="93">
        <f>-YearFraction*(0.5*YearFraction*SUMPRODUCT($Z$21:$Z$24,$AB$21:$AB$24))</f>
        <v>-9.9796591253001693E-2</v>
      </c>
      <c r="AD79" s="95">
        <v>0</v>
      </c>
      <c r="AG79" s="2" t="s">
        <v>76</v>
      </c>
      <c r="AH79" s="140">
        <f>LGD*SUMPRODUCT($AK$5:$AK$24,DiscFactors5Y)</f>
        <v>19795.417549870836</v>
      </c>
      <c r="AI79" s="141">
        <f>LGD*SUMPRODUCT($AO$5:$AO$24,DiscFactors5Y)</f>
        <v>19795.415053308494</v>
      </c>
      <c r="AJ79" s="141">
        <f>LGD*SUMPRODUCT($AS$5:$AS$24,DiscFactors5Y)</f>
        <v>19795.412845115028</v>
      </c>
      <c r="AK79" s="141">
        <f>LGD*SUMPRODUCT($AW$5:$AW$24,DiscFactors5Y)</f>
        <v>19795.410843348622</v>
      </c>
      <c r="AL79" s="141">
        <f>LGD*SUMPRODUCT($BA$5:$BA$24,DiscFactors5Y)</f>
        <v>19795.408987247454</v>
      </c>
      <c r="AM79" s="142">
        <v>0</v>
      </c>
    </row>
    <row r="80" spans="3:39" ht="15.6" x14ac:dyDescent="0.3">
      <c r="X80" s="2" t="s">
        <v>83</v>
      </c>
      <c r="Y80" s="96">
        <f>-YearFraction*(0.5*YearFraction*SUMPRODUCT($Z$5:$Z$8,$AB$5:$AB$8)+SUM($AB$9:$AB$44)*(YearFraction*SUM($Z$9:$Z$44)+0.5*YearFraction*SUM($AA$9:$AA$44)))</f>
        <v>-62.375160269204542</v>
      </c>
      <c r="Z80" s="97">
        <f>-YearFraction*(0.5*YearFraction*SUMPRODUCT($Z$9:$Z$12,$AB$9:$AB$12)+SUM($AB$13:$AB$44)*(YearFraction*SUM($Z$13:$Z$44)+0.5*YearFraction*SUM($AA$13:$AA$44)))</f>
        <v>-48.129843365045112</v>
      </c>
      <c r="AA80" s="97">
        <f>-YearFraction*(0.5*YearFraction*SUMPRODUCT($Z$13:$Z$16,$AB$13:$AB$16)+SUM($AB$17:$AB$44)*(YearFraction*SUM($Z$17:$Z$44)+0.5*YearFraction*SUM($AA$17:$AA$44)))</f>
        <v>-36.012708738609192</v>
      </c>
      <c r="AB80" s="97">
        <f>-YearFraction*(0.5*YearFraction*SUMPRODUCT($Z$17:$Z$20,$AB$17:$AB$20)+SUM($AB$21:$AB$44)*(YearFraction*SUM($Z$21:$Z$44)+0.5*YearFraction*SUM($AA$21:$AA$44)))</f>
        <v>-25.875140940322396</v>
      </c>
      <c r="AC80" s="97">
        <f>-YearFraction*(0.5*YearFraction*SUMPRODUCT($Z$21:$Z$24,$AB$21:$AB$24)+SUM($AB$25:$AB$44)*(YearFraction*SUM($Z$25:$Z$44)+0.5*YearFraction*SUM($AA$25:$AA$44)))</f>
        <v>-17.587612394010929</v>
      </c>
      <c r="AD80" s="98">
        <f>-YearFraction*(0.5*YearFraction*SUMPRODUCT($Z$25:$Z$44,$AB$25:$AB$44))</f>
        <v>-0.43704024786636653</v>
      </c>
      <c r="AG80" s="2" t="s">
        <v>77</v>
      </c>
      <c r="AH80" s="143">
        <f>LGD*SUMPRODUCT($AK$5:$AK$44,DiscFactors10Y)</f>
        <v>35543.624229745168</v>
      </c>
      <c r="AI80" s="144">
        <f>LGD*SUMPRODUCT($AO$5:$AO$44,DiscFactors10Y)</f>
        <v>35543.62173318283</v>
      </c>
      <c r="AJ80" s="144">
        <f>LGD*SUMPRODUCT($AS$5:$AS$44,DiscFactors10Y)</f>
        <v>35543.619524989357</v>
      </c>
      <c r="AK80" s="144">
        <f>LGD*SUMPRODUCT($AW$5:$AW$44,DiscFactors10Y)</f>
        <v>35543.617523222958</v>
      </c>
      <c r="AL80" s="144">
        <f>LGD*SUMPRODUCT($BA$5:$BA$44,DiscFactors10Y)</f>
        <v>35543.615667121783</v>
      </c>
      <c r="AM80" s="145">
        <f>LGD*SUMPRODUCT($BE$5:$BE$44,DiscFactors10Y)</f>
        <v>35543.775659172075</v>
      </c>
    </row>
    <row r="83" spans="33:39" x14ac:dyDescent="0.3">
      <c r="AH83" s="1" t="s">
        <v>98</v>
      </c>
    </row>
    <row r="85" spans="33:39" ht="15.6" x14ac:dyDescent="0.3">
      <c r="AG85" s="39" t="s">
        <v>85</v>
      </c>
      <c r="AH85" s="2" t="s">
        <v>54</v>
      </c>
      <c r="AI85" s="2" t="s">
        <v>55</v>
      </c>
      <c r="AJ85" s="2" t="s">
        <v>56</v>
      </c>
      <c r="AK85" s="2" t="s">
        <v>57</v>
      </c>
      <c r="AL85" s="2" t="s">
        <v>58</v>
      </c>
      <c r="AM85" s="2" t="s">
        <v>59</v>
      </c>
    </row>
    <row r="86" spans="33:39" ht="15.6" x14ac:dyDescent="0.3">
      <c r="AG86" s="2" t="s">
        <v>78</v>
      </c>
      <c r="AH86" s="139">
        <f>Notional*YearFraction*(SUMPRODUCT($AJ$5:$AJ$8,DiscFactors1Y)+0.5*SUMPRODUCT($AK$5:$AK$8,DiscFactors1Y))</f>
        <v>968187.82350649859</v>
      </c>
      <c r="AI86" s="32">
        <v>0</v>
      </c>
      <c r="AJ86" s="32">
        <v>0</v>
      </c>
      <c r="AK86" s="32">
        <v>0</v>
      </c>
      <c r="AL86" s="32">
        <v>0</v>
      </c>
      <c r="AM86" s="33">
        <v>0</v>
      </c>
    </row>
    <row r="87" spans="33:39" ht="15.6" x14ac:dyDescent="0.3">
      <c r="AG87" s="2" t="s">
        <v>79</v>
      </c>
      <c r="AH87" s="140">
        <f>Notional*YearFraction*(SUMPRODUCT($AJ$5:$AJ$12,DiscFactors2Y)+0.5*SUMPRODUCT($AK$5:$AK$12,DiscFactors2Y))</f>
        <v>1887690.9063464596</v>
      </c>
      <c r="AI87" s="141">
        <f>Notional*YearFraction*(SUMPRODUCT($AN$5:$AN$12,DiscFactors2Y)+0.5*SUMPRODUCT($AO$5:$AO$12,DiscFactors2Y))</f>
        <v>1887691.0006835724</v>
      </c>
      <c r="AJ87" s="28">
        <v>0</v>
      </c>
      <c r="AK87" s="28">
        <v>0</v>
      </c>
      <c r="AL87" s="28">
        <v>0</v>
      </c>
      <c r="AM87" s="142">
        <v>0</v>
      </c>
    </row>
    <row r="88" spans="33:39" ht="15.6" x14ac:dyDescent="0.3">
      <c r="AG88" s="2" t="s">
        <v>80</v>
      </c>
      <c r="AH88" s="140">
        <f>Notional*YearFraction*(SUMPRODUCT($AJ$5:$AJ$16,DiscFactors3Y)+0.5*SUMPRODUCT($AK$5:$AK$16,DiscFactors3Y))</f>
        <v>2763660.3285144325</v>
      </c>
      <c r="AI88" s="141">
        <f>Notional*YearFraction*(SUMPRODUCT($AN$5:$AN$16,DiscFactors3Y)+0.5*SUMPRODUCT($AO$5:$AO$16,DiscFactors3Y))</f>
        <v>2763660.4228515457</v>
      </c>
      <c r="AJ88" s="141">
        <f>Notional*YearFraction*(SUMPRODUCT($AR$5:$AR$16,DiscFactors3Y)+0.5*SUMPRODUCT($AS$5:$AS$16,DiscFactors3Y))</f>
        <v>2763660.5125902407</v>
      </c>
      <c r="AK88" s="28">
        <v>0</v>
      </c>
      <c r="AL88" s="28">
        <v>0</v>
      </c>
      <c r="AM88" s="142">
        <v>0</v>
      </c>
    </row>
    <row r="89" spans="33:39" ht="15.6" x14ac:dyDescent="0.3">
      <c r="AG89" s="2" t="s">
        <v>81</v>
      </c>
      <c r="AH89" s="140">
        <f>Notional*YearFraction*(SUMPRODUCT($AJ$5:$AJ$20,DiscFactors4Y)+0.5*SUMPRODUCT($AK$5:$AK$20,DiscFactors4Y))</f>
        <v>3599848.2306699897</v>
      </c>
      <c r="AI89" s="141">
        <f>Notional*YearFraction*(SUMPRODUCT($AN$5:$AN$20,DiscFactors4Y)+0.5*SUMPRODUCT($AO$5:$AO$20,DiscFactors4Y))</f>
        <v>3599848.3250071029</v>
      </c>
      <c r="AJ89" s="141">
        <f>Notional*YearFraction*(SUMPRODUCT($AR$5:$AR$20,DiscFactors4Y)+0.5*SUMPRODUCT($AS$5:$AS$20,DiscFactors4Y))</f>
        <v>3599848.4147457983</v>
      </c>
      <c r="AK89" s="141">
        <f>Notional*YearFraction*(SUMPRODUCT($AV$5:$AV$20,DiscFactors4Y)+0.5*SUMPRODUCT($AW$5:$AW$20,DiscFactors4Y))</f>
        <v>3599848.500328646</v>
      </c>
      <c r="AL89" s="28">
        <v>0</v>
      </c>
      <c r="AM89" s="142">
        <v>0</v>
      </c>
    </row>
    <row r="90" spans="33:39" ht="15.6" x14ac:dyDescent="0.3">
      <c r="AG90" s="2" t="s">
        <v>82</v>
      </c>
      <c r="AH90" s="140">
        <f>Notional*YearFraction*(SUMPRODUCT($AJ$5:$AJ$24,DiscFactors5Y)+0.5*SUMPRODUCT($AK$5:$AK$24,DiscFactors5Y))</f>
        <v>4398970.057349761</v>
      </c>
      <c r="AI90" s="141">
        <f>Notional*YearFraction*(SUMPRODUCT($AN$5:$AN$24,DiscFactors5Y)+0.5*SUMPRODUCT($AO$5:$AO$24,DiscFactors5Y))</f>
        <v>4398970.1516868733</v>
      </c>
      <c r="AJ90" s="141">
        <f>Notional*YearFraction*(SUMPRODUCT($AR$5:$AR$24,DiscFactors5Y)+0.5*SUMPRODUCT($AS$5:$AS$24,DiscFactors5Y))</f>
        <v>4398970.2414255682</v>
      </c>
      <c r="AK90" s="141">
        <f>Notional*YearFraction*(SUMPRODUCT($AV$5:$AV$24,DiscFactors5Y)+0.5*SUMPRODUCT($AW$5:$AW$24,DiscFactors5Y))</f>
        <v>4398970.3270084169</v>
      </c>
      <c r="AL90" s="141">
        <f>Notional*YearFraction*(SUMPRODUCT($AZ$5:$AZ$24,DiscFactors5Y)+0.5*SUMPRODUCT($BA$5:$BA$24,DiscFactors5Y))</f>
        <v>4398970.408755444</v>
      </c>
      <c r="AM90" s="142">
        <v>0</v>
      </c>
    </row>
    <row r="91" spans="33:39" ht="15.6" x14ac:dyDescent="0.3">
      <c r="AG91" s="2" t="s">
        <v>83</v>
      </c>
      <c r="AH91" s="143">
        <f>Notional*YearFraction*(SUMPRODUCT($AJ$5:$AJ$44,DiscFactors10Y)+0.5*SUMPRODUCT($AK$5:$AK$44,DiscFactors10Y))</f>
        <v>7898572.5670401528</v>
      </c>
      <c r="AI91" s="144">
        <f>Notional*YearFraction*(SUMPRODUCT($AN$5:$AN$44,DiscFactors10Y)+0.5*SUMPRODUCT($AO$5:$AO$44,DiscFactors10Y))</f>
        <v>7898572.661377266</v>
      </c>
      <c r="AJ91" s="144">
        <f>Notional*YearFraction*(SUMPRODUCT($AR$5:$AR$44,DiscFactors10Y)+0.5*SUMPRODUCT($AS$5:$AS$44,DiscFactors10Y))</f>
        <v>7898572.751115961</v>
      </c>
      <c r="AK91" s="144">
        <f>Notional*YearFraction*(SUMPRODUCT($AV$5:$AV$44,DiscFactors10Y)+0.5*SUMPRODUCT($AW$5:$AW$44,DiscFactors10Y))</f>
        <v>7898572.8366988087</v>
      </c>
      <c r="AL91" s="144">
        <f>Notional*YearFraction*(SUMPRODUCT($AZ$5:$AZ$44,DiscFactors10Y)+0.5*SUMPRODUCT($BA$5:$BA$44,DiscFactors10Y))</f>
        <v>7898572.9184458358</v>
      </c>
      <c r="AM91" s="145">
        <f>Notional*YearFraction*(SUMPRODUCT($BD$5:$BD$44,DiscFactors10Y)+0.5*SUMPRODUCT($BE$5:$BE$44,DiscFactors10Y))</f>
        <v>7898572.4658641974</v>
      </c>
    </row>
  </sheetData>
  <mergeCells count="7">
    <mergeCell ref="K9:L9"/>
    <mergeCell ref="K3:L3"/>
    <mergeCell ref="K4:L4"/>
    <mergeCell ref="K5:L5"/>
    <mergeCell ref="K6:L6"/>
    <mergeCell ref="K7:L7"/>
    <mergeCell ref="K8:L8"/>
  </mergeCells>
  <dataValidations count="2">
    <dataValidation type="list" allowBlank="1" showInputMessage="1" showErrorMessage="1" sqref="O37" xr:uid="{57AEADCB-573F-44A9-BD4B-5E7A6C9E2FF5}">
      <formula1>"TRUE,FALSE"</formula1>
    </dataValidation>
    <dataValidation type="list" allowBlank="1" showInputMessage="1" showErrorMessage="1" sqref="K51" xr:uid="{651FA587-D7B4-4A80-8447-E68DAE17B452}">
      <formula1>"ANALYTICAL,NUMERICAL"</formula1>
    </dataValidation>
  </dataValidations>
  <pageMargins left="0.7" right="0.7" top="0.75" bottom="0.75" header="0.3" footer="0.3"/>
  <headerFooter>
    <oddFooter>&amp;R_x000D_&amp;1#&amp;"Aptos"&amp;10&amp;K008000 [ CLASSIFICAÇÃO: PÚBLICA ]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RunCreditSolver">
                <anchor moveWithCells="1" sizeWithCells="1">
                  <from>
                    <xdr:col>10</xdr:col>
                    <xdr:colOff>30480</xdr:colOff>
                    <xdr:row>34</xdr:row>
                    <xdr:rowOff>38100</xdr:rowOff>
                  </from>
                  <to>
                    <xdr:col>12</xdr:col>
                    <xdr:colOff>144780</xdr:colOff>
                    <xdr:row>37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BB312-6E25-473F-916F-85E156F5AFA0}">
  <sheetPr codeName="Sheet3">
    <tabColor theme="9" tint="0.39997558519241921"/>
  </sheetPr>
  <dimension ref="B1:Z44"/>
  <sheetViews>
    <sheetView showGridLines="0" zoomScaleNormal="100" workbookViewId="0"/>
  </sheetViews>
  <sheetFormatPr defaultRowHeight="14.4" outlineLevelCol="1" x14ac:dyDescent="0.3"/>
  <cols>
    <col min="1" max="1" width="5.33203125" customWidth="1"/>
    <col min="2" max="3" width="12.6640625" customWidth="1"/>
    <col min="4" max="4" width="15.6640625" customWidth="1"/>
    <col min="5" max="5" width="5.33203125" customWidth="1"/>
    <col min="6" max="8" width="12.6640625" customWidth="1" outlineLevel="1"/>
    <col min="9" max="9" width="15.109375" customWidth="1" outlineLevel="1"/>
    <col min="10" max="10" width="12.6640625" customWidth="1" outlineLevel="1"/>
    <col min="11" max="11" width="14.44140625" customWidth="1" outlineLevel="1"/>
    <col min="12" max="14" width="12.6640625" customWidth="1" outlineLevel="1"/>
    <col min="15" max="15" width="15.6640625" customWidth="1"/>
    <col min="16" max="16" width="5.33203125" customWidth="1"/>
    <col min="17" max="19" width="12.6640625" customWidth="1" outlineLevel="1"/>
    <col min="20" max="20" width="15.109375" customWidth="1" outlineLevel="1"/>
    <col min="21" max="21" width="12.6640625" customWidth="1" outlineLevel="1"/>
    <col min="22" max="22" width="14.44140625" customWidth="1" outlineLevel="1"/>
    <col min="23" max="23" width="12.6640625" customWidth="1" outlineLevel="1"/>
    <col min="24" max="24" width="15.6640625" customWidth="1"/>
  </cols>
  <sheetData>
    <row r="1" spans="2:26" x14ac:dyDescent="0.3">
      <c r="O1" s="124" t="s">
        <v>111</v>
      </c>
      <c r="P1" s="124"/>
      <c r="X1" s="124" t="s">
        <v>130</v>
      </c>
    </row>
    <row r="2" spans="2:26" x14ac:dyDescent="0.3">
      <c r="B2" s="332" t="s">
        <v>322</v>
      </c>
      <c r="F2" s="1" t="s">
        <v>111</v>
      </c>
      <c r="Q2" s="1" t="s">
        <v>130</v>
      </c>
      <c r="Z2" s="1"/>
    </row>
    <row r="3" spans="2:26" x14ac:dyDescent="0.3">
      <c r="F3" s="41" t="s">
        <v>6</v>
      </c>
      <c r="G3" s="2" t="s">
        <v>2</v>
      </c>
      <c r="H3" s="2" t="s">
        <v>127</v>
      </c>
      <c r="I3" s="41" t="s">
        <v>8</v>
      </c>
      <c r="J3" s="41" t="s">
        <v>24</v>
      </c>
      <c r="K3" s="41" t="s">
        <v>134</v>
      </c>
      <c r="L3" s="41" t="s">
        <v>128</v>
      </c>
      <c r="M3" s="41" t="s">
        <v>129</v>
      </c>
      <c r="N3" s="41" t="s">
        <v>28</v>
      </c>
      <c r="Q3" s="41" t="s">
        <v>6</v>
      </c>
      <c r="R3" s="2" t="s">
        <v>131</v>
      </c>
      <c r="S3" s="2" t="s">
        <v>127</v>
      </c>
      <c r="T3" s="41" t="s">
        <v>8</v>
      </c>
      <c r="U3" s="41" t="s">
        <v>24</v>
      </c>
      <c r="V3" s="41" t="s">
        <v>134</v>
      </c>
      <c r="W3" s="41" t="s">
        <v>28</v>
      </c>
    </row>
    <row r="4" spans="2:26" x14ac:dyDescent="0.3">
      <c r="F4" s="17">
        <v>0</v>
      </c>
      <c r="G4" s="117" t="s">
        <v>121</v>
      </c>
      <c r="H4" s="117" t="s">
        <v>121</v>
      </c>
      <c r="I4" s="10">
        <v>1</v>
      </c>
      <c r="J4" s="10">
        <v>0</v>
      </c>
      <c r="K4" s="94">
        <v>1</v>
      </c>
      <c r="L4" s="158" t="s">
        <v>121</v>
      </c>
      <c r="M4" s="158" t="s">
        <v>121</v>
      </c>
      <c r="N4" s="117" t="s">
        <v>121</v>
      </c>
      <c r="Q4" s="17">
        <v>0</v>
      </c>
      <c r="R4" s="117" t="str">
        <f>"-"</f>
        <v>-</v>
      </c>
      <c r="S4" s="2" t="str">
        <f>"-"</f>
        <v>-</v>
      </c>
      <c r="T4" s="10">
        <v>1</v>
      </c>
      <c r="U4" s="10">
        <v>0</v>
      </c>
      <c r="V4" s="94">
        <v>1</v>
      </c>
      <c r="W4" s="2" t="str">
        <f>"-"</f>
        <v>-</v>
      </c>
    </row>
    <row r="5" spans="2:26" x14ac:dyDescent="0.3">
      <c r="B5" s="1" t="s">
        <v>132</v>
      </c>
      <c r="F5" s="366">
        <f t="shared" ref="F5:F44" si="0">F4+YearFraction</f>
        <v>0.25</v>
      </c>
      <c r="G5" s="367">
        <f t="shared" ref="G5:G44" si="1">IF($F5&gt;CDS.Tenor,"-",CDS.PremiumSign*CDS.Notional*CDS.YearFraction*CDS.CreditSpread)</f>
        <v>-25000</v>
      </c>
      <c r="H5" s="384" cm="1">
        <f t="array" aca="1" ref="H5" ca="1">IF($F5&gt;CDS.Tenor,"-",flatInterpolation(F5,INDIRECT(HazardRateTimes),INDIRECT(HazardRateValues)))</f>
        <v>5.0000000000000001E-3</v>
      </c>
      <c r="I5" s="347">
        <f t="shared" ref="I5:I44" ca="1" si="2">IF($F5&gt;CDS.Tenor,"-",EXP(-H5*YearFraction)*I4)</f>
        <v>0.99875078092458092</v>
      </c>
      <c r="J5" s="347">
        <f t="shared" ref="J5:J44" ca="1" si="3">IF($F5&gt;CDS.Tenor,"-",I4-I5)</f>
        <v>1.2492190754190835E-3</v>
      </c>
      <c r="K5" s="368" cm="1">
        <f t="array" ref="K5">IF($F5&gt;CDS.Tenor,"-",cubicInterpolation(CurveResults.Times,CurveResults.DFs,$F5))</f>
        <v>0.98868042001719347</v>
      </c>
      <c r="L5" s="367">
        <f t="shared" ref="L5:L44" ca="1" si="4">IF($F5&gt;CDS.Tenor,"-",G5*I5*K5)</f>
        <v>-24686.133539425366</v>
      </c>
      <c r="M5" s="367">
        <f t="shared" ref="M5:M44" ca="1" si="5">IF($F5&gt;CDS.Tenor,"-",0.5*G5*J5*K5)</f>
        <v>-15.43848050223537</v>
      </c>
      <c r="N5" s="369">
        <f t="shared" ref="N5:N44" ca="1" si="6">IF($F5&gt;CDS.Tenor,"-",L5+M5)</f>
        <v>-24701.5720199276</v>
      </c>
      <c r="Q5" s="366">
        <f t="shared" ref="Q5:Q44" si="7">Q4+YearFraction</f>
        <v>0.25</v>
      </c>
      <c r="R5" s="367">
        <f t="shared" ref="R5:R44" si="8">IF($F5&gt;CDS.Tenor,"-",CDS.ProtectionSign*CDS.Notional*(1-CDS.RecoveryRate))</f>
        <v>6000000</v>
      </c>
      <c r="S5" s="384" cm="1">
        <f t="array" aca="1" ref="S5" ca="1">IF($F5&gt;CDS.Tenor,"-",flatInterpolation(Q5,INDIRECT(HazardRateTimes),INDIRECT(HazardRateValues)))</f>
        <v>5.0000000000000001E-3</v>
      </c>
      <c r="T5" s="347">
        <f t="shared" ref="T5:T44" ca="1" si="9">IF($F5&gt;CDS.Tenor,"-",EXP(-S5*YearFraction)*T4)</f>
        <v>0.99875078092458092</v>
      </c>
      <c r="U5" s="347">
        <f t="shared" ref="U5:U44" ca="1" si="10">IF($F5&gt;CDS.Tenor,"-",T4-T5)</f>
        <v>1.2492190754190835E-3</v>
      </c>
      <c r="V5" s="368" cm="1">
        <f t="array" ref="V5">IF($Q5&gt;CDS.Tenor,"-",cubicInterpolation(CurveResults.Times,CurveResults.DFs,$F5))</f>
        <v>0.98868042001719347</v>
      </c>
      <c r="W5" s="369">
        <f ca="1">IF($F5&gt;CDS.Tenor,"-",R5*U5*V5)</f>
        <v>7410.4706410729768</v>
      </c>
    </row>
    <row r="6" spans="2:26" x14ac:dyDescent="0.3">
      <c r="B6" s="114" t="s">
        <v>113</v>
      </c>
      <c r="C6" s="115"/>
      <c r="D6" s="154" t="s">
        <v>114</v>
      </c>
      <c r="F6" s="370">
        <f t="shared" si="0"/>
        <v>0.5</v>
      </c>
      <c r="G6" s="371">
        <f t="shared" si="1"/>
        <v>-25000</v>
      </c>
      <c r="H6" s="385" cm="1">
        <f t="array" aca="1" ref="H6" ca="1">IF($F6&gt;CDS.Tenor,"-",flatInterpolation(F6,INDIRECT(HazardRateTimes),INDIRECT(HazardRateValues)))</f>
        <v>5.0000000000000001E-3</v>
      </c>
      <c r="I6" s="348">
        <f t="shared" ca="1" si="2"/>
        <v>0.9975031223974602</v>
      </c>
      <c r="J6" s="348">
        <f t="shared" ca="1" si="3"/>
        <v>1.2476585271207208E-3</v>
      </c>
      <c r="K6" s="372" cm="1">
        <f t="array" ref="K6">IF($F6&gt;CDS.Tenor,"-",cubicInterpolation(CurveResults.Times,CurveResults.DFs,$F6))</f>
        <v>0.97728436827331244</v>
      </c>
      <c r="L6" s="371">
        <f t="shared" ca="1" si="4"/>
        <v>-24371.105220571466</v>
      </c>
      <c r="M6" s="371">
        <f t="shared" ca="1" si="5"/>
        <v>-15.241464693724813</v>
      </c>
      <c r="N6" s="373">
        <f t="shared" ca="1" si="6"/>
        <v>-24386.346685265191</v>
      </c>
      <c r="Q6" s="370">
        <f t="shared" si="7"/>
        <v>0.5</v>
      </c>
      <c r="R6" s="371">
        <f t="shared" si="8"/>
        <v>6000000</v>
      </c>
      <c r="S6" s="385" cm="1">
        <f t="array" aca="1" ref="S6" ca="1">IF($F6&gt;CDS.Tenor,"-",flatInterpolation(Q6,INDIRECT(HazardRateTimes),INDIRECT(HazardRateValues)))</f>
        <v>5.0000000000000001E-3</v>
      </c>
      <c r="T6" s="348">
        <f t="shared" ca="1" si="9"/>
        <v>0.9975031223974602</v>
      </c>
      <c r="U6" s="348">
        <f t="shared" ca="1" si="10"/>
        <v>1.2476585271207208E-3</v>
      </c>
      <c r="V6" s="372" cm="1">
        <f t="array" ref="V6">IF($Q6&gt;CDS.Tenor,"-",cubicInterpolation(CurveResults.Times,CurveResults.DFs,$F6))</f>
        <v>0.97728436827331244</v>
      </c>
      <c r="W6" s="373">
        <f t="shared" ref="W6:W44" ca="1" si="11">IF($F6&gt;CDS.Tenor,"-",R6*U6*V6)</f>
        <v>7315.9030529879101</v>
      </c>
    </row>
    <row r="7" spans="2:26" x14ac:dyDescent="0.3">
      <c r="B7" s="116" t="s">
        <v>339</v>
      </c>
      <c r="D7" s="50" t="s">
        <v>335</v>
      </c>
      <c r="F7" s="370">
        <f t="shared" si="0"/>
        <v>0.75</v>
      </c>
      <c r="G7" s="371">
        <f t="shared" si="1"/>
        <v>-25000</v>
      </c>
      <c r="H7" s="385" cm="1">
        <f t="array" aca="1" ref="H7" ca="1">IF($F7&gt;CDS.Tenor,"-",flatInterpolation(F7,INDIRECT(HazardRateTimes),INDIRECT(HazardRateValues)))</f>
        <v>5.0000000000000001E-3</v>
      </c>
      <c r="I7" s="348">
        <f t="shared" ca="1" si="2"/>
        <v>0.99625702246917114</v>
      </c>
      <c r="J7" s="348">
        <f t="shared" ca="1" si="3"/>
        <v>1.2460999282890572E-3</v>
      </c>
      <c r="K7" s="372" cm="1">
        <f t="array" ref="K7">IF($F7&gt;CDS.Tenor,"-",cubicInterpolation(CurveResults.Times,CurveResults.DFs,$F7))</f>
        <v>0.96604126005158042</v>
      </c>
      <c r="L7" s="371">
        <f t="shared" ca="1" si="4"/>
        <v>-24060.634733033847</v>
      </c>
      <c r="M7" s="371">
        <f t="shared" ca="1" si="5"/>
        <v>-15.047299310931811</v>
      </c>
      <c r="N7" s="373">
        <f t="shared" ca="1" si="6"/>
        <v>-24075.682032344779</v>
      </c>
      <c r="Q7" s="370">
        <f t="shared" si="7"/>
        <v>0.75</v>
      </c>
      <c r="R7" s="371">
        <f t="shared" si="8"/>
        <v>6000000</v>
      </c>
      <c r="S7" s="385" cm="1">
        <f t="array" aca="1" ref="S7" ca="1">IF($F7&gt;CDS.Tenor,"-",flatInterpolation(Q7,INDIRECT(HazardRateTimes),INDIRECT(HazardRateValues)))</f>
        <v>5.0000000000000001E-3</v>
      </c>
      <c r="T7" s="348">
        <f t="shared" ca="1" si="9"/>
        <v>0.99625702246917114</v>
      </c>
      <c r="U7" s="348">
        <f t="shared" ca="1" si="10"/>
        <v>1.2460999282890572E-3</v>
      </c>
      <c r="V7" s="372" cm="1">
        <f t="array" ref="V7">IF($Q7&gt;CDS.Tenor,"-",cubicInterpolation(CurveResults.Times,CurveResults.DFs,$F7))</f>
        <v>0.96604126005158042</v>
      </c>
      <c r="W7" s="373">
        <f t="shared" ca="1" si="11"/>
        <v>7222.7036692472693</v>
      </c>
    </row>
    <row r="8" spans="2:26" x14ac:dyDescent="0.3">
      <c r="B8" s="116" t="s">
        <v>18</v>
      </c>
      <c r="D8" s="50">
        <v>10000000</v>
      </c>
      <c r="F8" s="370">
        <f t="shared" si="0"/>
        <v>1</v>
      </c>
      <c r="G8" s="371">
        <f t="shared" si="1"/>
        <v>-25000</v>
      </c>
      <c r="H8" s="385" cm="1">
        <f t="array" aca="1" ref="H8" ca="1">IF($F8&gt;CDS.Tenor,"-",flatInterpolation(F8,INDIRECT(HazardRateTimes),INDIRECT(HazardRateValues)))</f>
        <v>5.0000000000000001E-3</v>
      </c>
      <c r="I8" s="348">
        <f t="shared" ca="1" si="2"/>
        <v>0.99501247919268243</v>
      </c>
      <c r="J8" s="348">
        <f t="shared" ca="1" si="3"/>
        <v>1.2445432764887077E-3</v>
      </c>
      <c r="K8" s="372" cm="1">
        <f t="array" ref="K8">IF($F8&gt;CDS.Tenor,"-",cubicInterpolation(CurveResults.Times,CurveResults.DFs,$F8))</f>
        <v>0.95518051063522103</v>
      </c>
      <c r="L8" s="371">
        <f t="shared" ca="1" si="4"/>
        <v>-23760.413199092091</v>
      </c>
      <c r="M8" s="371">
        <f t="shared" ca="1" si="5"/>
        <v>-14.859543529301435</v>
      </c>
      <c r="N8" s="373">
        <f t="shared" ca="1" si="6"/>
        <v>-23775.272742621393</v>
      </c>
      <c r="Q8" s="370">
        <f t="shared" si="7"/>
        <v>1</v>
      </c>
      <c r="R8" s="371">
        <f t="shared" si="8"/>
        <v>6000000</v>
      </c>
      <c r="S8" s="385" cm="1">
        <f t="array" aca="1" ref="S8" ca="1">IF($F8&gt;CDS.Tenor,"-",flatInterpolation(Q8,INDIRECT(HazardRateTimes),INDIRECT(HazardRateValues)))</f>
        <v>5.0000000000000001E-3</v>
      </c>
      <c r="T8" s="348">
        <f t="shared" ca="1" si="9"/>
        <v>0.99501247919268243</v>
      </c>
      <c r="U8" s="348">
        <f t="shared" ca="1" si="10"/>
        <v>1.2445432764887077E-3</v>
      </c>
      <c r="V8" s="372" cm="1">
        <f t="array" ref="V8">IF($Q8&gt;CDS.Tenor,"-",cubicInterpolation(CurveResults.Times,CurveResults.DFs,$F8))</f>
        <v>0.95518051063522103</v>
      </c>
      <c r="W8" s="373">
        <f t="shared" ca="1" si="11"/>
        <v>7132.5808940646884</v>
      </c>
    </row>
    <row r="9" spans="2:26" x14ac:dyDescent="0.3">
      <c r="B9" s="116" t="s">
        <v>112</v>
      </c>
      <c r="D9" s="149">
        <v>100</v>
      </c>
      <c r="F9" s="370">
        <f t="shared" si="0"/>
        <v>1.25</v>
      </c>
      <c r="G9" s="371">
        <f t="shared" si="1"/>
        <v>-25000</v>
      </c>
      <c r="H9" s="385" cm="1">
        <f t="array" aca="1" ref="H9" ca="1">IF($F9&gt;CDS.Tenor,"-",flatInterpolation(F9,INDIRECT(HazardRateTimes),INDIRECT(HazardRateValues)))</f>
        <v>5.0000000000000001E-3</v>
      </c>
      <c r="I9" s="348">
        <f t="shared" ca="1" si="2"/>
        <v>0.99376949062339492</v>
      </c>
      <c r="J9" s="348">
        <f t="shared" ca="1" si="3"/>
        <v>1.2429885692875065E-3</v>
      </c>
      <c r="K9" s="372" cm="1">
        <f t="array" ref="K9">IF($F9&gt;CDS.Tenor,"-",cubicInterpolation(CurveResults.Times,CurveResults.DFs,$F9))</f>
        <v>0.94476174559314918</v>
      </c>
      <c r="L9" s="371">
        <f t="shared" ca="1" si="4"/>
        <v>-23471.884966964331</v>
      </c>
      <c r="M9" s="371">
        <f t="shared" ca="1" si="5"/>
        <v>-14.679100630904944</v>
      </c>
      <c r="N9" s="373">
        <f t="shared" ca="1" si="6"/>
        <v>-23486.564067595238</v>
      </c>
      <c r="Q9" s="370">
        <f t="shared" si="7"/>
        <v>1.25</v>
      </c>
      <c r="R9" s="371">
        <f t="shared" si="8"/>
        <v>6000000</v>
      </c>
      <c r="S9" s="385" cm="1">
        <f t="array" aca="1" ref="S9" ca="1">IF($F9&gt;CDS.Tenor,"-",flatInterpolation(Q9,INDIRECT(HazardRateTimes),INDIRECT(HazardRateValues)))</f>
        <v>5.0000000000000001E-3</v>
      </c>
      <c r="T9" s="348">
        <f t="shared" ca="1" si="9"/>
        <v>0.99376949062339492</v>
      </c>
      <c r="U9" s="348">
        <f t="shared" ca="1" si="10"/>
        <v>1.2429885692875065E-3</v>
      </c>
      <c r="V9" s="372" cm="1">
        <f t="array" ref="V9">IF($Q9&gt;CDS.Tenor,"-",cubicInterpolation(CurveResults.Times,CurveResults.DFs,$F9))</f>
        <v>0.94476174559314918</v>
      </c>
      <c r="W9" s="373">
        <f t="shared" ca="1" si="11"/>
        <v>7045.9683028343734</v>
      </c>
    </row>
    <row r="10" spans="2:26" x14ac:dyDescent="0.3">
      <c r="B10" s="116" t="s">
        <v>133</v>
      </c>
      <c r="C10" s="160"/>
      <c r="D10" s="162">
        <v>5</v>
      </c>
      <c r="F10" s="370">
        <f t="shared" si="0"/>
        <v>1.5</v>
      </c>
      <c r="G10" s="371">
        <f t="shared" si="1"/>
        <v>-25000</v>
      </c>
      <c r="H10" s="385" cm="1">
        <f t="array" aca="1" ref="H10" ca="1">IF($F10&gt;CDS.Tenor,"-",flatInterpolation(F10,INDIRECT(HazardRateTimes),INDIRECT(HazardRateValues)))</f>
        <v>5.0000000000000001E-3</v>
      </c>
      <c r="I10" s="348">
        <f t="shared" ca="1" si="2"/>
        <v>0.99252805481913864</v>
      </c>
      <c r="J10" s="348">
        <f t="shared" ca="1" si="3"/>
        <v>1.2414358042562856E-3</v>
      </c>
      <c r="K10" s="372" cm="1">
        <f t="array" ref="K10">IF($F10&gt;CDS.Tenor,"-",cubicInterpolation(CurveResults.Times,CurveResults.DFs,$F10))</f>
        <v>0.93466312738762736</v>
      </c>
      <c r="L10" s="371">
        <f t="shared" ca="1" si="4"/>
        <v>-23191.984393430364</v>
      </c>
      <c r="M10" s="371">
        <f t="shared" ca="1" si="5"/>
        <v>-14.504053390714429</v>
      </c>
      <c r="N10" s="373">
        <f t="shared" ca="1" si="6"/>
        <v>-23206.48844682108</v>
      </c>
      <c r="Q10" s="370">
        <f t="shared" si="7"/>
        <v>1.5</v>
      </c>
      <c r="R10" s="371">
        <f t="shared" si="8"/>
        <v>6000000</v>
      </c>
      <c r="S10" s="385" cm="1">
        <f t="array" aca="1" ref="S10" ca="1">IF($F10&gt;CDS.Tenor,"-",flatInterpolation(Q10,INDIRECT(HazardRateTimes),INDIRECT(HazardRateValues)))</f>
        <v>5.0000000000000001E-3</v>
      </c>
      <c r="T10" s="348">
        <f t="shared" ca="1" si="9"/>
        <v>0.99252805481913864</v>
      </c>
      <c r="U10" s="348">
        <f t="shared" ca="1" si="10"/>
        <v>1.2414358042562856E-3</v>
      </c>
      <c r="V10" s="372" cm="1">
        <f t="array" ref="V10">IF($Q10&gt;CDS.Tenor,"-",cubicInterpolation(CurveResults.Times,CurveResults.DFs,$F10))</f>
        <v>0.93466312738762736</v>
      </c>
      <c r="W10" s="373">
        <f t="shared" ca="1" si="11"/>
        <v>6961.9456275429256</v>
      </c>
    </row>
    <row r="11" spans="2:26" x14ac:dyDescent="0.3">
      <c r="B11" s="112" t="s">
        <v>115</v>
      </c>
      <c r="C11" s="161"/>
      <c r="D11" s="163">
        <v>0.4</v>
      </c>
      <c r="F11" s="370">
        <f t="shared" si="0"/>
        <v>1.75</v>
      </c>
      <c r="G11" s="371">
        <f t="shared" si="1"/>
        <v>-25000</v>
      </c>
      <c r="H11" s="385" cm="1">
        <f t="array" aca="1" ref="H11" ca="1">IF($F11&gt;CDS.Tenor,"-",flatInterpolation(F11,INDIRECT(HazardRateTimes),INDIRECT(HazardRateValues)))</f>
        <v>5.0000000000000001E-3</v>
      </c>
      <c r="I11" s="348">
        <f t="shared" ca="1" si="2"/>
        <v>0.99128816984016999</v>
      </c>
      <c r="J11" s="348">
        <f t="shared" ca="1" si="3"/>
        <v>1.2398849789686528E-3</v>
      </c>
      <c r="K11" s="372" cm="1">
        <f t="array" ref="K11">IF($F11&gt;CDS.Tenor,"-",cubicInterpolation(CurveResults.Times,CurveResults.DFs,$F11))</f>
        <v>0.92484187664189998</v>
      </c>
      <c r="L11" s="371">
        <f t="shared" ca="1" si="4"/>
        <v>-22919.620282197433</v>
      </c>
      <c r="M11" s="371">
        <f t="shared" ca="1" si="5"/>
        <v>-14.333719384618394</v>
      </c>
      <c r="N11" s="373">
        <f t="shared" ca="1" si="6"/>
        <v>-22933.954001582053</v>
      </c>
      <c r="Q11" s="370">
        <f t="shared" si="7"/>
        <v>1.75</v>
      </c>
      <c r="R11" s="371">
        <f t="shared" si="8"/>
        <v>6000000</v>
      </c>
      <c r="S11" s="385" cm="1">
        <f t="array" aca="1" ref="S11" ca="1">IF($F11&gt;CDS.Tenor,"-",flatInterpolation(Q11,INDIRECT(HazardRateTimes),INDIRECT(HazardRateValues)))</f>
        <v>5.0000000000000001E-3</v>
      </c>
      <c r="T11" s="348">
        <f t="shared" ca="1" si="9"/>
        <v>0.99128816984016999</v>
      </c>
      <c r="U11" s="348">
        <f t="shared" ca="1" si="10"/>
        <v>1.2398849789686528E-3</v>
      </c>
      <c r="V11" s="372" cm="1">
        <f t="array" ref="V11">IF($Q11&gt;CDS.Tenor,"-",cubicInterpolation(CurveResults.Times,CurveResults.DFs,$F11))</f>
        <v>0.92484187664189998</v>
      </c>
      <c r="W11" s="373">
        <f t="shared" ca="1" si="11"/>
        <v>6880.1853046168299</v>
      </c>
    </row>
    <row r="12" spans="2:26" x14ac:dyDescent="0.3">
      <c r="F12" s="370">
        <f t="shared" si="0"/>
        <v>2</v>
      </c>
      <c r="G12" s="371">
        <f t="shared" si="1"/>
        <v>-25000</v>
      </c>
      <c r="H12" s="385" cm="1">
        <f t="array" aca="1" ref="H12" ca="1">IF($F12&gt;CDS.Tenor,"-",flatInterpolation(F12,INDIRECT(HazardRateTimes),INDIRECT(HazardRateValues)))</f>
        <v>5.0000000000000001E-3</v>
      </c>
      <c r="I12" s="348">
        <f t="shared" ca="1" si="2"/>
        <v>0.99004983374916833</v>
      </c>
      <c r="J12" s="348">
        <f t="shared" ca="1" si="3"/>
        <v>1.2383360910016572E-3</v>
      </c>
      <c r="K12" s="372" cm="1">
        <f t="array" ref="K12">IF($F12&gt;CDS.Tenor,"-",cubicInterpolation(CurveResults.Times,CurveResults.DFs,$F12))</f>
        <v>0.91525521397921195</v>
      </c>
      <c r="L12" s="371">
        <f t="shared" ca="1" si="4"/>
        <v>-22653.706810954456</v>
      </c>
      <c r="M12" s="371">
        <f t="shared" ca="1" si="5"/>
        <v>-14.167419549348782</v>
      </c>
      <c r="N12" s="373">
        <f t="shared" ca="1" si="6"/>
        <v>-22667.874230503807</v>
      </c>
      <c r="Q12" s="370">
        <f t="shared" si="7"/>
        <v>2</v>
      </c>
      <c r="R12" s="371">
        <f t="shared" si="8"/>
        <v>6000000</v>
      </c>
      <c r="S12" s="385" cm="1">
        <f t="array" aca="1" ref="S12" ca="1">IF($F12&gt;CDS.Tenor,"-",flatInterpolation(Q12,INDIRECT(HazardRateTimes),INDIRECT(HazardRateValues)))</f>
        <v>5.0000000000000001E-3</v>
      </c>
      <c r="T12" s="348">
        <f t="shared" ca="1" si="9"/>
        <v>0.99004983374916833</v>
      </c>
      <c r="U12" s="348">
        <f t="shared" ca="1" si="10"/>
        <v>1.2383360910016572E-3</v>
      </c>
      <c r="V12" s="372" cm="1">
        <f t="array" ref="V12">IF($Q12&gt;CDS.Tenor,"-",cubicInterpolation(CurveResults.Times,CurveResults.DFs,$F12))</f>
        <v>0.91525521397921195</v>
      </c>
      <c r="W12" s="373">
        <f t="shared" ca="1" si="11"/>
        <v>6800.3613836874156</v>
      </c>
    </row>
    <row r="13" spans="2:26" x14ac:dyDescent="0.3">
      <c r="B13" s="1" t="s">
        <v>116</v>
      </c>
      <c r="F13" s="370">
        <f t="shared" si="0"/>
        <v>2.25</v>
      </c>
      <c r="G13" s="371">
        <f t="shared" si="1"/>
        <v>-25000</v>
      </c>
      <c r="H13" s="385" cm="1">
        <f t="array" aca="1" ref="H13" ca="1">IF($F13&gt;CDS.Tenor,"-",flatInterpolation(F13,INDIRECT(HazardRateTimes),INDIRECT(HazardRateValues)))</f>
        <v>5.0000000000000001E-3</v>
      </c>
      <c r="I13" s="348">
        <f t="shared" ca="1" si="2"/>
        <v>0.98881304461123343</v>
      </c>
      <c r="J13" s="348">
        <f t="shared" ca="1" si="3"/>
        <v>1.2367891379349016E-3</v>
      </c>
      <c r="K13" s="372" cm="1">
        <f t="array" ref="K13">IF($F13&gt;CDS.Tenor,"-",cubicInterpolation(CurveResults.Times,CurveResults.DFs,$F13))</f>
        <v>0.90592386234408706</v>
      </c>
      <c r="L13" s="371">
        <f t="shared" ca="1" si="4"/>
        <v>-22394.733312760618</v>
      </c>
      <c r="M13" s="371">
        <f t="shared" ca="1" si="5"/>
        <v>-14.00545990929</v>
      </c>
      <c r="N13" s="373">
        <f t="shared" ca="1" si="6"/>
        <v>-22408.738772669909</v>
      </c>
      <c r="Q13" s="370">
        <f t="shared" si="7"/>
        <v>2.25</v>
      </c>
      <c r="R13" s="371">
        <f t="shared" si="8"/>
        <v>6000000</v>
      </c>
      <c r="S13" s="385" cm="1">
        <f t="array" aca="1" ref="S13" ca="1">IF($F13&gt;CDS.Tenor,"-",flatInterpolation(Q13,INDIRECT(HazardRateTimes),INDIRECT(HazardRateValues)))</f>
        <v>5.0000000000000001E-3</v>
      </c>
      <c r="T13" s="348">
        <f t="shared" ca="1" si="9"/>
        <v>0.98881304461123343</v>
      </c>
      <c r="U13" s="348">
        <f t="shared" ca="1" si="10"/>
        <v>1.2367891379349016E-3</v>
      </c>
      <c r="V13" s="372" cm="1">
        <f t="array" ref="V13">IF($Q13&gt;CDS.Tenor,"-",cubicInterpolation(CurveResults.Times,CurveResults.DFs,$F13))</f>
        <v>0.90592386234408706</v>
      </c>
      <c r="W13" s="373">
        <f t="shared" ca="1" si="11"/>
        <v>6722.6207564591996</v>
      </c>
    </row>
    <row r="14" spans="2:26" x14ac:dyDescent="0.3">
      <c r="B14" s="114" t="s">
        <v>119</v>
      </c>
      <c r="C14" s="115"/>
      <c r="D14" s="150">
        <f>IF(D6="BUY",-1,1)</f>
        <v>-1</v>
      </c>
      <c r="F14" s="370">
        <f t="shared" si="0"/>
        <v>2.5</v>
      </c>
      <c r="G14" s="371">
        <f t="shared" si="1"/>
        <v>-25000</v>
      </c>
      <c r="H14" s="385" cm="1">
        <f t="array" aca="1" ref="H14" ca="1">IF($F14&gt;CDS.Tenor,"-",flatInterpolation(F14,INDIRECT(HazardRateTimes),INDIRECT(HazardRateValues)))</f>
        <v>5.0000000000000001E-3</v>
      </c>
      <c r="I14" s="348">
        <f t="shared" ca="1" si="2"/>
        <v>0.98757780049388189</v>
      </c>
      <c r="J14" s="348">
        <f t="shared" ca="1" si="3"/>
        <v>1.2352441173515416E-3</v>
      </c>
      <c r="K14" s="372" cm="1">
        <f t="array" ref="K14">IF($F14&gt;CDS.Tenor,"-",cubicInterpolation(CurveResults.Times,CurveResults.DFs,$F14))</f>
        <v>0.89685992714468643</v>
      </c>
      <c r="L14" s="371">
        <f t="shared" ca="1" si="4"/>
        <v>-22142.973855016317</v>
      </c>
      <c r="M14" s="371">
        <f t="shared" ca="1" si="5"/>
        <v>-13.848011863672577</v>
      </c>
      <c r="N14" s="373">
        <f t="shared" ca="1" si="6"/>
        <v>-22156.821866879989</v>
      </c>
      <c r="Q14" s="370">
        <f t="shared" si="7"/>
        <v>2.5</v>
      </c>
      <c r="R14" s="371">
        <f t="shared" si="8"/>
        <v>6000000</v>
      </c>
      <c r="S14" s="385" cm="1">
        <f t="array" aca="1" ref="S14" ca="1">IF($F14&gt;CDS.Tenor,"-",flatInterpolation(Q14,INDIRECT(HazardRateTimes),INDIRECT(HazardRateValues)))</f>
        <v>5.0000000000000001E-3</v>
      </c>
      <c r="T14" s="348">
        <f t="shared" ca="1" si="9"/>
        <v>0.98757780049388189</v>
      </c>
      <c r="U14" s="348">
        <f t="shared" ca="1" si="10"/>
        <v>1.2352441173515416E-3</v>
      </c>
      <c r="V14" s="372" cm="1">
        <f t="array" ref="V14">IF($Q14&gt;CDS.Tenor,"-",cubicInterpolation(CurveResults.Times,CurveResults.DFs,$F14))</f>
        <v>0.89685992714468643</v>
      </c>
      <c r="W14" s="373">
        <f t="shared" ca="1" si="11"/>
        <v>6647.0456945628366</v>
      </c>
    </row>
    <row r="15" spans="2:26" x14ac:dyDescent="0.3">
      <c r="B15" s="116" t="s">
        <v>120</v>
      </c>
      <c r="D15" s="151">
        <f>-D14</f>
        <v>1</v>
      </c>
      <c r="F15" s="370">
        <f t="shared" si="0"/>
        <v>2.75</v>
      </c>
      <c r="G15" s="371">
        <f t="shared" si="1"/>
        <v>-25000</v>
      </c>
      <c r="H15" s="385" cm="1">
        <f t="array" aca="1" ref="H15" ca="1">IF($F15&gt;CDS.Tenor,"-",flatInterpolation(F15,INDIRECT(HazardRateTimes),INDIRECT(HazardRateValues)))</f>
        <v>5.0000000000000001E-3</v>
      </c>
      <c r="I15" s="348">
        <f t="shared" ca="1" si="2"/>
        <v>0.98634409946704449</v>
      </c>
      <c r="J15" s="348">
        <f t="shared" ca="1" si="3"/>
        <v>1.2337010268373971E-3</v>
      </c>
      <c r="K15" s="372" cm="1">
        <f t="array" ref="K15">IF($F15&gt;CDS.Tenor,"-",cubicInterpolation(CurveResults.Times,CurveResults.DFs,$F15))</f>
        <v>0.8880077026997103</v>
      </c>
      <c r="L15" s="371">
        <f t="shared" ca="1" si="4"/>
        <v>-21897.028945978618</v>
      </c>
      <c r="M15" s="371">
        <f t="shared" ca="1" si="5"/>
        <v>-13.694200183251883</v>
      </c>
      <c r="N15" s="373">
        <f t="shared" ca="1" si="6"/>
        <v>-21910.723146161868</v>
      </c>
      <c r="Q15" s="370">
        <f t="shared" si="7"/>
        <v>2.75</v>
      </c>
      <c r="R15" s="371">
        <f t="shared" si="8"/>
        <v>6000000</v>
      </c>
      <c r="S15" s="385" cm="1">
        <f t="array" aca="1" ref="S15" ca="1">IF($F15&gt;CDS.Tenor,"-",flatInterpolation(Q15,INDIRECT(HazardRateTimes),INDIRECT(HazardRateValues)))</f>
        <v>5.0000000000000001E-3</v>
      </c>
      <c r="T15" s="348">
        <f t="shared" ca="1" si="9"/>
        <v>0.98634409946704449</v>
      </c>
      <c r="U15" s="348">
        <f t="shared" ca="1" si="10"/>
        <v>1.2337010268373971E-3</v>
      </c>
      <c r="V15" s="372" cm="1">
        <f t="array" ref="V15">IF($Q15&gt;CDS.Tenor,"-",cubicInterpolation(CurveResults.Times,CurveResults.DFs,$F15))</f>
        <v>0.8880077026997103</v>
      </c>
      <c r="W15" s="373">
        <f t="shared" ca="1" si="11"/>
        <v>6573.2160879609037</v>
      </c>
    </row>
    <row r="16" spans="2:26" x14ac:dyDescent="0.3">
      <c r="B16" s="116" t="s">
        <v>117</v>
      </c>
      <c r="D16" s="152">
        <f>D9/10000</f>
        <v>0.01</v>
      </c>
      <c r="F16" s="370">
        <f t="shared" si="0"/>
        <v>3</v>
      </c>
      <c r="G16" s="371">
        <f t="shared" si="1"/>
        <v>-25000</v>
      </c>
      <c r="H16" s="385" cm="1">
        <f t="array" aca="1" ref="H16" ca="1">IF($F16&gt;CDS.Tenor,"-",flatInterpolation(F16,INDIRECT(HazardRateTimes),INDIRECT(HazardRateValues)))</f>
        <v>5.0000000000000001E-3</v>
      </c>
      <c r="I16" s="348">
        <f t="shared" ca="1" si="2"/>
        <v>0.9851119396030632</v>
      </c>
      <c r="J16" s="348">
        <f t="shared" ca="1" si="3"/>
        <v>1.2321598639812859E-3</v>
      </c>
      <c r="K16" s="372" cm="1">
        <f t="array" ref="K16">IF($F16&gt;CDS.Tenor,"-",cubicInterpolation(CurveResults.Times,CurveResults.DFs,$F16))</f>
        <v>0.87931148332785924</v>
      </c>
      <c r="L16" s="371">
        <f t="shared" ca="1" si="4"/>
        <v>-21655.506021408852</v>
      </c>
      <c r="M16" s="371">
        <f t="shared" ca="1" si="5"/>
        <v>-13.543153971180473</v>
      </c>
      <c r="N16" s="373">
        <f t="shared" ca="1" si="6"/>
        <v>-21669.049175380031</v>
      </c>
      <c r="Q16" s="370">
        <f t="shared" si="7"/>
        <v>3</v>
      </c>
      <c r="R16" s="371">
        <f t="shared" si="8"/>
        <v>6000000</v>
      </c>
      <c r="S16" s="385" cm="1">
        <f t="array" aca="1" ref="S16" ca="1">IF($F16&gt;CDS.Tenor,"-",flatInterpolation(Q16,INDIRECT(HazardRateTimes),INDIRECT(HazardRateValues)))</f>
        <v>5.0000000000000001E-3</v>
      </c>
      <c r="T16" s="348">
        <f t="shared" ca="1" si="9"/>
        <v>0.9851119396030632</v>
      </c>
      <c r="U16" s="348">
        <f t="shared" ca="1" si="10"/>
        <v>1.2321598639812859E-3</v>
      </c>
      <c r="V16" s="372" cm="1">
        <f t="array" ref="V16">IF($Q16&gt;CDS.Tenor,"-",cubicInterpolation(CurveResults.Times,CurveResults.DFs,$F16))</f>
        <v>0.87931148332785924</v>
      </c>
      <c r="W16" s="373">
        <f t="shared" ca="1" si="11"/>
        <v>6500.7139061666267</v>
      </c>
    </row>
    <row r="17" spans="2:23" x14ac:dyDescent="0.3">
      <c r="B17" s="112" t="s">
        <v>118</v>
      </c>
      <c r="C17" s="113"/>
      <c r="D17" s="153">
        <v>0.25</v>
      </c>
      <c r="F17" s="370">
        <f t="shared" si="0"/>
        <v>3.25</v>
      </c>
      <c r="G17" s="371">
        <f t="shared" si="1"/>
        <v>-25000</v>
      </c>
      <c r="H17" s="385" cm="1">
        <f t="array" aca="1" ref="H17" ca="1">IF($F17&gt;CDS.Tenor,"-",flatInterpolation(F17,INDIRECT(HazardRateTimes),INDIRECT(HazardRateValues)))</f>
        <v>5.0000000000000001E-3</v>
      </c>
      <c r="I17" s="348">
        <f t="shared" ca="1" si="2"/>
        <v>0.98388131897668796</v>
      </c>
      <c r="J17" s="348">
        <f t="shared" ca="1" si="3"/>
        <v>1.2306206263752451E-3</v>
      </c>
      <c r="K17" s="372" cm="1">
        <f t="array" ref="K17">IF($F17&gt;CDS.Tenor,"-",cubicInterpolation(CurveResults.Times,CurveResults.DFs,$F17))</f>
        <v>0.87078171535403615</v>
      </c>
      <c r="L17" s="371">
        <f t="shared" ca="1" si="4"/>
        <v>-21418.646566082796</v>
      </c>
      <c r="M17" s="371">
        <f t="shared" ca="1" si="5"/>
        <v>-13.395024249813678</v>
      </c>
      <c r="N17" s="373">
        <f t="shared" ca="1" si="6"/>
        <v>-21432.04159033261</v>
      </c>
      <c r="Q17" s="370">
        <f t="shared" si="7"/>
        <v>3.25</v>
      </c>
      <c r="R17" s="371">
        <f t="shared" si="8"/>
        <v>6000000</v>
      </c>
      <c r="S17" s="385" cm="1">
        <f t="array" aca="1" ref="S17" ca="1">IF($F17&gt;CDS.Tenor,"-",flatInterpolation(Q17,INDIRECT(HazardRateTimes),INDIRECT(HazardRateValues)))</f>
        <v>5.0000000000000001E-3</v>
      </c>
      <c r="T17" s="348">
        <f t="shared" ca="1" si="9"/>
        <v>0.98388131897668796</v>
      </c>
      <c r="U17" s="348">
        <f t="shared" ca="1" si="10"/>
        <v>1.2306206263752451E-3</v>
      </c>
      <c r="V17" s="372" cm="1">
        <f t="array" ref="V17">IF($Q17&gt;CDS.Tenor,"-",cubicInterpolation(CurveResults.Times,CurveResults.DFs,$F17))</f>
        <v>0.87078171535403615</v>
      </c>
      <c r="W17" s="373">
        <f t="shared" ca="1" si="11"/>
        <v>6429.6116399105658</v>
      </c>
    </row>
    <row r="18" spans="2:23" x14ac:dyDescent="0.3">
      <c r="F18" s="370">
        <f t="shared" si="0"/>
        <v>3.5</v>
      </c>
      <c r="G18" s="371">
        <f t="shared" si="1"/>
        <v>-25000</v>
      </c>
      <c r="H18" s="385" cm="1">
        <f t="array" aca="1" ref="H18" ca="1">IF($F18&gt;CDS.Tenor,"-",flatInterpolation(F18,INDIRECT(HazardRateTimes),INDIRECT(HazardRateValues)))</f>
        <v>5.0000000000000001E-3</v>
      </c>
      <c r="I18" s="348">
        <f t="shared" ca="1" si="2"/>
        <v>0.98265223566507376</v>
      </c>
      <c r="J18" s="348">
        <f t="shared" ca="1" si="3"/>
        <v>1.2290833116141986E-3</v>
      </c>
      <c r="K18" s="372" cm="1">
        <f t="array" ref="K18">IF($F18&gt;CDS.Tenor,"-",cubicInterpolation(CurveResults.Times,CurveResults.DFs,$F18))</f>
        <v>0.86243967475051753</v>
      </c>
      <c r="L18" s="371">
        <f t="shared" ca="1" si="4"/>
        <v>-21186.95686299638</v>
      </c>
      <c r="M18" s="371">
        <f t="shared" ca="1" si="5"/>
        <v>-13.250127643872979</v>
      </c>
      <c r="N18" s="373">
        <f t="shared" ca="1" si="6"/>
        <v>-21200.206990640254</v>
      </c>
      <c r="Q18" s="370">
        <f t="shared" si="7"/>
        <v>3.5</v>
      </c>
      <c r="R18" s="371">
        <f t="shared" si="8"/>
        <v>6000000</v>
      </c>
      <c r="S18" s="385" cm="1">
        <f t="array" aca="1" ref="S18" ca="1">IF($F18&gt;CDS.Tenor,"-",flatInterpolation(Q18,INDIRECT(HazardRateTimes),INDIRECT(HazardRateValues)))</f>
        <v>5.0000000000000001E-3</v>
      </c>
      <c r="T18" s="348">
        <f t="shared" ca="1" si="9"/>
        <v>0.98265223566507376</v>
      </c>
      <c r="U18" s="348">
        <f t="shared" ca="1" si="10"/>
        <v>1.2290833116141986E-3</v>
      </c>
      <c r="V18" s="372" cm="1">
        <f t="array" ref="V18">IF($Q18&gt;CDS.Tenor,"-",cubicInterpolation(CurveResults.Times,CurveResults.DFs,$F18))</f>
        <v>0.86243967475051753</v>
      </c>
      <c r="W18" s="373">
        <f t="shared" ca="1" si="11"/>
        <v>6360.0612690590306</v>
      </c>
    </row>
    <row r="19" spans="2:23" x14ac:dyDescent="0.3">
      <c r="B19" s="1" t="s">
        <v>122</v>
      </c>
      <c r="F19" s="370">
        <f t="shared" si="0"/>
        <v>3.75</v>
      </c>
      <c r="G19" s="371">
        <f t="shared" si="1"/>
        <v>-25000</v>
      </c>
      <c r="H19" s="385" cm="1">
        <f t="array" aca="1" ref="H19" ca="1">IF($F19&gt;CDS.Tenor,"-",flatInterpolation(F19,INDIRECT(HazardRateTimes),INDIRECT(HazardRateValues)))</f>
        <v>5.0000000000000001E-3</v>
      </c>
      <c r="I19" s="348">
        <f t="shared" ca="1" si="2"/>
        <v>0.98142468774777769</v>
      </c>
      <c r="J19" s="348">
        <f t="shared" ca="1" si="3"/>
        <v>1.2275479172960679E-3</v>
      </c>
      <c r="K19" s="372" cm="1">
        <f t="array" ref="K19">IF($F19&gt;CDS.Tenor,"-",cubicInterpolation(CurveResults.Times,CurveResults.DFs,$F19))</f>
        <v>0.85424590030706427</v>
      </c>
      <c r="L19" s="371">
        <f t="shared" ca="1" si="4"/>
        <v>-20959.450399216992</v>
      </c>
      <c r="M19" s="371">
        <f t="shared" ca="1" si="5"/>
        <v>-13.107847197258016</v>
      </c>
      <c r="N19" s="373">
        <f t="shared" ca="1" si="6"/>
        <v>-20972.55824641425</v>
      </c>
      <c r="Q19" s="370">
        <f t="shared" si="7"/>
        <v>3.75</v>
      </c>
      <c r="R19" s="371">
        <f t="shared" si="8"/>
        <v>6000000</v>
      </c>
      <c r="S19" s="385" cm="1">
        <f t="array" aca="1" ref="S19" ca="1">IF($F19&gt;CDS.Tenor,"-",flatInterpolation(Q19,INDIRECT(HazardRateTimes),INDIRECT(HazardRateValues)))</f>
        <v>5.0000000000000001E-3</v>
      </c>
      <c r="T19" s="348">
        <f t="shared" ca="1" si="9"/>
        <v>0.98142468774777769</v>
      </c>
      <c r="U19" s="348">
        <f t="shared" ca="1" si="10"/>
        <v>1.2275479172960679E-3</v>
      </c>
      <c r="V19" s="372" cm="1">
        <f t="array" ref="V19">IF($Q19&gt;CDS.Tenor,"-",cubicInterpolation(CurveResults.Times,CurveResults.DFs,$F19))</f>
        <v>0.85424590030706427</v>
      </c>
      <c r="W19" s="373">
        <f t="shared" ca="1" si="11"/>
        <v>6291.7666546838473</v>
      </c>
    </row>
    <row r="20" spans="2:23" x14ac:dyDescent="0.3">
      <c r="B20" s="114" t="s">
        <v>123</v>
      </c>
      <c r="C20" s="159"/>
      <c r="D20" s="378">
        <f ca="1">SUM(D21:D22)</f>
        <v>-309783.32054167008</v>
      </c>
      <c r="F20" s="370">
        <f t="shared" si="0"/>
        <v>4</v>
      </c>
      <c r="G20" s="371">
        <f t="shared" si="1"/>
        <v>-25000</v>
      </c>
      <c r="H20" s="385" cm="1">
        <f t="array" aca="1" ref="H20" ca="1">IF($F20&gt;CDS.Tenor,"-",flatInterpolation(F20,INDIRECT(HazardRateTimes),INDIRECT(HazardRateValues)))</f>
        <v>5.0000000000000001E-3</v>
      </c>
      <c r="I20" s="348">
        <f t="shared" ca="1" si="2"/>
        <v>0.98019867330675592</v>
      </c>
      <c r="J20" s="348">
        <f t="shared" ca="1" si="3"/>
        <v>1.2260144410217722E-3</v>
      </c>
      <c r="K20" s="372" cm="1">
        <f t="array" ref="K20">IF($F20&gt;CDS.Tenor,"-",cubicInterpolation(CurveResults.Times,CurveResults.DFs,$F20))</f>
        <v>0.84616093081343713</v>
      </c>
      <c r="L20" s="371">
        <f t="shared" ca="1" si="4"/>
        <v>-20735.145544683521</v>
      </c>
      <c r="M20" s="371">
        <f t="shared" ca="1" si="5"/>
        <v>-12.967569007571232</v>
      </c>
      <c r="N20" s="373">
        <f t="shared" ca="1" si="6"/>
        <v>-20748.113113691092</v>
      </c>
      <c r="Q20" s="370">
        <f t="shared" si="7"/>
        <v>4</v>
      </c>
      <c r="R20" s="371">
        <f t="shared" si="8"/>
        <v>6000000</v>
      </c>
      <c r="S20" s="385" cm="1">
        <f t="array" aca="1" ref="S20" ca="1">IF($F20&gt;CDS.Tenor,"-",flatInterpolation(Q20,INDIRECT(HazardRateTimes),INDIRECT(HazardRateValues)))</f>
        <v>5.0000000000000001E-3</v>
      </c>
      <c r="T20" s="348">
        <f t="shared" ca="1" si="9"/>
        <v>0.98019867330675592</v>
      </c>
      <c r="U20" s="348">
        <f t="shared" ca="1" si="10"/>
        <v>1.2260144410217722E-3</v>
      </c>
      <c r="V20" s="372" cm="1">
        <f t="array" ref="V20">IF($Q20&gt;CDS.Tenor,"-",cubicInterpolation(CurveResults.Times,CurveResults.DFs,$F20))</f>
        <v>0.84616093081343713</v>
      </c>
      <c r="W20" s="373">
        <f t="shared" ca="1" si="11"/>
        <v>6224.4331236341914</v>
      </c>
    </row>
    <row r="21" spans="2:23" x14ac:dyDescent="0.3">
      <c r="B21" s="116" t="s">
        <v>124</v>
      </c>
      <c r="C21" s="160"/>
      <c r="D21" s="379">
        <f ca="1">SUM($N$4:$N$44)</f>
        <v>-442547.5760780765</v>
      </c>
      <c r="F21" s="370">
        <f t="shared" si="0"/>
        <v>4.25</v>
      </c>
      <c r="G21" s="371">
        <f t="shared" si="1"/>
        <v>-25000</v>
      </c>
      <c r="H21" s="385" cm="1">
        <f t="array" aca="1" ref="H21" ca="1">IF($F21&gt;CDS.Tenor,"-",flatInterpolation(F21,INDIRECT(HazardRateTimes),INDIRECT(HazardRateValues)))</f>
        <v>5.0000000000000001E-3</v>
      </c>
      <c r="I21" s="348">
        <f t="shared" ca="1" si="2"/>
        <v>0.97897419042636069</v>
      </c>
      <c r="J21" s="348">
        <f t="shared" ca="1" si="3"/>
        <v>1.2244828803952279E-3</v>
      </c>
      <c r="K21" s="372" cm="1">
        <f t="array" ref="K21">IF($F21&gt;CDS.Tenor,"-",cubicInterpolation(CurveResults.Times,CurveResults.DFs,$F21))</f>
        <v>0.83819214507342643</v>
      </c>
      <c r="L21" s="371">
        <f t="shared" ca="1" si="4"/>
        <v>-20514.211916124808</v>
      </c>
      <c r="M21" s="371">
        <f t="shared" ca="1" si="5"/>
        <v>-12.82939915155205</v>
      </c>
      <c r="N21" s="373">
        <f t="shared" ca="1" si="6"/>
        <v>-20527.041315276361</v>
      </c>
      <c r="Q21" s="370">
        <f t="shared" si="7"/>
        <v>4.25</v>
      </c>
      <c r="R21" s="371">
        <f t="shared" si="8"/>
        <v>6000000</v>
      </c>
      <c r="S21" s="385" cm="1">
        <f t="array" aca="1" ref="S21" ca="1">IF($F21&gt;CDS.Tenor,"-",flatInterpolation(Q21,INDIRECT(HazardRateTimes),INDIRECT(HazardRateValues)))</f>
        <v>5.0000000000000001E-3</v>
      </c>
      <c r="T21" s="348">
        <f t="shared" ca="1" si="9"/>
        <v>0.97897419042636069</v>
      </c>
      <c r="U21" s="348">
        <f t="shared" ca="1" si="10"/>
        <v>1.2244828803952279E-3</v>
      </c>
      <c r="V21" s="372" cm="1">
        <f t="array" ref="V21">IF($Q21&gt;CDS.Tenor,"-",cubicInterpolation(CurveResults.Times,CurveResults.DFs,$F21))</f>
        <v>0.83819214507342643</v>
      </c>
      <c r="W21" s="373">
        <f t="shared" ca="1" si="11"/>
        <v>6158.1115927449837</v>
      </c>
    </row>
    <row r="22" spans="2:23" x14ac:dyDescent="0.3">
      <c r="B22" s="116" t="s">
        <v>125</v>
      </c>
      <c r="C22" s="160"/>
      <c r="D22" s="379">
        <f ca="1">SUM($W$5:$W$44)</f>
        <v>132764.25553640642</v>
      </c>
      <c r="F22" s="370">
        <f t="shared" si="0"/>
        <v>4.5</v>
      </c>
      <c r="G22" s="371">
        <f t="shared" si="1"/>
        <v>-25000</v>
      </c>
      <c r="H22" s="385" cm="1">
        <f t="array" aca="1" ref="H22" ca="1">IF($F22&gt;CDS.Tenor,"-",flatInterpolation(F22,INDIRECT(HazardRateTimes),INDIRECT(HazardRateValues)))</f>
        <v>5.0000000000000001E-3</v>
      </c>
      <c r="I22" s="348">
        <f t="shared" ca="1" si="2"/>
        <v>0.97775123719333712</v>
      </c>
      <c r="J22" s="348">
        <f t="shared" ca="1" si="3"/>
        <v>1.2229532330235715E-3</v>
      </c>
      <c r="K22" s="372" cm="1">
        <f t="array" ref="K22">IF($F22&gt;CDS.Tenor,"-",cubicInterpolation(CurveResults.Times,CurveResults.DFs,$F22))</f>
        <v>0.8303546218014306</v>
      </c>
      <c r="L22" s="371">
        <f t="shared" ca="1" si="4"/>
        <v>-20297.00646938886</v>
      </c>
      <c r="M22" s="371">
        <f t="shared" ca="1" si="5"/>
        <v>-12.693560866101556</v>
      </c>
      <c r="N22" s="373">
        <f t="shared" ca="1" si="6"/>
        <v>-20309.70003025496</v>
      </c>
      <c r="Q22" s="370">
        <f t="shared" si="7"/>
        <v>4.5</v>
      </c>
      <c r="R22" s="371">
        <f t="shared" si="8"/>
        <v>6000000</v>
      </c>
      <c r="S22" s="385" cm="1">
        <f t="array" aca="1" ref="S22" ca="1">IF($F22&gt;CDS.Tenor,"-",flatInterpolation(Q22,INDIRECT(HazardRateTimes),INDIRECT(HazardRateValues)))</f>
        <v>5.0000000000000001E-3</v>
      </c>
      <c r="T22" s="348">
        <f t="shared" ca="1" si="9"/>
        <v>0.97775123719333712</v>
      </c>
      <c r="U22" s="348">
        <f t="shared" ca="1" si="10"/>
        <v>1.2229532330235715E-3</v>
      </c>
      <c r="V22" s="372" cm="1">
        <f t="array" ref="V22">IF($Q22&gt;CDS.Tenor,"-",cubicInterpolation(CurveResults.Times,CurveResults.DFs,$F22))</f>
        <v>0.8303546218014306</v>
      </c>
      <c r="W22" s="373">
        <f t="shared" ca="1" si="11"/>
        <v>6092.9092157287478</v>
      </c>
    </row>
    <row r="23" spans="2:23" x14ac:dyDescent="0.3">
      <c r="B23" s="116" t="s">
        <v>49</v>
      </c>
      <c r="C23" s="160"/>
      <c r="D23" s="380">
        <f ca="1">ABS(CDS.PremiumLegPV/CDS.CreditSpread)</f>
        <v>44254757.607807651</v>
      </c>
      <c r="F23" s="370">
        <f t="shared" si="0"/>
        <v>4.75</v>
      </c>
      <c r="G23" s="371">
        <f t="shared" si="1"/>
        <v>-25000</v>
      </c>
      <c r="H23" s="385" cm="1">
        <f t="array" aca="1" ref="H23" ca="1">IF($F23&gt;CDS.Tenor,"-",flatInterpolation(F23,INDIRECT(HazardRateTimes),INDIRECT(HazardRateValues)))</f>
        <v>5.0000000000000001E-3</v>
      </c>
      <c r="I23" s="348">
        <f t="shared" ca="1" si="2"/>
        <v>0.97652981169682063</v>
      </c>
      <c r="J23" s="348">
        <f t="shared" ca="1" si="3"/>
        <v>1.2214254965164928E-3</v>
      </c>
      <c r="K23" s="372" cm="1">
        <f t="array" ref="K23">IF($F23&gt;CDS.Tenor,"-",cubicInterpolation(CurveResults.Times,CurveResults.DFs,$F23))</f>
        <v>0.82262044965312253</v>
      </c>
      <c r="L23" s="371">
        <f t="shared" ca="1" si="4"/>
        <v>-20082.834819942942</v>
      </c>
      <c r="M23" s="371">
        <f t="shared" ca="1" si="5"/>
        <v>-12.559619889527321</v>
      </c>
      <c r="N23" s="373">
        <f t="shared" ca="1" si="6"/>
        <v>-20095.394439832471</v>
      </c>
      <c r="Q23" s="370">
        <f t="shared" si="7"/>
        <v>4.75</v>
      </c>
      <c r="R23" s="371">
        <f t="shared" si="8"/>
        <v>6000000</v>
      </c>
      <c r="S23" s="385" cm="1">
        <f t="array" aca="1" ref="S23" ca="1">IF($F23&gt;CDS.Tenor,"-",flatInterpolation(Q23,INDIRECT(HazardRateTimes),INDIRECT(HazardRateValues)))</f>
        <v>5.0000000000000001E-3</v>
      </c>
      <c r="T23" s="348">
        <f t="shared" ca="1" si="9"/>
        <v>0.97652981169682063</v>
      </c>
      <c r="U23" s="348">
        <f t="shared" ca="1" si="10"/>
        <v>1.2214254965164928E-3</v>
      </c>
      <c r="V23" s="372" cm="1">
        <f t="array" ref="V23">IF($Q23&gt;CDS.Tenor,"-",cubicInterpolation(CurveResults.Times,CurveResults.DFs,$F23))</f>
        <v>0.82262044965312253</v>
      </c>
      <c r="W23" s="373">
        <f t="shared" ca="1" si="11"/>
        <v>6028.6175469731143</v>
      </c>
    </row>
    <row r="24" spans="2:23" x14ac:dyDescent="0.3">
      <c r="B24" s="116" t="s">
        <v>126</v>
      </c>
      <c r="C24" s="160"/>
      <c r="D24" s="381">
        <f ca="1">D23*0.01%</f>
        <v>4425.4757607807651</v>
      </c>
      <c r="F24" s="370">
        <f t="shared" si="0"/>
        <v>5</v>
      </c>
      <c r="G24" s="371">
        <f t="shared" si="1"/>
        <v>-25000</v>
      </c>
      <c r="H24" s="385" cm="1">
        <f t="array" aca="1" ref="H24" ca="1">IF($F24&gt;CDS.Tenor,"-",flatInterpolation(F24,INDIRECT(HazardRateTimes),INDIRECT(HazardRateValues)))</f>
        <v>5.0000000000000001E-3</v>
      </c>
      <c r="I24" s="348">
        <f t="shared" ca="1" si="2"/>
        <v>0.9753099120283335</v>
      </c>
      <c r="J24" s="348">
        <f t="shared" ca="1" si="3"/>
        <v>1.2198996684871233E-3</v>
      </c>
      <c r="K24" s="372" cm="1">
        <f t="array" ref="K24">IF($F24&gt;CDS.Tenor,"-",cubicInterpolation(CurveResults.Times,CurveResults.DFs,$F24))</f>
        <v>0.81496171728417521</v>
      </c>
      <c r="L24" s="371">
        <f t="shared" ca="1" si="4"/>
        <v>-19871.006019772212</v>
      </c>
      <c r="M24" s="371">
        <f t="shared" ca="1" si="5"/>
        <v>-12.427144109308275</v>
      </c>
      <c r="N24" s="373">
        <f t="shared" ca="1" si="6"/>
        <v>-19883.43316388152</v>
      </c>
      <c r="Q24" s="370">
        <f t="shared" si="7"/>
        <v>5</v>
      </c>
      <c r="R24" s="371">
        <f t="shared" si="8"/>
        <v>6000000</v>
      </c>
      <c r="S24" s="385" cm="1">
        <f t="array" aca="1" ref="S24" ca="1">IF($F24&gt;CDS.Tenor,"-",flatInterpolation(Q24,INDIRECT(HazardRateTimes),INDIRECT(HazardRateValues)))</f>
        <v>5.0000000000000001E-3</v>
      </c>
      <c r="T24" s="348">
        <f t="shared" ca="1" si="9"/>
        <v>0.9753099120283335</v>
      </c>
      <c r="U24" s="348">
        <f t="shared" ca="1" si="10"/>
        <v>1.2198996684871233E-3</v>
      </c>
      <c r="V24" s="372" cm="1">
        <f t="array" ref="V24">IF($Q24&gt;CDS.Tenor,"-",cubicInterpolation(CurveResults.Times,CurveResults.DFs,$F24))</f>
        <v>0.81496171728417521</v>
      </c>
      <c r="W24" s="373">
        <f t="shared" ca="1" si="11"/>
        <v>5965.0291724679719</v>
      </c>
    </row>
    <row r="25" spans="2:23" x14ac:dyDescent="0.3">
      <c r="B25" s="116" t="s">
        <v>110</v>
      </c>
      <c r="C25" s="160"/>
      <c r="D25" s="382">
        <f ca="1">ABS(D22/D23)</f>
        <v>2.9999996093749582E-3</v>
      </c>
      <c r="F25" s="370">
        <f t="shared" si="0"/>
        <v>5.25</v>
      </c>
      <c r="G25" s="371" t="str">
        <f t="shared" si="1"/>
        <v>-</v>
      </c>
      <c r="H25" s="385" t="str" cm="1">
        <f t="array" aca="1" ref="H25" ca="1">IF($F25&gt;CDS.Tenor,"-",flatInterpolation(F25,INDIRECT(HazardRateTimes),INDIRECT(HazardRateValues)))</f>
        <v>-</v>
      </c>
      <c r="I25" s="348" t="str">
        <f t="shared" si="2"/>
        <v>-</v>
      </c>
      <c r="J25" s="348" t="str">
        <f t="shared" si="3"/>
        <v>-</v>
      </c>
      <c r="K25" s="372" t="str" cm="1">
        <f t="array" ref="K25">IF($F25&gt;CDS.Tenor,"-",cubicInterpolation(CurveResults.Times,CurveResults.DFs,$F25))</f>
        <v>-</v>
      </c>
      <c r="L25" s="371" t="str">
        <f t="shared" si="4"/>
        <v>-</v>
      </c>
      <c r="M25" s="371" t="str">
        <f t="shared" si="5"/>
        <v>-</v>
      </c>
      <c r="N25" s="373" t="str">
        <f t="shared" si="6"/>
        <v>-</v>
      </c>
      <c r="Q25" s="370">
        <f t="shared" si="7"/>
        <v>5.25</v>
      </c>
      <c r="R25" s="371" t="str">
        <f t="shared" si="8"/>
        <v>-</v>
      </c>
      <c r="S25" s="385" t="str" cm="1">
        <f t="array" aca="1" ref="S25" ca="1">IF($F25&gt;CDS.Tenor,"-",flatInterpolation(Q25,INDIRECT(HazardRateTimes),INDIRECT(HazardRateValues)))</f>
        <v>-</v>
      </c>
      <c r="T25" s="348" t="str">
        <f t="shared" si="9"/>
        <v>-</v>
      </c>
      <c r="U25" s="348" t="str">
        <f t="shared" si="10"/>
        <v>-</v>
      </c>
      <c r="V25" s="372" t="str" cm="1">
        <f t="array" ref="V25">IF($Q25&gt;CDS.Tenor,"-",cubicInterpolation(CurveResults.Times,CurveResults.DFs,$F25))</f>
        <v>-</v>
      </c>
      <c r="W25" s="373" t="str">
        <f t="shared" si="11"/>
        <v>-</v>
      </c>
    </row>
    <row r="26" spans="2:23" x14ac:dyDescent="0.3">
      <c r="B26" s="112" t="s">
        <v>67</v>
      </c>
      <c r="C26" s="161"/>
      <c r="D26" s="383">
        <f ca="1">D25*10000</f>
        <v>29.999996093749584</v>
      </c>
      <c r="F26" s="370">
        <f t="shared" si="0"/>
        <v>5.5</v>
      </c>
      <c r="G26" s="371" t="str">
        <f t="shared" si="1"/>
        <v>-</v>
      </c>
      <c r="H26" s="385" t="str" cm="1">
        <f t="array" aca="1" ref="H26" ca="1">IF($F26&gt;CDS.Tenor,"-",flatInterpolation(F26,INDIRECT(HazardRateTimes),INDIRECT(HazardRateValues)))</f>
        <v>-</v>
      </c>
      <c r="I26" s="348" t="str">
        <f t="shared" si="2"/>
        <v>-</v>
      </c>
      <c r="J26" s="348" t="str">
        <f t="shared" si="3"/>
        <v>-</v>
      </c>
      <c r="K26" s="372" t="str" cm="1">
        <f t="array" ref="K26">IF($F26&gt;CDS.Tenor,"-",cubicInterpolation(CurveResults.Times,CurveResults.DFs,$F26))</f>
        <v>-</v>
      </c>
      <c r="L26" s="371" t="str">
        <f t="shared" si="4"/>
        <v>-</v>
      </c>
      <c r="M26" s="371" t="str">
        <f t="shared" si="5"/>
        <v>-</v>
      </c>
      <c r="N26" s="373" t="str">
        <f t="shared" si="6"/>
        <v>-</v>
      </c>
      <c r="Q26" s="370">
        <f t="shared" si="7"/>
        <v>5.5</v>
      </c>
      <c r="R26" s="371" t="str">
        <f t="shared" si="8"/>
        <v>-</v>
      </c>
      <c r="S26" s="385" t="str" cm="1">
        <f t="array" aca="1" ref="S26" ca="1">IF($F26&gt;CDS.Tenor,"-",flatInterpolation(Q26,INDIRECT(HazardRateTimes),INDIRECT(HazardRateValues)))</f>
        <v>-</v>
      </c>
      <c r="T26" s="348" t="str">
        <f t="shared" si="9"/>
        <v>-</v>
      </c>
      <c r="U26" s="348" t="str">
        <f t="shared" si="10"/>
        <v>-</v>
      </c>
      <c r="V26" s="372" t="str" cm="1">
        <f t="array" ref="V26">IF($Q26&gt;CDS.Tenor,"-",cubicInterpolation(CurveResults.Times,CurveResults.DFs,$F26))</f>
        <v>-</v>
      </c>
      <c r="W26" s="373" t="str">
        <f t="shared" si="11"/>
        <v>-</v>
      </c>
    </row>
    <row r="27" spans="2:23" x14ac:dyDescent="0.3">
      <c r="D27" s="125"/>
      <c r="F27" s="370">
        <f t="shared" si="0"/>
        <v>5.75</v>
      </c>
      <c r="G27" s="371" t="str">
        <f t="shared" si="1"/>
        <v>-</v>
      </c>
      <c r="H27" s="385" t="str" cm="1">
        <f t="array" aca="1" ref="H27" ca="1">IF($F27&gt;CDS.Tenor,"-",flatInterpolation(F27,INDIRECT(HazardRateTimes),INDIRECT(HazardRateValues)))</f>
        <v>-</v>
      </c>
      <c r="I27" s="348" t="str">
        <f t="shared" si="2"/>
        <v>-</v>
      </c>
      <c r="J27" s="348" t="str">
        <f t="shared" si="3"/>
        <v>-</v>
      </c>
      <c r="K27" s="372" t="str" cm="1">
        <f t="array" ref="K27">IF($F27&gt;CDS.Tenor,"-",cubicInterpolation(CurveResults.Times,CurveResults.DFs,$F27))</f>
        <v>-</v>
      </c>
      <c r="L27" s="371" t="str">
        <f t="shared" si="4"/>
        <v>-</v>
      </c>
      <c r="M27" s="371" t="str">
        <f t="shared" si="5"/>
        <v>-</v>
      </c>
      <c r="N27" s="373" t="str">
        <f t="shared" si="6"/>
        <v>-</v>
      </c>
      <c r="Q27" s="370">
        <f t="shared" si="7"/>
        <v>5.75</v>
      </c>
      <c r="R27" s="371" t="str">
        <f t="shared" si="8"/>
        <v>-</v>
      </c>
      <c r="S27" s="385" t="str" cm="1">
        <f t="array" aca="1" ref="S27" ca="1">IF($F27&gt;CDS.Tenor,"-",flatInterpolation(Q27,INDIRECT(HazardRateTimes),INDIRECT(HazardRateValues)))</f>
        <v>-</v>
      </c>
      <c r="T27" s="348" t="str">
        <f t="shared" si="9"/>
        <v>-</v>
      </c>
      <c r="U27" s="348" t="str">
        <f t="shared" si="10"/>
        <v>-</v>
      </c>
      <c r="V27" s="372" t="str" cm="1">
        <f t="array" ref="V27">IF($Q27&gt;CDS.Tenor,"-",cubicInterpolation(CurveResults.Times,CurveResults.DFs,$F27))</f>
        <v>-</v>
      </c>
      <c r="W27" s="373" t="str">
        <f t="shared" si="11"/>
        <v>-</v>
      </c>
    </row>
    <row r="28" spans="2:23" x14ac:dyDescent="0.3">
      <c r="B28" s="1" t="s">
        <v>340</v>
      </c>
      <c r="F28" s="370">
        <f t="shared" si="0"/>
        <v>6</v>
      </c>
      <c r="G28" s="371" t="str">
        <f t="shared" si="1"/>
        <v>-</v>
      </c>
      <c r="H28" s="385" t="str" cm="1">
        <f t="array" aca="1" ref="H28" ca="1">IF($F28&gt;CDS.Tenor,"-",flatInterpolation(F28,INDIRECT(HazardRateTimes),INDIRECT(HazardRateValues)))</f>
        <v>-</v>
      </c>
      <c r="I28" s="348" t="str">
        <f t="shared" si="2"/>
        <v>-</v>
      </c>
      <c r="J28" s="348" t="str">
        <f t="shared" si="3"/>
        <v>-</v>
      </c>
      <c r="K28" s="372" t="str" cm="1">
        <f t="array" ref="K28">IF($F28&gt;CDS.Tenor,"-",cubicInterpolation(CurveResults.Times,CurveResults.DFs,$F28))</f>
        <v>-</v>
      </c>
      <c r="L28" s="371" t="str">
        <f t="shared" si="4"/>
        <v>-</v>
      </c>
      <c r="M28" s="371" t="str">
        <f t="shared" si="5"/>
        <v>-</v>
      </c>
      <c r="N28" s="373" t="str">
        <f t="shared" si="6"/>
        <v>-</v>
      </c>
      <c r="Q28" s="370">
        <f t="shared" si="7"/>
        <v>6</v>
      </c>
      <c r="R28" s="371" t="str">
        <f t="shared" si="8"/>
        <v>-</v>
      </c>
      <c r="S28" s="385" t="str" cm="1">
        <f t="array" aca="1" ref="S28" ca="1">IF($F28&gt;CDS.Tenor,"-",flatInterpolation(Q28,INDIRECT(HazardRateTimes),INDIRECT(HazardRateValues)))</f>
        <v>-</v>
      </c>
      <c r="T28" s="348" t="str">
        <f t="shared" si="9"/>
        <v>-</v>
      </c>
      <c r="U28" s="348" t="str">
        <f t="shared" si="10"/>
        <v>-</v>
      </c>
      <c r="V28" s="372" t="str" cm="1">
        <f t="array" ref="V28">IF($Q28&gt;CDS.Tenor,"-",cubicInterpolation(CurveResults.Times,CurveResults.DFs,$F28))</f>
        <v>-</v>
      </c>
      <c r="W28" s="373" t="str">
        <f t="shared" si="11"/>
        <v>-</v>
      </c>
    </row>
    <row r="29" spans="2:23" x14ac:dyDescent="0.3">
      <c r="B29" s="339" t="str">
        <f>"Credit Curve "&amp;$D$7</f>
        <v>Credit Curve AAPL</v>
      </c>
      <c r="F29" s="370">
        <f t="shared" si="0"/>
        <v>6.25</v>
      </c>
      <c r="G29" s="371" t="str">
        <f t="shared" si="1"/>
        <v>-</v>
      </c>
      <c r="H29" s="385" t="str" cm="1">
        <f t="array" aca="1" ref="H29" ca="1">IF($F29&gt;CDS.Tenor,"-",flatInterpolation(F29,INDIRECT(HazardRateTimes),INDIRECT(HazardRateValues)))</f>
        <v>-</v>
      </c>
      <c r="I29" s="348" t="str">
        <f t="shared" si="2"/>
        <v>-</v>
      </c>
      <c r="J29" s="348" t="str">
        <f t="shared" si="3"/>
        <v>-</v>
      </c>
      <c r="K29" s="372" t="str" cm="1">
        <f t="array" ref="K29">IF($F29&gt;CDS.Tenor,"-",cubicInterpolation(CurveResults.Times,CurveResults.DFs,$F29))</f>
        <v>-</v>
      </c>
      <c r="L29" s="371" t="str">
        <f t="shared" si="4"/>
        <v>-</v>
      </c>
      <c r="M29" s="371" t="str">
        <f t="shared" si="5"/>
        <v>-</v>
      </c>
      <c r="N29" s="373" t="str">
        <f t="shared" si="6"/>
        <v>-</v>
      </c>
      <c r="Q29" s="370">
        <f t="shared" si="7"/>
        <v>6.25</v>
      </c>
      <c r="R29" s="371" t="str">
        <f t="shared" si="8"/>
        <v>-</v>
      </c>
      <c r="S29" s="385" t="str" cm="1">
        <f t="array" aca="1" ref="S29" ca="1">IF($F29&gt;CDS.Tenor,"-",flatInterpolation(Q29,INDIRECT(HazardRateTimes),INDIRECT(HazardRateValues)))</f>
        <v>-</v>
      </c>
      <c r="T29" s="348" t="str">
        <f t="shared" si="9"/>
        <v>-</v>
      </c>
      <c r="U29" s="348" t="str">
        <f t="shared" si="10"/>
        <v>-</v>
      </c>
      <c r="V29" s="372" t="str" cm="1">
        <f t="array" ref="V29">IF($Q29&gt;CDS.Tenor,"-",cubicInterpolation(CurveResults.Times,CurveResults.DFs,$F29))</f>
        <v>-</v>
      </c>
      <c r="W29" s="373" t="str">
        <f t="shared" si="11"/>
        <v>-</v>
      </c>
    </row>
    <row r="30" spans="2:23" x14ac:dyDescent="0.3">
      <c r="B30" s="339" t="str">
        <f>"'"&amp;CreditCurve&amp;"'!Calibration.Times"</f>
        <v>'Credit Curve AAPL'!Calibration.Times</v>
      </c>
      <c r="F30" s="370">
        <f t="shared" si="0"/>
        <v>6.5</v>
      </c>
      <c r="G30" s="371" t="str">
        <f t="shared" si="1"/>
        <v>-</v>
      </c>
      <c r="H30" s="385" t="str" cm="1">
        <f t="array" aca="1" ref="H30" ca="1">IF($F30&gt;CDS.Tenor,"-",flatInterpolation(F30,INDIRECT(HazardRateTimes),INDIRECT(HazardRateValues)))</f>
        <v>-</v>
      </c>
      <c r="I30" s="348" t="str">
        <f t="shared" si="2"/>
        <v>-</v>
      </c>
      <c r="J30" s="348" t="str">
        <f t="shared" si="3"/>
        <v>-</v>
      </c>
      <c r="K30" s="372" t="str" cm="1">
        <f t="array" ref="K30">IF($F30&gt;CDS.Tenor,"-",cubicInterpolation(CurveResults.Times,CurveResults.DFs,$F30))</f>
        <v>-</v>
      </c>
      <c r="L30" s="371" t="str">
        <f t="shared" si="4"/>
        <v>-</v>
      </c>
      <c r="M30" s="371" t="str">
        <f t="shared" si="5"/>
        <v>-</v>
      </c>
      <c r="N30" s="373" t="str">
        <f t="shared" si="6"/>
        <v>-</v>
      </c>
      <c r="Q30" s="370">
        <f t="shared" si="7"/>
        <v>6.5</v>
      </c>
      <c r="R30" s="371" t="str">
        <f t="shared" si="8"/>
        <v>-</v>
      </c>
      <c r="S30" s="385" t="str" cm="1">
        <f t="array" aca="1" ref="S30" ca="1">IF($F30&gt;CDS.Tenor,"-",flatInterpolation(Q30,INDIRECT(HazardRateTimes),INDIRECT(HazardRateValues)))</f>
        <v>-</v>
      </c>
      <c r="T30" s="348" t="str">
        <f t="shared" si="9"/>
        <v>-</v>
      </c>
      <c r="U30" s="348" t="str">
        <f t="shared" si="10"/>
        <v>-</v>
      </c>
      <c r="V30" s="372" t="str" cm="1">
        <f t="array" ref="V30">IF($Q30&gt;CDS.Tenor,"-",cubicInterpolation(CurveResults.Times,CurveResults.DFs,$F30))</f>
        <v>-</v>
      </c>
      <c r="W30" s="373" t="str">
        <f t="shared" si="11"/>
        <v>-</v>
      </c>
    </row>
    <row r="31" spans="2:23" x14ac:dyDescent="0.3">
      <c r="B31" s="339" t="str">
        <f>"'"&amp;CreditCurve&amp;"'!Calibration.HazardRates"</f>
        <v>'Credit Curve AAPL'!Calibration.HazardRates</v>
      </c>
      <c r="F31" s="370">
        <f t="shared" si="0"/>
        <v>6.75</v>
      </c>
      <c r="G31" s="371" t="str">
        <f t="shared" si="1"/>
        <v>-</v>
      </c>
      <c r="H31" s="385" t="str" cm="1">
        <f t="array" aca="1" ref="H31" ca="1">IF($F31&gt;CDS.Tenor,"-",flatInterpolation(F31,INDIRECT(HazardRateTimes),INDIRECT(HazardRateValues)))</f>
        <v>-</v>
      </c>
      <c r="I31" s="348" t="str">
        <f t="shared" si="2"/>
        <v>-</v>
      </c>
      <c r="J31" s="348" t="str">
        <f t="shared" si="3"/>
        <v>-</v>
      </c>
      <c r="K31" s="372" t="str" cm="1">
        <f t="array" ref="K31">IF($F31&gt;CDS.Tenor,"-",cubicInterpolation(CurveResults.Times,CurveResults.DFs,$F31))</f>
        <v>-</v>
      </c>
      <c r="L31" s="371" t="str">
        <f t="shared" si="4"/>
        <v>-</v>
      </c>
      <c r="M31" s="371" t="str">
        <f t="shared" si="5"/>
        <v>-</v>
      </c>
      <c r="N31" s="373" t="str">
        <f t="shared" si="6"/>
        <v>-</v>
      </c>
      <c r="Q31" s="370">
        <f t="shared" si="7"/>
        <v>6.75</v>
      </c>
      <c r="R31" s="371" t="str">
        <f t="shared" si="8"/>
        <v>-</v>
      </c>
      <c r="S31" s="385" t="str" cm="1">
        <f t="array" aca="1" ref="S31" ca="1">IF($F31&gt;CDS.Tenor,"-",flatInterpolation(Q31,INDIRECT(HazardRateTimes),INDIRECT(HazardRateValues)))</f>
        <v>-</v>
      </c>
      <c r="T31" s="348" t="str">
        <f t="shared" si="9"/>
        <v>-</v>
      </c>
      <c r="U31" s="348" t="str">
        <f t="shared" si="10"/>
        <v>-</v>
      </c>
      <c r="V31" s="372" t="str" cm="1">
        <f t="array" ref="V31">IF($Q31&gt;CDS.Tenor,"-",cubicInterpolation(CurveResults.Times,CurveResults.DFs,$F31))</f>
        <v>-</v>
      </c>
      <c r="W31" s="373" t="str">
        <f t="shared" si="11"/>
        <v>-</v>
      </c>
    </row>
    <row r="32" spans="2:23" x14ac:dyDescent="0.3">
      <c r="F32" s="370">
        <f t="shared" si="0"/>
        <v>7</v>
      </c>
      <c r="G32" s="371" t="str">
        <f t="shared" si="1"/>
        <v>-</v>
      </c>
      <c r="H32" s="385" t="str" cm="1">
        <f t="array" aca="1" ref="H32" ca="1">IF($F32&gt;CDS.Tenor,"-",flatInterpolation(F32,INDIRECT(HazardRateTimes),INDIRECT(HazardRateValues)))</f>
        <v>-</v>
      </c>
      <c r="I32" s="348" t="str">
        <f t="shared" si="2"/>
        <v>-</v>
      </c>
      <c r="J32" s="348" t="str">
        <f t="shared" si="3"/>
        <v>-</v>
      </c>
      <c r="K32" s="372" t="str" cm="1">
        <f t="array" ref="K32">IF($F32&gt;CDS.Tenor,"-",cubicInterpolation(CurveResults.Times,CurveResults.DFs,$F32))</f>
        <v>-</v>
      </c>
      <c r="L32" s="371" t="str">
        <f t="shared" si="4"/>
        <v>-</v>
      </c>
      <c r="M32" s="371" t="str">
        <f t="shared" si="5"/>
        <v>-</v>
      </c>
      <c r="N32" s="373" t="str">
        <f t="shared" si="6"/>
        <v>-</v>
      </c>
      <c r="Q32" s="370">
        <f t="shared" si="7"/>
        <v>7</v>
      </c>
      <c r="R32" s="371" t="str">
        <f t="shared" si="8"/>
        <v>-</v>
      </c>
      <c r="S32" s="385" t="str" cm="1">
        <f t="array" aca="1" ref="S32" ca="1">IF($F32&gt;CDS.Tenor,"-",flatInterpolation(Q32,INDIRECT(HazardRateTimes),INDIRECT(HazardRateValues)))</f>
        <v>-</v>
      </c>
      <c r="T32" s="348" t="str">
        <f t="shared" si="9"/>
        <v>-</v>
      </c>
      <c r="U32" s="348" t="str">
        <f t="shared" si="10"/>
        <v>-</v>
      </c>
      <c r="V32" s="372" t="str" cm="1">
        <f t="array" ref="V32">IF($Q32&gt;CDS.Tenor,"-",cubicInterpolation(CurveResults.Times,CurveResults.DFs,$F32))</f>
        <v>-</v>
      </c>
      <c r="W32" s="373" t="str">
        <f t="shared" si="11"/>
        <v>-</v>
      </c>
    </row>
    <row r="33" spans="6:23" x14ac:dyDescent="0.3">
      <c r="F33" s="370">
        <f t="shared" si="0"/>
        <v>7.25</v>
      </c>
      <c r="G33" s="371" t="str">
        <f t="shared" si="1"/>
        <v>-</v>
      </c>
      <c r="H33" s="385" t="str" cm="1">
        <f t="array" aca="1" ref="H33" ca="1">IF($F33&gt;CDS.Tenor,"-",flatInterpolation(F33,INDIRECT(HazardRateTimes),INDIRECT(HazardRateValues)))</f>
        <v>-</v>
      </c>
      <c r="I33" s="348" t="str">
        <f t="shared" si="2"/>
        <v>-</v>
      </c>
      <c r="J33" s="348" t="str">
        <f t="shared" si="3"/>
        <v>-</v>
      </c>
      <c r="K33" s="372" t="str" cm="1">
        <f t="array" ref="K33">IF($F33&gt;CDS.Tenor,"-",cubicInterpolation(CurveResults.Times,CurveResults.DFs,$F33))</f>
        <v>-</v>
      </c>
      <c r="L33" s="371" t="str">
        <f t="shared" si="4"/>
        <v>-</v>
      </c>
      <c r="M33" s="371" t="str">
        <f t="shared" si="5"/>
        <v>-</v>
      </c>
      <c r="N33" s="373" t="str">
        <f t="shared" si="6"/>
        <v>-</v>
      </c>
      <c r="Q33" s="370">
        <f t="shared" si="7"/>
        <v>7.25</v>
      </c>
      <c r="R33" s="371" t="str">
        <f t="shared" si="8"/>
        <v>-</v>
      </c>
      <c r="S33" s="385" t="str" cm="1">
        <f t="array" aca="1" ref="S33" ca="1">IF($F33&gt;CDS.Tenor,"-",flatInterpolation(Q33,INDIRECT(HazardRateTimes),INDIRECT(HazardRateValues)))</f>
        <v>-</v>
      </c>
      <c r="T33" s="348" t="str">
        <f t="shared" si="9"/>
        <v>-</v>
      </c>
      <c r="U33" s="348" t="str">
        <f t="shared" si="10"/>
        <v>-</v>
      </c>
      <c r="V33" s="372" t="str" cm="1">
        <f t="array" ref="V33">IF($Q33&gt;CDS.Tenor,"-",cubicInterpolation(CurveResults.Times,CurveResults.DFs,$F33))</f>
        <v>-</v>
      </c>
      <c r="W33" s="373" t="str">
        <f t="shared" si="11"/>
        <v>-</v>
      </c>
    </row>
    <row r="34" spans="6:23" x14ac:dyDescent="0.3">
      <c r="F34" s="370">
        <f t="shared" si="0"/>
        <v>7.5</v>
      </c>
      <c r="G34" s="371" t="str">
        <f t="shared" si="1"/>
        <v>-</v>
      </c>
      <c r="H34" s="385" t="str" cm="1">
        <f t="array" aca="1" ref="H34" ca="1">IF($F34&gt;CDS.Tenor,"-",flatInterpolation(F34,INDIRECT(HazardRateTimes),INDIRECT(HazardRateValues)))</f>
        <v>-</v>
      </c>
      <c r="I34" s="348" t="str">
        <f t="shared" si="2"/>
        <v>-</v>
      </c>
      <c r="J34" s="348" t="str">
        <f t="shared" si="3"/>
        <v>-</v>
      </c>
      <c r="K34" s="372" t="str" cm="1">
        <f t="array" ref="K34">IF($F34&gt;CDS.Tenor,"-",cubicInterpolation(CurveResults.Times,CurveResults.DFs,$F34))</f>
        <v>-</v>
      </c>
      <c r="L34" s="371" t="str">
        <f t="shared" si="4"/>
        <v>-</v>
      </c>
      <c r="M34" s="371" t="str">
        <f t="shared" si="5"/>
        <v>-</v>
      </c>
      <c r="N34" s="373" t="str">
        <f t="shared" si="6"/>
        <v>-</v>
      </c>
      <c r="Q34" s="370">
        <f t="shared" si="7"/>
        <v>7.5</v>
      </c>
      <c r="R34" s="371" t="str">
        <f t="shared" si="8"/>
        <v>-</v>
      </c>
      <c r="S34" s="385" t="str" cm="1">
        <f t="array" aca="1" ref="S34" ca="1">IF($F34&gt;CDS.Tenor,"-",flatInterpolation(Q34,INDIRECT(HazardRateTimes),INDIRECT(HazardRateValues)))</f>
        <v>-</v>
      </c>
      <c r="T34" s="348" t="str">
        <f t="shared" si="9"/>
        <v>-</v>
      </c>
      <c r="U34" s="348" t="str">
        <f t="shared" si="10"/>
        <v>-</v>
      </c>
      <c r="V34" s="372" t="str" cm="1">
        <f t="array" ref="V34">IF($Q34&gt;CDS.Tenor,"-",cubicInterpolation(CurveResults.Times,CurveResults.DFs,$F34))</f>
        <v>-</v>
      </c>
      <c r="W34" s="373" t="str">
        <f t="shared" si="11"/>
        <v>-</v>
      </c>
    </row>
    <row r="35" spans="6:23" x14ac:dyDescent="0.3">
      <c r="F35" s="370">
        <f t="shared" si="0"/>
        <v>7.75</v>
      </c>
      <c r="G35" s="371" t="str">
        <f t="shared" si="1"/>
        <v>-</v>
      </c>
      <c r="H35" s="385" t="str" cm="1">
        <f t="array" aca="1" ref="H35" ca="1">IF($F35&gt;CDS.Tenor,"-",flatInterpolation(F35,INDIRECT(HazardRateTimes),INDIRECT(HazardRateValues)))</f>
        <v>-</v>
      </c>
      <c r="I35" s="348" t="str">
        <f t="shared" si="2"/>
        <v>-</v>
      </c>
      <c r="J35" s="348" t="str">
        <f t="shared" si="3"/>
        <v>-</v>
      </c>
      <c r="K35" s="372" t="str" cm="1">
        <f t="array" ref="K35">IF($F35&gt;CDS.Tenor,"-",cubicInterpolation(CurveResults.Times,CurveResults.DFs,$F35))</f>
        <v>-</v>
      </c>
      <c r="L35" s="371" t="str">
        <f t="shared" si="4"/>
        <v>-</v>
      </c>
      <c r="M35" s="371" t="str">
        <f t="shared" si="5"/>
        <v>-</v>
      </c>
      <c r="N35" s="373" t="str">
        <f t="shared" si="6"/>
        <v>-</v>
      </c>
      <c r="Q35" s="370">
        <f t="shared" si="7"/>
        <v>7.75</v>
      </c>
      <c r="R35" s="371" t="str">
        <f t="shared" si="8"/>
        <v>-</v>
      </c>
      <c r="S35" s="385" t="str" cm="1">
        <f t="array" aca="1" ref="S35" ca="1">IF($F35&gt;CDS.Tenor,"-",flatInterpolation(Q35,INDIRECT(HazardRateTimes),INDIRECT(HazardRateValues)))</f>
        <v>-</v>
      </c>
      <c r="T35" s="348" t="str">
        <f t="shared" si="9"/>
        <v>-</v>
      </c>
      <c r="U35" s="348" t="str">
        <f t="shared" si="10"/>
        <v>-</v>
      </c>
      <c r="V35" s="372" t="str" cm="1">
        <f t="array" ref="V35">IF($Q35&gt;CDS.Tenor,"-",cubicInterpolation(CurveResults.Times,CurveResults.DFs,$F35))</f>
        <v>-</v>
      </c>
      <c r="W35" s="373" t="str">
        <f t="shared" si="11"/>
        <v>-</v>
      </c>
    </row>
    <row r="36" spans="6:23" x14ac:dyDescent="0.3">
      <c r="F36" s="370">
        <f t="shared" si="0"/>
        <v>8</v>
      </c>
      <c r="G36" s="371" t="str">
        <f t="shared" si="1"/>
        <v>-</v>
      </c>
      <c r="H36" s="385" t="str" cm="1">
        <f t="array" aca="1" ref="H36" ca="1">IF($F36&gt;CDS.Tenor,"-",flatInterpolation(F36,INDIRECT(HazardRateTimes),INDIRECT(HazardRateValues)))</f>
        <v>-</v>
      </c>
      <c r="I36" s="348" t="str">
        <f t="shared" si="2"/>
        <v>-</v>
      </c>
      <c r="J36" s="348" t="str">
        <f t="shared" si="3"/>
        <v>-</v>
      </c>
      <c r="K36" s="372" t="str" cm="1">
        <f t="array" ref="K36">IF($F36&gt;CDS.Tenor,"-",cubicInterpolation(CurveResults.Times,CurveResults.DFs,$F36))</f>
        <v>-</v>
      </c>
      <c r="L36" s="371" t="str">
        <f t="shared" si="4"/>
        <v>-</v>
      </c>
      <c r="M36" s="371" t="str">
        <f t="shared" si="5"/>
        <v>-</v>
      </c>
      <c r="N36" s="373" t="str">
        <f t="shared" si="6"/>
        <v>-</v>
      </c>
      <c r="Q36" s="370">
        <f t="shared" si="7"/>
        <v>8</v>
      </c>
      <c r="R36" s="371" t="str">
        <f t="shared" si="8"/>
        <v>-</v>
      </c>
      <c r="S36" s="385" t="str" cm="1">
        <f t="array" aca="1" ref="S36" ca="1">IF($F36&gt;CDS.Tenor,"-",flatInterpolation(Q36,INDIRECT(HazardRateTimes),INDIRECT(HazardRateValues)))</f>
        <v>-</v>
      </c>
      <c r="T36" s="348" t="str">
        <f t="shared" si="9"/>
        <v>-</v>
      </c>
      <c r="U36" s="348" t="str">
        <f t="shared" si="10"/>
        <v>-</v>
      </c>
      <c r="V36" s="372" t="str" cm="1">
        <f t="array" ref="V36">IF($Q36&gt;CDS.Tenor,"-",cubicInterpolation(CurveResults.Times,CurveResults.DFs,$F36))</f>
        <v>-</v>
      </c>
      <c r="W36" s="373" t="str">
        <f t="shared" si="11"/>
        <v>-</v>
      </c>
    </row>
    <row r="37" spans="6:23" x14ac:dyDescent="0.3">
      <c r="F37" s="370">
        <f t="shared" si="0"/>
        <v>8.25</v>
      </c>
      <c r="G37" s="371" t="str">
        <f t="shared" si="1"/>
        <v>-</v>
      </c>
      <c r="H37" s="385" t="str" cm="1">
        <f t="array" aca="1" ref="H37" ca="1">IF($F37&gt;CDS.Tenor,"-",flatInterpolation(F37,INDIRECT(HazardRateTimes),INDIRECT(HazardRateValues)))</f>
        <v>-</v>
      </c>
      <c r="I37" s="348" t="str">
        <f t="shared" si="2"/>
        <v>-</v>
      </c>
      <c r="J37" s="348" t="str">
        <f t="shared" si="3"/>
        <v>-</v>
      </c>
      <c r="K37" s="372" t="str" cm="1">
        <f t="array" ref="K37">IF($F37&gt;CDS.Tenor,"-",cubicInterpolation(CurveResults.Times,CurveResults.DFs,$F37))</f>
        <v>-</v>
      </c>
      <c r="L37" s="371" t="str">
        <f t="shared" si="4"/>
        <v>-</v>
      </c>
      <c r="M37" s="371" t="str">
        <f t="shared" si="5"/>
        <v>-</v>
      </c>
      <c r="N37" s="373" t="str">
        <f t="shared" si="6"/>
        <v>-</v>
      </c>
      <c r="Q37" s="370">
        <f t="shared" si="7"/>
        <v>8.25</v>
      </c>
      <c r="R37" s="371" t="str">
        <f t="shared" si="8"/>
        <v>-</v>
      </c>
      <c r="S37" s="385" t="str" cm="1">
        <f t="array" aca="1" ref="S37" ca="1">IF($F37&gt;CDS.Tenor,"-",flatInterpolation(Q37,INDIRECT(HazardRateTimes),INDIRECT(HazardRateValues)))</f>
        <v>-</v>
      </c>
      <c r="T37" s="348" t="str">
        <f t="shared" si="9"/>
        <v>-</v>
      </c>
      <c r="U37" s="348" t="str">
        <f t="shared" si="10"/>
        <v>-</v>
      </c>
      <c r="V37" s="372" t="str" cm="1">
        <f t="array" ref="V37">IF($Q37&gt;CDS.Tenor,"-",cubicInterpolation(CurveResults.Times,CurveResults.DFs,$F37))</f>
        <v>-</v>
      </c>
      <c r="W37" s="373" t="str">
        <f t="shared" si="11"/>
        <v>-</v>
      </c>
    </row>
    <row r="38" spans="6:23" x14ac:dyDescent="0.3">
      <c r="F38" s="370">
        <f t="shared" si="0"/>
        <v>8.5</v>
      </c>
      <c r="G38" s="371" t="str">
        <f t="shared" si="1"/>
        <v>-</v>
      </c>
      <c r="H38" s="385" t="str" cm="1">
        <f t="array" aca="1" ref="H38" ca="1">IF($F38&gt;CDS.Tenor,"-",flatInterpolation(F38,INDIRECT(HazardRateTimes),INDIRECT(HazardRateValues)))</f>
        <v>-</v>
      </c>
      <c r="I38" s="348" t="str">
        <f t="shared" si="2"/>
        <v>-</v>
      </c>
      <c r="J38" s="348" t="str">
        <f t="shared" si="3"/>
        <v>-</v>
      </c>
      <c r="K38" s="372" t="str" cm="1">
        <f t="array" ref="K38">IF($F38&gt;CDS.Tenor,"-",cubicInterpolation(CurveResults.Times,CurveResults.DFs,$F38))</f>
        <v>-</v>
      </c>
      <c r="L38" s="371" t="str">
        <f t="shared" si="4"/>
        <v>-</v>
      </c>
      <c r="M38" s="371" t="str">
        <f t="shared" si="5"/>
        <v>-</v>
      </c>
      <c r="N38" s="373" t="str">
        <f t="shared" si="6"/>
        <v>-</v>
      </c>
      <c r="Q38" s="370">
        <f t="shared" si="7"/>
        <v>8.5</v>
      </c>
      <c r="R38" s="371" t="str">
        <f t="shared" si="8"/>
        <v>-</v>
      </c>
      <c r="S38" s="385" t="str" cm="1">
        <f t="array" aca="1" ref="S38" ca="1">IF($F38&gt;CDS.Tenor,"-",flatInterpolation(Q38,INDIRECT(HazardRateTimes),INDIRECT(HazardRateValues)))</f>
        <v>-</v>
      </c>
      <c r="T38" s="348" t="str">
        <f t="shared" si="9"/>
        <v>-</v>
      </c>
      <c r="U38" s="348" t="str">
        <f t="shared" si="10"/>
        <v>-</v>
      </c>
      <c r="V38" s="372" t="str" cm="1">
        <f t="array" ref="V38">IF($Q38&gt;CDS.Tenor,"-",cubicInterpolation(CurveResults.Times,CurveResults.DFs,$F38))</f>
        <v>-</v>
      </c>
      <c r="W38" s="373" t="str">
        <f t="shared" si="11"/>
        <v>-</v>
      </c>
    </row>
    <row r="39" spans="6:23" x14ac:dyDescent="0.3">
      <c r="F39" s="370">
        <f t="shared" si="0"/>
        <v>8.75</v>
      </c>
      <c r="G39" s="371" t="str">
        <f t="shared" si="1"/>
        <v>-</v>
      </c>
      <c r="H39" s="385" t="str" cm="1">
        <f t="array" aca="1" ref="H39" ca="1">IF($F39&gt;CDS.Tenor,"-",flatInterpolation(F39,INDIRECT(HazardRateTimes),INDIRECT(HazardRateValues)))</f>
        <v>-</v>
      </c>
      <c r="I39" s="348" t="str">
        <f t="shared" si="2"/>
        <v>-</v>
      </c>
      <c r="J39" s="348" t="str">
        <f t="shared" si="3"/>
        <v>-</v>
      </c>
      <c r="K39" s="372" t="str" cm="1">
        <f t="array" ref="K39">IF($F39&gt;CDS.Tenor,"-",cubicInterpolation(CurveResults.Times,CurveResults.DFs,$F39))</f>
        <v>-</v>
      </c>
      <c r="L39" s="371" t="str">
        <f t="shared" si="4"/>
        <v>-</v>
      </c>
      <c r="M39" s="371" t="str">
        <f t="shared" si="5"/>
        <v>-</v>
      </c>
      <c r="N39" s="373" t="str">
        <f t="shared" si="6"/>
        <v>-</v>
      </c>
      <c r="Q39" s="370">
        <f t="shared" si="7"/>
        <v>8.75</v>
      </c>
      <c r="R39" s="371" t="str">
        <f t="shared" si="8"/>
        <v>-</v>
      </c>
      <c r="S39" s="385" t="str" cm="1">
        <f t="array" aca="1" ref="S39" ca="1">IF($F39&gt;CDS.Tenor,"-",flatInterpolation(Q39,INDIRECT(HazardRateTimes),INDIRECT(HazardRateValues)))</f>
        <v>-</v>
      </c>
      <c r="T39" s="348" t="str">
        <f t="shared" si="9"/>
        <v>-</v>
      </c>
      <c r="U39" s="348" t="str">
        <f t="shared" si="10"/>
        <v>-</v>
      </c>
      <c r="V39" s="372" t="str" cm="1">
        <f t="array" ref="V39">IF($Q39&gt;CDS.Tenor,"-",cubicInterpolation(CurveResults.Times,CurveResults.DFs,$F39))</f>
        <v>-</v>
      </c>
      <c r="W39" s="373" t="str">
        <f t="shared" si="11"/>
        <v>-</v>
      </c>
    </row>
    <row r="40" spans="6:23" x14ac:dyDescent="0.3">
      <c r="F40" s="370">
        <f t="shared" si="0"/>
        <v>9</v>
      </c>
      <c r="G40" s="371" t="str">
        <f t="shared" si="1"/>
        <v>-</v>
      </c>
      <c r="H40" s="385" t="str" cm="1">
        <f t="array" aca="1" ref="H40" ca="1">IF($F40&gt;CDS.Tenor,"-",flatInterpolation(F40,INDIRECT(HazardRateTimes),INDIRECT(HazardRateValues)))</f>
        <v>-</v>
      </c>
      <c r="I40" s="348" t="str">
        <f t="shared" si="2"/>
        <v>-</v>
      </c>
      <c r="J40" s="348" t="str">
        <f t="shared" si="3"/>
        <v>-</v>
      </c>
      <c r="K40" s="372" t="str" cm="1">
        <f t="array" ref="K40">IF($F40&gt;CDS.Tenor,"-",cubicInterpolation(CurveResults.Times,CurveResults.DFs,$F40))</f>
        <v>-</v>
      </c>
      <c r="L40" s="371" t="str">
        <f t="shared" si="4"/>
        <v>-</v>
      </c>
      <c r="M40" s="371" t="str">
        <f t="shared" si="5"/>
        <v>-</v>
      </c>
      <c r="N40" s="373" t="str">
        <f t="shared" si="6"/>
        <v>-</v>
      </c>
      <c r="Q40" s="370">
        <f t="shared" si="7"/>
        <v>9</v>
      </c>
      <c r="R40" s="371" t="str">
        <f t="shared" si="8"/>
        <v>-</v>
      </c>
      <c r="S40" s="385" t="str" cm="1">
        <f t="array" aca="1" ref="S40" ca="1">IF($F40&gt;CDS.Tenor,"-",flatInterpolation(Q40,INDIRECT(HazardRateTimes),INDIRECT(HazardRateValues)))</f>
        <v>-</v>
      </c>
      <c r="T40" s="348" t="str">
        <f t="shared" si="9"/>
        <v>-</v>
      </c>
      <c r="U40" s="348" t="str">
        <f t="shared" si="10"/>
        <v>-</v>
      </c>
      <c r="V40" s="372" t="str" cm="1">
        <f t="array" ref="V40">IF($Q40&gt;CDS.Tenor,"-",cubicInterpolation(CurveResults.Times,CurveResults.DFs,$F40))</f>
        <v>-</v>
      </c>
      <c r="W40" s="373" t="str">
        <f t="shared" si="11"/>
        <v>-</v>
      </c>
    </row>
    <row r="41" spans="6:23" x14ac:dyDescent="0.3">
      <c r="F41" s="370">
        <f t="shared" si="0"/>
        <v>9.25</v>
      </c>
      <c r="G41" s="371" t="str">
        <f t="shared" si="1"/>
        <v>-</v>
      </c>
      <c r="H41" s="385" t="str" cm="1">
        <f t="array" aca="1" ref="H41" ca="1">IF($F41&gt;CDS.Tenor,"-",flatInterpolation(F41,INDIRECT(HazardRateTimes),INDIRECT(HazardRateValues)))</f>
        <v>-</v>
      </c>
      <c r="I41" s="348" t="str">
        <f t="shared" si="2"/>
        <v>-</v>
      </c>
      <c r="J41" s="348" t="str">
        <f t="shared" si="3"/>
        <v>-</v>
      </c>
      <c r="K41" s="372" t="str" cm="1">
        <f t="array" ref="K41">IF($F41&gt;CDS.Tenor,"-",cubicInterpolation(CurveResults.Times,CurveResults.DFs,$F41))</f>
        <v>-</v>
      </c>
      <c r="L41" s="371" t="str">
        <f t="shared" si="4"/>
        <v>-</v>
      </c>
      <c r="M41" s="371" t="str">
        <f t="shared" si="5"/>
        <v>-</v>
      </c>
      <c r="N41" s="373" t="str">
        <f t="shared" si="6"/>
        <v>-</v>
      </c>
      <c r="Q41" s="370">
        <f t="shared" si="7"/>
        <v>9.25</v>
      </c>
      <c r="R41" s="371" t="str">
        <f t="shared" si="8"/>
        <v>-</v>
      </c>
      <c r="S41" s="385" t="str" cm="1">
        <f t="array" aca="1" ref="S41" ca="1">IF($F41&gt;CDS.Tenor,"-",flatInterpolation(Q41,INDIRECT(HazardRateTimes),INDIRECT(HazardRateValues)))</f>
        <v>-</v>
      </c>
      <c r="T41" s="348" t="str">
        <f t="shared" si="9"/>
        <v>-</v>
      </c>
      <c r="U41" s="348" t="str">
        <f t="shared" si="10"/>
        <v>-</v>
      </c>
      <c r="V41" s="372" t="str" cm="1">
        <f t="array" ref="V41">IF($Q41&gt;CDS.Tenor,"-",cubicInterpolation(CurveResults.Times,CurveResults.DFs,$F41))</f>
        <v>-</v>
      </c>
      <c r="W41" s="373" t="str">
        <f t="shared" si="11"/>
        <v>-</v>
      </c>
    </row>
    <row r="42" spans="6:23" x14ac:dyDescent="0.3">
      <c r="F42" s="370">
        <f t="shared" si="0"/>
        <v>9.5</v>
      </c>
      <c r="G42" s="371" t="str">
        <f t="shared" si="1"/>
        <v>-</v>
      </c>
      <c r="H42" s="385" t="str" cm="1">
        <f t="array" aca="1" ref="H42" ca="1">IF($F42&gt;CDS.Tenor,"-",flatInterpolation(F42,INDIRECT(HazardRateTimes),INDIRECT(HazardRateValues)))</f>
        <v>-</v>
      </c>
      <c r="I42" s="348" t="str">
        <f t="shared" si="2"/>
        <v>-</v>
      </c>
      <c r="J42" s="348" t="str">
        <f t="shared" si="3"/>
        <v>-</v>
      </c>
      <c r="K42" s="372" t="str" cm="1">
        <f t="array" ref="K42">IF($F42&gt;CDS.Tenor,"-",cubicInterpolation(CurveResults.Times,CurveResults.DFs,$F42))</f>
        <v>-</v>
      </c>
      <c r="L42" s="371" t="str">
        <f t="shared" si="4"/>
        <v>-</v>
      </c>
      <c r="M42" s="371" t="str">
        <f t="shared" si="5"/>
        <v>-</v>
      </c>
      <c r="N42" s="373" t="str">
        <f t="shared" si="6"/>
        <v>-</v>
      </c>
      <c r="Q42" s="370">
        <f t="shared" si="7"/>
        <v>9.5</v>
      </c>
      <c r="R42" s="371" t="str">
        <f t="shared" si="8"/>
        <v>-</v>
      </c>
      <c r="S42" s="385" t="str" cm="1">
        <f t="array" aca="1" ref="S42" ca="1">IF($F42&gt;CDS.Tenor,"-",flatInterpolation(Q42,INDIRECT(HazardRateTimes),INDIRECT(HazardRateValues)))</f>
        <v>-</v>
      </c>
      <c r="T42" s="348" t="str">
        <f t="shared" si="9"/>
        <v>-</v>
      </c>
      <c r="U42" s="348" t="str">
        <f t="shared" si="10"/>
        <v>-</v>
      </c>
      <c r="V42" s="372" t="str" cm="1">
        <f t="array" ref="V42">IF($Q42&gt;CDS.Tenor,"-",cubicInterpolation(CurveResults.Times,CurveResults.DFs,$F42))</f>
        <v>-</v>
      </c>
      <c r="W42" s="373" t="str">
        <f t="shared" si="11"/>
        <v>-</v>
      </c>
    </row>
    <row r="43" spans="6:23" x14ac:dyDescent="0.3">
      <c r="F43" s="370">
        <f t="shared" si="0"/>
        <v>9.75</v>
      </c>
      <c r="G43" s="371" t="str">
        <f t="shared" si="1"/>
        <v>-</v>
      </c>
      <c r="H43" s="385" t="str" cm="1">
        <f t="array" aca="1" ref="H43" ca="1">IF($F43&gt;CDS.Tenor,"-",flatInterpolation(F43,INDIRECT(HazardRateTimes),INDIRECT(HazardRateValues)))</f>
        <v>-</v>
      </c>
      <c r="I43" s="348" t="str">
        <f t="shared" si="2"/>
        <v>-</v>
      </c>
      <c r="J43" s="348" t="str">
        <f t="shared" si="3"/>
        <v>-</v>
      </c>
      <c r="K43" s="372" t="str" cm="1">
        <f t="array" ref="K43">IF($F43&gt;CDS.Tenor,"-",cubicInterpolation(CurveResults.Times,CurveResults.DFs,$F43))</f>
        <v>-</v>
      </c>
      <c r="L43" s="371" t="str">
        <f t="shared" si="4"/>
        <v>-</v>
      </c>
      <c r="M43" s="371" t="str">
        <f t="shared" si="5"/>
        <v>-</v>
      </c>
      <c r="N43" s="373" t="str">
        <f t="shared" si="6"/>
        <v>-</v>
      </c>
      <c r="Q43" s="370">
        <f t="shared" si="7"/>
        <v>9.75</v>
      </c>
      <c r="R43" s="371" t="str">
        <f t="shared" si="8"/>
        <v>-</v>
      </c>
      <c r="S43" s="385" t="str" cm="1">
        <f t="array" aca="1" ref="S43" ca="1">IF($F43&gt;CDS.Tenor,"-",flatInterpolation(Q43,INDIRECT(HazardRateTimes),INDIRECT(HazardRateValues)))</f>
        <v>-</v>
      </c>
      <c r="T43" s="348" t="str">
        <f t="shared" si="9"/>
        <v>-</v>
      </c>
      <c r="U43" s="348" t="str">
        <f t="shared" si="10"/>
        <v>-</v>
      </c>
      <c r="V43" s="372" t="str" cm="1">
        <f t="array" ref="V43">IF($Q43&gt;CDS.Tenor,"-",cubicInterpolation(CurveResults.Times,CurveResults.DFs,$F43))</f>
        <v>-</v>
      </c>
      <c r="W43" s="373" t="str">
        <f t="shared" si="11"/>
        <v>-</v>
      </c>
    </row>
    <row r="44" spans="6:23" x14ac:dyDescent="0.3">
      <c r="F44" s="374">
        <f t="shared" si="0"/>
        <v>10</v>
      </c>
      <c r="G44" s="375" t="str">
        <f t="shared" si="1"/>
        <v>-</v>
      </c>
      <c r="H44" s="386" t="str" cm="1">
        <f t="array" aca="1" ref="H44" ca="1">IF($F44&gt;CDS.Tenor,"-",flatInterpolation(F44,INDIRECT(HazardRateTimes),INDIRECT(HazardRateValues)))</f>
        <v>-</v>
      </c>
      <c r="I44" s="349" t="str">
        <f t="shared" si="2"/>
        <v>-</v>
      </c>
      <c r="J44" s="349" t="str">
        <f t="shared" si="3"/>
        <v>-</v>
      </c>
      <c r="K44" s="376" t="str" cm="1">
        <f t="array" ref="K44">IF($F44&gt;CDS.Tenor,"-",cubicInterpolation(CurveResults.Times,CurveResults.DFs,$F44))</f>
        <v>-</v>
      </c>
      <c r="L44" s="375" t="str">
        <f t="shared" si="4"/>
        <v>-</v>
      </c>
      <c r="M44" s="375" t="str">
        <f t="shared" si="5"/>
        <v>-</v>
      </c>
      <c r="N44" s="377" t="str">
        <f t="shared" si="6"/>
        <v>-</v>
      </c>
      <c r="Q44" s="374">
        <f t="shared" si="7"/>
        <v>10</v>
      </c>
      <c r="R44" s="375" t="str">
        <f t="shared" si="8"/>
        <v>-</v>
      </c>
      <c r="S44" s="386" t="str" cm="1">
        <f t="array" aca="1" ref="S44" ca="1">IF($F44&gt;CDS.Tenor,"-",flatInterpolation(Q44,INDIRECT(HazardRateTimes),INDIRECT(HazardRateValues)))</f>
        <v>-</v>
      </c>
      <c r="T44" s="349" t="str">
        <f t="shared" si="9"/>
        <v>-</v>
      </c>
      <c r="U44" s="349" t="str">
        <f t="shared" si="10"/>
        <v>-</v>
      </c>
      <c r="V44" s="376" t="str" cm="1">
        <f t="array" ref="V44">IF($Q44&gt;CDS.Tenor,"-",cubicInterpolation(CurveResults.Times,CurveResults.DFs,$F44))</f>
        <v>-</v>
      </c>
      <c r="W44" s="377" t="str">
        <f t="shared" si="11"/>
        <v>-</v>
      </c>
    </row>
  </sheetData>
  <dataValidations count="2">
    <dataValidation type="list" allowBlank="1" showInputMessage="1" showErrorMessage="1" sqref="D6" xr:uid="{81AFAF33-EA2B-4038-A6BA-61682DDB7E32}">
      <formula1>"BUY,SELL"</formula1>
    </dataValidation>
    <dataValidation type="list" allowBlank="1" showInputMessage="1" showErrorMessage="1" sqref="D7" xr:uid="{A4BD40D2-A820-42FF-975B-D2BEFDE01C93}">
      <formula1>"AAPL,MSFT,NVDA"</formula1>
    </dataValidation>
  </dataValidations>
  <pageMargins left="0.7" right="0.7" top="0.75" bottom="0.75" header="0.3" footer="0.3"/>
  <headerFooter>
    <oddFooter>&amp;R_x000D_&amp;1#&amp;"Aptos"&amp;10&amp;K008000 [ CLASSIFICAÇÃO: PÚBLICA ]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33075-52D5-48B7-842A-11830B3A7245}">
  <sheetPr codeName="Sheet5">
    <tabColor theme="9" tint="0.39997558519241921"/>
  </sheetPr>
  <dimension ref="B1:HW52"/>
  <sheetViews>
    <sheetView showGridLines="0" tabSelected="1" zoomScaleNormal="100" workbookViewId="0"/>
  </sheetViews>
  <sheetFormatPr defaultRowHeight="14.4" outlineLevelCol="2" x14ac:dyDescent="0.3"/>
  <cols>
    <col min="1" max="1" width="2.77734375" customWidth="1"/>
    <col min="2" max="3" width="12.6640625" customWidth="1"/>
    <col min="4" max="4" width="15.6640625" customWidth="1"/>
    <col min="5" max="5" width="2.77734375" customWidth="1"/>
    <col min="6" max="7" width="12.6640625" customWidth="1"/>
    <col min="8" max="8" width="2.77734375" customWidth="1"/>
    <col min="9" max="10" width="12.6640625" hidden="1" customWidth="1" outlineLevel="1"/>
    <col min="11" max="11" width="15.109375" hidden="1" customWidth="1" outlineLevel="1"/>
    <col min="12" max="12" width="12.6640625" hidden="1" customWidth="1" outlineLevel="1"/>
    <col min="13" max="13" width="14.44140625" hidden="1" customWidth="1" outlineLevel="1"/>
    <col min="14" max="16" width="12.6640625" hidden="1" customWidth="1" outlineLevel="1"/>
    <col min="17" max="17" width="13.33203125" customWidth="1" collapsed="1"/>
    <col min="18" max="18" width="2.77734375" customWidth="1"/>
    <col min="19" max="20" width="12.6640625" hidden="1" customWidth="1" outlineLevel="1"/>
    <col min="21" max="21" width="15.109375" hidden="1" customWidth="1" outlineLevel="1"/>
    <col min="22" max="22" width="12.6640625" hidden="1" customWidth="1" outlineLevel="1"/>
    <col min="23" max="23" width="14.44140625" hidden="1" customWidth="1" outlineLevel="1"/>
    <col min="24" max="24" width="12.6640625" hidden="1" customWidth="1" outlineLevel="1"/>
    <col min="25" max="25" width="13.33203125" customWidth="1" collapsed="1"/>
    <col min="26" max="26" width="2.77734375" customWidth="1"/>
    <col min="27" max="27" width="9.33203125" hidden="1" customWidth="1" outlineLevel="1"/>
    <col min="28" max="28" width="12.6640625" hidden="1" customWidth="1" outlineLevel="1"/>
    <col min="29" max="29" width="15.109375" hidden="1" customWidth="1" outlineLevel="1"/>
    <col min="30" max="31" width="12.6640625" hidden="1" customWidth="1" outlineLevel="1"/>
    <col min="32" max="32" width="9.33203125" hidden="1" customWidth="1" outlineLevel="1"/>
    <col min="33" max="33" width="8.88671875" hidden="1" customWidth="1" outlineLevel="1"/>
    <col min="34" max="34" width="12" hidden="1" customWidth="1" outlineLevel="1"/>
    <col min="35" max="77" width="8.88671875" hidden="1" customWidth="1" outlineLevel="1"/>
    <col min="78" max="78" width="10.77734375" customWidth="1" collapsed="1"/>
    <col min="79" max="79" width="2.77734375" customWidth="1"/>
    <col min="80" max="80" width="12.6640625" hidden="1" customWidth="1" outlineLevel="1"/>
    <col min="81" max="81" width="15.109375" hidden="1" customWidth="1" outlineLevel="1"/>
    <col min="82" max="83" width="12.6640625" hidden="1" customWidth="1" outlineLevel="1"/>
    <col min="84" max="129" width="9.33203125" hidden="1" customWidth="1" outlineLevel="1"/>
    <col min="130" max="130" width="10.77734375" customWidth="1" collapsed="1"/>
    <col min="131" max="131" width="4.77734375" customWidth="1"/>
    <col min="132" max="132" width="12.6640625" hidden="1" customWidth="1" outlineLevel="1"/>
    <col min="133" max="133" width="15.109375" hidden="1" customWidth="1" outlineLevel="1"/>
    <col min="134" max="135" width="12.6640625" hidden="1" customWidth="1" outlineLevel="1"/>
    <col min="136" max="159" width="9.33203125" hidden="1" customWidth="1" outlineLevel="1"/>
    <col min="160" max="181" width="9.33203125" hidden="1" customWidth="1" outlineLevel="2"/>
    <col min="182" max="182" width="10.77734375" customWidth="1" collapsed="1"/>
    <col min="183" max="183" width="2.77734375" customWidth="1"/>
    <col min="184" max="205" width="9.33203125" hidden="1" customWidth="1" outlineLevel="1"/>
    <col min="206" max="206" width="10.77734375" customWidth="1" collapsed="1"/>
    <col min="207" max="207" width="2.77734375" customWidth="1"/>
    <col min="208" max="210" width="12.6640625" hidden="1" customWidth="1" outlineLevel="1"/>
    <col min="211" max="211" width="10.77734375" customWidth="1" collapsed="1"/>
    <col min="212" max="212" width="9.33203125" customWidth="1"/>
  </cols>
  <sheetData>
    <row r="1" spans="2:231" x14ac:dyDescent="0.3">
      <c r="Q1" s="124" t="s">
        <v>111</v>
      </c>
      <c r="R1" s="124"/>
      <c r="Y1" s="124" t="s">
        <v>130</v>
      </c>
      <c r="AG1" s="43"/>
      <c r="AH1" s="43"/>
      <c r="BD1" s="43"/>
      <c r="BZ1" s="39" t="str">
        <f>CreditRef1</f>
        <v>AAPL</v>
      </c>
      <c r="CA1" s="39"/>
      <c r="CH1" s="43"/>
      <c r="DD1" s="43"/>
      <c r="DZ1" s="39" t="str">
        <f>CreditRef2</f>
        <v>MSFT</v>
      </c>
      <c r="EA1" s="39"/>
      <c r="EH1" s="43"/>
      <c r="FD1" s="43"/>
      <c r="FZ1" s="39" t="str">
        <f>CreditRef3</f>
        <v>NVDA</v>
      </c>
      <c r="GA1" s="39"/>
      <c r="GB1" s="43"/>
      <c r="GX1" s="39" t="s">
        <v>349</v>
      </c>
      <c r="GY1" s="39"/>
      <c r="HA1" s="332" t="s">
        <v>360</v>
      </c>
      <c r="HC1" s="39" t="s">
        <v>359</v>
      </c>
      <c r="HD1" s="39"/>
    </row>
    <row r="2" spans="2:231" x14ac:dyDescent="0.3">
      <c r="B2" s="332" t="s">
        <v>322</v>
      </c>
      <c r="F2" s="1" t="s">
        <v>353</v>
      </c>
      <c r="I2" s="1" t="s">
        <v>111</v>
      </c>
      <c r="S2" s="1" t="s">
        <v>130</v>
      </c>
      <c r="AA2" s="124" t="str">
        <f>CreditRef1</f>
        <v>AAPL</v>
      </c>
      <c r="AC2" s="39"/>
      <c r="AD2" s="39"/>
      <c r="AE2" s="39"/>
      <c r="AG2" s="124" t="str">
        <f>CreditRef1</f>
        <v>AAPL</v>
      </c>
      <c r="AH2" s="1" t="s">
        <v>356</v>
      </c>
      <c r="BD2" s="124" t="str">
        <f>CreditRef1</f>
        <v>AAPL</v>
      </c>
      <c r="BE2" s="1" t="s">
        <v>357</v>
      </c>
      <c r="BZ2" s="39"/>
      <c r="CA2" s="39"/>
      <c r="CB2" s="124" t="str">
        <f>CreditRef2</f>
        <v>MSFT</v>
      </c>
      <c r="CC2" s="39"/>
      <c r="CD2" s="39"/>
      <c r="CE2" s="39"/>
      <c r="CG2" s="124" t="str">
        <f>CreditRef2</f>
        <v>MSFT</v>
      </c>
      <c r="CH2" s="1" t="s">
        <v>356</v>
      </c>
      <c r="DD2" s="124" t="str">
        <f>CreditRef2</f>
        <v>MSFT</v>
      </c>
      <c r="DE2" s="1" t="s">
        <v>357</v>
      </c>
      <c r="DZ2" s="39"/>
      <c r="EA2" s="39"/>
      <c r="EB2" s="124" t="str">
        <f>CreditRef3</f>
        <v>NVDA</v>
      </c>
      <c r="EC2" s="39"/>
      <c r="ED2" s="39"/>
      <c r="EE2" s="39"/>
      <c r="EG2" s="124" t="str">
        <f>CreditRef3</f>
        <v>NVDA</v>
      </c>
      <c r="EH2" s="1" t="s">
        <v>356</v>
      </c>
      <c r="FD2" s="124" t="str">
        <f>CreditRef3</f>
        <v>NVDA</v>
      </c>
      <c r="FE2" s="1" t="s">
        <v>357</v>
      </c>
      <c r="GB2" s="124" t="s">
        <v>349</v>
      </c>
      <c r="GC2" s="1" t="s">
        <v>357</v>
      </c>
      <c r="GZ2" s="124" t="s">
        <v>359</v>
      </c>
      <c r="HW2" s="1"/>
    </row>
    <row r="3" spans="2:231" x14ac:dyDescent="0.3">
      <c r="I3" s="41" t="s">
        <v>6</v>
      </c>
      <c r="J3" s="2" t="s">
        <v>2</v>
      </c>
      <c r="K3" s="41" t="s">
        <v>8</v>
      </c>
      <c r="L3" s="41" t="s">
        <v>24</v>
      </c>
      <c r="M3" s="41" t="s">
        <v>134</v>
      </c>
      <c r="N3" s="41" t="s">
        <v>128</v>
      </c>
      <c r="O3" s="41" t="s">
        <v>129</v>
      </c>
      <c r="P3" s="41" t="s">
        <v>28</v>
      </c>
      <c r="S3" s="41" t="s">
        <v>6</v>
      </c>
      <c r="T3" s="2" t="s">
        <v>131</v>
      </c>
      <c r="U3" s="41" t="s">
        <v>8</v>
      </c>
      <c r="V3" s="41" t="s">
        <v>24</v>
      </c>
      <c r="W3" s="41" t="s">
        <v>134</v>
      </c>
      <c r="X3" s="41" t="s">
        <v>28</v>
      </c>
      <c r="AA3" s="41" t="s">
        <v>6</v>
      </c>
      <c r="AB3" s="2" t="s">
        <v>127</v>
      </c>
      <c r="AC3" s="41" t="s">
        <v>8</v>
      </c>
      <c r="AD3" s="41" t="s">
        <v>341</v>
      </c>
      <c r="AE3" s="41" t="s">
        <v>343</v>
      </c>
      <c r="AG3" s="41" t="s">
        <v>345</v>
      </c>
      <c r="AH3" s="345">
        <v>-5</v>
      </c>
      <c r="AI3" s="345">
        <f t="shared" ref="AI3:BB3" si="0">AH3+dm</f>
        <v>-4.5</v>
      </c>
      <c r="AJ3" s="345">
        <f t="shared" si="0"/>
        <v>-4</v>
      </c>
      <c r="AK3" s="345">
        <f t="shared" si="0"/>
        <v>-3.5</v>
      </c>
      <c r="AL3" s="345">
        <f t="shared" si="0"/>
        <v>-3</v>
      </c>
      <c r="AM3" s="345">
        <f t="shared" si="0"/>
        <v>-2.5</v>
      </c>
      <c r="AN3" s="345">
        <f t="shared" si="0"/>
        <v>-2</v>
      </c>
      <c r="AO3" s="345">
        <f t="shared" si="0"/>
        <v>-1.5</v>
      </c>
      <c r="AP3" s="345">
        <f t="shared" si="0"/>
        <v>-1</v>
      </c>
      <c r="AQ3" s="345">
        <f t="shared" si="0"/>
        <v>-0.5</v>
      </c>
      <c r="AR3" s="345">
        <f t="shared" si="0"/>
        <v>0</v>
      </c>
      <c r="AS3" s="345">
        <f t="shared" si="0"/>
        <v>0.5</v>
      </c>
      <c r="AT3" s="345">
        <f t="shared" si="0"/>
        <v>1</v>
      </c>
      <c r="AU3" s="345">
        <f t="shared" si="0"/>
        <v>1.5</v>
      </c>
      <c r="AV3" s="345">
        <f t="shared" si="0"/>
        <v>2</v>
      </c>
      <c r="AW3" s="345">
        <f t="shared" si="0"/>
        <v>2.5</v>
      </c>
      <c r="AX3" s="345">
        <f t="shared" si="0"/>
        <v>3</v>
      </c>
      <c r="AY3" s="345">
        <f t="shared" si="0"/>
        <v>3.5</v>
      </c>
      <c r="AZ3" s="345">
        <f t="shared" si="0"/>
        <v>4</v>
      </c>
      <c r="BA3" s="345">
        <f t="shared" si="0"/>
        <v>4.5</v>
      </c>
      <c r="BB3" s="345">
        <f t="shared" si="0"/>
        <v>5</v>
      </c>
      <c r="BC3" s="345"/>
      <c r="BD3" s="41" t="s">
        <v>345</v>
      </c>
      <c r="BE3" s="345">
        <f t="shared" ref="BE3:BN4" si="1">AH3</f>
        <v>-5</v>
      </c>
      <c r="BF3" s="345">
        <f t="shared" si="1"/>
        <v>-4.5</v>
      </c>
      <c r="BG3" s="345">
        <f t="shared" si="1"/>
        <v>-4</v>
      </c>
      <c r="BH3" s="345">
        <f t="shared" si="1"/>
        <v>-3.5</v>
      </c>
      <c r="BI3" s="345">
        <f t="shared" si="1"/>
        <v>-3</v>
      </c>
      <c r="BJ3" s="345">
        <f t="shared" si="1"/>
        <v>-2.5</v>
      </c>
      <c r="BK3" s="345">
        <f t="shared" si="1"/>
        <v>-2</v>
      </c>
      <c r="BL3" s="345">
        <f t="shared" si="1"/>
        <v>-1.5</v>
      </c>
      <c r="BM3" s="345">
        <f t="shared" si="1"/>
        <v>-1</v>
      </c>
      <c r="BN3" s="345">
        <f t="shared" si="1"/>
        <v>-0.5</v>
      </c>
      <c r="BO3" s="345">
        <f t="shared" ref="BO3:BX4" si="2">AR3</f>
        <v>0</v>
      </c>
      <c r="BP3" s="345">
        <f t="shared" si="2"/>
        <v>0.5</v>
      </c>
      <c r="BQ3" s="345">
        <f t="shared" si="2"/>
        <v>1</v>
      </c>
      <c r="BR3" s="345">
        <f t="shared" si="2"/>
        <v>1.5</v>
      </c>
      <c r="BS3" s="345">
        <f t="shared" si="2"/>
        <v>2</v>
      </c>
      <c r="BT3" s="345">
        <f t="shared" si="2"/>
        <v>2.5</v>
      </c>
      <c r="BU3" s="345">
        <f t="shared" si="2"/>
        <v>3</v>
      </c>
      <c r="BV3" s="345">
        <f t="shared" si="2"/>
        <v>3.5</v>
      </c>
      <c r="BW3" s="345">
        <f t="shared" si="2"/>
        <v>4</v>
      </c>
      <c r="BX3" s="345">
        <f t="shared" si="2"/>
        <v>4.5</v>
      </c>
      <c r="BY3" s="345">
        <f>BB3</f>
        <v>5</v>
      </c>
      <c r="BZ3" s="41"/>
      <c r="CA3" s="41"/>
      <c r="CB3" s="2" t="s">
        <v>127</v>
      </c>
      <c r="CC3" s="41" t="s">
        <v>8</v>
      </c>
      <c r="CD3" s="41" t="s">
        <v>341</v>
      </c>
      <c r="CE3" s="41" t="s">
        <v>343</v>
      </c>
      <c r="CG3" s="41" t="s">
        <v>345</v>
      </c>
      <c r="CH3" s="345">
        <v>-5</v>
      </c>
      <c r="CI3" s="345">
        <f t="shared" ref="CI3:DB3" si="3">CH3+dm</f>
        <v>-4.5</v>
      </c>
      <c r="CJ3" s="345">
        <f t="shared" si="3"/>
        <v>-4</v>
      </c>
      <c r="CK3" s="345">
        <f t="shared" si="3"/>
        <v>-3.5</v>
      </c>
      <c r="CL3" s="345">
        <f t="shared" si="3"/>
        <v>-3</v>
      </c>
      <c r="CM3" s="345">
        <f t="shared" si="3"/>
        <v>-2.5</v>
      </c>
      <c r="CN3" s="345">
        <f t="shared" si="3"/>
        <v>-2</v>
      </c>
      <c r="CO3" s="345">
        <f t="shared" si="3"/>
        <v>-1.5</v>
      </c>
      <c r="CP3" s="345">
        <f t="shared" si="3"/>
        <v>-1</v>
      </c>
      <c r="CQ3" s="345">
        <f t="shared" si="3"/>
        <v>-0.5</v>
      </c>
      <c r="CR3" s="345">
        <f t="shared" si="3"/>
        <v>0</v>
      </c>
      <c r="CS3" s="345">
        <f t="shared" si="3"/>
        <v>0.5</v>
      </c>
      <c r="CT3" s="345">
        <f t="shared" si="3"/>
        <v>1</v>
      </c>
      <c r="CU3" s="345">
        <f t="shared" si="3"/>
        <v>1.5</v>
      </c>
      <c r="CV3" s="345">
        <f t="shared" si="3"/>
        <v>2</v>
      </c>
      <c r="CW3" s="345">
        <f t="shared" si="3"/>
        <v>2.5</v>
      </c>
      <c r="CX3" s="345">
        <f t="shared" si="3"/>
        <v>3</v>
      </c>
      <c r="CY3" s="345">
        <f t="shared" si="3"/>
        <v>3.5</v>
      </c>
      <c r="CZ3" s="345">
        <f t="shared" si="3"/>
        <v>4</v>
      </c>
      <c r="DA3" s="345">
        <f t="shared" si="3"/>
        <v>4.5</v>
      </c>
      <c r="DB3" s="345">
        <f t="shared" si="3"/>
        <v>5</v>
      </c>
      <c r="DC3" s="345"/>
      <c r="DD3" s="41" t="s">
        <v>345</v>
      </c>
      <c r="DE3" s="345">
        <f t="shared" ref="DE3:DE4" si="4">CH3</f>
        <v>-5</v>
      </c>
      <c r="DF3" s="345">
        <f t="shared" ref="DF3:DF4" si="5">CI3</f>
        <v>-4.5</v>
      </c>
      <c r="DG3" s="345">
        <f t="shared" ref="DG3:DG4" si="6">CJ3</f>
        <v>-4</v>
      </c>
      <c r="DH3" s="345">
        <f t="shared" ref="DH3:DH4" si="7">CK3</f>
        <v>-3.5</v>
      </c>
      <c r="DI3" s="345">
        <f t="shared" ref="DI3:DI4" si="8">CL3</f>
        <v>-3</v>
      </c>
      <c r="DJ3" s="345">
        <f t="shared" ref="DJ3:DJ4" si="9">CM3</f>
        <v>-2.5</v>
      </c>
      <c r="DK3" s="345">
        <f t="shared" ref="DK3:DK4" si="10">CN3</f>
        <v>-2</v>
      </c>
      <c r="DL3" s="345">
        <f t="shared" ref="DL3:DL4" si="11">CO3</f>
        <v>-1.5</v>
      </c>
      <c r="DM3" s="345">
        <f t="shared" ref="DM3:DM4" si="12">CP3</f>
        <v>-1</v>
      </c>
      <c r="DN3" s="345">
        <f t="shared" ref="DN3:DN4" si="13">CQ3</f>
        <v>-0.5</v>
      </c>
      <c r="DO3" s="345">
        <f t="shared" ref="DO3:DO4" si="14">CR3</f>
        <v>0</v>
      </c>
      <c r="DP3" s="345">
        <f t="shared" ref="DP3:DP4" si="15">CS3</f>
        <v>0.5</v>
      </c>
      <c r="DQ3" s="345">
        <f t="shared" ref="DQ3:DQ4" si="16">CT3</f>
        <v>1</v>
      </c>
      <c r="DR3" s="345">
        <f t="shared" ref="DR3:DR4" si="17">CU3</f>
        <v>1.5</v>
      </c>
      <c r="DS3" s="345">
        <f t="shared" ref="DS3:DS4" si="18">CV3</f>
        <v>2</v>
      </c>
      <c r="DT3" s="345">
        <f t="shared" ref="DT3:DT4" si="19">CW3</f>
        <v>2.5</v>
      </c>
      <c r="DU3" s="345">
        <f t="shared" ref="DU3:DU4" si="20">CX3</f>
        <v>3</v>
      </c>
      <c r="DV3" s="345">
        <f t="shared" ref="DV3:DV4" si="21">CY3</f>
        <v>3.5</v>
      </c>
      <c r="DW3" s="345">
        <f t="shared" ref="DW3:DW4" si="22">CZ3</f>
        <v>4</v>
      </c>
      <c r="DX3" s="345">
        <f t="shared" ref="DX3:DX4" si="23">DA3</f>
        <v>4.5</v>
      </c>
      <c r="DY3" s="345">
        <f>DB3</f>
        <v>5</v>
      </c>
      <c r="DZ3" s="41"/>
      <c r="EA3" s="41"/>
      <c r="EB3" s="2" t="s">
        <v>127</v>
      </c>
      <c r="EC3" s="41" t="s">
        <v>8</v>
      </c>
      <c r="ED3" s="41" t="s">
        <v>341</v>
      </c>
      <c r="EE3" s="41" t="s">
        <v>342</v>
      </c>
      <c r="EG3" s="41" t="s">
        <v>345</v>
      </c>
      <c r="EH3" s="345">
        <v>-5</v>
      </c>
      <c r="EI3" s="345">
        <f t="shared" ref="EI3:FB3" si="24">EH3+dm</f>
        <v>-4.5</v>
      </c>
      <c r="EJ3" s="345">
        <f t="shared" si="24"/>
        <v>-4</v>
      </c>
      <c r="EK3" s="345">
        <f t="shared" si="24"/>
        <v>-3.5</v>
      </c>
      <c r="EL3" s="345">
        <f t="shared" si="24"/>
        <v>-3</v>
      </c>
      <c r="EM3" s="345">
        <f t="shared" si="24"/>
        <v>-2.5</v>
      </c>
      <c r="EN3" s="345">
        <f t="shared" si="24"/>
        <v>-2</v>
      </c>
      <c r="EO3" s="345">
        <f t="shared" si="24"/>
        <v>-1.5</v>
      </c>
      <c r="EP3" s="345">
        <f t="shared" si="24"/>
        <v>-1</v>
      </c>
      <c r="EQ3" s="345">
        <f t="shared" si="24"/>
        <v>-0.5</v>
      </c>
      <c r="ER3" s="345">
        <f t="shared" si="24"/>
        <v>0</v>
      </c>
      <c r="ES3" s="345">
        <f t="shared" si="24"/>
        <v>0.5</v>
      </c>
      <c r="ET3" s="345">
        <f t="shared" si="24"/>
        <v>1</v>
      </c>
      <c r="EU3" s="345">
        <f t="shared" si="24"/>
        <v>1.5</v>
      </c>
      <c r="EV3" s="345">
        <f t="shared" si="24"/>
        <v>2</v>
      </c>
      <c r="EW3" s="345">
        <f t="shared" si="24"/>
        <v>2.5</v>
      </c>
      <c r="EX3" s="345">
        <f t="shared" si="24"/>
        <v>3</v>
      </c>
      <c r="EY3" s="345">
        <f t="shared" si="24"/>
        <v>3.5</v>
      </c>
      <c r="EZ3" s="345">
        <f t="shared" si="24"/>
        <v>4</v>
      </c>
      <c r="FA3" s="345">
        <f t="shared" si="24"/>
        <v>4.5</v>
      </c>
      <c r="FB3" s="345">
        <f t="shared" si="24"/>
        <v>5</v>
      </c>
      <c r="FC3" s="345"/>
      <c r="FD3" s="41" t="s">
        <v>345</v>
      </c>
      <c r="FE3" s="345">
        <f t="shared" ref="FE3:FE4" si="25">EH3</f>
        <v>-5</v>
      </c>
      <c r="FF3" s="345">
        <f t="shared" ref="FF3:FF4" si="26">EI3</f>
        <v>-4.5</v>
      </c>
      <c r="FG3" s="345">
        <f t="shared" ref="FG3:FG4" si="27">EJ3</f>
        <v>-4</v>
      </c>
      <c r="FH3" s="345">
        <f t="shared" ref="FH3:FH4" si="28">EK3</f>
        <v>-3.5</v>
      </c>
      <c r="FI3" s="345">
        <f t="shared" ref="FI3:FI4" si="29">EL3</f>
        <v>-3</v>
      </c>
      <c r="FJ3" s="345">
        <f t="shared" ref="FJ3:FJ4" si="30">EM3</f>
        <v>-2.5</v>
      </c>
      <c r="FK3" s="345">
        <f t="shared" ref="FK3:FK4" si="31">EN3</f>
        <v>-2</v>
      </c>
      <c r="FL3" s="345">
        <f t="shared" ref="FL3:FL4" si="32">EO3</f>
        <v>-1.5</v>
      </c>
      <c r="FM3" s="345">
        <f t="shared" ref="FM3:FM4" si="33">EP3</f>
        <v>-1</v>
      </c>
      <c r="FN3" s="345">
        <f t="shared" ref="FN3:FN4" si="34">EQ3</f>
        <v>-0.5</v>
      </c>
      <c r="FO3" s="345">
        <f t="shared" ref="FO3:FO4" si="35">ER3</f>
        <v>0</v>
      </c>
      <c r="FP3" s="345">
        <f t="shared" ref="FP3:FP4" si="36">ES3</f>
        <v>0.5</v>
      </c>
      <c r="FQ3" s="345">
        <f t="shared" ref="FQ3:FQ4" si="37">ET3</f>
        <v>1</v>
      </c>
      <c r="FR3" s="345">
        <f t="shared" ref="FR3:FR4" si="38">EU3</f>
        <v>1.5</v>
      </c>
      <c r="FS3" s="345">
        <f t="shared" ref="FS3:FS4" si="39">EV3</f>
        <v>2</v>
      </c>
      <c r="FT3" s="345">
        <f t="shared" ref="FT3:FT4" si="40">EW3</f>
        <v>2.5</v>
      </c>
      <c r="FU3" s="345">
        <f t="shared" ref="FU3:FU4" si="41">EX3</f>
        <v>3</v>
      </c>
      <c r="FV3" s="345">
        <f t="shared" ref="FV3:FV4" si="42">EY3</f>
        <v>3.5</v>
      </c>
      <c r="FW3" s="345">
        <f t="shared" ref="FW3:FW4" si="43">EZ3</f>
        <v>4</v>
      </c>
      <c r="FX3" s="345">
        <f t="shared" ref="FX3:FX4" si="44">FA3</f>
        <v>4.5</v>
      </c>
      <c r="FY3" s="345">
        <f>FB3</f>
        <v>5</v>
      </c>
      <c r="GB3" s="41" t="s">
        <v>345</v>
      </c>
      <c r="GC3" s="345">
        <f>FE3</f>
        <v>-5</v>
      </c>
      <c r="GD3" s="345">
        <f>FF3</f>
        <v>-4.5</v>
      </c>
      <c r="GE3" s="345">
        <f>FG3</f>
        <v>-4</v>
      </c>
      <c r="GF3" s="345">
        <f>FH3</f>
        <v>-3.5</v>
      </c>
      <c r="GG3" s="345">
        <f>FI3</f>
        <v>-3</v>
      </c>
      <c r="GH3" s="345">
        <f>FJ3</f>
        <v>-2.5</v>
      </c>
      <c r="GI3" s="345">
        <f>FK3</f>
        <v>-2</v>
      </c>
      <c r="GJ3" s="345">
        <f>FL3</f>
        <v>-1.5</v>
      </c>
      <c r="GK3" s="345">
        <f>FM3</f>
        <v>-1</v>
      </c>
      <c r="GL3" s="345">
        <f>FN3</f>
        <v>-0.5</v>
      </c>
      <c r="GM3" s="345">
        <f>FO3</f>
        <v>0</v>
      </c>
      <c r="GN3" s="345">
        <f>FP3</f>
        <v>0.5</v>
      </c>
      <c r="GO3" s="345">
        <f>FQ3</f>
        <v>1</v>
      </c>
      <c r="GP3" s="345">
        <f>FR3</f>
        <v>1.5</v>
      </c>
      <c r="GQ3" s="345">
        <f>FS3</f>
        <v>2</v>
      </c>
      <c r="GR3" s="345">
        <f>FT3</f>
        <v>2.5</v>
      </c>
      <c r="GS3" s="345">
        <f>FU3</f>
        <v>3</v>
      </c>
      <c r="GT3" s="345">
        <f>FV3</f>
        <v>3.5</v>
      </c>
      <c r="GU3" s="345">
        <f>FW3</f>
        <v>4</v>
      </c>
      <c r="GV3" s="345">
        <f>FX3</f>
        <v>4.5</v>
      </c>
      <c r="GW3" s="345">
        <f>FY3</f>
        <v>5</v>
      </c>
      <c r="GX3" s="345"/>
      <c r="GY3" s="345"/>
      <c r="HA3" s="42" t="s">
        <v>347</v>
      </c>
      <c r="HB3" s="42" t="s">
        <v>348</v>
      </c>
    </row>
    <row r="4" spans="2:231" x14ac:dyDescent="0.3">
      <c r="F4" s="1" t="s">
        <v>351</v>
      </c>
      <c r="I4" s="17">
        <v>0</v>
      </c>
      <c r="J4" s="117" t="s">
        <v>121</v>
      </c>
      <c r="K4" s="10">
        <v>1</v>
      </c>
      <c r="L4" s="10">
        <v>0</v>
      </c>
      <c r="M4" s="94">
        <v>1</v>
      </c>
      <c r="N4" s="158" t="s">
        <v>121</v>
      </c>
      <c r="O4" s="158" t="s">
        <v>121</v>
      </c>
      <c r="P4" s="117" t="s">
        <v>121</v>
      </c>
      <c r="S4" s="17">
        <v>0</v>
      </c>
      <c r="T4" s="117" t="str">
        <f>"-"</f>
        <v>-</v>
      </c>
      <c r="U4" s="10">
        <v>1</v>
      </c>
      <c r="V4" s="10">
        <v>0</v>
      </c>
      <c r="W4" s="94">
        <v>1</v>
      </c>
      <c r="X4" s="2" t="str">
        <f>"-"</f>
        <v>-</v>
      </c>
      <c r="AA4" s="17">
        <v>0</v>
      </c>
      <c r="AB4" s="117" t="s">
        <v>121</v>
      </c>
      <c r="AC4" s="10">
        <v>1</v>
      </c>
      <c r="AD4" s="10">
        <v>0</v>
      </c>
      <c r="AE4" s="41" t="s">
        <v>342</v>
      </c>
      <c r="AG4" s="346" t="s">
        <v>344</v>
      </c>
      <c r="AH4" s="42">
        <f>_xlfn.NORM.S.DIST(AH3,FALSE)</f>
        <v>1.4867195147342977E-6</v>
      </c>
      <c r="AI4" s="42">
        <f t="shared" ref="AI4:BB4" si="45">_xlfn.NORM.S.DIST(AI3,FALSE)</f>
        <v>1.5983741106905475E-5</v>
      </c>
      <c r="AJ4" s="42">
        <f t="shared" si="45"/>
        <v>1.3383022576488537E-4</v>
      </c>
      <c r="AK4" s="42">
        <f t="shared" si="45"/>
        <v>8.7268269504576015E-4</v>
      </c>
      <c r="AL4" s="42">
        <f t="shared" si="45"/>
        <v>4.4318484119380075E-3</v>
      </c>
      <c r="AM4" s="42">
        <f t="shared" si="45"/>
        <v>1.752830049356854E-2</v>
      </c>
      <c r="AN4" s="42">
        <f t="shared" si="45"/>
        <v>5.3990966513188063E-2</v>
      </c>
      <c r="AO4" s="42">
        <f t="shared" si="45"/>
        <v>0.12951759566589174</v>
      </c>
      <c r="AP4" s="42">
        <f t="shared" si="45"/>
        <v>0.24197072451914337</v>
      </c>
      <c r="AQ4" s="42">
        <f t="shared" si="45"/>
        <v>0.35206532676429952</v>
      </c>
      <c r="AR4" s="42">
        <f t="shared" si="45"/>
        <v>0.3989422804014327</v>
      </c>
      <c r="AS4" s="42">
        <f t="shared" si="45"/>
        <v>0.35206532676429952</v>
      </c>
      <c r="AT4" s="42">
        <f t="shared" si="45"/>
        <v>0.24197072451914337</v>
      </c>
      <c r="AU4" s="42">
        <f t="shared" si="45"/>
        <v>0.12951759566589174</v>
      </c>
      <c r="AV4" s="42">
        <f t="shared" si="45"/>
        <v>5.3990966513188063E-2</v>
      </c>
      <c r="AW4" s="42">
        <f t="shared" si="45"/>
        <v>1.752830049356854E-2</v>
      </c>
      <c r="AX4" s="42">
        <f t="shared" si="45"/>
        <v>4.4318484119380075E-3</v>
      </c>
      <c r="AY4" s="42">
        <f t="shared" si="45"/>
        <v>8.7268269504576015E-4</v>
      </c>
      <c r="AZ4" s="42">
        <f t="shared" si="45"/>
        <v>1.3383022576488537E-4</v>
      </c>
      <c r="BA4" s="42">
        <f t="shared" si="45"/>
        <v>1.5983741106905475E-5</v>
      </c>
      <c r="BB4" s="42">
        <f t="shared" si="45"/>
        <v>1.4867195147342977E-6</v>
      </c>
      <c r="BD4" s="346" t="s">
        <v>344</v>
      </c>
      <c r="BE4" s="42">
        <f t="shared" si="1"/>
        <v>1.4867195147342977E-6</v>
      </c>
      <c r="BF4" s="42">
        <f t="shared" si="1"/>
        <v>1.5983741106905475E-5</v>
      </c>
      <c r="BG4" s="42">
        <f t="shared" si="1"/>
        <v>1.3383022576488537E-4</v>
      </c>
      <c r="BH4" s="42">
        <f t="shared" si="1"/>
        <v>8.7268269504576015E-4</v>
      </c>
      <c r="BI4" s="42">
        <f t="shared" si="1"/>
        <v>4.4318484119380075E-3</v>
      </c>
      <c r="BJ4" s="42">
        <f t="shared" si="1"/>
        <v>1.752830049356854E-2</v>
      </c>
      <c r="BK4" s="42">
        <f t="shared" si="1"/>
        <v>5.3990966513188063E-2</v>
      </c>
      <c r="BL4" s="42">
        <f t="shared" si="1"/>
        <v>0.12951759566589174</v>
      </c>
      <c r="BM4" s="42">
        <f t="shared" si="1"/>
        <v>0.24197072451914337</v>
      </c>
      <c r="BN4" s="42">
        <f t="shared" si="1"/>
        <v>0.35206532676429952</v>
      </c>
      <c r="BO4" s="42">
        <f t="shared" si="2"/>
        <v>0.3989422804014327</v>
      </c>
      <c r="BP4" s="42">
        <f t="shared" si="2"/>
        <v>0.35206532676429952</v>
      </c>
      <c r="BQ4" s="42">
        <f t="shared" si="2"/>
        <v>0.24197072451914337</v>
      </c>
      <c r="BR4" s="42">
        <f t="shared" si="2"/>
        <v>0.12951759566589174</v>
      </c>
      <c r="BS4" s="42">
        <f t="shared" si="2"/>
        <v>5.3990966513188063E-2</v>
      </c>
      <c r="BT4" s="42">
        <f t="shared" si="2"/>
        <v>1.752830049356854E-2</v>
      </c>
      <c r="BU4" s="42">
        <f t="shared" si="2"/>
        <v>4.4318484119380075E-3</v>
      </c>
      <c r="BV4" s="42">
        <f t="shared" si="2"/>
        <v>8.7268269504576015E-4</v>
      </c>
      <c r="BW4" s="42">
        <f t="shared" si="2"/>
        <v>1.3383022576488537E-4</v>
      </c>
      <c r="BX4" s="42">
        <f t="shared" si="2"/>
        <v>1.5983741106905475E-5</v>
      </c>
      <c r="BY4" s="42">
        <f>BB4</f>
        <v>1.4867195147342977E-6</v>
      </c>
      <c r="BZ4" s="41"/>
      <c r="CA4" s="41"/>
      <c r="CB4" s="117" t="s">
        <v>121</v>
      </c>
      <c r="CC4" s="10">
        <v>1</v>
      </c>
      <c r="CD4" s="10">
        <v>0</v>
      </c>
      <c r="CE4" s="41" t="s">
        <v>342</v>
      </c>
      <c r="CG4" s="346" t="s">
        <v>344</v>
      </c>
      <c r="CH4" s="42">
        <f>_xlfn.NORM.S.DIST(CH3,FALSE)</f>
        <v>1.4867195147342977E-6</v>
      </c>
      <c r="CI4" s="42">
        <f t="shared" ref="CI4" si="46">_xlfn.NORM.S.DIST(CI3,FALSE)</f>
        <v>1.5983741106905475E-5</v>
      </c>
      <c r="CJ4" s="42">
        <f t="shared" ref="CJ4" si="47">_xlfn.NORM.S.DIST(CJ3,FALSE)</f>
        <v>1.3383022576488537E-4</v>
      </c>
      <c r="CK4" s="42">
        <f t="shared" ref="CK4" si="48">_xlfn.NORM.S.DIST(CK3,FALSE)</f>
        <v>8.7268269504576015E-4</v>
      </c>
      <c r="CL4" s="42">
        <f t="shared" ref="CL4" si="49">_xlfn.NORM.S.DIST(CL3,FALSE)</f>
        <v>4.4318484119380075E-3</v>
      </c>
      <c r="CM4" s="42">
        <f t="shared" ref="CM4" si="50">_xlfn.NORM.S.DIST(CM3,FALSE)</f>
        <v>1.752830049356854E-2</v>
      </c>
      <c r="CN4" s="42">
        <f t="shared" ref="CN4" si="51">_xlfn.NORM.S.DIST(CN3,FALSE)</f>
        <v>5.3990966513188063E-2</v>
      </c>
      <c r="CO4" s="42">
        <f t="shared" ref="CO4" si="52">_xlfn.NORM.S.DIST(CO3,FALSE)</f>
        <v>0.12951759566589174</v>
      </c>
      <c r="CP4" s="42">
        <f t="shared" ref="CP4" si="53">_xlfn.NORM.S.DIST(CP3,FALSE)</f>
        <v>0.24197072451914337</v>
      </c>
      <c r="CQ4" s="42">
        <f t="shared" ref="CQ4" si="54">_xlfn.NORM.S.DIST(CQ3,FALSE)</f>
        <v>0.35206532676429952</v>
      </c>
      <c r="CR4" s="42">
        <f t="shared" ref="CR4" si="55">_xlfn.NORM.S.DIST(CR3,FALSE)</f>
        <v>0.3989422804014327</v>
      </c>
      <c r="CS4" s="42">
        <f t="shared" ref="CS4" si="56">_xlfn.NORM.S.DIST(CS3,FALSE)</f>
        <v>0.35206532676429952</v>
      </c>
      <c r="CT4" s="42">
        <f t="shared" ref="CT4" si="57">_xlfn.NORM.S.DIST(CT3,FALSE)</f>
        <v>0.24197072451914337</v>
      </c>
      <c r="CU4" s="42">
        <f t="shared" ref="CU4" si="58">_xlfn.NORM.S.DIST(CU3,FALSE)</f>
        <v>0.12951759566589174</v>
      </c>
      <c r="CV4" s="42">
        <f t="shared" ref="CV4" si="59">_xlfn.NORM.S.DIST(CV3,FALSE)</f>
        <v>5.3990966513188063E-2</v>
      </c>
      <c r="CW4" s="42">
        <f t="shared" ref="CW4" si="60">_xlfn.NORM.S.DIST(CW3,FALSE)</f>
        <v>1.752830049356854E-2</v>
      </c>
      <c r="CX4" s="42">
        <f t="shared" ref="CX4" si="61">_xlfn.NORM.S.DIST(CX3,FALSE)</f>
        <v>4.4318484119380075E-3</v>
      </c>
      <c r="CY4" s="42">
        <f t="shared" ref="CY4" si="62">_xlfn.NORM.S.DIST(CY3,FALSE)</f>
        <v>8.7268269504576015E-4</v>
      </c>
      <c r="CZ4" s="42">
        <f t="shared" ref="CZ4" si="63">_xlfn.NORM.S.DIST(CZ3,FALSE)</f>
        <v>1.3383022576488537E-4</v>
      </c>
      <c r="DA4" s="42">
        <f t="shared" ref="DA4" si="64">_xlfn.NORM.S.DIST(DA3,FALSE)</f>
        <v>1.5983741106905475E-5</v>
      </c>
      <c r="DB4" s="42">
        <f t="shared" ref="DB4" si="65">_xlfn.NORM.S.DIST(DB3,FALSE)</f>
        <v>1.4867195147342977E-6</v>
      </c>
      <c r="DD4" s="346" t="s">
        <v>344</v>
      </c>
      <c r="DE4" s="42">
        <f t="shared" si="4"/>
        <v>1.4867195147342977E-6</v>
      </c>
      <c r="DF4" s="42">
        <f t="shared" si="5"/>
        <v>1.5983741106905475E-5</v>
      </c>
      <c r="DG4" s="42">
        <f t="shared" si="6"/>
        <v>1.3383022576488537E-4</v>
      </c>
      <c r="DH4" s="42">
        <f t="shared" si="7"/>
        <v>8.7268269504576015E-4</v>
      </c>
      <c r="DI4" s="42">
        <f t="shared" si="8"/>
        <v>4.4318484119380075E-3</v>
      </c>
      <c r="DJ4" s="42">
        <f t="shared" si="9"/>
        <v>1.752830049356854E-2</v>
      </c>
      <c r="DK4" s="42">
        <f t="shared" si="10"/>
        <v>5.3990966513188063E-2</v>
      </c>
      <c r="DL4" s="42">
        <f t="shared" si="11"/>
        <v>0.12951759566589174</v>
      </c>
      <c r="DM4" s="42">
        <f t="shared" si="12"/>
        <v>0.24197072451914337</v>
      </c>
      <c r="DN4" s="42">
        <f t="shared" si="13"/>
        <v>0.35206532676429952</v>
      </c>
      <c r="DO4" s="42">
        <f t="shared" si="14"/>
        <v>0.3989422804014327</v>
      </c>
      <c r="DP4" s="42">
        <f t="shared" si="15"/>
        <v>0.35206532676429952</v>
      </c>
      <c r="DQ4" s="42">
        <f t="shared" si="16"/>
        <v>0.24197072451914337</v>
      </c>
      <c r="DR4" s="42">
        <f t="shared" si="17"/>
        <v>0.12951759566589174</v>
      </c>
      <c r="DS4" s="42">
        <f t="shared" si="18"/>
        <v>5.3990966513188063E-2</v>
      </c>
      <c r="DT4" s="42">
        <f t="shared" si="19"/>
        <v>1.752830049356854E-2</v>
      </c>
      <c r="DU4" s="42">
        <f t="shared" si="20"/>
        <v>4.4318484119380075E-3</v>
      </c>
      <c r="DV4" s="42">
        <f t="shared" si="21"/>
        <v>8.7268269504576015E-4</v>
      </c>
      <c r="DW4" s="42">
        <f t="shared" si="22"/>
        <v>1.3383022576488537E-4</v>
      </c>
      <c r="DX4" s="42">
        <f t="shared" si="23"/>
        <v>1.5983741106905475E-5</v>
      </c>
      <c r="DY4" s="42">
        <f>DB4</f>
        <v>1.4867195147342977E-6</v>
      </c>
      <c r="DZ4" s="41"/>
      <c r="EA4" s="41"/>
      <c r="EB4" s="117" t="s">
        <v>121</v>
      </c>
      <c r="EC4" s="10">
        <v>1</v>
      </c>
      <c r="ED4" s="10">
        <v>0</v>
      </c>
      <c r="EE4" s="10"/>
      <c r="EG4" s="346" t="s">
        <v>344</v>
      </c>
      <c r="EH4" s="42">
        <f>_xlfn.NORM.S.DIST(EH3,FALSE)</f>
        <v>1.4867195147342977E-6</v>
      </c>
      <c r="EI4" s="42">
        <f t="shared" ref="EI4" si="66">_xlfn.NORM.S.DIST(EI3,FALSE)</f>
        <v>1.5983741106905475E-5</v>
      </c>
      <c r="EJ4" s="42">
        <f t="shared" ref="EJ4" si="67">_xlfn.NORM.S.DIST(EJ3,FALSE)</f>
        <v>1.3383022576488537E-4</v>
      </c>
      <c r="EK4" s="42">
        <f t="shared" ref="EK4" si="68">_xlfn.NORM.S.DIST(EK3,FALSE)</f>
        <v>8.7268269504576015E-4</v>
      </c>
      <c r="EL4" s="42">
        <f t="shared" ref="EL4" si="69">_xlfn.NORM.S.DIST(EL3,FALSE)</f>
        <v>4.4318484119380075E-3</v>
      </c>
      <c r="EM4" s="42">
        <f t="shared" ref="EM4" si="70">_xlfn.NORM.S.DIST(EM3,FALSE)</f>
        <v>1.752830049356854E-2</v>
      </c>
      <c r="EN4" s="42">
        <f t="shared" ref="EN4" si="71">_xlfn.NORM.S.DIST(EN3,FALSE)</f>
        <v>5.3990966513188063E-2</v>
      </c>
      <c r="EO4" s="42">
        <f t="shared" ref="EO4" si="72">_xlfn.NORM.S.DIST(EO3,FALSE)</f>
        <v>0.12951759566589174</v>
      </c>
      <c r="EP4" s="42">
        <f t="shared" ref="EP4" si="73">_xlfn.NORM.S.DIST(EP3,FALSE)</f>
        <v>0.24197072451914337</v>
      </c>
      <c r="EQ4" s="42">
        <f t="shared" ref="EQ4" si="74">_xlfn.NORM.S.DIST(EQ3,FALSE)</f>
        <v>0.35206532676429952</v>
      </c>
      <c r="ER4" s="42">
        <f t="shared" ref="ER4" si="75">_xlfn.NORM.S.DIST(ER3,FALSE)</f>
        <v>0.3989422804014327</v>
      </c>
      <c r="ES4" s="42">
        <f t="shared" ref="ES4" si="76">_xlfn.NORM.S.DIST(ES3,FALSE)</f>
        <v>0.35206532676429952</v>
      </c>
      <c r="ET4" s="42">
        <f t="shared" ref="ET4" si="77">_xlfn.NORM.S.DIST(ET3,FALSE)</f>
        <v>0.24197072451914337</v>
      </c>
      <c r="EU4" s="42">
        <f t="shared" ref="EU4" si="78">_xlfn.NORM.S.DIST(EU3,FALSE)</f>
        <v>0.12951759566589174</v>
      </c>
      <c r="EV4" s="42">
        <f t="shared" ref="EV4" si="79">_xlfn.NORM.S.DIST(EV3,FALSE)</f>
        <v>5.3990966513188063E-2</v>
      </c>
      <c r="EW4" s="42">
        <f t="shared" ref="EW4" si="80">_xlfn.NORM.S.DIST(EW3,FALSE)</f>
        <v>1.752830049356854E-2</v>
      </c>
      <c r="EX4" s="42">
        <f t="shared" ref="EX4" si="81">_xlfn.NORM.S.DIST(EX3,FALSE)</f>
        <v>4.4318484119380075E-3</v>
      </c>
      <c r="EY4" s="42">
        <f t="shared" ref="EY4" si="82">_xlfn.NORM.S.DIST(EY3,FALSE)</f>
        <v>8.7268269504576015E-4</v>
      </c>
      <c r="EZ4" s="42">
        <f t="shared" ref="EZ4" si="83">_xlfn.NORM.S.DIST(EZ3,FALSE)</f>
        <v>1.3383022576488537E-4</v>
      </c>
      <c r="FA4" s="42">
        <f t="shared" ref="FA4" si="84">_xlfn.NORM.S.DIST(FA3,FALSE)</f>
        <v>1.5983741106905475E-5</v>
      </c>
      <c r="FB4" s="42">
        <f t="shared" ref="FB4" si="85">_xlfn.NORM.S.DIST(FB3,FALSE)</f>
        <v>1.4867195147342977E-6</v>
      </c>
      <c r="FD4" s="346" t="s">
        <v>344</v>
      </c>
      <c r="FE4" s="42">
        <f t="shared" si="25"/>
        <v>1.4867195147342977E-6</v>
      </c>
      <c r="FF4" s="42">
        <f t="shared" si="26"/>
        <v>1.5983741106905475E-5</v>
      </c>
      <c r="FG4" s="42">
        <f t="shared" si="27"/>
        <v>1.3383022576488537E-4</v>
      </c>
      <c r="FH4" s="42">
        <f t="shared" si="28"/>
        <v>8.7268269504576015E-4</v>
      </c>
      <c r="FI4" s="42">
        <f t="shared" si="29"/>
        <v>4.4318484119380075E-3</v>
      </c>
      <c r="FJ4" s="42">
        <f t="shared" si="30"/>
        <v>1.752830049356854E-2</v>
      </c>
      <c r="FK4" s="42">
        <f t="shared" si="31"/>
        <v>5.3990966513188063E-2</v>
      </c>
      <c r="FL4" s="42">
        <f t="shared" si="32"/>
        <v>0.12951759566589174</v>
      </c>
      <c r="FM4" s="42">
        <f t="shared" si="33"/>
        <v>0.24197072451914337</v>
      </c>
      <c r="FN4" s="42">
        <f t="shared" si="34"/>
        <v>0.35206532676429952</v>
      </c>
      <c r="FO4" s="42">
        <f t="shared" si="35"/>
        <v>0.3989422804014327</v>
      </c>
      <c r="FP4" s="42">
        <f t="shared" si="36"/>
        <v>0.35206532676429952</v>
      </c>
      <c r="FQ4" s="42">
        <f t="shared" si="37"/>
        <v>0.24197072451914337</v>
      </c>
      <c r="FR4" s="42">
        <f t="shared" si="38"/>
        <v>0.12951759566589174</v>
      </c>
      <c r="FS4" s="42">
        <f t="shared" si="39"/>
        <v>5.3990966513188063E-2</v>
      </c>
      <c r="FT4" s="42">
        <f t="shared" si="40"/>
        <v>1.752830049356854E-2</v>
      </c>
      <c r="FU4" s="42">
        <f t="shared" si="41"/>
        <v>4.4318484119380075E-3</v>
      </c>
      <c r="FV4" s="42">
        <f t="shared" si="42"/>
        <v>8.7268269504576015E-4</v>
      </c>
      <c r="FW4" s="42">
        <f t="shared" si="43"/>
        <v>1.3383022576488537E-4</v>
      </c>
      <c r="FX4" s="42">
        <f t="shared" si="44"/>
        <v>1.5983741106905475E-5</v>
      </c>
      <c r="FY4" s="42">
        <f>FB4</f>
        <v>1.4867195147342977E-6</v>
      </c>
      <c r="GB4" s="346" t="s">
        <v>344</v>
      </c>
      <c r="GC4" s="42">
        <f>FE4</f>
        <v>1.4867195147342977E-6</v>
      </c>
      <c r="GD4" s="42">
        <f>FF4</f>
        <v>1.5983741106905475E-5</v>
      </c>
      <c r="GE4" s="42">
        <f>FG4</f>
        <v>1.3383022576488537E-4</v>
      </c>
      <c r="GF4" s="42">
        <f>FH4</f>
        <v>8.7268269504576015E-4</v>
      </c>
      <c r="GG4" s="42">
        <f>FI4</f>
        <v>4.4318484119380075E-3</v>
      </c>
      <c r="GH4" s="42">
        <f>FJ4</f>
        <v>1.752830049356854E-2</v>
      </c>
      <c r="GI4" s="42">
        <f>FK4</f>
        <v>5.3990966513188063E-2</v>
      </c>
      <c r="GJ4" s="42">
        <f>FL4</f>
        <v>0.12951759566589174</v>
      </c>
      <c r="GK4" s="42">
        <f>FM4</f>
        <v>0.24197072451914337</v>
      </c>
      <c r="GL4" s="42">
        <f>FN4</f>
        <v>0.35206532676429952</v>
      </c>
      <c r="GM4" s="42">
        <f>FO4</f>
        <v>0.3989422804014327</v>
      </c>
      <c r="GN4" s="42">
        <f>FP4</f>
        <v>0.35206532676429952</v>
      </c>
      <c r="GO4" s="42">
        <f>FQ4</f>
        <v>0.24197072451914337</v>
      </c>
      <c r="GP4" s="42">
        <f>FR4</f>
        <v>0.12951759566589174</v>
      </c>
      <c r="GQ4" s="42">
        <f>FS4</f>
        <v>5.3990966513188063E-2</v>
      </c>
      <c r="GR4" s="42">
        <f>FT4</f>
        <v>1.752830049356854E-2</v>
      </c>
      <c r="GS4" s="42">
        <f>FU4</f>
        <v>4.4318484119380075E-3</v>
      </c>
      <c r="GT4" s="42">
        <f>FV4</f>
        <v>8.7268269504576015E-4</v>
      </c>
      <c r="GU4" s="42">
        <f>FW4</f>
        <v>1.3383022576488537E-4</v>
      </c>
      <c r="GV4" s="42">
        <f>FX4</f>
        <v>1.5983741106905475E-5</v>
      </c>
      <c r="GW4" s="42">
        <f>FY4</f>
        <v>1.4867195147342977E-6</v>
      </c>
      <c r="GX4" s="42"/>
      <c r="GY4" s="42"/>
      <c r="GZ4" s="346" t="s">
        <v>156</v>
      </c>
      <c r="HA4" s="10">
        <v>1</v>
      </c>
      <c r="HB4" s="10">
        <v>0</v>
      </c>
    </row>
    <row r="5" spans="2:231" x14ac:dyDescent="0.3">
      <c r="B5" s="1" t="s">
        <v>132</v>
      </c>
      <c r="F5" s="387">
        <v>0.3</v>
      </c>
      <c r="I5" s="366">
        <f t="shared" ref="I5:I44" si="86">I4+YearFraction</f>
        <v>0.25</v>
      </c>
      <c r="J5" s="367">
        <f t="shared" ref="J5:J44" si="87">IF($I5&gt;CDS.Tenor,"-",CDS.PremiumSign*CDS.Notional*CDS.YearFraction*CDS.CreditSpread)</f>
        <v>-25000</v>
      </c>
      <c r="K5" s="347">
        <f t="shared" ref="K5:K44" ca="1" si="88">HA5</f>
        <v>0.99550396388026707</v>
      </c>
      <c r="L5" s="347">
        <f t="shared" ref="L5:L44" ca="1" si="89">IF($I5&gt;CDS.Tenor,"-",K4-K5)</f>
        <v>4.4960361197329268E-3</v>
      </c>
      <c r="M5" s="368" cm="1">
        <f t="array" ref="M5">IF($I5&gt;CDS.Tenor,"-",cubicInterpolation(CurveResults.Times,CurveResults.DFs,$I5))</f>
        <v>0.98868042001719347</v>
      </c>
      <c r="N5" s="367">
        <f t="shared" ref="N5:N44" ca="1" si="90">IF($I5&gt;CDS.Tenor,"-",J5*K5*M5)</f>
        <v>-24605.881928448089</v>
      </c>
      <c r="O5" s="367">
        <f t="shared" ref="O5:O44" ca="1" si="91">IF($I5&gt;CDS.Tenor,"-",0.5*J5*L5*M5)</f>
        <v>-55.564285990875284</v>
      </c>
      <c r="P5" s="369">
        <f t="shared" ref="P5:P44" ca="1" si="92">IF($I5&gt;CDS.Tenor,"-",N5+O5)</f>
        <v>-24661.446214438965</v>
      </c>
      <c r="S5" s="366">
        <f t="shared" ref="S5:S44" si="93">S4+YearFraction</f>
        <v>0.25</v>
      </c>
      <c r="T5" s="367">
        <f t="shared" ref="T5:T44" si="94">IF($I5&gt;CDS.Tenor,"-",CDS.ProtectionSign*CDS.Notional*(1-CDS.RecoveryRate))</f>
        <v>6000000</v>
      </c>
      <c r="U5" s="347">
        <f ca="1">IF($I5&gt;CDS.Tenor,"-",HA5)</f>
        <v>0.99550396388026707</v>
      </c>
      <c r="V5" s="347">
        <f t="shared" ref="V5:V44" ca="1" si="95">IF($I5&gt;CDS.Tenor,"-",U4-U5)</f>
        <v>4.4960361197329268E-3</v>
      </c>
      <c r="W5" s="368" cm="1">
        <f t="array" ref="W5">IF($S5&gt;CDS.Tenor,"-",cubicInterpolation(CurveResults.Times,CurveResults.DFs,$I5))</f>
        <v>0.98868042001719347</v>
      </c>
      <c r="X5" s="369">
        <f t="shared" ref="X5:X44" ca="1" si="96">IF($I5&gt;CDS.Tenor,"-",T5*V5*W5)</f>
        <v>26670.857275620139</v>
      </c>
      <c r="AA5" s="357">
        <f t="shared" ref="AA5:AA44" si="97">AA4+YearFraction</f>
        <v>0.25</v>
      </c>
      <c r="AB5" s="342" cm="1">
        <f t="array" aca="1" ref="AB5" ca="1">IF($AA5&gt;CDS.Tenor,"-",flatInterpolation(Z5,INDIRECT(HazardRateTimes1),INDIRECT(HazardRateValues1)))</f>
        <v>5.0000000000000001E-3</v>
      </c>
      <c r="AC5" s="132">
        <f t="shared" ref="AC5:AC44" ca="1" si="98">IF($AA5&gt;CDS.Tenor,"-",EXP(-AB5*YearFraction)*AC4)</f>
        <v>0.99875078092458092</v>
      </c>
      <c r="AD5" s="132">
        <f t="shared" ref="AD5:AD44" ca="1" si="99">IF($AA5&gt;CDS.Tenor,"-",1-AC5)</f>
        <v>1.2492190754190835E-3</v>
      </c>
      <c r="AE5" s="80">
        <f t="shared" ref="AE5:AE44" ca="1" si="100">IF($AA5&gt;CDS.Tenor,"-",NORMSINV(AD5))</f>
        <v>-3.023530533768839</v>
      </c>
      <c r="AF5" s="17"/>
      <c r="AG5" s="357">
        <f t="shared" ref="AG5:AG44" si="101">$AA5</f>
        <v>0.25</v>
      </c>
      <c r="AH5" s="351">
        <f t="shared" ref="AH5:AQ14" ca="1" si="102">IF($AA5&gt;CDS.Tenor,"-",_xlfn.NORM.S.DIST(($AE5-SQRT(ImpliedCorrelation)*AH$3)/SQRT(1-ImpliedCorrelation),TRUE))</f>
        <v>0.36672425926150887</v>
      </c>
      <c r="AI5" s="351">
        <f t="shared" ca="1" si="102"/>
        <v>0.25210871165322374</v>
      </c>
      <c r="AJ5" s="351">
        <f t="shared" ca="1" si="102"/>
        <v>0.15982059200187482</v>
      </c>
      <c r="AK5" s="351">
        <f t="shared" ca="1" si="102"/>
        <v>9.2997136383288478E-2</v>
      </c>
      <c r="AL5" s="351">
        <f t="shared" ca="1" si="102"/>
        <v>4.9486893238562167E-2</v>
      </c>
      <c r="AM5" s="351">
        <f t="shared" ca="1" si="102"/>
        <v>2.4010868690196467E-2</v>
      </c>
      <c r="AN5" s="351">
        <f t="shared" ca="1" si="102"/>
        <v>1.0597216170061657E-2</v>
      </c>
      <c r="AO5" s="351">
        <f t="shared" ca="1" si="102"/>
        <v>4.24632117934388E-3</v>
      </c>
      <c r="AP5" s="351">
        <f t="shared" ca="1" si="102"/>
        <v>1.5424118612935613E-3</v>
      </c>
      <c r="AQ5" s="351">
        <f t="shared" ca="1" si="102"/>
        <v>5.0723383724095782E-4</v>
      </c>
      <c r="AR5" s="351">
        <f t="shared" ref="AR5:BB14" ca="1" si="103">IF($AA5&gt;CDS.Tenor,"-",_xlfn.NORM.S.DIST(($AE5-SQRT(ImpliedCorrelation)*AR$3)/SQRT(1-ImpliedCorrelation),TRUE))</f>
        <v>1.5086499059420758E-4</v>
      </c>
      <c r="AS5" s="351">
        <f t="shared" ca="1" si="103"/>
        <v>4.0548139594211358E-5</v>
      </c>
      <c r="AT5" s="351">
        <f t="shared" ca="1" si="103"/>
        <v>9.8411851319931108E-6</v>
      </c>
      <c r="AU5" s="351">
        <f t="shared" ca="1" si="103"/>
        <v>2.1555563895818848E-6</v>
      </c>
      <c r="AV5" s="351">
        <f t="shared" ca="1" si="103"/>
        <v>4.2588129118935207E-7</v>
      </c>
      <c r="AW5" s="351">
        <f t="shared" ca="1" si="103"/>
        <v>7.5866361342917899E-8</v>
      </c>
      <c r="AX5" s="351">
        <f t="shared" ca="1" si="103"/>
        <v>1.2180989101177412E-8</v>
      </c>
      <c r="AY5" s="351">
        <f t="shared" ca="1" si="103"/>
        <v>1.7621854490447275E-9</v>
      </c>
      <c r="AZ5" s="351">
        <f t="shared" ca="1" si="103"/>
        <v>2.2963489869119606E-10</v>
      </c>
      <c r="BA5" s="351">
        <f t="shared" ca="1" si="103"/>
        <v>2.6948721306858962E-11</v>
      </c>
      <c r="BB5" s="352">
        <f t="shared" ca="1" si="103"/>
        <v>2.8474890410083806E-12</v>
      </c>
      <c r="BC5" s="17"/>
      <c r="BD5" s="357">
        <f t="shared" ref="BD5:BD44" si="104">$AA5</f>
        <v>0.25</v>
      </c>
      <c r="BE5" s="351">
        <f t="shared" ref="BE5:BE44" ca="1" si="105">IF($AA5&gt;CDS.Tenor,"-",1-AH5)</f>
        <v>0.63327574073849113</v>
      </c>
      <c r="BF5" s="351">
        <f t="shared" ref="BF5:BF44" ca="1" si="106">IF($AA5&gt;CDS.Tenor,"-",1-AI5)</f>
        <v>0.74789128834677632</v>
      </c>
      <c r="BG5" s="351">
        <f t="shared" ref="BG5:BG44" ca="1" si="107">IF($AA5&gt;CDS.Tenor,"-",1-AJ5)</f>
        <v>0.84017940799812518</v>
      </c>
      <c r="BH5" s="351">
        <f t="shared" ref="BH5:BH44" ca="1" si="108">IF($AA5&gt;CDS.Tenor,"-",1-AK5)</f>
        <v>0.90700286361671156</v>
      </c>
      <c r="BI5" s="351">
        <f t="shared" ref="BI5:BI44" ca="1" si="109">IF($AA5&gt;CDS.Tenor,"-",1-AL5)</f>
        <v>0.95051310676143785</v>
      </c>
      <c r="BJ5" s="351">
        <f t="shared" ref="BJ5:BJ44" ca="1" si="110">IF($AA5&gt;CDS.Tenor,"-",1-AM5)</f>
        <v>0.97598913130980358</v>
      </c>
      <c r="BK5" s="351">
        <f t="shared" ref="BK5:BK44" ca="1" si="111">IF($AA5&gt;CDS.Tenor,"-",1-AN5)</f>
        <v>0.98940278382993829</v>
      </c>
      <c r="BL5" s="351">
        <f t="shared" ref="BL5:BL44" ca="1" si="112">IF($AA5&gt;CDS.Tenor,"-",1-AO5)</f>
        <v>0.99575367882065613</v>
      </c>
      <c r="BM5" s="351">
        <f t="shared" ref="BM5:BM44" ca="1" si="113">IF($AA5&gt;CDS.Tenor,"-",1-AP5)</f>
        <v>0.99845758813870644</v>
      </c>
      <c r="BN5" s="351">
        <f t="shared" ref="BN5:BN44" ca="1" si="114">IF($AA5&gt;CDS.Tenor,"-",1-AQ5)</f>
        <v>0.99949276616275906</v>
      </c>
      <c r="BO5" s="351">
        <f t="shared" ref="BO5:BO44" ca="1" si="115">IF($AA5&gt;CDS.Tenor,"-",1-AR5)</f>
        <v>0.99984913500940575</v>
      </c>
      <c r="BP5" s="351">
        <f t="shared" ref="BP5:BP44" ca="1" si="116">IF($AA5&gt;CDS.Tenor,"-",1-AS5)</f>
        <v>0.9999594518604058</v>
      </c>
      <c r="BQ5" s="351">
        <f t="shared" ref="BQ5:BQ44" ca="1" si="117">IF($AA5&gt;CDS.Tenor,"-",1-AT5)</f>
        <v>0.99999015881486797</v>
      </c>
      <c r="BR5" s="351">
        <f t="shared" ref="BR5:BR44" ca="1" si="118">IF($AA5&gt;CDS.Tenor,"-",1-AU5)</f>
        <v>0.9999978444436104</v>
      </c>
      <c r="BS5" s="351">
        <f t="shared" ref="BS5:BS44" ca="1" si="119">IF($AA5&gt;CDS.Tenor,"-",1-AV5)</f>
        <v>0.99999957411870877</v>
      </c>
      <c r="BT5" s="351">
        <f t="shared" ref="BT5:BT44" ca="1" si="120">IF($AA5&gt;CDS.Tenor,"-",1-AW5)</f>
        <v>0.9999999241336387</v>
      </c>
      <c r="BU5" s="351">
        <f t="shared" ref="BU5:BU44" ca="1" si="121">IF($AA5&gt;CDS.Tenor,"-",1-AX5)</f>
        <v>0.99999998781901089</v>
      </c>
      <c r="BV5" s="351">
        <f t="shared" ref="BV5:BV44" ca="1" si="122">IF($AA5&gt;CDS.Tenor,"-",1-AY5)</f>
        <v>0.9999999982378146</v>
      </c>
      <c r="BW5" s="351">
        <f t="shared" ref="BW5:BW44" ca="1" si="123">IF($AA5&gt;CDS.Tenor,"-",1-AZ5)</f>
        <v>0.99999999977036513</v>
      </c>
      <c r="BX5" s="351">
        <f t="shared" ref="BX5:BX44" ca="1" si="124">IF($AA5&gt;CDS.Tenor,"-",1-BA5)</f>
        <v>0.99999999997305122</v>
      </c>
      <c r="BY5" s="352">
        <f t="shared" ref="BY5:BY44" ca="1" si="125">IF($AA5&gt;CDS.Tenor,"-",1-BB5)</f>
        <v>0.9999999999971525</v>
      </c>
      <c r="BZ5" s="17"/>
      <c r="CA5" s="17"/>
      <c r="CB5" s="342" cm="1">
        <f t="array" aca="1" ref="CB5" ca="1">IF($AA5&gt;CDS.Tenor,"-",flatInterpolation(AA5,INDIRECT(HazardRateTimes2),INDIRECT(HazardRateValues2)))</f>
        <v>5.8333333333333336E-3</v>
      </c>
      <c r="CC5" s="132">
        <f t="shared" ref="CC5:CC44" ca="1" si="126">IF($AA5&gt;CDS.Tenor,"-",EXP(-CB5*YearFraction)*CC4)</f>
        <v>0.99854272951799561</v>
      </c>
      <c r="CD5" s="132">
        <f t="shared" ref="CD5:CD44" ca="1" si="127">IF($AA5&gt;CDS.Tenor,"-",1-CC5)</f>
        <v>1.4572704820043914E-3</v>
      </c>
      <c r="CE5" s="80">
        <f t="shared" ref="CE5:CE44" ca="1" si="128">IF($AA5&gt;CDS.Tenor,"-",NORMSINV(CD5))</f>
        <v>-2.9766104306213141</v>
      </c>
      <c r="CF5" s="17"/>
      <c r="CG5" s="357">
        <f t="shared" ref="CG5:CG44" si="129">$AA5</f>
        <v>0.25</v>
      </c>
      <c r="CH5" s="351">
        <f ca="1">IF($AA5&gt;CDS.Tenor,"-",_xlfn.NORM.S.DIST(($CE5-SQRT(ImpliedCorrelation)*CH$3)/SQRT(1-ImpliedCorrelation),TRUE))</f>
        <v>0.3880283319534662</v>
      </c>
      <c r="CI5" s="351">
        <f ca="1">IF($AA5&gt;CDS.Tenor,"-",_xlfn.NORM.S.DIST(($CE5-SQRT(ImpliedCorrelation)*CI$3)/SQRT(1-ImpliedCorrelation),TRUE))</f>
        <v>0.27033887370416004</v>
      </c>
      <c r="CJ5" s="351">
        <f ca="1">IF($AA5&gt;CDS.Tenor,"-",_xlfn.NORM.S.DIST(($CE5-SQRT(ImpliedCorrelation)*CJ$3)/SQRT(1-ImpliedCorrelation),TRUE))</f>
        <v>0.1738357844134093</v>
      </c>
      <c r="CK5" s="351">
        <f ca="1">IF($AA5&gt;CDS.Tenor,"-",_xlfn.NORM.S.DIST(($CE5-SQRT(ImpliedCorrelation)*CK$3)/SQRT(1-ImpliedCorrelation),TRUE))</f>
        <v>0.10267742353329196</v>
      </c>
      <c r="CL5" s="351">
        <f ca="1">IF($AA5&gt;CDS.Tenor,"-",_xlfn.NORM.S.DIST(($CE5-SQRT(ImpliedCorrelation)*CL$3)/SQRT(1-ImpliedCorrelation),TRUE))</f>
        <v>5.5493899086948177E-2</v>
      </c>
      <c r="CM5" s="351">
        <f ca="1">IF($AA5&gt;CDS.Tenor,"-",_xlfn.NORM.S.DIST(($CE5-SQRT(ImpliedCorrelation)*CM$3)/SQRT(1-ImpliedCorrelation),TRUE))</f>
        <v>2.735981747949941E-2</v>
      </c>
      <c r="CN5" s="351">
        <f ca="1">IF($AA5&gt;CDS.Tenor,"-",_xlfn.NORM.S.DIST(($CE5-SQRT(ImpliedCorrelation)*CN$3)/SQRT(1-ImpliedCorrelation),TRUE))</f>
        <v>1.2274627581552138E-2</v>
      </c>
      <c r="CO5" s="351">
        <f ca="1">IF($AA5&gt;CDS.Tenor,"-",_xlfn.NORM.S.DIST(($CE5-SQRT(ImpliedCorrelation)*CO$3)/SQRT(1-ImpliedCorrelation),TRUE))</f>
        <v>5.0011549329944498E-3</v>
      </c>
      <c r="CP5" s="351">
        <f ca="1">IF($AA5&gt;CDS.Tenor,"-",_xlfn.NORM.S.DIST(($CE5-SQRT(ImpliedCorrelation)*CP$3)/SQRT(1-ImpliedCorrelation),TRUE))</f>
        <v>1.8475831419651945E-3</v>
      </c>
      <c r="CQ5" s="351">
        <f ca="1">IF($AA5&gt;CDS.Tenor,"-",_xlfn.NORM.S.DIST(($CE5-SQRT(ImpliedCorrelation)*CQ$3)/SQRT(1-ImpliedCorrelation),TRUE))</f>
        <v>6.1807897158071463E-4</v>
      </c>
      <c r="CR5" s="351">
        <f ca="1">IF($AA5&gt;CDS.Tenor,"-",_xlfn.NORM.S.DIST(($CE5-SQRT(ImpliedCorrelation)*CR$3)/SQRT(1-ImpliedCorrelation),TRUE))</f>
        <v>1.8703679966130618E-4</v>
      </c>
      <c r="CS5" s="351">
        <f ca="1">IF($AA5&gt;CDS.Tenor,"-",_xlfn.NORM.S.DIST(($CE5-SQRT(ImpliedCorrelation)*CS$3)/SQRT(1-ImpliedCorrelation),TRUE))</f>
        <v>5.115298746909302E-5</v>
      </c>
      <c r="CT5" s="351">
        <f ca="1">IF($AA5&gt;CDS.Tenor,"-",_xlfn.NORM.S.DIST(($CE5-SQRT(ImpliedCorrelation)*CT$3)/SQRT(1-ImpliedCorrelation),TRUE))</f>
        <v>1.263449598737504E-5</v>
      </c>
      <c r="CU5" s="351">
        <f ca="1">IF($AA5&gt;CDS.Tenor,"-",_xlfn.NORM.S.DIST(($CE5-SQRT(ImpliedCorrelation)*CU$3)/SQRT(1-ImpliedCorrelation),TRUE))</f>
        <v>2.8165765466950584E-6</v>
      </c>
      <c r="CV5" s="351">
        <f ca="1">IF($AA5&gt;CDS.Tenor,"-",_xlfn.NORM.S.DIST(($CE5-SQRT(ImpliedCorrelation)*CV$3)/SQRT(1-ImpliedCorrelation),TRUE))</f>
        <v>5.664183108266091E-7</v>
      </c>
      <c r="CW5" s="351">
        <f ca="1">IF($AA5&gt;CDS.Tenor,"-",_xlfn.NORM.S.DIST(($CE5-SQRT(ImpliedCorrelation)*CW$3)/SQRT(1-ImpliedCorrelation),TRUE))</f>
        <v>1.0271037009905734E-7</v>
      </c>
      <c r="CX5" s="351">
        <f ca="1">IF($AA5&gt;CDS.Tenor,"-",_xlfn.NORM.S.DIST(($CE5-SQRT(ImpliedCorrelation)*CX$3)/SQRT(1-ImpliedCorrelation),TRUE))</f>
        <v>1.6787632496961466E-8</v>
      </c>
      <c r="CY5" s="351">
        <f ca="1">IF($AA5&gt;CDS.Tenor,"-",_xlfn.NORM.S.DIST(($CE5-SQRT(ImpliedCorrelation)*CY$3)/SQRT(1-ImpliedCorrelation),TRUE))</f>
        <v>2.4724209889681051E-9</v>
      </c>
      <c r="CZ5" s="351">
        <f ca="1">IF($AA5&gt;CDS.Tenor,"-",_xlfn.NORM.S.DIST(($CE5-SQRT(ImpliedCorrelation)*CZ$3)/SQRT(1-ImpliedCorrelation),TRUE))</f>
        <v>3.2801353148129374E-10</v>
      </c>
      <c r="DA5" s="351">
        <f ca="1">IF($AA5&gt;CDS.Tenor,"-",_xlfn.NORM.S.DIST(($CE5-SQRT(ImpliedCorrelation)*DA$3)/SQRT(1-ImpliedCorrelation),TRUE))</f>
        <v>3.9191492519421646E-11</v>
      </c>
      <c r="DB5" s="352">
        <f ca="1">IF($AA5&gt;CDS.Tenor,"-",_xlfn.NORM.S.DIST(($CE5-SQRT(ImpliedCorrelation)*DB$3)/SQRT(1-ImpliedCorrelation),TRUE))</f>
        <v>4.2162866738188278E-12</v>
      </c>
      <c r="DC5" s="17"/>
      <c r="DD5" s="357">
        <f t="shared" ref="DD5:DD44" si="130">$AA5</f>
        <v>0.25</v>
      </c>
      <c r="DE5" s="351">
        <f t="shared" ref="DE5:DE44" ca="1" si="131">IF($AA5&gt;CDS.Tenor,"-",1-CH5)</f>
        <v>0.6119716680465338</v>
      </c>
      <c r="DF5" s="351">
        <f t="shared" ref="DF5:DF44" ca="1" si="132">IF($AA5&gt;CDS.Tenor,"-",1-CI5)</f>
        <v>0.7296611262958399</v>
      </c>
      <c r="DG5" s="351">
        <f t="shared" ref="DG5:DG44" ca="1" si="133">IF($AA5&gt;CDS.Tenor,"-",1-CJ5)</f>
        <v>0.8261642155865907</v>
      </c>
      <c r="DH5" s="351">
        <f t="shared" ref="DH5:DH44" ca="1" si="134">IF($AA5&gt;CDS.Tenor,"-",1-CK5)</f>
        <v>0.8973225764667081</v>
      </c>
      <c r="DI5" s="351">
        <f t="shared" ref="DI5:DI44" ca="1" si="135">IF($AA5&gt;CDS.Tenor,"-",1-CL5)</f>
        <v>0.94450610091305187</v>
      </c>
      <c r="DJ5" s="351">
        <f t="shared" ref="DJ5:DJ44" ca="1" si="136">IF($AA5&gt;CDS.Tenor,"-",1-CM5)</f>
        <v>0.97264018252050055</v>
      </c>
      <c r="DK5" s="351">
        <f t="shared" ref="DK5:DK44" ca="1" si="137">IF($AA5&gt;CDS.Tenor,"-",1-CN5)</f>
        <v>0.98772537241844782</v>
      </c>
      <c r="DL5" s="351">
        <f t="shared" ref="DL5:DL44" ca="1" si="138">IF($AA5&gt;CDS.Tenor,"-",1-CO5)</f>
        <v>0.99499884506700553</v>
      </c>
      <c r="DM5" s="351">
        <f t="shared" ref="DM5:DM44" ca="1" si="139">IF($AA5&gt;CDS.Tenor,"-",1-CP5)</f>
        <v>0.9981524168580348</v>
      </c>
      <c r="DN5" s="351">
        <f t="shared" ref="DN5:DN44" ca="1" si="140">IF($AA5&gt;CDS.Tenor,"-",1-CQ5)</f>
        <v>0.99938192102841927</v>
      </c>
      <c r="DO5" s="351">
        <f t="shared" ref="DO5:DO44" ca="1" si="141">IF($AA5&gt;CDS.Tenor,"-",1-CR5)</f>
        <v>0.99981296320033874</v>
      </c>
      <c r="DP5" s="351">
        <f t="shared" ref="DP5:DP44" ca="1" si="142">IF($AA5&gt;CDS.Tenor,"-",1-CS5)</f>
        <v>0.99994884701253095</v>
      </c>
      <c r="DQ5" s="351">
        <f t="shared" ref="DQ5:DQ44" ca="1" si="143">IF($AA5&gt;CDS.Tenor,"-",1-CT5)</f>
        <v>0.99998736550401257</v>
      </c>
      <c r="DR5" s="351">
        <f t="shared" ref="DR5:DR44" ca="1" si="144">IF($AA5&gt;CDS.Tenor,"-",1-CU5)</f>
        <v>0.99999718342345334</v>
      </c>
      <c r="DS5" s="351">
        <f t="shared" ref="DS5:DS44" ca="1" si="145">IF($AA5&gt;CDS.Tenor,"-",1-CV5)</f>
        <v>0.99999943358168919</v>
      </c>
      <c r="DT5" s="351">
        <f t="shared" ref="DT5:DT44" ca="1" si="146">IF($AA5&gt;CDS.Tenor,"-",1-CW5)</f>
        <v>0.9999998972896299</v>
      </c>
      <c r="DU5" s="351">
        <f t="shared" ref="DU5:DU44" ca="1" si="147">IF($AA5&gt;CDS.Tenor,"-",1-CX5)</f>
        <v>0.99999998321236749</v>
      </c>
      <c r="DV5" s="351">
        <f t="shared" ref="DV5:DV44" ca="1" si="148">IF($AA5&gt;CDS.Tenor,"-",1-CY5)</f>
        <v>0.99999999752757907</v>
      </c>
      <c r="DW5" s="351">
        <f t="shared" ref="DW5:DW44" ca="1" si="149">IF($AA5&gt;CDS.Tenor,"-",1-CZ5)</f>
        <v>0.99999999967198649</v>
      </c>
      <c r="DX5" s="351">
        <f t="shared" ref="DX5:DX44" ca="1" si="150">IF($AA5&gt;CDS.Tenor,"-",1-DA5)</f>
        <v>0.99999999996080846</v>
      </c>
      <c r="DY5" s="352">
        <f t="shared" ref="DY5:DY44" ca="1" si="151">IF($AA5&gt;CDS.Tenor,"-",1-DB5)</f>
        <v>0.99999999999578371</v>
      </c>
      <c r="DZ5" s="17"/>
      <c r="EA5" s="17"/>
      <c r="EB5" s="342" cm="1">
        <f t="array" aca="1" ref="EB5" ca="1">IF($AA5&gt;CDS.Tenor,"-",flatInterpolation(CC5,INDIRECT(HazardRateTimes3),INDIRECT(HazardRateValues3)))</f>
        <v>7.4999999999999997E-3</v>
      </c>
      <c r="EC5" s="132">
        <f t="shared" ref="EC5:EC44" ca="1" si="152">IF($AA5&gt;CDS.Tenor,"-",EXP(-EB5*YearFraction)*EC4)</f>
        <v>0.998126756714382</v>
      </c>
      <c r="ED5" s="132">
        <f t="shared" ref="ED5:ED44" ca="1" si="153">IF($AA5&gt;CDS.Tenor,"-",1-EC5)</f>
        <v>1.8732432856179981E-3</v>
      </c>
      <c r="EE5" s="80">
        <f t="shared" ref="EE5:EE44" ca="1" si="154">IF($AA5&gt;CDS.Tenor,"-",NORMSINV(ED5))</f>
        <v>-2.8987540476096902</v>
      </c>
      <c r="EF5" s="17"/>
      <c r="EG5" s="357">
        <f t="shared" ref="EG5:EG44" si="155">$AA5</f>
        <v>0.25</v>
      </c>
      <c r="EH5" s="351">
        <f ca="1">IF($AA5&gt;CDS.Tenor,"-",_xlfn.NORM.S.DIST(($EE5-SQRT(ImpliedCorrelation)*EH$3)/SQRT(1-ImpliedCorrelation),TRUE))</f>
        <v>0.42410398874066202</v>
      </c>
      <c r="EI5" s="351">
        <f ca="1">IF($AA5&gt;CDS.Tenor,"-",_xlfn.NORM.S.DIST(($EE5-SQRT(ImpliedCorrelation)*EI$3)/SQRT(1-ImpliedCorrelation),TRUE))</f>
        <v>0.30197373413980821</v>
      </c>
      <c r="EJ5" s="351">
        <f ca="1">IF($AA5&gt;CDS.Tenor,"-",_xlfn.NORM.S.DIST(($EE5-SQRT(ImpliedCorrelation)*EJ$3)/SQRT(1-ImpliedCorrelation),TRUE))</f>
        <v>0.19875989164225027</v>
      </c>
      <c r="EK5" s="351">
        <f ca="1">IF($AA5&gt;CDS.Tenor,"-",_xlfn.NORM.S.DIST(($EE5-SQRT(ImpliedCorrelation)*EK$3)/SQRT(1-ImpliedCorrelation),TRUE))</f>
        <v>0.12032054012959738</v>
      </c>
      <c r="EL5" s="351">
        <f ca="1">IF($AA5&gt;CDS.Tenor,"-",_xlfn.NORM.S.DIST(($EE5-SQRT(ImpliedCorrelation)*EL$3)/SQRT(1-ImpliedCorrelation),TRUE))</f>
        <v>6.6714936034151837E-2</v>
      </c>
      <c r="EM5" s="351">
        <f ca="1">IF($AA5&gt;CDS.Tenor,"-",_xlfn.NORM.S.DIST(($EE5-SQRT(ImpliedCorrelation)*EM$3)/SQRT(1-ImpliedCorrelation),TRUE))</f>
        <v>3.3771804909951658E-2</v>
      </c>
      <c r="EN5" s="351">
        <f ca="1">IF($AA5&gt;CDS.Tenor,"-",_xlfn.NORM.S.DIST(($EE5-SQRT(ImpliedCorrelation)*EN$3)/SQRT(1-ImpliedCorrelation),TRUE))</f>
        <v>1.5566585673905495E-2</v>
      </c>
      <c r="EO5" s="351">
        <f ca="1">IF($AA5&gt;CDS.Tenor,"-",_xlfn.NORM.S.DIST(($EE5-SQRT(ImpliedCorrelation)*EO$3)/SQRT(1-ImpliedCorrelation),TRUE))</f>
        <v>6.5196657141186401E-3</v>
      </c>
      <c r="EP5" s="351">
        <f ca="1">IF($AA5&gt;CDS.Tenor,"-",_xlfn.NORM.S.DIST(($EE5-SQRT(ImpliedCorrelation)*EP$3)/SQRT(1-ImpliedCorrelation),TRUE))</f>
        <v>2.4769203155072376E-3</v>
      </c>
      <c r="EQ5" s="351">
        <f ca="1">IF($AA5&gt;CDS.Tenor,"-",_xlfn.NORM.S.DIST(($EE5-SQRT(ImpliedCorrelation)*EQ$3)/SQRT(1-ImpliedCorrelation),TRUE))</f>
        <v>8.5242132620756087E-4</v>
      </c>
      <c r="ER5" s="351">
        <f ca="1">IF($AA5&gt;CDS.Tenor,"-",_xlfn.NORM.S.DIST(($EE5-SQRT(ImpliedCorrelation)*ER$3)/SQRT(1-ImpliedCorrelation),TRUE))</f>
        <v>2.6543752183806987E-4</v>
      </c>
      <c r="ES5" s="351">
        <f ca="1">IF($AA5&gt;CDS.Tenor,"-",_xlfn.NORM.S.DIST(($EE5-SQRT(ImpliedCorrelation)*ES$3)/SQRT(1-ImpliedCorrelation),TRUE))</f>
        <v>7.4719275164134913E-5</v>
      </c>
      <c r="ET5" s="351">
        <f ca="1">IF($AA5&gt;CDS.Tenor,"-",_xlfn.NORM.S.DIST(($EE5-SQRT(ImpliedCorrelation)*ET$3)/SQRT(1-ImpliedCorrelation),TRUE))</f>
        <v>1.8998993057207097E-5</v>
      </c>
      <c r="EU5" s="351">
        <f ca="1">IF($AA5&gt;CDS.Tenor,"-",_xlfn.NORM.S.DIST(($EE5-SQRT(ImpliedCorrelation)*EU$3)/SQRT(1-ImpliedCorrelation),TRUE))</f>
        <v>4.3609017974747701E-6</v>
      </c>
      <c r="EV5" s="351">
        <f ca="1">IF($AA5&gt;CDS.Tenor,"-",_xlfn.NORM.S.DIST(($EE5-SQRT(ImpliedCorrelation)*EV$3)/SQRT(1-ImpliedCorrelation),TRUE))</f>
        <v>9.0309665258733583E-7</v>
      </c>
      <c r="EW5" s="351">
        <f ca="1">IF($AA5&gt;CDS.Tenor,"-",_xlfn.NORM.S.DIST(($EE5-SQRT(ImpliedCorrelation)*EW$3)/SQRT(1-ImpliedCorrelation),TRUE))</f>
        <v>1.6865710046693199E-7</v>
      </c>
      <c r="EX5" s="351">
        <f ca="1">IF($AA5&gt;CDS.Tenor,"-",_xlfn.NORM.S.DIST(($EE5-SQRT(ImpliedCorrelation)*EX$3)/SQRT(1-ImpliedCorrelation),TRUE))</f>
        <v>2.8393376637223835E-8</v>
      </c>
      <c r="EY5" s="351">
        <f ca="1">IF($AA5&gt;CDS.Tenor,"-",_xlfn.NORM.S.DIST(($EE5-SQRT(ImpliedCorrelation)*EY$3)/SQRT(1-ImpliedCorrelation),TRUE))</f>
        <v>4.3074980278484987E-9</v>
      </c>
      <c r="EZ5" s="351">
        <f ca="1">IF($AA5&gt;CDS.Tenor,"-",_xlfn.NORM.S.DIST(($EE5-SQRT(ImpliedCorrelation)*EZ$3)/SQRT(1-ImpliedCorrelation),TRUE))</f>
        <v>5.8871119785261162E-10</v>
      </c>
      <c r="FA5" s="351">
        <f ca="1">IF($AA5&gt;CDS.Tenor,"-",_xlfn.NORM.S.DIST(($EE5-SQRT(ImpliedCorrelation)*FA$3)/SQRT(1-ImpliedCorrelation),TRUE))</f>
        <v>7.2466752991540375E-11</v>
      </c>
      <c r="FB5" s="352">
        <f ca="1">IF($AA5&gt;CDS.Tenor,"-",_xlfn.NORM.S.DIST(($EE5-SQRT(ImpliedCorrelation)*FB$3)/SQRT(1-ImpliedCorrelation),TRUE))</f>
        <v>8.0322764575202909E-12</v>
      </c>
      <c r="FC5" s="17"/>
      <c r="FD5" s="357">
        <f t="shared" ref="FD5:FD44" si="156">$AA5</f>
        <v>0.25</v>
      </c>
      <c r="FE5" s="351">
        <f t="shared" ref="FE5:FE44" ca="1" si="157">IF($AA5&gt;CDS.Tenor,"-",1-EH5)</f>
        <v>0.57589601125933798</v>
      </c>
      <c r="FF5" s="351">
        <f t="shared" ref="FF5:FF44" ca="1" si="158">IF($AA5&gt;CDS.Tenor,"-",1-EI5)</f>
        <v>0.69802626586019179</v>
      </c>
      <c r="FG5" s="351">
        <f t="shared" ref="FG5:FG44" ca="1" si="159">IF($AA5&gt;CDS.Tenor,"-",1-EJ5)</f>
        <v>0.80124010835774973</v>
      </c>
      <c r="FH5" s="351">
        <f t="shared" ref="FH5:FH44" ca="1" si="160">IF($AA5&gt;CDS.Tenor,"-",1-EK5)</f>
        <v>0.87967945987040264</v>
      </c>
      <c r="FI5" s="351">
        <f t="shared" ref="FI5:FI44" ca="1" si="161">IF($AA5&gt;CDS.Tenor,"-",1-EL5)</f>
        <v>0.93328506396584821</v>
      </c>
      <c r="FJ5" s="351">
        <f t="shared" ref="FJ5:FJ44" ca="1" si="162">IF($AA5&gt;CDS.Tenor,"-",1-EM5)</f>
        <v>0.96622819509004831</v>
      </c>
      <c r="FK5" s="351">
        <f t="shared" ref="FK5:FK44" ca="1" si="163">IF($AA5&gt;CDS.Tenor,"-",1-EN5)</f>
        <v>0.98443341432609455</v>
      </c>
      <c r="FL5" s="351">
        <f t="shared" ref="FL5:FL44" ca="1" si="164">IF($AA5&gt;CDS.Tenor,"-",1-EO5)</f>
        <v>0.99348033428588134</v>
      </c>
      <c r="FM5" s="351">
        <f t="shared" ref="FM5:FM44" ca="1" si="165">IF($AA5&gt;CDS.Tenor,"-",1-EP5)</f>
        <v>0.99752307968449272</v>
      </c>
      <c r="FN5" s="351">
        <f t="shared" ref="FN5:FN44" ca="1" si="166">IF($AA5&gt;CDS.Tenor,"-",1-EQ5)</f>
        <v>0.99914757867379245</v>
      </c>
      <c r="FO5" s="351">
        <f t="shared" ref="FO5:FO44" ca="1" si="167">IF($AA5&gt;CDS.Tenor,"-",1-ER5)</f>
        <v>0.99973456247816195</v>
      </c>
      <c r="FP5" s="351">
        <f t="shared" ref="FP5:FP44" ca="1" si="168">IF($AA5&gt;CDS.Tenor,"-",1-ES5)</f>
        <v>0.99992528072483589</v>
      </c>
      <c r="FQ5" s="351">
        <f t="shared" ref="FQ5:FQ44" ca="1" si="169">IF($AA5&gt;CDS.Tenor,"-",1-ET5)</f>
        <v>0.99998100100694276</v>
      </c>
      <c r="FR5" s="351">
        <f t="shared" ref="FR5:FR44" ca="1" si="170">IF($AA5&gt;CDS.Tenor,"-",1-EU5)</f>
        <v>0.99999563909820255</v>
      </c>
      <c r="FS5" s="351">
        <f t="shared" ref="FS5:FS44" ca="1" si="171">IF($AA5&gt;CDS.Tenor,"-",1-EV5)</f>
        <v>0.99999909690334743</v>
      </c>
      <c r="FT5" s="351">
        <f t="shared" ref="FT5:FT44" ca="1" si="172">IF($AA5&gt;CDS.Tenor,"-",1-EW5)</f>
        <v>0.99999983134289949</v>
      </c>
      <c r="FU5" s="351">
        <f t="shared" ref="FU5:FU44" ca="1" si="173">IF($AA5&gt;CDS.Tenor,"-",1-EX5)</f>
        <v>0.99999997160662335</v>
      </c>
      <c r="FV5" s="351">
        <f t="shared" ref="FV5:FV44" ca="1" si="174">IF($AA5&gt;CDS.Tenor,"-",1-EY5)</f>
        <v>0.99999999569250198</v>
      </c>
      <c r="FW5" s="351">
        <f t="shared" ref="FW5:FW44" ca="1" si="175">IF($AA5&gt;CDS.Tenor,"-",1-EZ5)</f>
        <v>0.99999999941128881</v>
      </c>
      <c r="FX5" s="351">
        <f t="shared" ref="FX5:FX44" ca="1" si="176">IF($AA5&gt;CDS.Tenor,"-",1-FA5)</f>
        <v>0.9999999999275333</v>
      </c>
      <c r="FY5" s="352">
        <f t="shared" ref="FY5:FY44" ca="1" si="177">IF($AA5&gt;CDS.Tenor,"-",1-FB5)</f>
        <v>0.99999999999196776</v>
      </c>
      <c r="GB5" s="357">
        <f t="shared" ref="GB5:GB44" si="178">$AA5</f>
        <v>0.25</v>
      </c>
      <c r="GC5" s="351">
        <f ca="1">IF($GB5&gt;CDS.Tenor,"-",BE5*DE5*FE5)</f>
        <v>0.22318666285758351</v>
      </c>
      <c r="GD5" s="351">
        <f ca="1">IF($GB5&gt;CDS.Tenor,"-",BF5*DF5*FF5)</f>
        <v>0.38091795893078068</v>
      </c>
      <c r="GE5" s="351">
        <f ca="1">IF($GB5&gt;CDS.Tenor,"-",BG5*DG5*FG5)</f>
        <v>0.55616172090290605</v>
      </c>
      <c r="GF5" s="351">
        <f ca="1">IF($GB5&gt;CDS.Tenor,"-",BH5*DH5*FH5)</f>
        <v>0.71594836954566543</v>
      </c>
      <c r="GG5" s="351">
        <f ca="1">IF($GB5&gt;CDS.Tenor,"-",BI5*DI5*FI5)</f>
        <v>0.83787106520902155</v>
      </c>
      <c r="GH5" s="351">
        <f ca="1">IF($GB5&gt;CDS.Tenor,"-",BJ5*DJ5*FJ5)</f>
        <v>0.91722713688404922</v>
      </c>
      <c r="GI5" s="351">
        <f ca="1">IF($GB5&gt;CDS.Tenor,"-",BK5*DK5*FK5)</f>
        <v>0.96204565911872297</v>
      </c>
      <c r="GJ5" s="351">
        <f ca="1">IF($GB5&gt;CDS.Tenor,"-",BL5*DL5*FL5)</f>
        <v>0.98431424668166112</v>
      </c>
      <c r="GK5" s="351">
        <f ca="1">IF($GB5&gt;CDS.Tenor,"-",BM5*DM5*FM5)</f>
        <v>0.99414432410431541</v>
      </c>
      <c r="GL5" s="351">
        <f ca="1">IF($GB5&gt;CDS.Tenor,"-",BN5*DN5*FN5)</f>
        <v>0.99802353834893309</v>
      </c>
      <c r="GM5" s="351">
        <f ca="1">IF($GB5&gt;CDS.Tenor,"-",BO5*DO5*FO5)</f>
        <v>0.99939677858953535</v>
      </c>
      <c r="GN5" s="351">
        <f ca="1">IF($GB5&gt;CDS.Tenor,"-",BP5*DP5*FP5)</f>
        <v>0.99983358852361792</v>
      </c>
      <c r="GO5" s="351">
        <f ca="1">IF($GB5&gt;CDS.Tenor,"-",BQ5*DQ5*FQ5)</f>
        <v>0.99995852587717471</v>
      </c>
      <c r="GP5" s="351">
        <f ca="1">IF($GB5&gt;CDS.Tenor,"-",BR5*DR5*FR5)</f>
        <v>0.99999066699302053</v>
      </c>
      <c r="GQ5" s="351">
        <f ca="1">IF($GB5&gt;CDS.Tenor,"-",BS5*DS5*FS5)</f>
        <v>0.99999810460488281</v>
      </c>
      <c r="GR5" s="351">
        <f ca="1">IF($GB5&gt;CDS.Tenor,"-",BT5*DT5*FT5)</f>
        <v>0.99999965276620595</v>
      </c>
      <c r="GS5" s="351">
        <f ca="1">IF($GB5&gt;CDS.Tenor,"-",BU5*DU5*FU5)</f>
        <v>0.99999994263800274</v>
      </c>
      <c r="GT5" s="351">
        <f ca="1">IF($GB5&gt;CDS.Tenor,"-",BV5*DV5*FV5)</f>
        <v>0.99999999145789564</v>
      </c>
      <c r="GU5" s="351">
        <f ca="1">IF($GB5&gt;CDS.Tenor,"-",BW5*DW5*FW5)</f>
        <v>0.99999999885364044</v>
      </c>
      <c r="GV5" s="351">
        <f ca="1">IF($GB5&gt;CDS.Tenor,"-",BX5*DX5*FX5)</f>
        <v>0.99999999986139299</v>
      </c>
      <c r="GW5" s="352">
        <f ca="1">IF($GB5&gt;CDS.Tenor,"-",BY5*DY5*FY5)</f>
        <v>0.99999999998490396</v>
      </c>
      <c r="GX5" s="42"/>
      <c r="GY5" s="42"/>
      <c r="GZ5" s="357">
        <f t="shared" ref="GZ5:GZ44" si="179">$AA5</f>
        <v>0.25</v>
      </c>
      <c r="HA5" s="360">
        <f t="shared" ref="HA5:HA44" ca="1" si="180">IF($GZ5&gt;CDS.Tenor,"-",SUMPRODUCT($GC5:$GW5,$GC$4:$GW$4)*dm)</f>
        <v>0.99550396388026707</v>
      </c>
      <c r="HB5" s="361">
        <f t="shared" ref="HB5:HB44" ca="1" si="181">IF($GZ5&gt;CDS.Tenor,"-",HA4-HA5)</f>
        <v>4.4960361197329268E-3</v>
      </c>
    </row>
    <row r="6" spans="2:231" x14ac:dyDescent="0.3">
      <c r="B6" s="114" t="s">
        <v>113</v>
      </c>
      <c r="C6" s="115"/>
      <c r="D6" s="154" t="s">
        <v>114</v>
      </c>
      <c r="F6" s="350" t="s">
        <v>358</v>
      </c>
      <c r="H6" s="340"/>
      <c r="I6" s="370">
        <f t="shared" si="86"/>
        <v>0.5</v>
      </c>
      <c r="J6" s="371">
        <f t="shared" si="87"/>
        <v>-25000</v>
      </c>
      <c r="K6" s="348">
        <f t="shared" ca="1" si="88"/>
        <v>0.9910944835714729</v>
      </c>
      <c r="L6" s="348">
        <f t="shared" ca="1" si="89"/>
        <v>4.4094803087941781E-3</v>
      </c>
      <c r="M6" s="372" cm="1">
        <f t="array" ref="M6">IF($I6&gt;CDS.Tenor,"-",cubicInterpolation(CurveResults.Times,CurveResults.DFs,$I6))</f>
        <v>0.97728436827331244</v>
      </c>
      <c r="N6" s="371">
        <f t="shared" ca="1" si="90"/>
        <v>-24214.528656907794</v>
      </c>
      <c r="O6" s="371">
        <f t="shared" ca="1" si="91"/>
        <v>-53.866452224919108</v>
      </c>
      <c r="P6" s="373">
        <f t="shared" ca="1" si="92"/>
        <v>-24268.395109132714</v>
      </c>
      <c r="S6" s="370">
        <f t="shared" si="93"/>
        <v>0.5</v>
      </c>
      <c r="T6" s="371">
        <f t="shared" si="94"/>
        <v>6000000</v>
      </c>
      <c r="U6" s="348">
        <f ca="1">IF($I6&gt;CDS.Tenor,"-",HA6)</f>
        <v>0.9910944835714729</v>
      </c>
      <c r="V6" s="348">
        <f t="shared" ca="1" si="95"/>
        <v>4.4094803087941781E-3</v>
      </c>
      <c r="W6" s="372" cm="1">
        <f t="array" ref="W6">IF($S6&gt;CDS.Tenor,"-",cubicInterpolation(CurveResults.Times,CurveResults.DFs,$I6))</f>
        <v>0.97728436827331244</v>
      </c>
      <c r="X6" s="373">
        <f t="shared" ca="1" si="96"/>
        <v>25855.897067961174</v>
      </c>
      <c r="AA6" s="358">
        <f t="shared" si="97"/>
        <v>0.5</v>
      </c>
      <c r="AB6" s="343" cm="1">
        <f t="array" aca="1" ref="AB6" ca="1">IF($AA6&gt;CDS.Tenor,"-",flatInterpolation(Z6,INDIRECT(HazardRateTimes1),INDIRECT(HazardRateValues1)))</f>
        <v>5.0000000000000001E-3</v>
      </c>
      <c r="AC6" s="10">
        <f t="shared" ca="1" si="98"/>
        <v>0.9975031223974602</v>
      </c>
      <c r="AD6" s="10">
        <f t="shared" ca="1" si="99"/>
        <v>2.4968776025398043E-3</v>
      </c>
      <c r="AE6" s="81">
        <f t="shared" ca="1" si="100"/>
        <v>-2.8074363201932657</v>
      </c>
      <c r="AG6" s="358">
        <f t="shared" si="101"/>
        <v>0.5</v>
      </c>
      <c r="AH6" s="353">
        <f t="shared" ca="1" si="102"/>
        <v>0.46722003853270749</v>
      </c>
      <c r="AI6" s="353">
        <f t="shared" ca="1" si="102"/>
        <v>0.3410545809242716</v>
      </c>
      <c r="AJ6" s="353">
        <f t="shared" ca="1" si="102"/>
        <v>0.23058746901029967</v>
      </c>
      <c r="AK6" s="353">
        <f t="shared" ca="1" si="102"/>
        <v>0.14360991360296294</v>
      </c>
      <c r="AL6" s="353">
        <f t="shared" ca="1" si="102"/>
        <v>8.2026749038324784E-2</v>
      </c>
      <c r="AM6" s="353">
        <f t="shared" ca="1" si="102"/>
        <v>4.2816834527021716E-2</v>
      </c>
      <c r="AN6" s="353">
        <f t="shared" ca="1" si="102"/>
        <v>2.0367322583114227E-2</v>
      </c>
      <c r="AO6" s="353">
        <f t="shared" ca="1" si="102"/>
        <v>8.8090585590256121E-3</v>
      </c>
      <c r="AP6" s="353">
        <f t="shared" ca="1" si="102"/>
        <v>3.4578710511445174E-3</v>
      </c>
      <c r="AQ6" s="353">
        <f t="shared" ca="1" si="102"/>
        <v>1.2300704558351912E-3</v>
      </c>
      <c r="AR6" s="353">
        <f t="shared" ca="1" si="103"/>
        <v>3.9606788727512376E-4</v>
      </c>
      <c r="AS6" s="353">
        <f t="shared" ca="1" si="103"/>
        <v>1.1531815960728732E-4</v>
      </c>
      <c r="AT6" s="353">
        <f t="shared" ca="1" si="103"/>
        <v>3.0335997072212426E-5</v>
      </c>
      <c r="AU6" s="353">
        <f t="shared" ca="1" si="103"/>
        <v>7.2053411125876388E-6</v>
      </c>
      <c r="AV6" s="353">
        <f t="shared" ca="1" si="103"/>
        <v>1.5443197275555686E-6</v>
      </c>
      <c r="AW6" s="353">
        <f t="shared" ca="1" si="103"/>
        <v>2.98535111508517E-7</v>
      </c>
      <c r="AX6" s="353">
        <f t="shared" ca="1" si="103"/>
        <v>5.2029489067544931E-8</v>
      </c>
      <c r="AY6" s="353">
        <f t="shared" ca="1" si="103"/>
        <v>8.1723272200624307E-9</v>
      </c>
      <c r="AZ6" s="353">
        <f t="shared" ca="1" si="103"/>
        <v>1.1565150120543506E-9</v>
      </c>
      <c r="BA6" s="353">
        <f t="shared" ca="1" si="103"/>
        <v>1.4741818712003553E-10</v>
      </c>
      <c r="BB6" s="354">
        <f t="shared" ca="1" si="103"/>
        <v>1.6921731175218928E-11</v>
      </c>
      <c r="BD6" s="358">
        <f t="shared" si="104"/>
        <v>0.5</v>
      </c>
      <c r="BE6" s="353">
        <f t="shared" ca="1" si="105"/>
        <v>0.53277996146729256</v>
      </c>
      <c r="BF6" s="353">
        <f t="shared" ca="1" si="106"/>
        <v>0.65894541907572846</v>
      </c>
      <c r="BG6" s="353">
        <f t="shared" ca="1" si="107"/>
        <v>0.76941253098970031</v>
      </c>
      <c r="BH6" s="353">
        <f t="shared" ca="1" si="108"/>
        <v>0.85639008639703706</v>
      </c>
      <c r="BI6" s="353">
        <f t="shared" ca="1" si="109"/>
        <v>0.91797325096167526</v>
      </c>
      <c r="BJ6" s="353">
        <f t="shared" ca="1" si="110"/>
        <v>0.95718316547297833</v>
      </c>
      <c r="BK6" s="353">
        <f t="shared" ca="1" si="111"/>
        <v>0.97963267741688576</v>
      </c>
      <c r="BL6" s="353">
        <f t="shared" ca="1" si="112"/>
        <v>0.99119094144097442</v>
      </c>
      <c r="BM6" s="353">
        <f t="shared" ca="1" si="113"/>
        <v>0.99654212894885552</v>
      </c>
      <c r="BN6" s="353">
        <f t="shared" ca="1" si="114"/>
        <v>0.99876992954416477</v>
      </c>
      <c r="BO6" s="353">
        <f t="shared" ca="1" si="115"/>
        <v>0.99960393211272491</v>
      </c>
      <c r="BP6" s="353">
        <f t="shared" ca="1" si="116"/>
        <v>0.9998846818403927</v>
      </c>
      <c r="BQ6" s="353">
        <f t="shared" ca="1" si="117"/>
        <v>0.99996966400292775</v>
      </c>
      <c r="BR6" s="353">
        <f t="shared" ca="1" si="118"/>
        <v>0.99999279465888746</v>
      </c>
      <c r="BS6" s="353">
        <f t="shared" ca="1" si="119"/>
        <v>0.99999845568027246</v>
      </c>
      <c r="BT6" s="353">
        <f t="shared" ca="1" si="120"/>
        <v>0.99999970146488848</v>
      </c>
      <c r="BU6" s="353">
        <f t="shared" ca="1" si="121"/>
        <v>0.99999994797051095</v>
      </c>
      <c r="BV6" s="353">
        <f t="shared" ca="1" si="122"/>
        <v>0.99999999182767274</v>
      </c>
      <c r="BW6" s="353">
        <f t="shared" ca="1" si="123"/>
        <v>0.99999999884348501</v>
      </c>
      <c r="BX6" s="353">
        <f t="shared" ca="1" si="124"/>
        <v>0.99999999985258181</v>
      </c>
      <c r="BY6" s="354">
        <f t="shared" ca="1" si="125"/>
        <v>0.99999999998307831</v>
      </c>
      <c r="BZ6" s="17"/>
      <c r="CA6" s="17"/>
      <c r="CB6" s="343" cm="1">
        <f t="array" aca="1" ref="CB6" ca="1">IF($AA6&gt;CDS.Tenor,"-",flatInterpolation(AA6,INDIRECT(HazardRateTimes2),INDIRECT(HazardRateValues2)))</f>
        <v>5.8333333333333336E-3</v>
      </c>
      <c r="CC6" s="10">
        <f t="shared" ca="1" si="126"/>
        <v>0.99708758267324893</v>
      </c>
      <c r="CD6" s="10">
        <f t="shared" ca="1" si="127"/>
        <v>2.9124173267510711E-3</v>
      </c>
      <c r="CE6" s="81">
        <f t="shared" ca="1" si="128"/>
        <v>-2.7574824132146483</v>
      </c>
      <c r="CG6" s="358">
        <f t="shared" si="129"/>
        <v>0.5</v>
      </c>
      <c r="CH6" s="353">
        <f ca="1">IF($AA6&gt;CDS.Tenor,"-",_xlfn.NORM.S.DIST(($CE6-SQRT(ImpliedCorrelation)*CH$3)/SQRT(1-ImpliedCorrelation),TRUE))</f>
        <v>0.4910032114339728</v>
      </c>
      <c r="CI6" s="353">
        <f ca="1">IF($AA6&gt;CDS.Tenor,"-",_xlfn.NORM.S.DIST(($CE6-SQRT(ImpliedCorrelation)*CI$3)/SQRT(1-ImpliedCorrelation),TRUE))</f>
        <v>0.36321424658716533</v>
      </c>
      <c r="CJ6" s="353">
        <f ca="1">IF($AA6&gt;CDS.Tenor,"-",_xlfn.NORM.S.DIST(($CE6-SQRT(ImpliedCorrelation)*CJ$3)/SQRT(1-ImpliedCorrelation),TRUE))</f>
        <v>0.24913725414929017</v>
      </c>
      <c r="CK6" s="353">
        <f ca="1">IF($AA6&gt;CDS.Tenor,"-",_xlfn.NORM.S.DIST(($CE6-SQRT(ImpliedCorrelation)*CK$3)/SQRT(1-ImpliedCorrelation),TRUE))</f>
        <v>0.15756064034541276</v>
      </c>
      <c r="CL6" s="353">
        <f ca="1">IF($AA6&gt;CDS.Tenor,"-",_xlfn.NORM.S.DIST(($CE6-SQRT(ImpliedCorrelation)*CL$3)/SQRT(1-ImpliedCorrelation),TRUE))</f>
        <v>9.1452957670999355E-2</v>
      </c>
      <c r="CM6" s="353">
        <f ca="1">IF($AA6&gt;CDS.Tenor,"-",_xlfn.NORM.S.DIST(($CE6-SQRT(ImpliedCorrelation)*CM$3)/SQRT(1-ImpliedCorrelation),TRUE))</f>
        <v>4.8538988357513954E-2</v>
      </c>
      <c r="CN6" s="353">
        <f ca="1">IF($AA6&gt;CDS.Tenor,"-",_xlfn.NORM.S.DIST(($CE6-SQRT(ImpliedCorrelation)*CN$3)/SQRT(1-ImpliedCorrelation),TRUE))</f>
        <v>2.3488110621729716E-2</v>
      </c>
      <c r="CO6" s="353">
        <f ca="1">IF($AA6&gt;CDS.Tenor,"-",_xlfn.NORM.S.DIST(($CE6-SQRT(ImpliedCorrelation)*CO$3)/SQRT(1-ImpliedCorrelation),TRUE))</f>
        <v>1.033821273966129E-2</v>
      </c>
      <c r="CP6" s="353">
        <f ca="1">IF($AA6&gt;CDS.Tenor,"-",_xlfn.NORM.S.DIST(($CE6-SQRT(ImpliedCorrelation)*CP$3)/SQRT(1-ImpliedCorrelation),TRUE))</f>
        <v>4.1310345148442042E-3</v>
      </c>
      <c r="CQ6" s="353">
        <f ca="1">IF($AA6&gt;CDS.Tenor,"-",_xlfn.NORM.S.DIST(($CE6-SQRT(ImpliedCorrelation)*CQ$3)/SQRT(1-ImpliedCorrelation),TRUE))</f>
        <v>1.4963096858784386E-3</v>
      </c>
      <c r="CR6" s="353">
        <f ca="1">IF($AA6&gt;CDS.Tenor,"-",_xlfn.NORM.S.DIST(($CE6-SQRT(ImpliedCorrelation)*CR$3)/SQRT(1-ImpliedCorrelation),TRUE))</f>
        <v>4.9067108330009331E-4</v>
      </c>
      <c r="CS6" s="353">
        <f ca="1">IF($AA6&gt;CDS.Tenor,"-",_xlfn.NORM.S.DIST(($CE6-SQRT(ImpliedCorrelation)*CS$3)/SQRT(1-ImpliedCorrelation),TRUE))</f>
        <v>1.4551919353724069E-4</v>
      </c>
      <c r="CT6" s="353">
        <f ca="1">IF($AA6&gt;CDS.Tenor,"-",_xlfn.NORM.S.DIST(($CE6-SQRT(ImpliedCorrelation)*CT$3)/SQRT(1-ImpliedCorrelation),TRUE))</f>
        <v>3.8998034399449328E-5</v>
      </c>
      <c r="CU6" s="353">
        <f ca="1">IF($AA6&gt;CDS.Tenor,"-",_xlfn.NORM.S.DIST(($CE6-SQRT(ImpliedCorrelation)*CU$3)/SQRT(1-ImpliedCorrelation),TRUE))</f>
        <v>9.437373651132453E-6</v>
      </c>
      <c r="CV6" s="353">
        <f ca="1">IF($AA6&gt;CDS.Tenor,"-",_xlfn.NORM.S.DIST(($CE6-SQRT(ImpliedCorrelation)*CV$3)/SQRT(1-ImpliedCorrelation),TRUE))</f>
        <v>2.0610491802063075E-6</v>
      </c>
      <c r="CW6" s="353">
        <f ca="1">IF($AA6&gt;CDS.Tenor,"-",_xlfn.NORM.S.DIST(($CE6-SQRT(ImpliedCorrelation)*CW$3)/SQRT(1-ImpliedCorrelation),TRUE))</f>
        <v>4.0601027839172772E-7</v>
      </c>
      <c r="CX6" s="353">
        <f ca="1">IF($AA6&gt;CDS.Tenor,"-",_xlfn.NORM.S.DIST(($CE6-SQRT(ImpliedCorrelation)*CX$3)/SQRT(1-ImpliedCorrelation),TRUE))</f>
        <v>7.2112797101134473E-8</v>
      </c>
      <c r="CY6" s="353">
        <f ca="1">IF($AA6&gt;CDS.Tenor,"-",_xlfn.NORM.S.DIST(($CE6-SQRT(ImpliedCorrelation)*CY$3)/SQRT(1-ImpliedCorrelation),TRUE))</f>
        <v>1.1543993417183147E-8</v>
      </c>
      <c r="CZ6" s="353">
        <f ca="1">IF($AA6&gt;CDS.Tenor,"-",_xlfn.NORM.S.DIST(($CE6-SQRT(ImpliedCorrelation)*CZ$3)/SQRT(1-ImpliedCorrelation),TRUE))</f>
        <v>1.6650678554441443E-9</v>
      </c>
      <c r="DA6" s="353">
        <f ca="1">IF($AA6&gt;CDS.Tenor,"-",_xlfn.NORM.S.DIST(($CE6-SQRT(ImpliedCorrelation)*DA$3)/SQRT(1-ImpliedCorrelation),TRUE))</f>
        <v>2.1633255628911174E-10</v>
      </c>
      <c r="DB6" s="354">
        <f ca="1">IF($AA6&gt;CDS.Tenor,"-",_xlfn.NORM.S.DIST(($CE6-SQRT(ImpliedCorrelation)*DB$3)/SQRT(1-ImpliedCorrelation),TRUE))</f>
        <v>2.5311802575482701E-11</v>
      </c>
      <c r="DD6" s="358">
        <f t="shared" si="130"/>
        <v>0.5</v>
      </c>
      <c r="DE6" s="353">
        <f t="shared" ca="1" si="131"/>
        <v>0.50899678856602715</v>
      </c>
      <c r="DF6" s="353">
        <f t="shared" ca="1" si="132"/>
        <v>0.63678575341283472</v>
      </c>
      <c r="DG6" s="353">
        <f t="shared" ca="1" si="133"/>
        <v>0.75086274585070978</v>
      </c>
      <c r="DH6" s="353">
        <f t="shared" ca="1" si="134"/>
        <v>0.84243935965458727</v>
      </c>
      <c r="DI6" s="353">
        <f t="shared" ca="1" si="135"/>
        <v>0.90854704232900063</v>
      </c>
      <c r="DJ6" s="353">
        <f t="shared" ca="1" si="136"/>
        <v>0.95146101164248609</v>
      </c>
      <c r="DK6" s="353">
        <f t="shared" ca="1" si="137"/>
        <v>0.97651188937827027</v>
      </c>
      <c r="DL6" s="353">
        <f t="shared" ca="1" si="138"/>
        <v>0.98966178726033871</v>
      </c>
      <c r="DM6" s="353">
        <f t="shared" ca="1" si="139"/>
        <v>0.9958689654851558</v>
      </c>
      <c r="DN6" s="353">
        <f t="shared" ca="1" si="140"/>
        <v>0.99850369031412156</v>
      </c>
      <c r="DO6" s="353">
        <f t="shared" ca="1" si="141"/>
        <v>0.99950932891669986</v>
      </c>
      <c r="DP6" s="353">
        <f t="shared" ca="1" si="142"/>
        <v>0.99985448080646278</v>
      </c>
      <c r="DQ6" s="353">
        <f t="shared" ca="1" si="143"/>
        <v>0.99996100196560056</v>
      </c>
      <c r="DR6" s="353">
        <f t="shared" ca="1" si="144"/>
        <v>0.99999056262634889</v>
      </c>
      <c r="DS6" s="353">
        <f t="shared" ca="1" si="145"/>
        <v>0.99999793895081979</v>
      </c>
      <c r="DT6" s="353">
        <f t="shared" ca="1" si="146"/>
        <v>0.9999995939897216</v>
      </c>
      <c r="DU6" s="353">
        <f t="shared" ca="1" si="147"/>
        <v>0.99999992788720293</v>
      </c>
      <c r="DV6" s="353">
        <f t="shared" ca="1" si="148"/>
        <v>0.99999998845600657</v>
      </c>
      <c r="DW6" s="353">
        <f t="shared" ca="1" si="149"/>
        <v>0.99999999833493214</v>
      </c>
      <c r="DX6" s="353">
        <f t="shared" ca="1" si="150"/>
        <v>0.99999999978366749</v>
      </c>
      <c r="DY6" s="354">
        <f t="shared" ca="1" si="151"/>
        <v>0.99999999997468825</v>
      </c>
      <c r="DZ6" s="17"/>
      <c r="EA6" s="17"/>
      <c r="EB6" s="343" cm="1">
        <f t="array" aca="1" ref="EB6" ca="1">IF($AA6&gt;CDS.Tenor,"-",flatInterpolation(CC6,INDIRECT(HazardRateTimes3),INDIRECT(HazardRateValues3)))</f>
        <v>7.4999999999999997E-3</v>
      </c>
      <c r="EC6" s="10">
        <f t="shared" ca="1" si="152"/>
        <v>0.99625702246917114</v>
      </c>
      <c r="ED6" s="10">
        <f t="shared" ca="1" si="153"/>
        <v>3.7429775308288615E-3</v>
      </c>
      <c r="EE6" s="81">
        <f t="shared" ca="1" si="154"/>
        <v>-2.674415895292356</v>
      </c>
      <c r="EG6" s="358">
        <f t="shared" si="155"/>
        <v>0.5</v>
      </c>
      <c r="EH6" s="353">
        <f ca="1">IF($AA6&gt;CDS.Tenor,"-",_xlfn.NORM.S.DIST(($EE6-SQRT(ImpliedCorrelation)*EH$3)/SQRT(1-ImpliedCorrelation),TRUE))</f>
        <v>0.53058081580657124</v>
      </c>
      <c r="EI6" s="353">
        <f ca="1">IF($AA6&gt;CDS.Tenor,"-",_xlfn.NORM.S.DIST(($EE6-SQRT(ImpliedCorrelation)*EI$3)/SQRT(1-ImpliedCorrelation),TRUE))</f>
        <v>0.40106289974142884</v>
      </c>
      <c r="EJ6" s="353">
        <f ca="1">IF($AA6&gt;CDS.Tenor,"-",_xlfn.NORM.S.DIST(($EE6-SQRT(ImpliedCorrelation)*EJ$3)/SQRT(1-ImpliedCorrelation),TRUE))</f>
        <v>0.28165781396005063</v>
      </c>
      <c r="EK6" s="353">
        <f ca="1">IF($AA6&gt;CDS.Tenor,"-",_xlfn.NORM.S.DIST(($EE6-SQRT(ImpliedCorrelation)*EK$3)/SQRT(1-ImpliedCorrelation),TRUE))</f>
        <v>0.18266633525398529</v>
      </c>
      <c r="EL6" s="353">
        <f ca="1">IF($AA6&gt;CDS.Tenor,"-",_xlfn.NORM.S.DIST(($EE6-SQRT(ImpliedCorrelation)*EL$3)/SQRT(1-ImpliedCorrelation),TRUE))</f>
        <v>0.10886674040753706</v>
      </c>
      <c r="EM6" s="353">
        <f ca="1">IF($AA6&gt;CDS.Tenor,"-",_xlfn.NORM.S.DIST(($EE6-SQRT(ImpliedCorrelation)*EM$3)/SQRT(1-ImpliedCorrelation),TRUE))</f>
        <v>5.9391259191004124E-2</v>
      </c>
      <c r="EN6" s="353">
        <f ca="1">IF($AA6&gt;CDS.Tenor,"-",_xlfn.NORM.S.DIST(($EE6-SQRT(ImpliedCorrelation)*EN$3)/SQRT(1-ImpliedCorrelation),TRUE))</f>
        <v>2.9564627870008839E-2</v>
      </c>
      <c r="EO6" s="353">
        <f ca="1">IF($AA6&gt;CDS.Tenor,"-",_xlfn.NORM.S.DIST(($EE6-SQRT(ImpliedCorrelation)*EO$3)/SQRT(1-ImpliedCorrelation),TRUE))</f>
        <v>1.3395212705796203E-2</v>
      </c>
      <c r="EP6" s="353">
        <f ca="1">IF($AA6&gt;CDS.Tenor,"-",_xlfn.NORM.S.DIST(($EE6-SQRT(ImpliedCorrelation)*EP$3)/SQRT(1-ImpliedCorrelation),TRUE))</f>
        <v>5.5128265805611931E-3</v>
      </c>
      <c r="EQ6" s="353">
        <f ca="1">IF($AA6&gt;CDS.Tenor,"-",_xlfn.NORM.S.DIST(($EE6-SQRT(ImpliedCorrelation)*EQ$3)/SQRT(1-ImpliedCorrelation),TRUE))</f>
        <v>2.0574823239741299E-3</v>
      </c>
      <c r="ER6" s="353">
        <f ca="1">IF($AA6&gt;CDS.Tenor,"-",_xlfn.NORM.S.DIST(($EE6-SQRT(ImpliedCorrelation)*ER$3)/SQRT(1-ImpliedCorrelation),TRUE))</f>
        <v>6.9543657960397442E-4</v>
      </c>
      <c r="ES6" s="353">
        <f ca="1">IF($AA6&gt;CDS.Tenor,"-",_xlfn.NORM.S.DIST(($EE6-SQRT(ImpliedCorrelation)*ES$3)/SQRT(1-ImpliedCorrelation),TRUE))</f>
        <v>2.126502574256299E-4</v>
      </c>
      <c r="ET6" s="353">
        <f ca="1">IF($AA6&gt;CDS.Tenor,"-",_xlfn.NORM.S.DIST(($EE6-SQRT(ImpliedCorrelation)*ET$3)/SQRT(1-ImpliedCorrelation),TRUE))</f>
        <v>5.8772133229739475E-5</v>
      </c>
      <c r="EU6" s="353">
        <f ca="1">IF($AA6&gt;CDS.Tenor,"-",_xlfn.NORM.S.DIST(($EE6-SQRT(ImpliedCorrelation)*EU$3)/SQRT(1-ImpliedCorrelation),TRUE))</f>
        <v>1.4670681036004423E-5</v>
      </c>
      <c r="EV6" s="353">
        <f ca="1">IF($AA6&gt;CDS.Tenor,"-",_xlfn.NORM.S.DIST(($EE6-SQRT(ImpliedCorrelation)*EV$3)/SQRT(1-ImpliedCorrelation),TRUE))</f>
        <v>3.3054552253696829E-6</v>
      </c>
      <c r="EW6" s="353">
        <f ca="1">IF($AA6&gt;CDS.Tenor,"-",_xlfn.NORM.S.DIST(($EE6-SQRT(ImpliedCorrelation)*EW$3)/SQRT(1-ImpliedCorrelation),TRUE))</f>
        <v>6.7187104378544366E-7</v>
      </c>
      <c r="EX6" s="353">
        <f ca="1">IF($AA6&gt;CDS.Tenor,"-",_xlfn.NORM.S.DIST(($EE6-SQRT(ImpliedCorrelation)*EX$3)/SQRT(1-ImpliedCorrelation),TRUE))</f>
        <v>1.2314597377152358E-7</v>
      </c>
      <c r="EY6" s="353">
        <f ca="1">IF($AA6&gt;CDS.Tenor,"-",_xlfn.NORM.S.DIST(($EE6-SQRT(ImpliedCorrelation)*EY$3)/SQRT(1-ImpliedCorrelation),TRUE))</f>
        <v>2.0345501809126223E-8</v>
      </c>
      <c r="EZ6" s="353">
        <f ca="1">IF($AA6&gt;CDS.Tenor,"-",_xlfn.NORM.S.DIST(($EE6-SQRT(ImpliedCorrelation)*EZ$3)/SQRT(1-ImpliedCorrelation),TRUE))</f>
        <v>3.0289212841718786E-9</v>
      </c>
      <c r="FA6" s="353">
        <f ca="1">IF($AA6&gt;CDS.Tenor,"-",_xlfn.NORM.S.DIST(($EE6-SQRT(ImpliedCorrelation)*FA$3)/SQRT(1-ImpliedCorrelation),TRUE))</f>
        <v>4.0621478112217031E-10</v>
      </c>
      <c r="FB6" s="354">
        <f ca="1">IF($AA6&gt;CDS.Tenor,"-",_xlfn.NORM.S.DIST(($EE6-SQRT(ImpliedCorrelation)*FB$3)/SQRT(1-ImpliedCorrelation),TRUE))</f>
        <v>4.9064168244483239E-11</v>
      </c>
      <c r="FD6" s="358">
        <f t="shared" si="156"/>
        <v>0.5</v>
      </c>
      <c r="FE6" s="353">
        <f t="shared" ca="1" si="157"/>
        <v>0.46941918419342876</v>
      </c>
      <c r="FF6" s="353">
        <f t="shared" ca="1" si="158"/>
        <v>0.59893710025857116</v>
      </c>
      <c r="FG6" s="353">
        <f t="shared" ca="1" si="159"/>
        <v>0.71834218603994937</v>
      </c>
      <c r="FH6" s="353">
        <f t="shared" ca="1" si="160"/>
        <v>0.81733366474601477</v>
      </c>
      <c r="FI6" s="353">
        <f t="shared" ca="1" si="161"/>
        <v>0.89113325959246292</v>
      </c>
      <c r="FJ6" s="353">
        <f t="shared" ca="1" si="162"/>
        <v>0.94060874080899592</v>
      </c>
      <c r="FK6" s="353">
        <f t="shared" ca="1" si="163"/>
        <v>0.9704353721299912</v>
      </c>
      <c r="FL6" s="353">
        <f t="shared" ca="1" si="164"/>
        <v>0.98660478729420376</v>
      </c>
      <c r="FM6" s="353">
        <f t="shared" ca="1" si="165"/>
        <v>0.99448717341943882</v>
      </c>
      <c r="FN6" s="353">
        <f t="shared" ca="1" si="166"/>
        <v>0.99794251767602582</v>
      </c>
      <c r="FO6" s="353">
        <f t="shared" ca="1" si="167"/>
        <v>0.99930456342039597</v>
      </c>
      <c r="FP6" s="353">
        <f t="shared" ca="1" si="168"/>
        <v>0.99978734974257433</v>
      </c>
      <c r="FQ6" s="353">
        <f t="shared" ca="1" si="169"/>
        <v>0.99994122786677031</v>
      </c>
      <c r="FR6" s="353">
        <f t="shared" ca="1" si="170"/>
        <v>0.999985329318964</v>
      </c>
      <c r="FS6" s="353">
        <f t="shared" ca="1" si="171"/>
        <v>0.99999669454477458</v>
      </c>
      <c r="FT6" s="353">
        <f t="shared" ca="1" si="172"/>
        <v>0.9999993281289562</v>
      </c>
      <c r="FU6" s="353">
        <f t="shared" ca="1" si="173"/>
        <v>0.99999987685402625</v>
      </c>
      <c r="FV6" s="353">
        <f t="shared" ca="1" si="174"/>
        <v>0.99999997965449816</v>
      </c>
      <c r="FW6" s="353">
        <f t="shared" ca="1" si="175"/>
        <v>0.99999999697107866</v>
      </c>
      <c r="FX6" s="353">
        <f t="shared" ca="1" si="176"/>
        <v>0.99999999959378527</v>
      </c>
      <c r="FY6" s="354">
        <f t="shared" ca="1" si="177"/>
        <v>0.9999999999509358</v>
      </c>
      <c r="GB6" s="358">
        <f t="shared" si="178"/>
        <v>0.5</v>
      </c>
      <c r="GC6" s="353">
        <f ca="1">IF($GB6&gt;CDS.Tenor,"-",BE6*DE6*FE6)</f>
        <v>0.12729863847665526</v>
      </c>
      <c r="GD6" s="353">
        <f ca="1">IF($GB6&gt;CDS.Tenor,"-",BF6*DF6*FF6)</f>
        <v>0.25131823285602994</v>
      </c>
      <c r="GE6" s="353">
        <f ca="1">IF($GB6&gt;CDS.Tenor,"-",BG6*DG6*FG6)</f>
        <v>0.41500295051635416</v>
      </c>
      <c r="GF6" s="353">
        <f ca="1">IF($GB6&gt;CDS.Tenor,"-",BH6*DH6*FH6)</f>
        <v>0.58967086164297022</v>
      </c>
      <c r="GG6" s="353">
        <f ca="1">IF($GB6&gt;CDS.Tenor,"-",BI6*DI6*FI6)</f>
        <v>0.74322463836575903</v>
      </c>
      <c r="GH6" s="353">
        <f ca="1">IF($GB6&gt;CDS.Tenor,"-",BJ6*DJ6*FJ6)</f>
        <v>0.85663350910005831</v>
      </c>
      <c r="GI6" s="353">
        <f ca="1">IF($GB6&gt;CDS.Tenor,"-",BK6*DK6*FK6)</f>
        <v>0.92834075499369106</v>
      </c>
      <c r="GJ6" s="353">
        <f ca="1">IF($GB6&gt;CDS.Tenor,"-",BL6*DL6*FL6)</f>
        <v>0.96780384778774931</v>
      </c>
      <c r="GK6" s="353">
        <f ca="1">IF($GB6&gt;CDS.Tenor,"-",BM6*DM6*FM6)</f>
        <v>0.98695431000999378</v>
      </c>
      <c r="GL6" s="353">
        <f ca="1">IF($GB6&gt;CDS.Tenor,"-",BN6*DN6*FN6)</f>
        <v>0.99522358379266684</v>
      </c>
      <c r="GM6" s="353">
        <f ca="1">IF($GB6&gt;CDS.Tenor,"-",BO6*DO6*FO6)</f>
        <v>0.99841863532444619</v>
      </c>
      <c r="GN6" s="353">
        <f ca="1">IF($GB6&gt;CDS.Tenor,"-",BP6*DP6*FP6)</f>
        <v>0.99952658463399724</v>
      </c>
      <c r="GO6" s="353">
        <f ca="1">IF($GB6&gt;CDS.Tenor,"-",BQ6*DQ6*FQ6)</f>
        <v>0.99987189909318219</v>
      </c>
      <c r="GP6" s="353">
        <f ca="1">IF($GB6&gt;CDS.Tenor,"-",BR6*DR6*FR6)</f>
        <v>0.99996868691635876</v>
      </c>
      <c r="GQ6" s="353">
        <f ca="1">IF($GB6&gt;CDS.Tenor,"-",BS6*DS6*FS6)</f>
        <v>0.99999308919096708</v>
      </c>
      <c r="GR6" s="353">
        <f ca="1">IF($GB6&gt;CDS.Tenor,"-",BT6*DT6*FT6)</f>
        <v>0.99999862358416092</v>
      </c>
      <c r="GS6" s="353">
        <f ca="1">IF($GB6&gt;CDS.Tenor,"-",BU6*DU6*FU6)</f>
        <v>0.99999975271175923</v>
      </c>
      <c r="GT6" s="353">
        <f ca="1">IF($GB6&gt;CDS.Tenor,"-",BV6*DV6*FV6)</f>
        <v>0.99999995993817803</v>
      </c>
      <c r="GU6" s="353">
        <f ca="1">IF($GB6&gt;CDS.Tenor,"-",BW6*DW6*FW6)</f>
        <v>0.99999999414949581</v>
      </c>
      <c r="GV6" s="353">
        <f ca="1">IF($GB6&gt;CDS.Tenor,"-",BX6*DX6*FX6)</f>
        <v>0.99999999923003458</v>
      </c>
      <c r="GW6" s="354">
        <f ca="1">IF($GB6&gt;CDS.Tenor,"-",BY6*DY6*FY6)</f>
        <v>0.99999999990870236</v>
      </c>
      <c r="GX6" s="42"/>
      <c r="GY6" s="42"/>
      <c r="GZ6" s="358">
        <f t="shared" si="179"/>
        <v>0.5</v>
      </c>
      <c r="HA6" s="362">
        <f t="shared" ca="1" si="180"/>
        <v>0.9910944835714729</v>
      </c>
      <c r="HB6" s="363">
        <f t="shared" ca="1" si="181"/>
        <v>4.4094803087941781E-3</v>
      </c>
    </row>
    <row r="7" spans="2:231" x14ac:dyDescent="0.3">
      <c r="B7" s="116" t="s">
        <v>339</v>
      </c>
      <c r="D7" s="50" t="s">
        <v>335</v>
      </c>
      <c r="H7" s="340"/>
      <c r="I7" s="370">
        <f t="shared" si="86"/>
        <v>0.75</v>
      </c>
      <c r="J7" s="371">
        <f t="shared" si="87"/>
        <v>-25000</v>
      </c>
      <c r="K7" s="348">
        <f t="shared" ca="1" si="88"/>
        <v>0.9867465597955315</v>
      </c>
      <c r="L7" s="348">
        <f t="shared" ca="1" si="89"/>
        <v>4.347923775941398E-3</v>
      </c>
      <c r="M7" s="372" cm="1">
        <f t="array" ref="M7">IF($I7&gt;CDS.Tenor,"-",cubicInterpolation(CurveResults.Times,CurveResults.DFs,$I7))</f>
        <v>0.96604126005158042</v>
      </c>
      <c r="N7" s="371">
        <f t="shared" ca="1" si="90"/>
        <v>-23830.947249410936</v>
      </c>
      <c r="O7" s="371">
        <f t="shared" ca="1" si="91"/>
        <v>-52.503422038983167</v>
      </c>
      <c r="P7" s="373">
        <f t="shared" ca="1" si="92"/>
        <v>-23883.450671449918</v>
      </c>
      <c r="S7" s="370">
        <f t="shared" si="93"/>
        <v>0.75</v>
      </c>
      <c r="T7" s="371">
        <f t="shared" si="94"/>
        <v>6000000</v>
      </c>
      <c r="U7" s="348">
        <f ca="1">IF($I7&gt;CDS.Tenor,"-",HA7)</f>
        <v>0.9867465597955315</v>
      </c>
      <c r="V7" s="348">
        <f t="shared" ca="1" si="95"/>
        <v>4.347923775941398E-3</v>
      </c>
      <c r="W7" s="372" cm="1">
        <f t="array" ref="W7">IF($S7&gt;CDS.Tenor,"-",cubicInterpolation(CurveResults.Times,CurveResults.DFs,$I7))</f>
        <v>0.96604126005158042</v>
      </c>
      <c r="X7" s="373">
        <f t="shared" ca="1" si="96"/>
        <v>25201.642578711919</v>
      </c>
      <c r="AA7" s="358">
        <f t="shared" si="97"/>
        <v>0.75</v>
      </c>
      <c r="AB7" s="343" cm="1">
        <f t="array" aca="1" ref="AB7" ca="1">IF($AA7&gt;CDS.Tenor,"-",flatInterpolation(Z7,INDIRECT(HazardRateTimes1),INDIRECT(HazardRateValues1)))</f>
        <v>5.0000000000000001E-3</v>
      </c>
      <c r="AC7" s="10">
        <f t="shared" ca="1" si="98"/>
        <v>0.99625702246917114</v>
      </c>
      <c r="AD7" s="10">
        <f t="shared" ca="1" si="99"/>
        <v>3.7429775308288615E-3</v>
      </c>
      <c r="AE7" s="81">
        <f t="shared" ca="1" si="100"/>
        <v>-2.674415895292356</v>
      </c>
      <c r="AG7" s="358">
        <f t="shared" si="101"/>
        <v>0.75</v>
      </c>
      <c r="AH7" s="353">
        <f t="shared" ca="1" si="102"/>
        <v>0.53058081580657124</v>
      </c>
      <c r="AI7" s="353">
        <f t="shared" ca="1" si="102"/>
        <v>0.40106289974142884</v>
      </c>
      <c r="AJ7" s="353">
        <f t="shared" ca="1" si="102"/>
        <v>0.28165781396005063</v>
      </c>
      <c r="AK7" s="353">
        <f t="shared" ca="1" si="102"/>
        <v>0.18266633525398529</v>
      </c>
      <c r="AL7" s="353">
        <f t="shared" ca="1" si="102"/>
        <v>0.10886674040753706</v>
      </c>
      <c r="AM7" s="353">
        <f t="shared" ca="1" si="102"/>
        <v>5.9391259191004124E-2</v>
      </c>
      <c r="AN7" s="353">
        <f t="shared" ca="1" si="102"/>
        <v>2.9564627870008839E-2</v>
      </c>
      <c r="AO7" s="353">
        <f t="shared" ca="1" si="102"/>
        <v>1.3395212705796203E-2</v>
      </c>
      <c r="AP7" s="353">
        <f t="shared" ca="1" si="102"/>
        <v>5.5128265805611931E-3</v>
      </c>
      <c r="AQ7" s="353">
        <f t="shared" ca="1" si="102"/>
        <v>2.0574823239741299E-3</v>
      </c>
      <c r="AR7" s="353">
        <f t="shared" ca="1" si="103"/>
        <v>6.9543657960397442E-4</v>
      </c>
      <c r="AS7" s="353">
        <f t="shared" ca="1" si="103"/>
        <v>2.126502574256299E-4</v>
      </c>
      <c r="AT7" s="353">
        <f t="shared" ca="1" si="103"/>
        <v>5.8772133229739475E-5</v>
      </c>
      <c r="AU7" s="353">
        <f t="shared" ca="1" si="103"/>
        <v>1.4670681036004423E-5</v>
      </c>
      <c r="AV7" s="353">
        <f t="shared" ca="1" si="103"/>
        <v>3.3054552253696829E-6</v>
      </c>
      <c r="AW7" s="353">
        <f t="shared" ca="1" si="103"/>
        <v>6.7187104378544366E-7</v>
      </c>
      <c r="AX7" s="353">
        <f t="shared" ca="1" si="103"/>
        <v>1.2314597377152358E-7</v>
      </c>
      <c r="AY7" s="353">
        <f t="shared" ca="1" si="103"/>
        <v>2.0345501809126223E-8</v>
      </c>
      <c r="AZ7" s="353">
        <f t="shared" ca="1" si="103"/>
        <v>3.0289212841718786E-9</v>
      </c>
      <c r="BA7" s="353">
        <f t="shared" ca="1" si="103"/>
        <v>4.0621478112217031E-10</v>
      </c>
      <c r="BB7" s="354">
        <f t="shared" ca="1" si="103"/>
        <v>4.9064168244483239E-11</v>
      </c>
      <c r="BD7" s="358">
        <f t="shared" si="104"/>
        <v>0.75</v>
      </c>
      <c r="BE7" s="353">
        <f t="shared" ca="1" si="105"/>
        <v>0.46941918419342876</v>
      </c>
      <c r="BF7" s="353">
        <f t="shared" ca="1" si="106"/>
        <v>0.59893710025857116</v>
      </c>
      <c r="BG7" s="353">
        <f t="shared" ca="1" si="107"/>
        <v>0.71834218603994937</v>
      </c>
      <c r="BH7" s="353">
        <f t="shared" ca="1" si="108"/>
        <v>0.81733366474601477</v>
      </c>
      <c r="BI7" s="353">
        <f t="shared" ca="1" si="109"/>
        <v>0.89113325959246292</v>
      </c>
      <c r="BJ7" s="353">
        <f t="shared" ca="1" si="110"/>
        <v>0.94060874080899592</v>
      </c>
      <c r="BK7" s="353">
        <f t="shared" ca="1" si="111"/>
        <v>0.9704353721299912</v>
      </c>
      <c r="BL7" s="353">
        <f t="shared" ca="1" si="112"/>
        <v>0.98660478729420376</v>
      </c>
      <c r="BM7" s="353">
        <f t="shared" ca="1" si="113"/>
        <v>0.99448717341943882</v>
      </c>
      <c r="BN7" s="353">
        <f t="shared" ca="1" si="114"/>
        <v>0.99794251767602582</v>
      </c>
      <c r="BO7" s="353">
        <f t="shared" ca="1" si="115"/>
        <v>0.99930456342039597</v>
      </c>
      <c r="BP7" s="353">
        <f t="shared" ca="1" si="116"/>
        <v>0.99978734974257433</v>
      </c>
      <c r="BQ7" s="353">
        <f t="shared" ca="1" si="117"/>
        <v>0.99994122786677031</v>
      </c>
      <c r="BR7" s="353">
        <f t="shared" ca="1" si="118"/>
        <v>0.999985329318964</v>
      </c>
      <c r="BS7" s="353">
        <f t="shared" ca="1" si="119"/>
        <v>0.99999669454477458</v>
      </c>
      <c r="BT7" s="353">
        <f t="shared" ca="1" si="120"/>
        <v>0.9999993281289562</v>
      </c>
      <c r="BU7" s="353">
        <f t="shared" ca="1" si="121"/>
        <v>0.99999987685402625</v>
      </c>
      <c r="BV7" s="353">
        <f t="shared" ca="1" si="122"/>
        <v>0.99999997965449816</v>
      </c>
      <c r="BW7" s="353">
        <f t="shared" ca="1" si="123"/>
        <v>0.99999999697107866</v>
      </c>
      <c r="BX7" s="353">
        <f t="shared" ca="1" si="124"/>
        <v>0.99999999959378527</v>
      </c>
      <c r="BY7" s="354">
        <f t="shared" ca="1" si="125"/>
        <v>0.9999999999509358</v>
      </c>
      <c r="BZ7" s="17"/>
      <c r="CA7" s="17"/>
      <c r="CB7" s="343" cm="1">
        <f t="array" aca="1" ref="CB7" ca="1">IF($AA7&gt;CDS.Tenor,"-",flatInterpolation(AA7,INDIRECT(HazardRateTimes2),INDIRECT(HazardRateValues2)))</f>
        <v>5.8333333333333336E-3</v>
      </c>
      <c r="CC7" s="10">
        <f t="shared" ca="1" si="126"/>
        <v>0.99563455637104614</v>
      </c>
      <c r="CD7" s="10">
        <f t="shared" ca="1" si="127"/>
        <v>4.3654436289538578E-3</v>
      </c>
      <c r="CE7" s="81">
        <f t="shared" ca="1" si="128"/>
        <v>-2.6224156678707979</v>
      </c>
      <c r="CG7" s="358">
        <f t="shared" si="129"/>
        <v>0.75</v>
      </c>
      <c r="CH7" s="353">
        <f ca="1">IF($AA7&gt;CDS.Tenor,"-",_xlfn.NORM.S.DIST(($CE7-SQRT(ImpliedCorrelation)*CH$3)/SQRT(1-ImpliedCorrelation),TRUE))</f>
        <v>0.55522835058364839</v>
      </c>
      <c r="CI7" s="353">
        <f ca="1">IF($AA7&gt;CDS.Tenor,"-",_xlfn.NORM.S.DIST(($CE7-SQRT(ImpliedCorrelation)*CI$3)/SQRT(1-ImpliedCorrelation),TRUE))</f>
        <v>0.42526402555475024</v>
      </c>
      <c r="CJ7" s="353">
        <f ca="1">IF($AA7&gt;CDS.Tenor,"-",_xlfn.NORM.S.DIST(($CE7-SQRT(ImpliedCorrelation)*CJ$3)/SQRT(1-ImpliedCorrelation),TRUE))</f>
        <v>0.30300698791335812</v>
      </c>
      <c r="CK7" s="353">
        <f ca="1">IF($AA7&gt;CDS.Tenor,"-",_xlfn.NORM.S.DIST(($CE7-SQRT(ImpliedCorrelation)*CK$3)/SQRT(1-ImpliedCorrelation),TRUE))</f>
        <v>0.199586711142095</v>
      </c>
      <c r="CL7" s="353">
        <f ca="1">IF($AA7&gt;CDS.Tenor,"-",_xlfn.NORM.S.DIST(($CE7-SQRT(ImpliedCorrelation)*CL$3)/SQRT(1-ImpliedCorrelation),TRUE))</f>
        <v>0.1209149457447494</v>
      </c>
      <c r="CM7" s="353">
        <f ca="1">IF($AA7&gt;CDS.Tenor,"-",_xlfn.NORM.S.DIST(($CE7-SQRT(ImpliedCorrelation)*CM$3)/SQRT(1-ImpliedCorrelation),TRUE))</f>
        <v>6.7098840866369691E-2</v>
      </c>
      <c r="CN7" s="353">
        <f ca="1">IF($AA7&gt;CDS.Tenor,"-",_xlfn.NORM.S.DIST(($CE7-SQRT(ImpliedCorrelation)*CN$3)/SQRT(1-ImpliedCorrelation),TRUE))</f>
        <v>3.3994562615646449E-2</v>
      </c>
      <c r="CO7" s="353">
        <f ca="1">IF($AA7&gt;CDS.Tenor,"-",_xlfn.NORM.S.DIST(($CE7-SQRT(ImpliedCorrelation)*CO$3)/SQRT(1-ImpliedCorrelation),TRUE))</f>
        <v>1.5682706569345041E-2</v>
      </c>
      <c r="CP7" s="353">
        <f ca="1">IF($AA7&gt;CDS.Tenor,"-",_xlfn.NORM.S.DIST(($CE7-SQRT(ImpliedCorrelation)*CP$3)/SQRT(1-ImpliedCorrelation),TRUE))</f>
        <v>6.5740478797696863E-3</v>
      </c>
      <c r="CQ7" s="353">
        <f ca="1">IF($AA7&gt;CDS.Tenor,"-",_xlfn.NORM.S.DIST(($CE7-SQRT(ImpliedCorrelation)*CQ$3)/SQRT(1-ImpliedCorrelation),TRUE))</f>
        <v>2.4998011101384989E-3</v>
      </c>
      <c r="CR7" s="353">
        <f ca="1">IF($AA7&gt;CDS.Tenor,"-",_xlfn.NORM.S.DIST(($CE7-SQRT(ImpliedCorrelation)*CR$3)/SQRT(1-ImpliedCorrelation),TRUE))</f>
        <v>8.6107009306458796E-4</v>
      </c>
      <c r="CS7" s="353">
        <f ca="1">IF($AA7&gt;CDS.Tenor,"-",_xlfn.NORM.S.DIST(($CE7-SQRT(ImpliedCorrelation)*CS$3)/SQRT(1-ImpliedCorrelation),TRUE))</f>
        <v>2.68374534098337E-4</v>
      </c>
      <c r="CT7" s="353">
        <f ca="1">IF($AA7&gt;CDS.Tenor,"-",_xlfn.NORM.S.DIST(($CE7-SQRT(ImpliedCorrelation)*CT$3)/SQRT(1-ImpliedCorrelation),TRUE))</f>
        <v>7.5615311891463706E-5</v>
      </c>
      <c r="CU7" s="353">
        <f ca="1">IF($AA7&gt;CDS.Tenor,"-",_xlfn.NORM.S.DIST(($CE7-SQRT(ImpliedCorrelation)*CU$3)/SQRT(1-ImpliedCorrelation),TRUE))</f>
        <v>1.924458513038754E-5</v>
      </c>
      <c r="CV7" s="353">
        <f ca="1">IF($AA7&gt;CDS.Tenor,"-",_xlfn.NORM.S.DIST(($CE7-SQRT(ImpliedCorrelation)*CV$3)/SQRT(1-ImpliedCorrelation),TRUE))</f>
        <v>4.4213761687210238E-6</v>
      </c>
      <c r="CW7" s="353">
        <f ca="1">IF($AA7&gt;CDS.Tenor,"-",_xlfn.NORM.S.DIST(($CE7-SQRT(ImpliedCorrelation)*CW$3)/SQRT(1-ImpliedCorrelation),TRUE))</f>
        <v>9.1647482721205638E-7</v>
      </c>
      <c r="CX7" s="353">
        <f ca="1">IF($AA7&gt;CDS.Tenor,"-",_xlfn.NORM.S.DIST(($CE7-SQRT(ImpliedCorrelation)*CX$3)/SQRT(1-ImpliedCorrelation),TRUE))</f>
        <v>1.7131593212781557E-7</v>
      </c>
      <c r="CY7" s="353">
        <f ca="1">IF($AA7&gt;CDS.Tenor,"-",_xlfn.NORM.S.DIST(($CE7-SQRT(ImpliedCorrelation)*CY$3)/SQRT(1-ImpliedCorrelation),TRUE))</f>
        <v>2.8868113882203142E-8</v>
      </c>
      <c r="CZ7" s="353">
        <f ca="1">IF($AA7&gt;CDS.Tenor,"-",_xlfn.NORM.S.DIST(($CE7-SQRT(ImpliedCorrelation)*CZ$3)/SQRT(1-ImpliedCorrelation),TRUE))</f>
        <v>4.3836505428775365E-9</v>
      </c>
      <c r="DA7" s="353">
        <f ca="1">IF($AA7&gt;CDS.Tenor,"-",_xlfn.NORM.S.DIST(($CE7-SQRT(ImpliedCorrelation)*DA$3)/SQRT(1-ImpliedCorrelation),TRUE))</f>
        <v>5.9968567097568587E-10</v>
      </c>
      <c r="DB7" s="354">
        <f ca="1">IF($AA7&gt;CDS.Tenor,"-",_xlfn.NORM.S.DIST(($CE7-SQRT(ImpliedCorrelation)*DB$3)/SQRT(1-ImpliedCorrelation),TRUE))</f>
        <v>7.3887613978370941E-11</v>
      </c>
      <c r="DD7" s="358">
        <f t="shared" si="130"/>
        <v>0.75</v>
      </c>
      <c r="DE7" s="353">
        <f t="shared" ca="1" si="131"/>
        <v>0.44477164941635161</v>
      </c>
      <c r="DF7" s="353">
        <f t="shared" ca="1" si="132"/>
        <v>0.57473597444524982</v>
      </c>
      <c r="DG7" s="353">
        <f t="shared" ca="1" si="133"/>
        <v>0.69699301208664188</v>
      </c>
      <c r="DH7" s="353">
        <f t="shared" ca="1" si="134"/>
        <v>0.80041328885790497</v>
      </c>
      <c r="DI7" s="353">
        <f t="shared" ca="1" si="135"/>
        <v>0.87908505425525063</v>
      </c>
      <c r="DJ7" s="353">
        <f t="shared" ca="1" si="136"/>
        <v>0.93290115913363025</v>
      </c>
      <c r="DK7" s="353">
        <f t="shared" ca="1" si="137"/>
        <v>0.96600543738435352</v>
      </c>
      <c r="DL7" s="353">
        <f t="shared" ca="1" si="138"/>
        <v>0.98431729343065499</v>
      </c>
      <c r="DM7" s="353">
        <f t="shared" ca="1" si="139"/>
        <v>0.99342595212023033</v>
      </c>
      <c r="DN7" s="353">
        <f t="shared" ca="1" si="140"/>
        <v>0.99750019888986152</v>
      </c>
      <c r="DO7" s="353">
        <f t="shared" ca="1" si="141"/>
        <v>0.99913892990693542</v>
      </c>
      <c r="DP7" s="353">
        <f t="shared" ca="1" si="142"/>
        <v>0.99973162546590166</v>
      </c>
      <c r="DQ7" s="353">
        <f t="shared" ca="1" si="143"/>
        <v>0.99992438468810851</v>
      </c>
      <c r="DR7" s="353">
        <f t="shared" ca="1" si="144"/>
        <v>0.99998075541486964</v>
      </c>
      <c r="DS7" s="353">
        <f t="shared" ca="1" si="145"/>
        <v>0.99999557862383126</v>
      </c>
      <c r="DT7" s="353">
        <f t="shared" ca="1" si="146"/>
        <v>0.99999908352517275</v>
      </c>
      <c r="DU7" s="353">
        <f t="shared" ca="1" si="147"/>
        <v>0.99999982868406789</v>
      </c>
      <c r="DV7" s="353">
        <f t="shared" ca="1" si="148"/>
        <v>0.9999999711318861</v>
      </c>
      <c r="DW7" s="353">
        <f t="shared" ca="1" si="149"/>
        <v>0.99999999561634945</v>
      </c>
      <c r="DX7" s="353">
        <f t="shared" ca="1" si="150"/>
        <v>0.99999999940031437</v>
      </c>
      <c r="DY7" s="354">
        <f t="shared" ca="1" si="151"/>
        <v>0.99999999992611244</v>
      </c>
      <c r="DZ7" s="17"/>
      <c r="EA7" s="17"/>
      <c r="EB7" s="343" cm="1">
        <f t="array" aca="1" ref="EB7" ca="1">IF($AA7&gt;CDS.Tenor,"-",flatInterpolation(CC7,INDIRECT(HazardRateTimes3),INDIRECT(HazardRateValues3)))</f>
        <v>7.4999999999999997E-3</v>
      </c>
      <c r="EC7" s="10">
        <f t="shared" ca="1" si="152"/>
        <v>0.99439079069108094</v>
      </c>
      <c r="ED7" s="10">
        <f t="shared" ca="1" si="153"/>
        <v>5.6092093089190609E-3</v>
      </c>
      <c r="EE7" s="81">
        <f t="shared" ca="1" si="154"/>
        <v>-2.5358206071736928</v>
      </c>
      <c r="EG7" s="358">
        <f t="shared" si="155"/>
        <v>0.75</v>
      </c>
      <c r="EH7" s="353">
        <f ca="1">IF($AA7&gt;CDS.Tenor,"-",_xlfn.NORM.S.DIST(($EE7-SQRT(ImpliedCorrelation)*EH$3)/SQRT(1-ImpliedCorrelation),TRUE))</f>
        <v>0.59575830321410861</v>
      </c>
      <c r="EI7" s="353">
        <f ca="1">IF($AA7&gt;CDS.Tenor,"-",_xlfn.NORM.S.DIST(($EE7-SQRT(ImpliedCorrelation)*EI$3)/SQRT(1-ImpliedCorrelation),TRUE))</f>
        <v>0.46615302730662084</v>
      </c>
      <c r="EJ7" s="353">
        <f ca="1">IF($AA7&gt;CDS.Tenor,"-",_xlfn.NORM.S.DIST(($EE7-SQRT(ImpliedCorrelation)*EJ$3)/SQRT(1-ImpliedCorrelation),TRUE))</f>
        <v>0.34007052742224753</v>
      </c>
      <c r="EK7" s="353">
        <f ca="1">IF($AA7&gt;CDS.Tenor,"-",_xlfn.NORM.S.DIST(($EE7-SQRT(ImpliedCorrelation)*EK$3)/SQRT(1-ImpliedCorrelation),TRUE))</f>
        <v>0.22977213246268668</v>
      </c>
      <c r="EL7" s="353">
        <f ca="1">IF($AA7&gt;CDS.Tenor,"-",_xlfn.NORM.S.DIST(($EE7-SQRT(ImpliedCorrelation)*EL$3)/SQRT(1-ImpliedCorrelation),TRUE))</f>
        <v>0.14300300459255236</v>
      </c>
      <c r="EM7" s="353">
        <f ca="1">IF($AA7&gt;CDS.Tenor,"-",_xlfn.NORM.S.DIST(($EE7-SQRT(ImpliedCorrelation)*EM$3)/SQRT(1-ImpliedCorrelation),TRUE))</f>
        <v>8.16208867153949E-2</v>
      </c>
      <c r="EN7" s="353">
        <f ca="1">IF($AA7&gt;CDS.Tenor,"-",_xlfn.NORM.S.DIST(($EE7-SQRT(ImpliedCorrelation)*EN$3)/SQRT(1-ImpliedCorrelation),TRUE))</f>
        <v>4.2572995978512329E-2</v>
      </c>
      <c r="EO7" s="353">
        <f ca="1">IF($AA7&gt;CDS.Tenor,"-",_xlfn.NORM.S.DIST(($EE7-SQRT(ImpliedCorrelation)*EO$3)/SQRT(1-ImpliedCorrelation),TRUE))</f>
        <v>2.0235710892308179E-2</v>
      </c>
      <c r="EP7" s="353">
        <f ca="1">IF($AA7&gt;CDS.Tenor,"-",_xlfn.NORM.S.DIST(($EE7-SQRT(ImpliedCorrelation)*EP$3)/SQRT(1-ImpliedCorrelation),TRUE))</f>
        <v>8.7452388163348303E-3</v>
      </c>
      <c r="EQ7" s="353">
        <f ca="1">IF($AA7&gt;CDS.Tenor,"-",_xlfn.NORM.S.DIST(($EE7-SQRT(ImpliedCorrelation)*EQ$3)/SQRT(1-ImpliedCorrelation),TRUE))</f>
        <v>3.4300685347494154E-3</v>
      </c>
      <c r="ER7" s="353">
        <f ca="1">IF($AA7&gt;CDS.Tenor,"-",_xlfn.NORM.S.DIST(($EE7-SQRT(ImpliedCorrelation)*ER$3)/SQRT(1-ImpliedCorrelation),TRUE))</f>
        <v>1.21918913442769E-3</v>
      </c>
      <c r="ES7" s="353">
        <f ca="1">IF($AA7&gt;CDS.Tenor,"-",_xlfn.NORM.S.DIST(($EE7-SQRT(ImpliedCorrelation)*ES$3)/SQRT(1-ImpliedCorrelation),TRUE))</f>
        <v>3.9224186364703468E-4</v>
      </c>
      <c r="ET7" s="353">
        <f ca="1">IF($AA7&gt;CDS.Tenor,"-",_xlfn.NORM.S.DIST(($EE7-SQRT(ImpliedCorrelation)*ET$3)/SQRT(1-ImpliedCorrelation),TRUE))</f>
        <v>1.1410956087800025E-4</v>
      </c>
      <c r="EU7" s="353">
        <f ca="1">IF($AA7&gt;CDS.Tenor,"-",_xlfn.NORM.S.DIST(($EE7-SQRT(ImpliedCorrelation)*EU$3)/SQRT(1-ImpliedCorrelation),TRUE))</f>
        <v>2.9993004199872542E-5</v>
      </c>
      <c r="EV7" s="353">
        <f ca="1">IF($AA7&gt;CDS.Tenor,"-",_xlfn.NORM.S.DIST(($EE7-SQRT(ImpliedCorrelation)*EV$3)/SQRT(1-ImpliedCorrelation),TRUE))</f>
        <v>7.117891773149673E-6</v>
      </c>
      <c r="EW7" s="353">
        <f ca="1">IF($AA7&gt;CDS.Tenor,"-",_xlfn.NORM.S.DIST(($EE7-SQRT(ImpliedCorrelation)*EW$3)/SQRT(1-ImpliedCorrelation),TRUE))</f>
        <v>1.5242890127406703E-6</v>
      </c>
      <c r="EX7" s="353">
        <f ca="1">IF($AA7&gt;CDS.Tenor,"-",_xlfn.NORM.S.DIST(($EE7-SQRT(ImpliedCorrelation)*EX$3)/SQRT(1-ImpliedCorrelation),TRUE))</f>
        <v>2.9441314139547636E-7</v>
      </c>
      <c r="EY7" s="353">
        <f ca="1">IF($AA7&gt;CDS.Tenor,"-",_xlfn.NORM.S.DIST(($EE7-SQRT(ImpliedCorrelation)*EY$3)/SQRT(1-ImpliedCorrelation),TRUE))</f>
        <v>5.1267442158977278E-8</v>
      </c>
      <c r="EZ7" s="353">
        <f ca="1">IF($AA7&gt;CDS.Tenor,"-",_xlfn.NORM.S.DIST(($EE7-SQRT(ImpliedCorrelation)*EZ$3)/SQRT(1-ImpliedCorrelation),TRUE))</f>
        <v>8.0457583074550269E-9</v>
      </c>
      <c r="FA7" s="353">
        <f ca="1">IF($AA7&gt;CDS.Tenor,"-",_xlfn.NORM.S.DIST(($EE7-SQRT(ImpliedCorrelation)*FA$3)/SQRT(1-ImpliedCorrelation),TRUE))</f>
        <v>1.1376289736438399E-9</v>
      </c>
      <c r="FB7" s="354">
        <f ca="1">IF($AA7&gt;CDS.Tenor,"-",_xlfn.NORM.S.DIST(($EE7-SQRT(ImpliedCorrelation)*FB$3)/SQRT(1-ImpliedCorrelation),TRUE))</f>
        <v>1.4488642344422656E-10</v>
      </c>
      <c r="FD7" s="358">
        <f t="shared" si="156"/>
        <v>0.75</v>
      </c>
      <c r="FE7" s="353">
        <f t="shared" ca="1" si="157"/>
        <v>0.40424169678589139</v>
      </c>
      <c r="FF7" s="353">
        <f t="shared" ca="1" si="158"/>
        <v>0.53384697269337922</v>
      </c>
      <c r="FG7" s="353">
        <f t="shared" ca="1" si="159"/>
        <v>0.65992947257775247</v>
      </c>
      <c r="FH7" s="353">
        <f t="shared" ca="1" si="160"/>
        <v>0.77022786753731332</v>
      </c>
      <c r="FI7" s="353">
        <f t="shared" ca="1" si="161"/>
        <v>0.85699699540744767</v>
      </c>
      <c r="FJ7" s="353">
        <f t="shared" ca="1" si="162"/>
        <v>0.91837911328460509</v>
      </c>
      <c r="FK7" s="353">
        <f t="shared" ca="1" si="163"/>
        <v>0.95742700402148762</v>
      </c>
      <c r="FL7" s="353">
        <f t="shared" ca="1" si="164"/>
        <v>0.97976428910769187</v>
      </c>
      <c r="FM7" s="353">
        <f t="shared" ca="1" si="165"/>
        <v>0.99125476118366518</v>
      </c>
      <c r="FN7" s="353">
        <f t="shared" ca="1" si="166"/>
        <v>0.99656993146525064</v>
      </c>
      <c r="FO7" s="353">
        <f t="shared" ca="1" si="167"/>
        <v>0.99878081086557235</v>
      </c>
      <c r="FP7" s="353">
        <f t="shared" ca="1" si="168"/>
        <v>0.99960775813635294</v>
      </c>
      <c r="FQ7" s="353">
        <f t="shared" ca="1" si="169"/>
        <v>0.99988589043912202</v>
      </c>
      <c r="FR7" s="353">
        <f t="shared" ca="1" si="170"/>
        <v>0.99997000699580008</v>
      </c>
      <c r="FS7" s="353">
        <f t="shared" ca="1" si="171"/>
        <v>0.9999928821082269</v>
      </c>
      <c r="FT7" s="353">
        <f t="shared" ca="1" si="172"/>
        <v>0.99999847571098721</v>
      </c>
      <c r="FU7" s="353">
        <f t="shared" ca="1" si="173"/>
        <v>0.99999970558685858</v>
      </c>
      <c r="FV7" s="353">
        <f t="shared" ca="1" si="174"/>
        <v>0.99999994873255782</v>
      </c>
      <c r="FW7" s="353">
        <f t="shared" ca="1" si="175"/>
        <v>0.99999999195424172</v>
      </c>
      <c r="FX7" s="353">
        <f t="shared" ca="1" si="176"/>
        <v>0.99999999886237101</v>
      </c>
      <c r="FY7" s="354">
        <f t="shared" ca="1" si="177"/>
        <v>0.99999999985511356</v>
      </c>
      <c r="GB7" s="358">
        <f t="shared" si="178"/>
        <v>0.75</v>
      </c>
      <c r="GC7" s="353">
        <f ca="1">IF($GB7&gt;CDS.Tenor,"-",BE7*DE7*FE7)</f>
        <v>8.4399337812929118E-2</v>
      </c>
      <c r="GD7" s="353">
        <f ca="1">IF($GB7&gt;CDS.Tenor,"-",BF7*DF7*FF7)</f>
        <v>0.18376651600794758</v>
      </c>
      <c r="GE7" s="353">
        <f ca="1">IF($GB7&gt;CDS.Tenor,"-",BG7*DG7*FG7)</f>
        <v>0.33041314777816988</v>
      </c>
      <c r="GF7" s="353">
        <f ca="1">IF($GB7&gt;CDS.Tenor,"-",BH7*DH7*FH7)</f>
        <v>0.50388671157407472</v>
      </c>
      <c r="GG7" s="353">
        <f ca="1">IF($GB7&gt;CDS.Tenor,"-",BI7*DI7*FI7)</f>
        <v>0.67135596014436427</v>
      </c>
      <c r="GH7" s="353">
        <f ca="1">IF($GB7&gt;CDS.Tenor,"-",BJ7*DJ7*FJ7)</f>
        <v>0.80587306586123097</v>
      </c>
      <c r="GI7" s="353">
        <f ca="1">IF($GB7&gt;CDS.Tenor,"-",BK7*DK7*FK7)</f>
        <v>0.89753596787126455</v>
      </c>
      <c r="GJ7" s="353">
        <f ca="1">IF($GB7&gt;CDS.Tenor,"-",BL7*DL7*FL7)</f>
        <v>0.95148060441030613</v>
      </c>
      <c r="GK7" s="353">
        <f ca="1">IF($GB7&gt;CDS.Tenor,"-",BM7*DM7*FM7)</f>
        <v>0.97930951397160271</v>
      </c>
      <c r="GL7" s="353">
        <f ca="1">IF($GB7&gt;CDS.Tenor,"-",BN7*DN7*FN7)</f>
        <v>0.99203340548038699</v>
      </c>
      <c r="GM7" s="353">
        <f ca="1">IF($GB7&gt;CDS.Tenor,"-",BO7*DO7*FO7)</f>
        <v>0.99722679995849262</v>
      </c>
      <c r="GN7" s="353">
        <f ca="1">IF($GB7&gt;CDS.Tenor,"-",BP7*DP7*FP7)</f>
        <v>0.99912697907041825</v>
      </c>
      <c r="GO7" s="353">
        <f ca="1">IF($GB7&gt;CDS.Tenor,"-",BQ7*DQ7*FQ7)</f>
        <v>0.99975152277245927</v>
      </c>
      <c r="GP7" s="353">
        <f ca="1">IF($GB7&gt;CDS.Tenor,"-",BR7*DR7*FR7)</f>
        <v>0.99993609302917708</v>
      </c>
      <c r="GQ7" s="353">
        <f ca="1">IF($GB7&gt;CDS.Tenor,"-",BS7*DS7*FS7)</f>
        <v>0.99998515534644605</v>
      </c>
      <c r="GR7" s="353">
        <f ca="1">IF($GB7&gt;CDS.Tenor,"-",BT7*DT7*FT7)</f>
        <v>0.99999688736815295</v>
      </c>
      <c r="GS7" s="353">
        <f ca="1">IF($GB7&gt;CDS.Tenor,"-",BU7*DU7*FU7)</f>
        <v>0.99999941112506052</v>
      </c>
      <c r="GT7" s="353">
        <f ca="1">IF($GB7&gt;CDS.Tenor,"-",BV7*DV7*FV7)</f>
        <v>0.99999989951894519</v>
      </c>
      <c r="GU7" s="353">
        <f ca="1">IF($GB7&gt;CDS.Tenor,"-",BW7*DW7*FW7)</f>
        <v>0.99999998454166994</v>
      </c>
      <c r="GV7" s="353">
        <f ca="1">IF($GB7&gt;CDS.Tenor,"-",BX7*DX7*FX7)</f>
        <v>0.99999999785647065</v>
      </c>
      <c r="GW7" s="354">
        <f ca="1">IF($GB7&gt;CDS.Tenor,"-",BY7*DY7*FY7)</f>
        <v>0.9999999997321618</v>
      </c>
      <c r="GX7" s="42"/>
      <c r="GY7" s="42"/>
      <c r="GZ7" s="358">
        <f t="shared" si="179"/>
        <v>0.75</v>
      </c>
      <c r="HA7" s="362">
        <f t="shared" ca="1" si="180"/>
        <v>0.9867465597955315</v>
      </c>
      <c r="HB7" s="363">
        <f t="shared" ca="1" si="181"/>
        <v>4.347923775941398E-3</v>
      </c>
    </row>
    <row r="8" spans="2:231" x14ac:dyDescent="0.3">
      <c r="B8" s="116" t="s">
        <v>18</v>
      </c>
      <c r="D8" s="50">
        <v>10000000</v>
      </c>
      <c r="F8" s="39" t="s">
        <v>350</v>
      </c>
      <c r="G8" s="17"/>
      <c r="H8" s="340"/>
      <c r="I8" s="370">
        <f t="shared" si="86"/>
        <v>1</v>
      </c>
      <c r="J8" s="371">
        <f t="shared" si="87"/>
        <v>-25000</v>
      </c>
      <c r="K8" s="348">
        <f t="shared" ca="1" si="88"/>
        <v>0.98245070581166805</v>
      </c>
      <c r="L8" s="348">
        <f t="shared" ca="1" si="89"/>
        <v>4.2958539838634513E-3</v>
      </c>
      <c r="M8" s="372" cm="1">
        <f t="array" ref="M8">IF($I8&gt;CDS.Tenor,"-",cubicInterpolation(CurveResults.Times,CurveResults.DFs,$I8))</f>
        <v>0.95518051063522103</v>
      </c>
      <c r="N8" s="371">
        <f t="shared" ca="1" si="90"/>
        <v>-23460.444171278061</v>
      </c>
      <c r="O8" s="371">
        <f t="shared" ca="1" si="91"/>
        <v>-51.291450024012995</v>
      </c>
      <c r="P8" s="373">
        <f t="shared" ca="1" si="92"/>
        <v>-23511.735621302072</v>
      </c>
      <c r="S8" s="370">
        <f t="shared" si="93"/>
        <v>1</v>
      </c>
      <c r="T8" s="371">
        <f t="shared" si="94"/>
        <v>6000000</v>
      </c>
      <c r="U8" s="348">
        <f ca="1">IF($I8&gt;CDS.Tenor,"-",HA8)</f>
        <v>0.98245070581166805</v>
      </c>
      <c r="V8" s="348">
        <f t="shared" ca="1" si="95"/>
        <v>4.2958539838634513E-3</v>
      </c>
      <c r="W8" s="372" cm="1">
        <f t="array" ref="W8">IF($S8&gt;CDS.Tenor,"-",cubicInterpolation(CurveResults.Times,CurveResults.DFs,$I8))</f>
        <v>0.95518051063522103</v>
      </c>
      <c r="X8" s="373">
        <f t="shared" ca="1" si="96"/>
        <v>24619.896011526242</v>
      </c>
      <c r="AA8" s="358">
        <f t="shared" si="97"/>
        <v>1</v>
      </c>
      <c r="AB8" s="343" cm="1">
        <f t="array" aca="1" ref="AB8" ca="1">IF($AA8&gt;CDS.Tenor,"-",flatInterpolation(Z8,INDIRECT(HazardRateTimes1),INDIRECT(HazardRateValues1)))</f>
        <v>5.0000000000000001E-3</v>
      </c>
      <c r="AC8" s="10">
        <f t="shared" ca="1" si="98"/>
        <v>0.99501247919268243</v>
      </c>
      <c r="AD8" s="10">
        <f t="shared" ca="1" si="99"/>
        <v>4.9875208073175692E-3</v>
      </c>
      <c r="AE8" s="81">
        <f t="shared" ca="1" si="100"/>
        <v>-2.5766932943916676</v>
      </c>
      <c r="AG8" s="358">
        <f t="shared" si="101"/>
        <v>1</v>
      </c>
      <c r="AH8" s="353">
        <f t="shared" ca="1" si="102"/>
        <v>0.57672836061567545</v>
      </c>
      <c r="AI8" s="353">
        <f t="shared" ca="1" si="102"/>
        <v>0.44678193536093708</v>
      </c>
      <c r="AJ8" s="353">
        <f t="shared" ca="1" si="102"/>
        <v>0.32235523080083506</v>
      </c>
      <c r="AK8" s="353">
        <f t="shared" ca="1" si="102"/>
        <v>0.21521685609754582</v>
      </c>
      <c r="AL8" s="353">
        <f t="shared" ca="1" si="102"/>
        <v>0.13225890106450877</v>
      </c>
      <c r="AM8" s="353">
        <f t="shared" ca="1" si="102"/>
        <v>7.4495677623603651E-2</v>
      </c>
      <c r="AN8" s="353">
        <f t="shared" ca="1" si="102"/>
        <v>3.8327751147762691E-2</v>
      </c>
      <c r="AO8" s="353">
        <f t="shared" ca="1" si="102"/>
        <v>1.796330676908138E-2</v>
      </c>
      <c r="AP8" s="353">
        <f t="shared" ca="1" si="102"/>
        <v>7.6524252131787143E-3</v>
      </c>
      <c r="AQ8" s="353">
        <f t="shared" ca="1" si="102"/>
        <v>2.9579138408836548E-3</v>
      </c>
      <c r="AR8" s="353">
        <f t="shared" ca="1" si="103"/>
        <v>1.035915402133351E-3</v>
      </c>
      <c r="AS8" s="353">
        <f t="shared" ca="1" si="103"/>
        <v>3.283281830125763E-4</v>
      </c>
      <c r="AT8" s="353">
        <f t="shared" ca="1" si="103"/>
        <v>9.4084902237987408E-5</v>
      </c>
      <c r="AU8" s="353">
        <f t="shared" ca="1" si="103"/>
        <v>2.4356444630897878E-5</v>
      </c>
      <c r="AV8" s="353">
        <f t="shared" ca="1" si="103"/>
        <v>5.692478611406601E-6</v>
      </c>
      <c r="AW8" s="353">
        <f t="shared" ca="1" si="103"/>
        <v>1.2004381123879463E-6</v>
      </c>
      <c r="AX8" s="353">
        <f t="shared" ca="1" si="103"/>
        <v>2.2830923413535328E-7</v>
      </c>
      <c r="AY8" s="353">
        <f t="shared" ca="1" si="103"/>
        <v>3.9145091958897065E-8</v>
      </c>
      <c r="AZ8" s="353">
        <f t="shared" ca="1" si="103"/>
        <v>6.0485461916086781E-9</v>
      </c>
      <c r="BA8" s="353">
        <f t="shared" ca="1" si="103"/>
        <v>8.4200529006440478E-10</v>
      </c>
      <c r="BB8" s="354">
        <f t="shared" ca="1" si="103"/>
        <v>1.0557380978292242E-10</v>
      </c>
      <c r="BD8" s="358">
        <f t="shared" si="104"/>
        <v>1</v>
      </c>
      <c r="BE8" s="353">
        <f t="shared" ca="1" si="105"/>
        <v>0.42327163938432455</v>
      </c>
      <c r="BF8" s="353">
        <f t="shared" ca="1" si="106"/>
        <v>0.55321806463906298</v>
      </c>
      <c r="BG8" s="353">
        <f t="shared" ca="1" si="107"/>
        <v>0.67764476919916494</v>
      </c>
      <c r="BH8" s="353">
        <f t="shared" ca="1" si="108"/>
        <v>0.78478314390245418</v>
      </c>
      <c r="BI8" s="353">
        <f t="shared" ca="1" si="109"/>
        <v>0.86774109893549123</v>
      </c>
      <c r="BJ8" s="353">
        <f t="shared" ca="1" si="110"/>
        <v>0.92550432237639635</v>
      </c>
      <c r="BK8" s="353">
        <f t="shared" ca="1" si="111"/>
        <v>0.96167224885223734</v>
      </c>
      <c r="BL8" s="353">
        <f t="shared" ca="1" si="112"/>
        <v>0.98203669323091858</v>
      </c>
      <c r="BM8" s="353">
        <f t="shared" ca="1" si="113"/>
        <v>0.99234757478682134</v>
      </c>
      <c r="BN8" s="353">
        <f t="shared" ca="1" si="114"/>
        <v>0.99704208615911638</v>
      </c>
      <c r="BO8" s="353">
        <f t="shared" ca="1" si="115"/>
        <v>0.99896408459786667</v>
      </c>
      <c r="BP8" s="353">
        <f t="shared" ca="1" si="116"/>
        <v>0.99967167181698746</v>
      </c>
      <c r="BQ8" s="353">
        <f t="shared" ca="1" si="117"/>
        <v>0.99990591509776205</v>
      </c>
      <c r="BR8" s="353">
        <f t="shared" ca="1" si="118"/>
        <v>0.99997564355536905</v>
      </c>
      <c r="BS8" s="353">
        <f t="shared" ca="1" si="119"/>
        <v>0.99999430752138863</v>
      </c>
      <c r="BT8" s="353">
        <f t="shared" ca="1" si="120"/>
        <v>0.99999879956188764</v>
      </c>
      <c r="BU8" s="353">
        <f t="shared" ca="1" si="121"/>
        <v>0.99999977169076582</v>
      </c>
      <c r="BV8" s="353">
        <f t="shared" ca="1" si="122"/>
        <v>0.99999996085490805</v>
      </c>
      <c r="BW8" s="353">
        <f t="shared" ca="1" si="123"/>
        <v>0.99999999395145378</v>
      </c>
      <c r="BX8" s="353">
        <f t="shared" ca="1" si="124"/>
        <v>0.99999999915799476</v>
      </c>
      <c r="BY8" s="354">
        <f t="shared" ca="1" si="125"/>
        <v>0.99999999989442623</v>
      </c>
      <c r="BZ8" s="17"/>
      <c r="CA8" s="17"/>
      <c r="CB8" s="343" cm="1">
        <f t="array" aca="1" ref="CB8" ca="1">IF($AA8&gt;CDS.Tenor,"-",flatInterpolation(AA8,INDIRECT(HazardRateTimes2),INDIRECT(HazardRateValues2)))</f>
        <v>5.8333333333333336E-3</v>
      </c>
      <c r="CC8" s="10">
        <f t="shared" ca="1" si="126"/>
        <v>0.99418364752118304</v>
      </c>
      <c r="CD8" s="10">
        <f t="shared" ca="1" si="127"/>
        <v>5.8163524788169552E-3</v>
      </c>
      <c r="CE8" s="81">
        <f t="shared" ca="1" si="128"/>
        <v>-2.5230947602990956</v>
      </c>
      <c r="CG8" s="358">
        <f t="shared" si="129"/>
        <v>1</v>
      </c>
      <c r="CH8" s="353">
        <f ca="1">IF($AA8&gt;CDS.Tenor,"-",_xlfn.NORM.S.DIST(($CE8-SQRT(ImpliedCorrelation)*CH$3)/SQRT(1-ImpliedCorrelation),TRUE))</f>
        <v>0.60163960407762218</v>
      </c>
      <c r="CI8" s="353">
        <f ca="1">IF($AA8&gt;CDS.Tenor,"-",_xlfn.NORM.S.DIST(($CE8-SQRT(ImpliedCorrelation)*CI$3)/SQRT(1-ImpliedCorrelation),TRUE))</f>
        <v>0.47220287945792677</v>
      </c>
      <c r="CJ8" s="353">
        <f ca="1">IF($AA8&gt;CDS.Tenor,"-",_xlfn.NORM.S.DIST(($CE8-SQRT(ImpliedCorrelation)*CJ$3)/SQRT(1-ImpliedCorrelation),TRUE))</f>
        <v>0.34566147565878846</v>
      </c>
      <c r="CK8" s="353">
        <f ca="1">IF($AA8&gt;CDS.Tenor,"-",_xlfn.NORM.S.DIST(($CE8-SQRT(ImpliedCorrelation)*CK$3)/SQRT(1-ImpliedCorrelation),TRUE))</f>
        <v>0.23441402975487796</v>
      </c>
      <c r="CL8" s="353">
        <f ca="1">IF($AA8&gt;CDS.Tenor,"-",_xlfn.NORM.S.DIST(($CE8-SQRT(ImpliedCorrelation)*CL$3)/SQRT(1-ImpliedCorrelation),TRUE))</f>
        <v>0.14646538616669597</v>
      </c>
      <c r="CM8" s="353">
        <f ca="1">IF($AA8&gt;CDS.Tenor,"-",_xlfn.NORM.S.DIST(($CE8-SQRT(ImpliedCorrelation)*CM$3)/SQRT(1-ImpliedCorrelation),TRUE))</f>
        <v>8.3941077376137749E-2</v>
      </c>
      <c r="CN8" s="353">
        <f ca="1">IF($AA8&gt;CDS.Tenor,"-",_xlfn.NORM.S.DIST(($CE8-SQRT(ImpliedCorrelation)*CN$3)/SQRT(1-ImpliedCorrelation),TRUE))</f>
        <v>4.3969820228765492E-2</v>
      </c>
      <c r="CO8" s="353">
        <f ca="1">IF($AA8&gt;CDS.Tenor,"-",_xlfn.NORM.S.DIST(($CE8-SQRT(ImpliedCorrelation)*CO$3)/SQRT(1-ImpliedCorrelation),TRUE))</f>
        <v>2.0991201733079286E-2</v>
      </c>
      <c r="CP8" s="353">
        <f ca="1">IF($AA8&gt;CDS.Tenor,"-",_xlfn.NORM.S.DIST(($CE8-SQRT(ImpliedCorrelation)*CP$3)/SQRT(1-ImpliedCorrelation),TRUE))</f>
        <v>9.1123401702543835E-3</v>
      </c>
      <c r="CQ8" s="353">
        <f ca="1">IF($AA8&gt;CDS.Tenor,"-",_xlfn.NORM.S.DIST(($CE8-SQRT(ImpliedCorrelation)*CQ$3)/SQRT(1-ImpliedCorrelation),TRUE))</f>
        <v>3.590323728794087E-3</v>
      </c>
      <c r="CR8" s="353">
        <f ca="1">IF($AA8&gt;CDS.Tenor,"-",_xlfn.NORM.S.DIST(($CE8-SQRT(ImpliedCorrelation)*CR$3)/SQRT(1-ImpliedCorrelation),TRUE))</f>
        <v>1.2820394681281367E-3</v>
      </c>
      <c r="CS8" s="353">
        <f ca="1">IF($AA8&gt;CDS.Tenor,"-",_xlfn.NORM.S.DIST(($CE8-SQRT(ImpliedCorrelation)*CS$3)/SQRT(1-ImpliedCorrelation),TRUE))</f>
        <v>4.1438669650787502E-4</v>
      </c>
      <c r="CT8" s="353">
        <f ca="1">IF($AA8&gt;CDS.Tenor,"-",_xlfn.NORM.S.DIST(($CE8-SQRT(ImpliedCorrelation)*CT$3)/SQRT(1-ImpliedCorrelation),TRUE))</f>
        <v>1.2111937611363479E-4</v>
      </c>
      <c r="CU8" s="353">
        <f ca="1">IF($AA8&gt;CDS.Tenor,"-",_xlfn.NORM.S.DIST(($CE8-SQRT(ImpliedCorrelation)*CU$3)/SQRT(1-ImpliedCorrelation),TRUE))</f>
        <v>3.198647592698079E-5</v>
      </c>
      <c r="CV8" s="353">
        <f ca="1">IF($AA8&gt;CDS.Tenor,"-",_xlfn.NORM.S.DIST(($CE8-SQRT(ImpliedCorrelation)*CV$3)/SQRT(1-ImpliedCorrelation),TRUE))</f>
        <v>7.627202631621842E-6</v>
      </c>
      <c r="CW8" s="353">
        <f ca="1">IF($AA8&gt;CDS.Tenor,"-",_xlfn.NORM.S.DIST(($CE8-SQRT(ImpliedCorrelation)*CW$3)/SQRT(1-ImpliedCorrelation),TRUE))</f>
        <v>1.6411918725567486E-6</v>
      </c>
      <c r="CX8" s="353">
        <f ca="1">IF($AA8&gt;CDS.Tenor,"-",_xlfn.NORM.S.DIST(($CE8-SQRT(ImpliedCorrelation)*CX$3)/SQRT(1-ImpliedCorrelation),TRUE))</f>
        <v>3.1851978131415671E-7</v>
      </c>
      <c r="CY8" s="353">
        <f ca="1">IF($AA8&gt;CDS.Tenor,"-",_xlfn.NORM.S.DIST(($CE8-SQRT(ImpliedCorrelation)*CY$3)/SQRT(1-ImpliedCorrelation),TRUE))</f>
        <v>5.5733430360782684E-8</v>
      </c>
      <c r="CZ8" s="353">
        <f ca="1">IF($AA8&gt;CDS.Tenor,"-",_xlfn.NORM.S.DIST(($CE8-SQRT(ImpliedCorrelation)*CZ$3)/SQRT(1-ImpliedCorrelation),TRUE))</f>
        <v>8.789064596163208E-9</v>
      </c>
      <c r="DA8" s="353">
        <f ca="1">IF($AA8&gt;CDS.Tenor,"-",_xlfn.NORM.S.DIST(($CE8-SQRT(ImpliedCorrelation)*DA$3)/SQRT(1-ImpliedCorrelation),TRUE))</f>
        <v>1.248773323049137E-9</v>
      </c>
      <c r="DB8" s="354">
        <f ca="1">IF($AA8&gt;CDS.Tenor,"-",_xlfn.NORM.S.DIST(($CE8-SQRT(ImpliedCorrelation)*DB$3)/SQRT(1-ImpliedCorrelation),TRUE))</f>
        <v>1.5981699089934471E-10</v>
      </c>
      <c r="DD8" s="358">
        <f t="shared" si="130"/>
        <v>1</v>
      </c>
      <c r="DE8" s="353">
        <f t="shared" ca="1" si="131"/>
        <v>0.39836039592237782</v>
      </c>
      <c r="DF8" s="353">
        <f t="shared" ca="1" si="132"/>
        <v>0.52779712054207328</v>
      </c>
      <c r="DG8" s="353">
        <f t="shared" ca="1" si="133"/>
        <v>0.65433852434121154</v>
      </c>
      <c r="DH8" s="353">
        <f t="shared" ca="1" si="134"/>
        <v>0.76558597024512198</v>
      </c>
      <c r="DI8" s="353">
        <f t="shared" ca="1" si="135"/>
        <v>0.85353461383330398</v>
      </c>
      <c r="DJ8" s="353">
        <f t="shared" ca="1" si="136"/>
        <v>0.91605892262386224</v>
      </c>
      <c r="DK8" s="353">
        <f t="shared" ca="1" si="137"/>
        <v>0.9560301797712345</v>
      </c>
      <c r="DL8" s="353">
        <f t="shared" ca="1" si="138"/>
        <v>0.97900879826692067</v>
      </c>
      <c r="DM8" s="353">
        <f t="shared" ca="1" si="139"/>
        <v>0.99088765982974558</v>
      </c>
      <c r="DN8" s="353">
        <f t="shared" ca="1" si="140"/>
        <v>0.99640967627120591</v>
      </c>
      <c r="DO8" s="353">
        <f t="shared" ca="1" si="141"/>
        <v>0.9987179605318719</v>
      </c>
      <c r="DP8" s="353">
        <f t="shared" ca="1" si="142"/>
        <v>0.99958561330349216</v>
      </c>
      <c r="DQ8" s="353">
        <f t="shared" ca="1" si="143"/>
        <v>0.99987888062388641</v>
      </c>
      <c r="DR8" s="353">
        <f t="shared" ca="1" si="144"/>
        <v>0.99996801352407305</v>
      </c>
      <c r="DS8" s="353">
        <f t="shared" ca="1" si="145"/>
        <v>0.99999237279736841</v>
      </c>
      <c r="DT8" s="353">
        <f t="shared" ca="1" si="146"/>
        <v>0.99999835880812749</v>
      </c>
      <c r="DU8" s="353">
        <f t="shared" ca="1" si="147"/>
        <v>0.99999968148021867</v>
      </c>
      <c r="DV8" s="353">
        <f t="shared" ca="1" si="148"/>
        <v>0.99999994426656968</v>
      </c>
      <c r="DW8" s="353">
        <f t="shared" ca="1" si="149"/>
        <v>0.99999999121093541</v>
      </c>
      <c r="DX8" s="353">
        <f t="shared" ca="1" si="150"/>
        <v>0.99999999875122669</v>
      </c>
      <c r="DY8" s="354">
        <f t="shared" ca="1" si="151"/>
        <v>0.99999999984018306</v>
      </c>
      <c r="DZ8" s="17"/>
      <c r="EA8" s="17"/>
      <c r="EB8" s="343" cm="1">
        <f t="array" aca="1" ref="EB8" ca="1">IF($AA8&gt;CDS.Tenor,"-",flatInterpolation(CC8,INDIRECT(HazardRateTimes3),INDIRECT(HazardRateValues3)))</f>
        <v>7.4999999999999997E-3</v>
      </c>
      <c r="EC8" s="10">
        <f t="shared" ca="1" si="152"/>
        <v>0.99252805481913853</v>
      </c>
      <c r="ED8" s="10">
        <f t="shared" ca="1" si="153"/>
        <v>7.4719451808614723E-3</v>
      </c>
      <c r="EE8" s="81">
        <f t="shared" ca="1" si="154"/>
        <v>-2.4337359926085269</v>
      </c>
      <c r="EG8" s="358">
        <f t="shared" si="155"/>
        <v>1</v>
      </c>
      <c r="EH8" s="353">
        <f ca="1">IF($AA8&gt;CDS.Tenor,"-",_xlfn.NORM.S.DIST(($EE8-SQRT(ImpliedCorrelation)*EH$3)/SQRT(1-ImpliedCorrelation),TRUE))</f>
        <v>0.64221938688237845</v>
      </c>
      <c r="EI8" s="353">
        <f ca="1">IF($AA8&gt;CDS.Tenor,"-",_xlfn.NORM.S.DIST(($EE8-SQRT(ImpliedCorrelation)*EI$3)/SQRT(1-ImpliedCorrelation),TRUE))</f>
        <v>0.51478565600315362</v>
      </c>
      <c r="EJ8" s="353">
        <f ca="1">IF($AA8&gt;CDS.Tenor,"-",_xlfn.NORM.S.DIST(($EE8-SQRT(ImpliedCorrelation)*EJ$3)/SQRT(1-ImpliedCorrelation),TRUE))</f>
        <v>0.385810121023759</v>
      </c>
      <c r="EK8" s="353">
        <f ca="1">IF($AA8&gt;CDS.Tenor,"-",_xlfn.NORM.S.DIST(($EE8-SQRT(ImpliedCorrelation)*EK$3)/SQRT(1-ImpliedCorrelation),TRUE))</f>
        <v>0.268425114094335</v>
      </c>
      <c r="EL8" s="353">
        <f ca="1">IF($AA8&gt;CDS.Tenor,"-",_xlfn.NORM.S.DIST(($EE8-SQRT(ImpliedCorrelation)*EL$3)/SQRT(1-ImpliedCorrelation),TRUE))</f>
        <v>0.17235244510139483</v>
      </c>
      <c r="EM8" s="353">
        <f ca="1">IF($AA8&gt;CDS.Tenor,"-",_xlfn.NORM.S.DIST(($EE8-SQRT(ImpliedCorrelation)*EM$3)/SQRT(1-ImpliedCorrelation),TRUE))</f>
        <v>0.10164451418619491</v>
      </c>
      <c r="EN8" s="353">
        <f ca="1">IF($AA8&gt;CDS.Tenor,"-",_xlfn.NORM.S.DIST(($EE8-SQRT(ImpliedCorrelation)*EN$3)/SQRT(1-ImpliedCorrelation),TRUE))</f>
        <v>5.4847720612223858E-2</v>
      </c>
      <c r="EO8" s="353">
        <f ca="1">IF($AA8&gt;CDS.Tenor,"-",_xlfn.NORM.S.DIST(($EE8-SQRT(ImpliedCorrelation)*EO$3)/SQRT(1-ImpliedCorrelation),TRUE))</f>
        <v>2.699664632654529E-2</v>
      </c>
      <c r="EP8" s="353">
        <f ca="1">IF($AA8&gt;CDS.Tenor,"-",_xlfn.NORM.S.DIST(($EE8-SQRT(ImpliedCorrelation)*EP$3)/SQRT(1-ImpliedCorrelation),TRUE))</f>
        <v>1.2091253149706244E-2</v>
      </c>
      <c r="EQ8" s="353">
        <f ca="1">IF($AA8&gt;CDS.Tenor,"-",_xlfn.NORM.S.DIST(($EE8-SQRT(ImpliedCorrelation)*EQ$3)/SQRT(1-ImpliedCorrelation),TRUE))</f>
        <v>4.9179718914012559E-3</v>
      </c>
      <c r="ER8" s="353">
        <f ca="1">IF($AA8&gt;CDS.Tenor,"-",_xlfn.NORM.S.DIST(($EE8-SQRT(ImpliedCorrelation)*ER$3)/SQRT(1-ImpliedCorrelation),TRUE))</f>
        <v>1.8136831660267453E-3</v>
      </c>
      <c r="ES8" s="353">
        <f ca="1">IF($AA8&gt;CDS.Tenor,"-",_xlfn.NORM.S.DIST(($EE8-SQRT(ImpliedCorrelation)*ES$3)/SQRT(1-ImpliedCorrelation),TRUE))</f>
        <v>6.0566723464740367E-4</v>
      </c>
      <c r="ET8" s="353">
        <f ca="1">IF($AA8&gt;CDS.Tenor,"-",_xlfn.NORM.S.DIST(($EE8-SQRT(ImpliedCorrelation)*ET$3)/SQRT(1-ImpliedCorrelation),TRUE))</f>
        <v>1.8295422333492256E-4</v>
      </c>
      <c r="EU8" s="353">
        <f ca="1">IF($AA8&gt;CDS.Tenor,"-",_xlfn.NORM.S.DIST(($EE8-SQRT(ImpliedCorrelation)*EU$3)/SQRT(1-ImpliedCorrelation),TRUE))</f>
        <v>4.9946550485225714E-5</v>
      </c>
      <c r="EV8" s="353">
        <f ca="1">IF($AA8&gt;CDS.Tenor,"-",_xlfn.NORM.S.DIST(($EE8-SQRT(ImpliedCorrelation)*EV$3)/SQRT(1-ImpliedCorrelation),TRUE))</f>
        <v>1.231420586152179E-5</v>
      </c>
      <c r="EW8" s="353">
        <f ca="1">IF($AA8&gt;CDS.Tenor,"-",_xlfn.NORM.S.DIST(($EE8-SQRT(ImpliedCorrelation)*EW$3)/SQRT(1-ImpliedCorrelation),TRUE))</f>
        <v>2.7401839915148271E-6</v>
      </c>
      <c r="EX8" s="353">
        <f ca="1">IF($AA8&gt;CDS.Tenor,"-",_xlfn.NORM.S.DIST(($EE8-SQRT(ImpliedCorrelation)*EX$3)/SQRT(1-ImpliedCorrelation),TRUE))</f>
        <v>5.5004912414642842E-7</v>
      </c>
      <c r="EY8" s="353">
        <f ca="1">IF($AA8&gt;CDS.Tenor,"-",_xlfn.NORM.S.DIST(($EE8-SQRT(ImpliedCorrelation)*EY$3)/SQRT(1-ImpliedCorrelation),TRUE))</f>
        <v>9.955920073797945E-8</v>
      </c>
      <c r="EZ8" s="353">
        <f ca="1">IF($AA8&gt;CDS.Tenor,"-",_xlfn.NORM.S.DIST(($EE8-SQRT(ImpliedCorrelation)*EZ$3)/SQRT(1-ImpliedCorrelation),TRUE))</f>
        <v>1.6242646972106843E-8</v>
      </c>
      <c r="FA8" s="353">
        <f ca="1">IF($AA8&gt;CDS.Tenor,"-",_xlfn.NORM.S.DIST(($EE8-SQRT(ImpliedCorrelation)*FA$3)/SQRT(1-ImpliedCorrelation),TRUE))</f>
        <v>2.3877437345435138E-9</v>
      </c>
      <c r="FB8" s="354">
        <f ca="1">IF($AA8&gt;CDS.Tenor,"-",_xlfn.NORM.S.DIST(($EE8-SQRT(ImpliedCorrelation)*FB$3)/SQRT(1-ImpliedCorrelation),TRUE))</f>
        <v>3.1619354044283892E-10</v>
      </c>
      <c r="FD8" s="358">
        <f t="shared" si="156"/>
        <v>1</v>
      </c>
      <c r="FE8" s="353">
        <f t="shared" ca="1" si="157"/>
        <v>0.35778061311762155</v>
      </c>
      <c r="FF8" s="353">
        <f t="shared" ca="1" si="158"/>
        <v>0.48521434399684638</v>
      </c>
      <c r="FG8" s="353">
        <f t="shared" ca="1" si="159"/>
        <v>0.614189878976241</v>
      </c>
      <c r="FH8" s="353">
        <f t="shared" ca="1" si="160"/>
        <v>0.731574885905665</v>
      </c>
      <c r="FI8" s="353">
        <f t="shared" ca="1" si="161"/>
        <v>0.8276475548986052</v>
      </c>
      <c r="FJ8" s="353">
        <f t="shared" ca="1" si="162"/>
        <v>0.89835548581380509</v>
      </c>
      <c r="FK8" s="353">
        <f t="shared" ca="1" si="163"/>
        <v>0.94515227938777613</v>
      </c>
      <c r="FL8" s="353">
        <f t="shared" ca="1" si="164"/>
        <v>0.9730033536734547</v>
      </c>
      <c r="FM8" s="353">
        <f t="shared" ca="1" si="165"/>
        <v>0.98790874685029373</v>
      </c>
      <c r="FN8" s="353">
        <f t="shared" ca="1" si="166"/>
        <v>0.99508202810859869</v>
      </c>
      <c r="FO8" s="353">
        <f t="shared" ca="1" si="167"/>
        <v>0.9981863168339733</v>
      </c>
      <c r="FP8" s="353">
        <f t="shared" ca="1" si="168"/>
        <v>0.99939433276535261</v>
      </c>
      <c r="FQ8" s="353">
        <f t="shared" ca="1" si="169"/>
        <v>0.99981704577666508</v>
      </c>
      <c r="FR8" s="353">
        <f t="shared" ca="1" si="170"/>
        <v>0.99995005344951482</v>
      </c>
      <c r="FS8" s="353">
        <f t="shared" ca="1" si="171"/>
        <v>0.99998768579413844</v>
      </c>
      <c r="FT8" s="353">
        <f t="shared" ca="1" si="172"/>
        <v>0.99999725981600851</v>
      </c>
      <c r="FU8" s="353">
        <f t="shared" ca="1" si="173"/>
        <v>0.99999944995087586</v>
      </c>
      <c r="FV8" s="353">
        <f t="shared" ca="1" si="174"/>
        <v>0.99999990044079923</v>
      </c>
      <c r="FW8" s="353">
        <f t="shared" ca="1" si="175"/>
        <v>0.99999998375735299</v>
      </c>
      <c r="FX8" s="353">
        <f t="shared" ca="1" si="176"/>
        <v>0.99999999761225622</v>
      </c>
      <c r="FY8" s="354">
        <f t="shared" ca="1" si="177"/>
        <v>0.99999999968380648</v>
      </c>
      <c r="GB8" s="358">
        <f t="shared" si="178"/>
        <v>1</v>
      </c>
      <c r="GC8" s="353">
        <f ca="1">IF($GB8&gt;CDS.Tenor,"-",BE8*DE8*FE8)</f>
        <v>6.0327055665422985E-2</v>
      </c>
      <c r="GD8" s="353">
        <f ca="1">IF($GB8&gt;CDS.Tenor,"-",BF8*DF8*FF8)</f>
        <v>0.14167623289045733</v>
      </c>
      <c r="GE8" s="353">
        <f ca="1">IF($GB8&gt;CDS.Tenor,"-",BG8*DG8*FG8)</f>
        <v>0.27233736814131254</v>
      </c>
      <c r="GF8" s="353">
        <f ca="1">IF($GB8&gt;CDS.Tenor,"-",BH8*DH8*FH8)</f>
        <v>0.43954406551859554</v>
      </c>
      <c r="GG8" s="353">
        <f ca="1">IF($GB8&gt;CDS.Tenor,"-",BI8*DI8*FI8)</f>
        <v>0.61299473138630023</v>
      </c>
      <c r="GH8" s="353">
        <f ca="1">IF($GB8&gt;CDS.Tenor,"-",BJ8*DJ8*FJ8)</f>
        <v>0.76164059694675712</v>
      </c>
      <c r="GI8" s="353">
        <f ca="1">IF($GB8&gt;CDS.Tenor,"-",BK8*DK8*FK8)</f>
        <v>0.86896137363390669</v>
      </c>
      <c r="GJ8" s="353">
        <f ca="1">IF($GB8&gt;CDS.Tenor,"-",BL8*DL8*FL8)</f>
        <v>0.93546737799321145</v>
      </c>
      <c r="GK8" s="353">
        <f ca="1">IF($GB8&gt;CDS.Tenor,"-",BM8*DM8*FM8)</f>
        <v>0.97141557684953783</v>
      </c>
      <c r="GL8" s="353">
        <f ca="1">IF($GB8&gt;CDS.Tenor,"-",BN8*DN8*FN8)</f>
        <v>0.98857656222726398</v>
      </c>
      <c r="GM8" s="353">
        <f ca="1">IF($GB8&gt;CDS.Tenor,"-",BO8*DO8*FO8)</f>
        <v>0.99587389167514651</v>
      </c>
      <c r="GN8" s="353">
        <f ca="1">IF($GB8&gt;CDS.Tenor,"-",BP8*DP8*FP8)</f>
        <v>0.99865220369632668</v>
      </c>
      <c r="GO8" s="353">
        <f ca="1">IF($GB8&gt;CDS.Tenor,"-",BQ8*DQ8*FQ8)</f>
        <v>0.99960189226426499</v>
      </c>
      <c r="GP8" s="353">
        <f ca="1">IF($GB8&gt;CDS.Tenor,"-",BR8*DR8*FR8)</f>
        <v>0.99989371412212935</v>
      </c>
      <c r="GQ8" s="353">
        <f ca="1">IF($GB8&gt;CDS.Tenor,"-",BS8*DS8*FS8)</f>
        <v>0.99997436632033398</v>
      </c>
      <c r="GR8" s="353">
        <f ca="1">IF($GB8&gt;CDS.Tenor,"-",BT8*DT8*FT8)</f>
        <v>0.99999441819578039</v>
      </c>
      <c r="GS8" s="353">
        <f ca="1">IF($GB8&gt;CDS.Tenor,"-",BU8*DU8*FU8)</f>
        <v>0.99999890312223383</v>
      </c>
      <c r="GT8" s="353">
        <f ca="1">IF($GB8&gt;CDS.Tenor,"-",BV8*DV8*FV8)</f>
        <v>0.99999980556228862</v>
      </c>
      <c r="GU8" s="353">
        <f ca="1">IF($GB8&gt;CDS.Tenor,"-",BW8*DW8*FW8)</f>
        <v>0.99999996891974241</v>
      </c>
      <c r="GV8" s="353">
        <f ca="1">IF($GB8&gt;CDS.Tenor,"-",BX8*DX8*FX8)</f>
        <v>0.99999999552147767</v>
      </c>
      <c r="GW8" s="354">
        <f ca="1">IF($GB8&gt;CDS.Tenor,"-",BY8*DY8*FY8)</f>
        <v>0.99999999941841577</v>
      </c>
      <c r="GX8" s="42"/>
      <c r="GY8" s="42"/>
      <c r="GZ8" s="358">
        <f t="shared" si="179"/>
        <v>1</v>
      </c>
      <c r="HA8" s="362">
        <f t="shared" ca="1" si="180"/>
        <v>0.98245070581166805</v>
      </c>
      <c r="HB8" s="363">
        <f t="shared" ca="1" si="181"/>
        <v>4.2958539838634513E-3</v>
      </c>
    </row>
    <row r="9" spans="2:231" x14ac:dyDescent="0.3">
      <c r="B9" s="116" t="s">
        <v>112</v>
      </c>
      <c r="D9" s="149">
        <v>100</v>
      </c>
      <c r="F9" s="388" t="s">
        <v>335</v>
      </c>
      <c r="G9" s="17">
        <f>'Credit Curve AAPL'!$P$8</f>
        <v>30</v>
      </c>
      <c r="H9" s="28"/>
      <c r="I9" s="370">
        <f t="shared" si="86"/>
        <v>1.25</v>
      </c>
      <c r="J9" s="371">
        <f t="shared" si="87"/>
        <v>-25000</v>
      </c>
      <c r="K9" s="348">
        <f t="shared" ca="1" si="88"/>
        <v>0.97820125583331541</v>
      </c>
      <c r="L9" s="348">
        <f t="shared" ca="1" si="89"/>
        <v>4.2494499783526374E-3</v>
      </c>
      <c r="M9" s="372" cm="1">
        <f t="array" ref="M9">IF($I9&gt;CDS.Tenor,"-",cubicInterpolation(CurveResults.Times,CurveResults.DFs,$I9))</f>
        <v>0.94476174559314918</v>
      </c>
      <c r="N9" s="371">
        <f t="shared" ca="1" si="90"/>
        <v>-23104.178150062344</v>
      </c>
      <c r="O9" s="371">
        <f t="shared" ca="1" si="91"/>
        <v>-50.183972241990098</v>
      </c>
      <c r="P9" s="373">
        <f t="shared" ca="1" si="92"/>
        <v>-23154.362122304334</v>
      </c>
      <c r="S9" s="370">
        <f t="shared" si="93"/>
        <v>1.25</v>
      </c>
      <c r="T9" s="371">
        <f t="shared" si="94"/>
        <v>6000000</v>
      </c>
      <c r="U9" s="348">
        <f ca="1">IF($I9&gt;CDS.Tenor,"-",HA9)</f>
        <v>0.97820125583331541</v>
      </c>
      <c r="V9" s="348">
        <f t="shared" ca="1" si="95"/>
        <v>4.2494499783526374E-3</v>
      </c>
      <c r="W9" s="372" cm="1">
        <f t="array" ref="W9">IF($S9&gt;CDS.Tenor,"-",cubicInterpolation(CurveResults.Times,CurveResults.DFs,$I9))</f>
        <v>0.94476174559314918</v>
      </c>
      <c r="X9" s="373">
        <f t="shared" ca="1" si="96"/>
        <v>24088.306676155244</v>
      </c>
      <c r="AA9" s="358">
        <f t="shared" si="97"/>
        <v>1.25</v>
      </c>
      <c r="AB9" s="343" cm="1">
        <f t="array" aca="1" ref="AB9" ca="1">IF($AA9&gt;CDS.Tenor,"-",flatInterpolation(Z9,INDIRECT(HazardRateTimes1),INDIRECT(HazardRateValues1)))</f>
        <v>5.0000000000000001E-3</v>
      </c>
      <c r="AC9" s="10">
        <f t="shared" ca="1" si="98"/>
        <v>0.99376949062339492</v>
      </c>
      <c r="AD9" s="10">
        <f t="shared" ca="1" si="99"/>
        <v>6.2305093766050756E-3</v>
      </c>
      <c r="AE9" s="81">
        <f t="shared" ca="1" si="100"/>
        <v>-2.4988125983342369</v>
      </c>
      <c r="AG9" s="358">
        <f t="shared" si="101"/>
        <v>1.25</v>
      </c>
      <c r="AH9" s="353">
        <f t="shared" ca="1" si="102"/>
        <v>0.61279683686572672</v>
      </c>
      <c r="AI9" s="353">
        <f t="shared" ca="1" si="102"/>
        <v>0.48376323029084933</v>
      </c>
      <c r="AJ9" s="353">
        <f t="shared" ca="1" si="102"/>
        <v>0.35642259006261334</v>
      </c>
      <c r="AK9" s="353">
        <f t="shared" ca="1" si="102"/>
        <v>0.24341346377447104</v>
      </c>
      <c r="AL9" s="353">
        <f t="shared" ca="1" si="102"/>
        <v>0.15322691431521912</v>
      </c>
      <c r="AM9" s="353">
        <f t="shared" ca="1" si="102"/>
        <v>8.8505083703318277E-2</v>
      </c>
      <c r="AN9" s="353">
        <f t="shared" ca="1" si="102"/>
        <v>4.6737522240999065E-2</v>
      </c>
      <c r="AO9" s="353">
        <f t="shared" ca="1" si="102"/>
        <v>2.2499072547307472E-2</v>
      </c>
      <c r="AP9" s="353">
        <f t="shared" ca="1" si="102"/>
        <v>9.8503814528665898E-3</v>
      </c>
      <c r="AQ9" s="353">
        <f t="shared" ca="1" si="102"/>
        <v>3.9148642193758869E-3</v>
      </c>
      <c r="AR9" s="353">
        <f t="shared" ca="1" si="103"/>
        <v>1.4102515154592048E-3</v>
      </c>
      <c r="AS9" s="353">
        <f t="shared" ca="1" si="103"/>
        <v>4.5989184074797523E-4</v>
      </c>
      <c r="AT9" s="353">
        <f t="shared" ca="1" si="103"/>
        <v>1.3562925770535989E-4</v>
      </c>
      <c r="AU9" s="353">
        <f t="shared" ca="1" si="103"/>
        <v>3.6143082825822192E-5</v>
      </c>
      <c r="AV9" s="353">
        <f t="shared" ca="1" si="103"/>
        <v>8.6969611467306263E-6</v>
      </c>
      <c r="AW9" s="353">
        <f t="shared" ca="1" si="103"/>
        <v>1.8885375140452433E-6</v>
      </c>
      <c r="AX9" s="353">
        <f t="shared" ca="1" si="103"/>
        <v>3.6989982668633709E-7</v>
      </c>
      <c r="AY9" s="353">
        <f t="shared" ca="1" si="103"/>
        <v>6.532205716595443E-8</v>
      </c>
      <c r="AZ9" s="353">
        <f t="shared" ca="1" si="103"/>
        <v>1.0396709244425074E-8</v>
      </c>
      <c r="BA9" s="353">
        <f t="shared" ca="1" si="103"/>
        <v>1.4909294224063749E-9</v>
      </c>
      <c r="BB9" s="354">
        <f t="shared" ca="1" si="103"/>
        <v>1.9258669163745111E-10</v>
      </c>
      <c r="BD9" s="358">
        <f t="shared" si="104"/>
        <v>1.25</v>
      </c>
      <c r="BE9" s="353">
        <f t="shared" ca="1" si="105"/>
        <v>0.38720316313427328</v>
      </c>
      <c r="BF9" s="353">
        <f t="shared" ca="1" si="106"/>
        <v>0.51623676970915067</v>
      </c>
      <c r="BG9" s="353">
        <f t="shared" ca="1" si="107"/>
        <v>0.64357740993738666</v>
      </c>
      <c r="BH9" s="353">
        <f t="shared" ca="1" si="108"/>
        <v>0.75658653622552896</v>
      </c>
      <c r="BI9" s="353">
        <f t="shared" ca="1" si="109"/>
        <v>0.84677308568478082</v>
      </c>
      <c r="BJ9" s="353">
        <f t="shared" ca="1" si="110"/>
        <v>0.91149491629668167</v>
      </c>
      <c r="BK9" s="353">
        <f t="shared" ca="1" si="111"/>
        <v>0.95326247775900097</v>
      </c>
      <c r="BL9" s="353">
        <f t="shared" ca="1" si="112"/>
        <v>0.97750092745269257</v>
      </c>
      <c r="BM9" s="353">
        <f t="shared" ca="1" si="113"/>
        <v>0.99014961854713346</v>
      </c>
      <c r="BN9" s="353">
        <f t="shared" ca="1" si="114"/>
        <v>0.99608513578062408</v>
      </c>
      <c r="BO9" s="353">
        <f t="shared" ca="1" si="115"/>
        <v>0.99858974848454074</v>
      </c>
      <c r="BP9" s="353">
        <f t="shared" ca="1" si="116"/>
        <v>0.99954010815925198</v>
      </c>
      <c r="BQ9" s="353">
        <f t="shared" ca="1" si="117"/>
        <v>0.99986437074229462</v>
      </c>
      <c r="BR9" s="353">
        <f t="shared" ca="1" si="118"/>
        <v>0.99996385691717415</v>
      </c>
      <c r="BS9" s="353">
        <f t="shared" ca="1" si="119"/>
        <v>0.99999130303885331</v>
      </c>
      <c r="BT9" s="353">
        <f t="shared" ca="1" si="120"/>
        <v>0.99999811146248596</v>
      </c>
      <c r="BU9" s="353">
        <f t="shared" ca="1" si="121"/>
        <v>0.99999963010017334</v>
      </c>
      <c r="BV9" s="353">
        <f t="shared" ca="1" si="122"/>
        <v>0.99999993467794279</v>
      </c>
      <c r="BW9" s="353">
        <f t="shared" ca="1" si="123"/>
        <v>0.99999998960329073</v>
      </c>
      <c r="BX9" s="353">
        <f t="shared" ca="1" si="124"/>
        <v>0.99999999850907062</v>
      </c>
      <c r="BY9" s="354">
        <f t="shared" ca="1" si="125"/>
        <v>0.99999999980741328</v>
      </c>
      <c r="BZ9" s="17"/>
      <c r="CA9" s="17"/>
      <c r="CB9" s="343" cm="1">
        <f t="array" aca="1" ref="CB9" ca="1">IF($AA9&gt;CDS.Tenor,"-",flatInterpolation(AA9,INDIRECT(HazardRateTimes2),INDIRECT(HazardRateValues2)))</f>
        <v>5.8333333333333336E-3</v>
      </c>
      <c r="CC9" s="10">
        <f t="shared" ca="1" si="126"/>
        <v>0.99273485303795894</v>
      </c>
      <c r="CD9" s="10">
        <f t="shared" ca="1" si="127"/>
        <v>7.265146962041058E-3</v>
      </c>
      <c r="CE9" s="81">
        <f t="shared" ca="1" si="128"/>
        <v>-2.4438791235978874</v>
      </c>
      <c r="CG9" s="358">
        <f t="shared" si="129"/>
        <v>1.25</v>
      </c>
      <c r="CH9" s="353">
        <f ca="1">IF($AA9&gt;CDS.Tenor,"-",_xlfn.NORM.S.DIST(($CE9-SQRT(ImpliedCorrelation)*CH$3)/SQRT(1-ImpliedCorrelation),TRUE))</f>
        <v>0.63768364772663422</v>
      </c>
      <c r="CI9" s="353">
        <f ca="1">IF($AA9&gt;CDS.Tenor,"-",_xlfn.NORM.S.DIST(($CE9-SQRT(ImpliedCorrelation)*CI$3)/SQRT(1-ImpliedCorrelation),TRUE))</f>
        <v>0.50995148928813627</v>
      </c>
      <c r="CJ9" s="353">
        <f ca="1">IF($AA9&gt;CDS.Tenor,"-",_xlfn.NORM.S.DIST(($CE9-SQRT(ImpliedCorrelation)*CJ$3)/SQRT(1-ImpliedCorrelation),TRUE))</f>
        <v>0.38118136601615027</v>
      </c>
      <c r="CK9" s="353">
        <f ca="1">IF($AA9&gt;CDS.Tenor,"-",_xlfn.NORM.S.DIST(($CE9-SQRT(ImpliedCorrelation)*CK$3)/SQRT(1-ImpliedCorrelation),TRUE))</f>
        <v>0.26444334763183175</v>
      </c>
      <c r="CL9" s="353">
        <f ca="1">IF($AA9&gt;CDS.Tenor,"-",_xlfn.NORM.S.DIST(($CE9-SQRT(ImpliedCorrelation)*CL$3)/SQRT(1-ImpliedCorrelation),TRUE))</f>
        <v>0.16927524036651645</v>
      </c>
      <c r="CM9" s="353">
        <f ca="1">IF($AA9&gt;CDS.Tenor,"-",_xlfn.NORM.S.DIST(($CE9-SQRT(ImpliedCorrelation)*CM$3)/SQRT(1-ImpliedCorrelation),TRUE))</f>
        <v>9.9507998833270606E-2</v>
      </c>
      <c r="CN9" s="353">
        <f ca="1">IF($AA9&gt;CDS.Tenor,"-",_xlfn.NORM.S.DIST(($CE9-SQRT(ImpliedCorrelation)*CN$3)/SQRT(1-ImpliedCorrelation),TRUE))</f>
        <v>5.3515044349528321E-2</v>
      </c>
      <c r="CO9" s="353">
        <f ca="1">IF($AA9&gt;CDS.Tenor,"-",_xlfn.NORM.S.DIST(($CE9-SQRT(ImpliedCorrelation)*CO$3)/SQRT(1-ImpliedCorrelation),TRUE))</f>
        <v>2.6249832543220119E-2</v>
      </c>
      <c r="CP9" s="353">
        <f ca="1">IF($AA9&gt;CDS.Tenor,"-",_xlfn.NORM.S.DIST(($CE9-SQRT(ImpliedCorrelation)*CP$3)/SQRT(1-ImpliedCorrelation),TRUE))</f>
        <v>1.1715269459952455E-2</v>
      </c>
      <c r="CQ9" s="353">
        <f ca="1">IF($AA9&gt;CDS.Tenor,"-",_xlfn.NORM.S.DIST(($CE9-SQRT(ImpliedCorrelation)*CQ$3)/SQRT(1-ImpliedCorrelation),TRUE))</f>
        <v>4.7479148165126082E-3</v>
      </c>
      <c r="CR9" s="353">
        <f ca="1">IF($AA9&gt;CDS.Tenor,"-",_xlfn.NORM.S.DIST(($CE9-SQRT(ImpliedCorrelation)*CR$3)/SQRT(1-ImpliedCorrelation),TRUE))</f>
        <v>1.7445813562154153E-3</v>
      </c>
      <c r="CS9" s="353">
        <f ca="1">IF($AA9&gt;CDS.Tenor,"-",_xlfn.NORM.S.DIST(($CE9-SQRT(ImpliedCorrelation)*CS$3)/SQRT(1-ImpliedCorrelation),TRUE))</f>
        <v>5.8044095780846469E-4</v>
      </c>
      <c r="CT9" s="353">
        <f ca="1">IF($AA9&gt;CDS.Tenor,"-",_xlfn.NORM.S.DIST(($CE9-SQRT(ImpliedCorrelation)*CT$3)/SQRT(1-ImpliedCorrelation),TRUE))</f>
        <v>1.7468078734368125E-4</v>
      </c>
      <c r="CU9" s="353">
        <f ca="1">IF($AA9&gt;CDS.Tenor,"-",_xlfn.NORM.S.DIST(($CE9-SQRT(ImpliedCorrelation)*CU$3)/SQRT(1-ImpliedCorrelation),TRUE))</f>
        <v>4.7508808802900068E-5</v>
      </c>
      <c r="CV9" s="353">
        <f ca="1">IF($AA9&gt;CDS.Tenor,"-",_xlfn.NORM.S.DIST(($CE9-SQRT(ImpliedCorrelation)*CV$3)/SQRT(1-ImpliedCorrelation),TRUE))</f>
        <v>1.1668910603746311E-5</v>
      </c>
      <c r="CW9" s="353">
        <f ca="1">IF($AA9&gt;CDS.Tenor,"-",_xlfn.NORM.S.DIST(($CE9-SQRT(ImpliedCorrelation)*CW$3)/SQRT(1-ImpliedCorrelation),TRUE))</f>
        <v>2.5867229003141482E-6</v>
      </c>
      <c r="CX9" s="353">
        <f ca="1">IF($AA9&gt;CDS.Tenor,"-",_xlfn.NORM.S.DIST(($CE9-SQRT(ImpliedCorrelation)*CX$3)/SQRT(1-ImpliedCorrelation),TRUE))</f>
        <v>5.1726171436280415E-7</v>
      </c>
      <c r="CY9" s="353">
        <f ca="1">IF($AA9&gt;CDS.Tenor,"-",_xlfn.NORM.S.DIST(($CE9-SQRT(ImpliedCorrelation)*CY$3)/SQRT(1-ImpliedCorrelation),TRUE))</f>
        <v>9.326580627869722E-8</v>
      </c>
      <c r="CZ9" s="353">
        <f ca="1">IF($AA9&gt;CDS.Tenor,"-",_xlfn.NORM.S.DIST(($CE9-SQRT(ImpliedCorrelation)*CZ$3)/SQRT(1-ImpliedCorrelation),TRUE))</f>
        <v>1.515739191954179E-8</v>
      </c>
      <c r="DA9" s="353">
        <f ca="1">IF($AA9&gt;CDS.Tenor,"-",_xlfn.NORM.S.DIST(($CE9-SQRT(ImpliedCorrelation)*DA$3)/SQRT(1-ImpliedCorrelation),TRUE))</f>
        <v>2.2196127726637934E-9</v>
      </c>
      <c r="DB9" s="354">
        <f ca="1">IF($AA9&gt;CDS.Tenor,"-",_xlfn.NORM.S.DIST(($CE9-SQRT(ImpliedCorrelation)*DB$3)/SQRT(1-ImpliedCorrelation),TRUE))</f>
        <v>2.92792638494772E-10</v>
      </c>
      <c r="DD9" s="358">
        <f t="shared" si="130"/>
        <v>1.25</v>
      </c>
      <c r="DE9" s="353">
        <f t="shared" ca="1" si="131"/>
        <v>0.36231635227336578</v>
      </c>
      <c r="DF9" s="353">
        <f t="shared" ca="1" si="132"/>
        <v>0.49004851071186373</v>
      </c>
      <c r="DG9" s="353">
        <f t="shared" ca="1" si="133"/>
        <v>0.61881863398384973</v>
      </c>
      <c r="DH9" s="353">
        <f t="shared" ca="1" si="134"/>
        <v>0.73555665236816825</v>
      </c>
      <c r="DI9" s="353">
        <f t="shared" ca="1" si="135"/>
        <v>0.83072475963348358</v>
      </c>
      <c r="DJ9" s="353">
        <f t="shared" ca="1" si="136"/>
        <v>0.90049200116672945</v>
      </c>
      <c r="DK9" s="353">
        <f t="shared" ca="1" si="137"/>
        <v>0.94648495565047164</v>
      </c>
      <c r="DL9" s="353">
        <f t="shared" ca="1" si="138"/>
        <v>0.97375016745677989</v>
      </c>
      <c r="DM9" s="353">
        <f t="shared" ca="1" si="139"/>
        <v>0.98828473054004751</v>
      </c>
      <c r="DN9" s="353">
        <f t="shared" ca="1" si="140"/>
        <v>0.9952520851834874</v>
      </c>
      <c r="DO9" s="353">
        <f t="shared" ca="1" si="141"/>
        <v>0.99825541864378453</v>
      </c>
      <c r="DP9" s="353">
        <f t="shared" ca="1" si="142"/>
        <v>0.99941955904219149</v>
      </c>
      <c r="DQ9" s="353">
        <f t="shared" ca="1" si="143"/>
        <v>0.99982531921265627</v>
      </c>
      <c r="DR9" s="353">
        <f t="shared" ca="1" si="144"/>
        <v>0.99995249119119711</v>
      </c>
      <c r="DS9" s="353">
        <f t="shared" ca="1" si="145"/>
        <v>0.99998833108939622</v>
      </c>
      <c r="DT9" s="353">
        <f t="shared" ca="1" si="146"/>
        <v>0.99999741327709968</v>
      </c>
      <c r="DU9" s="353">
        <f t="shared" ca="1" si="147"/>
        <v>0.99999948273828565</v>
      </c>
      <c r="DV9" s="353">
        <f t="shared" ca="1" si="148"/>
        <v>0.9999999067341937</v>
      </c>
      <c r="DW9" s="353">
        <f t="shared" ca="1" si="149"/>
        <v>0.9999999848426081</v>
      </c>
      <c r="DX9" s="353">
        <f t="shared" ca="1" si="150"/>
        <v>0.99999999778038717</v>
      </c>
      <c r="DY9" s="354">
        <f t="shared" ca="1" si="151"/>
        <v>0.99999999970720732</v>
      </c>
      <c r="DZ9" s="17"/>
      <c r="EA9" s="17"/>
      <c r="EB9" s="343" cm="1">
        <f t="array" aca="1" ref="EB9" ca="1">IF($AA9&gt;CDS.Tenor,"-",flatInterpolation(CC9,INDIRECT(HazardRateTimes3),INDIRECT(HazardRateValues3)))</f>
        <v>7.4999999999999997E-3</v>
      </c>
      <c r="EC9" s="10">
        <f t="shared" ca="1" si="152"/>
        <v>0.99066880830466109</v>
      </c>
      <c r="ED9" s="10">
        <f t="shared" ca="1" si="153"/>
        <v>9.331191695338914E-3</v>
      </c>
      <c r="EE9" s="81">
        <f t="shared" ca="1" si="154"/>
        <v>-2.3522070539735651</v>
      </c>
      <c r="EG9" s="358">
        <f t="shared" si="155"/>
        <v>1.25</v>
      </c>
      <c r="EH9" s="353">
        <f ca="1">IF($AA9&gt;CDS.Tenor,"-",_xlfn.NORM.S.DIST(($EE9-SQRT(ImpliedCorrelation)*EH$3)/SQRT(1-ImpliedCorrelation),TRUE))</f>
        <v>0.67790311113905433</v>
      </c>
      <c r="EI9" s="353">
        <f ca="1">IF($AA9&gt;CDS.Tenor,"-",_xlfn.NORM.S.DIST(($EE9-SQRT(ImpliedCorrelation)*EI$3)/SQRT(1-ImpliedCorrelation),TRUE))</f>
        <v>0.55350285929092968</v>
      </c>
      <c r="EJ9" s="353">
        <f ca="1">IF($AA9&gt;CDS.Tenor,"-",_xlfn.NORM.S.DIST(($EE9-SQRT(ImpliedCorrelation)*EJ$3)/SQRT(1-ImpliedCorrelation),TRUE))</f>
        <v>0.42355369658602193</v>
      </c>
      <c r="EK9" s="353">
        <f ca="1">IF($AA9&gt;CDS.Tenor,"-",_xlfn.NORM.S.DIST(($EE9-SQRT(ImpliedCorrelation)*EK$3)/SQRT(1-ImpliedCorrelation),TRUE))</f>
        <v>0.30148393478320679</v>
      </c>
      <c r="EL9" s="353">
        <f ca="1">IF($AA9&gt;CDS.Tenor,"-",_xlfn.NORM.S.DIST(($EE9-SQRT(ImpliedCorrelation)*EL$3)/SQRT(1-ImpliedCorrelation),TRUE))</f>
        <v>0.19836822953574379</v>
      </c>
      <c r="EM9" s="353">
        <f ca="1">IF($AA9&gt;CDS.Tenor,"-",_xlfn.NORM.S.DIST(($EE9-SQRT(ImpliedCorrelation)*EM$3)/SQRT(1-ImpliedCorrelation),TRUE))</f>
        <v>0.12003917300233302</v>
      </c>
      <c r="EN9" s="353">
        <f ca="1">IF($AA9&gt;CDS.Tenor,"-",_xlfn.NORM.S.DIST(($EE9-SQRT(ImpliedCorrelation)*EN$3)/SQRT(1-ImpliedCorrelation),TRUE))</f>
        <v>6.6533341148284519E-2</v>
      </c>
      <c r="EO9" s="353">
        <f ca="1">IF($AA9&gt;CDS.Tenor,"-",_xlfn.NORM.S.DIST(($EE9-SQRT(ImpliedCorrelation)*EO$3)/SQRT(1-ImpliedCorrelation),TRUE))</f>
        <v>3.3666511224548945E-2</v>
      </c>
      <c r="EP9" s="353">
        <f ca="1">IF($AA9&gt;CDS.Tenor,"-",_xlfn.NORM.S.DIST(($EE9-SQRT(ImpliedCorrelation)*EP$3)/SQRT(1-ImpliedCorrelation),TRUE))</f>
        <v>1.5511736575147862E-2</v>
      </c>
      <c r="EQ9" s="353">
        <f ca="1">IF($AA9&gt;CDS.Tenor,"-",_xlfn.NORM.S.DIST(($EE9-SQRT(ImpliedCorrelation)*EQ$3)/SQRT(1-ImpliedCorrelation),TRUE))</f>
        <v>6.4939969404211196E-3</v>
      </c>
      <c r="ER9" s="353">
        <f ca="1">IF($AA9&gt;CDS.Tenor,"-",_xlfn.NORM.S.DIST(($EE9-SQRT(ImpliedCorrelation)*ER$3)/SQRT(1-ImpliedCorrelation),TRUE))</f>
        <v>2.4661281349568176E-3</v>
      </c>
      <c r="ES9" s="353">
        <f ca="1">IF($AA9&gt;CDS.Tenor,"-",_xlfn.NORM.S.DIST(($EE9-SQRT(ImpliedCorrelation)*ES$3)/SQRT(1-ImpliedCorrelation),TRUE))</f>
        <v>8.483448797764404E-4</v>
      </c>
      <c r="ET9" s="353">
        <f ca="1">IF($AA9&gt;CDS.Tenor,"-",_xlfn.NORM.S.DIST(($EE9-SQRT(ImpliedCorrelation)*ET$3)/SQRT(1-ImpliedCorrelation),TRUE))</f>
        <v>2.6405420159323565E-4</v>
      </c>
      <c r="EU9" s="353">
        <f ca="1">IF($AA9&gt;CDS.Tenor,"-",_xlfn.NORM.S.DIST(($EE9-SQRT(ImpliedCorrelation)*EU$3)/SQRT(1-ImpliedCorrelation),TRUE))</f>
        <v>7.4297547410930506E-5</v>
      </c>
      <c r="EV9" s="353">
        <f ca="1">IF($AA9&gt;CDS.Tenor,"-",_xlfn.NORM.S.DIST(($EE9-SQRT(ImpliedCorrelation)*EV$3)/SQRT(1-ImpliedCorrelation),TRUE))</f>
        <v>1.8883485582949171E-5</v>
      </c>
      <c r="EW9" s="353">
        <f ca="1">IF($AA9&gt;CDS.Tenor,"-",_xlfn.NORM.S.DIST(($EE9-SQRT(ImpliedCorrelation)*EW$3)/SQRT(1-ImpliedCorrelation),TRUE))</f>
        <v>4.332479678779426E-6</v>
      </c>
      <c r="EX9" s="353">
        <f ca="1">IF($AA9&gt;CDS.Tenor,"-",_xlfn.NORM.S.DIST(($EE9-SQRT(ImpliedCorrelation)*EX$3)/SQRT(1-ImpliedCorrelation),TRUE))</f>
        <v>8.9681359173188273E-7</v>
      </c>
      <c r="EY9" s="353">
        <f ca="1">IF($AA9&gt;CDS.Tenor,"-",_xlfn.NORM.S.DIST(($EE9-SQRT(ImpliedCorrelation)*EY$3)/SQRT(1-ImpliedCorrelation),TRUE))</f>
        <v>1.6740927300422227E-7</v>
      </c>
      <c r="EZ9" s="353">
        <f ca="1">IF($AA9&gt;CDS.Tenor,"-",_xlfn.NORM.S.DIST(($EE9-SQRT(ImpliedCorrelation)*EZ$3)/SQRT(1-ImpliedCorrelation),TRUE))</f>
        <v>2.8170735060514257E-8</v>
      </c>
      <c r="FA9" s="353">
        <f ca="1">IF($AA9&gt;CDS.Tenor,"-",_xlfn.NORM.S.DIST(($EE9-SQRT(ImpliedCorrelation)*FA$3)/SQRT(1-ImpliedCorrelation),TRUE))</f>
        <v>4.2718096790871402E-9</v>
      </c>
      <c r="FB9" s="354">
        <f ca="1">IF($AA9&gt;CDS.Tenor,"-",_xlfn.NORM.S.DIST(($EE9-SQRT(ImpliedCorrelation)*FB$3)/SQRT(1-ImpliedCorrelation),TRUE))</f>
        <v>5.8357176618941488E-10</v>
      </c>
      <c r="FD9" s="358">
        <f t="shared" si="156"/>
        <v>1.25</v>
      </c>
      <c r="FE9" s="353">
        <f t="shared" ca="1" si="157"/>
        <v>0.32209688886094567</v>
      </c>
      <c r="FF9" s="353">
        <f t="shared" ca="1" si="158"/>
        <v>0.44649714070907032</v>
      </c>
      <c r="FG9" s="353">
        <f t="shared" ca="1" si="159"/>
        <v>0.57644630341397807</v>
      </c>
      <c r="FH9" s="353">
        <f t="shared" ca="1" si="160"/>
        <v>0.69851606521679321</v>
      </c>
      <c r="FI9" s="353">
        <f t="shared" ca="1" si="161"/>
        <v>0.80163177046425615</v>
      </c>
      <c r="FJ9" s="353">
        <f t="shared" ca="1" si="162"/>
        <v>0.87996082699766698</v>
      </c>
      <c r="FK9" s="353">
        <f t="shared" ca="1" si="163"/>
        <v>0.93346665885171554</v>
      </c>
      <c r="FL9" s="353">
        <f t="shared" ca="1" si="164"/>
        <v>0.96633348877545111</v>
      </c>
      <c r="FM9" s="353">
        <f t="shared" ca="1" si="165"/>
        <v>0.98448826342485218</v>
      </c>
      <c r="FN9" s="353">
        <f t="shared" ca="1" si="166"/>
        <v>0.99350600305957892</v>
      </c>
      <c r="FO9" s="353">
        <f t="shared" ca="1" si="167"/>
        <v>0.99753387186504316</v>
      </c>
      <c r="FP9" s="353">
        <f t="shared" ca="1" si="168"/>
        <v>0.99915165512022353</v>
      </c>
      <c r="FQ9" s="353">
        <f t="shared" ca="1" si="169"/>
        <v>0.99973594579840674</v>
      </c>
      <c r="FR9" s="353">
        <f t="shared" ca="1" si="170"/>
        <v>0.99992570245258905</v>
      </c>
      <c r="FS9" s="353">
        <f t="shared" ca="1" si="171"/>
        <v>0.99998111651441701</v>
      </c>
      <c r="FT9" s="353">
        <f t="shared" ca="1" si="172"/>
        <v>0.99999566752032121</v>
      </c>
      <c r="FU9" s="353">
        <f t="shared" ca="1" si="173"/>
        <v>0.99999910318640828</v>
      </c>
      <c r="FV9" s="353">
        <f t="shared" ca="1" si="174"/>
        <v>0.999999832590727</v>
      </c>
      <c r="FW9" s="353">
        <f t="shared" ca="1" si="175"/>
        <v>0.99999997182926492</v>
      </c>
      <c r="FX9" s="353">
        <f t="shared" ca="1" si="176"/>
        <v>0.99999999572819032</v>
      </c>
      <c r="FY9" s="354">
        <f t="shared" ca="1" si="177"/>
        <v>0.99999999941642825</v>
      </c>
      <c r="GB9" s="358">
        <f t="shared" si="178"/>
        <v>1.25</v>
      </c>
      <c r="GC9" s="353">
        <f ca="1">IF($GB9&gt;CDS.Tenor,"-",BE9*DE9*FE9)</f>
        <v>4.5186984667027544E-2</v>
      </c>
      <c r="GD9" s="353">
        <f ca="1">IF($GB9&gt;CDS.Tenor,"-",BF9*DF9*FF9)</f>
        <v>0.1129553200197546</v>
      </c>
      <c r="GE9" s="353">
        <f ca="1">IF($GB9&gt;CDS.Tenor,"-",BG9*DG9*FG9)</f>
        <v>0.22957417532819557</v>
      </c>
      <c r="GF9" s="353">
        <f ca="1">IF($GB9&gt;CDS.Tenor,"-",BH9*DH9*FH9)</f>
        <v>0.38873275396939727</v>
      </c>
      <c r="GG9" s="353">
        <f ca="1">IF($GB9&gt;CDS.Tenor,"-",BI9*DI9*FI9)</f>
        <v>0.56389613951280326</v>
      </c>
      <c r="GH9" s="353">
        <f ca="1">IF($GB9&gt;CDS.Tenor,"-",BJ9*DJ9*FJ9)</f>
        <v>0.72226646252115911</v>
      </c>
      <c r="GI9" s="353">
        <f ca="1">IF($GB9&gt;CDS.Tenor,"-",BK9*DK9*FK9)</f>
        <v>0.84221898048082355</v>
      </c>
      <c r="GJ9" s="353">
        <f ca="1">IF($GB9&gt;CDS.Tenor,"-",BL9*DL9*FL9)</f>
        <v>0.91979650279536607</v>
      </c>
      <c r="GK9" s="353">
        <f ca="1">IF($GB9&gt;CDS.Tenor,"-",BM9*DM9*FM9)</f>
        <v>0.96337074302863723</v>
      </c>
      <c r="GL9" s="353">
        <f ca="1">IF($GB9&gt;CDS.Tenor,"-",BN9*DN9*FN9)</f>
        <v>0.98491794681928646</v>
      </c>
      <c r="GM9" s="353">
        <f ca="1">IF($GB9&gt;CDS.Tenor,"-",BO9*DO9*FO9)</f>
        <v>0.99438927344656447</v>
      </c>
      <c r="GN9" s="353">
        <f ca="1">IF($GB9&gt;CDS.Tenor,"-",BP9*DP9*FP9)</f>
        <v>0.99811247159627314</v>
      </c>
      <c r="GO9" s="353">
        <f ca="1">IF($GB9&gt;CDS.Tenor,"-",BQ9*DQ9*FQ9)</f>
        <v>0.99942574137759843</v>
      </c>
      <c r="GP9" s="353">
        <f ca="1">IF($GB9&gt;CDS.Tenor,"-",BR9*DR9*FR9)</f>
        <v>0.99984205849307795</v>
      </c>
      <c r="GQ9" s="353">
        <f ca="1">IF($GB9&gt;CDS.Tenor,"-",BS9*DS9*FS9)</f>
        <v>0.99996075112872729</v>
      </c>
      <c r="GR9" s="353">
        <f ca="1">IF($GB9&gt;CDS.Tenor,"-",BT9*DT9*FT9)</f>
        <v>0.99999119228418087</v>
      </c>
      <c r="GS9" s="353">
        <f ca="1">IF($GB9&gt;CDS.Tenor,"-",BU9*DU9*FU9)</f>
        <v>0.99999821602585415</v>
      </c>
      <c r="GT9" s="353">
        <f ca="1">IF($GB9&gt;CDS.Tenor,"-",BV9*DV9*FV9)</f>
        <v>0.99999967400289613</v>
      </c>
      <c r="GU9" s="353">
        <f ca="1">IF($GB9&gt;CDS.Tenor,"-",BW9*DW9*FW9)</f>
        <v>0.99999994627516453</v>
      </c>
      <c r="GV9" s="353">
        <f ca="1">IF($GB9&gt;CDS.Tenor,"-",BX9*DX9*FX9)</f>
        <v>0.99999999201764811</v>
      </c>
      <c r="GW9" s="354">
        <f ca="1">IF($GB9&gt;CDS.Tenor,"-",BY9*DY9*FY9)</f>
        <v>0.99999999893104885</v>
      </c>
      <c r="GX9" s="42"/>
      <c r="GY9" s="42"/>
      <c r="GZ9" s="358">
        <f t="shared" si="179"/>
        <v>1.25</v>
      </c>
      <c r="HA9" s="362">
        <f t="shared" ca="1" si="180"/>
        <v>0.97820125583331541</v>
      </c>
      <c r="HB9" s="363">
        <f t="shared" ca="1" si="181"/>
        <v>4.2494499783526374E-3</v>
      </c>
    </row>
    <row r="10" spans="2:231" x14ac:dyDescent="0.3">
      <c r="B10" s="116" t="s">
        <v>133</v>
      </c>
      <c r="C10" s="160"/>
      <c r="D10" s="162">
        <v>5</v>
      </c>
      <c r="F10" s="389" t="s">
        <v>336</v>
      </c>
      <c r="G10" s="17">
        <f>'Credit Curve MSFT'!$P$8</f>
        <v>35</v>
      </c>
      <c r="H10" s="17"/>
      <c r="I10" s="370">
        <f t="shared" si="86"/>
        <v>1.5</v>
      </c>
      <c r="J10" s="371">
        <f t="shared" si="87"/>
        <v>-25000</v>
      </c>
      <c r="K10" s="348">
        <f t="shared" ca="1" si="88"/>
        <v>0.97399428905222829</v>
      </c>
      <c r="L10" s="348">
        <f t="shared" ca="1" si="89"/>
        <v>4.2069667810871181E-3</v>
      </c>
      <c r="M10" s="372" cm="1">
        <f t="array" ref="M10">IF($I10&gt;CDS.Tenor,"-",cubicInterpolation(CurveResults.Times,CurveResults.DFs,$I10))</f>
        <v>0.93466312738762736</v>
      </c>
      <c r="N10" s="371">
        <f t="shared" ca="1" si="90"/>
        <v>-22758.913706581108</v>
      </c>
      <c r="O10" s="371">
        <f t="shared" ca="1" si="91"/>
        <v>-49.151209105334324</v>
      </c>
      <c r="P10" s="373">
        <f t="shared" ca="1" si="92"/>
        <v>-22808.064915686442</v>
      </c>
      <c r="S10" s="370">
        <f t="shared" si="93"/>
        <v>1.5</v>
      </c>
      <c r="T10" s="371">
        <f t="shared" si="94"/>
        <v>6000000</v>
      </c>
      <c r="U10" s="348">
        <f ca="1">IF($I10&gt;CDS.Tenor,"-",HA10)</f>
        <v>0.97399428905222829</v>
      </c>
      <c r="V10" s="348">
        <f t="shared" ca="1" si="95"/>
        <v>4.2069667810871181E-3</v>
      </c>
      <c r="W10" s="372" cm="1">
        <f t="array" ref="W10">IF($S10&gt;CDS.Tenor,"-",cubicInterpolation(CurveResults.Times,CurveResults.DFs,$I10))</f>
        <v>0.93466312738762736</v>
      </c>
      <c r="X10" s="373">
        <f t="shared" ca="1" si="96"/>
        <v>23592.580370560474</v>
      </c>
      <c r="AA10" s="358">
        <f t="shared" si="97"/>
        <v>1.5</v>
      </c>
      <c r="AB10" s="343" cm="1">
        <f t="array" aca="1" ref="AB10" ca="1">IF($AA10&gt;CDS.Tenor,"-",flatInterpolation(Z10,INDIRECT(HazardRateTimes1),INDIRECT(HazardRateValues1)))</f>
        <v>5.0000000000000001E-3</v>
      </c>
      <c r="AC10" s="10">
        <f t="shared" ca="1" si="98"/>
        <v>0.99252805481913864</v>
      </c>
      <c r="AD10" s="10">
        <f t="shared" ca="1" si="99"/>
        <v>7.4719451808613613E-3</v>
      </c>
      <c r="AE10" s="81">
        <f t="shared" ca="1" si="100"/>
        <v>-2.4337359926085322</v>
      </c>
      <c r="AG10" s="358">
        <f t="shared" si="101"/>
        <v>1.5</v>
      </c>
      <c r="AH10" s="353">
        <f t="shared" ca="1" si="102"/>
        <v>0.64221938688237601</v>
      </c>
      <c r="AI10" s="353">
        <f t="shared" ca="1" si="102"/>
        <v>0.51478565600315096</v>
      </c>
      <c r="AJ10" s="353">
        <f t="shared" ca="1" si="102"/>
        <v>0.38581012102375656</v>
      </c>
      <c r="AK10" s="353">
        <f t="shared" ca="1" si="102"/>
        <v>0.26842511409433295</v>
      </c>
      <c r="AL10" s="353">
        <f t="shared" ca="1" si="102"/>
        <v>0.17235244510139322</v>
      </c>
      <c r="AM10" s="353">
        <f t="shared" ca="1" si="102"/>
        <v>0.10164451418619376</v>
      </c>
      <c r="AN10" s="353">
        <f t="shared" ca="1" si="102"/>
        <v>5.4847720612223164E-2</v>
      </c>
      <c r="AO10" s="353">
        <f t="shared" ca="1" si="102"/>
        <v>2.6996646326544884E-2</v>
      </c>
      <c r="AP10" s="353">
        <f t="shared" ca="1" si="102"/>
        <v>1.2091253149706032E-2</v>
      </c>
      <c r="AQ10" s="353">
        <f t="shared" ca="1" si="102"/>
        <v>4.9179718914011735E-3</v>
      </c>
      <c r="AR10" s="353">
        <f t="shared" ca="1" si="103"/>
        <v>1.8136831660267082E-3</v>
      </c>
      <c r="AS10" s="353">
        <f t="shared" ca="1" si="103"/>
        <v>6.0566723464739033E-4</v>
      </c>
      <c r="AT10" s="353">
        <f t="shared" ca="1" si="103"/>
        <v>1.8295422333491806E-4</v>
      </c>
      <c r="AU10" s="353">
        <f t="shared" ca="1" si="103"/>
        <v>4.9946550485224393E-5</v>
      </c>
      <c r="AV10" s="353">
        <f t="shared" ca="1" si="103"/>
        <v>1.2314205861521424E-5</v>
      </c>
      <c r="AW10" s="353">
        <f t="shared" ca="1" si="103"/>
        <v>2.7401839915147518E-6</v>
      </c>
      <c r="AX10" s="353">
        <f t="shared" ca="1" si="103"/>
        <v>5.5004912414641116E-7</v>
      </c>
      <c r="AY10" s="353">
        <f t="shared" ca="1" si="103"/>
        <v>9.9559200737976181E-8</v>
      </c>
      <c r="AZ10" s="353">
        <f t="shared" ca="1" si="103"/>
        <v>1.6242646972106244E-8</v>
      </c>
      <c r="BA10" s="353">
        <f t="shared" ca="1" si="103"/>
        <v>2.3877437345434179E-9</v>
      </c>
      <c r="BB10" s="354">
        <f t="shared" ca="1" si="103"/>
        <v>3.161935404428263E-10</v>
      </c>
      <c r="BD10" s="358">
        <f t="shared" si="104"/>
        <v>1.5</v>
      </c>
      <c r="BE10" s="353">
        <f t="shared" ca="1" si="105"/>
        <v>0.35778061311762399</v>
      </c>
      <c r="BF10" s="353">
        <f t="shared" ca="1" si="106"/>
        <v>0.48521434399684904</v>
      </c>
      <c r="BG10" s="353">
        <f t="shared" ca="1" si="107"/>
        <v>0.61418987897624344</v>
      </c>
      <c r="BH10" s="353">
        <f t="shared" ca="1" si="108"/>
        <v>0.73157488590566699</v>
      </c>
      <c r="BI10" s="353">
        <f t="shared" ca="1" si="109"/>
        <v>0.82764755489860675</v>
      </c>
      <c r="BJ10" s="353">
        <f t="shared" ca="1" si="110"/>
        <v>0.8983554858138062</v>
      </c>
      <c r="BK10" s="353">
        <f t="shared" ca="1" si="111"/>
        <v>0.94515227938777679</v>
      </c>
      <c r="BL10" s="353">
        <f t="shared" ca="1" si="112"/>
        <v>0.97300335367345514</v>
      </c>
      <c r="BM10" s="353">
        <f t="shared" ca="1" si="113"/>
        <v>0.98790874685029395</v>
      </c>
      <c r="BN10" s="353">
        <f t="shared" ca="1" si="114"/>
        <v>0.9950820281085988</v>
      </c>
      <c r="BO10" s="353">
        <f t="shared" ca="1" si="115"/>
        <v>0.9981863168339733</v>
      </c>
      <c r="BP10" s="353">
        <f t="shared" ca="1" si="116"/>
        <v>0.99939433276535261</v>
      </c>
      <c r="BQ10" s="353">
        <f t="shared" ca="1" si="117"/>
        <v>0.99981704577666508</v>
      </c>
      <c r="BR10" s="353">
        <f t="shared" ca="1" si="118"/>
        <v>0.99995005344951482</v>
      </c>
      <c r="BS10" s="353">
        <f t="shared" ca="1" si="119"/>
        <v>0.99998768579413844</v>
      </c>
      <c r="BT10" s="353">
        <f t="shared" ca="1" si="120"/>
        <v>0.99999725981600851</v>
      </c>
      <c r="BU10" s="353">
        <f t="shared" ca="1" si="121"/>
        <v>0.99999944995087586</v>
      </c>
      <c r="BV10" s="353">
        <f t="shared" ca="1" si="122"/>
        <v>0.99999990044079923</v>
      </c>
      <c r="BW10" s="353">
        <f t="shared" ca="1" si="123"/>
        <v>0.99999998375735299</v>
      </c>
      <c r="BX10" s="353">
        <f t="shared" ca="1" si="124"/>
        <v>0.99999999761225622</v>
      </c>
      <c r="BY10" s="354">
        <f t="shared" ca="1" si="125"/>
        <v>0.99999999968380648</v>
      </c>
      <c r="BZ10" s="17"/>
      <c r="CA10" s="17"/>
      <c r="CB10" s="343" cm="1">
        <f t="array" aca="1" ref="CB10" ca="1">IF($AA10&gt;CDS.Tenor,"-",flatInterpolation(AA10,INDIRECT(HazardRateTimes2),INDIRECT(HazardRateValues2)))</f>
        <v>5.8333333333333336E-3</v>
      </c>
      <c r="CC10" s="10">
        <f t="shared" ca="1" si="126"/>
        <v>0.99128816984016976</v>
      </c>
      <c r="CD10" s="10">
        <f t="shared" ca="1" si="127"/>
        <v>8.7118301598302361E-3</v>
      </c>
      <c r="CE10" s="81">
        <f t="shared" ca="1" si="128"/>
        <v>-2.377643535749058</v>
      </c>
      <c r="CG10" s="358">
        <f t="shared" si="129"/>
        <v>1.5</v>
      </c>
      <c r="CH10" s="353">
        <f ca="1">IF($AA10&gt;CDS.Tenor,"-",_xlfn.NORM.S.DIST(($CE10-SQRT(ImpliedCorrelation)*CH$3)/SQRT(1-ImpliedCorrelation),TRUE))</f>
        <v>0.66692604705181657</v>
      </c>
      <c r="CI10" s="353">
        <f ca="1">IF($AA10&gt;CDS.Tenor,"-",_xlfn.NORM.S.DIST(($CE10-SQRT(ImpliedCorrelation)*CI$3)/SQRT(1-ImpliedCorrelation),TRUE))</f>
        <v>0.54146053634924207</v>
      </c>
      <c r="CJ10" s="353">
        <f ca="1">IF($AA10&gt;CDS.Tenor,"-",_xlfn.NORM.S.DIST(($CE10-SQRT(ImpliedCorrelation)*CJ$3)/SQRT(1-ImpliedCorrelation),TRUE))</f>
        <v>0.41168490860601159</v>
      </c>
      <c r="CK10" s="353">
        <f ca="1">IF($AA10&gt;CDS.Tenor,"-",_xlfn.NORM.S.DIST(($CE10-SQRT(ImpliedCorrelation)*CK$3)/SQRT(1-ImpliedCorrelation),TRUE))</f>
        <v>0.29097461743861874</v>
      </c>
      <c r="CL10" s="353">
        <f ca="1">IF($AA10&gt;CDS.Tenor,"-",_xlfn.NORM.S.DIST(($CE10-SQRT(ImpliedCorrelation)*CL$3)/SQRT(1-ImpliedCorrelation),TRUE))</f>
        <v>0.19000806791674263</v>
      </c>
      <c r="CM10" s="353">
        <f ca="1">IF($AA10&gt;CDS.Tenor,"-",_xlfn.NORM.S.DIST(($CE10-SQRT(ImpliedCorrelation)*CM$3)/SQRT(1-ImpliedCorrelation),TRUE))</f>
        <v>0.11406432484877778</v>
      </c>
      <c r="CN10" s="353">
        <f ca="1">IF($AA10&gt;CDS.Tenor,"-",_xlfn.NORM.S.DIST(($CE10-SQRT(ImpliedCorrelation)*CN$3)/SQRT(1-ImpliedCorrelation),TRUE))</f>
        <v>6.2697054027618312E-2</v>
      </c>
      <c r="CO10" s="353">
        <f ca="1">IF($AA10&gt;CDS.Tenor,"-",_xlfn.NORM.S.DIST(($CE10-SQRT(ImpliedCorrelation)*CO$3)/SQRT(1-ImpliedCorrelation),TRUE))</f>
        <v>3.1453582800857874E-2</v>
      </c>
      <c r="CP10" s="353">
        <f ca="1">IF($AA10&gt;CDS.Tenor,"-",_xlfn.NORM.S.DIST(($CE10-SQRT(ImpliedCorrelation)*CP$3)/SQRT(1-ImpliedCorrelation),TRUE))</f>
        <v>1.4364915508495018E-2</v>
      </c>
      <c r="CQ10" s="353">
        <f ca="1">IF($AA10&gt;CDS.Tenor,"-",_xlfn.NORM.S.DIST(($CE10-SQRT(ImpliedCorrelation)*CQ$3)/SQRT(1-ImpliedCorrelation),TRUE))</f>
        <v>5.960052598379127E-3</v>
      </c>
      <c r="CR10" s="353">
        <f ca="1">IF($AA10&gt;CDS.Tenor,"-",_xlfn.NORM.S.DIST(($CE10-SQRT(ImpliedCorrelation)*CR$3)/SQRT(1-ImpliedCorrelation),TRUE))</f>
        <v>2.242787191246588E-3</v>
      </c>
      <c r="CS10" s="353">
        <f ca="1">IF($AA10&gt;CDS.Tenor,"-",_xlfn.NORM.S.DIST(($CE10-SQRT(ImpliedCorrelation)*CS$3)/SQRT(1-ImpliedCorrelation),TRUE))</f>
        <v>7.644157469407657E-4</v>
      </c>
      <c r="CT10" s="353">
        <f ca="1">IF($AA10&gt;CDS.Tenor,"-",_xlfn.NORM.S.DIST(($CE10-SQRT(ImpliedCorrelation)*CT$3)/SQRT(1-ImpliedCorrelation),TRUE))</f>
        <v>2.3571881412187603E-4</v>
      </c>
      <c r="CU10" s="353">
        <f ca="1">IF($AA10&gt;CDS.Tenor,"-",_xlfn.NORM.S.DIST(($CE10-SQRT(ImpliedCorrelation)*CU$3)/SQRT(1-ImpliedCorrelation),TRUE))</f>
        <v>6.5703106977074339E-5</v>
      </c>
      <c r="CV10" s="353">
        <f ca="1">IF($AA10&gt;CDS.Tenor,"-",_xlfn.NORM.S.DIST(($CE10-SQRT(ImpliedCorrelation)*CV$3)/SQRT(1-ImpliedCorrelation),TRUE))</f>
        <v>1.6541533062974227E-5</v>
      </c>
      <c r="CW10" s="353">
        <f ca="1">IF($AA10&gt;CDS.Tenor,"-",_xlfn.NORM.S.DIST(($CE10-SQRT(ImpliedCorrelation)*CW$3)/SQRT(1-ImpliedCorrelation),TRUE))</f>
        <v>3.7591418522151603E-6</v>
      </c>
      <c r="CX10" s="353">
        <f ca="1">IF($AA10&gt;CDS.Tenor,"-",_xlfn.NORM.S.DIST(($CE10-SQRT(ImpliedCorrelation)*CX$3)/SQRT(1-ImpliedCorrelation),TRUE))</f>
        <v>7.7071357781310716E-7</v>
      </c>
      <c r="CY10" s="353">
        <f ca="1">IF($AA10&gt;CDS.Tenor,"-",_xlfn.NORM.S.DIST(($CE10-SQRT(ImpliedCorrelation)*CY$3)/SQRT(1-ImpliedCorrelation),TRUE))</f>
        <v>1.4249250538633126E-7</v>
      </c>
      <c r="CZ10" s="353">
        <f ca="1">IF($AA10&gt;CDS.Tenor,"-",_xlfn.NORM.S.DIST(($CE10-SQRT(ImpliedCorrelation)*CZ$3)/SQRT(1-ImpliedCorrelation),TRUE))</f>
        <v>2.3747497170072259E-8</v>
      </c>
      <c r="DA10" s="353">
        <f ca="1">IF($AA10&gt;CDS.Tenor,"-",_xlfn.NORM.S.DIST(($CE10-SQRT(ImpliedCorrelation)*DA$3)/SQRT(1-ImpliedCorrelation),TRUE))</f>
        <v>3.5663683169769331E-9</v>
      </c>
      <c r="DB10" s="354">
        <f ca="1">IF($AA10&gt;CDS.Tenor,"-",_xlfn.NORM.S.DIST(($CE10-SQRT(ImpliedCorrelation)*DB$3)/SQRT(1-ImpliedCorrelation),TRUE))</f>
        <v>4.8249448077915911E-10</v>
      </c>
      <c r="DD10" s="358">
        <f t="shared" si="130"/>
        <v>1.5</v>
      </c>
      <c r="DE10" s="353">
        <f t="shared" ca="1" si="131"/>
        <v>0.33307395294818343</v>
      </c>
      <c r="DF10" s="353">
        <f t="shared" ca="1" si="132"/>
        <v>0.45853946365075793</v>
      </c>
      <c r="DG10" s="353">
        <f t="shared" ca="1" si="133"/>
        <v>0.58831509139398841</v>
      </c>
      <c r="DH10" s="353">
        <f t="shared" ca="1" si="134"/>
        <v>0.70902538256138126</v>
      </c>
      <c r="DI10" s="353">
        <f t="shared" ca="1" si="135"/>
        <v>0.80999193208325737</v>
      </c>
      <c r="DJ10" s="353">
        <f t="shared" ca="1" si="136"/>
        <v>0.88593567515122218</v>
      </c>
      <c r="DK10" s="353">
        <f t="shared" ca="1" si="137"/>
        <v>0.93730294597238173</v>
      </c>
      <c r="DL10" s="353">
        <f t="shared" ca="1" si="138"/>
        <v>0.96854641719914214</v>
      </c>
      <c r="DM10" s="353">
        <f t="shared" ca="1" si="139"/>
        <v>0.98563508449150494</v>
      </c>
      <c r="DN10" s="353">
        <f t="shared" ca="1" si="140"/>
        <v>0.99403994740162083</v>
      </c>
      <c r="DO10" s="353">
        <f t="shared" ca="1" si="141"/>
        <v>0.9977572128087534</v>
      </c>
      <c r="DP10" s="353">
        <f t="shared" ca="1" si="142"/>
        <v>0.99923558425305925</v>
      </c>
      <c r="DQ10" s="353">
        <f t="shared" ca="1" si="143"/>
        <v>0.99976428118587812</v>
      </c>
      <c r="DR10" s="353">
        <f t="shared" ca="1" si="144"/>
        <v>0.99993429689302293</v>
      </c>
      <c r="DS10" s="353">
        <f t="shared" ca="1" si="145"/>
        <v>0.99998345846693704</v>
      </c>
      <c r="DT10" s="353">
        <f t="shared" ca="1" si="146"/>
        <v>0.99999624085814776</v>
      </c>
      <c r="DU10" s="353">
        <f t="shared" ca="1" si="147"/>
        <v>0.99999922928642215</v>
      </c>
      <c r="DV10" s="353">
        <f t="shared" ca="1" si="148"/>
        <v>0.99999985750749465</v>
      </c>
      <c r="DW10" s="353">
        <f t="shared" ca="1" si="149"/>
        <v>0.99999997625250281</v>
      </c>
      <c r="DX10" s="353">
        <f t="shared" ca="1" si="150"/>
        <v>0.99999999643363169</v>
      </c>
      <c r="DY10" s="354">
        <f t="shared" ca="1" si="151"/>
        <v>0.99999999951750551</v>
      </c>
      <c r="DZ10" s="17"/>
      <c r="EA10" s="17"/>
      <c r="EB10" s="343" cm="1">
        <f t="array" aca="1" ref="EB10" ca="1">IF($AA10&gt;CDS.Tenor,"-",flatInterpolation(CC10,INDIRECT(HazardRateTimes3),INDIRECT(HazardRateValues3)))</f>
        <v>7.4999999999999997E-3</v>
      </c>
      <c r="EC10" s="10">
        <f t="shared" ca="1" si="152"/>
        <v>0.98881304461123321</v>
      </c>
      <c r="ED10" s="10">
        <f t="shared" ca="1" si="153"/>
        <v>1.1186955388766795E-2</v>
      </c>
      <c r="EE10" s="81">
        <f t="shared" ca="1" si="154"/>
        <v>-2.2839595080434103</v>
      </c>
      <c r="EG10" s="358">
        <f t="shared" si="155"/>
        <v>1.5</v>
      </c>
      <c r="EH10" s="353">
        <f ca="1">IF($AA10&gt;CDS.Tenor,"-",_xlfn.NORM.S.DIST(($EE10-SQRT(ImpliedCorrelation)*EH$3)/SQRT(1-ImpliedCorrelation),TRUE))</f>
        <v>0.70657781460245439</v>
      </c>
      <c r="EI10" s="353">
        <f ca="1">IF($AA10&gt;CDS.Tenor,"-",_xlfn.NORM.S.DIST(($EE10-SQRT(ImpliedCorrelation)*EI$3)/SQRT(1-ImpliedCorrelation),TRUE))</f>
        <v>0.58554033430525787</v>
      </c>
      <c r="EJ10" s="353">
        <f ca="1">IF($AA10&gt;CDS.Tenor,"-",_xlfn.NORM.S.DIST(($EE10-SQRT(ImpliedCorrelation)*EJ$3)/SQRT(1-ImpliedCorrelation),TRUE))</f>
        <v>0.45571338772722814</v>
      </c>
      <c r="EK10" s="353">
        <f ca="1">IF($AA10&gt;CDS.Tenor,"-",_xlfn.NORM.S.DIST(($EE10-SQRT(ImpliedCorrelation)*EK$3)/SQRT(1-ImpliedCorrelation),TRUE))</f>
        <v>0.33048805533115494</v>
      </c>
      <c r="EL10" s="353">
        <f ca="1">IF($AA10&gt;CDS.Tenor,"-",_xlfn.NORM.S.DIST(($EE10-SQRT(ImpliedCorrelation)*EL$3)/SQRT(1-ImpliedCorrelation),TRUE))</f>
        <v>0.22187006468691006</v>
      </c>
      <c r="EM10" s="353">
        <f ca="1">IF($AA10&gt;CDS.Tenor,"-",_xlfn.NORM.S.DIST(($EE10-SQRT(ImpliedCorrelation)*EM$3)/SQRT(1-ImpliedCorrelation),TRUE))</f>
        <v>0.13714870333739998</v>
      </c>
      <c r="EN10" s="353">
        <f ca="1">IF($AA10&gt;CDS.Tenor,"-",_xlfn.NORM.S.DIST(($EE10-SQRT(ImpliedCorrelation)*EN$3)/SQRT(1-ImpliedCorrelation),TRUE))</f>
        <v>7.7724334387118912E-2</v>
      </c>
      <c r="EO10" s="353">
        <f ca="1">IF($AA10&gt;CDS.Tenor,"-",_xlfn.NORM.S.DIST(($EE10-SQRT(ImpliedCorrelation)*EO$3)/SQRT(1-ImpliedCorrelation),TRUE))</f>
        <v>4.0242989716732257E-2</v>
      </c>
      <c r="EP10" s="353">
        <f ca="1">IF($AA10&gt;CDS.Tenor,"-",_xlfn.NORM.S.DIST(($EE10-SQRT(ImpliedCorrelation)*EP$3)/SQRT(1-ImpliedCorrelation),TRUE))</f>
        <v>1.8983997806237472E-2</v>
      </c>
      <c r="EQ10" s="353">
        <f ca="1">IF($AA10&gt;CDS.Tenor,"-",_xlfn.NORM.S.DIST(($EE10-SQRT(ImpliedCorrelation)*EQ$3)/SQRT(1-ImpliedCorrelation),TRUE))</f>
        <v>8.1411182427253304E-3</v>
      </c>
      <c r="ER10" s="353">
        <f ca="1">IF($AA10&gt;CDS.Tenor,"-",_xlfn.NORM.S.DIST(($EE10-SQRT(ImpliedCorrelation)*ER$3)/SQRT(1-ImpliedCorrelation),TRUE))</f>
        <v>3.1681214385332942E-3</v>
      </c>
      <c r="ES10" s="353">
        <f ca="1">IF($AA10&gt;CDS.Tenor,"-",_xlfn.NORM.S.DIST(($EE10-SQRT(ImpliedCorrelation)*ES$3)/SQRT(1-ImpliedCorrelation),TRUE))</f>
        <v>1.1171481406242112E-3</v>
      </c>
      <c r="ET10" s="353">
        <f ca="1">IF($AA10&gt;CDS.Tenor,"-",_xlfn.NORM.S.DIST(($EE10-SQRT(ImpliedCorrelation)*ET$3)/SQRT(1-ImpliedCorrelation),TRUE))</f>
        <v>3.5653046174056541E-4</v>
      </c>
      <c r="EU10" s="353">
        <f ca="1">IF($AA10&gt;CDS.Tenor,"-",_xlfn.NORM.S.DIST(($EE10-SQRT(ImpliedCorrelation)*EU$3)/SQRT(1-ImpliedCorrelation),TRUE))</f>
        <v>1.0288135809136822E-4</v>
      </c>
      <c r="EV10" s="353">
        <f ca="1">IF($AA10&gt;CDS.Tenor,"-",_xlfn.NORM.S.DIST(($EE10-SQRT(ImpliedCorrelation)*EV$3)/SQRT(1-ImpliedCorrelation),TRUE))</f>
        <v>2.6821358083565064E-5</v>
      </c>
      <c r="EW10" s="353">
        <f ca="1">IF($AA10&gt;CDS.Tenor,"-",_xlfn.NORM.S.DIST(($EE10-SQRT(ImpliedCorrelation)*EW$3)/SQRT(1-ImpliedCorrelation),TRUE))</f>
        <v>6.3130132701502065E-6</v>
      </c>
      <c r="EX10" s="353">
        <f ca="1">IF($AA10&gt;CDS.Tenor,"-",_xlfn.NORM.S.DIST(($EE10-SQRT(ImpliedCorrelation)*EX$3)/SQRT(1-ImpliedCorrelation),TRUE))</f>
        <v>1.3407843684412891E-6</v>
      </c>
      <c r="EY10" s="353">
        <f ca="1">IF($AA10&gt;CDS.Tenor,"-",_xlfn.NORM.S.DIST(($EE10-SQRT(ImpliedCorrelation)*EY$3)/SQRT(1-ImpliedCorrelation),TRUE))</f>
        <v>2.5682637890639608E-7</v>
      </c>
      <c r="EZ10" s="353">
        <f ca="1">IF($AA10&gt;CDS.Tenor,"-",_xlfn.NORM.S.DIST(($EE10-SQRT(ImpliedCorrelation)*EZ$3)/SQRT(1-ImpliedCorrelation),TRUE))</f>
        <v>4.4350822317223527E-8</v>
      </c>
      <c r="FA10" s="353">
        <f ca="1">IF($AA10&gt;CDS.Tenor,"-",_xlfn.NORM.S.DIST(($EE10-SQRT(ImpliedCorrelation)*FA$3)/SQRT(1-ImpliedCorrelation),TRUE))</f>
        <v>6.9022902963964946E-9</v>
      </c>
      <c r="FB10" s="354">
        <f ca="1">IF($AA10&gt;CDS.Tenor,"-",_xlfn.NORM.S.DIST(($EE10-SQRT(ImpliedCorrelation)*FB$3)/SQRT(1-ImpliedCorrelation),TRUE))</f>
        <v>9.6779473079702719E-10</v>
      </c>
      <c r="FD10" s="358">
        <f t="shared" si="156"/>
        <v>1.5</v>
      </c>
      <c r="FE10" s="353">
        <f t="shared" ca="1" si="157"/>
        <v>0.29342218539754561</v>
      </c>
      <c r="FF10" s="353">
        <f t="shared" ca="1" si="158"/>
        <v>0.41445966569474213</v>
      </c>
      <c r="FG10" s="353">
        <f t="shared" ca="1" si="159"/>
        <v>0.54428661227277186</v>
      </c>
      <c r="FH10" s="353">
        <f t="shared" ca="1" si="160"/>
        <v>0.66951194466884512</v>
      </c>
      <c r="FI10" s="353">
        <f t="shared" ca="1" si="161"/>
        <v>0.77812993531308994</v>
      </c>
      <c r="FJ10" s="353">
        <f t="shared" ca="1" si="162"/>
        <v>0.86285129666260008</v>
      </c>
      <c r="FK10" s="353">
        <f t="shared" ca="1" si="163"/>
        <v>0.9222756656128811</v>
      </c>
      <c r="FL10" s="353">
        <f t="shared" ca="1" si="164"/>
        <v>0.95975701028326776</v>
      </c>
      <c r="FM10" s="353">
        <f t="shared" ca="1" si="165"/>
        <v>0.9810160021937625</v>
      </c>
      <c r="FN10" s="353">
        <f t="shared" ca="1" si="166"/>
        <v>0.99185888175727466</v>
      </c>
      <c r="FO10" s="353">
        <f t="shared" ca="1" si="167"/>
        <v>0.99683187856146671</v>
      </c>
      <c r="FP10" s="353">
        <f t="shared" ca="1" si="168"/>
        <v>0.99888285185937575</v>
      </c>
      <c r="FQ10" s="353">
        <f t="shared" ca="1" si="169"/>
        <v>0.99964346953825944</v>
      </c>
      <c r="FR10" s="353">
        <f t="shared" ca="1" si="170"/>
        <v>0.99989711864190867</v>
      </c>
      <c r="FS10" s="353">
        <f t="shared" ca="1" si="171"/>
        <v>0.99997317864191648</v>
      </c>
      <c r="FT10" s="353">
        <f t="shared" ca="1" si="172"/>
        <v>0.99999368698672986</v>
      </c>
      <c r="FU10" s="353">
        <f t="shared" ca="1" si="173"/>
        <v>0.99999865921563158</v>
      </c>
      <c r="FV10" s="353">
        <f t="shared" ca="1" si="174"/>
        <v>0.99999974317362106</v>
      </c>
      <c r="FW10" s="353">
        <f t="shared" ca="1" si="175"/>
        <v>0.99999995564917765</v>
      </c>
      <c r="FX10" s="353">
        <f t="shared" ca="1" si="176"/>
        <v>0.99999999309770971</v>
      </c>
      <c r="FY10" s="354">
        <f t="shared" ca="1" si="177"/>
        <v>0.99999999903220527</v>
      </c>
      <c r="GB10" s="358">
        <f t="shared" si="178"/>
        <v>1.5</v>
      </c>
      <c r="GC10" s="353">
        <f ca="1">IF($GB10&gt;CDS.Tenor,"-",BE10*DE10*FE10)</f>
        <v>3.4966359845550292E-2</v>
      </c>
      <c r="GD10" s="353">
        <f ca="1">IF($GB10&gt;CDS.Tenor,"-",BF10*DF10*FF10)</f>
        <v>9.2213099957487513E-2</v>
      </c>
      <c r="GE10" s="353">
        <f ca="1">IF($GB10&gt;CDS.Tenor,"-",BG10*DG10*FG10)</f>
        <v>0.19667098675094677</v>
      </c>
      <c r="GF10" s="353">
        <f ca="1">IF($GB10&gt;CDS.Tenor,"-",BH10*DH10*FH10)</f>
        <v>0.34727930262527684</v>
      </c>
      <c r="GG10" s="353">
        <f ca="1">IF($GB10&gt;CDS.Tenor,"-",BI10*DI10*FI10)</f>
        <v>0.52164884818951818</v>
      </c>
      <c r="GH10" s="353">
        <f ca="1">IF($GB10&gt;CDS.Tenor,"-",BJ10*DJ10*FJ10)</f>
        <v>0.68673055425123453</v>
      </c>
      <c r="GI10" s="353">
        <f ca="1">IF($GB10&gt;CDS.Tenor,"-",BK10*DK10*FK10)</f>
        <v>0.81703849314221666</v>
      </c>
      <c r="GJ10" s="353">
        <f ca="1">IF($GB10&gt;CDS.Tenor,"-",BL10*DL10*FL10)</f>
        <v>0.90447396239354216</v>
      </c>
      <c r="GK10" s="353">
        <f ca="1">IF($GB10&gt;CDS.Tenor,"-",BM10*DM10*FM10)</f>
        <v>0.95523246988586785</v>
      </c>
      <c r="GL10" s="353">
        <f ca="1">IF($GB10&gt;CDS.Tenor,"-",BN10*DN10*FN10)</f>
        <v>0.9810984892949246</v>
      </c>
      <c r="GM10" s="353">
        <f ca="1">IF($GB10&gt;CDS.Tenor,"-",BO10*DO10*FO10)</f>
        <v>0.99279231441328619</v>
      </c>
      <c r="GN10" s="353">
        <f ca="1">IF($GB10&gt;CDS.Tenor,"-",BP10*DP10*FP10)</f>
        <v>0.99751476192779553</v>
      </c>
      <c r="GO10" s="353">
        <f ca="1">IF($GB10&gt;CDS.Tenor,"-",BQ10*DQ10*FQ10)</f>
        <v>0.99922498888087086</v>
      </c>
      <c r="GP10" s="353">
        <f ca="1">IF($GB10&gt;CDS.Tenor,"-",BR10*DR10*FR10)</f>
        <v>0.99978148416394619</v>
      </c>
      <c r="GQ10" s="353">
        <f ca="1">IF($GB10&gt;CDS.Tenor,"-",BS10*DS10*FS10)</f>
        <v>0.99994432388063248</v>
      </c>
      <c r="GR10" s="353">
        <f ca="1">IF($GB10&gt;CDS.Tenor,"-",BT10*DT10*FT10)</f>
        <v>0.99998718771221717</v>
      </c>
      <c r="GS10" s="353">
        <f ca="1">IF($GB10&gt;CDS.Tenor,"-",BU10*DU10*FU10)</f>
        <v>0.99999733845512428</v>
      </c>
      <c r="GT10" s="353">
        <f ca="1">IF($GB10&gt;CDS.Tenor,"-",BV10*DV10*FV10)</f>
        <v>0.99999950112199132</v>
      </c>
      <c r="GU10" s="353">
        <f ca="1">IF($GB10&gt;CDS.Tenor,"-",BW10*DW10*FW10)</f>
        <v>0.99999991565903557</v>
      </c>
      <c r="GV10" s="353">
        <f ca="1">IF($GB10&gt;CDS.Tenor,"-",BX10*DX10*FX10)</f>
        <v>0.99999998714359761</v>
      </c>
      <c r="GW10" s="354">
        <f ca="1">IF($GB10&gt;CDS.Tenor,"-",BY10*DY10*FY10)</f>
        <v>0.99999999823351726</v>
      </c>
      <c r="GX10" s="42"/>
      <c r="GY10" s="42"/>
      <c r="GZ10" s="358">
        <f t="shared" si="179"/>
        <v>1.5</v>
      </c>
      <c r="HA10" s="362">
        <f t="shared" ca="1" si="180"/>
        <v>0.97399428905222829</v>
      </c>
      <c r="HB10" s="363">
        <f t="shared" ca="1" si="181"/>
        <v>4.2069667810871181E-3</v>
      </c>
    </row>
    <row r="11" spans="2:231" x14ac:dyDescent="0.3">
      <c r="B11" s="112" t="s">
        <v>115</v>
      </c>
      <c r="C11" s="161"/>
      <c r="D11" s="163">
        <v>0.4</v>
      </c>
      <c r="F11" s="390" t="s">
        <v>337</v>
      </c>
      <c r="G11" s="17">
        <f>'Credit Curve NVDA'!$P$8</f>
        <v>45</v>
      </c>
      <c r="H11" s="18"/>
      <c r="I11" s="370">
        <f t="shared" si="86"/>
        <v>1.75</v>
      </c>
      <c r="J11" s="371">
        <f t="shared" si="87"/>
        <v>-25000</v>
      </c>
      <c r="K11" s="348">
        <f t="shared" ca="1" si="88"/>
        <v>0.96982686488653891</v>
      </c>
      <c r="L11" s="348">
        <f t="shared" ca="1" si="89"/>
        <v>4.1674241656893818E-3</v>
      </c>
      <c r="M11" s="372" cm="1">
        <f t="array" ref="M11">IF($I11&gt;CDS.Tenor,"-",cubicInterpolation(CurveResults.Times,CurveResults.DFs,$I11))</f>
        <v>0.92484187664189998</v>
      </c>
      <c r="N11" s="371">
        <f t="shared" ca="1" si="90"/>
        <v>-22423.412443484925</v>
      </c>
      <c r="O11" s="371">
        <f t="shared" ca="1" si="91"/>
        <v>-48.17760482698715</v>
      </c>
      <c r="P11" s="373">
        <f t="shared" ca="1" si="92"/>
        <v>-22471.590048311911</v>
      </c>
      <c r="S11" s="370">
        <f t="shared" si="93"/>
        <v>1.75</v>
      </c>
      <c r="T11" s="371">
        <f t="shared" si="94"/>
        <v>6000000</v>
      </c>
      <c r="U11" s="348">
        <f ca="1">IF($I11&gt;CDS.Tenor,"-",HA11)</f>
        <v>0.96982686488653891</v>
      </c>
      <c r="V11" s="348">
        <f t="shared" ca="1" si="95"/>
        <v>4.1674241656893818E-3</v>
      </c>
      <c r="W11" s="372" cm="1">
        <f t="array" ref="W11">IF($S11&gt;CDS.Tenor,"-",cubicInterpolation(CurveResults.Times,CurveResults.DFs,$I11))</f>
        <v>0.92484187664189998</v>
      </c>
      <c r="X11" s="373">
        <f t="shared" ca="1" si="96"/>
        <v>23125.250316953832</v>
      </c>
      <c r="AA11" s="358">
        <f t="shared" si="97"/>
        <v>1.75</v>
      </c>
      <c r="AB11" s="343" cm="1">
        <f t="array" aca="1" ref="AB11" ca="1">IF($AA11&gt;CDS.Tenor,"-",flatInterpolation(Z11,INDIRECT(HazardRateTimes1),INDIRECT(HazardRateValues1)))</f>
        <v>5.0000000000000001E-3</v>
      </c>
      <c r="AC11" s="10">
        <f t="shared" ca="1" si="98"/>
        <v>0.99128816984016999</v>
      </c>
      <c r="AD11" s="10">
        <f t="shared" ca="1" si="99"/>
        <v>8.7118301598300141E-3</v>
      </c>
      <c r="AE11" s="81">
        <f t="shared" ca="1" si="100"/>
        <v>-2.377643535749066</v>
      </c>
      <c r="AG11" s="358">
        <f t="shared" si="101"/>
        <v>1.75</v>
      </c>
      <c r="AH11" s="353">
        <f t="shared" ca="1" si="102"/>
        <v>0.66692604705181302</v>
      </c>
      <c r="AI11" s="353">
        <f t="shared" ca="1" si="102"/>
        <v>0.5414605363492383</v>
      </c>
      <c r="AJ11" s="353">
        <f t="shared" ca="1" si="102"/>
        <v>0.41168490860600793</v>
      </c>
      <c r="AK11" s="353">
        <f t="shared" ca="1" si="102"/>
        <v>0.29097461743861547</v>
      </c>
      <c r="AL11" s="353">
        <f t="shared" ca="1" si="102"/>
        <v>0.19000806791673999</v>
      </c>
      <c r="AM11" s="353">
        <f t="shared" ca="1" si="102"/>
        <v>0.11406432484877595</v>
      </c>
      <c r="AN11" s="353">
        <f t="shared" ca="1" si="102"/>
        <v>6.2697054027617147E-2</v>
      </c>
      <c r="AO11" s="353">
        <f t="shared" ca="1" si="102"/>
        <v>3.1453582800857187E-2</v>
      </c>
      <c r="AP11" s="353">
        <f t="shared" ca="1" si="102"/>
        <v>1.4364915508494662E-2</v>
      </c>
      <c r="AQ11" s="353">
        <f t="shared" ca="1" si="102"/>
        <v>5.9600525983789735E-3</v>
      </c>
      <c r="AR11" s="353">
        <f t="shared" ca="1" si="103"/>
        <v>2.242787191246523E-3</v>
      </c>
      <c r="AS11" s="353">
        <f t="shared" ca="1" si="103"/>
        <v>7.6441574694074066E-4</v>
      </c>
      <c r="AT11" s="353">
        <f t="shared" ca="1" si="103"/>
        <v>2.3571881412186771E-4</v>
      </c>
      <c r="AU11" s="353">
        <f t="shared" ca="1" si="103"/>
        <v>6.5703106977071831E-5</v>
      </c>
      <c r="AV11" s="353">
        <f t="shared" ca="1" si="103"/>
        <v>1.654153306297355E-5</v>
      </c>
      <c r="AW11" s="353">
        <f t="shared" ca="1" si="103"/>
        <v>3.7591418522150002E-6</v>
      </c>
      <c r="AX11" s="353">
        <f t="shared" ca="1" si="103"/>
        <v>7.707135778130718E-7</v>
      </c>
      <c r="AY11" s="353">
        <f t="shared" ca="1" si="103"/>
        <v>1.4249250538632469E-7</v>
      </c>
      <c r="AZ11" s="353">
        <f t="shared" ca="1" si="103"/>
        <v>2.3747497170070862E-8</v>
      </c>
      <c r="BA11" s="353">
        <f t="shared" ca="1" si="103"/>
        <v>3.5663683169767627E-9</v>
      </c>
      <c r="BB11" s="354">
        <f t="shared" ca="1" si="103"/>
        <v>4.8249448077912923E-10</v>
      </c>
      <c r="BD11" s="358">
        <f t="shared" si="104"/>
        <v>1.75</v>
      </c>
      <c r="BE11" s="353">
        <f t="shared" ca="1" si="105"/>
        <v>0.33307395294818698</v>
      </c>
      <c r="BF11" s="353">
        <f t="shared" ca="1" si="106"/>
        <v>0.4585394636507617</v>
      </c>
      <c r="BG11" s="353">
        <f t="shared" ca="1" si="107"/>
        <v>0.58831509139399207</v>
      </c>
      <c r="BH11" s="353">
        <f t="shared" ca="1" si="108"/>
        <v>0.70902538256138459</v>
      </c>
      <c r="BI11" s="353">
        <f t="shared" ca="1" si="109"/>
        <v>0.80999193208326004</v>
      </c>
      <c r="BJ11" s="353">
        <f t="shared" ca="1" si="110"/>
        <v>0.88593567515122407</v>
      </c>
      <c r="BK11" s="353">
        <f t="shared" ca="1" si="111"/>
        <v>0.93730294597238284</v>
      </c>
      <c r="BL11" s="353">
        <f t="shared" ca="1" si="112"/>
        <v>0.96854641719914281</v>
      </c>
      <c r="BM11" s="353">
        <f t="shared" ca="1" si="113"/>
        <v>0.98563508449150539</v>
      </c>
      <c r="BN11" s="353">
        <f t="shared" ca="1" si="114"/>
        <v>0.99403994740162105</v>
      </c>
      <c r="BO11" s="353">
        <f t="shared" ca="1" si="115"/>
        <v>0.99775721280875351</v>
      </c>
      <c r="BP11" s="353">
        <f t="shared" ca="1" si="116"/>
        <v>0.99923558425305925</v>
      </c>
      <c r="BQ11" s="353">
        <f t="shared" ca="1" si="117"/>
        <v>0.99976428118587812</v>
      </c>
      <c r="BR11" s="353">
        <f t="shared" ca="1" si="118"/>
        <v>0.99993429689302293</v>
      </c>
      <c r="BS11" s="353">
        <f t="shared" ca="1" si="119"/>
        <v>0.99998345846693704</v>
      </c>
      <c r="BT11" s="353">
        <f t="shared" ca="1" si="120"/>
        <v>0.99999624085814776</v>
      </c>
      <c r="BU11" s="353">
        <f t="shared" ca="1" si="121"/>
        <v>0.99999922928642215</v>
      </c>
      <c r="BV11" s="353">
        <f t="shared" ca="1" si="122"/>
        <v>0.99999985750749465</v>
      </c>
      <c r="BW11" s="353">
        <f t="shared" ca="1" si="123"/>
        <v>0.99999997625250281</v>
      </c>
      <c r="BX11" s="353">
        <f t="shared" ca="1" si="124"/>
        <v>0.99999999643363169</v>
      </c>
      <c r="BY11" s="354">
        <f t="shared" ca="1" si="125"/>
        <v>0.99999999951750551</v>
      </c>
      <c r="BZ11" s="17"/>
      <c r="CA11" s="17"/>
      <c r="CB11" s="343" cm="1">
        <f t="array" aca="1" ref="CB11" ca="1">IF($AA11&gt;CDS.Tenor,"-",flatInterpolation(AA11,INDIRECT(HazardRateTimes2),INDIRECT(HazardRateValues2)))</f>
        <v>5.8333333333333336E-3</v>
      </c>
      <c r="CC11" s="10">
        <f t="shared" ca="1" si="126"/>
        <v>0.98984359485110152</v>
      </c>
      <c r="CD11" s="10">
        <f t="shared" ca="1" si="127"/>
        <v>1.0156405148898484E-2</v>
      </c>
      <c r="CE11" s="81">
        <f t="shared" ca="1" si="128"/>
        <v>-2.3205191482409826</v>
      </c>
      <c r="CG11" s="358">
        <f t="shared" si="129"/>
        <v>1.75</v>
      </c>
      <c r="CH11" s="353">
        <f ca="1">IF($AA11&gt;CDS.Tenor,"-",_xlfn.NORM.S.DIST(($CE11-SQRT(ImpliedCorrelation)*CH$3)/SQRT(1-ImpliedCorrelation),TRUE))</f>
        <v>0.69136298842053368</v>
      </c>
      <c r="CI11" s="353">
        <f ca="1">IF($AA11&gt;CDS.Tenor,"-",_xlfn.NORM.S.DIST(($CE11-SQRT(ImpliedCorrelation)*CI$3)/SQRT(1-ImpliedCorrelation),TRUE))</f>
        <v>0.56843478634391698</v>
      </c>
      <c r="CJ11" s="353">
        <f ca="1">IF($AA11&gt;CDS.Tenor,"-",_xlfn.NORM.S.DIST(($CE11-SQRT(ImpliedCorrelation)*CJ$3)/SQRT(1-ImpliedCorrelation),TRUE))</f>
        <v>0.43843581066512727</v>
      </c>
      <c r="CK11" s="353">
        <f ca="1">IF($AA11&gt;CDS.Tenor,"-",_xlfn.NORM.S.DIST(($CE11-SQRT(ImpliedCorrelation)*CK$3)/SQRT(1-ImpliedCorrelation),TRUE))</f>
        <v>0.31480955431855151</v>
      </c>
      <c r="CL11" s="353">
        <f ca="1">IF($AA11&gt;CDS.Tenor,"-",_xlfn.NORM.S.DIST(($CE11-SQRT(ImpliedCorrelation)*CL$3)/SQRT(1-ImpliedCorrelation),TRUE))</f>
        <v>0.20908796824847695</v>
      </c>
      <c r="CM11" s="353">
        <f ca="1">IF($AA11&gt;CDS.Tenor,"-",_xlfn.NORM.S.DIST(($CE11-SQRT(ImpliedCorrelation)*CM$3)/SQRT(1-ImpliedCorrelation),TRUE))</f>
        <v>0.12778655553950335</v>
      </c>
      <c r="CN11" s="353">
        <f ca="1">IF($AA11&gt;CDS.Tenor,"-",_xlfn.NORM.S.DIST(($CE11-SQRT(ImpliedCorrelation)*CN$3)/SQRT(1-ImpliedCorrelation),TRUE))</f>
        <v>7.1563709767294037E-2</v>
      </c>
      <c r="CO11" s="353">
        <f ca="1">IF($AA11&gt;CDS.Tenor,"-",_xlfn.NORM.S.DIST(($CE11-SQRT(ImpliedCorrelation)*CO$3)/SQRT(1-ImpliedCorrelation),TRUE))</f>
        <v>3.66009066078372E-2</v>
      </c>
      <c r="CP11" s="353">
        <f ca="1">IF($AA11&gt;CDS.Tenor,"-",_xlfn.NORM.S.DIST(($CE11-SQRT(ImpliedCorrelation)*CP$3)/SQRT(1-ImpliedCorrelation),TRUE))</f>
        <v>1.7049577661588676E-2</v>
      </c>
      <c r="CQ11" s="353">
        <f ca="1">IF($AA11&gt;CDS.Tenor,"-",_xlfn.NORM.S.DIST(($CE11-SQRT(ImpliedCorrelation)*CQ$3)/SQRT(1-ImpliedCorrelation),TRUE))</f>
        <v>7.2180631781714622E-3</v>
      </c>
      <c r="CR11" s="353">
        <f ca="1">IF($AA11&gt;CDS.Tenor,"-",_xlfn.NORM.S.DIST(($CE11-SQRT(ImpliedCorrelation)*CR$3)/SQRT(1-ImpliedCorrelation),TRUE))</f>
        <v>2.7724084907919566E-3</v>
      </c>
      <c r="CS11" s="353">
        <f ca="1">IF($AA11&gt;CDS.Tenor,"-",_xlfn.NORM.S.DIST(($CE11-SQRT(ImpliedCorrelation)*CS$3)/SQRT(1-ImpliedCorrelation),TRUE))</f>
        <v>9.6473979166463017E-4</v>
      </c>
      <c r="CT11" s="353">
        <f ca="1">IF($AA11&gt;CDS.Tenor,"-",_xlfn.NORM.S.DIST(($CE11-SQRT(ImpliedCorrelation)*CT$3)/SQRT(1-ImpliedCorrelation),TRUE))</f>
        <v>3.0379374338998543E-4</v>
      </c>
      <c r="CU11" s="353">
        <f ca="1">IF($AA11&gt;CDS.Tenor,"-",_xlfn.NORM.S.DIST(($CE11-SQRT(ImpliedCorrelation)*CU$3)/SQRT(1-ImpliedCorrelation),TRUE))</f>
        <v>8.6487042603556087E-5</v>
      </c>
      <c r="CV11" s="353">
        <f ca="1">IF($AA11&gt;CDS.Tenor,"-",_xlfn.NORM.S.DIST(($CE11-SQRT(ImpliedCorrelation)*CV$3)/SQRT(1-ImpliedCorrelation),TRUE))</f>
        <v>2.2242582932429376E-5</v>
      </c>
      <c r="CW11" s="353">
        <f ca="1">IF($AA11&gt;CDS.Tenor,"-",_xlfn.NORM.S.DIST(($CE11-SQRT(ImpliedCorrelation)*CW$3)/SQRT(1-ImpliedCorrelation),TRUE))</f>
        <v>5.1641160290067507E-6</v>
      </c>
      <c r="CX11" s="353">
        <f ca="1">IF($AA11&gt;CDS.Tenor,"-",_xlfn.NORM.S.DIST(($CE11-SQRT(ImpliedCorrelation)*CX$3)/SQRT(1-ImpliedCorrelation),TRUE))</f>
        <v>1.0817908507859447E-6</v>
      </c>
      <c r="CY11" s="353">
        <f ca="1">IF($AA11&gt;CDS.Tenor,"-",_xlfn.NORM.S.DIST(($CE11-SQRT(ImpliedCorrelation)*CY$3)/SQRT(1-ImpliedCorrelation),TRUE))</f>
        <v>2.0437312455362682E-7</v>
      </c>
      <c r="CZ11" s="353">
        <f ca="1">IF($AA11&gt;CDS.Tenor,"-",_xlfn.NORM.S.DIST(($CE11-SQRT(ImpliedCorrelation)*CZ$3)/SQRT(1-ImpliedCorrelation),TRUE))</f>
        <v>3.4806791866687346E-8</v>
      </c>
      <c r="DA11" s="353">
        <f ca="1">IF($AA11&gt;CDS.Tenor,"-",_xlfn.NORM.S.DIST(($CE11-SQRT(ImpliedCorrelation)*DA$3)/SQRT(1-ImpliedCorrelation),TRUE))</f>
        <v>5.3421378875640592E-9</v>
      </c>
      <c r="DB11" s="354">
        <f ca="1">IF($AA11&gt;CDS.Tenor,"-",_xlfn.NORM.S.DIST(($CE11-SQRT(ImpliedCorrelation)*DB$3)/SQRT(1-ImpliedCorrelation),TRUE))</f>
        <v>7.3866678331105957E-10</v>
      </c>
      <c r="DD11" s="358">
        <f t="shared" si="130"/>
        <v>1.75</v>
      </c>
      <c r="DE11" s="353">
        <f t="shared" ca="1" si="131"/>
        <v>0.30863701157946632</v>
      </c>
      <c r="DF11" s="353">
        <f t="shared" ca="1" si="132"/>
        <v>0.43156521365608302</v>
      </c>
      <c r="DG11" s="353">
        <f t="shared" ca="1" si="133"/>
        <v>0.56156418933487273</v>
      </c>
      <c r="DH11" s="353">
        <f t="shared" ca="1" si="134"/>
        <v>0.68519044568144849</v>
      </c>
      <c r="DI11" s="353">
        <f t="shared" ca="1" si="135"/>
        <v>0.79091203175152303</v>
      </c>
      <c r="DJ11" s="353">
        <f t="shared" ca="1" si="136"/>
        <v>0.87221344446049665</v>
      </c>
      <c r="DK11" s="353">
        <f t="shared" ca="1" si="137"/>
        <v>0.92843629023270591</v>
      </c>
      <c r="DL11" s="353">
        <f t="shared" ca="1" si="138"/>
        <v>0.96339909339216279</v>
      </c>
      <c r="DM11" s="353">
        <f t="shared" ca="1" si="139"/>
        <v>0.98295042233841134</v>
      </c>
      <c r="DN11" s="353">
        <f t="shared" ca="1" si="140"/>
        <v>0.99278193682182858</v>
      </c>
      <c r="DO11" s="353">
        <f t="shared" ca="1" si="141"/>
        <v>0.99722759150920803</v>
      </c>
      <c r="DP11" s="353">
        <f t="shared" ca="1" si="142"/>
        <v>0.99903526020833533</v>
      </c>
      <c r="DQ11" s="353">
        <f t="shared" ca="1" si="143"/>
        <v>0.99969620625661004</v>
      </c>
      <c r="DR11" s="353">
        <f t="shared" ca="1" si="144"/>
        <v>0.99991351295739639</v>
      </c>
      <c r="DS11" s="353">
        <f t="shared" ca="1" si="145"/>
        <v>0.99997775741706763</v>
      </c>
      <c r="DT11" s="353">
        <f t="shared" ca="1" si="146"/>
        <v>0.99999483588397098</v>
      </c>
      <c r="DU11" s="353">
        <f t="shared" ca="1" si="147"/>
        <v>0.99999891820914921</v>
      </c>
      <c r="DV11" s="353">
        <f t="shared" ca="1" si="148"/>
        <v>0.99999979562687547</v>
      </c>
      <c r="DW11" s="353">
        <f t="shared" ca="1" si="149"/>
        <v>0.99999996519320811</v>
      </c>
      <c r="DX11" s="353">
        <f t="shared" ca="1" si="150"/>
        <v>0.99999999465786216</v>
      </c>
      <c r="DY11" s="354">
        <f t="shared" ca="1" si="151"/>
        <v>0.99999999926133321</v>
      </c>
      <c r="DZ11" s="17"/>
      <c r="EA11" s="17"/>
      <c r="EB11" s="343" cm="1">
        <f t="array" aca="1" ref="EB11" ca="1">IF($AA11&gt;CDS.Tenor,"-",flatInterpolation(CC11,INDIRECT(HazardRateTimes3),INDIRECT(HazardRateValues3)))</f>
        <v>7.4999999999999997E-3</v>
      </c>
      <c r="EC11" s="10">
        <f t="shared" ca="1" si="152"/>
        <v>0.98696075721468368</v>
      </c>
      <c r="ED11" s="10">
        <f t="shared" ca="1" si="153"/>
        <v>1.3039242785316318E-2</v>
      </c>
      <c r="EE11" s="81">
        <f t="shared" ca="1" si="154"/>
        <v>-2.2250410047056901</v>
      </c>
      <c r="EG11" s="358">
        <f t="shared" si="155"/>
        <v>1.75</v>
      </c>
      <c r="EH11" s="353">
        <f ca="1">IF($AA11&gt;CDS.Tenor,"-",_xlfn.NORM.S.DIST(($EE11-SQRT(ImpliedCorrelation)*EH$3)/SQRT(1-ImpliedCorrelation),TRUE))</f>
        <v>0.7303380441011097</v>
      </c>
      <c r="EI11" s="353">
        <f ca="1">IF($AA11&gt;CDS.Tenor,"-",_xlfn.NORM.S.DIST(($EE11-SQRT(ImpliedCorrelation)*EI$3)/SQRT(1-ImpliedCorrelation),TRUE))</f>
        <v>0.61275579285868331</v>
      </c>
      <c r="EJ11" s="353">
        <f ca="1">IF($AA11&gt;CDS.Tenor,"-",_xlfn.NORM.S.DIST(($EE11-SQRT(ImpliedCorrelation)*EJ$3)/SQRT(1-ImpliedCorrelation),TRUE))</f>
        <v>0.48372050149859253</v>
      </c>
      <c r="EK11" s="353">
        <f ca="1">IF($AA11&gt;CDS.Tenor,"-",_xlfn.NORM.S.DIST(($EE11-SQRT(ImpliedCorrelation)*EK$3)/SQRT(1-ImpliedCorrelation),TRUE))</f>
        <v>0.35638262689265909</v>
      </c>
      <c r="EL11" s="353">
        <f ca="1">IF($AA11&gt;CDS.Tenor,"-",_xlfn.NORM.S.DIST(($EE11-SQRT(ImpliedCorrelation)*EL$3)/SQRT(1-ImpliedCorrelation),TRUE))</f>
        <v>0.24337988477969957</v>
      </c>
      <c r="EM11" s="353">
        <f ca="1">IF($AA11&gt;CDS.Tenor,"-",_xlfn.NORM.S.DIST(($EE11-SQRT(ImpliedCorrelation)*EM$3)/SQRT(1-ImpliedCorrelation),TRUE))</f>
        <v>0.15320156630344722</v>
      </c>
      <c r="EN11" s="353">
        <f ca="1">IF($AA11&gt;CDS.Tenor,"-",_xlfn.NORM.S.DIST(($EE11-SQRT(ImpliedCorrelation)*EN$3)/SQRT(1-ImpliedCorrelation),TRUE))</f>
        <v>8.8487893201372569E-2</v>
      </c>
      <c r="EO11" s="353">
        <f ca="1">IF($AA11&gt;CDS.Tenor,"-",_xlfn.NORM.S.DIST(($EE11-SQRT(ImpliedCorrelation)*EO$3)/SQRT(1-ImpliedCorrelation),TRUE))</f>
        <v>4.6727048504009355E-2</v>
      </c>
      <c r="EP11" s="353">
        <f ca="1">IF($AA11&gt;CDS.Tenor,"-",_xlfn.NORM.S.DIST(($EE11-SQRT(ImpliedCorrelation)*EP$3)/SQRT(1-ImpliedCorrelation),TRUE))</f>
        <v>2.2493339530454019E-2</v>
      </c>
      <c r="EQ11" s="353">
        <f ca="1">IF($AA11&gt;CDS.Tenor,"-",_xlfn.NORM.S.DIST(($EE11-SQRT(ImpliedCorrelation)*EQ$3)/SQRT(1-ImpliedCorrelation),TRUE))</f>
        <v>9.8475622052534764E-3</v>
      </c>
      <c r="ER11" s="353">
        <f ca="1">IF($AA11&gt;CDS.Tenor,"-",_xlfn.NORM.S.DIST(($EE11-SQRT(ImpliedCorrelation)*ER$3)/SQRT(1-ImpliedCorrelation),TRUE))</f>
        <v>3.9136186966022366E-3</v>
      </c>
      <c r="ES11" s="353">
        <f ca="1">IF($AA11&gt;CDS.Tenor,"-",_xlfn.NORM.S.DIST(($EE11-SQRT(ImpliedCorrelation)*ES$3)/SQRT(1-ImpliedCorrelation),TRUE))</f>
        <v>1.4097571608673136E-3</v>
      </c>
      <c r="ET11" s="353">
        <f ca="1">IF($AA11&gt;CDS.Tenor,"-",_xlfn.NORM.S.DIST(($EE11-SQRT(ImpliedCorrelation)*ET$3)/SQRT(1-ImpliedCorrelation),TRUE))</f>
        <v>4.5971556445020503E-4</v>
      </c>
      <c r="EU11" s="353">
        <f ca="1">IF($AA11&gt;CDS.Tenor,"-",_xlfn.NORM.S.DIST(($EE11-SQRT(ImpliedCorrelation)*EU$3)/SQRT(1-ImpliedCorrelation),TRUE))</f>
        <v>1.3557278771452101E-4</v>
      </c>
      <c r="EV11" s="353">
        <f ca="1">IF($AA11&gt;CDS.Tenor,"-",_xlfn.NORM.S.DIST(($EE11-SQRT(ImpliedCorrelation)*EV$3)/SQRT(1-ImpliedCorrelation),TRUE))</f>
        <v>3.6126830707995196E-5</v>
      </c>
      <c r="EW11" s="353">
        <f ca="1">IF($AA11&gt;CDS.Tenor,"-",_xlfn.NORM.S.DIST(($EE11-SQRT(ImpliedCorrelation)*EW$3)/SQRT(1-ImpliedCorrelation),TRUE))</f>
        <v>8.6927590053928338E-6</v>
      </c>
      <c r="EX11" s="353">
        <f ca="1">IF($AA11&gt;CDS.Tenor,"-",_xlfn.NORM.S.DIST(($EE11-SQRT(ImpliedCorrelation)*EX$3)/SQRT(1-ImpliedCorrelation),TRUE))</f>
        <v>1.8875614017179318E-6</v>
      </c>
      <c r="EY11" s="353">
        <f ca="1">IF($AA11&gt;CDS.Tenor,"-",_xlfn.NORM.S.DIST(($EE11-SQRT(ImpliedCorrelation)*EY$3)/SQRT(1-ImpliedCorrelation),TRUE))</f>
        <v>3.6969612370383541E-7</v>
      </c>
      <c r="EZ11" s="353">
        <f ca="1">IF($AA11&gt;CDS.Tenor,"-",_xlfn.NORM.S.DIST(($EE11-SQRT(ImpliedCorrelation)*EZ$3)/SQRT(1-ImpliedCorrelation),TRUE))</f>
        <v>6.5283865955235097E-8</v>
      </c>
      <c r="FA11" s="353">
        <f ca="1">IF($AA11&gt;CDS.Tenor,"-",_xlfn.NORM.S.DIST(($EE11-SQRT(ImpliedCorrelation)*FA$3)/SQRT(1-ImpliedCorrelation),TRUE))</f>
        <v>1.0390276476058769E-8</v>
      </c>
      <c r="FB11" s="354">
        <f ca="1">IF($AA11&gt;CDS.Tenor,"-",_xlfn.NORM.S.DIST(($EE11-SQRT(ImpliedCorrelation)*FB$3)/SQRT(1-ImpliedCorrelation),TRUE))</f>
        <v>1.4899560010977533E-9</v>
      </c>
      <c r="FD11" s="358">
        <f t="shared" si="156"/>
        <v>1.75</v>
      </c>
      <c r="FE11" s="353">
        <f t="shared" ca="1" si="157"/>
        <v>0.2696619558988903</v>
      </c>
      <c r="FF11" s="353">
        <f t="shared" ca="1" si="158"/>
        <v>0.38724420714131669</v>
      </c>
      <c r="FG11" s="353">
        <f t="shared" ca="1" si="159"/>
        <v>0.51627949850140742</v>
      </c>
      <c r="FH11" s="353">
        <f t="shared" ca="1" si="160"/>
        <v>0.64361737310734091</v>
      </c>
      <c r="FI11" s="353">
        <f t="shared" ca="1" si="161"/>
        <v>0.75662011522030048</v>
      </c>
      <c r="FJ11" s="353">
        <f t="shared" ca="1" si="162"/>
        <v>0.84679843369655283</v>
      </c>
      <c r="FK11" s="353">
        <f t="shared" ca="1" si="163"/>
        <v>0.91151210679862738</v>
      </c>
      <c r="FL11" s="353">
        <f t="shared" ca="1" si="164"/>
        <v>0.95327295149599067</v>
      </c>
      <c r="FM11" s="353">
        <f t="shared" ca="1" si="165"/>
        <v>0.97750666046954593</v>
      </c>
      <c r="FN11" s="353">
        <f t="shared" ca="1" si="166"/>
        <v>0.99015243779474649</v>
      </c>
      <c r="FO11" s="353">
        <f t="shared" ca="1" si="167"/>
        <v>0.99608638130339777</v>
      </c>
      <c r="FP11" s="353">
        <f t="shared" ca="1" si="168"/>
        <v>0.99859024283913267</v>
      </c>
      <c r="FQ11" s="353">
        <f t="shared" ca="1" si="169"/>
        <v>0.99954028443554976</v>
      </c>
      <c r="FR11" s="353">
        <f t="shared" ca="1" si="170"/>
        <v>0.99986442721228552</v>
      </c>
      <c r="FS11" s="353">
        <f t="shared" ca="1" si="171"/>
        <v>0.99996387316929203</v>
      </c>
      <c r="FT11" s="353">
        <f t="shared" ca="1" si="172"/>
        <v>0.99999130724099461</v>
      </c>
      <c r="FU11" s="353">
        <f t="shared" ca="1" si="173"/>
        <v>0.99999811243859826</v>
      </c>
      <c r="FV11" s="353">
        <f t="shared" ca="1" si="174"/>
        <v>0.99999963030387629</v>
      </c>
      <c r="FW11" s="353">
        <f t="shared" ca="1" si="175"/>
        <v>0.99999993471613402</v>
      </c>
      <c r="FX11" s="353">
        <f t="shared" ca="1" si="176"/>
        <v>0.99999998960972347</v>
      </c>
      <c r="FY11" s="354">
        <f t="shared" ca="1" si="177"/>
        <v>0.99999999851004395</v>
      </c>
      <c r="GB11" s="358">
        <f t="shared" si="178"/>
        <v>1.75</v>
      </c>
      <c r="GC11" s="353">
        <f ca="1">IF($GB11&gt;CDS.Tenor,"-",BE11*DE11*FE11)</f>
        <v>2.7720965779210231E-2</v>
      </c>
      <c r="GD11" s="353">
        <f ca="1">IF($GB11&gt;CDS.Tenor,"-",BF11*DF11*FF11)</f>
        <v>7.6631632852711906E-2</v>
      </c>
      <c r="GE11" s="353">
        <f ca="1">IF($GB11&gt;CDS.Tenor,"-",BG11*DG11*FG11)</f>
        <v>0.17056671047304403</v>
      </c>
      <c r="GF11" s="353">
        <f ca="1">IF($GB11&gt;CDS.Tenor,"-",BH11*DH11*FH11)</f>
        <v>0.3126805303035895</v>
      </c>
      <c r="GG11" s="353">
        <f ca="1">IF($GB11&gt;CDS.Tenor,"-",BI11*DI11*FI11)</f>
        <v>0.48471533359794394</v>
      </c>
      <c r="GH11" s="353">
        <f ca="1">IF($GB11&gt;CDS.Tenor,"-",BJ11*DJ11*FJ11)</f>
        <v>0.65434232543138915</v>
      </c>
      <c r="GI11" s="353">
        <f ca="1">IF($GB11&gt;CDS.Tenor,"-",BK11*DK11*FK11)</f>
        <v>0.79322159844109852</v>
      </c>
      <c r="GJ11" s="353">
        <f ca="1">IF($GB11&gt;CDS.Tenor,"-",BL11*DL11*FL11)</f>
        <v>0.88949588359785325</v>
      </c>
      <c r="GK11" s="353">
        <f ca="1">IF($GB11&gt;CDS.Tenor,"-",BM11*DM11*FM11)</f>
        <v>0.94703819093012487</v>
      </c>
      <c r="GL11" s="353">
        <f ca="1">IF($GB11&gt;CDS.Tenor,"-",BN11*DN11*FN11)</f>
        <v>0.97714669072677141</v>
      </c>
      <c r="GM11" s="353">
        <f ca="1">IF($GB11&gt;CDS.Tenor,"-",BO11*DO11*FO11)</f>
        <v>0.99109700677262291</v>
      </c>
      <c r="GN11" s="353">
        <f ca="1">IF($GB11&gt;CDS.Tenor,"-",BP11*DP11*FP11)</f>
        <v>0.99686426141257578</v>
      </c>
      <c r="GO11" s="353">
        <f ca="1">IF($GB11&gt;CDS.Tenor,"-",BQ11*DQ11*FQ11)</f>
        <v>0.99900109147733851</v>
      </c>
      <c r="GP11" s="353">
        <f ca="1">IF($GB11&gt;CDS.Tenor,"-",BR11*DR11*FR11)</f>
        <v>0.99971226337724473</v>
      </c>
      <c r="GQ11" s="353">
        <f ca="1">IF($GB11&gt;CDS.Tenor,"-",BS11*DS11*FS11)</f>
        <v>0.99992509082235703</v>
      </c>
      <c r="GR11" s="353">
        <f ca="1">IF($GB11&gt;CDS.Tenor,"-",BT11*DT11*FT11)</f>
        <v>0.99998238408009354</v>
      </c>
      <c r="GS11" s="353">
        <f ca="1">IF($GB11&gt;CDS.Tenor,"-",BU11*DU11*FU11)</f>
        <v>0.99999625993850016</v>
      </c>
      <c r="GT11" s="353">
        <f ca="1">IF($GB11&gt;CDS.Tenor,"-",BV11*DV11*FV11)</f>
        <v>0.99999928343840372</v>
      </c>
      <c r="GU11" s="353">
        <f ca="1">IF($GB11&gt;CDS.Tenor,"-",BW11*DW11*FW11)</f>
        <v>0.99999987616184949</v>
      </c>
      <c r="GV11" s="353">
        <f ca="1">IF($GB11&gt;CDS.Tenor,"-",BX11*DX11*FX11)</f>
        <v>0.99999998070121743</v>
      </c>
      <c r="GW11" s="354">
        <f ca="1">IF($GB11&gt;CDS.Tenor,"-",BY11*DY11*FY11)</f>
        <v>0.99999999728888267</v>
      </c>
      <c r="GX11" s="42"/>
      <c r="GY11" s="42"/>
      <c r="GZ11" s="358">
        <f t="shared" si="179"/>
        <v>1.75</v>
      </c>
      <c r="HA11" s="362">
        <f t="shared" ca="1" si="180"/>
        <v>0.96982686488653891</v>
      </c>
      <c r="HB11" s="363">
        <f t="shared" ca="1" si="181"/>
        <v>4.1674241656893818E-3</v>
      </c>
    </row>
    <row r="12" spans="2:231" x14ac:dyDescent="0.3">
      <c r="H12" s="341"/>
      <c r="I12" s="370">
        <f t="shared" si="86"/>
        <v>2</v>
      </c>
      <c r="J12" s="371">
        <f t="shared" si="87"/>
        <v>-25000</v>
      </c>
      <c r="K12" s="348">
        <f t="shared" ca="1" si="88"/>
        <v>0.96569666148400424</v>
      </c>
      <c r="L12" s="348">
        <f t="shared" ca="1" si="89"/>
        <v>4.1302034025346712E-3</v>
      </c>
      <c r="M12" s="372" cm="1">
        <f t="array" ref="M12">IF($I12&gt;CDS.Tenor,"-",cubicInterpolation(CurveResults.Times,CurveResults.DFs,$I12))</f>
        <v>0.91525521397921195</v>
      </c>
      <c r="N12" s="371">
        <f t="shared" ca="1" si="90"/>
        <v>-22096.472613638824</v>
      </c>
      <c r="O12" s="371">
        <f t="shared" ca="1" si="91"/>
        <v>-47.252377487056748</v>
      </c>
      <c r="P12" s="373">
        <f t="shared" ca="1" si="92"/>
        <v>-22143.72499112588</v>
      </c>
      <c r="S12" s="370">
        <f t="shared" si="93"/>
        <v>2</v>
      </c>
      <c r="T12" s="371">
        <f t="shared" si="94"/>
        <v>6000000</v>
      </c>
      <c r="U12" s="348">
        <f ca="1">IF($I12&gt;CDS.Tenor,"-",HA12)</f>
        <v>0.96569666148400424</v>
      </c>
      <c r="V12" s="348">
        <f t="shared" ca="1" si="95"/>
        <v>4.1302034025346712E-3</v>
      </c>
      <c r="W12" s="372" cm="1">
        <f t="array" ref="W12">IF($S12&gt;CDS.Tenor,"-",cubicInterpolation(CurveResults.Times,CurveResults.DFs,$I12))</f>
        <v>0.91525521397921195</v>
      </c>
      <c r="X12" s="373">
        <f t="shared" ca="1" si="96"/>
        <v>22681.141193787236</v>
      </c>
      <c r="Z12" s="340"/>
      <c r="AA12" s="358">
        <f t="shared" si="97"/>
        <v>2</v>
      </c>
      <c r="AB12" s="343" cm="1">
        <f t="array" aca="1" ref="AB12" ca="1">IF($AA12&gt;CDS.Tenor,"-",flatInterpolation(Z12,INDIRECT(HazardRateTimes1),INDIRECT(HazardRateValues1)))</f>
        <v>5.0000000000000001E-3</v>
      </c>
      <c r="AC12" s="10">
        <f t="shared" ca="1" si="98"/>
        <v>0.99004983374916833</v>
      </c>
      <c r="AD12" s="10">
        <f t="shared" ca="1" si="99"/>
        <v>9.9501662508316713E-3</v>
      </c>
      <c r="AE12" s="81">
        <f t="shared" ca="1" si="100"/>
        <v>-2.3282217375371861</v>
      </c>
      <c r="AF12" s="340"/>
      <c r="AG12" s="358">
        <f t="shared" si="101"/>
        <v>2</v>
      </c>
      <c r="AH12" s="353">
        <f t="shared" ca="1" si="102"/>
        <v>0.6881138699109568</v>
      </c>
      <c r="AI12" s="353">
        <f t="shared" ca="1" si="102"/>
        <v>0.56481333186709681</v>
      </c>
      <c r="AJ12" s="353">
        <f t="shared" ca="1" si="102"/>
        <v>0.4348094642778762</v>
      </c>
      <c r="AK12" s="353">
        <f t="shared" ca="1" si="102"/>
        <v>0.31154725115330639</v>
      </c>
      <c r="AL12" s="353">
        <f t="shared" ca="1" si="102"/>
        <v>0.20645134469977994</v>
      </c>
      <c r="AM12" s="353">
        <f t="shared" ca="1" si="102"/>
        <v>0.12587212015495058</v>
      </c>
      <c r="AN12" s="353">
        <f t="shared" ca="1" si="102"/>
        <v>7.0314883353351024E-2</v>
      </c>
      <c r="AO12" s="353">
        <f t="shared" ca="1" si="102"/>
        <v>3.5869039522040548E-2</v>
      </c>
      <c r="AP12" s="353">
        <f t="shared" ca="1" si="102"/>
        <v>1.6664249160309234E-2</v>
      </c>
      <c r="AQ12" s="353">
        <f t="shared" ca="1" si="102"/>
        <v>7.0358000467456777E-3</v>
      </c>
      <c r="AR12" s="353">
        <f t="shared" ca="1" si="103"/>
        <v>2.6949560160543355E-3</v>
      </c>
      <c r="AS12" s="353">
        <f t="shared" ca="1" si="103"/>
        <v>9.3517052546928368E-4</v>
      </c>
      <c r="AT12" s="353">
        <f t="shared" ca="1" si="103"/>
        <v>2.936519543560011E-4</v>
      </c>
      <c r="AU12" s="353">
        <f t="shared" ca="1" si="103"/>
        <v>8.3361989695156181E-5</v>
      </c>
      <c r="AV12" s="353">
        <f t="shared" ca="1" si="103"/>
        <v>2.1377477670098478E-5</v>
      </c>
      <c r="AW12" s="353">
        <f t="shared" ca="1" si="103"/>
        <v>4.9489620857598148E-6</v>
      </c>
      <c r="AX12" s="353">
        <f t="shared" ca="1" si="103"/>
        <v>1.0337181587142571E-6</v>
      </c>
      <c r="AY12" s="353">
        <f t="shared" ca="1" si="103"/>
        <v>1.9472336807637056E-7</v>
      </c>
      <c r="AZ12" s="353">
        <f t="shared" ca="1" si="103"/>
        <v>3.3066576333735062E-8</v>
      </c>
      <c r="BA12" s="353">
        <f t="shared" ca="1" si="103"/>
        <v>5.0601967127794972E-9</v>
      </c>
      <c r="BB12" s="354">
        <f t="shared" ca="1" si="103"/>
        <v>6.9762910845492408E-10</v>
      </c>
      <c r="BC12" s="340"/>
      <c r="BD12" s="358">
        <f t="shared" si="104"/>
        <v>2</v>
      </c>
      <c r="BE12" s="353">
        <f t="shared" ca="1" si="105"/>
        <v>0.3118861300890432</v>
      </c>
      <c r="BF12" s="353">
        <f t="shared" ca="1" si="106"/>
        <v>0.43518666813290319</v>
      </c>
      <c r="BG12" s="353">
        <f t="shared" ca="1" si="107"/>
        <v>0.56519053572212385</v>
      </c>
      <c r="BH12" s="353">
        <f t="shared" ca="1" si="108"/>
        <v>0.68845274884669361</v>
      </c>
      <c r="BI12" s="353">
        <f t="shared" ca="1" si="109"/>
        <v>0.79354865530022001</v>
      </c>
      <c r="BJ12" s="353">
        <f t="shared" ca="1" si="110"/>
        <v>0.87412787984504936</v>
      </c>
      <c r="BK12" s="353">
        <f t="shared" ca="1" si="111"/>
        <v>0.92968511664664899</v>
      </c>
      <c r="BL12" s="353">
        <f t="shared" ca="1" si="112"/>
        <v>0.96413096047795943</v>
      </c>
      <c r="BM12" s="353">
        <f t="shared" ca="1" si="113"/>
        <v>0.98333575083969071</v>
      </c>
      <c r="BN12" s="353">
        <f t="shared" ca="1" si="114"/>
        <v>0.99296419995325436</v>
      </c>
      <c r="BO12" s="353">
        <f t="shared" ca="1" si="115"/>
        <v>0.9973050439839457</v>
      </c>
      <c r="BP12" s="353">
        <f t="shared" ca="1" si="116"/>
        <v>0.99906482947453068</v>
      </c>
      <c r="BQ12" s="353">
        <f t="shared" ca="1" si="117"/>
        <v>0.99970634804564396</v>
      </c>
      <c r="BR12" s="353">
        <f t="shared" ca="1" si="118"/>
        <v>0.99991663801030484</v>
      </c>
      <c r="BS12" s="353">
        <f t="shared" ca="1" si="119"/>
        <v>0.99997862252232994</v>
      </c>
      <c r="BT12" s="353">
        <f t="shared" ca="1" si="120"/>
        <v>0.9999950510379142</v>
      </c>
      <c r="BU12" s="353">
        <f t="shared" ca="1" si="121"/>
        <v>0.99999896628184126</v>
      </c>
      <c r="BV12" s="353">
        <f t="shared" ca="1" si="122"/>
        <v>0.9999998052766319</v>
      </c>
      <c r="BW12" s="353">
        <f t="shared" ca="1" si="123"/>
        <v>0.99999996693342363</v>
      </c>
      <c r="BX12" s="353">
        <f t="shared" ca="1" si="124"/>
        <v>0.99999999493980329</v>
      </c>
      <c r="BY12" s="354">
        <f t="shared" ca="1" si="125"/>
        <v>0.99999999930237093</v>
      </c>
      <c r="BZ12" s="17"/>
      <c r="CA12" s="17"/>
      <c r="CB12" s="343" cm="1">
        <f t="array" aca="1" ref="CB12" ca="1">IF($AA12&gt;CDS.Tenor,"-",flatInterpolation(AA12,INDIRECT(HazardRateTimes2),INDIRECT(HazardRateValues2)))</f>
        <v>5.8333333333333336E-3</v>
      </c>
      <c r="CC12" s="10">
        <f t="shared" ca="1" si="126"/>
        <v>0.98840112499852384</v>
      </c>
      <c r="CD12" s="10">
        <f t="shared" ca="1" si="127"/>
        <v>1.1598875001476161E-2</v>
      </c>
      <c r="CE12" s="81">
        <f t="shared" ca="1" si="128"/>
        <v>-2.2701620935371136</v>
      </c>
      <c r="CF12" s="340"/>
      <c r="CG12" s="358">
        <f t="shared" si="129"/>
        <v>2</v>
      </c>
      <c r="CH12" s="353">
        <f ca="1">IF($AA12&gt;CDS.Tenor,"-",_xlfn.NORM.S.DIST(($CE12-SQRT(ImpliedCorrelation)*CH$3)/SQRT(1-ImpliedCorrelation),TRUE))</f>
        <v>0.71222810996974384</v>
      </c>
      <c r="CI12" s="353">
        <f ca="1">IF($AA12&gt;CDS.Tenor,"-",_xlfn.NORM.S.DIST(($CE12-SQRT(ImpliedCorrelation)*CI$3)/SQRT(1-ImpliedCorrelation),TRUE))</f>
        <v>0.59195576851226339</v>
      </c>
      <c r="CJ12" s="353">
        <f ca="1">IF($AA12&gt;CDS.Tenor,"-",_xlfn.NORM.S.DIST(($CE12-SQRT(ImpliedCorrelation)*CJ$3)/SQRT(1-ImpliedCorrelation),TRUE))</f>
        <v>0.46225749579887632</v>
      </c>
      <c r="CK12" s="353">
        <f ca="1">IF($AA12&gt;CDS.Tenor,"-",_xlfn.NORM.S.DIST(($CE12-SQRT(ImpliedCorrelation)*CK$3)/SQRT(1-ImpliedCorrelation),TRUE))</f>
        <v>0.33648519789591885</v>
      </c>
      <c r="CL12" s="353">
        <f ca="1">IF($AA12&gt;CDS.Tenor,"-",_xlfn.NORM.S.DIST(($CE12-SQRT(ImpliedCorrelation)*CL$3)/SQRT(1-ImpliedCorrelation),TRUE))</f>
        <v>0.2268075723902096</v>
      </c>
      <c r="CM12" s="353">
        <f ca="1">IF($AA12&gt;CDS.Tenor,"-",_xlfn.NORM.S.DIST(($CE12-SQRT(ImpliedCorrelation)*CM$3)/SQRT(1-ImpliedCorrelation),TRUE))</f>
        <v>0.14080078686852873</v>
      </c>
      <c r="CN12" s="353">
        <f ca="1">IF($AA12&gt;CDS.Tenor,"-",_xlfn.NORM.S.DIST(($CE12-SQRT(ImpliedCorrelation)*CN$3)/SQRT(1-ImpliedCorrelation),TRUE))</f>
        <v>8.0151185432605507E-2</v>
      </c>
      <c r="CO12" s="353">
        <f ca="1">IF($AA12&gt;CDS.Tenor,"-",_xlfn.NORM.S.DIST(($CE12-SQRT(ImpliedCorrelation)*CO$3)/SQRT(1-ImpliedCorrelation),TRUE))</f>
        <v>4.1691811753217865E-2</v>
      </c>
      <c r="CP12" s="353">
        <f ca="1">IF($AA12&gt;CDS.Tenor,"-",_xlfn.NORM.S.DIST(($CE12-SQRT(ImpliedCorrelation)*CP$3)/SQRT(1-ImpliedCorrelation),TRUE))</f>
        <v>1.9761061230560741E-2</v>
      </c>
      <c r="CQ12" s="353">
        <f ca="1">IF($AA12&gt;CDS.Tenor,"-",_xlfn.NORM.S.DIST(($CE12-SQRT(ImpliedCorrelation)*CQ$3)/SQRT(1-ImpliedCorrelation),TRUE))</f>
        <v>8.5155454469018049E-3</v>
      </c>
      <c r="CR12" s="353">
        <f ca="1">IF($AA12&gt;CDS.Tenor,"-",_xlfn.NORM.S.DIST(($CE12-SQRT(ImpliedCorrelation)*CR$3)/SQRT(1-ImpliedCorrelation),TRUE))</f>
        <v>3.330208304626988E-3</v>
      </c>
      <c r="CS12" s="353">
        <f ca="1">IF($AA12&gt;CDS.Tenor,"-",_xlfn.NORM.S.DIST(($CE12-SQRT(ImpliedCorrelation)*CS$3)/SQRT(1-ImpliedCorrelation),TRUE))</f>
        <v>1.1801854631501201E-3</v>
      </c>
      <c r="CT12" s="353">
        <f ca="1">IF($AA12&gt;CDS.Tenor,"-",_xlfn.NORM.S.DIST(($CE12-SQRT(ImpliedCorrelation)*CT$3)/SQRT(1-ImpliedCorrelation),TRUE))</f>
        <v>3.7855552651509301E-4</v>
      </c>
      <c r="CU12" s="353">
        <f ca="1">IF($AA12&gt;CDS.Tenor,"-",_xlfn.NORM.S.DIST(($CE12-SQRT(ImpliedCorrelation)*CU$3)/SQRT(1-ImpliedCorrelation),TRUE))</f>
        <v>1.0979498808231058E-4</v>
      </c>
      <c r="CV12" s="353">
        <f ca="1">IF($AA12&gt;CDS.Tenor,"-",_xlfn.NORM.S.DIST(($CE12-SQRT(ImpliedCorrelation)*CV$3)/SQRT(1-ImpliedCorrelation),TRUE))</f>
        <v>2.877104363925251E-5</v>
      </c>
      <c r="CW12" s="353">
        <f ca="1">IF($AA12&gt;CDS.Tenor,"-",_xlfn.NORM.S.DIST(($CE12-SQRT(ImpliedCorrelation)*CW$3)/SQRT(1-ImpliedCorrelation),TRUE))</f>
        <v>6.8069741075175807E-6</v>
      </c>
      <c r="CX12" s="353">
        <f ca="1">IF($AA12&gt;CDS.Tenor,"-",_xlfn.NORM.S.DIST(($CE12-SQRT(ImpliedCorrelation)*CX$3)/SQRT(1-ImpliedCorrelation),TRUE))</f>
        <v>1.4532163758381903E-6</v>
      </c>
      <c r="CY12" s="353">
        <f ca="1">IF($AA12&gt;CDS.Tenor,"-",_xlfn.NORM.S.DIST(($CE12-SQRT(ImpliedCorrelation)*CY$3)/SQRT(1-ImpliedCorrelation),TRUE))</f>
        <v>2.7981732874694237E-7</v>
      </c>
      <c r="CZ12" s="353">
        <f ca="1">IF($AA12&gt;CDS.Tenor,"-",_xlfn.NORM.S.DIST(($CE12-SQRT(ImpliedCorrelation)*CZ$3)/SQRT(1-ImpliedCorrelation),TRUE))</f>
        <v>4.8574525254310016E-8</v>
      </c>
      <c r="DA12" s="353">
        <f ca="1">IF($AA12&gt;CDS.Tenor,"-",_xlfn.NORM.S.DIST(($CE12-SQRT(ImpliedCorrelation)*DA$3)/SQRT(1-ImpliedCorrelation),TRUE))</f>
        <v>7.5993970975658258E-9</v>
      </c>
      <c r="DB12" s="354">
        <f ca="1">IF($AA12&gt;CDS.Tenor,"-",_xlfn.NORM.S.DIST(($CE12-SQRT(ImpliedCorrelation)*DB$3)/SQRT(1-ImpliedCorrelation),TRUE))</f>
        <v>1.0711600324775467E-9</v>
      </c>
      <c r="DC12" s="340"/>
      <c r="DD12" s="358">
        <f t="shared" si="130"/>
        <v>2</v>
      </c>
      <c r="DE12" s="353">
        <f t="shared" ca="1" si="131"/>
        <v>0.28777189003025616</v>
      </c>
      <c r="DF12" s="353">
        <f t="shared" ca="1" si="132"/>
        <v>0.40804423148773661</v>
      </c>
      <c r="DG12" s="353">
        <f t="shared" ca="1" si="133"/>
        <v>0.53774250420112368</v>
      </c>
      <c r="DH12" s="353">
        <f t="shared" ca="1" si="134"/>
        <v>0.66351480210408109</v>
      </c>
      <c r="DI12" s="353">
        <f t="shared" ca="1" si="135"/>
        <v>0.77319242760979034</v>
      </c>
      <c r="DJ12" s="353">
        <f t="shared" ca="1" si="136"/>
        <v>0.8591992131314713</v>
      </c>
      <c r="DK12" s="353">
        <f t="shared" ca="1" si="137"/>
        <v>0.91984881456739453</v>
      </c>
      <c r="DL12" s="353">
        <f t="shared" ca="1" si="138"/>
        <v>0.9583081882467821</v>
      </c>
      <c r="DM12" s="353">
        <f t="shared" ca="1" si="139"/>
        <v>0.98023893876943924</v>
      </c>
      <c r="DN12" s="353">
        <f t="shared" ca="1" si="140"/>
        <v>0.99148445455309819</v>
      </c>
      <c r="DO12" s="353">
        <f t="shared" ca="1" si="141"/>
        <v>0.99666979169537306</v>
      </c>
      <c r="DP12" s="353">
        <f t="shared" ca="1" si="142"/>
        <v>0.99881981453684987</v>
      </c>
      <c r="DQ12" s="353">
        <f t="shared" ca="1" si="143"/>
        <v>0.99962144447348489</v>
      </c>
      <c r="DR12" s="353">
        <f t="shared" ca="1" si="144"/>
        <v>0.99989020501191772</v>
      </c>
      <c r="DS12" s="353">
        <f t="shared" ca="1" si="145"/>
        <v>0.9999712289563607</v>
      </c>
      <c r="DT12" s="353">
        <f t="shared" ca="1" si="146"/>
        <v>0.99999319302589251</v>
      </c>
      <c r="DU12" s="353">
        <f t="shared" ca="1" si="147"/>
        <v>0.99999854678362421</v>
      </c>
      <c r="DV12" s="353">
        <f t="shared" ca="1" si="148"/>
        <v>0.99999972018267125</v>
      </c>
      <c r="DW12" s="353">
        <f t="shared" ca="1" si="149"/>
        <v>0.99999995142547471</v>
      </c>
      <c r="DX12" s="353">
        <f t="shared" ca="1" si="150"/>
        <v>0.99999999240060289</v>
      </c>
      <c r="DY12" s="354">
        <f t="shared" ca="1" si="151"/>
        <v>0.99999999892883995</v>
      </c>
      <c r="DZ12" s="17"/>
      <c r="EA12" s="17"/>
      <c r="EB12" s="343" cm="1">
        <f t="array" aca="1" ref="EB12" ca="1">IF($AA12&gt;CDS.Tenor,"-",flatInterpolation(CC12,INDIRECT(HazardRateTimes3),INDIRECT(HazardRateValues3)))</f>
        <v>7.4999999999999997E-3</v>
      </c>
      <c r="EC12" s="10">
        <f t="shared" ca="1" si="152"/>
        <v>0.98511193960306287</v>
      </c>
      <c r="ED12" s="10">
        <f t="shared" ca="1" si="153"/>
        <v>1.4888060396937131E-2</v>
      </c>
      <c r="EE12" s="81">
        <f t="shared" ca="1" si="154"/>
        <v>-2.1730557604645462</v>
      </c>
      <c r="EF12" s="340"/>
      <c r="EG12" s="358">
        <f t="shared" si="155"/>
        <v>2</v>
      </c>
      <c r="EH12" s="353">
        <f ca="1">IF($AA12&gt;CDS.Tenor,"-",_xlfn.NORM.S.DIST(($EE12-SQRT(ImpliedCorrelation)*EH$3)/SQRT(1-ImpliedCorrelation),TRUE))</f>
        <v>0.75047013441501842</v>
      </c>
      <c r="EI12" s="353">
        <f ca="1">IF($AA12&gt;CDS.Tenor,"-",_xlfn.NORM.S.DIST(($EE12-SQRT(ImpliedCorrelation)*EI$3)/SQRT(1-ImpliedCorrelation),TRUE))</f>
        <v>0.63632136813273965</v>
      </c>
      <c r="EJ12" s="353">
        <f ca="1">IF($AA12&gt;CDS.Tenor,"-",_xlfn.NORM.S.DIST(($EE12-SQRT(ImpliedCorrelation)*EJ$3)/SQRT(1-ImpliedCorrelation),TRUE))</f>
        <v>0.50850331669790327</v>
      </c>
      <c r="EK12" s="353">
        <f ca="1">IF($AA12&gt;CDS.Tenor,"-",_xlfn.NORM.S.DIST(($EE12-SQRT(ImpliedCorrelation)*EK$3)/SQRT(1-ImpliedCorrelation),TRUE))</f>
        <v>0.3797983000490856</v>
      </c>
      <c r="EL12" s="353">
        <f ca="1">IF($AA12&gt;CDS.Tenor,"-",_xlfn.NORM.S.DIST(($EE12-SQRT(ImpliedCorrelation)*EL$3)/SQRT(1-ImpliedCorrelation),TRUE))</f>
        <v>0.26325666669480308</v>
      </c>
      <c r="EM12" s="353">
        <f ca="1">IF($AA12&gt;CDS.Tenor,"-",_xlfn.NORM.S.DIST(($EE12-SQRT(ImpliedCorrelation)*EM$3)/SQRT(1-ImpliedCorrelation),TRUE))</f>
        <v>0.16836050907387626</v>
      </c>
      <c r="EN12" s="353">
        <f ca="1">IF($AA12&gt;CDS.Tenor,"-",_xlfn.NORM.S.DIST(($EE12-SQRT(ImpliedCorrelation)*EN$3)/SQRT(1-ImpliedCorrelation),TRUE))</f>
        <v>9.8874535318068918E-2</v>
      </c>
      <c r="EO12" s="353">
        <f ca="1">IF($AA12&gt;CDS.Tenor,"-",_xlfn.NORM.S.DIST(($EE12-SQRT(ImpliedCorrelation)*EO$3)/SQRT(1-ImpliedCorrelation),TRUE))</f>
        <v>5.312093369495538E-2</v>
      </c>
      <c r="EP12" s="353">
        <f ca="1">IF($AA12&gt;CDS.Tenor,"-",_xlfn.NORM.S.DIST(($EE12-SQRT(ImpliedCorrelation)*EP$3)/SQRT(1-ImpliedCorrelation),TRUE))</f>
        <v>2.602954839562354E-2</v>
      </c>
      <c r="EQ12" s="353">
        <f ca="1">IF($AA12&gt;CDS.Tenor,"-",_xlfn.NORM.S.DIST(($EE12-SQRT(ImpliedCorrelation)*EQ$3)/SQRT(1-ImpliedCorrelation),TRUE))</f>
        <v>1.1604653749392213E-2</v>
      </c>
      <c r="ER12" s="353">
        <f ca="1">IF($AA12&gt;CDS.Tenor,"-",_xlfn.NORM.S.DIST(($EE12-SQRT(ImpliedCorrelation)*ER$3)/SQRT(1-ImpliedCorrelation),TRUE))</f>
        <v>4.698012709701065E-3</v>
      </c>
      <c r="ES12" s="353">
        <f ca="1">IF($AA12&gt;CDS.Tenor,"-",_xlfn.NORM.S.DIST(($EE12-SQRT(ImpliedCorrelation)*ES$3)/SQRT(1-ImpliedCorrelation),TRUE))</f>
        <v>1.7243563134346507E-3</v>
      </c>
      <c r="ET12" s="353">
        <f ca="1">IF($AA12&gt;CDS.Tenor,"-",_xlfn.NORM.S.DIST(($EE12-SQRT(ImpliedCorrelation)*ET$3)/SQRT(1-ImpliedCorrelation),TRUE))</f>
        <v>5.7307670793611137E-4</v>
      </c>
      <c r="EU12" s="353">
        <f ca="1">IF($AA12&gt;CDS.Tenor,"-",_xlfn.NORM.S.DIST(($EE12-SQRT(ImpliedCorrelation)*EU$3)/SQRT(1-ImpliedCorrelation),TRUE))</f>
        <v>1.7227179132440668E-4</v>
      </c>
      <c r="EV12" s="353">
        <f ca="1">IF($AA12&gt;CDS.Tenor,"-",_xlfn.NORM.S.DIST(($EE12-SQRT(ImpliedCorrelation)*EV$3)/SQRT(1-ImpliedCorrelation),TRUE))</f>
        <v>4.680084321522283E-5</v>
      </c>
      <c r="EW12" s="353">
        <f ca="1">IF($AA12&gt;CDS.Tenor,"-",_xlfn.NORM.S.DIST(($EE12-SQRT(ImpliedCorrelation)*EW$3)/SQRT(1-ImpliedCorrelation),TRUE))</f>
        <v>1.1481990198570868E-5</v>
      </c>
      <c r="EX12" s="353">
        <f ca="1">IF($AA12&gt;CDS.Tenor,"-",_xlfn.NORM.S.DIST(($EE12-SQRT(ImpliedCorrelation)*EX$3)/SQRT(1-ImpliedCorrelation),TRUE))</f>
        <v>2.5423855455690138E-6</v>
      </c>
      <c r="EY12" s="353">
        <f ca="1">IF($AA12&gt;CDS.Tenor,"-",_xlfn.NORM.S.DIST(($EE12-SQRT(ImpliedCorrelation)*EY$3)/SQRT(1-ImpliedCorrelation),TRUE))</f>
        <v>5.0781346508198322E-7</v>
      </c>
      <c r="EZ12" s="353">
        <f ca="1">IF($AA12&gt;CDS.Tenor,"-",_xlfn.NORM.S.DIST(($EE12-SQRT(ImpliedCorrelation)*EZ$3)/SQRT(1-ImpliedCorrelation),TRUE))</f>
        <v>9.1456961056828288E-8</v>
      </c>
      <c r="FA12" s="353">
        <f ca="1">IF($AA12&gt;CDS.Tenor,"-",_xlfn.NORM.S.DIST(($EE12-SQRT(ImpliedCorrelation)*FA$3)/SQRT(1-ImpliedCorrelation),TRUE))</f>
        <v>1.4846277621679294E-8</v>
      </c>
      <c r="FB12" s="354">
        <f ca="1">IF($AA12&gt;CDS.Tenor,"-",_xlfn.NORM.S.DIST(($EE12-SQRT(ImpliedCorrelation)*FB$3)/SQRT(1-ImpliedCorrelation),TRUE))</f>
        <v>2.1715391297432673E-9</v>
      </c>
      <c r="FC12" s="340"/>
      <c r="FD12" s="358">
        <f t="shared" si="156"/>
        <v>2</v>
      </c>
      <c r="FE12" s="353">
        <f t="shared" ca="1" si="157"/>
        <v>0.24952986558498158</v>
      </c>
      <c r="FF12" s="353">
        <f t="shared" ca="1" si="158"/>
        <v>0.36367863186726035</v>
      </c>
      <c r="FG12" s="353">
        <f t="shared" ca="1" si="159"/>
        <v>0.49149668330209673</v>
      </c>
      <c r="FH12" s="353">
        <f t="shared" ca="1" si="160"/>
        <v>0.62020169995091434</v>
      </c>
      <c r="FI12" s="353">
        <f t="shared" ca="1" si="161"/>
        <v>0.73674333330519692</v>
      </c>
      <c r="FJ12" s="353">
        <f t="shared" ca="1" si="162"/>
        <v>0.83163949092612377</v>
      </c>
      <c r="FK12" s="353">
        <f t="shared" ca="1" si="163"/>
        <v>0.90112546468193111</v>
      </c>
      <c r="FL12" s="353">
        <f t="shared" ca="1" si="164"/>
        <v>0.94687906630504459</v>
      </c>
      <c r="FM12" s="353">
        <f t="shared" ca="1" si="165"/>
        <v>0.97397045160437645</v>
      </c>
      <c r="FN12" s="353">
        <f t="shared" ca="1" si="166"/>
        <v>0.98839534625060776</v>
      </c>
      <c r="FO12" s="353">
        <f t="shared" ca="1" si="167"/>
        <v>0.99530198729029895</v>
      </c>
      <c r="FP12" s="353">
        <f t="shared" ca="1" si="168"/>
        <v>0.99827564368656529</v>
      </c>
      <c r="FQ12" s="353">
        <f t="shared" ca="1" si="169"/>
        <v>0.99942692329206384</v>
      </c>
      <c r="FR12" s="353">
        <f t="shared" ca="1" si="170"/>
        <v>0.9998277282086756</v>
      </c>
      <c r="FS12" s="353">
        <f t="shared" ca="1" si="171"/>
        <v>0.99995319915678482</v>
      </c>
      <c r="FT12" s="353">
        <f t="shared" ca="1" si="172"/>
        <v>0.99998851800980137</v>
      </c>
      <c r="FU12" s="353">
        <f t="shared" ca="1" si="173"/>
        <v>0.99999745761445447</v>
      </c>
      <c r="FV12" s="353">
        <f t="shared" ca="1" si="174"/>
        <v>0.99999949218653494</v>
      </c>
      <c r="FW12" s="353">
        <f t="shared" ca="1" si="175"/>
        <v>0.999999908543039</v>
      </c>
      <c r="FX12" s="353">
        <f t="shared" ca="1" si="176"/>
        <v>0.99999998515372235</v>
      </c>
      <c r="FY12" s="354">
        <f t="shared" ca="1" si="177"/>
        <v>0.99999999782846083</v>
      </c>
      <c r="GB12" s="358">
        <f t="shared" si="178"/>
        <v>2</v>
      </c>
      <c r="GC12" s="353">
        <f ca="1">IF($GB12&gt;CDS.Tenor,"-",BE12*DE12*FE12)</f>
        <v>2.2395819749730553E-2</v>
      </c>
      <c r="GD12" s="353">
        <f ca="1">IF($GB12&gt;CDS.Tenor,"-",BF12*DF12*FF12)</f>
        <v>6.4580381999139486E-2</v>
      </c>
      <c r="GE12" s="353">
        <f ca="1">IF($GB12&gt;CDS.Tenor,"-",BG12*DG12*FG12)</f>
        <v>0.14937909970178234</v>
      </c>
      <c r="GF12" s="353">
        <f ca="1">IF($GB12&gt;CDS.Tenor,"-",BH12*DH12*FH12)</f>
        <v>0.28330726168665676</v>
      </c>
      <c r="GG12" s="353">
        <f ca="1">IF($GB12&gt;CDS.Tenor,"-",BI12*DI12*FI12)</f>
        <v>0.45204052095890207</v>
      </c>
      <c r="GH12" s="353">
        <f ca="1">IF($GB12&gt;CDS.Tenor,"-",BJ12*DJ12*FJ12)</f>
        <v>0.62460282846548887</v>
      </c>
      <c r="GI12" s="353">
        <f ca="1">IF($GB12&gt;CDS.Tenor,"-",BK12*DK12*FK12)</f>
        <v>0.77061524057499198</v>
      </c>
      <c r="GJ12" s="353">
        <f ca="1">IF($GB12&gt;CDS.Tenor,"-",BL12*DL12*FL12)</f>
        <v>0.87485432566359955</v>
      </c>
      <c r="GK12" s="353">
        <f ca="1">IF($GB12&gt;CDS.Tenor,"-",BM12*DM12*FM12)</f>
        <v>0.93881400722633823</v>
      </c>
      <c r="GL12" s="353">
        <f ca="1">IF($GB12&gt;CDS.Tenor,"-",BN12*DN12*FN12)</f>
        <v>0.97308368713435089</v>
      </c>
      <c r="GM12" s="353">
        <f ca="1">IF($GB12&gt;CDS.Tenor,"-",BO12*DO12*FO12)</f>
        <v>0.98931406186951998</v>
      </c>
      <c r="GN12" s="353">
        <f ca="1">IF($GB12&gt;CDS.Tenor,"-",BP12*DP12*FP12)</f>
        <v>0.99616503709693138</v>
      </c>
      <c r="GO12" s="353">
        <f ca="1">IF($GB12&gt;CDS.Tenor,"-",BQ12*DQ12*FQ12)</f>
        <v>0.99875521213750784</v>
      </c>
      <c r="GP12" s="353">
        <f ca="1">IF($GB12&gt;CDS.Tenor,"-",BR12*DR12*FR12)</f>
        <v>0.99963461365754869</v>
      </c>
      <c r="GQ12" s="353">
        <f ca="1">IF($GB12&gt;CDS.Tenor,"-",BS12*DS12*FS12)</f>
        <v>0.9999030535974921</v>
      </c>
      <c r="GR12" s="353">
        <f ca="1">IF($GB12&gt;CDS.Tenor,"-",BT12*DT12*FT12)</f>
        <v>0.99997676224227672</v>
      </c>
      <c r="GS12" s="353">
        <f ca="1">IF($GB12&gt;CDS.Tenor,"-",BU12*DU12*FU12)</f>
        <v>0.9999949706877449</v>
      </c>
      <c r="GT12" s="353">
        <f ca="1">IF($GB12&gt;CDS.Tenor,"-",BV12*DV12*FV12)</f>
        <v>0.99999901764613364</v>
      </c>
      <c r="GU12" s="353">
        <f ca="1">IF($GB12&gt;CDS.Tenor,"-",BW12*DW12*FW12)</f>
        <v>0.99999982690194633</v>
      </c>
      <c r="GV12" s="353">
        <f ca="1">IF($GB12&gt;CDS.Tenor,"-",BX12*DX12*FX12)</f>
        <v>0.99999997249412875</v>
      </c>
      <c r="GW12" s="354">
        <f ca="1">IF($GB12&gt;CDS.Tenor,"-",BY12*DY12*FY12)</f>
        <v>0.99999999605967171</v>
      </c>
      <c r="GX12" s="42"/>
      <c r="GY12" s="42"/>
      <c r="GZ12" s="358">
        <f t="shared" si="179"/>
        <v>2</v>
      </c>
      <c r="HA12" s="362">
        <f t="shared" ca="1" si="180"/>
        <v>0.96569666148400424</v>
      </c>
      <c r="HB12" s="363">
        <f t="shared" ca="1" si="181"/>
        <v>4.1302034025346712E-3</v>
      </c>
    </row>
    <row r="13" spans="2:231" x14ac:dyDescent="0.3">
      <c r="B13" s="1" t="s">
        <v>116</v>
      </c>
      <c r="F13" s="17" t="s">
        <v>354</v>
      </c>
      <c r="G13" s="392">
        <f>SUM(G9:G11)</f>
        <v>110</v>
      </c>
      <c r="I13" s="370">
        <f t="shared" si="86"/>
        <v>2.25</v>
      </c>
      <c r="J13" s="371">
        <f t="shared" si="87"/>
        <v>-25000</v>
      </c>
      <c r="K13" s="348">
        <f t="shared" ca="1" si="88"/>
        <v>0.96160177849146333</v>
      </c>
      <c r="L13" s="348">
        <f t="shared" ca="1" si="89"/>
        <v>4.0948829925409047E-3</v>
      </c>
      <c r="M13" s="372" cm="1">
        <f t="array" ref="M13">IF($I13&gt;CDS.Tenor,"-",cubicInterpolation(CurveResults.Times,CurveResults.DFs,$I13))</f>
        <v>0.90592386234408706</v>
      </c>
      <c r="N13" s="371">
        <f t="shared" ca="1" si="90"/>
        <v>-21778.449930198243</v>
      </c>
      <c r="O13" s="371">
        <f t="shared" ca="1" si="91"/>
        <v>-46.37065270562212</v>
      </c>
      <c r="P13" s="373">
        <f t="shared" ca="1" si="92"/>
        <v>-21824.820582903867</v>
      </c>
      <c r="S13" s="370">
        <f t="shared" si="93"/>
        <v>2.25</v>
      </c>
      <c r="T13" s="371">
        <f t="shared" si="94"/>
        <v>6000000</v>
      </c>
      <c r="U13" s="348">
        <f ca="1">IF($I13&gt;CDS.Tenor,"-",HA13)</f>
        <v>0.96160177849146333</v>
      </c>
      <c r="V13" s="348">
        <f t="shared" ca="1" si="95"/>
        <v>4.0948829925409047E-3</v>
      </c>
      <c r="W13" s="372" cm="1">
        <f t="array" ref="W13">IF($S13&gt;CDS.Tenor,"-",cubicInterpolation(CurveResults.Times,CurveResults.DFs,$I13))</f>
        <v>0.90592386234408706</v>
      </c>
      <c r="X13" s="373">
        <f t="shared" ca="1" si="96"/>
        <v>22257.913298698619</v>
      </c>
      <c r="Z13" s="340"/>
      <c r="AA13" s="358">
        <f t="shared" si="97"/>
        <v>2.25</v>
      </c>
      <c r="AB13" s="343" cm="1">
        <f t="array" aca="1" ref="AB13" ca="1">IF($AA13&gt;CDS.Tenor,"-",flatInterpolation(Z13,INDIRECT(HazardRateTimes1),INDIRECT(HazardRateValues1)))</f>
        <v>5.0000000000000001E-3</v>
      </c>
      <c r="AC13" s="10">
        <f t="shared" ca="1" si="98"/>
        <v>0.98881304461123343</v>
      </c>
      <c r="AD13" s="10">
        <f t="shared" ca="1" si="99"/>
        <v>1.1186955388766573E-2</v>
      </c>
      <c r="AE13" s="81">
        <f t="shared" ca="1" si="100"/>
        <v>-2.2839595080434183</v>
      </c>
      <c r="AF13" s="340"/>
      <c r="AG13" s="358">
        <f t="shared" si="101"/>
        <v>2.25</v>
      </c>
      <c r="AH13" s="353">
        <f t="shared" ca="1" si="102"/>
        <v>0.70657781460245106</v>
      </c>
      <c r="AI13" s="353">
        <f t="shared" ca="1" si="102"/>
        <v>0.58554033430525421</v>
      </c>
      <c r="AJ13" s="353">
        <f t="shared" ca="1" si="102"/>
        <v>0.45571338772722431</v>
      </c>
      <c r="AK13" s="353">
        <f t="shared" ca="1" si="102"/>
        <v>0.3304880553311515</v>
      </c>
      <c r="AL13" s="353">
        <f t="shared" ca="1" si="102"/>
        <v>0.22187006468690715</v>
      </c>
      <c r="AM13" s="353">
        <f t="shared" ca="1" si="102"/>
        <v>0.1371487033373979</v>
      </c>
      <c r="AN13" s="353">
        <f t="shared" ca="1" si="102"/>
        <v>7.7724334387117552E-2</v>
      </c>
      <c r="AO13" s="353">
        <f t="shared" ca="1" si="102"/>
        <v>4.0242989716731424E-2</v>
      </c>
      <c r="AP13" s="353">
        <f t="shared" ca="1" si="102"/>
        <v>1.8983997806237028E-2</v>
      </c>
      <c r="AQ13" s="353">
        <f t="shared" ca="1" si="102"/>
        <v>8.1411182427251292E-3</v>
      </c>
      <c r="AR13" s="353">
        <f t="shared" ca="1" si="103"/>
        <v>3.168121438533207E-3</v>
      </c>
      <c r="AS13" s="353">
        <f t="shared" ca="1" si="103"/>
        <v>1.1171481406241765E-3</v>
      </c>
      <c r="AT13" s="353">
        <f t="shared" ca="1" si="103"/>
        <v>3.5653046174055392E-4</v>
      </c>
      <c r="AU13" s="353">
        <f t="shared" ca="1" si="103"/>
        <v>1.0288135809136443E-4</v>
      </c>
      <c r="AV13" s="353">
        <f t="shared" ca="1" si="103"/>
        <v>2.682135808356395E-5</v>
      </c>
      <c r="AW13" s="353">
        <f t="shared" ca="1" si="103"/>
        <v>6.313013270149938E-6</v>
      </c>
      <c r="AX13" s="353">
        <f t="shared" ca="1" si="103"/>
        <v>1.3407843684412273E-6</v>
      </c>
      <c r="AY13" s="353">
        <f t="shared" ca="1" si="103"/>
        <v>2.5682637890638232E-7</v>
      </c>
      <c r="AZ13" s="353">
        <f t="shared" ca="1" si="103"/>
        <v>4.4350822317221165E-8</v>
      </c>
      <c r="BA13" s="353">
        <f t="shared" ca="1" si="103"/>
        <v>6.902290296396091E-9</v>
      </c>
      <c r="BB13" s="354">
        <f t="shared" ca="1" si="103"/>
        <v>9.6779473079696764E-10</v>
      </c>
      <c r="BC13" s="340"/>
      <c r="BD13" s="358">
        <f t="shared" si="104"/>
        <v>2.25</v>
      </c>
      <c r="BE13" s="353">
        <f t="shared" ca="1" si="105"/>
        <v>0.29342218539754894</v>
      </c>
      <c r="BF13" s="353">
        <f t="shared" ca="1" si="106"/>
        <v>0.41445966569474579</v>
      </c>
      <c r="BG13" s="353">
        <f t="shared" ca="1" si="107"/>
        <v>0.54428661227277564</v>
      </c>
      <c r="BH13" s="353">
        <f t="shared" ca="1" si="108"/>
        <v>0.66951194466884845</v>
      </c>
      <c r="BI13" s="353">
        <f t="shared" ca="1" si="109"/>
        <v>0.77812993531309282</v>
      </c>
      <c r="BJ13" s="353">
        <f t="shared" ca="1" si="110"/>
        <v>0.86285129666260207</v>
      </c>
      <c r="BK13" s="353">
        <f t="shared" ca="1" si="111"/>
        <v>0.92227566561288243</v>
      </c>
      <c r="BL13" s="353">
        <f t="shared" ca="1" si="112"/>
        <v>0.95975701028326854</v>
      </c>
      <c r="BM13" s="353">
        <f t="shared" ca="1" si="113"/>
        <v>0.98101600219376295</v>
      </c>
      <c r="BN13" s="353">
        <f t="shared" ca="1" si="114"/>
        <v>0.99185888175727488</v>
      </c>
      <c r="BO13" s="353">
        <f t="shared" ca="1" si="115"/>
        <v>0.99683187856146682</v>
      </c>
      <c r="BP13" s="353">
        <f t="shared" ca="1" si="116"/>
        <v>0.99888285185937586</v>
      </c>
      <c r="BQ13" s="353">
        <f t="shared" ca="1" si="117"/>
        <v>0.99964346953825944</v>
      </c>
      <c r="BR13" s="353">
        <f t="shared" ca="1" si="118"/>
        <v>0.99989711864190867</v>
      </c>
      <c r="BS13" s="353">
        <f t="shared" ca="1" si="119"/>
        <v>0.99997317864191648</v>
      </c>
      <c r="BT13" s="353">
        <f t="shared" ca="1" si="120"/>
        <v>0.99999368698672986</v>
      </c>
      <c r="BU13" s="353">
        <f t="shared" ca="1" si="121"/>
        <v>0.99999865921563158</v>
      </c>
      <c r="BV13" s="353">
        <f t="shared" ca="1" si="122"/>
        <v>0.99999974317362106</v>
      </c>
      <c r="BW13" s="353">
        <f t="shared" ca="1" si="123"/>
        <v>0.99999995564917765</v>
      </c>
      <c r="BX13" s="353">
        <f t="shared" ca="1" si="124"/>
        <v>0.99999999309770971</v>
      </c>
      <c r="BY13" s="354">
        <f t="shared" ca="1" si="125"/>
        <v>0.99999999903220527</v>
      </c>
      <c r="BZ13" s="17"/>
      <c r="CA13" s="17"/>
      <c r="CB13" s="343" cm="1">
        <f t="array" aca="1" ref="CB13" ca="1">IF($AA13&gt;CDS.Tenor,"-",flatInterpolation(AA13,INDIRECT(HazardRateTimes2),INDIRECT(HazardRateValues2)))</f>
        <v>5.8333333333333336E-3</v>
      </c>
      <c r="CC13" s="10">
        <f t="shared" ca="1" si="126"/>
        <v>0.98696075721468357</v>
      </c>
      <c r="CD13" s="10">
        <f t="shared" ca="1" si="127"/>
        <v>1.3039242785316429E-2</v>
      </c>
      <c r="CE13" s="81">
        <f t="shared" ca="1" si="128"/>
        <v>-2.2250410047056879</v>
      </c>
      <c r="CF13" s="340"/>
      <c r="CG13" s="358">
        <f t="shared" si="129"/>
        <v>2.25</v>
      </c>
      <c r="CH13" s="353">
        <f ca="1">IF($AA13&gt;CDS.Tenor,"-",_xlfn.NORM.S.DIST(($CE13-SQRT(ImpliedCorrelation)*CH$3)/SQRT(1-ImpliedCorrelation),TRUE))</f>
        <v>0.73033804410111058</v>
      </c>
      <c r="CI13" s="353">
        <f ca="1">IF($AA13&gt;CDS.Tenor,"-",_xlfn.NORM.S.DIST(($CE13-SQRT(ImpliedCorrelation)*CI$3)/SQRT(1-ImpliedCorrelation),TRUE))</f>
        <v>0.61275579285868442</v>
      </c>
      <c r="CJ13" s="353">
        <f ca="1">IF($AA13&gt;CDS.Tenor,"-",_xlfn.NORM.S.DIST(($CE13-SQRT(ImpliedCorrelation)*CJ$3)/SQRT(1-ImpliedCorrelation),TRUE))</f>
        <v>0.48372050149859358</v>
      </c>
      <c r="CK13" s="353">
        <f ca="1">IF($AA13&gt;CDS.Tenor,"-",_xlfn.NORM.S.DIST(($CE13-SQRT(ImpliedCorrelation)*CK$3)/SQRT(1-ImpliedCorrelation),TRUE))</f>
        <v>0.35638262689266009</v>
      </c>
      <c r="CL13" s="353">
        <f ca="1">IF($AA13&gt;CDS.Tenor,"-",_xlfn.NORM.S.DIST(($CE13-SQRT(ImpliedCorrelation)*CL$3)/SQRT(1-ImpliedCorrelation),TRUE))</f>
        <v>0.24337988477970041</v>
      </c>
      <c r="CM13" s="353">
        <f ca="1">IF($AA13&gt;CDS.Tenor,"-",_xlfn.NORM.S.DIST(($CE13-SQRT(ImpliedCorrelation)*CM$3)/SQRT(1-ImpliedCorrelation),TRUE))</f>
        <v>0.15320156630344789</v>
      </c>
      <c r="CN13" s="353">
        <f ca="1">IF($AA13&gt;CDS.Tenor,"-",_xlfn.NORM.S.DIST(($CE13-SQRT(ImpliedCorrelation)*CN$3)/SQRT(1-ImpliedCorrelation),TRUE))</f>
        <v>8.8487893201373014E-2</v>
      </c>
      <c r="CO13" s="353">
        <f ca="1">IF($AA13&gt;CDS.Tenor,"-",_xlfn.NORM.S.DIST(($CE13-SQRT(ImpliedCorrelation)*CO$3)/SQRT(1-ImpliedCorrelation),TRUE))</f>
        <v>4.6727048504009633E-2</v>
      </c>
      <c r="CP13" s="353">
        <f ca="1">IF($AA13&gt;CDS.Tenor,"-",_xlfn.NORM.S.DIST(($CE13-SQRT(ImpliedCorrelation)*CP$3)/SQRT(1-ImpliedCorrelation),TRUE))</f>
        <v>2.2493339530454171E-2</v>
      </c>
      <c r="CQ13" s="353">
        <f ca="1">IF($AA13&gt;CDS.Tenor,"-",_xlfn.NORM.S.DIST(($CE13-SQRT(ImpliedCorrelation)*CQ$3)/SQRT(1-ImpliedCorrelation),TRUE))</f>
        <v>9.8475622052535371E-3</v>
      </c>
      <c r="CR13" s="353">
        <f ca="1">IF($AA13&gt;CDS.Tenor,"-",_xlfn.NORM.S.DIST(($CE13-SQRT(ImpliedCorrelation)*CR$3)/SQRT(1-ImpliedCorrelation),TRUE))</f>
        <v>3.9136186966022678E-3</v>
      </c>
      <c r="CS13" s="353">
        <f ca="1">IF($AA13&gt;CDS.Tenor,"-",_xlfn.NORM.S.DIST(($CE13-SQRT(ImpliedCorrelation)*CS$3)/SQRT(1-ImpliedCorrelation),TRUE))</f>
        <v>1.4097571608673249E-3</v>
      </c>
      <c r="CT13" s="353">
        <f ca="1">IF($AA13&gt;CDS.Tenor,"-",_xlfn.NORM.S.DIST(($CE13-SQRT(ImpliedCorrelation)*CT$3)/SQRT(1-ImpliedCorrelation),TRUE))</f>
        <v>4.5971556445020893E-4</v>
      </c>
      <c r="CU13" s="353">
        <f ca="1">IF($AA13&gt;CDS.Tenor,"-",_xlfn.NORM.S.DIST(($CE13-SQRT(ImpliedCorrelation)*CU$3)/SQRT(1-ImpliedCorrelation),TRUE))</f>
        <v>1.3557278771452228E-4</v>
      </c>
      <c r="CV13" s="353">
        <f ca="1">IF($AA13&gt;CDS.Tenor,"-",_xlfn.NORM.S.DIST(($CE13-SQRT(ImpliedCorrelation)*CV$3)/SQRT(1-ImpliedCorrelation),TRUE))</f>
        <v>3.6126830707995596E-5</v>
      </c>
      <c r="CW13" s="353">
        <f ca="1">IF($AA13&gt;CDS.Tenor,"-",_xlfn.NORM.S.DIST(($CE13-SQRT(ImpliedCorrelation)*CW$3)/SQRT(1-ImpliedCorrelation),TRUE))</f>
        <v>8.6927590053929304E-6</v>
      </c>
      <c r="CX13" s="353">
        <f ca="1">IF($AA13&gt;CDS.Tenor,"-",_xlfn.NORM.S.DIST(($CE13-SQRT(ImpliedCorrelation)*CX$3)/SQRT(1-ImpliedCorrelation),TRUE))</f>
        <v>1.8875614017179633E-6</v>
      </c>
      <c r="CY13" s="353">
        <f ca="1">IF($AA13&gt;CDS.Tenor,"-",_xlfn.NORM.S.DIST(($CE13-SQRT(ImpliedCorrelation)*CY$3)/SQRT(1-ImpliedCorrelation),TRUE))</f>
        <v>3.6969612370384007E-7</v>
      </c>
      <c r="CZ13" s="353">
        <f ca="1">IF($AA13&gt;CDS.Tenor,"-",_xlfn.NORM.S.DIST(($CE13-SQRT(ImpliedCorrelation)*CZ$3)/SQRT(1-ImpliedCorrelation),TRUE))</f>
        <v>6.5283865955235812E-8</v>
      </c>
      <c r="DA13" s="353">
        <f ca="1">IF($AA13&gt;CDS.Tenor,"-",_xlfn.NORM.S.DIST(($CE13-SQRT(ImpliedCorrelation)*DA$3)/SQRT(1-ImpliedCorrelation),TRUE))</f>
        <v>1.0390276476058924E-8</v>
      </c>
      <c r="DB13" s="354">
        <f ca="1">IF($AA13&gt;CDS.Tenor,"-",_xlfn.NORM.S.DIST(($CE13-SQRT(ImpliedCorrelation)*DB$3)/SQRT(1-ImpliedCorrelation),TRUE))</f>
        <v>1.4899560010977752E-9</v>
      </c>
      <c r="DC13" s="340"/>
      <c r="DD13" s="358">
        <f t="shared" si="130"/>
        <v>2.25</v>
      </c>
      <c r="DE13" s="353">
        <f t="shared" ca="1" si="131"/>
        <v>0.26966195589888942</v>
      </c>
      <c r="DF13" s="353">
        <f t="shared" ca="1" si="132"/>
        <v>0.38724420714131558</v>
      </c>
      <c r="DG13" s="353">
        <f t="shared" ca="1" si="133"/>
        <v>0.51627949850140642</v>
      </c>
      <c r="DH13" s="353">
        <f t="shared" ca="1" si="134"/>
        <v>0.64361737310733991</v>
      </c>
      <c r="DI13" s="353">
        <f t="shared" ca="1" si="135"/>
        <v>0.75662011522029959</v>
      </c>
      <c r="DJ13" s="353">
        <f t="shared" ca="1" si="136"/>
        <v>0.84679843369655217</v>
      </c>
      <c r="DK13" s="353">
        <f t="shared" ca="1" si="137"/>
        <v>0.91151210679862693</v>
      </c>
      <c r="DL13" s="353">
        <f t="shared" ca="1" si="138"/>
        <v>0.95327295149599034</v>
      </c>
      <c r="DM13" s="353">
        <f t="shared" ca="1" si="139"/>
        <v>0.97750666046954582</v>
      </c>
      <c r="DN13" s="353">
        <f t="shared" ca="1" si="140"/>
        <v>0.99015243779474649</v>
      </c>
      <c r="DO13" s="353">
        <f t="shared" ca="1" si="141"/>
        <v>0.99608638130339777</v>
      </c>
      <c r="DP13" s="353">
        <f t="shared" ca="1" si="142"/>
        <v>0.99859024283913267</v>
      </c>
      <c r="DQ13" s="353">
        <f t="shared" ca="1" si="143"/>
        <v>0.99954028443554976</v>
      </c>
      <c r="DR13" s="353">
        <f t="shared" ca="1" si="144"/>
        <v>0.99986442721228552</v>
      </c>
      <c r="DS13" s="353">
        <f t="shared" ca="1" si="145"/>
        <v>0.99996387316929203</v>
      </c>
      <c r="DT13" s="353">
        <f t="shared" ca="1" si="146"/>
        <v>0.99999130724099461</v>
      </c>
      <c r="DU13" s="353">
        <f t="shared" ca="1" si="147"/>
        <v>0.99999811243859826</v>
      </c>
      <c r="DV13" s="353">
        <f t="shared" ca="1" si="148"/>
        <v>0.99999963030387629</v>
      </c>
      <c r="DW13" s="353">
        <f t="shared" ca="1" si="149"/>
        <v>0.99999993471613402</v>
      </c>
      <c r="DX13" s="353">
        <f t="shared" ca="1" si="150"/>
        <v>0.99999998960972347</v>
      </c>
      <c r="DY13" s="354">
        <f t="shared" ca="1" si="151"/>
        <v>0.99999999851004395</v>
      </c>
      <c r="DZ13" s="17"/>
      <c r="EA13" s="17"/>
      <c r="EB13" s="343" cm="1">
        <f t="array" aca="1" ref="EB13" ca="1">IF($AA13&gt;CDS.Tenor,"-",flatInterpolation(CC13,INDIRECT(HazardRateTimes3),INDIRECT(HazardRateValues3)))</f>
        <v>7.4999999999999997E-3</v>
      </c>
      <c r="EC13" s="10">
        <f t="shared" ca="1" si="152"/>
        <v>0.98326658527661925</v>
      </c>
      <c r="ED13" s="10">
        <f t="shared" ca="1" si="153"/>
        <v>1.6733414723380746E-2</v>
      </c>
      <c r="EE13" s="81">
        <f t="shared" ca="1" si="154"/>
        <v>-2.1264377244801667</v>
      </c>
      <c r="EF13" s="340"/>
      <c r="EG13" s="358">
        <f t="shared" si="155"/>
        <v>2.25</v>
      </c>
      <c r="EH13" s="353">
        <f ca="1">IF($AA13&gt;CDS.Tenor,"-",_xlfn.NORM.S.DIST(($EE13-SQRT(ImpliedCorrelation)*EH$3)/SQRT(1-ImpliedCorrelation),TRUE))</f>
        <v>0.76782083961345493</v>
      </c>
      <c r="EI13" s="353">
        <f ca="1">IF($AA13&gt;CDS.Tenor,"-",_xlfn.NORM.S.DIST(($EE13-SQRT(ImpliedCorrelation)*EI$3)/SQRT(1-ImpliedCorrelation),TRUE))</f>
        <v>0.65702684567557901</v>
      </c>
      <c r="EJ13" s="353">
        <f ca="1">IF($AA13&gt;CDS.Tenor,"-",_xlfn.NORM.S.DIST(($EE13-SQRT(ImpliedCorrelation)*EJ$3)/SQRT(1-ImpliedCorrelation),TRUE))</f>
        <v>0.53070233949880818</v>
      </c>
      <c r="EK13" s="353">
        <f ca="1">IF($AA13&gt;CDS.Tenor,"-",_xlfn.NORM.S.DIST(($EE13-SQRT(ImpliedCorrelation)*EK$3)/SQRT(1-ImpliedCorrelation),TRUE))</f>
        <v>0.4011810200407383</v>
      </c>
      <c r="EL13" s="353">
        <f ca="1">IF($AA13&gt;CDS.Tenor,"-",_xlfn.NORM.S.DIST(($EE13-SQRT(ImpliedCorrelation)*EL$3)/SQRT(1-ImpliedCorrelation),TRUE))</f>
        <v>0.28176096095267356</v>
      </c>
      <c r="EM13" s="353">
        <f ca="1">IF($AA13&gt;CDS.Tenor,"-",_xlfn.NORM.S.DIST(($EE13-SQRT(ImpliedCorrelation)*EM$3)/SQRT(1-ImpliedCorrelation),TRUE))</f>
        <v>0.18274725547311757</v>
      </c>
      <c r="EN13" s="353">
        <f ca="1">IF($AA13&gt;CDS.Tenor,"-",_xlfn.NORM.S.DIST(($EE13-SQRT(ImpliedCorrelation)*EN$3)/SQRT(1-ImpliedCorrelation),TRUE))</f>
        <v>0.10892377337633499</v>
      </c>
      <c r="EO13" s="353">
        <f ca="1">IF($AA13&gt;CDS.Tenor,"-",_xlfn.NORM.S.DIST(($EE13-SQRT(ImpliedCorrelation)*EO$3)/SQRT(1-ImpliedCorrelation),TRUE))</f>
        <v>5.9427372173426002E-2</v>
      </c>
      <c r="EP13" s="353">
        <f ca="1">IF($AA13&gt;CDS.Tenor,"-",_xlfn.NORM.S.DIST(($EE13-SQRT(ImpliedCorrelation)*EP$3)/SQRT(1-ImpliedCorrelation),TRUE))</f>
        <v>2.9585171121496046E-2</v>
      </c>
      <c r="EQ13" s="353">
        <f ca="1">IF($AA13&gt;CDS.Tenor,"-",_xlfn.NORM.S.DIST(($EE13-SQRT(ImpliedCorrelation)*EQ$3)/SQRT(1-ImpliedCorrelation),TRUE))</f>
        <v>1.3405711597542053E-2</v>
      </c>
      <c r="ER13" s="353">
        <f ca="1">IF($AA13&gt;CDS.Tenor,"-",_xlfn.NORM.S.DIST(($EE13-SQRT(ImpliedCorrelation)*ER$3)/SQRT(1-ImpliedCorrelation),TRUE))</f>
        <v>5.5176470150100744E-3</v>
      </c>
      <c r="ES13" s="353">
        <f ca="1">IF($AA13&gt;CDS.Tenor,"-",_xlfn.NORM.S.DIST(($EE13-SQRT(ImpliedCorrelation)*ES$3)/SQRT(1-ImpliedCorrelation),TRUE))</f>
        <v>2.059470694669547E-3</v>
      </c>
      <c r="ET13" s="353">
        <f ca="1">IF($AA13&gt;CDS.Tenor,"-",_xlfn.NORM.S.DIST(($EE13-SQRT(ImpliedCorrelation)*ET$3)/SQRT(1-ImpliedCorrelation),TRUE))</f>
        <v>6.9617342601928746E-4</v>
      </c>
      <c r="EU13" s="353">
        <f ca="1">IF($AA13&gt;CDS.Tenor,"-",_xlfn.NORM.S.DIST(($EE13-SQRT(ImpliedCorrelation)*EU$3)/SQRT(1-ImpliedCorrelation),TRUE))</f>
        <v>2.128955729569516E-4</v>
      </c>
      <c r="EV13" s="353">
        <f ca="1">IF($AA13&gt;CDS.Tenor,"-",_xlfn.NORM.S.DIST(($EE13-SQRT(ImpliedCorrelation)*EV$3)/SQRT(1-ImpliedCorrelation),TRUE))</f>
        <v>5.8845507122998993E-5</v>
      </c>
      <c r="EW13" s="353">
        <f ca="1">IF($AA13&gt;CDS.Tenor,"-",_xlfn.NORM.S.DIST(($EE13-SQRT(ImpliedCorrelation)*EW$3)/SQRT(1-ImpliedCorrelation),TRUE))</f>
        <v>1.4690397386545037E-5</v>
      </c>
      <c r="EX13" s="353">
        <f ca="1">IF($AA13&gt;CDS.Tenor,"-",_xlfn.NORM.S.DIST(($EE13-SQRT(ImpliedCorrelation)*EX$3)/SQRT(1-ImpliedCorrelation),TRUE))</f>
        <v>3.3102149293884069E-6</v>
      </c>
      <c r="EY13" s="353">
        <f ca="1">IF($AA13&gt;CDS.Tenor,"-",_xlfn.NORM.S.DIST(($EE13-SQRT(ImpliedCorrelation)*EY$3)/SQRT(1-ImpliedCorrelation),TRUE))</f>
        <v>6.7290333400316554E-7</v>
      </c>
      <c r="EZ13" s="353">
        <f ca="1">IF($AA13&gt;CDS.Tenor,"-",_xlfn.NORM.S.DIST(($EE13-SQRT(ImpliedCorrelation)*EZ$3)/SQRT(1-ImpliedCorrelation),TRUE))</f>
        <v>1.2334711084431037E-7</v>
      </c>
      <c r="FA13" s="353">
        <f ca="1">IF($AA13&gt;CDS.Tenor,"-",_xlfn.NORM.S.DIST(($EE13-SQRT(ImpliedCorrelation)*FA$3)/SQRT(1-ImpliedCorrelation),TRUE))</f>
        <v>2.038071058189917E-8</v>
      </c>
      <c r="FB13" s="354">
        <f ca="1">IF($AA13&gt;CDS.Tenor,"-",_xlfn.NORM.S.DIST(($EE13-SQRT(ImpliedCorrelation)*FB$3)/SQRT(1-ImpliedCorrelation),TRUE))</f>
        <v>3.0344583297535937E-9</v>
      </c>
      <c r="FC13" s="340"/>
      <c r="FD13" s="358">
        <f t="shared" si="156"/>
        <v>2.25</v>
      </c>
      <c r="FE13" s="353">
        <f t="shared" ca="1" si="157"/>
        <v>0.23217916038654507</v>
      </c>
      <c r="FF13" s="353">
        <f t="shared" ca="1" si="158"/>
        <v>0.34297315432442099</v>
      </c>
      <c r="FG13" s="353">
        <f t="shared" ca="1" si="159"/>
        <v>0.46929766050119182</v>
      </c>
      <c r="FH13" s="353">
        <f t="shared" ca="1" si="160"/>
        <v>0.5988189799592617</v>
      </c>
      <c r="FI13" s="353">
        <f t="shared" ca="1" si="161"/>
        <v>0.71823903904732644</v>
      </c>
      <c r="FJ13" s="353">
        <f t="shared" ca="1" si="162"/>
        <v>0.81725274452688246</v>
      </c>
      <c r="FK13" s="353">
        <f t="shared" ca="1" si="163"/>
        <v>0.89107622662366504</v>
      </c>
      <c r="FL13" s="353">
        <f t="shared" ca="1" si="164"/>
        <v>0.94057262782657403</v>
      </c>
      <c r="FM13" s="353">
        <f t="shared" ca="1" si="165"/>
        <v>0.97041482887850394</v>
      </c>
      <c r="FN13" s="353">
        <f t="shared" ca="1" si="166"/>
        <v>0.986594288402458</v>
      </c>
      <c r="FO13" s="353">
        <f t="shared" ca="1" si="167"/>
        <v>0.99448235298498988</v>
      </c>
      <c r="FP13" s="353">
        <f t="shared" ca="1" si="168"/>
        <v>0.9979405293053305</v>
      </c>
      <c r="FQ13" s="353">
        <f t="shared" ca="1" si="169"/>
        <v>0.99930382657398076</v>
      </c>
      <c r="FR13" s="353">
        <f t="shared" ca="1" si="170"/>
        <v>0.99978710442704299</v>
      </c>
      <c r="FS13" s="353">
        <f t="shared" ca="1" si="171"/>
        <v>0.99994115449287702</v>
      </c>
      <c r="FT13" s="353">
        <f t="shared" ca="1" si="172"/>
        <v>0.99998530960261345</v>
      </c>
      <c r="FU13" s="353">
        <f t="shared" ca="1" si="173"/>
        <v>0.99999668978507061</v>
      </c>
      <c r="FV13" s="353">
        <f t="shared" ca="1" si="174"/>
        <v>0.99999932709666595</v>
      </c>
      <c r="FW13" s="353">
        <f t="shared" ca="1" si="175"/>
        <v>0.99999987665288914</v>
      </c>
      <c r="FX13" s="353">
        <f t="shared" ca="1" si="176"/>
        <v>0.99999997961928944</v>
      </c>
      <c r="FY13" s="354">
        <f t="shared" ca="1" si="177"/>
        <v>0.99999999696554165</v>
      </c>
      <c r="GB13" s="358">
        <f t="shared" si="178"/>
        <v>2.25</v>
      </c>
      <c r="GC13" s="353">
        <f ca="1">IF($GB13&gt;CDS.Tenor,"-",BE13*DE13*FE13)</f>
        <v>1.8371129726903933E-2</v>
      </c>
      <c r="GD13" s="353">
        <f ca="1">IF($GB13&gt;CDS.Tenor,"-",BF13*DF13*FF13)</f>
        <v>5.5046198236265297E-2</v>
      </c>
      <c r="GE13" s="353">
        <f ca="1">IF($GB13&gt;CDS.Tenor,"-",BG13*DG13*FG13)</f>
        <v>0.13187452881382677</v>
      </c>
      <c r="GF13" s="353">
        <f ca="1">IF($GB13&gt;CDS.Tenor,"-",BH13*DH13*FH13)</f>
        <v>0.25803679867725832</v>
      </c>
      <c r="GG13" s="353">
        <f ca="1">IF($GB13&gt;CDS.Tenor,"-",BI13*DI13*FI13)</f>
        <v>0.42286234456572175</v>
      </c>
      <c r="GH13" s="353">
        <f ca="1">IF($GB13&gt;CDS.Tenor,"-",BJ13*DJ13*FJ13)</f>
        <v>0.59713481097323762</v>
      </c>
      <c r="GI13" s="353">
        <f ca="1">IF($GB13&gt;CDS.Tenor,"-",BK13*DK13*FK13)</f>
        <v>0.74909698368334965</v>
      </c>
      <c r="GJ13" s="353">
        <f ca="1">IF($GB13&gt;CDS.Tenor,"-",BL13*DL13*FL13)</f>
        <v>0.86053967718966318</v>
      </c>
      <c r="GK13" s="353">
        <f ca="1">IF($GB13&gt;CDS.Tenor,"-",BM13*DM13*FM13)</f>
        <v>0.93057898590516952</v>
      </c>
      <c r="GL13" s="353">
        <f ca="1">IF($GB13&gt;CDS.Tenor,"-",BN13*DN13*FN13)</f>
        <v>0.96892585444674562</v>
      </c>
      <c r="GM13" s="353">
        <f ca="1">IF($GB13&gt;CDS.Tenor,"-",BO13*DO13*FO13)</f>
        <v>0.98745201779915881</v>
      </c>
      <c r="GN13" s="353">
        <f ca="1">IF($GB13&gt;CDS.Tenor,"-",BP13*DP13*FP13)</f>
        <v>0.99542039975537067</v>
      </c>
      <c r="GO13" s="353">
        <f ca="1">IF($GB13&gt;CDS.Tenor,"-",BQ13*DQ13*FQ13)</f>
        <v>0.99848831258508031</v>
      </c>
      <c r="GP13" s="353">
        <f ca="1">IF($GB13&gt;CDS.Tenor,"-",BR13*DR13*FR13)</f>
        <v>0.99954871499201225</v>
      </c>
      <c r="GQ13" s="353">
        <f ca="1">IF($GB13&gt;CDS.Tenor,"-",BS13*DS13*FS13)</f>
        <v>0.9998782109772173</v>
      </c>
      <c r="GR13" s="353">
        <f ca="1">IF($GB13&gt;CDS.Tenor,"-",BT13*DT13*FT13)</f>
        <v>0.99997030410565546</v>
      </c>
      <c r="GS13" s="353">
        <f ca="1">IF($GB13&gt;CDS.Tenor,"-",BU13*DU13*FU13)</f>
        <v>0.99999346145251788</v>
      </c>
      <c r="GT13" s="353">
        <f ca="1">IF($GB13&gt;CDS.Tenor,"-",BV13*DV13*FV13)</f>
        <v>0.99999870057467977</v>
      </c>
      <c r="GU13" s="353">
        <f ca="1">IF($GB13&gt;CDS.Tenor,"-",BW13*DW13*FW13)</f>
        <v>0.99999976701821724</v>
      </c>
      <c r="GV13" s="353">
        <f ca="1">IF($GB13&gt;CDS.Tenor,"-",BX13*DX13*FX13)</f>
        <v>0.99999996232672306</v>
      </c>
      <c r="GW13" s="354">
        <f ca="1">IF($GB13&gt;CDS.Tenor,"-",BY13*DY13*FY13)</f>
        <v>0.99999999450779087</v>
      </c>
      <c r="GX13" s="42"/>
      <c r="GY13" s="42"/>
      <c r="GZ13" s="358">
        <f t="shared" si="179"/>
        <v>2.25</v>
      </c>
      <c r="HA13" s="362">
        <f t="shared" ca="1" si="180"/>
        <v>0.96160177849146333</v>
      </c>
      <c r="HB13" s="363">
        <f t="shared" ca="1" si="181"/>
        <v>4.0948829925409047E-3</v>
      </c>
    </row>
    <row r="14" spans="2:231" x14ac:dyDescent="0.3">
      <c r="B14" s="114" t="s">
        <v>119</v>
      </c>
      <c r="C14" s="115"/>
      <c r="D14" s="150">
        <f>IF(D6="BUY",-1,1)</f>
        <v>-1</v>
      </c>
      <c r="F14" s="17" t="s">
        <v>355</v>
      </c>
      <c r="G14" s="392">
        <f>MAX(G9:G11)</f>
        <v>45</v>
      </c>
      <c r="I14" s="370">
        <f t="shared" si="86"/>
        <v>2.5</v>
      </c>
      <c r="J14" s="371">
        <f t="shared" si="87"/>
        <v>-25000</v>
      </c>
      <c r="K14" s="348">
        <f t="shared" ca="1" si="88"/>
        <v>0.95754061868087048</v>
      </c>
      <c r="L14" s="348">
        <f t="shared" ca="1" si="89"/>
        <v>4.0611598105928515E-3</v>
      </c>
      <c r="M14" s="372" cm="1">
        <f t="array" ref="M14">IF($I14&gt;CDS.Tenor,"-",cubicInterpolation(CurveResults.Times,CurveResults.DFs,$I14))</f>
        <v>0.89685992714468643</v>
      </c>
      <c r="N14" s="371">
        <f t="shared" ca="1" si="90"/>
        <v>-21469.495237705087</v>
      </c>
      <c r="O14" s="371">
        <f t="shared" ca="1" si="91"/>
        <v>-45.528643648140417</v>
      </c>
      <c r="P14" s="373">
        <f t="shared" ca="1" si="92"/>
        <v>-21515.023881353227</v>
      </c>
      <c r="S14" s="370">
        <f t="shared" si="93"/>
        <v>2.5</v>
      </c>
      <c r="T14" s="371">
        <f t="shared" si="94"/>
        <v>6000000</v>
      </c>
      <c r="U14" s="348">
        <f ca="1">IF($I14&gt;CDS.Tenor,"-",HA14)</f>
        <v>0.95754061868087048</v>
      </c>
      <c r="V14" s="348">
        <f t="shared" ca="1" si="95"/>
        <v>4.0611598105928515E-3</v>
      </c>
      <c r="W14" s="372" cm="1">
        <f t="array" ref="W14">IF($S14&gt;CDS.Tenor,"-",cubicInterpolation(CurveResults.Times,CurveResults.DFs,$I14))</f>
        <v>0.89685992714468643</v>
      </c>
      <c r="X14" s="373">
        <f t="shared" ca="1" si="96"/>
        <v>21853.748951107402</v>
      </c>
      <c r="Z14" s="340"/>
      <c r="AA14" s="358">
        <f t="shared" si="97"/>
        <v>2.5</v>
      </c>
      <c r="AB14" s="343" cm="1">
        <f t="array" aca="1" ref="AB14" ca="1">IF($AA14&gt;CDS.Tenor,"-",flatInterpolation(Z14,INDIRECT(HazardRateTimes1),INDIRECT(HazardRateValues1)))</f>
        <v>5.0000000000000001E-3</v>
      </c>
      <c r="AC14" s="10">
        <f t="shared" ca="1" si="98"/>
        <v>0.98757780049388189</v>
      </c>
      <c r="AD14" s="10">
        <f t="shared" ca="1" si="99"/>
        <v>1.2422199506118115E-2</v>
      </c>
      <c r="AE14" s="81">
        <f t="shared" ca="1" si="100"/>
        <v>-2.2438135687533376</v>
      </c>
      <c r="AF14" s="340"/>
      <c r="AG14" s="358">
        <f t="shared" si="101"/>
        <v>2.5</v>
      </c>
      <c r="AH14" s="353">
        <f t="shared" ca="1" si="102"/>
        <v>0.72287317094284309</v>
      </c>
      <c r="AI14" s="353">
        <f t="shared" ca="1" si="102"/>
        <v>0.60413752881641092</v>
      </c>
      <c r="AJ14" s="353">
        <f t="shared" ca="1" si="102"/>
        <v>0.47478152986438543</v>
      </c>
      <c r="AK14" s="353">
        <f t="shared" ca="1" si="102"/>
        <v>0.34805299665227912</v>
      </c>
      <c r="AL14" s="353">
        <f t="shared" ca="1" si="102"/>
        <v>0.23640664999993979</v>
      </c>
      <c r="AM14" s="353">
        <f t="shared" ca="1" si="102"/>
        <v>0.1479569556535614</v>
      </c>
      <c r="AN14" s="353">
        <f t="shared" ca="1" si="102"/>
        <v>8.4944146941409698E-2</v>
      </c>
      <c r="AO14" s="353">
        <f t="shared" ca="1" si="102"/>
        <v>4.4575840606184483E-2</v>
      </c>
      <c r="AP14" s="353">
        <f t="shared" ca="1" si="102"/>
        <v>2.1320138191956189E-2</v>
      </c>
      <c r="AQ14" s="353">
        <f t="shared" ca="1" si="102"/>
        <v>9.2727405562573872E-3</v>
      </c>
      <c r="AR14" s="353">
        <f t="shared" ca="1" si="103"/>
        <v>3.660593318291955E-3</v>
      </c>
      <c r="AS14" s="353">
        <f t="shared" ca="1" si="103"/>
        <v>1.309696020141693E-3</v>
      </c>
      <c r="AT14" s="353">
        <f t="shared" ca="1" si="103"/>
        <v>4.2416575997015479E-4</v>
      </c>
      <c r="AU14" s="353">
        <f t="shared" ca="1" si="103"/>
        <v>1.242258313881764E-4</v>
      </c>
      <c r="AV14" s="353">
        <f t="shared" ca="1" si="103"/>
        <v>3.287302250324768E-5</v>
      </c>
      <c r="AW14" s="353">
        <f t="shared" ca="1" si="103"/>
        <v>7.8545063916313927E-6</v>
      </c>
      <c r="AX14" s="353">
        <f t="shared" ca="1" si="103"/>
        <v>1.6935495404110366E-6</v>
      </c>
      <c r="AY14" s="353">
        <f t="shared" ca="1" si="103"/>
        <v>3.2935462321817627E-7</v>
      </c>
      <c r="AZ14" s="353">
        <f t="shared" ca="1" si="103"/>
        <v>5.7747773597939906E-8</v>
      </c>
      <c r="BA14" s="353">
        <f t="shared" ca="1" si="103"/>
        <v>9.1255087466837567E-9</v>
      </c>
      <c r="BB14" s="354">
        <f t="shared" ca="1" si="103"/>
        <v>1.2992581765373201E-9</v>
      </c>
      <c r="BC14" s="340"/>
      <c r="BD14" s="358">
        <f t="shared" si="104"/>
        <v>2.5</v>
      </c>
      <c r="BE14" s="353">
        <f t="shared" ca="1" si="105"/>
        <v>0.27712682905715691</v>
      </c>
      <c r="BF14" s="353">
        <f t="shared" ca="1" si="106"/>
        <v>0.39586247118358908</v>
      </c>
      <c r="BG14" s="353">
        <f t="shared" ca="1" si="107"/>
        <v>0.52521847013561462</v>
      </c>
      <c r="BH14" s="353">
        <f t="shared" ca="1" si="108"/>
        <v>0.65194700334772082</v>
      </c>
      <c r="BI14" s="353">
        <f t="shared" ca="1" si="109"/>
        <v>0.76359335000006023</v>
      </c>
      <c r="BJ14" s="353">
        <f t="shared" ca="1" si="110"/>
        <v>0.85204304434643863</v>
      </c>
      <c r="BK14" s="353">
        <f t="shared" ca="1" si="111"/>
        <v>0.91505585305859027</v>
      </c>
      <c r="BL14" s="353">
        <f t="shared" ca="1" si="112"/>
        <v>0.95542415939381553</v>
      </c>
      <c r="BM14" s="353">
        <f t="shared" ca="1" si="113"/>
        <v>0.97867986180804378</v>
      </c>
      <c r="BN14" s="353">
        <f t="shared" ca="1" si="114"/>
        <v>0.99072725944374262</v>
      </c>
      <c r="BO14" s="353">
        <f t="shared" ca="1" si="115"/>
        <v>0.99633940668170806</v>
      </c>
      <c r="BP14" s="353">
        <f t="shared" ca="1" si="116"/>
        <v>0.99869030397985825</v>
      </c>
      <c r="BQ14" s="353">
        <f t="shared" ca="1" si="117"/>
        <v>0.99957583424002983</v>
      </c>
      <c r="BR14" s="353">
        <f t="shared" ca="1" si="118"/>
        <v>0.99987577416861184</v>
      </c>
      <c r="BS14" s="353">
        <f t="shared" ca="1" si="119"/>
        <v>0.99996712697749679</v>
      </c>
      <c r="BT14" s="353">
        <f t="shared" ca="1" si="120"/>
        <v>0.99999214549360838</v>
      </c>
      <c r="BU14" s="353">
        <f t="shared" ca="1" si="121"/>
        <v>0.99999830645045962</v>
      </c>
      <c r="BV14" s="353">
        <f t="shared" ca="1" si="122"/>
        <v>0.99999967064537676</v>
      </c>
      <c r="BW14" s="353">
        <f t="shared" ca="1" si="123"/>
        <v>0.99999994225222644</v>
      </c>
      <c r="BX14" s="353">
        <f t="shared" ca="1" si="124"/>
        <v>0.99999999087449121</v>
      </c>
      <c r="BY14" s="354">
        <f t="shared" ca="1" si="125"/>
        <v>0.99999999870074185</v>
      </c>
      <c r="BZ14" s="17"/>
      <c r="CA14" s="17"/>
      <c r="CB14" s="343" cm="1">
        <f t="array" aca="1" ref="CB14" ca="1">IF($AA14&gt;CDS.Tenor,"-",flatInterpolation(AA14,INDIRECT(HazardRateTimes2),INDIRECT(HazardRateValues2)))</f>
        <v>5.8333333333333336E-3</v>
      </c>
      <c r="CC14" s="10">
        <f t="shared" ca="1" si="126"/>
        <v>0.98552248843629786</v>
      </c>
      <c r="CD14" s="10">
        <f t="shared" ca="1" si="127"/>
        <v>1.4477511563702139E-2</v>
      </c>
      <c r="CE14" s="81">
        <f t="shared" ca="1" si="128"/>
        <v>-2.1840983334930759</v>
      </c>
      <c r="CF14" s="340"/>
      <c r="CG14" s="358">
        <f t="shared" si="129"/>
        <v>2.5</v>
      </c>
      <c r="CH14" s="353">
        <f ca="1">IF($AA14&gt;CDS.Tenor,"-",_xlfn.NORM.S.DIST(($CE14-SQRT(ImpliedCorrelation)*CH$3)/SQRT(1-ImpliedCorrelation),TRUE))</f>
        <v>0.74626155812480899</v>
      </c>
      <c r="CI14" s="353">
        <f ca="1">IF($AA14&gt;CDS.Tenor,"-",_xlfn.NORM.S.DIST(($CE14-SQRT(ImpliedCorrelation)*CI$3)/SQRT(1-ImpliedCorrelation),TRUE))</f>
        <v>0.63135517492989335</v>
      </c>
      <c r="CJ14" s="353">
        <f ca="1">IF($AA14&gt;CDS.Tenor,"-",_xlfn.NORM.S.DIST(($CE14-SQRT(ImpliedCorrelation)*CJ$3)/SQRT(1-ImpliedCorrelation),TRUE))</f>
        <v>0.50323852561764504</v>
      </c>
      <c r="CK14" s="353">
        <f ca="1">IF($AA14&gt;CDS.Tenor,"-",_xlfn.NORM.S.DIST(($CE14-SQRT(ImpliedCorrelation)*CK$3)/SQRT(1-ImpliedCorrelation),TRUE))</f>
        <v>0.37478402911094033</v>
      </c>
      <c r="CL14" s="353">
        <f ca="1">IF($AA14&gt;CDS.Tenor,"-",_xlfn.NORM.S.DIST(($CE14-SQRT(ImpliedCorrelation)*CL$3)/SQRT(1-ImpliedCorrelation),TRUE))</f>
        <v>0.25896620948293292</v>
      </c>
      <c r="CM14" s="353">
        <f ca="1">IF($AA14&gt;CDS.Tenor,"-",_xlfn.NORM.S.DIST(($CE14-SQRT(ImpliedCorrelation)*CM$3)/SQRT(1-ImpliedCorrelation),TRUE))</f>
        <v>0.16506237370024379</v>
      </c>
      <c r="CN14" s="353">
        <f ca="1">IF($AA14&gt;CDS.Tenor,"-",_xlfn.NORM.S.DIST(($CE14-SQRT(ImpliedCorrelation)*CN$3)/SQRT(1-ImpliedCorrelation),TRUE))</f>
        <v>9.6596803945259879E-2</v>
      </c>
      <c r="CO14" s="353">
        <f ca="1">IF($AA14&gt;CDS.Tenor,"-",_xlfn.NORM.S.DIST(($CE14-SQRT(ImpliedCorrelation)*CO$3)/SQRT(1-ImpliedCorrelation),TRUE))</f>
        <v>5.1707727105825323E-2</v>
      </c>
      <c r="CP14" s="353">
        <f ca="1">IF($AA14&gt;CDS.Tenor,"-",_xlfn.NORM.S.DIST(($CE14-SQRT(ImpliedCorrelation)*CP$3)/SQRT(1-ImpliedCorrelation),TRUE))</f>
        <v>2.5241817412536997E-2</v>
      </c>
      <c r="CQ14" s="353">
        <f ca="1">IF($AA14&gt;CDS.Tenor,"-",_xlfn.NORM.S.DIST(($CE14-SQRT(ImpliedCorrelation)*CQ$3)/SQRT(1-ImpliedCorrelation),TRUE))</f>
        <v>1.1210178894451008E-2</v>
      </c>
      <c r="CR14" s="353">
        <f ca="1">IF($AA14&gt;CDS.Tenor,"-",_xlfn.NORM.S.DIST(($CE14-SQRT(ImpliedCorrelation)*CR$3)/SQRT(1-ImpliedCorrelation),TRUE))</f>
        <v>4.5205407084651398E-3</v>
      </c>
      <c r="CS14" s="353">
        <f ca="1">IF($AA14&gt;CDS.Tenor,"-",_xlfn.NORM.S.DIST(($CE14-SQRT(ImpliedCorrelation)*CS$3)/SQRT(1-ImpliedCorrelation),TRUE))</f>
        <v>1.6526248829323814E-3</v>
      </c>
      <c r="CT14" s="353">
        <f ca="1">IF($AA14&gt;CDS.Tenor,"-",_xlfn.NORM.S.DIST(($CE14-SQRT(ImpliedCorrelation)*CT$3)/SQRT(1-ImpliedCorrelation),TRUE))</f>
        <v>5.47029674900265E-4</v>
      </c>
      <c r="CU14" s="353">
        <f ca="1">IF($AA14&gt;CDS.Tenor,"-",_xlfn.NORM.S.DIST(($CE14-SQRT(ImpliedCorrelation)*CU$3)/SQRT(1-ImpliedCorrelation),TRUE))</f>
        <v>1.6377458519591378E-4</v>
      </c>
      <c r="CV14" s="353">
        <f ca="1">IF($AA14&gt;CDS.Tenor,"-",_xlfn.NORM.S.DIST(($CE14-SQRT(ImpliedCorrelation)*CV$3)/SQRT(1-ImpliedCorrelation),TRUE))</f>
        <v>4.4310477262419216E-5</v>
      </c>
      <c r="CW14" s="353">
        <f ca="1">IF($AA14&gt;CDS.Tenor,"-",_xlfn.NORM.S.DIST(($CE14-SQRT(ImpliedCorrelation)*CW$3)/SQRT(1-ImpliedCorrelation),TRUE))</f>
        <v>1.0826268869391279E-5</v>
      </c>
      <c r="CX14" s="353">
        <f ca="1">IF($AA14&gt;CDS.Tenor,"-",_xlfn.NORM.S.DIST(($CE14-SQRT(ImpliedCorrelation)*CX$3)/SQRT(1-ImpliedCorrelation),TRUE))</f>
        <v>2.3872738395253989E-6</v>
      </c>
      <c r="CY14" s="353">
        <f ca="1">IF($AA14&gt;CDS.Tenor,"-",_xlfn.NORM.S.DIST(($CE14-SQRT(ImpliedCorrelation)*CY$3)/SQRT(1-ImpliedCorrelation),TRUE))</f>
        <v>4.7484953666657851E-7</v>
      </c>
      <c r="CZ14" s="353">
        <f ca="1">IF($AA14&gt;CDS.Tenor,"-",_xlfn.NORM.S.DIST(($CE14-SQRT(ImpliedCorrelation)*CZ$3)/SQRT(1-ImpliedCorrelation),TRUE))</f>
        <v>8.5163312703398089E-8</v>
      </c>
      <c r="DA14" s="353">
        <f ca="1">IF($AA14&gt;CDS.Tenor,"-",_xlfn.NORM.S.DIST(($CE14-SQRT(ImpliedCorrelation)*DA$3)/SQRT(1-ImpliedCorrelation),TRUE))</f>
        <v>1.3766746644491306E-8</v>
      </c>
      <c r="DB14" s="354">
        <f ca="1">IF($AA14&gt;CDS.Tenor,"-",_xlfn.NORM.S.DIST(($CE14-SQRT(ImpliedCorrelation)*DB$3)/SQRT(1-ImpliedCorrelation),TRUE))</f>
        <v>2.0051837432123245E-9</v>
      </c>
      <c r="DC14" s="340"/>
      <c r="DD14" s="358">
        <f t="shared" si="130"/>
        <v>2.5</v>
      </c>
      <c r="DE14" s="353">
        <f t="shared" ca="1" si="131"/>
        <v>0.25373844187519101</v>
      </c>
      <c r="DF14" s="353">
        <f t="shared" ca="1" si="132"/>
        <v>0.36864482507010665</v>
      </c>
      <c r="DG14" s="353">
        <f t="shared" ca="1" si="133"/>
        <v>0.49676147438235496</v>
      </c>
      <c r="DH14" s="353">
        <f t="shared" ca="1" si="134"/>
        <v>0.62521597088905967</v>
      </c>
      <c r="DI14" s="353">
        <f t="shared" ca="1" si="135"/>
        <v>0.74103379051706708</v>
      </c>
      <c r="DJ14" s="353">
        <f t="shared" ca="1" si="136"/>
        <v>0.83493762629975621</v>
      </c>
      <c r="DK14" s="353">
        <f t="shared" ca="1" si="137"/>
        <v>0.90340319605474018</v>
      </c>
      <c r="DL14" s="353">
        <f t="shared" ca="1" si="138"/>
        <v>0.94829227289417473</v>
      </c>
      <c r="DM14" s="353">
        <f t="shared" ca="1" si="139"/>
        <v>0.97475818258746305</v>
      </c>
      <c r="DN14" s="353">
        <f t="shared" ca="1" si="140"/>
        <v>0.98878982110554903</v>
      </c>
      <c r="DO14" s="353">
        <f t="shared" ca="1" si="141"/>
        <v>0.99547945929153481</v>
      </c>
      <c r="DP14" s="353">
        <f t="shared" ca="1" si="142"/>
        <v>0.99834737511706761</v>
      </c>
      <c r="DQ14" s="353">
        <f t="shared" ca="1" si="143"/>
        <v>0.99945297032509972</v>
      </c>
      <c r="DR14" s="353">
        <f t="shared" ca="1" si="144"/>
        <v>0.9998362254148041</v>
      </c>
      <c r="DS14" s="353">
        <f t="shared" ca="1" si="145"/>
        <v>0.99995568952273761</v>
      </c>
      <c r="DT14" s="353">
        <f t="shared" ca="1" si="146"/>
        <v>0.99998917373113061</v>
      </c>
      <c r="DU14" s="353">
        <f t="shared" ca="1" si="147"/>
        <v>0.9999976127261605</v>
      </c>
      <c r="DV14" s="353">
        <f t="shared" ca="1" si="148"/>
        <v>0.99999952515046331</v>
      </c>
      <c r="DW14" s="353">
        <f t="shared" ca="1" si="149"/>
        <v>0.99999991483668726</v>
      </c>
      <c r="DX14" s="353">
        <f t="shared" ca="1" si="150"/>
        <v>0.99999998623325337</v>
      </c>
      <c r="DY14" s="354">
        <f t="shared" ca="1" si="151"/>
        <v>0.9999999979948162</v>
      </c>
      <c r="DZ14" s="17"/>
      <c r="EA14" s="17"/>
      <c r="EB14" s="343" cm="1">
        <f t="array" aca="1" ref="EB14" ca="1">IF($AA14&gt;CDS.Tenor,"-",flatInterpolation(CC14,INDIRECT(HazardRateTimes3),INDIRECT(HazardRateValues3)))</f>
        <v>7.4999999999999997E-3</v>
      </c>
      <c r="EC14" s="10">
        <f t="shared" ca="1" si="152"/>
        <v>0.98142468774777725</v>
      </c>
      <c r="ED14" s="10">
        <f t="shared" ca="1" si="153"/>
        <v>1.8575312252222753E-2</v>
      </c>
      <c r="EE14" s="81">
        <f t="shared" ca="1" si="154"/>
        <v>-2.0841049213945411</v>
      </c>
      <c r="EF14" s="340"/>
      <c r="EG14" s="358">
        <f t="shared" si="155"/>
        <v>2.5</v>
      </c>
      <c r="EH14" s="353">
        <f ca="1">IF($AA14&gt;CDS.Tenor,"-",_xlfn.NORM.S.DIST(($EE14-SQRT(ImpliedCorrelation)*EH$3)/SQRT(1-ImpliedCorrelation),TRUE))</f>
        <v>0.78297689838672058</v>
      </c>
      <c r="EI14" s="353">
        <f ca="1">IF($AA14&gt;CDS.Tenor,"-",_xlfn.NORM.S.DIST(($EE14-SQRT(ImpliedCorrelation)*EI$3)/SQRT(1-ImpliedCorrelation),TRUE))</f>
        <v>0.67543088091124781</v>
      </c>
      <c r="EJ14" s="353">
        <f ca="1">IF($AA14&gt;CDS.Tenor,"-",_xlfn.NORM.S.DIST(($EE14-SQRT(ImpliedCorrelation)*EJ$3)/SQRT(1-ImpliedCorrelation),TRUE))</f>
        <v>0.55078023575023405</v>
      </c>
      <c r="EK14" s="353">
        <f ca="1">IF($AA14&gt;CDS.Tenor,"-",_xlfn.NORM.S.DIST(($EE14-SQRT(ImpliedCorrelation)*EK$3)/SQRT(1-ImpliedCorrelation),TRUE))</f>
        <v>0.4208599613302681</v>
      </c>
      <c r="EL14" s="353">
        <f ca="1">IF($AA14&gt;CDS.Tenor,"-",_xlfn.NORM.S.DIST(($EE14-SQRT(ImpliedCorrelation)*EL$3)/SQRT(1-ImpliedCorrelation),TRUE))</f>
        <v>0.29908956701495959</v>
      </c>
      <c r="EM14" s="353">
        <f ca="1">IF($AA14&gt;CDS.Tenor,"-",_xlfn.NORM.S.DIST(($EE14-SQRT(ImpliedCorrelation)*EM$3)/SQRT(1-ImpliedCorrelation),TRUE))</f>
        <v>0.19645619630059227</v>
      </c>
      <c r="EN14" s="353">
        <f ca="1">IF($AA14&gt;CDS.Tenor,"-",_xlfn.NORM.S.DIST(($EE14-SQRT(ImpliedCorrelation)*EN$3)/SQRT(1-ImpliedCorrelation),TRUE))</f>
        <v>0.11866744296587324</v>
      </c>
      <c r="EO14" s="353">
        <f ca="1">IF($AA14&gt;CDS.Tenor,"-",_xlfn.NORM.S.DIST(($EE14-SQRT(ImpliedCorrelation)*EO$3)/SQRT(1-ImpliedCorrelation),TRUE))</f>
        <v>6.5649222620332029E-2</v>
      </c>
      <c r="EP14" s="353">
        <f ca="1">IF($AA14&gt;CDS.Tenor,"-",_xlfn.NORM.S.DIST(($EE14-SQRT(ImpliedCorrelation)*EP$3)/SQRT(1-ImpliedCorrelation),TRUE))</f>
        <v>3.31545689807973E-2</v>
      </c>
      <c r="EQ14" s="353">
        <f ca="1">IF($AA14&gt;CDS.Tenor,"-",_xlfn.NORM.S.DIST(($EE14-SQRT(ImpliedCorrelation)*EQ$3)/SQRT(1-ImpliedCorrelation),TRUE))</f>
        <v>1.5245418848283572E-2</v>
      </c>
      <c r="ER14" s="353">
        <f ca="1">IF($AA14&gt;CDS.Tenor,"-",_xlfn.NORM.S.DIST(($EE14-SQRT(ImpliedCorrelation)*ER$3)/SQRT(1-ImpliedCorrelation),TRUE))</f>
        <v>6.3695317765910956E-3</v>
      </c>
      <c r="ES14" s="353">
        <f ca="1">IF($AA14&gt;CDS.Tenor,"-",_xlfn.NORM.S.DIST(($EE14-SQRT(ImpliedCorrelation)*ES$3)/SQRT(1-ImpliedCorrelation),TRUE))</f>
        <v>2.413868762895917E-3</v>
      </c>
      <c r="ET14" s="353">
        <f ca="1">IF($AA14&gt;CDS.Tenor,"-",_xlfn.NORM.S.DIST(($EE14-SQRT(ImpliedCorrelation)*ET$3)/SQRT(1-ImpliedCorrelation),TRUE))</f>
        <v>8.2863204004524614E-4</v>
      </c>
      <c r="EU14" s="353">
        <f ca="1">IF($AA14&gt;CDS.Tenor,"-",_xlfn.NORM.S.DIST(($EE14-SQRT(ImpliedCorrelation)*EU$3)/SQRT(1-ImpliedCorrelation),TRUE))</f>
        <v>2.5737379605885808E-4</v>
      </c>
      <c r="EV14" s="353">
        <f ca="1">IF($AA14&gt;CDS.Tenor,"-",_xlfn.NORM.S.DIST(($EE14-SQRT(ImpliedCorrelation)*EV$3)/SQRT(1-ImpliedCorrelation),TRUE))</f>
        <v>7.2263668489876853E-5</v>
      </c>
      <c r="EW14" s="353">
        <f ca="1">IF($AA14&gt;CDS.Tenor,"-",_xlfn.NORM.S.DIST(($EE14-SQRT(ImpliedCorrelation)*EW$3)/SQRT(1-ImpliedCorrelation),TRUE))</f>
        <v>1.8327176698737069E-5</v>
      </c>
      <c r="EX14" s="353">
        <f ca="1">IF($AA14&gt;CDS.Tenor,"-",_xlfn.NORM.S.DIST(($EE14-SQRT(ImpliedCorrelation)*EX$3)/SQRT(1-ImpliedCorrelation),TRUE))</f>
        <v>4.1957774711785874E-6</v>
      </c>
      <c r="EY14" s="353">
        <f ca="1">IF($AA14&gt;CDS.Tenor,"-",_xlfn.NORM.S.DIST(($EE14-SQRT(ImpliedCorrelation)*EY$3)/SQRT(1-ImpliedCorrelation),TRUE))</f>
        <v>8.6663467182172601E-7</v>
      </c>
      <c r="EZ14" s="353">
        <f ca="1">IF($AA14&gt;CDS.Tenor,"-",_xlfn.NORM.S.DIST(($EE14-SQRT(ImpliedCorrelation)*EZ$3)/SQRT(1-ImpliedCorrelation),TRUE))</f>
        <v>1.6142377226074297E-7</v>
      </c>
      <c r="FA14" s="353">
        <f ca="1">IF($AA14&gt;CDS.Tenor,"-",_xlfn.NORM.S.DIST(($EE14-SQRT(ImpliedCorrelation)*FA$3)/SQRT(1-ImpliedCorrelation),TRUE))</f>
        <v>2.7104222639587855E-8</v>
      </c>
      <c r="FB14" s="354">
        <f ca="1">IF($AA14&gt;CDS.Tenor,"-",_xlfn.NORM.S.DIST(($EE14-SQRT(ImpliedCorrelation)*FB$3)/SQRT(1-ImpliedCorrelation),TRUE))</f>
        <v>4.1010835559354245E-9</v>
      </c>
      <c r="FC14" s="340"/>
      <c r="FD14" s="358">
        <f t="shared" si="156"/>
        <v>2.5</v>
      </c>
      <c r="FE14" s="353">
        <f t="shared" ca="1" si="157"/>
        <v>0.21702310161327942</v>
      </c>
      <c r="FF14" s="353">
        <f t="shared" ca="1" si="158"/>
        <v>0.32456911908875219</v>
      </c>
      <c r="FG14" s="353">
        <f t="shared" ca="1" si="159"/>
        <v>0.44921976424976595</v>
      </c>
      <c r="FH14" s="353">
        <f t="shared" ca="1" si="160"/>
        <v>0.57914003866973185</v>
      </c>
      <c r="FI14" s="353">
        <f t="shared" ca="1" si="161"/>
        <v>0.70091043298504041</v>
      </c>
      <c r="FJ14" s="353">
        <f t="shared" ca="1" si="162"/>
        <v>0.8035438036994077</v>
      </c>
      <c r="FK14" s="353">
        <f t="shared" ca="1" si="163"/>
        <v>0.88133255703412672</v>
      </c>
      <c r="FL14" s="353">
        <f t="shared" ca="1" si="164"/>
        <v>0.93435077737966798</v>
      </c>
      <c r="FM14" s="353">
        <f t="shared" ca="1" si="165"/>
        <v>0.96684543101920273</v>
      </c>
      <c r="FN14" s="353">
        <f t="shared" ca="1" si="166"/>
        <v>0.98475458115171643</v>
      </c>
      <c r="FO14" s="353">
        <f t="shared" ca="1" si="167"/>
        <v>0.99363046822340895</v>
      </c>
      <c r="FP14" s="353">
        <f t="shared" ca="1" si="168"/>
        <v>0.99758613123710405</v>
      </c>
      <c r="FQ14" s="353">
        <f t="shared" ca="1" si="169"/>
        <v>0.99917136795995476</v>
      </c>
      <c r="FR14" s="353">
        <f t="shared" ca="1" si="170"/>
        <v>0.99974262620394116</v>
      </c>
      <c r="FS14" s="353">
        <f t="shared" ca="1" si="171"/>
        <v>0.99992773633151011</v>
      </c>
      <c r="FT14" s="353">
        <f t="shared" ca="1" si="172"/>
        <v>0.9999816728233013</v>
      </c>
      <c r="FU14" s="353">
        <f t="shared" ca="1" si="173"/>
        <v>0.99999580422252887</v>
      </c>
      <c r="FV14" s="353">
        <f t="shared" ca="1" si="174"/>
        <v>0.9999991333653282</v>
      </c>
      <c r="FW14" s="353">
        <f t="shared" ca="1" si="175"/>
        <v>0.99999983857622776</v>
      </c>
      <c r="FX14" s="353">
        <f t="shared" ca="1" si="176"/>
        <v>0.99999997289577736</v>
      </c>
      <c r="FY14" s="354">
        <f t="shared" ca="1" si="177"/>
        <v>0.99999999589891642</v>
      </c>
      <c r="GB14" s="358">
        <f t="shared" si="178"/>
        <v>2.5</v>
      </c>
      <c r="GC14" s="353">
        <f ca="1">IF($GB14&gt;CDS.Tenor,"-",BE14*DE14*FE14)</f>
        <v>1.5260571821070946E-2</v>
      </c>
      <c r="GD14" s="353">
        <f ca="1">IF($GB14&gt;CDS.Tenor,"-",BF14*DF14*FF14)</f>
        <v>4.736523212458682E-2</v>
      </c>
      <c r="GE14" s="353">
        <f ca="1">IF($GB14&gt;CDS.Tenor,"-",BG14*DG14*FG14)</f>
        <v>0.11720516573439661</v>
      </c>
      <c r="GF14" s="353">
        <f ca="1">IF($GB14&gt;CDS.Tenor,"-",BH14*DH14*FH14)</f>
        <v>0.23606192678485646</v>
      </c>
      <c r="GG14" s="353">
        <f ca="1">IF($GB14&gt;CDS.Tenor,"-",BI14*DI14*FI14)</f>
        <v>0.3966090993106971</v>
      </c>
      <c r="GH14" s="353">
        <f ca="1">IF($GB14&gt;CDS.Tenor,"-",BJ14*DJ14*FJ14)</f>
        <v>0.57164330942507358</v>
      </c>
      <c r="GI14" s="353">
        <f ca="1">IF($GB14&gt;CDS.Tenor,"-",BK14*DK14*FK14)</f>
        <v>0.7285662337925114</v>
      </c>
      <c r="GJ14" s="353">
        <f ca="1">IF($GB14&gt;CDS.Tenor,"-",BL14*DL14*FL14)</f>
        <v>0.84654175053632197</v>
      </c>
      <c r="GK14" s="353">
        <f ca="1">IF($GB14&gt;CDS.Tenor,"-",BM14*DM14*FM14)</f>
        <v>0.92234753358826749</v>
      </c>
      <c r="GL14" s="353">
        <f ca="1">IF($GB14&gt;CDS.Tenor,"-",BN14*DN14*FN14)</f>
        <v>0.96468629672047657</v>
      </c>
      <c r="GM14" s="353">
        <f ca="1">IF($GB14&gt;CDS.Tenor,"-",BO14*DO14*FO14)</f>
        <v>0.98551788664878914</v>
      </c>
      <c r="GN14" s="353">
        <f ca="1">IF($GB14&gt;CDS.Tenor,"-",BP14*DP14*FP14)</f>
        <v>0.99463312019949046</v>
      </c>
      <c r="GO14" s="353">
        <f ca="1">IF($GB14&gt;CDS.Tenor,"-",BQ14*DQ14*FQ14)</f>
        <v>0.99820120912772803</v>
      </c>
      <c r="GP14" s="353">
        <f ca="1">IF($GB14&gt;CDS.Tenor,"-",BR14*DR14*FR14)</f>
        <v>0.99945472025091531</v>
      </c>
      <c r="GQ14" s="353">
        <f ca="1">IF($GB14&gt;CDS.Tenor,"-",BS14*DS14*FS14)</f>
        <v>0.99985055986582139</v>
      </c>
      <c r="GR14" s="353">
        <f ca="1">IF($GB14&gt;CDS.Tenor,"-",BT14*DT14*FT14)</f>
        <v>0.99996299247543963</v>
      </c>
      <c r="GS14" s="353">
        <f ca="1">IF($GB14&gt;CDS.Tenor,"-",BU14*DU14*FU14)</f>
        <v>0.99999172342031417</v>
      </c>
      <c r="GT14" s="353">
        <f ca="1">IF($GB14&gt;CDS.Tenor,"-",BV14*DV14*FV14)</f>
        <v>0.99999832916202169</v>
      </c>
      <c r="GU14" s="353">
        <f ca="1">IF($GB14&gt;CDS.Tenor,"-",BW14*DW14*FW14)</f>
        <v>0.99999969566516944</v>
      </c>
      <c r="GV14" s="353">
        <f ca="1">IF($GB14&gt;CDS.Tenor,"-",BX14*DX14*FX14)</f>
        <v>0.99999995000352271</v>
      </c>
      <c r="GW14" s="354">
        <f ca="1">IF($GB14&gt;CDS.Tenor,"-",BY14*DY14*FY14)</f>
        <v>0.99999999259447447</v>
      </c>
      <c r="GX14" s="42"/>
      <c r="GY14" s="42"/>
      <c r="GZ14" s="358">
        <f t="shared" si="179"/>
        <v>2.5</v>
      </c>
      <c r="HA14" s="362">
        <f t="shared" ca="1" si="180"/>
        <v>0.95754061868087048</v>
      </c>
      <c r="HB14" s="363">
        <f t="shared" ca="1" si="181"/>
        <v>4.0611598105928515E-3</v>
      </c>
    </row>
    <row r="15" spans="2:231" x14ac:dyDescent="0.3">
      <c r="B15" s="116" t="s">
        <v>120</v>
      </c>
      <c r="D15" s="151">
        <f>-D14</f>
        <v>1</v>
      </c>
      <c r="H15" s="17"/>
      <c r="I15" s="370">
        <f t="shared" si="86"/>
        <v>2.75</v>
      </c>
      <c r="J15" s="371">
        <f t="shared" si="87"/>
        <v>-25000</v>
      </c>
      <c r="K15" s="348">
        <f t="shared" ca="1" si="88"/>
        <v>0.95351181185722933</v>
      </c>
      <c r="L15" s="348">
        <f t="shared" ca="1" si="89"/>
        <v>4.0288068236411512E-3</v>
      </c>
      <c r="M15" s="372" cm="1">
        <f t="array" ref="M15">IF($I15&gt;CDS.Tenor,"-",cubicInterpolation(CurveResults.Times,CurveResults.DFs,$I15))</f>
        <v>0.8880077026997103</v>
      </c>
      <c r="N15" s="371">
        <f t="shared" ca="1" si="90"/>
        <v>-21168.145838609416</v>
      </c>
      <c r="O15" s="371">
        <f t="shared" ca="1" si="91"/>
        <v>-44.720143651031194</v>
      </c>
      <c r="P15" s="373">
        <f t="shared" ca="1" si="92"/>
        <v>-21212.865982260446</v>
      </c>
      <c r="S15" s="370">
        <f t="shared" si="93"/>
        <v>2.75</v>
      </c>
      <c r="T15" s="371">
        <f t="shared" si="94"/>
        <v>6000000</v>
      </c>
      <c r="U15" s="348">
        <f ca="1">IF($I15&gt;CDS.Tenor,"-",HA15)</f>
        <v>0.95351181185722933</v>
      </c>
      <c r="V15" s="348">
        <f t="shared" ca="1" si="95"/>
        <v>4.0288068236411512E-3</v>
      </c>
      <c r="W15" s="372" cm="1">
        <f t="array" ref="W15">IF($S15&gt;CDS.Tenor,"-",cubicInterpolation(CurveResults.Times,CurveResults.DFs,$I15))</f>
        <v>0.8880077026997103</v>
      </c>
      <c r="X15" s="373">
        <f t="shared" ca="1" si="96"/>
        <v>21465.668952494972</v>
      </c>
      <c r="Z15" s="28"/>
      <c r="AA15" s="358">
        <f t="shared" si="97"/>
        <v>2.75</v>
      </c>
      <c r="AB15" s="343" cm="1">
        <f t="array" aca="1" ref="AB15" ca="1">IF($AA15&gt;CDS.Tenor,"-",flatInterpolation(Z15,INDIRECT(HazardRateTimes1),INDIRECT(HazardRateValues1)))</f>
        <v>5.0000000000000001E-3</v>
      </c>
      <c r="AC15" s="10">
        <f t="shared" ca="1" si="98"/>
        <v>0.98634409946704449</v>
      </c>
      <c r="AD15" s="10">
        <f t="shared" ca="1" si="99"/>
        <v>1.3655900532955512E-2</v>
      </c>
      <c r="AE15" s="81">
        <f t="shared" ca="1" si="100"/>
        <v>-2.2070323254021287</v>
      </c>
      <c r="AF15" s="28"/>
      <c r="AG15" s="358">
        <f t="shared" si="101"/>
        <v>2.75</v>
      </c>
      <c r="AH15" s="353">
        <f t="shared" ref="AH15:AQ24" ca="1" si="182">IF($AA15&gt;CDS.Tenor,"-",_xlfn.NORM.S.DIST(($AE15-SQRT(ImpliedCorrelation)*AH$3)/SQRT(1-ImpliedCorrelation),TRUE))</f>
        <v>0.73740323264151453</v>
      </c>
      <c r="AI15" s="353">
        <f t="shared" ca="1" si="182"/>
        <v>0.62097151878235746</v>
      </c>
      <c r="AJ15" s="353">
        <f t="shared" ca="1" si="182"/>
        <v>0.49230348691439046</v>
      </c>
      <c r="AK15" s="353">
        <f t="shared" ca="1" si="182"/>
        <v>0.36443828546948043</v>
      </c>
      <c r="AL15" s="353">
        <f t="shared" ca="1" si="182"/>
        <v>0.25017245243429348</v>
      </c>
      <c r="AM15" s="353">
        <f t="shared" ca="1" si="182"/>
        <v>0.15834717952998556</v>
      </c>
      <c r="AN15" s="353">
        <f t="shared" ca="1" si="182"/>
        <v>9.1989848113553513E-2</v>
      </c>
      <c r="AO15" s="353">
        <f t="shared" ca="1" si="182"/>
        <v>4.8868233572434347E-2</v>
      </c>
      <c r="AP15" s="353">
        <f t="shared" ca="1" si="182"/>
        <v>2.3669504138329224E-2</v>
      </c>
      <c r="AQ15" s="353">
        <f t="shared" ca="1" si="182"/>
        <v>1.0427995414195116E-2</v>
      </c>
      <c r="AR15" s="353">
        <f t="shared" ref="AR15:BB24" ca="1" si="183">IF($AA15&gt;CDS.Tenor,"-",_xlfn.NORM.S.DIST(($AE15-SQRT(ImpliedCorrelation)*AR$3)/SQRT(1-ImpliedCorrelation),TRUE))</f>
        <v>4.1709583088501544E-3</v>
      </c>
      <c r="AS15" s="353">
        <f t="shared" ca="1" si="183"/>
        <v>1.5122589100902211E-3</v>
      </c>
      <c r="AT15" s="353">
        <f t="shared" ca="1" si="183"/>
        <v>4.9639529662308119E-4</v>
      </c>
      <c r="AU15" s="353">
        <f t="shared" ca="1" si="183"/>
        <v>1.4736489113314704E-4</v>
      </c>
      <c r="AV15" s="353">
        <f t="shared" ca="1" si="183"/>
        <v>3.9532689571649246E-5</v>
      </c>
      <c r="AW15" s="353">
        <f t="shared" ca="1" si="183"/>
        <v>9.5765147689560358E-6</v>
      </c>
      <c r="AX15" s="353">
        <f t="shared" ca="1" si="183"/>
        <v>2.0935808003919014E-6</v>
      </c>
      <c r="AY15" s="353">
        <f t="shared" ca="1" si="183"/>
        <v>4.1284348241413967E-7</v>
      </c>
      <c r="AZ15" s="353">
        <f t="shared" ca="1" si="183"/>
        <v>7.3402268079674689E-8</v>
      </c>
      <c r="BA15" s="353">
        <f t="shared" ca="1" si="183"/>
        <v>1.1762602018705622E-8</v>
      </c>
      <c r="BB15" s="354">
        <f t="shared" ca="1" si="183"/>
        <v>1.698363805346902E-9</v>
      </c>
      <c r="BC15" s="28"/>
      <c r="BD15" s="358">
        <f t="shared" si="104"/>
        <v>2.75</v>
      </c>
      <c r="BE15" s="353">
        <f t="shared" ca="1" si="105"/>
        <v>0.26259676735848547</v>
      </c>
      <c r="BF15" s="353">
        <f t="shared" ca="1" si="106"/>
        <v>0.37902848121764254</v>
      </c>
      <c r="BG15" s="353">
        <f t="shared" ca="1" si="107"/>
        <v>0.50769651308560948</v>
      </c>
      <c r="BH15" s="353">
        <f t="shared" ca="1" si="108"/>
        <v>0.63556171453051957</v>
      </c>
      <c r="BI15" s="353">
        <f t="shared" ca="1" si="109"/>
        <v>0.74982754756570658</v>
      </c>
      <c r="BJ15" s="353">
        <f t="shared" ca="1" si="110"/>
        <v>0.84165282047001444</v>
      </c>
      <c r="BK15" s="353">
        <f t="shared" ca="1" si="111"/>
        <v>0.90801015188644651</v>
      </c>
      <c r="BL15" s="353">
        <f t="shared" ca="1" si="112"/>
        <v>0.95113176642756569</v>
      </c>
      <c r="BM15" s="353">
        <f t="shared" ca="1" si="113"/>
        <v>0.97633049586167076</v>
      </c>
      <c r="BN15" s="353">
        <f t="shared" ca="1" si="114"/>
        <v>0.98957200458580485</v>
      </c>
      <c r="BO15" s="353">
        <f t="shared" ca="1" si="115"/>
        <v>0.99582904169114983</v>
      </c>
      <c r="BP15" s="353">
        <f t="shared" ca="1" si="116"/>
        <v>0.99848774108990979</v>
      </c>
      <c r="BQ15" s="353">
        <f t="shared" ca="1" si="117"/>
        <v>0.99950360470337696</v>
      </c>
      <c r="BR15" s="353">
        <f t="shared" ca="1" si="118"/>
        <v>0.99985263510886691</v>
      </c>
      <c r="BS15" s="353">
        <f t="shared" ca="1" si="119"/>
        <v>0.99996046731042831</v>
      </c>
      <c r="BT15" s="353">
        <f t="shared" ca="1" si="120"/>
        <v>0.99999042348523104</v>
      </c>
      <c r="BU15" s="353">
        <f t="shared" ca="1" si="121"/>
        <v>0.99999790641919961</v>
      </c>
      <c r="BV15" s="353">
        <f t="shared" ca="1" si="122"/>
        <v>0.9999995871565176</v>
      </c>
      <c r="BW15" s="353">
        <f t="shared" ca="1" si="123"/>
        <v>0.99999992659773196</v>
      </c>
      <c r="BX15" s="353">
        <f t="shared" ca="1" si="124"/>
        <v>0.999999988237398</v>
      </c>
      <c r="BY15" s="354">
        <f t="shared" ca="1" si="125"/>
        <v>0.99999999830163622</v>
      </c>
      <c r="BZ15" s="17"/>
      <c r="CA15" s="17"/>
      <c r="CB15" s="343" cm="1">
        <f t="array" aca="1" ref="CB15" ca="1">IF($AA15&gt;CDS.Tenor,"-",flatInterpolation(AA15,INDIRECT(HazardRateTimes2),INDIRECT(HazardRateValues2)))</f>
        <v>5.8333333333333336E-3</v>
      </c>
      <c r="CC15" s="10">
        <f t="shared" ca="1" si="126"/>
        <v>0.98408631560454818</v>
      </c>
      <c r="CD15" s="10">
        <f t="shared" ca="1" si="127"/>
        <v>1.5913684395451821E-2</v>
      </c>
      <c r="CE15" s="81">
        <f t="shared" ca="1" si="128"/>
        <v>-2.146572028052919</v>
      </c>
      <c r="CF15" s="28"/>
      <c r="CG15" s="358">
        <f t="shared" si="129"/>
        <v>2.75</v>
      </c>
      <c r="CH15" s="353">
        <f t="shared" ref="CH15:CQ24" ca="1" si="184">IF($AA15&gt;CDS.Tenor,"-",_xlfn.NORM.S.DIST(($CE15-SQRT(ImpliedCorrelation)*CH$3)/SQRT(1-ImpliedCorrelation),TRUE))</f>
        <v>0.76041062427488959</v>
      </c>
      <c r="CI15" s="353">
        <f t="shared" ca="1" si="184"/>
        <v>0.64813759990344755</v>
      </c>
      <c r="CJ15" s="353">
        <f t="shared" ca="1" si="184"/>
        <v>0.52112224720546729</v>
      </c>
      <c r="CK15" s="353">
        <f t="shared" ca="1" si="184"/>
        <v>0.39190535267166166</v>
      </c>
      <c r="CL15" s="353">
        <f t="shared" ca="1" si="184"/>
        <v>0.27369248826345205</v>
      </c>
      <c r="CM15" s="353">
        <f t="shared" ca="1" si="184"/>
        <v>0.17644192005274231</v>
      </c>
      <c r="CN15" s="353">
        <f t="shared" ca="1" si="184"/>
        <v>0.1044969137659562</v>
      </c>
      <c r="CO15" s="353">
        <f t="shared" ca="1" si="184"/>
        <v>5.6635124111269343E-2</v>
      </c>
      <c r="CP15" s="353">
        <f t="shared" ca="1" si="184"/>
        <v>2.8002892570717725E-2</v>
      </c>
      <c r="CQ15" s="353">
        <f t="shared" ca="1" si="184"/>
        <v>1.2600180006181839E-2</v>
      </c>
      <c r="CR15" s="353">
        <f t="shared" ref="CR15:DB24" ca="1" si="185">IF($AA15&gt;CDS.Tenor,"-",_xlfn.NORM.S.DIST(($CE15-SQRT(ImpliedCorrelation)*CR$3)/SQRT(1-ImpliedCorrelation),TRUE))</f>
        <v>5.1492187785205654E-3</v>
      </c>
      <c r="CS15" s="353">
        <f t="shared" ca="1" si="185"/>
        <v>1.9080818303958162E-3</v>
      </c>
      <c r="CT15" s="353">
        <f t="shared" ca="1" si="185"/>
        <v>6.4028708867774117E-4</v>
      </c>
      <c r="CU15" s="353">
        <f t="shared" ca="1" si="185"/>
        <v>1.9436076638008006E-4</v>
      </c>
      <c r="CV15" s="353">
        <f t="shared" ca="1" si="185"/>
        <v>5.3322937983374547E-5</v>
      </c>
      <c r="CW15" s="353">
        <f t="shared" ca="1" si="185"/>
        <v>1.3212089280828886E-5</v>
      </c>
      <c r="CX15" s="353">
        <f t="shared" ca="1" si="185"/>
        <v>2.9546986866178292E-6</v>
      </c>
      <c r="CY15" s="353">
        <f t="shared" ca="1" si="185"/>
        <v>5.9609211995627203E-7</v>
      </c>
      <c r="CZ15" s="353">
        <f t="shared" ca="1" si="185"/>
        <v>1.0843769926199744E-7</v>
      </c>
      <c r="DA15" s="353">
        <f t="shared" ca="1" si="185"/>
        <v>1.7780748163285626E-8</v>
      </c>
      <c r="DB15" s="354">
        <f t="shared" ca="1" si="185"/>
        <v>2.6271302694528862E-9</v>
      </c>
      <c r="DC15" s="28"/>
      <c r="DD15" s="358">
        <f t="shared" si="130"/>
        <v>2.75</v>
      </c>
      <c r="DE15" s="353">
        <f t="shared" ca="1" si="131"/>
        <v>0.23958937572511041</v>
      </c>
      <c r="DF15" s="353">
        <f t="shared" ca="1" si="132"/>
        <v>0.35186240009655245</v>
      </c>
      <c r="DG15" s="353">
        <f t="shared" ca="1" si="133"/>
        <v>0.47887775279453271</v>
      </c>
      <c r="DH15" s="353">
        <f t="shared" ca="1" si="134"/>
        <v>0.6080946473283384</v>
      </c>
      <c r="DI15" s="353">
        <f t="shared" ca="1" si="135"/>
        <v>0.72630751173654795</v>
      </c>
      <c r="DJ15" s="353">
        <f t="shared" ca="1" si="136"/>
        <v>0.82355807994725772</v>
      </c>
      <c r="DK15" s="353">
        <f t="shared" ca="1" si="137"/>
        <v>0.89550308623404384</v>
      </c>
      <c r="DL15" s="353">
        <f t="shared" ca="1" si="138"/>
        <v>0.94336487588873064</v>
      </c>
      <c r="DM15" s="353">
        <f t="shared" ca="1" si="139"/>
        <v>0.97199710742928225</v>
      </c>
      <c r="DN15" s="353">
        <f t="shared" ca="1" si="140"/>
        <v>0.98739981999381821</v>
      </c>
      <c r="DO15" s="353">
        <f t="shared" ca="1" si="141"/>
        <v>0.99485078122147941</v>
      </c>
      <c r="DP15" s="353">
        <f t="shared" ca="1" si="142"/>
        <v>0.99809191816960419</v>
      </c>
      <c r="DQ15" s="353">
        <f t="shared" ca="1" si="143"/>
        <v>0.99935971291132231</v>
      </c>
      <c r="DR15" s="353">
        <f t="shared" ca="1" si="144"/>
        <v>0.99980563923361987</v>
      </c>
      <c r="DS15" s="353">
        <f t="shared" ca="1" si="145"/>
        <v>0.99994667706201668</v>
      </c>
      <c r="DT15" s="353">
        <f t="shared" ca="1" si="146"/>
        <v>0.99998678791071915</v>
      </c>
      <c r="DU15" s="353">
        <f t="shared" ca="1" si="147"/>
        <v>0.99999704530131339</v>
      </c>
      <c r="DV15" s="353">
        <f t="shared" ca="1" si="148"/>
        <v>0.99999940390788</v>
      </c>
      <c r="DW15" s="353">
        <f t="shared" ca="1" si="149"/>
        <v>0.99999989156230074</v>
      </c>
      <c r="DX15" s="353">
        <f t="shared" ca="1" si="150"/>
        <v>0.99999998221925179</v>
      </c>
      <c r="DY15" s="354">
        <f t="shared" ca="1" si="151"/>
        <v>0.99999999737286971</v>
      </c>
      <c r="DZ15" s="17"/>
      <c r="EA15" s="17"/>
      <c r="EB15" s="343" cm="1">
        <f t="array" aca="1" ref="EB15" ca="1">IF($AA15&gt;CDS.Tenor,"-",flatInterpolation(CC15,INDIRECT(HazardRateTimes3),INDIRECT(HazardRateValues3)))</f>
        <v>7.4999999999999997E-3</v>
      </c>
      <c r="EC15" s="10">
        <f t="shared" ca="1" si="152"/>
        <v>0.97958624054111398</v>
      </c>
      <c r="ED15" s="10">
        <f t="shared" ca="1" si="153"/>
        <v>2.0413759458886016E-2</v>
      </c>
      <c r="EE15" s="81">
        <f t="shared" ca="1" si="154"/>
        <v>-2.0452773855968811</v>
      </c>
      <c r="EF15" s="28"/>
      <c r="EG15" s="358">
        <f t="shared" si="155"/>
        <v>2.75</v>
      </c>
      <c r="EH15" s="353">
        <f t="shared" ref="EH15:EQ24" ca="1" si="186">IF($AA15&gt;CDS.Tenor,"-",_xlfn.NORM.S.DIST(($EE15-SQRT(ImpliedCorrelation)*EH$3)/SQRT(1-ImpliedCorrelation),TRUE))</f>
        <v>0.79636129634387576</v>
      </c>
      <c r="EI15" s="353">
        <f t="shared" ca="1" si="186"/>
        <v>0.69194373636450113</v>
      </c>
      <c r="EJ15" s="353">
        <f t="shared" ca="1" si="186"/>
        <v>0.56908323729233368</v>
      </c>
      <c r="EK15" s="353">
        <f t="shared" ca="1" si="186"/>
        <v>0.43908629229696822</v>
      </c>
      <c r="EL15" s="353">
        <f t="shared" ca="1" si="186"/>
        <v>0.31539577536213398</v>
      </c>
      <c r="EM15" s="353">
        <f t="shared" ca="1" si="186"/>
        <v>0.2095625993901197</v>
      </c>
      <c r="EN15" s="353">
        <f t="shared" ca="1" si="186"/>
        <v>0.12813179427275084</v>
      </c>
      <c r="EO15" s="353">
        <f t="shared" ca="1" si="186"/>
        <v>7.1789316085397195E-2</v>
      </c>
      <c r="EP15" s="353">
        <f t="shared" ca="1" si="186"/>
        <v>3.6733356454634006E-2</v>
      </c>
      <c r="EQ15" s="353">
        <f t="shared" ca="1" si="186"/>
        <v>1.7119436300787768E-2</v>
      </c>
      <c r="ER15" s="353">
        <f t="shared" ref="ER15:FB24" ca="1" si="187">IF($AA15&gt;CDS.Tenor,"-",_xlfn.NORM.S.DIST(($EE15-SQRT(ImpliedCorrelation)*ER$3)/SQRT(1-ImpliedCorrelation),TRUE))</f>
        <v>7.251165407405339E-3</v>
      </c>
      <c r="ES15" s="353">
        <f t="shared" ca="1" si="187"/>
        <v>2.7865001723672124E-3</v>
      </c>
      <c r="ET15" s="353">
        <f t="shared" ca="1" si="187"/>
        <v>9.7012914750029314E-4</v>
      </c>
      <c r="EU15" s="353">
        <f t="shared" ca="1" si="187"/>
        <v>3.0564548061055863E-4</v>
      </c>
      <c r="EV15" s="353">
        <f t="shared" ca="1" si="187"/>
        <v>8.7058640092269071E-5</v>
      </c>
      <c r="EW15" s="353">
        <f t="shared" ca="1" si="187"/>
        <v>2.2401097699527435E-5</v>
      </c>
      <c r="EX15" s="353">
        <f t="shared" ca="1" si="187"/>
        <v>5.2036087994392601E-6</v>
      </c>
      <c r="EY15" s="353">
        <f t="shared" ca="1" si="187"/>
        <v>1.0906304776573212E-6</v>
      </c>
      <c r="EZ15" s="353">
        <f t="shared" ca="1" si="187"/>
        <v>2.0615066186305954E-7</v>
      </c>
      <c r="FA15" s="353">
        <f t="shared" ca="1" si="187"/>
        <v>3.5127915283127259E-8</v>
      </c>
      <c r="FB15" s="354">
        <f t="shared" ca="1" si="187"/>
        <v>5.3942566008348338E-9</v>
      </c>
      <c r="FC15" s="28"/>
      <c r="FD15" s="358">
        <f t="shared" si="156"/>
        <v>2.75</v>
      </c>
      <c r="FE15" s="353">
        <f t="shared" ca="1" si="157"/>
        <v>0.20363870365612424</v>
      </c>
      <c r="FF15" s="353">
        <f t="shared" ca="1" si="158"/>
        <v>0.30805626363549887</v>
      </c>
      <c r="FG15" s="353">
        <f t="shared" ca="1" si="159"/>
        <v>0.43091676270766632</v>
      </c>
      <c r="FH15" s="353">
        <f t="shared" ca="1" si="160"/>
        <v>0.56091370770303173</v>
      </c>
      <c r="FI15" s="353">
        <f t="shared" ca="1" si="161"/>
        <v>0.68460422463786608</v>
      </c>
      <c r="FJ15" s="353">
        <f t="shared" ca="1" si="162"/>
        <v>0.79043740060988033</v>
      </c>
      <c r="FK15" s="353">
        <f t="shared" ca="1" si="163"/>
        <v>0.8718682057272491</v>
      </c>
      <c r="FL15" s="353">
        <f t="shared" ca="1" si="164"/>
        <v>0.92821068391460282</v>
      </c>
      <c r="FM15" s="353">
        <f t="shared" ca="1" si="165"/>
        <v>0.96326664354536595</v>
      </c>
      <c r="FN15" s="353">
        <f t="shared" ca="1" si="166"/>
        <v>0.98288056369921228</v>
      </c>
      <c r="FO15" s="353">
        <f t="shared" ca="1" si="167"/>
        <v>0.99274883459259466</v>
      </c>
      <c r="FP15" s="353">
        <f t="shared" ca="1" si="168"/>
        <v>0.99721349982763274</v>
      </c>
      <c r="FQ15" s="353">
        <f t="shared" ca="1" si="169"/>
        <v>0.99902987085249972</v>
      </c>
      <c r="FR15" s="353">
        <f t="shared" ca="1" si="170"/>
        <v>0.99969435451938948</v>
      </c>
      <c r="FS15" s="353">
        <f t="shared" ca="1" si="171"/>
        <v>0.99991294135990771</v>
      </c>
      <c r="FT15" s="353">
        <f t="shared" ca="1" si="172"/>
        <v>0.99997759890230042</v>
      </c>
      <c r="FU15" s="353">
        <f t="shared" ca="1" si="173"/>
        <v>0.99999479639120059</v>
      </c>
      <c r="FV15" s="353">
        <f t="shared" ca="1" si="174"/>
        <v>0.99999890936952229</v>
      </c>
      <c r="FW15" s="353">
        <f t="shared" ca="1" si="175"/>
        <v>0.99999979384933813</v>
      </c>
      <c r="FX15" s="353">
        <f t="shared" ca="1" si="176"/>
        <v>0.99999996487208476</v>
      </c>
      <c r="FY15" s="354">
        <f t="shared" ca="1" si="177"/>
        <v>0.9999999946057434</v>
      </c>
      <c r="GB15" s="358">
        <f t="shared" si="178"/>
        <v>2.75</v>
      </c>
      <c r="GC15" s="353">
        <f ca="1">IF($GB15&gt;CDS.Tenor,"-",BE15*DE15*FE15)</f>
        <v>1.2812009591616814E-2</v>
      </c>
      <c r="GD15" s="353">
        <f ca="1">IF($GB15&gt;CDS.Tenor,"-",BF15*DF15*FF15)</f>
        <v>4.1084191949466657E-2</v>
      </c>
      <c r="GE15" s="353">
        <f ca="1">IF($GB15&gt;CDS.Tenor,"-",BG15*DG15*FG15)</f>
        <v>0.10476645060863807</v>
      </c>
      <c r="GF15" s="353">
        <f ca="1">IF($GB15&gt;CDS.Tenor,"-",BH15*DH15*FH15)</f>
        <v>0.21678287021062334</v>
      </c>
      <c r="GG15" s="353">
        <f ca="1">IF($GB15&gt;CDS.Tenor,"-",BI15*DI15*FI15)</f>
        <v>0.37283914411660712</v>
      </c>
      <c r="GH15" s="353">
        <f ca="1">IF($GB15&gt;CDS.Tenor,"-",BJ15*DJ15*FJ15)</f>
        <v>0.54789166906304265</v>
      </c>
      <c r="GI15" s="353">
        <f ca="1">IF($GB15&gt;CDS.Tenor,"-",BK15*DK15*FK15)</f>
        <v>0.70893861366207944</v>
      </c>
      <c r="GJ15" s="353">
        <f ca="1">IF($GB15&gt;CDS.Tenor,"-",BL15*DL15*FL15)</f>
        <v>0.83285031028822998</v>
      </c>
      <c r="GK15" s="353">
        <f ca="1">IF($GB15&gt;CDS.Tenor,"-",BM15*DM15*FM15)</f>
        <v>0.91413081458079659</v>
      </c>
      <c r="GL15" s="353">
        <f ca="1">IF($GB15&gt;CDS.Tenor,"-",BN15*DN15*FN15)</f>
        <v>0.96037576287857462</v>
      </c>
      <c r="GM15" s="353">
        <f ca="1">IF($GB15&gt;CDS.Tenor,"-",BO15*DO15*FO15)</f>
        <v>0.98351756109319721</v>
      </c>
      <c r="GN15" s="353">
        <f ca="1">IF($GB15&gt;CDS.Tenor,"-",BP15*DP15*FP15)</f>
        <v>0.99380556734047421</v>
      </c>
      <c r="GO15" s="353">
        <f ca="1">IF($GB15&gt;CDS.Tenor,"-",BQ15*DQ15*FQ15)</f>
        <v>0.99789460872307023</v>
      </c>
      <c r="GP15" s="353">
        <f ca="1">IF($GB15&gt;CDS.Tenor,"-",BR15*DR15*FR15)</f>
        <v>0.99935276194197797</v>
      </c>
      <c r="GQ15" s="353">
        <f ca="1">IF($GB15&gt;CDS.Tenor,"-",BS15*DS15*FS15)</f>
        <v>0.99982009592405297</v>
      </c>
      <c r="GR15" s="353">
        <f ca="1">IF($GB15&gt;CDS.Tenor,"-",BT15*DT15*FT15)</f>
        <v>0.99995481093526328</v>
      </c>
      <c r="GS15" s="353">
        <f ca="1">IF($GB15&gt;CDS.Tenor,"-",BU15*DU15*FU15)</f>
        <v>0.99998974814416874</v>
      </c>
      <c r="GT15" s="353">
        <f ca="1">IF($GB15&gt;CDS.Tenor,"-",BV15*DV15*FV15)</f>
        <v>0.99999790043526637</v>
      </c>
      <c r="GU15" s="353">
        <f ca="1">IF($GB15&gt;CDS.Tenor,"-",BW15*DW15*FW15)</f>
        <v>0.99999961200941634</v>
      </c>
      <c r="GV15" s="353">
        <f ca="1">IF($GB15&gt;CDS.Tenor,"-",BX15*DX15*FX15)</f>
        <v>0.99999993532873577</v>
      </c>
      <c r="GW15" s="354">
        <f ca="1">IF($GB15&gt;CDS.Tenor,"-",BY15*DY15*FY15)</f>
        <v>0.99999999028024933</v>
      </c>
      <c r="GX15" s="42"/>
      <c r="GY15" s="42"/>
      <c r="GZ15" s="358">
        <f t="shared" si="179"/>
        <v>2.75</v>
      </c>
      <c r="HA15" s="362">
        <f t="shared" ca="1" si="180"/>
        <v>0.95351181185722933</v>
      </c>
      <c r="HB15" s="363">
        <f t="shared" ca="1" si="181"/>
        <v>4.0288068236411512E-3</v>
      </c>
    </row>
    <row r="16" spans="2:231" x14ac:dyDescent="0.3">
      <c r="B16" s="116" t="s">
        <v>117</v>
      </c>
      <c r="D16" s="152">
        <f>D9/10000</f>
        <v>0.01</v>
      </c>
      <c r="F16" s="1" t="s">
        <v>346</v>
      </c>
      <c r="H16" s="17"/>
      <c r="I16" s="370">
        <f t="shared" si="86"/>
        <v>3</v>
      </c>
      <c r="J16" s="371">
        <f t="shared" si="87"/>
        <v>-25000</v>
      </c>
      <c r="K16" s="348">
        <f t="shared" ca="1" si="88"/>
        <v>0.94951416333577721</v>
      </c>
      <c r="L16" s="348">
        <f t="shared" ca="1" si="89"/>
        <v>3.997648521452124E-3</v>
      </c>
      <c r="M16" s="372" cm="1">
        <f t="array" ref="M16">IF($I16&gt;CDS.Tenor,"-",cubicInterpolation(CurveResults.Times,CurveResults.DFs,$I16))</f>
        <v>0.87931148332785924</v>
      </c>
      <c r="N16" s="371">
        <f t="shared" ca="1" si="90"/>
        <v>-20872.96768508984</v>
      </c>
      <c r="O16" s="371">
        <f t="shared" ca="1" si="91"/>
        <v>-43.939728140268627</v>
      </c>
      <c r="P16" s="373">
        <f t="shared" ca="1" si="92"/>
        <v>-20916.907413230107</v>
      </c>
      <c r="S16" s="370">
        <f t="shared" si="93"/>
        <v>3</v>
      </c>
      <c r="T16" s="371">
        <f t="shared" si="94"/>
        <v>6000000</v>
      </c>
      <c r="U16" s="348">
        <f ca="1">IF($I16&gt;CDS.Tenor,"-",HA16)</f>
        <v>0.94951416333577721</v>
      </c>
      <c r="V16" s="348">
        <f t="shared" ca="1" si="95"/>
        <v>3.997648521452124E-3</v>
      </c>
      <c r="W16" s="372" cm="1">
        <f t="array" ref="W16">IF($S16&gt;CDS.Tenor,"-",cubicInterpolation(CurveResults.Times,CurveResults.DFs,$I16))</f>
        <v>0.87931148332785924</v>
      </c>
      <c r="X16" s="373">
        <f t="shared" ca="1" si="96"/>
        <v>21091.069507328943</v>
      </c>
      <c r="Z16" s="17"/>
      <c r="AA16" s="358">
        <f t="shared" si="97"/>
        <v>3</v>
      </c>
      <c r="AB16" s="343" cm="1">
        <f t="array" aca="1" ref="AB16" ca="1">IF($AA16&gt;CDS.Tenor,"-",flatInterpolation(Z16,INDIRECT(HazardRateTimes1),INDIRECT(HazardRateValues1)))</f>
        <v>5.0000000000000001E-3</v>
      </c>
      <c r="AC16" s="10">
        <f t="shared" ca="1" si="98"/>
        <v>0.9851119396030632</v>
      </c>
      <c r="AD16" s="10">
        <f t="shared" ca="1" si="99"/>
        <v>1.4888060396936798E-2</v>
      </c>
      <c r="AE16" s="81">
        <f t="shared" ca="1" si="100"/>
        <v>-2.1730557604645537</v>
      </c>
      <c r="AF16" s="17"/>
      <c r="AG16" s="358">
        <f t="shared" si="101"/>
        <v>3</v>
      </c>
      <c r="AH16" s="353">
        <f t="shared" ca="1" si="182"/>
        <v>0.75047013441501553</v>
      </c>
      <c r="AI16" s="353">
        <f t="shared" ca="1" si="182"/>
        <v>0.63632136813273632</v>
      </c>
      <c r="AJ16" s="353">
        <f t="shared" ca="1" si="182"/>
        <v>0.50850331669789972</v>
      </c>
      <c r="AK16" s="353">
        <f t="shared" ca="1" si="182"/>
        <v>0.37979830004908222</v>
      </c>
      <c r="AL16" s="353">
        <f t="shared" ca="1" si="182"/>
        <v>0.26325666669480008</v>
      </c>
      <c r="AM16" s="353">
        <f t="shared" ca="1" si="182"/>
        <v>0.16836050907387401</v>
      </c>
      <c r="AN16" s="353">
        <f t="shared" ca="1" si="182"/>
        <v>9.887453531806735E-2</v>
      </c>
      <c r="AO16" s="353">
        <f t="shared" ca="1" si="182"/>
        <v>5.3120933694954395E-2</v>
      </c>
      <c r="AP16" s="353">
        <f t="shared" ca="1" si="182"/>
        <v>2.6029548395622996E-2</v>
      </c>
      <c r="AQ16" s="353">
        <f t="shared" ca="1" si="182"/>
        <v>1.1604653749391947E-2</v>
      </c>
      <c r="AR16" s="353">
        <f t="shared" ca="1" si="183"/>
        <v>4.6980127097009444E-3</v>
      </c>
      <c r="AS16" s="353">
        <f t="shared" ca="1" si="183"/>
        <v>1.7243563134346016E-3</v>
      </c>
      <c r="AT16" s="353">
        <f t="shared" ca="1" si="183"/>
        <v>5.7307670793609196E-4</v>
      </c>
      <c r="AU16" s="353">
        <f t="shared" ca="1" si="183"/>
        <v>1.7227179132440099E-4</v>
      </c>
      <c r="AV16" s="353">
        <f t="shared" ca="1" si="183"/>
        <v>4.6800843215221143E-5</v>
      </c>
      <c r="AW16" s="353">
        <f t="shared" ca="1" si="183"/>
        <v>1.1481990198570419E-5</v>
      </c>
      <c r="AX16" s="353">
        <f t="shared" ca="1" si="183"/>
        <v>2.5423855455689152E-6</v>
      </c>
      <c r="AY16" s="353">
        <f t="shared" ca="1" si="183"/>
        <v>5.0781346508196046E-7</v>
      </c>
      <c r="AZ16" s="353">
        <f t="shared" ca="1" si="183"/>
        <v>9.1456961056823417E-8</v>
      </c>
      <c r="BA16" s="353">
        <f t="shared" ca="1" si="183"/>
        <v>1.4846277621678556E-8</v>
      </c>
      <c r="BB16" s="354">
        <f t="shared" ca="1" si="183"/>
        <v>2.1715391297431565E-9</v>
      </c>
      <c r="BC16" s="17"/>
      <c r="BD16" s="358">
        <f t="shared" si="104"/>
        <v>3</v>
      </c>
      <c r="BE16" s="353">
        <f t="shared" ca="1" si="105"/>
        <v>0.24952986558498447</v>
      </c>
      <c r="BF16" s="353">
        <f t="shared" ca="1" si="106"/>
        <v>0.36367863186726368</v>
      </c>
      <c r="BG16" s="353">
        <f t="shared" ca="1" si="107"/>
        <v>0.49149668330210028</v>
      </c>
      <c r="BH16" s="353">
        <f t="shared" ca="1" si="108"/>
        <v>0.62020169995091778</v>
      </c>
      <c r="BI16" s="353">
        <f t="shared" ca="1" si="109"/>
        <v>0.73674333330519992</v>
      </c>
      <c r="BJ16" s="353">
        <f t="shared" ca="1" si="110"/>
        <v>0.83163949092612599</v>
      </c>
      <c r="BK16" s="353">
        <f t="shared" ca="1" si="111"/>
        <v>0.90112546468193266</v>
      </c>
      <c r="BL16" s="353">
        <f t="shared" ca="1" si="112"/>
        <v>0.94687906630504559</v>
      </c>
      <c r="BM16" s="353">
        <f t="shared" ca="1" si="113"/>
        <v>0.97397045160437701</v>
      </c>
      <c r="BN16" s="353">
        <f t="shared" ca="1" si="114"/>
        <v>0.9883953462506081</v>
      </c>
      <c r="BO16" s="353">
        <f t="shared" ca="1" si="115"/>
        <v>0.99530198729029906</v>
      </c>
      <c r="BP16" s="353">
        <f t="shared" ca="1" si="116"/>
        <v>0.99827564368656541</v>
      </c>
      <c r="BQ16" s="353">
        <f t="shared" ca="1" si="117"/>
        <v>0.99942692329206395</v>
      </c>
      <c r="BR16" s="353">
        <f t="shared" ca="1" si="118"/>
        <v>0.9998277282086756</v>
      </c>
      <c r="BS16" s="353">
        <f t="shared" ca="1" si="119"/>
        <v>0.99995319915678482</v>
      </c>
      <c r="BT16" s="353">
        <f t="shared" ca="1" si="120"/>
        <v>0.99998851800980137</v>
      </c>
      <c r="BU16" s="353">
        <f t="shared" ca="1" si="121"/>
        <v>0.99999745761445447</v>
      </c>
      <c r="BV16" s="353">
        <f t="shared" ca="1" si="122"/>
        <v>0.99999949218653494</v>
      </c>
      <c r="BW16" s="353">
        <f t="shared" ca="1" si="123"/>
        <v>0.999999908543039</v>
      </c>
      <c r="BX16" s="353">
        <f t="shared" ca="1" si="124"/>
        <v>0.99999998515372235</v>
      </c>
      <c r="BY16" s="354">
        <f t="shared" ca="1" si="125"/>
        <v>0.99999999782846083</v>
      </c>
      <c r="BZ16" s="17"/>
      <c r="CA16" s="17"/>
      <c r="CB16" s="343" cm="1">
        <f t="array" aca="1" ref="CB16" ca="1">IF($AA16&gt;CDS.Tenor,"-",flatInterpolation(AA16,INDIRECT(HazardRateTimes2),INDIRECT(HazardRateValues2)))</f>
        <v>5.8333333333333336E-3</v>
      </c>
      <c r="CC16" s="10">
        <f t="shared" ca="1" si="126"/>
        <v>0.9826522356650732</v>
      </c>
      <c r="CD16" s="10">
        <f t="shared" ca="1" si="127"/>
        <v>1.7347764334926796E-2</v>
      </c>
      <c r="CE16" s="81">
        <f t="shared" ca="1" si="128"/>
        <v>-2.111894157010922</v>
      </c>
      <c r="CF16" s="17"/>
      <c r="CG16" s="358">
        <f t="shared" si="129"/>
        <v>3</v>
      </c>
      <c r="CH16" s="353">
        <f t="shared" ca="1" si="184"/>
        <v>0.77309310606151671</v>
      </c>
      <c r="CI16" s="353">
        <f t="shared" ca="1" si="184"/>
        <v>0.66339449635069569</v>
      </c>
      <c r="CJ16" s="353">
        <f t="shared" ca="1" si="184"/>
        <v>0.53761158668344255</v>
      </c>
      <c r="CK16" s="353">
        <f t="shared" ca="1" si="184"/>
        <v>0.40791624103483592</v>
      </c>
      <c r="CL16" s="353">
        <f t="shared" ca="1" si="184"/>
        <v>0.28765947462294345</v>
      </c>
      <c r="CM16" s="353">
        <f t="shared" ca="1" si="184"/>
        <v>0.18738816337854575</v>
      </c>
      <c r="CN16" s="353">
        <f t="shared" ca="1" si="184"/>
        <v>0.11220421965778007</v>
      </c>
      <c r="CO16" s="353">
        <f t="shared" ca="1" si="184"/>
        <v>6.1510579673748463E-2</v>
      </c>
      <c r="CP16" s="353">
        <f t="shared" ca="1" si="184"/>
        <v>3.0773678139701985E-2</v>
      </c>
      <c r="CQ16" s="353">
        <f t="shared" ca="1" si="184"/>
        <v>1.4014884519769125E-2</v>
      </c>
      <c r="CR16" s="353">
        <f t="shared" ca="1" si="185"/>
        <v>5.7981574687632313E-3</v>
      </c>
      <c r="CS16" s="353">
        <f t="shared" ca="1" si="185"/>
        <v>2.1755158811197473E-3</v>
      </c>
      <c r="CT16" s="353">
        <f t="shared" ca="1" si="185"/>
        <v>7.3930296644679017E-4</v>
      </c>
      <c r="CU16" s="353">
        <f t="shared" ca="1" si="185"/>
        <v>2.2729655637060555E-4</v>
      </c>
      <c r="CV16" s="353">
        <f t="shared" ca="1" si="185"/>
        <v>6.3165460798223251E-5</v>
      </c>
      <c r="CW16" s="353">
        <f t="shared" ca="1" si="185"/>
        <v>1.5854618977007386E-5</v>
      </c>
      <c r="CX16" s="353">
        <f t="shared" ca="1" si="185"/>
        <v>3.5920933490838247E-6</v>
      </c>
      <c r="CY16" s="353">
        <f t="shared" ca="1" si="185"/>
        <v>7.342170484241706E-7</v>
      </c>
      <c r="CZ16" s="353">
        <f t="shared" ca="1" si="185"/>
        <v>1.3532893785397461E-7</v>
      </c>
      <c r="DA16" s="353">
        <f t="shared" ca="1" si="185"/>
        <v>2.2484285980009595E-8</v>
      </c>
      <c r="DB16" s="354">
        <f t="shared" ca="1" si="185"/>
        <v>3.3662479079956062E-9</v>
      </c>
      <c r="DC16" s="17"/>
      <c r="DD16" s="358">
        <f t="shared" si="130"/>
        <v>3</v>
      </c>
      <c r="DE16" s="353">
        <f t="shared" ca="1" si="131"/>
        <v>0.22690689393848329</v>
      </c>
      <c r="DF16" s="353">
        <f t="shared" ca="1" si="132"/>
        <v>0.33660550364930431</v>
      </c>
      <c r="DG16" s="353">
        <f t="shared" ca="1" si="133"/>
        <v>0.46238841331655745</v>
      </c>
      <c r="DH16" s="353">
        <f t="shared" ca="1" si="134"/>
        <v>0.59208375896516408</v>
      </c>
      <c r="DI16" s="353">
        <f t="shared" ca="1" si="135"/>
        <v>0.7123405253770565</v>
      </c>
      <c r="DJ16" s="353">
        <f t="shared" ca="1" si="136"/>
        <v>0.81261183662145431</v>
      </c>
      <c r="DK16" s="353">
        <f t="shared" ca="1" si="137"/>
        <v>0.88779578034221995</v>
      </c>
      <c r="DL16" s="353">
        <f t="shared" ca="1" si="138"/>
        <v>0.93848942032625149</v>
      </c>
      <c r="DM16" s="353">
        <f t="shared" ca="1" si="139"/>
        <v>0.969226321860298</v>
      </c>
      <c r="DN16" s="353">
        <f t="shared" ca="1" si="140"/>
        <v>0.98598511548023082</v>
      </c>
      <c r="DO16" s="353">
        <f t="shared" ca="1" si="141"/>
        <v>0.99420184253123678</v>
      </c>
      <c r="DP16" s="353">
        <f t="shared" ca="1" si="142"/>
        <v>0.99782448411888025</v>
      </c>
      <c r="DQ16" s="353">
        <f t="shared" ca="1" si="143"/>
        <v>0.99926069703355325</v>
      </c>
      <c r="DR16" s="353">
        <f t="shared" ca="1" si="144"/>
        <v>0.99977270344362934</v>
      </c>
      <c r="DS16" s="353">
        <f t="shared" ca="1" si="145"/>
        <v>0.99993683453920179</v>
      </c>
      <c r="DT16" s="353">
        <f t="shared" ca="1" si="146"/>
        <v>0.99998414538102298</v>
      </c>
      <c r="DU16" s="353">
        <f t="shared" ca="1" si="147"/>
        <v>0.9999964079066509</v>
      </c>
      <c r="DV16" s="353">
        <f t="shared" ca="1" si="148"/>
        <v>0.99999926578295162</v>
      </c>
      <c r="DW16" s="353">
        <f t="shared" ca="1" si="149"/>
        <v>0.99999986467106217</v>
      </c>
      <c r="DX16" s="353">
        <f t="shared" ca="1" si="150"/>
        <v>0.99999997751571401</v>
      </c>
      <c r="DY16" s="354">
        <f t="shared" ca="1" si="151"/>
        <v>0.99999999663375205</v>
      </c>
      <c r="DZ16" s="17"/>
      <c r="EA16" s="17"/>
      <c r="EB16" s="343" cm="1">
        <f t="array" aca="1" ref="EB16" ca="1">IF($AA16&gt;CDS.Tenor,"-",flatInterpolation(CC16,INDIRECT(HazardRateTimes3),INDIRECT(HazardRateValues3)))</f>
        <v>7.4999999999999997E-3</v>
      </c>
      <c r="EC16" s="10">
        <f t="shared" ca="1" si="152"/>
        <v>0.97775123719333656</v>
      </c>
      <c r="ED16" s="10">
        <f t="shared" ca="1" si="153"/>
        <v>2.2248762806663436E-2</v>
      </c>
      <c r="EE16" s="81">
        <f t="shared" ca="1" si="154"/>
        <v>-2.0093736207925081</v>
      </c>
      <c r="EF16" s="17"/>
      <c r="EG16" s="358">
        <f t="shared" si="155"/>
        <v>3</v>
      </c>
      <c r="EH16" s="353">
        <f t="shared" ca="1" si="186"/>
        <v>0.80828873525627887</v>
      </c>
      <c r="EI16" s="353">
        <f t="shared" ca="1" si="186"/>
        <v>0.70687583004143961</v>
      </c>
      <c r="EJ16" s="353">
        <f t="shared" ca="1" si="186"/>
        <v>0.5858778424982356</v>
      </c>
      <c r="EK16" s="353">
        <f t="shared" ca="1" si="186"/>
        <v>0.45605678617446849</v>
      </c>
      <c r="EL16" s="353">
        <f t="shared" ca="1" si="186"/>
        <v>0.33080194772032084</v>
      </c>
      <c r="EM16" s="353">
        <f t="shared" ca="1" si="186"/>
        <v>0.2221278342856613</v>
      </c>
      <c r="EN16" s="353">
        <f t="shared" ca="1" si="186"/>
        <v>0.13733887730034841</v>
      </c>
      <c r="EO16" s="353">
        <f t="shared" ca="1" si="186"/>
        <v>7.785038323169087E-2</v>
      </c>
      <c r="EP16" s="353">
        <f t="shared" ca="1" si="186"/>
        <v>4.0318047396096991E-2</v>
      </c>
      <c r="EQ16" s="353">
        <f t="shared" ca="1" si="186"/>
        <v>1.9024150977181426E-2</v>
      </c>
      <c r="ER16" s="353">
        <f t="shared" ca="1" si="187"/>
        <v>8.1604162743588917E-3</v>
      </c>
      <c r="ES16" s="353">
        <f t="shared" ca="1" si="187"/>
        <v>3.1764539252785388E-3</v>
      </c>
      <c r="ET16" s="353">
        <f t="shared" ca="1" si="187"/>
        <v>1.1203803888093936E-3</v>
      </c>
      <c r="EU16" s="353">
        <f t="shared" ca="1" si="187"/>
        <v>3.5765688917777859E-4</v>
      </c>
      <c r="EV16" s="353">
        <f t="shared" ca="1" si="187"/>
        <v>1.0323402945064805E-4</v>
      </c>
      <c r="EW16" s="353">
        <f t="shared" ca="1" si="187"/>
        <v>2.692055669986692E-5</v>
      </c>
      <c r="EX16" s="353">
        <f t="shared" ca="1" si="187"/>
        <v>6.3380806815276092E-6</v>
      </c>
      <c r="EY16" s="353">
        <f t="shared" ca="1" si="187"/>
        <v>1.3464752796988853E-6</v>
      </c>
      <c r="EZ16" s="353">
        <f t="shared" ca="1" si="187"/>
        <v>2.5798708586966536E-7</v>
      </c>
      <c r="FA16" s="353">
        <f t="shared" ca="1" si="187"/>
        <v>4.4563504847069239E-8</v>
      </c>
      <c r="FB16" s="354">
        <f t="shared" ca="1" si="187"/>
        <v>6.9373016979562664E-9</v>
      </c>
      <c r="FC16" s="17"/>
      <c r="FD16" s="358">
        <f t="shared" si="156"/>
        <v>3</v>
      </c>
      <c r="FE16" s="353">
        <f t="shared" ca="1" si="157"/>
        <v>0.19171126474372113</v>
      </c>
      <c r="FF16" s="353">
        <f t="shared" ca="1" si="158"/>
        <v>0.29312416995856039</v>
      </c>
      <c r="FG16" s="353">
        <f t="shared" ca="1" si="159"/>
        <v>0.4141221575017644</v>
      </c>
      <c r="FH16" s="353">
        <f t="shared" ca="1" si="160"/>
        <v>0.54394321382553157</v>
      </c>
      <c r="FI16" s="353">
        <f t="shared" ca="1" si="161"/>
        <v>0.66919805227967921</v>
      </c>
      <c r="FJ16" s="353">
        <f t="shared" ca="1" si="162"/>
        <v>0.7778721657143387</v>
      </c>
      <c r="FK16" s="353">
        <f t="shared" ca="1" si="163"/>
        <v>0.86266112269965156</v>
      </c>
      <c r="FL16" s="353">
        <f t="shared" ca="1" si="164"/>
        <v>0.92214961676830909</v>
      </c>
      <c r="FM16" s="353">
        <f t="shared" ca="1" si="165"/>
        <v>0.95968195260390299</v>
      </c>
      <c r="FN16" s="353">
        <f t="shared" ca="1" si="166"/>
        <v>0.98097584902281854</v>
      </c>
      <c r="FO16" s="353">
        <f t="shared" ca="1" si="167"/>
        <v>0.99183958372564107</v>
      </c>
      <c r="FP16" s="353">
        <f t="shared" ca="1" si="168"/>
        <v>0.99682354607472146</v>
      </c>
      <c r="FQ16" s="353">
        <f t="shared" ca="1" si="169"/>
        <v>0.99887961961119065</v>
      </c>
      <c r="FR16" s="353">
        <f t="shared" ca="1" si="170"/>
        <v>0.99964234311082223</v>
      </c>
      <c r="FS16" s="353">
        <f t="shared" ca="1" si="171"/>
        <v>0.99989676597054933</v>
      </c>
      <c r="FT16" s="353">
        <f t="shared" ca="1" si="172"/>
        <v>0.99997307944330016</v>
      </c>
      <c r="FU16" s="353">
        <f t="shared" ca="1" si="173"/>
        <v>0.99999366191931849</v>
      </c>
      <c r="FV16" s="353">
        <f t="shared" ca="1" si="174"/>
        <v>0.99999865352472028</v>
      </c>
      <c r="FW16" s="353">
        <f t="shared" ca="1" si="175"/>
        <v>0.99999974201291408</v>
      </c>
      <c r="FX16" s="353">
        <f t="shared" ca="1" si="176"/>
        <v>0.99999995543649511</v>
      </c>
      <c r="FY16" s="354">
        <f t="shared" ca="1" si="177"/>
        <v>0.99999999306269827</v>
      </c>
      <c r="GB16" s="358">
        <f t="shared" si="178"/>
        <v>3</v>
      </c>
      <c r="GC16" s="353">
        <f ca="1">IF($GB16&gt;CDS.Tenor,"-",BE16*DE16*FE16)</f>
        <v>1.0854700771289629E-2</v>
      </c>
      <c r="GD16" s="353">
        <f ca="1">IF($GB16&gt;CDS.Tenor,"-",BF16*DF16*FF16)</f>
        <v>3.5883155528615658E-2</v>
      </c>
      <c r="GE16" s="353">
        <f ca="1">IF($GB16&gt;CDS.Tenor,"-",BG16*DG16*FG16)</f>
        <v>9.4114383622109873E-2</v>
      </c>
      <c r="GF16" s="353">
        <f ca="1">IF($GB16&gt;CDS.Tenor,"-",BH16*DH16*FH16)</f>
        <v>0.19974212395199217</v>
      </c>
      <c r="GG16" s="353">
        <f ca="1">IF($GB16&gt;CDS.Tenor,"-",BI16*DI16*FI16)</f>
        <v>0.35120325729308088</v>
      </c>
      <c r="GH16" s="353">
        <f ca="1">IF($GB16&gt;CDS.Tenor,"-",BJ16*DJ16*FJ16)</f>
        <v>0.5256860828096207</v>
      </c>
      <c r="GI16" s="353">
        <f ca="1">IF($GB16&gt;CDS.Tenor,"-",BK16*DK16*FK16)</f>
        <v>0.69014217029041558</v>
      </c>
      <c r="GJ16" s="353">
        <f ca="1">IF($GB16&gt;CDS.Tenor,"-",BL16*DL16*FL16)</f>
        <v>0.81945533398777792</v>
      </c>
      <c r="GK16" s="353">
        <f ca="1">IF($GB16&gt;CDS.Tenor,"-",BM16*DM16*FM16)</f>
        <v>0.90593765043105334</v>
      </c>
      <c r="GL16" s="353">
        <f ca="1">IF($GB16&gt;CDS.Tenor,"-",BN16*DN16*FN16)</f>
        <v>0.95600324455221986</v>
      </c>
      <c r="GM16" s="353">
        <f ca="1">IF($GB16&gt;CDS.Tenor,"-",BO16*DO16*FO16)</f>
        <v>0.98145608419435093</v>
      </c>
      <c r="GN16" s="353">
        <f ca="1">IF($GB16&gt;CDS.Tenor,"-",BP16*DP16*FP16)</f>
        <v>0.99293980109301549</v>
      </c>
      <c r="GO16" s="353">
        <f ca="1">IF($GB16&gt;CDS.Tenor,"-",BQ16*DQ16*FQ16)</f>
        <v>0.99756913350388809</v>
      </c>
      <c r="GP16" s="353">
        <f ca="1">IF($GB16&gt;CDS.Tenor,"-",BR16*DR16*FR16)</f>
        <v>0.99924295681427966</v>
      </c>
      <c r="GQ16" s="353">
        <f ca="1">IF($GB16&gt;CDS.Tenor,"-",BS16*DS16*FS16)</f>
        <v>0.99978681397469227</v>
      </c>
      <c r="GR16" s="353">
        <f ca="1">IF($GB16&gt;CDS.Tenor,"-",BT16*DT16*FT16)</f>
        <v>0.99994574375207901</v>
      </c>
      <c r="GS16" s="353">
        <f ca="1">IF($GB16&gt;CDS.Tenor,"-",BU16*DU16*FU16)</f>
        <v>0.99998752748843711</v>
      </c>
      <c r="GT16" s="353">
        <f ca="1">IF($GB16&gt;CDS.Tenor,"-",BV16*DV16*FV16)</f>
        <v>0.99999741149625199</v>
      </c>
      <c r="GU16" s="353">
        <f ca="1">IF($GB16&gt;CDS.Tenor,"-",BW16*DW16*FW16)</f>
        <v>0.99999951522708608</v>
      </c>
      <c r="GV16" s="353">
        <f ca="1">IF($GB16&gt;CDS.Tenor,"-",BX16*DX16*FX16)</f>
        <v>0.99999991810593347</v>
      </c>
      <c r="GW16" s="354">
        <f ca="1">IF($GB16&gt;CDS.Tenor,"-",BY16*DY16*FY16)</f>
        <v>0.99999998752491115</v>
      </c>
      <c r="GX16" s="42"/>
      <c r="GY16" s="42"/>
      <c r="GZ16" s="358">
        <f t="shared" si="179"/>
        <v>3</v>
      </c>
      <c r="HA16" s="362">
        <f t="shared" ca="1" si="180"/>
        <v>0.94951416333577721</v>
      </c>
      <c r="HB16" s="363">
        <f t="shared" ca="1" si="181"/>
        <v>3.997648521452124E-3</v>
      </c>
    </row>
    <row r="17" spans="2:210" x14ac:dyDescent="0.3">
      <c r="B17" s="112" t="s">
        <v>118</v>
      </c>
      <c r="C17" s="113"/>
      <c r="D17" s="153">
        <v>0.25</v>
      </c>
      <c r="F17" s="391">
        <v>0.5</v>
      </c>
      <c r="H17" s="17"/>
      <c r="I17" s="370">
        <f t="shared" si="86"/>
        <v>3.25</v>
      </c>
      <c r="J17" s="371">
        <f t="shared" si="87"/>
        <v>-25000</v>
      </c>
      <c r="K17" s="348">
        <f t="shared" ca="1" si="88"/>
        <v>0.9455466176005789</v>
      </c>
      <c r="L17" s="348">
        <f t="shared" ca="1" si="89"/>
        <v>3.9675457351983079E-3</v>
      </c>
      <c r="M17" s="372" cm="1">
        <f t="array" ref="M17">IF($I17&gt;CDS.Tenor,"-",cubicInterpolation(CurveResults.Times,CurveResults.DFs,$I17))</f>
        <v>0.87078171535403615</v>
      </c>
      <c r="N17" s="371">
        <f t="shared" ca="1" si="90"/>
        <v>-20584.117640535973</v>
      </c>
      <c r="O17" s="371">
        <f t="shared" ca="1" si="91"/>
        <v>-43.185828513019665</v>
      </c>
      <c r="P17" s="373">
        <f t="shared" ca="1" si="92"/>
        <v>-20627.303469048991</v>
      </c>
      <c r="S17" s="370">
        <f t="shared" si="93"/>
        <v>3.25</v>
      </c>
      <c r="T17" s="371">
        <f t="shared" si="94"/>
        <v>6000000</v>
      </c>
      <c r="U17" s="348">
        <f ca="1">IF($I17&gt;CDS.Tenor,"-",HA17)</f>
        <v>0.9455466176005789</v>
      </c>
      <c r="V17" s="348">
        <f t="shared" ca="1" si="95"/>
        <v>3.9675457351983079E-3</v>
      </c>
      <c r="W17" s="372" cm="1">
        <f t="array" ref="W17">IF($S17&gt;CDS.Tenor,"-",cubicInterpolation(CurveResults.Times,CurveResults.DFs,$I17))</f>
        <v>0.87078171535403615</v>
      </c>
      <c r="X17" s="373">
        <f t="shared" ca="1" si="96"/>
        <v>20729.197686249438</v>
      </c>
      <c r="Z17" s="18"/>
      <c r="AA17" s="358">
        <f t="shared" si="97"/>
        <v>3.25</v>
      </c>
      <c r="AB17" s="343" cm="1">
        <f t="array" aca="1" ref="AB17" ca="1">IF($AA17&gt;CDS.Tenor,"-",flatInterpolation(Z17,INDIRECT(HazardRateTimes1),INDIRECT(HazardRateValues1)))</f>
        <v>5.0000000000000001E-3</v>
      </c>
      <c r="AC17" s="10">
        <f t="shared" ca="1" si="98"/>
        <v>0.98388131897668796</v>
      </c>
      <c r="AD17" s="10">
        <f t="shared" ca="1" si="99"/>
        <v>1.6118681023312043E-2</v>
      </c>
      <c r="AE17" s="81">
        <f t="shared" ca="1" si="100"/>
        <v>-2.1414550202456542</v>
      </c>
      <c r="AF17" s="18"/>
      <c r="AG17" s="358">
        <f t="shared" si="101"/>
        <v>3.25</v>
      </c>
      <c r="AH17" s="353">
        <f t="shared" ca="1" si="182"/>
        <v>0.76230603116719653</v>
      </c>
      <c r="AI17" s="353">
        <f t="shared" ca="1" si="182"/>
        <v>0.65040466674181452</v>
      </c>
      <c r="AJ17" s="353">
        <f t="shared" ca="1" si="182"/>
        <v>0.52355834538103285</v>
      </c>
      <c r="AK17" s="353">
        <f t="shared" ca="1" si="182"/>
        <v>0.39425711723533541</v>
      </c>
      <c r="AL17" s="353">
        <f t="shared" ca="1" si="182"/>
        <v>0.27573216569779946</v>
      </c>
      <c r="AM17" s="353">
        <f t="shared" ca="1" si="182"/>
        <v>0.17803119022891281</v>
      </c>
      <c r="AN17" s="353">
        <f t="shared" ca="1" si="182"/>
        <v>0.10560942029763414</v>
      </c>
      <c r="AO17" s="353">
        <f t="shared" ca="1" si="182"/>
        <v>5.7334766314468856E-2</v>
      </c>
      <c r="AP17" s="353">
        <f t="shared" ca="1" si="182"/>
        <v>2.8398184567356294E-2</v>
      </c>
      <c r="AQ17" s="353">
        <f t="shared" ca="1" si="182"/>
        <v>1.2800825142813277E-2</v>
      </c>
      <c r="AR17" s="353">
        <f t="shared" ca="1" si="183"/>
        <v>5.2407159875796812E-3</v>
      </c>
      <c r="AS17" s="353">
        <f t="shared" ca="1" si="183"/>
        <v>1.9455666693975089E-3</v>
      </c>
      <c r="AT17" s="353">
        <f t="shared" ca="1" si="183"/>
        <v>6.5408368782209135E-4</v>
      </c>
      <c r="AU17" s="353">
        <f t="shared" ca="1" si="183"/>
        <v>1.9892278481506453E-4</v>
      </c>
      <c r="AV17" s="353">
        <f t="shared" ca="1" si="183"/>
        <v>5.4678160532214096E-5</v>
      </c>
      <c r="AW17" s="353">
        <f t="shared" ca="1" si="183"/>
        <v>1.3573776194423008E-5</v>
      </c>
      <c r="AX17" s="353">
        <f t="shared" ca="1" si="183"/>
        <v>3.0414195445146186E-6</v>
      </c>
      <c r="AY17" s="353">
        <f t="shared" ca="1" si="183"/>
        <v>6.1477238048281036E-7</v>
      </c>
      <c r="AZ17" s="353">
        <f t="shared" ca="1" si="183"/>
        <v>1.1205272077089664E-7</v>
      </c>
      <c r="BA17" s="353">
        <f t="shared" ca="1" si="183"/>
        <v>1.8409251280175451E-8</v>
      </c>
      <c r="BB17" s="354">
        <f t="shared" ca="1" si="183"/>
        <v>2.7252988653543297E-9</v>
      </c>
      <c r="BC17" s="18"/>
      <c r="BD17" s="358">
        <f t="shared" si="104"/>
        <v>3.25</v>
      </c>
      <c r="BE17" s="353">
        <f t="shared" ca="1" si="105"/>
        <v>0.23769396883280347</v>
      </c>
      <c r="BF17" s="353">
        <f t="shared" ca="1" si="106"/>
        <v>0.34959533325818548</v>
      </c>
      <c r="BG17" s="353">
        <f t="shared" ca="1" si="107"/>
        <v>0.47644165461896715</v>
      </c>
      <c r="BH17" s="353">
        <f t="shared" ca="1" si="108"/>
        <v>0.60574288276466459</v>
      </c>
      <c r="BI17" s="353">
        <f t="shared" ca="1" si="109"/>
        <v>0.72426783430220054</v>
      </c>
      <c r="BJ17" s="353">
        <f t="shared" ca="1" si="110"/>
        <v>0.82196880977108722</v>
      </c>
      <c r="BK17" s="353">
        <f t="shared" ca="1" si="111"/>
        <v>0.89439057970236591</v>
      </c>
      <c r="BL17" s="353">
        <f t="shared" ca="1" si="112"/>
        <v>0.94266523368553112</v>
      </c>
      <c r="BM17" s="353">
        <f t="shared" ca="1" si="113"/>
        <v>0.97160181543264368</v>
      </c>
      <c r="BN17" s="353">
        <f t="shared" ca="1" si="114"/>
        <v>0.98719917485718667</v>
      </c>
      <c r="BO17" s="353">
        <f t="shared" ca="1" si="115"/>
        <v>0.99475928401242031</v>
      </c>
      <c r="BP17" s="353">
        <f t="shared" ca="1" si="116"/>
        <v>0.99805443333060251</v>
      </c>
      <c r="BQ17" s="353">
        <f t="shared" ca="1" si="117"/>
        <v>0.99934591631217795</v>
      </c>
      <c r="BR17" s="353">
        <f t="shared" ca="1" si="118"/>
        <v>0.99980107721518496</v>
      </c>
      <c r="BS17" s="353">
        <f t="shared" ca="1" si="119"/>
        <v>0.99994532183946783</v>
      </c>
      <c r="BT17" s="353">
        <f t="shared" ca="1" si="120"/>
        <v>0.99998642622380562</v>
      </c>
      <c r="BU17" s="353">
        <f t="shared" ca="1" si="121"/>
        <v>0.99999695858045545</v>
      </c>
      <c r="BV17" s="353">
        <f t="shared" ca="1" si="122"/>
        <v>0.99999938522761955</v>
      </c>
      <c r="BW17" s="353">
        <f t="shared" ca="1" si="123"/>
        <v>0.99999988794727923</v>
      </c>
      <c r="BX17" s="353">
        <f t="shared" ca="1" si="124"/>
        <v>0.99999998159074877</v>
      </c>
      <c r="BY17" s="354">
        <f t="shared" ca="1" si="125"/>
        <v>0.99999999727470112</v>
      </c>
      <c r="BZ17" s="17"/>
      <c r="CA17" s="17"/>
      <c r="CB17" s="343" cm="1">
        <f t="array" aca="1" ref="CB17" ca="1">IF($AA17&gt;CDS.Tenor,"-",flatInterpolation(AA17,INDIRECT(HazardRateTimes2),INDIRECT(HazardRateValues2)))</f>
        <v>5.8333333333333336E-3</v>
      </c>
      <c r="CC17" s="10">
        <f t="shared" ca="1" si="126"/>
        <v>0.98122024556796283</v>
      </c>
      <c r="CD17" s="10">
        <f t="shared" ca="1" si="127"/>
        <v>1.8779754432037166E-2</v>
      </c>
      <c r="CE17" s="81">
        <f t="shared" ca="1" si="128"/>
        <v>-2.0796297196277695</v>
      </c>
      <c r="CF17" s="18"/>
      <c r="CG17" s="358">
        <f t="shared" si="129"/>
        <v>3.25</v>
      </c>
      <c r="CH17" s="353">
        <f t="shared" ca="1" si="184"/>
        <v>0.78454500365690583</v>
      </c>
      <c r="CI17" s="353">
        <f t="shared" ca="1" si="184"/>
        <v>0.67735262842098864</v>
      </c>
      <c r="CJ17" s="353">
        <f t="shared" ca="1" si="184"/>
        <v>0.55289609122152583</v>
      </c>
      <c r="CK17" s="353">
        <f t="shared" ca="1" si="184"/>
        <v>0.42295284085891782</v>
      </c>
      <c r="CL17" s="353">
        <f t="shared" ca="1" si="184"/>
        <v>0.30094938747220834</v>
      </c>
      <c r="CM17" s="353">
        <f t="shared" ca="1" si="184"/>
        <v>0.19794099086925632</v>
      </c>
      <c r="CN17" s="353">
        <f t="shared" ca="1" si="184"/>
        <v>0.11973239556869017</v>
      </c>
      <c r="CO17" s="353">
        <f t="shared" ca="1" si="184"/>
        <v>6.6335441634736689E-2</v>
      </c>
      <c r="CP17" s="353">
        <f t="shared" ca="1" si="184"/>
        <v>3.3551818861479718E-2</v>
      </c>
      <c r="CQ17" s="353">
        <f t="shared" ca="1" si="184"/>
        <v>1.5452020296964717E-2</v>
      </c>
      <c r="CR17" s="353">
        <f t="shared" ca="1" si="185"/>
        <v>6.4660638220573503E-3</v>
      </c>
      <c r="CS17" s="353">
        <f t="shared" ca="1" si="185"/>
        <v>2.4543895818715657E-3</v>
      </c>
      <c r="CT17" s="353">
        <f t="shared" ca="1" si="185"/>
        <v>8.4391309998852718E-4</v>
      </c>
      <c r="CU17" s="353">
        <f t="shared" ca="1" si="185"/>
        <v>2.6255102420529757E-4</v>
      </c>
      <c r="CV17" s="353">
        <f t="shared" ca="1" si="185"/>
        <v>7.3839499661869547E-5</v>
      </c>
      <c r="CW17" s="353">
        <f t="shared" ca="1" si="185"/>
        <v>1.8758090724386769E-5</v>
      </c>
      <c r="CX17" s="353">
        <f t="shared" ca="1" si="185"/>
        <v>4.3016394803222999E-6</v>
      </c>
      <c r="CY17" s="353">
        <f t="shared" ca="1" si="185"/>
        <v>8.8999926339106974E-7</v>
      </c>
      <c r="CZ17" s="353">
        <f t="shared" ca="1" si="185"/>
        <v>1.6605658572818474E-7</v>
      </c>
      <c r="DA17" s="353">
        <f t="shared" ca="1" si="185"/>
        <v>2.7929500119880082E-8</v>
      </c>
      <c r="DB17" s="354">
        <f t="shared" ca="1" si="185"/>
        <v>4.2331595031054636E-9</v>
      </c>
      <c r="DC17" s="18"/>
      <c r="DD17" s="358">
        <f t="shared" si="130"/>
        <v>3.25</v>
      </c>
      <c r="DE17" s="353">
        <f t="shared" ca="1" si="131"/>
        <v>0.21545499634309417</v>
      </c>
      <c r="DF17" s="353">
        <f t="shared" ca="1" si="132"/>
        <v>0.32264737157901136</v>
      </c>
      <c r="DG17" s="353">
        <f t="shared" ca="1" si="133"/>
        <v>0.44710390877847417</v>
      </c>
      <c r="DH17" s="353">
        <f t="shared" ca="1" si="134"/>
        <v>0.57704715914108218</v>
      </c>
      <c r="DI17" s="353">
        <f t="shared" ca="1" si="135"/>
        <v>0.69905061252779166</v>
      </c>
      <c r="DJ17" s="353">
        <f t="shared" ca="1" si="136"/>
        <v>0.80205900913074368</v>
      </c>
      <c r="DK17" s="353">
        <f t="shared" ca="1" si="137"/>
        <v>0.8802676044313098</v>
      </c>
      <c r="DL17" s="353">
        <f t="shared" ca="1" si="138"/>
        <v>0.9336645583652633</v>
      </c>
      <c r="DM17" s="353">
        <f t="shared" ca="1" si="139"/>
        <v>0.96644818113852027</v>
      </c>
      <c r="DN17" s="353">
        <f t="shared" ca="1" si="140"/>
        <v>0.98454797970303531</v>
      </c>
      <c r="DO17" s="353">
        <f t="shared" ca="1" si="141"/>
        <v>0.99353393617794261</v>
      </c>
      <c r="DP17" s="353">
        <f t="shared" ca="1" si="142"/>
        <v>0.99754561041812839</v>
      </c>
      <c r="DQ17" s="353">
        <f t="shared" ca="1" si="143"/>
        <v>0.99915608690001145</v>
      </c>
      <c r="DR17" s="353">
        <f t="shared" ca="1" si="144"/>
        <v>0.99973744897579475</v>
      </c>
      <c r="DS17" s="353">
        <f t="shared" ca="1" si="145"/>
        <v>0.99992616050033811</v>
      </c>
      <c r="DT17" s="353">
        <f t="shared" ca="1" si="146"/>
        <v>0.99998124190927562</v>
      </c>
      <c r="DU17" s="353">
        <f t="shared" ca="1" si="147"/>
        <v>0.99999569836051971</v>
      </c>
      <c r="DV17" s="353">
        <f t="shared" ca="1" si="148"/>
        <v>0.9999991100007366</v>
      </c>
      <c r="DW17" s="353">
        <f t="shared" ca="1" si="149"/>
        <v>0.9999998339434143</v>
      </c>
      <c r="DX17" s="353">
        <f t="shared" ca="1" si="150"/>
        <v>0.99999997207049984</v>
      </c>
      <c r="DY17" s="354">
        <f t="shared" ca="1" si="151"/>
        <v>0.99999999576684051</v>
      </c>
      <c r="DZ17" s="17"/>
      <c r="EA17" s="17"/>
      <c r="EB17" s="343" cm="1">
        <f t="array" aca="1" ref="EB17" ca="1">IF($AA17&gt;CDS.Tenor,"-",flatInterpolation(CC17,INDIRECT(HazardRateTimes3),INDIRECT(HazardRateValues3)))</f>
        <v>7.4999999999999997E-3</v>
      </c>
      <c r="EC17" s="10">
        <f t="shared" ca="1" si="152"/>
        <v>0.9759196712532594</v>
      </c>
      <c r="ED17" s="10">
        <f t="shared" ca="1" si="153"/>
        <v>2.4080328746740598E-2</v>
      </c>
      <c r="EE17" s="81">
        <f t="shared" ca="1" si="154"/>
        <v>-1.9759480836236822</v>
      </c>
      <c r="EF17" s="18"/>
      <c r="EG17" s="358">
        <f t="shared" si="155"/>
        <v>3.25</v>
      </c>
      <c r="EH17" s="353">
        <f t="shared" ca="1" si="186"/>
        <v>0.81899945714342892</v>
      </c>
      <c r="EI17" s="353">
        <f t="shared" ca="1" si="186"/>
        <v>0.72046782808037901</v>
      </c>
      <c r="EJ17" s="353">
        <f t="shared" ca="1" si="186"/>
        <v>0.601373945722943</v>
      </c>
      <c r="EK17" s="353">
        <f t="shared" ca="1" si="186"/>
        <v>0.47192895723034817</v>
      </c>
      <c r="EL17" s="353">
        <f t="shared" ca="1" si="186"/>
        <v>0.34540772947397574</v>
      </c>
      <c r="EM17" s="353">
        <f t="shared" ca="1" si="186"/>
        <v>0.23420285586599879</v>
      </c>
      <c r="EN17" s="353">
        <f t="shared" ca="1" si="186"/>
        <v>0.14630749807904694</v>
      </c>
      <c r="EO17" s="353">
        <f t="shared" ca="1" si="186"/>
        <v>8.3835023398533853E-2</v>
      </c>
      <c r="EP17" s="353">
        <f t="shared" ca="1" si="186"/>
        <v>4.3905821255186182E-2</v>
      </c>
      <c r="EQ17" s="353">
        <f t="shared" ca="1" si="186"/>
        <v>2.0956505086194455E-2</v>
      </c>
      <c r="ER17" s="353">
        <f t="shared" ca="1" si="187"/>
        <v>9.095440802620371E-3</v>
      </c>
      <c r="ES17" s="353">
        <f t="shared" ca="1" si="187"/>
        <v>3.582929006793167E-3</v>
      </c>
      <c r="ET17" s="353">
        <f t="shared" ca="1" si="187"/>
        <v>1.2791324904316836E-3</v>
      </c>
      <c r="EU17" s="353">
        <f t="shared" ca="1" si="187"/>
        <v>4.1336002857375213E-4</v>
      </c>
      <c r="EV17" s="353">
        <f t="shared" ca="1" si="187"/>
        <v>1.2079362437198186E-4</v>
      </c>
      <c r="EW17" s="353">
        <f t="shared" ca="1" si="187"/>
        <v>3.1893619505009115E-5</v>
      </c>
      <c r="EX17" s="353">
        <f t="shared" ca="1" si="187"/>
        <v>7.603422974192055E-6</v>
      </c>
      <c r="EY17" s="353">
        <f t="shared" ca="1" si="187"/>
        <v>1.6357208602345177E-6</v>
      </c>
      <c r="EZ17" s="353">
        <f t="shared" ca="1" si="187"/>
        <v>3.173889489167011E-7</v>
      </c>
      <c r="FA17" s="353">
        <f t="shared" ca="1" si="187"/>
        <v>5.5523441024120526E-8</v>
      </c>
      <c r="FB17" s="354">
        <f t="shared" ca="1" si="187"/>
        <v>8.7540326155919399E-9</v>
      </c>
      <c r="FC17" s="18"/>
      <c r="FD17" s="358">
        <f t="shared" si="156"/>
        <v>3.25</v>
      </c>
      <c r="FE17" s="353">
        <f t="shared" ca="1" si="157"/>
        <v>0.18100054285657108</v>
      </c>
      <c r="FF17" s="353">
        <f t="shared" ca="1" si="158"/>
        <v>0.27953217191962099</v>
      </c>
      <c r="FG17" s="353">
        <f t="shared" ca="1" si="159"/>
        <v>0.398626054277057</v>
      </c>
      <c r="FH17" s="353">
        <f t="shared" ca="1" si="160"/>
        <v>0.52807104276965178</v>
      </c>
      <c r="FI17" s="353">
        <f t="shared" ca="1" si="161"/>
        <v>0.65459227052602431</v>
      </c>
      <c r="FJ17" s="353">
        <f t="shared" ca="1" si="162"/>
        <v>0.76579714413400124</v>
      </c>
      <c r="FK17" s="353">
        <f t="shared" ca="1" si="163"/>
        <v>0.85369250192095303</v>
      </c>
      <c r="FL17" s="353">
        <f t="shared" ca="1" si="164"/>
        <v>0.91616497660146612</v>
      </c>
      <c r="FM17" s="353">
        <f t="shared" ca="1" si="165"/>
        <v>0.95609417874481384</v>
      </c>
      <c r="FN17" s="353">
        <f t="shared" ca="1" si="166"/>
        <v>0.9790434949138056</v>
      </c>
      <c r="FO17" s="353">
        <f t="shared" ca="1" si="167"/>
        <v>0.99090455919737963</v>
      </c>
      <c r="FP17" s="353">
        <f t="shared" ca="1" si="168"/>
        <v>0.99641707099320687</v>
      </c>
      <c r="FQ17" s="353">
        <f t="shared" ca="1" si="169"/>
        <v>0.99872086750956834</v>
      </c>
      <c r="FR17" s="353">
        <f t="shared" ca="1" si="170"/>
        <v>0.99958663997142627</v>
      </c>
      <c r="FS17" s="353">
        <f t="shared" ca="1" si="171"/>
        <v>0.99987920637562799</v>
      </c>
      <c r="FT17" s="353">
        <f t="shared" ca="1" si="172"/>
        <v>0.99996810638049494</v>
      </c>
      <c r="FU17" s="353">
        <f t="shared" ca="1" si="173"/>
        <v>0.99999239657702577</v>
      </c>
      <c r="FV17" s="353">
        <f t="shared" ca="1" si="174"/>
        <v>0.9999983642791398</v>
      </c>
      <c r="FW17" s="353">
        <f t="shared" ca="1" si="175"/>
        <v>0.9999996826110511</v>
      </c>
      <c r="FX17" s="353">
        <f t="shared" ca="1" si="176"/>
        <v>0.99999994447655893</v>
      </c>
      <c r="FY17" s="354">
        <f t="shared" ca="1" si="177"/>
        <v>0.99999999124596739</v>
      </c>
      <c r="GB17" s="358">
        <f t="shared" si="178"/>
        <v>3.25</v>
      </c>
      <c r="GC17" s="353">
        <f ca="1">IF($GB17&gt;CDS.Tenor,"-",BE17*DE17*FE17)</f>
        <v>9.2694637275645923E-3</v>
      </c>
      <c r="GD17" s="353">
        <f ca="1">IF($GB17&gt;CDS.Tenor,"-",BF17*DF17*FF17)</f>
        <v>3.1530115166416524E-2</v>
      </c>
      <c r="GE17" s="353">
        <f ca="1">IF($GB17&gt;CDS.Tenor,"-",BG17*DG17*FG17)</f>
        <v>8.4914893991609161E-2</v>
      </c>
      <c r="GF17" s="353">
        <f ca="1">IF($GB17&gt;CDS.Tenor,"-",BH17*DH17*FH17)</f>
        <v>0.18458311915206457</v>
      </c>
      <c r="GG17" s="353">
        <f ca="1">IF($GB17&gt;CDS.Tenor,"-",BI17*DI17*FI17)</f>
        <v>0.33141998356707536</v>
      </c>
      <c r="GH17" s="353">
        <f ca="1">IF($GB17&gt;CDS.Tenor,"-",BJ17*DJ17*FJ17)</f>
        <v>0.5048651603742268</v>
      </c>
      <c r="GI17" s="353">
        <f ca="1">IF($GB17&gt;CDS.Tenor,"-",BK17*DK17*FK17)</f>
        <v>0.67211471310310278</v>
      </c>
      <c r="GJ17" s="353">
        <f ca="1">IF($GB17&gt;CDS.Tenor,"-",BL17*DL17*FL17)</f>
        <v>0.80634713846211092</v>
      </c>
      <c r="GK17" s="353">
        <f ca="1">IF($GB17&gt;CDS.Tenor,"-",BM17*DM17*FM17)</f>
        <v>0.89777511789963893</v>
      </c>
      <c r="GL17" s="353">
        <f ca="1">IF($GB17&gt;CDS.Tenor,"-",BN17*DN17*FN17)</f>
        <v>0.95157638381553544</v>
      </c>
      <c r="GM17" s="353">
        <f ca="1">IF($GB17&gt;CDS.Tenor,"-",BO17*DO17*FO17)</f>
        <v>0.97933783629911908</v>
      </c>
      <c r="GN17" s="353">
        <f ca="1">IF($GB17&gt;CDS.Tenor,"-",BP17*DP17*FP17)</f>
        <v>0.99203763754225749</v>
      </c>
      <c r="GO17" s="353">
        <f ca="1">IF($GB17&gt;CDS.Tenor,"-",BQ17*DQ17*FQ17)</f>
        <v>0.99722533814184422</v>
      </c>
      <c r="GP17" s="353">
        <f ca="1">IF($GB17&gt;CDS.Tenor,"-",BR17*DR17*FR17)</f>
        <v>0.99912540912302505</v>
      </c>
      <c r="GQ17" s="353">
        <f ca="1">IF($GB17&gt;CDS.Tenor,"-",BS17*DS17*FS17)</f>
        <v>0.99975070827646817</v>
      </c>
      <c r="GR17" s="353">
        <f ca="1">IF($GB17&gt;CDS.Tenor,"-",BT17*DT17*FT17)</f>
        <v>0.99993577579936643</v>
      </c>
      <c r="GS17" s="353">
        <f ca="1">IF($GB17&gt;CDS.Tenor,"-",BU17*DU17*FU17)</f>
        <v>0.99998505358691636</v>
      </c>
      <c r="GT17" s="353">
        <f ca="1">IF($GB17&gt;CDS.Tenor,"-",BV17*DV17*FV17)</f>
        <v>0.99999685951050443</v>
      </c>
      <c r="GU17" s="353">
        <f ca="1">IF($GB17&gt;CDS.Tenor,"-",BW17*DW17*FW17)</f>
        <v>0.99999940450185154</v>
      </c>
      <c r="GV17" s="353">
        <f ca="1">IF($GB17&gt;CDS.Tenor,"-",BX17*DX17*FX17)</f>
        <v>0.99999989813781065</v>
      </c>
      <c r="GW17" s="354">
        <f ca="1">IF($GB17&gt;CDS.Tenor,"-",BY17*DY17*FY17)</f>
        <v>0.99999998428750914</v>
      </c>
      <c r="GX17" s="42"/>
      <c r="GY17" s="42"/>
      <c r="GZ17" s="358">
        <f t="shared" si="179"/>
        <v>3.25</v>
      </c>
      <c r="HA17" s="362">
        <f t="shared" ca="1" si="180"/>
        <v>0.9455466176005789</v>
      </c>
      <c r="HB17" s="363">
        <f t="shared" ca="1" si="181"/>
        <v>3.9675457351983079E-3</v>
      </c>
    </row>
    <row r="18" spans="2:210" x14ac:dyDescent="0.3">
      <c r="H18" s="17"/>
      <c r="I18" s="370">
        <f t="shared" si="86"/>
        <v>3.5</v>
      </c>
      <c r="J18" s="371">
        <f t="shared" si="87"/>
        <v>-25000</v>
      </c>
      <c r="K18" s="348">
        <f t="shared" ca="1" si="88"/>
        <v>0.94160823181120068</v>
      </c>
      <c r="L18" s="348">
        <f t="shared" ca="1" si="89"/>
        <v>3.9383857893782181E-3</v>
      </c>
      <c r="M18" s="372" cm="1">
        <f t="array" ref="M18">IF($I18&gt;CDS.Tenor,"-",cubicInterpolation(CurveResults.Times,CurveResults.DFs,$I18))</f>
        <v>0.86243967475051753</v>
      </c>
      <c r="N18" s="371">
        <f t="shared" ca="1" si="90"/>
        <v>-20302.007429641544</v>
      </c>
      <c r="O18" s="371">
        <f t="shared" ca="1" si="91"/>
        <v>-42.457751990417634</v>
      </c>
      <c r="P18" s="373">
        <f t="shared" ca="1" si="92"/>
        <v>-20344.46518163196</v>
      </c>
      <c r="S18" s="370">
        <f t="shared" si="93"/>
        <v>3.5</v>
      </c>
      <c r="T18" s="371">
        <f t="shared" si="94"/>
        <v>6000000</v>
      </c>
      <c r="U18" s="348">
        <f ca="1">IF($I18&gt;CDS.Tenor,"-",HA18)</f>
        <v>0.94160823181120068</v>
      </c>
      <c r="V18" s="348">
        <f t="shared" ca="1" si="95"/>
        <v>3.9383857893782181E-3</v>
      </c>
      <c r="W18" s="372" cm="1">
        <f t="array" ref="W18">IF($S18&gt;CDS.Tenor,"-",cubicInterpolation(CurveResults.Times,CurveResults.DFs,$I18))</f>
        <v>0.86243967475051753</v>
      </c>
      <c r="X18" s="373">
        <f t="shared" ca="1" si="96"/>
        <v>20379.720955400466</v>
      </c>
      <c r="Z18" s="341"/>
      <c r="AA18" s="358">
        <f t="shared" si="97"/>
        <v>3.5</v>
      </c>
      <c r="AB18" s="343" cm="1">
        <f t="array" aca="1" ref="AB18" ca="1">IF($AA18&gt;CDS.Tenor,"-",flatInterpolation(Z18,INDIRECT(HazardRateTimes1),INDIRECT(HazardRateValues1)))</f>
        <v>5.0000000000000001E-3</v>
      </c>
      <c r="AC18" s="10">
        <f t="shared" ca="1" si="98"/>
        <v>0.98265223566507376</v>
      </c>
      <c r="AD18" s="10">
        <f t="shared" ca="1" si="99"/>
        <v>1.7347764334926241E-2</v>
      </c>
      <c r="AE18" s="81">
        <f t="shared" ca="1" si="100"/>
        <v>-2.1118941570109349</v>
      </c>
      <c r="AF18" s="341"/>
      <c r="AG18" s="358">
        <f t="shared" si="101"/>
        <v>3.5</v>
      </c>
      <c r="AH18" s="353">
        <f t="shared" ca="1" si="182"/>
        <v>0.77309310606151205</v>
      </c>
      <c r="AI18" s="353">
        <f t="shared" ca="1" si="182"/>
        <v>0.66339449635069003</v>
      </c>
      <c r="AJ18" s="353">
        <f t="shared" ca="1" si="182"/>
        <v>0.53761158668343656</v>
      </c>
      <c r="AK18" s="353">
        <f t="shared" ca="1" si="182"/>
        <v>0.40791624103482993</v>
      </c>
      <c r="AL18" s="353">
        <f t="shared" ca="1" si="182"/>
        <v>0.28765947462293817</v>
      </c>
      <c r="AM18" s="353">
        <f t="shared" ca="1" si="182"/>
        <v>0.18738816337854156</v>
      </c>
      <c r="AN18" s="353">
        <f t="shared" ca="1" si="182"/>
        <v>0.11220421965777713</v>
      </c>
      <c r="AO18" s="353">
        <f t="shared" ca="1" si="182"/>
        <v>6.1510579673746596E-2</v>
      </c>
      <c r="AP18" s="353">
        <f t="shared" ca="1" si="182"/>
        <v>3.0773678139700913E-2</v>
      </c>
      <c r="AQ18" s="353">
        <f t="shared" ca="1" si="182"/>
        <v>1.4014884519768575E-2</v>
      </c>
      <c r="AR18" s="353">
        <f t="shared" ca="1" si="183"/>
        <v>5.7981574687629728E-3</v>
      </c>
      <c r="AS18" s="353">
        <f t="shared" ca="1" si="183"/>
        <v>2.1755158811196415E-3</v>
      </c>
      <c r="AT18" s="353">
        <f t="shared" ca="1" si="183"/>
        <v>7.3930296644674843E-4</v>
      </c>
      <c r="AU18" s="353">
        <f t="shared" ca="1" si="183"/>
        <v>2.2729655637059216E-4</v>
      </c>
      <c r="AV18" s="353">
        <f t="shared" ca="1" si="183"/>
        <v>6.3165460798219225E-5</v>
      </c>
      <c r="AW18" s="353">
        <f t="shared" ca="1" si="183"/>
        <v>1.5854618977006346E-5</v>
      </c>
      <c r="AX18" s="353">
        <f t="shared" ca="1" si="183"/>
        <v>3.5920933490835655E-6</v>
      </c>
      <c r="AY18" s="353">
        <f t="shared" ca="1" si="183"/>
        <v>7.342170484241093E-7</v>
      </c>
      <c r="AZ18" s="353">
        <f t="shared" ca="1" si="183"/>
        <v>1.3532893785396371E-7</v>
      </c>
      <c r="BA18" s="353">
        <f t="shared" ca="1" si="183"/>
        <v>2.2484285980007577E-8</v>
      </c>
      <c r="BB18" s="354">
        <f t="shared" ca="1" si="183"/>
        <v>3.3662479079953109E-9</v>
      </c>
      <c r="BC18" s="341"/>
      <c r="BD18" s="358">
        <f t="shared" si="104"/>
        <v>3.5</v>
      </c>
      <c r="BE18" s="353">
        <f t="shared" ca="1" si="105"/>
        <v>0.22690689393848795</v>
      </c>
      <c r="BF18" s="353">
        <f t="shared" ca="1" si="106"/>
        <v>0.33660550364930997</v>
      </c>
      <c r="BG18" s="353">
        <f t="shared" ca="1" si="107"/>
        <v>0.46238841331656344</v>
      </c>
      <c r="BH18" s="353">
        <f t="shared" ca="1" si="108"/>
        <v>0.59208375896517007</v>
      </c>
      <c r="BI18" s="353">
        <f t="shared" ca="1" si="109"/>
        <v>0.71234052537706183</v>
      </c>
      <c r="BJ18" s="353">
        <f t="shared" ca="1" si="110"/>
        <v>0.81261183662145842</v>
      </c>
      <c r="BK18" s="353">
        <f t="shared" ca="1" si="111"/>
        <v>0.88779578034222284</v>
      </c>
      <c r="BL18" s="353">
        <f t="shared" ca="1" si="112"/>
        <v>0.93848942032625338</v>
      </c>
      <c r="BM18" s="353">
        <f t="shared" ca="1" si="113"/>
        <v>0.96922632186029911</v>
      </c>
      <c r="BN18" s="353">
        <f t="shared" ca="1" si="114"/>
        <v>0.98598511548023138</v>
      </c>
      <c r="BO18" s="353">
        <f t="shared" ca="1" si="115"/>
        <v>0.994201842531237</v>
      </c>
      <c r="BP18" s="353">
        <f t="shared" ca="1" si="116"/>
        <v>0.99782448411888036</v>
      </c>
      <c r="BQ18" s="353">
        <f t="shared" ca="1" si="117"/>
        <v>0.99926069703355325</v>
      </c>
      <c r="BR18" s="353">
        <f t="shared" ca="1" si="118"/>
        <v>0.99977270344362945</v>
      </c>
      <c r="BS18" s="353">
        <f t="shared" ca="1" si="119"/>
        <v>0.99993683453920179</v>
      </c>
      <c r="BT18" s="353">
        <f t="shared" ca="1" si="120"/>
        <v>0.99998414538102298</v>
      </c>
      <c r="BU18" s="353">
        <f t="shared" ca="1" si="121"/>
        <v>0.9999964079066509</v>
      </c>
      <c r="BV18" s="353">
        <f t="shared" ca="1" si="122"/>
        <v>0.99999926578295162</v>
      </c>
      <c r="BW18" s="353">
        <f t="shared" ca="1" si="123"/>
        <v>0.99999986467106217</v>
      </c>
      <c r="BX18" s="353">
        <f t="shared" ca="1" si="124"/>
        <v>0.99999997751571401</v>
      </c>
      <c r="BY18" s="354">
        <f t="shared" ca="1" si="125"/>
        <v>0.99999999663375205</v>
      </c>
      <c r="BZ18" s="17"/>
      <c r="CA18" s="17"/>
      <c r="CB18" s="343" cm="1">
        <f t="array" aca="1" ref="CB18" ca="1">IF($AA18&gt;CDS.Tenor,"-",flatInterpolation(AA18,INDIRECT(HazardRateTimes2),INDIRECT(HazardRateValues2)))</f>
        <v>5.8333333333333336E-3</v>
      </c>
      <c r="CC18" s="10">
        <f t="shared" ca="1" si="126"/>
        <v>0.97979034226775152</v>
      </c>
      <c r="CD18" s="10">
        <f t="shared" ca="1" si="127"/>
        <v>2.0209657732248476E-2</v>
      </c>
      <c r="CE18" s="81">
        <f t="shared" ca="1" si="128"/>
        <v>-2.0494378892172169</v>
      </c>
      <c r="CF18" s="341"/>
      <c r="CG18" s="358">
        <f t="shared" si="129"/>
        <v>3.5</v>
      </c>
      <c r="CH18" s="353">
        <f t="shared" ca="1" si="184"/>
        <v>0.79495110560926041</v>
      </c>
      <c r="CI18" s="353">
        <f t="shared" ca="1" si="184"/>
        <v>0.69019202519698508</v>
      </c>
      <c r="CJ18" s="353">
        <f t="shared" ca="1" si="184"/>
        <v>0.56712837718206721</v>
      </c>
      <c r="CK18" s="353">
        <f t="shared" ca="1" si="184"/>
        <v>0.43712637649233937</v>
      </c>
      <c r="CL18" s="353">
        <f t="shared" ca="1" si="184"/>
        <v>0.31363043809449009</v>
      </c>
      <c r="CM18" s="353">
        <f t="shared" ca="1" si="184"/>
        <v>0.2081340787871622</v>
      </c>
      <c r="CN18" s="353">
        <f t="shared" ca="1" si="184"/>
        <v>0.12709327664775191</v>
      </c>
      <c r="CO18" s="353">
        <f t="shared" ca="1" si="184"/>
        <v>7.1111034887026553E-2</v>
      </c>
      <c r="CP18" s="353">
        <f t="shared" ca="1" si="184"/>
        <v>3.6335364557342993E-2</v>
      </c>
      <c r="CQ18" s="353">
        <f t="shared" ca="1" si="184"/>
        <v>1.6909635459091601E-2</v>
      </c>
      <c r="CR18" s="353">
        <f t="shared" ca="1" si="185"/>
        <v>7.1518060517875475E-3</v>
      </c>
      <c r="CS18" s="353">
        <f t="shared" ca="1" si="185"/>
        <v>2.7442256362618257E-3</v>
      </c>
      <c r="CT18" s="353">
        <f t="shared" ca="1" si="185"/>
        <v>9.5397003594231255E-4</v>
      </c>
      <c r="CU18" s="353">
        <f t="shared" ca="1" si="185"/>
        <v>3.0009635376838624E-4</v>
      </c>
      <c r="CV18" s="353">
        <f t="shared" ca="1" si="185"/>
        <v>8.5346653460400014E-5</v>
      </c>
      <c r="CW18" s="353">
        <f t="shared" ca="1" si="185"/>
        <v>2.1926588506793577E-5</v>
      </c>
      <c r="CX18" s="353">
        <f t="shared" ca="1" si="185"/>
        <v>5.0854523489132076E-6</v>
      </c>
      <c r="CY18" s="353">
        <f t="shared" ca="1" si="185"/>
        <v>1.0641979444827182E-6</v>
      </c>
      <c r="CZ18" s="353">
        <f t="shared" ca="1" si="185"/>
        <v>2.008382874036162E-7</v>
      </c>
      <c r="DA18" s="353">
        <f t="shared" ca="1" si="185"/>
        <v>3.4168719814540617E-8</v>
      </c>
      <c r="DB18" s="354">
        <f t="shared" ca="1" si="185"/>
        <v>5.238662151113929E-9</v>
      </c>
      <c r="DC18" s="341"/>
      <c r="DD18" s="358">
        <f t="shared" si="130"/>
        <v>3.5</v>
      </c>
      <c r="DE18" s="353">
        <f t="shared" ca="1" si="131"/>
        <v>0.20504889439073959</v>
      </c>
      <c r="DF18" s="353">
        <f t="shared" ca="1" si="132"/>
        <v>0.30980797480301492</v>
      </c>
      <c r="DG18" s="353">
        <f t="shared" ca="1" si="133"/>
        <v>0.43287162281793279</v>
      </c>
      <c r="DH18" s="353">
        <f t="shared" ca="1" si="134"/>
        <v>0.56287362350766057</v>
      </c>
      <c r="DI18" s="353">
        <f t="shared" ca="1" si="135"/>
        <v>0.68636956190550991</v>
      </c>
      <c r="DJ18" s="353">
        <f t="shared" ca="1" si="136"/>
        <v>0.79186592121283783</v>
      </c>
      <c r="DK18" s="353">
        <f t="shared" ca="1" si="137"/>
        <v>0.87290672335224806</v>
      </c>
      <c r="DL18" s="353">
        <f t="shared" ca="1" si="138"/>
        <v>0.92888896511297347</v>
      </c>
      <c r="DM18" s="353">
        <f t="shared" ca="1" si="139"/>
        <v>0.96366463544265701</v>
      </c>
      <c r="DN18" s="353">
        <f t="shared" ca="1" si="140"/>
        <v>0.98309036454090837</v>
      </c>
      <c r="DO18" s="353">
        <f t="shared" ca="1" si="141"/>
        <v>0.99284819394821244</v>
      </c>
      <c r="DP18" s="353">
        <f t="shared" ca="1" si="142"/>
        <v>0.99725577436373813</v>
      </c>
      <c r="DQ18" s="353">
        <f t="shared" ca="1" si="143"/>
        <v>0.99904602996405767</v>
      </c>
      <c r="DR18" s="353">
        <f t="shared" ca="1" si="144"/>
        <v>0.99969990364623162</v>
      </c>
      <c r="DS18" s="353">
        <f t="shared" ca="1" si="145"/>
        <v>0.99991465334653962</v>
      </c>
      <c r="DT18" s="353">
        <f t="shared" ca="1" si="146"/>
        <v>0.99997807341149325</v>
      </c>
      <c r="DU18" s="353">
        <f t="shared" ca="1" si="147"/>
        <v>0.9999949145476511</v>
      </c>
      <c r="DV18" s="353">
        <f t="shared" ca="1" si="148"/>
        <v>0.99999893580205557</v>
      </c>
      <c r="DW18" s="353">
        <f t="shared" ca="1" si="149"/>
        <v>0.99999979916171255</v>
      </c>
      <c r="DX18" s="353">
        <f t="shared" ca="1" si="150"/>
        <v>0.99999996583128015</v>
      </c>
      <c r="DY18" s="354">
        <f t="shared" ca="1" si="151"/>
        <v>0.99999999476133783</v>
      </c>
      <c r="DZ18" s="17"/>
      <c r="EA18" s="17"/>
      <c r="EB18" s="343" cm="1">
        <f t="array" aca="1" ref="EB18" ca="1">IF($AA18&gt;CDS.Tenor,"-",flatInterpolation(CC18,INDIRECT(HazardRateTimes3),INDIRECT(HazardRateValues3)))</f>
        <v>7.4999999999999997E-3</v>
      </c>
      <c r="EC18" s="10">
        <f t="shared" ca="1" si="152"/>
        <v>0.97409153628178169</v>
      </c>
      <c r="ED18" s="10">
        <f t="shared" ca="1" si="153"/>
        <v>2.5908463718218311E-2</v>
      </c>
      <c r="EE18" s="81">
        <f t="shared" ca="1" si="154"/>
        <v>-1.9446515751293809</v>
      </c>
      <c r="EF18" s="341"/>
      <c r="EG18" s="358">
        <f t="shared" si="155"/>
        <v>3.5</v>
      </c>
      <c r="EH18" s="353">
        <f t="shared" ca="1" si="186"/>
        <v>0.82868083290997707</v>
      </c>
      <c r="EI18" s="353">
        <f t="shared" ca="1" si="186"/>
        <v>0.73291014127849174</v>
      </c>
      <c r="EJ18" s="353">
        <f t="shared" ca="1" si="186"/>
        <v>0.61574005135029242</v>
      </c>
      <c r="EK18" s="353">
        <f t="shared" ca="1" si="186"/>
        <v>0.48683117327112507</v>
      </c>
      <c r="EL18" s="353">
        <f t="shared" ca="1" si="186"/>
        <v>0.35929562781837132</v>
      </c>
      <c r="EM18" s="353">
        <f t="shared" ca="1" si="186"/>
        <v>0.24583061632785008</v>
      </c>
      <c r="EN18" s="353">
        <f t="shared" ca="1" si="186"/>
        <v>0.15505390135422945</v>
      </c>
      <c r="EO18" s="353">
        <f t="shared" ca="1" si="186"/>
        <v>8.9745694481637703E-2</v>
      </c>
      <c r="EP18" s="353">
        <f t="shared" ca="1" si="186"/>
        <v>4.749436264961971E-2</v>
      </c>
      <c r="EQ18" s="353">
        <f t="shared" ca="1" si="186"/>
        <v>2.2913875415861734E-2</v>
      </c>
      <c r="ER18" s="353">
        <f t="shared" ca="1" si="187"/>
        <v>1.0054624776283652E-2</v>
      </c>
      <c r="ES18" s="353">
        <f t="shared" ca="1" si="187"/>
        <v>4.0052130766858743E-3</v>
      </c>
      <c r="ET18" s="353">
        <f t="shared" ca="1" si="187"/>
        <v>1.4461574419740867E-3</v>
      </c>
      <c r="EU18" s="353">
        <f t="shared" ca="1" si="187"/>
        <v>4.7271155335512014E-4</v>
      </c>
      <c r="EV18" s="353">
        <f t="shared" ca="1" si="187"/>
        <v>1.3974131463634739E-4</v>
      </c>
      <c r="EW18" s="353">
        <f t="shared" ca="1" si="187"/>
        <v>3.732805629346834E-5</v>
      </c>
      <c r="EX18" s="353">
        <f t="shared" ca="1" si="187"/>
        <v>9.0037409833484829E-6</v>
      </c>
      <c r="EY18" s="353">
        <f t="shared" ca="1" si="187"/>
        <v>1.9598907502694714E-6</v>
      </c>
      <c r="EZ18" s="353">
        <f t="shared" ca="1" si="187"/>
        <v>3.8480953738888932E-7</v>
      </c>
      <c r="FA18" s="353">
        <f t="shared" ca="1" si="187"/>
        <v>6.8120996183279669E-8</v>
      </c>
      <c r="FB18" s="354">
        <f t="shared" ca="1" si="187"/>
        <v>1.0868757431126977E-8</v>
      </c>
      <c r="FC18" s="341"/>
      <c r="FD18" s="358">
        <f t="shared" si="156"/>
        <v>3.5</v>
      </c>
      <c r="FE18" s="353">
        <f t="shared" ca="1" si="157"/>
        <v>0.17131916709002293</v>
      </c>
      <c r="FF18" s="353">
        <f t="shared" ca="1" si="158"/>
        <v>0.26708985872150826</v>
      </c>
      <c r="FG18" s="353">
        <f t="shared" ca="1" si="159"/>
        <v>0.38425994864970758</v>
      </c>
      <c r="FH18" s="353">
        <f t="shared" ca="1" si="160"/>
        <v>0.51316882672887498</v>
      </c>
      <c r="FI18" s="353">
        <f t="shared" ca="1" si="161"/>
        <v>0.64070437218162868</v>
      </c>
      <c r="FJ18" s="353">
        <f t="shared" ca="1" si="162"/>
        <v>0.75416938367214992</v>
      </c>
      <c r="FK18" s="353">
        <f t="shared" ca="1" si="163"/>
        <v>0.84494609864577053</v>
      </c>
      <c r="FL18" s="353">
        <f t="shared" ca="1" si="164"/>
        <v>0.91025430551836228</v>
      </c>
      <c r="FM18" s="353">
        <f t="shared" ca="1" si="165"/>
        <v>0.9525056373503803</v>
      </c>
      <c r="FN18" s="353">
        <f t="shared" ca="1" si="166"/>
        <v>0.97708612458413824</v>
      </c>
      <c r="FO18" s="353">
        <f t="shared" ca="1" si="167"/>
        <v>0.9899453752237164</v>
      </c>
      <c r="FP18" s="353">
        <f t="shared" ca="1" si="168"/>
        <v>0.99599478692331411</v>
      </c>
      <c r="FQ18" s="353">
        <f t="shared" ca="1" si="169"/>
        <v>0.99855384255802593</v>
      </c>
      <c r="FR18" s="353">
        <f t="shared" ca="1" si="170"/>
        <v>0.99952728844664485</v>
      </c>
      <c r="FS18" s="353">
        <f t="shared" ca="1" si="171"/>
        <v>0.99986025868536366</v>
      </c>
      <c r="FT18" s="353">
        <f t="shared" ca="1" si="172"/>
        <v>0.99996267194370658</v>
      </c>
      <c r="FU18" s="353">
        <f t="shared" ca="1" si="173"/>
        <v>0.99999099625901666</v>
      </c>
      <c r="FV18" s="353">
        <f t="shared" ca="1" si="174"/>
        <v>0.99999804010924975</v>
      </c>
      <c r="FW18" s="353">
        <f t="shared" ca="1" si="175"/>
        <v>0.99999961519046265</v>
      </c>
      <c r="FX18" s="353">
        <f t="shared" ca="1" si="176"/>
        <v>0.99999993187900382</v>
      </c>
      <c r="FY18" s="354">
        <f t="shared" ca="1" si="177"/>
        <v>0.99999998913124255</v>
      </c>
      <c r="GB18" s="358">
        <f t="shared" si="178"/>
        <v>3.5</v>
      </c>
      <c r="GC18" s="353">
        <f ca="1">IF($GB18&gt;CDS.Tenor,"-",BE18*DE18*FE18)</f>
        <v>7.9709682117899729E-3</v>
      </c>
      <c r="GD18" s="353">
        <f ca="1">IF($GB18&gt;CDS.Tenor,"-",BF18*DF18*FF18)</f>
        <v>2.7852950271259422E-2</v>
      </c>
      <c r="GE18" s="353">
        <f ca="1">IF($GB18&gt;CDS.Tenor,"-",BG18*DG18*FG18)</f>
        <v>7.6911481948238047E-2</v>
      </c>
      <c r="GF18" s="353">
        <f ca="1">IF($GB18&gt;CDS.Tenor,"-",BH18*DH18*FH18)</f>
        <v>0.17102291831728614</v>
      </c>
      <c r="GG18" s="353">
        <f ca="1">IF($GB18&gt;CDS.Tenor,"-",BI18*DI18*FI18)</f>
        <v>0.31325885465536663</v>
      </c>
      <c r="GH18" s="353">
        <f ca="1">IF($GB18&gt;CDS.Tenor,"-",BJ18*DJ18*FJ18)</f>
        <v>0.4852926288694992</v>
      </c>
      <c r="GI18" s="353">
        <f ca="1">IF($GB18&gt;CDS.Tenor,"-",BK18*DK18*FK18)</f>
        <v>0.6548018837025964</v>
      </c>
      <c r="GJ18" s="353">
        <f ca="1">IF($GB18&gt;CDS.Tenor,"-",BL18*DL18*FL18)</f>
        <v>0.79351643590171395</v>
      </c>
      <c r="GK18" s="353">
        <f ca="1">IF($GB18&gt;CDS.Tenor,"-",BM18*DM18*FM18)</f>
        <v>0.88964896177310315</v>
      </c>
      <c r="GL18" s="353">
        <f ca="1">IF($GB18&gt;CDS.Tenor,"-",BN18*DN18*FN18)</f>
        <v>0.94710176151044156</v>
      </c>
      <c r="GM18" s="353">
        <f ca="1">IF($GB18&gt;CDS.Tenor,"-",BO18*DO18*FO18)</f>
        <v>0.97716666908678718</v>
      </c>
      <c r="GN18" s="353">
        <f ca="1">IF($GB18&gt;CDS.Tenor,"-",BP18*DP18*FP18)</f>
        <v>0.99110069621389663</v>
      </c>
      <c r="GO18" s="353">
        <f ca="1">IF($GB18&gt;CDS.Tenor,"-",BQ18*DQ18*FQ18)</f>
        <v>0.99686372254793232</v>
      </c>
      <c r="GP18" s="353">
        <f ca="1">IF($GB18&gt;CDS.Tenor,"-",BR18*DR18*FR18)</f>
        <v>0.99900021301985154</v>
      </c>
      <c r="GQ18" s="353">
        <f ca="1">IF($GB18&gt;CDS.Tenor,"-",BS18*DS18*FS18)</f>
        <v>0.99971177271459044</v>
      </c>
      <c r="GR18" s="353">
        <f ca="1">IF($GB18&gt;CDS.Tenor,"-",BT18*DT18*FT18)</f>
        <v>0.99992489249414662</v>
      </c>
      <c r="GS18" s="353">
        <f ca="1">IF($GB18&gt;CDS.Tenor,"-",BU18*DU18*FU18)</f>
        <v>0.99998231880971622</v>
      </c>
      <c r="GT18" s="353">
        <f ca="1">IF($GB18&gt;CDS.Tenor,"-",BV18*DV18*FV18)</f>
        <v>0.99999624169856305</v>
      </c>
      <c r="GU18" s="353">
        <f ca="1">IF($GB18&gt;CDS.Tenor,"-",BW18*DW18*FW18)</f>
        <v>0.99999927902339392</v>
      </c>
      <c r="GV18" s="353">
        <f ca="1">IF($GB18&gt;CDS.Tenor,"-",BX18*DX18*FX18)</f>
        <v>0.99999987522600264</v>
      </c>
      <c r="GW18" s="354">
        <f ca="1">IF($GB18&gt;CDS.Tenor,"-",BY18*DY18*FY18)</f>
        <v>0.99999998052633254</v>
      </c>
      <c r="GX18" s="42"/>
      <c r="GY18" s="42"/>
      <c r="GZ18" s="358">
        <f t="shared" si="179"/>
        <v>3.5</v>
      </c>
      <c r="HA18" s="362">
        <f t="shared" ca="1" si="180"/>
        <v>0.94160823181120068</v>
      </c>
      <c r="HB18" s="363">
        <f t="shared" ca="1" si="181"/>
        <v>3.9383857893782181E-3</v>
      </c>
    </row>
    <row r="19" spans="2:210" x14ac:dyDescent="0.3">
      <c r="B19" s="1" t="s">
        <v>352</v>
      </c>
      <c r="I19" s="370">
        <f t="shared" si="86"/>
        <v>3.75</v>
      </c>
      <c r="J19" s="371">
        <f t="shared" si="87"/>
        <v>-25000</v>
      </c>
      <c r="K19" s="348">
        <f t="shared" ca="1" si="88"/>
        <v>0.93769815595531791</v>
      </c>
      <c r="L19" s="348">
        <f t="shared" ca="1" si="89"/>
        <v>3.9100758558827664E-3</v>
      </c>
      <c r="M19" s="372" cm="1">
        <f t="array" ref="M19">IF($I19&gt;CDS.Tenor,"-",cubicInterpolation(CurveResults.Times,CurveResults.DFs,$I19))</f>
        <v>0.85424590030706427</v>
      </c>
      <c r="N19" s="371">
        <f t="shared" ca="1" si="90"/>
        <v>-20025.620136258112</v>
      </c>
      <c r="O19" s="371">
        <f t="shared" ca="1" si="91"/>
        <v>-41.752078372218605</v>
      </c>
      <c r="P19" s="373">
        <f t="shared" ca="1" si="92"/>
        <v>-20067.37221463033</v>
      </c>
      <c r="S19" s="370">
        <f t="shared" si="93"/>
        <v>3.75</v>
      </c>
      <c r="T19" s="371">
        <f t="shared" si="94"/>
        <v>6000000</v>
      </c>
      <c r="U19" s="348">
        <f ca="1">IF($I19&gt;CDS.Tenor,"-",HA19)</f>
        <v>0.93769815595531791</v>
      </c>
      <c r="V19" s="348">
        <f t="shared" ca="1" si="95"/>
        <v>3.9100758558827664E-3</v>
      </c>
      <c r="W19" s="372" cm="1">
        <f t="array" ref="W19">IF($S19&gt;CDS.Tenor,"-",cubicInterpolation(CurveResults.Times,CurveResults.DFs,$I19))</f>
        <v>0.85424590030706427</v>
      </c>
      <c r="X19" s="373">
        <f t="shared" ca="1" si="96"/>
        <v>20040.997618664929</v>
      </c>
      <c r="AA19" s="358">
        <f t="shared" si="97"/>
        <v>3.75</v>
      </c>
      <c r="AB19" s="343" cm="1">
        <f t="array" aca="1" ref="AB19" ca="1">IF($AA19&gt;CDS.Tenor,"-",flatInterpolation(Z19,INDIRECT(HazardRateTimes1),INDIRECT(HazardRateValues1)))</f>
        <v>5.0000000000000001E-3</v>
      </c>
      <c r="AC19" s="10">
        <f t="shared" ca="1" si="98"/>
        <v>0.98142468774777769</v>
      </c>
      <c r="AD19" s="10">
        <f t="shared" ca="1" si="99"/>
        <v>1.8575312252222309E-2</v>
      </c>
      <c r="AE19" s="81">
        <f t="shared" ca="1" si="100"/>
        <v>-2.0841049213945508</v>
      </c>
      <c r="AG19" s="358">
        <f t="shared" si="101"/>
        <v>3.75</v>
      </c>
      <c r="AH19" s="353">
        <f t="shared" ca="1" si="182"/>
        <v>0.78297689838671725</v>
      </c>
      <c r="AI19" s="353">
        <f t="shared" ca="1" si="182"/>
        <v>0.67543088091124359</v>
      </c>
      <c r="AJ19" s="353">
        <f t="shared" ca="1" si="182"/>
        <v>0.55078023575022939</v>
      </c>
      <c r="AK19" s="353">
        <f t="shared" ca="1" si="182"/>
        <v>0.42085996133026354</v>
      </c>
      <c r="AL19" s="353">
        <f t="shared" ca="1" si="182"/>
        <v>0.29908956701495548</v>
      </c>
      <c r="AM19" s="353">
        <f t="shared" ca="1" si="182"/>
        <v>0.19645619630058905</v>
      </c>
      <c r="AN19" s="353">
        <f t="shared" ca="1" si="182"/>
        <v>0.11866744296587091</v>
      </c>
      <c r="AO19" s="353">
        <f t="shared" ca="1" si="182"/>
        <v>6.564922262033053E-2</v>
      </c>
      <c r="AP19" s="353">
        <f t="shared" ca="1" si="182"/>
        <v>3.3154568980796439E-2</v>
      </c>
      <c r="AQ19" s="353">
        <f t="shared" ca="1" si="182"/>
        <v>1.5245418848283116E-2</v>
      </c>
      <c r="AR19" s="353">
        <f t="shared" ca="1" si="183"/>
        <v>6.3695317765908857E-3</v>
      </c>
      <c r="AS19" s="353">
        <f t="shared" ca="1" si="183"/>
        <v>2.413868762895829E-3</v>
      </c>
      <c r="AT19" s="353">
        <f t="shared" ca="1" si="183"/>
        <v>8.2863204004521415E-4</v>
      </c>
      <c r="AU19" s="353">
        <f t="shared" ca="1" si="183"/>
        <v>2.5737379605884686E-4</v>
      </c>
      <c r="AV19" s="353">
        <f t="shared" ca="1" si="183"/>
        <v>7.2263668489873519E-5</v>
      </c>
      <c r="AW19" s="353">
        <f t="shared" ca="1" si="183"/>
        <v>1.8327176698736147E-5</v>
      </c>
      <c r="AX19" s="353">
        <f t="shared" ca="1" si="183"/>
        <v>4.195777471178368E-6</v>
      </c>
      <c r="AY19" s="353">
        <f t="shared" ca="1" si="183"/>
        <v>8.6663467182167784E-7</v>
      </c>
      <c r="AZ19" s="353">
        <f t="shared" ca="1" si="183"/>
        <v>1.614237722607332E-7</v>
      </c>
      <c r="BA19" s="353">
        <f t="shared" ca="1" si="183"/>
        <v>2.7104222639586115E-8</v>
      </c>
      <c r="BB19" s="354">
        <f t="shared" ca="1" si="183"/>
        <v>4.1010835559351408E-9</v>
      </c>
      <c r="BD19" s="358">
        <f t="shared" si="104"/>
        <v>3.75</v>
      </c>
      <c r="BE19" s="353">
        <f t="shared" ca="1" si="105"/>
        <v>0.21702310161328275</v>
      </c>
      <c r="BF19" s="353">
        <f t="shared" ca="1" si="106"/>
        <v>0.32456911908875641</v>
      </c>
      <c r="BG19" s="353">
        <f t="shared" ca="1" si="107"/>
        <v>0.44921976424977061</v>
      </c>
      <c r="BH19" s="353">
        <f t="shared" ca="1" si="108"/>
        <v>0.57914003866973651</v>
      </c>
      <c r="BI19" s="353">
        <f t="shared" ca="1" si="109"/>
        <v>0.70091043298504452</v>
      </c>
      <c r="BJ19" s="353">
        <f t="shared" ca="1" si="110"/>
        <v>0.80354380369941092</v>
      </c>
      <c r="BK19" s="353">
        <f t="shared" ca="1" si="111"/>
        <v>0.88133255703412905</v>
      </c>
      <c r="BL19" s="353">
        <f t="shared" ca="1" si="112"/>
        <v>0.93435077737966943</v>
      </c>
      <c r="BM19" s="353">
        <f t="shared" ca="1" si="113"/>
        <v>0.96684543101920362</v>
      </c>
      <c r="BN19" s="353">
        <f t="shared" ca="1" si="114"/>
        <v>0.98475458115171688</v>
      </c>
      <c r="BO19" s="353">
        <f t="shared" ca="1" si="115"/>
        <v>0.99363046822340917</v>
      </c>
      <c r="BP19" s="353">
        <f t="shared" ca="1" si="116"/>
        <v>0.99758613123710416</v>
      </c>
      <c r="BQ19" s="353">
        <f t="shared" ca="1" si="117"/>
        <v>0.99917136795995476</v>
      </c>
      <c r="BR19" s="353">
        <f t="shared" ca="1" si="118"/>
        <v>0.99974262620394116</v>
      </c>
      <c r="BS19" s="353">
        <f t="shared" ca="1" si="119"/>
        <v>0.99992773633151011</v>
      </c>
      <c r="BT19" s="353">
        <f t="shared" ca="1" si="120"/>
        <v>0.9999816728233013</v>
      </c>
      <c r="BU19" s="353">
        <f t="shared" ca="1" si="121"/>
        <v>0.99999580422252887</v>
      </c>
      <c r="BV19" s="353">
        <f t="shared" ca="1" si="122"/>
        <v>0.9999991333653282</v>
      </c>
      <c r="BW19" s="353">
        <f t="shared" ca="1" si="123"/>
        <v>0.99999983857622776</v>
      </c>
      <c r="BX19" s="353">
        <f t="shared" ca="1" si="124"/>
        <v>0.99999997289577736</v>
      </c>
      <c r="BY19" s="354">
        <f t="shared" ca="1" si="125"/>
        <v>0.99999999589891642</v>
      </c>
      <c r="BZ19" s="17"/>
      <c r="CA19" s="17"/>
      <c r="CB19" s="343" cm="1">
        <f t="array" aca="1" ref="CB19" ca="1">IF($AA19&gt;CDS.Tenor,"-",flatInterpolation(AA19,INDIRECT(HazardRateTimes2),INDIRECT(HazardRateValues2)))</f>
        <v>5.8333333333333336E-3</v>
      </c>
      <c r="CC19" s="10">
        <f t="shared" ca="1" si="126"/>
        <v>0.97836252272341173</v>
      </c>
      <c r="CD19" s="10">
        <f t="shared" ca="1" si="127"/>
        <v>2.1637477276588268E-2</v>
      </c>
      <c r="CE19" s="81">
        <f t="shared" ca="1" si="128"/>
        <v>-2.0210464728440596</v>
      </c>
      <c r="CG19" s="358">
        <f t="shared" si="129"/>
        <v>3.75</v>
      </c>
      <c r="CH19" s="353">
        <f t="shared" ca="1" si="184"/>
        <v>0.80445872012799524</v>
      </c>
      <c r="CI19" s="353">
        <f t="shared" ca="1" si="184"/>
        <v>0.70205806206639687</v>
      </c>
      <c r="CJ19" s="353">
        <f t="shared" ca="1" si="184"/>
        <v>0.580433311502358</v>
      </c>
      <c r="CK19" s="353">
        <f t="shared" ca="1" si="184"/>
        <v>0.45052908863104857</v>
      </c>
      <c r="CL19" s="353">
        <f t="shared" ca="1" si="184"/>
        <v>0.32576001237351415</v>
      </c>
      <c r="CM19" s="353">
        <f t="shared" ca="1" si="184"/>
        <v>0.21799622280081202</v>
      </c>
      <c r="CN19" s="353">
        <f t="shared" ca="1" si="184"/>
        <v>0.13429721578614034</v>
      </c>
      <c r="CO19" s="353">
        <f t="shared" ca="1" si="184"/>
        <v>7.5838644892748261E-2</v>
      </c>
      <c r="CP19" s="353">
        <f t="shared" ca="1" si="184"/>
        <v>3.912268027676976E-2</v>
      </c>
      <c r="CQ19" s="353">
        <f t="shared" ca="1" si="184"/>
        <v>1.8386033966893419E-2</v>
      </c>
      <c r="CR19" s="353">
        <f t="shared" ca="1" si="185"/>
        <v>7.8543830760780808E-3</v>
      </c>
      <c r="CS19" s="353">
        <f t="shared" ca="1" si="185"/>
        <v>3.0445960833945765E-3</v>
      </c>
      <c r="CT19" s="353">
        <f t="shared" ca="1" si="185"/>
        <v>1.0693401627981138E-3</v>
      </c>
      <c r="CU19" s="353">
        <f t="shared" ca="1" si="185"/>
        <v>3.3990729543186405E-4</v>
      </c>
      <c r="CV19" s="353">
        <f t="shared" ca="1" si="185"/>
        <v>9.7688622161736197E-5</v>
      </c>
      <c r="CW19" s="353">
        <f t="shared" ca="1" si="185"/>
        <v>2.5364061866047712E-5</v>
      </c>
      <c r="CX19" s="353">
        <f t="shared" ca="1" si="185"/>
        <v>5.9455883994933012E-6</v>
      </c>
      <c r="CY19" s="353">
        <f t="shared" ca="1" si="185"/>
        <v>1.2575584925473451E-6</v>
      </c>
      <c r="CZ19" s="353">
        <f t="shared" ca="1" si="185"/>
        <v>2.398901267432758E-7</v>
      </c>
      <c r="DA19" s="353">
        <f t="shared" ca="1" si="185"/>
        <v>4.1254505723728461E-8</v>
      </c>
      <c r="DB19" s="354">
        <f t="shared" ca="1" si="185"/>
        <v>6.393729918248635E-9</v>
      </c>
      <c r="DD19" s="358">
        <f t="shared" si="130"/>
        <v>3.75</v>
      </c>
      <c r="DE19" s="353">
        <f t="shared" ca="1" si="131"/>
        <v>0.19554127987200476</v>
      </c>
      <c r="DF19" s="353">
        <f t="shared" ca="1" si="132"/>
        <v>0.29794193793360313</v>
      </c>
      <c r="DG19" s="353">
        <f t="shared" ca="1" si="133"/>
        <v>0.419566688497642</v>
      </c>
      <c r="DH19" s="353">
        <f t="shared" ca="1" si="134"/>
        <v>0.54947091136895143</v>
      </c>
      <c r="DI19" s="353">
        <f t="shared" ca="1" si="135"/>
        <v>0.67423998762648585</v>
      </c>
      <c r="DJ19" s="353">
        <f t="shared" ca="1" si="136"/>
        <v>0.78200377719918801</v>
      </c>
      <c r="DK19" s="353">
        <f t="shared" ca="1" si="137"/>
        <v>0.8657027842138596</v>
      </c>
      <c r="DL19" s="353">
        <f t="shared" ca="1" si="138"/>
        <v>0.92416135510725173</v>
      </c>
      <c r="DM19" s="353">
        <f t="shared" ca="1" si="139"/>
        <v>0.96087731972323021</v>
      </c>
      <c r="DN19" s="353">
        <f t="shared" ca="1" si="140"/>
        <v>0.98161396603310658</v>
      </c>
      <c r="DO19" s="353">
        <f t="shared" ca="1" si="141"/>
        <v>0.99214561692392189</v>
      </c>
      <c r="DP19" s="353">
        <f t="shared" ca="1" si="142"/>
        <v>0.99695540391660542</v>
      </c>
      <c r="DQ19" s="353">
        <f t="shared" ca="1" si="143"/>
        <v>0.99893065983720186</v>
      </c>
      <c r="DR19" s="353">
        <f t="shared" ca="1" si="144"/>
        <v>0.99966009270456813</v>
      </c>
      <c r="DS19" s="353">
        <f t="shared" ca="1" si="145"/>
        <v>0.99990231137783825</v>
      </c>
      <c r="DT19" s="353">
        <f t="shared" ca="1" si="146"/>
        <v>0.99997463593813396</v>
      </c>
      <c r="DU19" s="353">
        <f t="shared" ca="1" si="147"/>
        <v>0.9999940544116005</v>
      </c>
      <c r="DV19" s="353">
        <f t="shared" ca="1" si="148"/>
        <v>0.99999874244150744</v>
      </c>
      <c r="DW19" s="353">
        <f t="shared" ca="1" si="149"/>
        <v>0.99999976010987324</v>
      </c>
      <c r="DX19" s="353">
        <f t="shared" ca="1" si="150"/>
        <v>0.9999999587454943</v>
      </c>
      <c r="DY19" s="354">
        <f t="shared" ca="1" si="151"/>
        <v>0.99999999360627012</v>
      </c>
      <c r="DZ19" s="17"/>
      <c r="EA19" s="17"/>
      <c r="EB19" s="343" cm="1">
        <f t="array" aca="1" ref="EB19" ca="1">IF($AA19&gt;CDS.Tenor,"-",flatInterpolation(CC19,INDIRECT(HazardRateTimes3),INDIRECT(HazardRateValues3)))</f>
        <v>7.4999999999999997E-3</v>
      </c>
      <c r="EC19" s="10">
        <f t="shared" ca="1" si="152"/>
        <v>0.97226682585186452</v>
      </c>
      <c r="ED19" s="10">
        <f t="shared" ca="1" si="153"/>
        <v>2.7733174148135475E-2</v>
      </c>
      <c r="EE19" s="81">
        <f t="shared" ca="1" si="154"/>
        <v>-1.9152051317923746</v>
      </c>
      <c r="EG19" s="358">
        <f t="shared" si="155"/>
        <v>3.75</v>
      </c>
      <c r="EH19" s="353">
        <f t="shared" ca="1" si="186"/>
        <v>0.83748167035471177</v>
      </c>
      <c r="EI19" s="353">
        <f t="shared" ca="1" si="186"/>
        <v>0.74435602606971862</v>
      </c>
      <c r="EJ19" s="353">
        <f t="shared" ca="1" si="186"/>
        <v>0.62911364096526956</v>
      </c>
      <c r="EK19" s="353">
        <f t="shared" ca="1" si="186"/>
        <v>0.50086964609442342</v>
      </c>
      <c r="EL19" s="353">
        <f t="shared" ca="1" si="186"/>
        <v>0.37253492681453182</v>
      </c>
      <c r="EM19" s="353">
        <f t="shared" ca="1" si="186"/>
        <v>0.2570477879996097</v>
      </c>
      <c r="EN19" s="353">
        <f t="shared" ca="1" si="186"/>
        <v>0.16359227181507247</v>
      </c>
      <c r="EO19" s="353">
        <f t="shared" ca="1" si="186"/>
        <v>9.5584713266931964E-2</v>
      </c>
      <c r="EP19" s="353">
        <f t="shared" ca="1" si="186"/>
        <v>5.1081747765104851E-2</v>
      </c>
      <c r="EQ19" s="353">
        <f t="shared" ca="1" si="186"/>
        <v>2.4893985711260357E-2</v>
      </c>
      <c r="ER19" s="353">
        <f t="shared" ca="1" si="187"/>
        <v>1.1036540042159641E-2</v>
      </c>
      <c r="ES19" s="353">
        <f t="shared" ca="1" si="187"/>
        <v>4.4426665731681896E-3</v>
      </c>
      <c r="ET19" s="353">
        <f t="shared" ca="1" si="187"/>
        <v>1.6212481187875809E-3</v>
      </c>
      <c r="EU19" s="353">
        <f t="shared" ca="1" si="187"/>
        <v>5.3567194192269939E-4</v>
      </c>
      <c r="EV19" s="353">
        <f t="shared" ca="1" si="187"/>
        <v>1.60081037257014E-4</v>
      </c>
      <c r="EW19" s="353">
        <f t="shared" ca="1" si="187"/>
        <v>4.3231370507163788E-5</v>
      </c>
      <c r="EX19" s="353">
        <f t="shared" ca="1" si="187"/>
        <v>1.0543029468272117E-5</v>
      </c>
      <c r="EY19" s="353">
        <f t="shared" ca="1" si="187"/>
        <v>2.3204838294888246E-6</v>
      </c>
      <c r="EZ19" s="353">
        <f t="shared" ca="1" si="187"/>
        <v>4.6070013956821529E-7</v>
      </c>
      <c r="FA19" s="353">
        <f t="shared" ca="1" si="187"/>
        <v>8.2470333828799981E-8</v>
      </c>
      <c r="FB19" s="354">
        <f t="shared" ca="1" si="187"/>
        <v>1.3306281731352045E-8</v>
      </c>
      <c r="FD19" s="358">
        <f t="shared" si="156"/>
        <v>3.75</v>
      </c>
      <c r="FE19" s="353">
        <f t="shared" ca="1" si="157"/>
        <v>0.16251832964528823</v>
      </c>
      <c r="FF19" s="353">
        <f t="shared" ca="1" si="158"/>
        <v>0.25564397393028138</v>
      </c>
      <c r="FG19" s="353">
        <f t="shared" ca="1" si="159"/>
        <v>0.37088635903473044</v>
      </c>
      <c r="FH19" s="353">
        <f t="shared" ca="1" si="160"/>
        <v>0.49913035390557658</v>
      </c>
      <c r="FI19" s="353">
        <f t="shared" ca="1" si="161"/>
        <v>0.62746507318546818</v>
      </c>
      <c r="FJ19" s="353">
        <f t="shared" ca="1" si="162"/>
        <v>0.7429522120003903</v>
      </c>
      <c r="FK19" s="353">
        <f t="shared" ca="1" si="163"/>
        <v>0.83640772818492759</v>
      </c>
      <c r="FL19" s="353">
        <f t="shared" ca="1" si="164"/>
        <v>0.90441528673306804</v>
      </c>
      <c r="FM19" s="353">
        <f t="shared" ca="1" si="165"/>
        <v>0.94891825223489512</v>
      </c>
      <c r="FN19" s="353">
        <f t="shared" ca="1" si="166"/>
        <v>0.97510601428873966</v>
      </c>
      <c r="FO19" s="353">
        <f t="shared" ca="1" si="167"/>
        <v>0.98896345995784041</v>
      </c>
      <c r="FP19" s="353">
        <f t="shared" ca="1" si="168"/>
        <v>0.99555733342683184</v>
      </c>
      <c r="FQ19" s="353">
        <f t="shared" ca="1" si="169"/>
        <v>0.99837875188121239</v>
      </c>
      <c r="FR19" s="353">
        <f t="shared" ca="1" si="170"/>
        <v>0.99946432805807728</v>
      </c>
      <c r="FS19" s="353">
        <f t="shared" ca="1" si="171"/>
        <v>0.99983991896274294</v>
      </c>
      <c r="FT19" s="353">
        <f t="shared" ca="1" si="172"/>
        <v>0.99995676862949279</v>
      </c>
      <c r="FU19" s="353">
        <f t="shared" ca="1" si="173"/>
        <v>0.99998945697053176</v>
      </c>
      <c r="FV19" s="353">
        <f t="shared" ca="1" si="174"/>
        <v>0.99999767951617047</v>
      </c>
      <c r="FW19" s="353">
        <f t="shared" ca="1" si="175"/>
        <v>0.99999953929986041</v>
      </c>
      <c r="FX19" s="353">
        <f t="shared" ca="1" si="176"/>
        <v>0.99999991752966622</v>
      </c>
      <c r="FY19" s="354">
        <f t="shared" ca="1" si="177"/>
        <v>0.99999998669371826</v>
      </c>
      <c r="GB19" s="358">
        <f t="shared" si="178"/>
        <v>3.75</v>
      </c>
      <c r="GC19" s="353">
        <f ca="1">IF($GB19&gt;CDS.Tenor,"-",BE19*DE19*FE19)</f>
        <v>6.8967863005284799E-3</v>
      </c>
      <c r="GD19" s="353">
        <f ca="1">IF($GB19&gt;CDS.Tenor,"-",BF19*DF19*FF19)</f>
        <v>2.4721475896840164E-2</v>
      </c>
      <c r="GE19" s="353">
        <f ca="1">IF($GB19&gt;CDS.Tenor,"-",BG19*DG19*FG19)</f>
        <v>6.9903788957709961E-2</v>
      </c>
      <c r="GF19" s="353">
        <f ca="1">IF($GB19&gt;CDS.Tenor,"-",BH19*DH19*FH19)</f>
        <v>0.15883356312287503</v>
      </c>
      <c r="GG19" s="353">
        <f ca="1">IF($GB19&gt;CDS.Tenor,"-",BI19*DI19*FI19)</f>
        <v>0.29652859986526742</v>
      </c>
      <c r="GH19" s="353">
        <f ca="1">IF($GB19&gt;CDS.Tenor,"-",BJ19*DJ19*FJ19)</f>
        <v>0.46685206845068306</v>
      </c>
      <c r="GI19" s="353">
        <f ca="1">IF($GB19&gt;CDS.Tenor,"-",BK19*DK19*FK19)</f>
        <v>0.63815571770661428</v>
      </c>
      <c r="GJ19" s="353">
        <f ca="1">IF($GB19&gt;CDS.Tenor,"-",BL19*DL19*FL19)</f>
        <v>0.78095435234093868</v>
      </c>
      <c r="GK19" s="353">
        <f ca="1">IF($GB19&gt;CDS.Tenor,"-",BM19*DM19*FM19)</f>
        <v>0.88156388888464332</v>
      </c>
      <c r="GL19" s="353">
        <f ca="1">IF($GB19&gt;CDS.Tenor,"-",BN19*DN19*FN19)</f>
        <v>0.94258510731455836</v>
      </c>
      <c r="GM19" s="353">
        <f ca="1">IF($GB19&gt;CDS.Tenor,"-",BO19*DO19*FO19)</f>
        <v>0.97494600450936697</v>
      </c>
      <c r="GN19" s="353">
        <f ca="1">IF($GB19&gt;CDS.Tenor,"-",BP19*DP19*FP19)</f>
        <v>0.99013043532494505</v>
      </c>
      <c r="GO19" s="353">
        <f ca="1">IF($GB19&gt;CDS.Tenor,"-",BQ19*DQ19*FQ19)</f>
        <v>0.99648474141518206</v>
      </c>
      <c r="GP19" s="353">
        <f ca="1">IF($GB19&gt;CDS.Tenor,"-",BR19*DR19*FR19)</f>
        <v>0.99886745434967728</v>
      </c>
      <c r="GQ19" s="353">
        <f ca="1">IF($GB19&gt;CDS.Tenor,"-",BS19*DS19*FS19)</f>
        <v>0.99967000093643843</v>
      </c>
      <c r="GR19" s="353">
        <f ca="1">IF($GB19&gt;CDS.Tenor,"-",BT19*DT19*FT19)</f>
        <v>0.99991307974459165</v>
      </c>
      <c r="GS19" s="353">
        <f ca="1">IF($GB19&gt;CDS.Tenor,"-",BU19*DU19*FU19)</f>
        <v>0.99997931573652798</v>
      </c>
      <c r="GT19" s="353">
        <f ca="1">IF($GB19&gt;CDS.Tenor,"-",BV19*DV19*FV19)</f>
        <v>0.99999555532902507</v>
      </c>
      <c r="GU19" s="353">
        <f ca="1">IF($GB19&gt;CDS.Tenor,"-",BW19*DW19*FW19)</f>
        <v>0.999999137986185</v>
      </c>
      <c r="GV19" s="353">
        <f ca="1">IF($GB19&gt;CDS.Tenor,"-",BX19*DX19*FX19)</f>
        <v>0.99999984917094464</v>
      </c>
      <c r="GW19" s="354">
        <f ca="1">IF($GB19&gt;CDS.Tenor,"-",BY19*DY19*FY19)</f>
        <v>0.99999997619890491</v>
      </c>
      <c r="GX19" s="42"/>
      <c r="GY19" s="42"/>
      <c r="GZ19" s="358">
        <f t="shared" si="179"/>
        <v>3.75</v>
      </c>
      <c r="HA19" s="362">
        <f t="shared" ca="1" si="180"/>
        <v>0.93769815595531791</v>
      </c>
      <c r="HB19" s="363">
        <f t="shared" ca="1" si="181"/>
        <v>3.9100758558827664E-3</v>
      </c>
    </row>
    <row r="20" spans="2:210" x14ac:dyDescent="0.3">
      <c r="B20" s="114" t="s">
        <v>123</v>
      </c>
      <c r="C20" s="159"/>
      <c r="D20" s="378">
        <f ca="1">SUM(D21:D22)</f>
        <v>9329.3717692145146</v>
      </c>
      <c r="I20" s="370">
        <f t="shared" si="86"/>
        <v>4</v>
      </c>
      <c r="J20" s="371">
        <f t="shared" si="87"/>
        <v>-25000</v>
      </c>
      <c r="K20" s="348">
        <f t="shared" ca="1" si="88"/>
        <v>0.93381561763585152</v>
      </c>
      <c r="L20" s="348">
        <f t="shared" ca="1" si="89"/>
        <v>3.8825383194663887E-3</v>
      </c>
      <c r="M20" s="372" cm="1">
        <f t="array" ref="M20">IF($I20&gt;CDS.Tenor,"-",cubicInterpolation(CurveResults.Times,CurveResults.DFs,$I20))</f>
        <v>0.84616093081343713</v>
      </c>
      <c r="N20" s="371">
        <f t="shared" ca="1" si="90"/>
        <v>-19753.95730567192</v>
      </c>
      <c r="O20" s="371">
        <f t="shared" ca="1" si="91"/>
        <v>-41.065652978981468</v>
      </c>
      <c r="P20" s="373">
        <f t="shared" ca="1" si="92"/>
        <v>-19795.022958650901</v>
      </c>
      <c r="S20" s="370">
        <f t="shared" si="93"/>
        <v>4</v>
      </c>
      <c r="T20" s="371">
        <f t="shared" si="94"/>
        <v>6000000</v>
      </c>
      <c r="U20" s="348">
        <f ca="1">IF($I20&gt;CDS.Tenor,"-",HA20)</f>
        <v>0.93381561763585152</v>
      </c>
      <c r="V20" s="348">
        <f t="shared" ca="1" si="95"/>
        <v>3.8825383194663887E-3</v>
      </c>
      <c r="W20" s="372" cm="1">
        <f t="array" ref="W20">IF($S20&gt;CDS.Tenor,"-",cubicInterpolation(CurveResults.Times,CurveResults.DFs,$I20))</f>
        <v>0.84616093081343713</v>
      </c>
      <c r="X20" s="373">
        <f t="shared" ca="1" si="96"/>
        <v>19711.513429911105</v>
      </c>
      <c r="AA20" s="358">
        <f t="shared" si="97"/>
        <v>4</v>
      </c>
      <c r="AB20" s="343" cm="1">
        <f t="array" aca="1" ref="AB20" ca="1">IF($AA20&gt;CDS.Tenor,"-",flatInterpolation(Z20,INDIRECT(HazardRateTimes1),INDIRECT(HazardRateValues1)))</f>
        <v>5.0000000000000001E-3</v>
      </c>
      <c r="AC20" s="10">
        <f t="shared" ca="1" si="98"/>
        <v>0.98019867330675592</v>
      </c>
      <c r="AD20" s="10">
        <f t="shared" ca="1" si="99"/>
        <v>1.9801326693244081E-2</v>
      </c>
      <c r="AE20" s="81">
        <f t="shared" ca="1" si="100"/>
        <v>-2.0578695923363179</v>
      </c>
      <c r="AG20" s="358">
        <f t="shared" si="101"/>
        <v>4</v>
      </c>
      <c r="AH20" s="353">
        <f t="shared" ca="1" si="182"/>
        <v>0.7920754643794351</v>
      </c>
      <c r="AI20" s="353">
        <f t="shared" ca="1" si="182"/>
        <v>0.68662875312785054</v>
      </c>
      <c r="AJ20" s="353">
        <f t="shared" ca="1" si="182"/>
        <v>0.56316165205059532</v>
      </c>
      <c r="AK20" s="353">
        <f t="shared" ca="1" si="182"/>
        <v>0.43315917668702064</v>
      </c>
      <c r="AL20" s="353">
        <f t="shared" ca="1" si="182"/>
        <v>0.31006588668705182</v>
      </c>
      <c r="AM20" s="353">
        <f t="shared" ca="1" si="182"/>
        <v>0.20525671659311706</v>
      </c>
      <c r="AN20" s="353">
        <f t="shared" ca="1" si="182"/>
        <v>0.12500661023379969</v>
      </c>
      <c r="AO20" s="353">
        <f t="shared" ca="1" si="182"/>
        <v>6.9751531290290353E-2</v>
      </c>
      <c r="AP20" s="353">
        <f t="shared" ca="1" si="182"/>
        <v>3.5539614757416356E-2</v>
      </c>
      <c r="AQ20" s="353">
        <f t="shared" ca="1" si="182"/>
        <v>1.6491187400303673E-2</v>
      </c>
      <c r="AR20" s="353">
        <f t="shared" ca="1" si="183"/>
        <v>6.9541202770645703E-3</v>
      </c>
      <c r="AS20" s="353">
        <f t="shared" ca="1" si="183"/>
        <v>2.6603225139313585E-3</v>
      </c>
      <c r="AT20" s="353">
        <f t="shared" ca="1" si="183"/>
        <v>9.219774261780432E-4</v>
      </c>
      <c r="AU20" s="353">
        <f t="shared" ca="1" si="183"/>
        <v>2.8913687103602716E-4</v>
      </c>
      <c r="AV20" s="353">
        <f t="shared" ca="1" si="183"/>
        <v>8.1973785911556004E-5</v>
      </c>
      <c r="AW20" s="353">
        <f t="shared" ca="1" si="183"/>
        <v>2.0994027270203906E-5</v>
      </c>
      <c r="AX20" s="353">
        <f t="shared" ca="1" si="183"/>
        <v>4.8538066323738019E-6</v>
      </c>
      <c r="AY20" s="353">
        <f t="shared" ca="1" si="183"/>
        <v>1.0125039573271623E-6</v>
      </c>
      <c r="AZ20" s="353">
        <f t="shared" ca="1" si="183"/>
        <v>1.9047435362362374E-7</v>
      </c>
      <c r="BA20" s="353">
        <f t="shared" ca="1" si="183"/>
        <v>3.2302004586233324E-8</v>
      </c>
      <c r="BB20" s="354">
        <f t="shared" ca="1" si="183"/>
        <v>4.9365971882531953E-9</v>
      </c>
      <c r="BD20" s="358">
        <f t="shared" si="104"/>
        <v>4</v>
      </c>
      <c r="BE20" s="353">
        <f t="shared" ca="1" si="105"/>
        <v>0.2079245356205649</v>
      </c>
      <c r="BF20" s="353">
        <f t="shared" ca="1" si="106"/>
        <v>0.31337124687214946</v>
      </c>
      <c r="BG20" s="353">
        <f t="shared" ca="1" si="107"/>
        <v>0.43683834794940468</v>
      </c>
      <c r="BH20" s="353">
        <f t="shared" ca="1" si="108"/>
        <v>0.56684082331297936</v>
      </c>
      <c r="BI20" s="353">
        <f t="shared" ca="1" si="109"/>
        <v>0.68993411331294818</v>
      </c>
      <c r="BJ20" s="353">
        <f t="shared" ca="1" si="110"/>
        <v>0.79474328340688294</v>
      </c>
      <c r="BK20" s="353">
        <f t="shared" ca="1" si="111"/>
        <v>0.87499338976620034</v>
      </c>
      <c r="BL20" s="353">
        <f t="shared" ca="1" si="112"/>
        <v>0.93024846870970967</v>
      </c>
      <c r="BM20" s="353">
        <f t="shared" ca="1" si="113"/>
        <v>0.9644603852425836</v>
      </c>
      <c r="BN20" s="353">
        <f t="shared" ca="1" si="114"/>
        <v>0.98350881259969636</v>
      </c>
      <c r="BO20" s="353">
        <f t="shared" ca="1" si="115"/>
        <v>0.99304587972293545</v>
      </c>
      <c r="BP20" s="353">
        <f t="shared" ca="1" si="116"/>
        <v>0.99733967748606867</v>
      </c>
      <c r="BQ20" s="353">
        <f t="shared" ca="1" si="117"/>
        <v>0.99907802257382194</v>
      </c>
      <c r="BR20" s="353">
        <f t="shared" ca="1" si="118"/>
        <v>0.99971086312896396</v>
      </c>
      <c r="BS20" s="353">
        <f t="shared" ca="1" si="119"/>
        <v>0.99991802621408843</v>
      </c>
      <c r="BT20" s="353">
        <f t="shared" ca="1" si="120"/>
        <v>0.99997900597272982</v>
      </c>
      <c r="BU20" s="353">
        <f t="shared" ca="1" si="121"/>
        <v>0.9999951461933676</v>
      </c>
      <c r="BV20" s="353">
        <f t="shared" ca="1" si="122"/>
        <v>0.99999898749604266</v>
      </c>
      <c r="BW20" s="353">
        <f t="shared" ca="1" si="123"/>
        <v>0.99999980952564638</v>
      </c>
      <c r="BX20" s="353">
        <f t="shared" ca="1" si="124"/>
        <v>0.99999996769799537</v>
      </c>
      <c r="BY20" s="354">
        <f t="shared" ca="1" si="125"/>
        <v>0.99999999506340276</v>
      </c>
      <c r="BZ20" s="17"/>
      <c r="CA20" s="17"/>
      <c r="CB20" s="343" cm="1">
        <f t="array" aca="1" ref="CB20" ca="1">IF($AA20&gt;CDS.Tenor,"-",flatInterpolation(AA20,INDIRECT(HazardRateTimes2),INDIRECT(HazardRateValues2)))</f>
        <v>5.8333333333333336E-3</v>
      </c>
      <c r="CC20" s="10">
        <f t="shared" ca="1" si="126"/>
        <v>0.97693678389834759</v>
      </c>
      <c r="CD20" s="10">
        <f t="shared" ca="1" si="127"/>
        <v>2.3063216101652406E-2</v>
      </c>
      <c r="CE20" s="81">
        <f t="shared" ca="1" si="128"/>
        <v>-1.9942345120077234</v>
      </c>
      <c r="CG20" s="358">
        <f t="shared" si="129"/>
        <v>4</v>
      </c>
      <c r="CH20" s="353">
        <f t="shared" ca="1" si="184"/>
        <v>0.8131870967692465</v>
      </c>
      <c r="CI20" s="353">
        <f t="shared" ca="1" si="184"/>
        <v>0.71306985370218634</v>
      </c>
      <c r="CJ20" s="353">
        <f t="shared" ca="1" si="184"/>
        <v>0.59291447068769676</v>
      </c>
      <c r="CK20" s="353">
        <f t="shared" ca="1" si="184"/>
        <v>0.4632384664321611</v>
      </c>
      <c r="CL20" s="353">
        <f t="shared" ca="1" si="184"/>
        <v>0.33738696994898854</v>
      </c>
      <c r="CM20" s="353">
        <f t="shared" ca="1" si="184"/>
        <v>0.22755231466926243</v>
      </c>
      <c r="CN20" s="353">
        <f t="shared" ca="1" si="184"/>
        <v>0.14135335230902821</v>
      </c>
      <c r="CO20" s="353">
        <f t="shared" ca="1" si="184"/>
        <v>8.0519509332711792E-2</v>
      </c>
      <c r="CP20" s="353">
        <f t="shared" ca="1" si="184"/>
        <v>4.1912380793859609E-2</v>
      </c>
      <c r="CQ20" s="353">
        <f t="shared" ca="1" si="184"/>
        <v>1.9879727606669735E-2</v>
      </c>
      <c r="CR20" s="353">
        <f t="shared" ca="1" si="185"/>
        <v>8.5729015025613163E-3</v>
      </c>
      <c r="CS20" s="353">
        <f t="shared" ca="1" si="185"/>
        <v>3.3551140387295684E-3</v>
      </c>
      <c r="CT20" s="353">
        <f t="shared" ca="1" si="185"/>
        <v>1.1899014717129161E-3</v>
      </c>
      <c r="CU20" s="353">
        <f t="shared" ca="1" si="185"/>
        <v>3.8196074437535387E-4</v>
      </c>
      <c r="CV20" s="353">
        <f t="shared" ca="1" si="185"/>
        <v>1.1086717471471579E-4</v>
      </c>
      <c r="CW20" s="353">
        <f t="shared" ca="1" si="185"/>
        <v>2.9074338007439319E-5</v>
      </c>
      <c r="CX20" s="353">
        <f t="shared" ca="1" si="185"/>
        <v>6.8840514577091075E-6</v>
      </c>
      <c r="CY20" s="353">
        <f t="shared" ca="1" si="185"/>
        <v>1.4708141474735566E-6</v>
      </c>
      <c r="CZ20" s="353">
        <f t="shared" ca="1" si="185"/>
        <v>2.8342691190337002E-7</v>
      </c>
      <c r="DA20" s="353">
        <f t="shared" ca="1" si="185"/>
        <v>4.9239683374413621E-8</v>
      </c>
      <c r="DB20" s="354">
        <f t="shared" ca="1" si="185"/>
        <v>7.709515832898181E-9</v>
      </c>
      <c r="DD20" s="358">
        <f t="shared" si="130"/>
        <v>4</v>
      </c>
      <c r="DE20" s="353">
        <f t="shared" ca="1" si="131"/>
        <v>0.1868129032307535</v>
      </c>
      <c r="DF20" s="353">
        <f t="shared" ca="1" si="132"/>
        <v>0.28693014629781366</v>
      </c>
      <c r="DG20" s="353">
        <f t="shared" ca="1" si="133"/>
        <v>0.40708552931230324</v>
      </c>
      <c r="DH20" s="353">
        <f t="shared" ca="1" si="134"/>
        <v>0.53676153356783884</v>
      </c>
      <c r="DI20" s="353">
        <f t="shared" ca="1" si="135"/>
        <v>0.66261303005101146</v>
      </c>
      <c r="DJ20" s="353">
        <f t="shared" ca="1" si="136"/>
        <v>0.7724476853307376</v>
      </c>
      <c r="DK20" s="353">
        <f t="shared" ca="1" si="137"/>
        <v>0.85864664769097176</v>
      </c>
      <c r="DL20" s="353">
        <f t="shared" ca="1" si="138"/>
        <v>0.91948049066728821</v>
      </c>
      <c r="DM20" s="353">
        <f t="shared" ca="1" si="139"/>
        <v>0.95808761920614038</v>
      </c>
      <c r="DN20" s="353">
        <f t="shared" ca="1" si="140"/>
        <v>0.98012027239333022</v>
      </c>
      <c r="DO20" s="353">
        <f t="shared" ca="1" si="141"/>
        <v>0.99142709849743871</v>
      </c>
      <c r="DP20" s="353">
        <f t="shared" ca="1" si="142"/>
        <v>0.99664488596127043</v>
      </c>
      <c r="DQ20" s="353">
        <f t="shared" ca="1" si="143"/>
        <v>0.99881009852828706</v>
      </c>
      <c r="DR20" s="353">
        <f t="shared" ca="1" si="144"/>
        <v>0.99961803925562465</v>
      </c>
      <c r="DS20" s="353">
        <f t="shared" ca="1" si="145"/>
        <v>0.99988913282528524</v>
      </c>
      <c r="DT20" s="353">
        <f t="shared" ca="1" si="146"/>
        <v>0.99997092566199253</v>
      </c>
      <c r="DU20" s="353">
        <f t="shared" ca="1" si="147"/>
        <v>0.99999311594854234</v>
      </c>
      <c r="DV20" s="353">
        <f t="shared" ca="1" si="148"/>
        <v>0.99999852918585252</v>
      </c>
      <c r="DW20" s="353">
        <f t="shared" ca="1" si="149"/>
        <v>0.99999971657308806</v>
      </c>
      <c r="DX20" s="353">
        <f t="shared" ca="1" si="150"/>
        <v>0.99999995076031667</v>
      </c>
      <c r="DY20" s="354">
        <f t="shared" ca="1" si="151"/>
        <v>0.9999999922904842</v>
      </c>
      <c r="DZ20" s="17"/>
      <c r="EA20" s="17"/>
      <c r="EB20" s="343" cm="1">
        <f t="array" aca="1" ref="EB20" ca="1">IF($AA20&gt;CDS.Tenor,"-",flatInterpolation(CC20,INDIRECT(HazardRateTimes3),INDIRECT(HazardRateValues3)))</f>
        <v>7.4999999999999997E-3</v>
      </c>
      <c r="EC20" s="10">
        <f t="shared" ca="1" si="152"/>
        <v>0.97044553354850838</v>
      </c>
      <c r="ED20" s="10">
        <f t="shared" ca="1" si="153"/>
        <v>2.9554466451491623E-2</v>
      </c>
      <c r="EE20" s="81">
        <f t="shared" ca="1" si="154"/>
        <v>-1.8873822342171713</v>
      </c>
      <c r="EG20" s="358">
        <f t="shared" si="155"/>
        <v>4</v>
      </c>
      <c r="EH20" s="353">
        <f t="shared" ca="1" si="186"/>
        <v>0.84552200163562574</v>
      </c>
      <c r="EI20" s="353">
        <f t="shared" ca="1" si="186"/>
        <v>0.75493066196633851</v>
      </c>
      <c r="EJ20" s="353">
        <f t="shared" ca="1" si="186"/>
        <v>0.64160845045459858</v>
      </c>
      <c r="EK20" s="353">
        <f t="shared" ca="1" si="186"/>
        <v>0.51413340414269959</v>
      </c>
      <c r="EL20" s="353">
        <f t="shared" ca="1" si="186"/>
        <v>0.385184511875728</v>
      </c>
      <c r="EM20" s="353">
        <f t="shared" ca="1" si="186"/>
        <v>0.26788602653026183</v>
      </c>
      <c r="EN20" s="353">
        <f t="shared" ca="1" si="186"/>
        <v>0.17193511088317662</v>
      </c>
      <c r="EO20" s="353">
        <f t="shared" ca="1" si="186"/>
        <v>0.10135426090676689</v>
      </c>
      <c r="EP20" s="353">
        <f t="shared" ca="1" si="186"/>
        <v>5.4666361770108036E-2</v>
      </c>
      <c r="EQ20" s="353">
        <f t="shared" ca="1" si="186"/>
        <v>2.6894841400634955E-2</v>
      </c>
      <c r="ER20" s="353">
        <f t="shared" ca="1" si="187"/>
        <v>1.2039911796791557E-2</v>
      </c>
      <c r="ES20" s="353">
        <f t="shared" ca="1" si="187"/>
        <v>4.8947105752455405E-3</v>
      </c>
      <c r="ET20" s="353">
        <f t="shared" ca="1" si="187"/>
        <v>1.8042149159929702E-3</v>
      </c>
      <c r="EU20" s="353">
        <f t="shared" ca="1" si="187"/>
        <v>6.022048635731112E-4</v>
      </c>
      <c r="EV20" s="353">
        <f t="shared" ca="1" si="187"/>
        <v>1.8181673759086207E-4</v>
      </c>
      <c r="EW20" s="353">
        <f t="shared" ca="1" si="187"/>
        <v>4.9610823096381926E-5</v>
      </c>
      <c r="EX20" s="353">
        <f t="shared" ca="1" si="187"/>
        <v>1.2225184129090715E-5</v>
      </c>
      <c r="EY20" s="353">
        <f t="shared" ca="1" si="187"/>
        <v>2.7189772584655175E-6</v>
      </c>
      <c r="EZ20" s="353">
        <f t="shared" ca="1" si="187"/>
        <v>5.4551054455374518E-7</v>
      </c>
      <c r="FA20" s="353">
        <f t="shared" ca="1" si="187"/>
        <v>9.86865617726983E-8</v>
      </c>
      <c r="FB20" s="354">
        <f t="shared" ca="1" si="187"/>
        <v>1.6091910722599391E-8</v>
      </c>
      <c r="FD20" s="358">
        <f t="shared" si="156"/>
        <v>4</v>
      </c>
      <c r="FE20" s="353">
        <f t="shared" ca="1" si="157"/>
        <v>0.15447799836437426</v>
      </c>
      <c r="FF20" s="353">
        <f t="shared" ca="1" si="158"/>
        <v>0.24506933803366149</v>
      </c>
      <c r="FG20" s="353">
        <f t="shared" ca="1" si="159"/>
        <v>0.35839154954540142</v>
      </c>
      <c r="FH20" s="353">
        <f t="shared" ca="1" si="160"/>
        <v>0.48586659585730041</v>
      </c>
      <c r="FI20" s="353">
        <f t="shared" ca="1" si="161"/>
        <v>0.614815488124272</v>
      </c>
      <c r="FJ20" s="353">
        <f t="shared" ca="1" si="162"/>
        <v>0.73211397346973817</v>
      </c>
      <c r="FK20" s="353">
        <f t="shared" ca="1" si="163"/>
        <v>0.82806488911682341</v>
      </c>
      <c r="FL20" s="353">
        <f t="shared" ca="1" si="164"/>
        <v>0.89864573909323309</v>
      </c>
      <c r="FM20" s="353">
        <f t="shared" ca="1" si="165"/>
        <v>0.94533363822989191</v>
      </c>
      <c r="FN20" s="353">
        <f t="shared" ca="1" si="166"/>
        <v>0.97310515859936508</v>
      </c>
      <c r="FO20" s="353">
        <f t="shared" ca="1" si="167"/>
        <v>0.98796008820320846</v>
      </c>
      <c r="FP20" s="353">
        <f t="shared" ca="1" si="168"/>
        <v>0.99510528942475451</v>
      </c>
      <c r="FQ20" s="353">
        <f t="shared" ca="1" si="169"/>
        <v>0.99819578508400708</v>
      </c>
      <c r="FR20" s="353">
        <f t="shared" ca="1" si="170"/>
        <v>0.9993977951364269</v>
      </c>
      <c r="FS20" s="353">
        <f t="shared" ca="1" si="171"/>
        <v>0.99981818326240912</v>
      </c>
      <c r="FT20" s="353">
        <f t="shared" ca="1" si="172"/>
        <v>0.9999503891769036</v>
      </c>
      <c r="FU20" s="353">
        <f t="shared" ca="1" si="173"/>
        <v>0.99998777481587087</v>
      </c>
      <c r="FV20" s="353">
        <f t="shared" ca="1" si="174"/>
        <v>0.99999728102274155</v>
      </c>
      <c r="FW20" s="353">
        <f t="shared" ca="1" si="175"/>
        <v>0.99999945448945549</v>
      </c>
      <c r="FX20" s="353">
        <f t="shared" ca="1" si="176"/>
        <v>0.99999990131343819</v>
      </c>
      <c r="FY20" s="354">
        <f t="shared" ca="1" si="177"/>
        <v>0.99999998390808931</v>
      </c>
      <c r="GB20" s="358">
        <f t="shared" si="178"/>
        <v>4</v>
      </c>
      <c r="GC20" s="353">
        <f ca="1">IF($GB20&gt;CDS.Tenor,"-",BE20*DE20*FE20)</f>
        <v>6.0003867512844842E-3</v>
      </c>
      <c r="GD20" s="353">
        <f ca="1">IF($GB20&gt;CDS.Tenor,"-",BF20*DF20*FF20)</f>
        <v>2.2035570713986791E-2</v>
      </c>
      <c r="GE20" s="353">
        <f ca="1">IF($GB20&gt;CDS.Tenor,"-",BG20*DG20*FG20)</f>
        <v>6.3732973574285284E-2</v>
      </c>
      <c r="GF20" s="353">
        <f ca="1">IF($GB20&gt;CDS.Tenor,"-",BH20*DH20*FH20)</f>
        <v>0.14782896858633199</v>
      </c>
      <c r="GG20" s="353">
        <f ca="1">IF($GB20&gt;CDS.Tenor,"-",BI20*DI20*FI20)</f>
        <v>0.28106863868897364</v>
      </c>
      <c r="GH20" s="353">
        <f ca="1">IF($GB20&gt;CDS.Tenor,"-",BJ20*DJ20*FJ20)</f>
        <v>0.44944301834089295</v>
      </c>
      <c r="GI20" s="353">
        <f ca="1">IF($GB20&gt;CDS.Tenor,"-",BK20*DK20*FK20)</f>
        <v>0.62213354849559421</v>
      </c>
      <c r="GJ20" s="353">
        <f ca="1">IF($GB20&gt;CDS.Tenor,"-",BL20*DL20*FL20)</f>
        <v>0.76865242587996241</v>
      </c>
      <c r="GK20" s="353">
        <f ca="1">IF($GB20&gt;CDS.Tenor,"-",BM20*DM20*FM20)</f>
        <v>0.87352378308231571</v>
      </c>
      <c r="GL20" s="353">
        <f ca="1">IF($GB20&gt;CDS.Tenor,"-",BN20*DN20*FN20)</f>
        <v>0.93803145668329435</v>
      </c>
      <c r="GM20" s="353">
        <f ca="1">IF($GB20&gt;CDS.Tenor,"-",BO20*DO20*FO20)</f>
        <v>0.97267890960116921</v>
      </c>
      <c r="GN20" s="353">
        <f ca="1">IF($GB20&gt;CDS.Tenor,"-",BP20*DP20*FP20)</f>
        <v>0.98912817868976988</v>
      </c>
      <c r="GO20" s="353">
        <f ca="1">IF($GB20&gt;CDS.Tenor,"-",BQ20*DQ20*FQ20)</f>
        <v>0.99608881155248463</v>
      </c>
      <c r="GP20" s="353">
        <f ca="1">IF($GB20&gt;CDS.Tenor,"-",BR20*DR20*FR20)</f>
        <v>0.99872721203169101</v>
      </c>
      <c r="GQ20" s="353">
        <f ca="1">IF($GB20&gt;CDS.Tenor,"-",BS20*DS20*FS20)</f>
        <v>0.99962538645004684</v>
      </c>
      <c r="GR20" s="353">
        <f ca="1">IF($GB20&gt;CDS.Tenor,"-",BT20*DT20*FT20)</f>
        <v>0.99990032390591588</v>
      </c>
      <c r="GS20" s="353">
        <f ca="1">IF($GB20&gt;CDS.Tenor,"-",BU20*DU20*FU20)</f>
        <v>0.99997603713469174</v>
      </c>
      <c r="GT20" s="353">
        <f ca="1">IF($GB20&gt;CDS.Tenor,"-",BV20*DV20*FV20)</f>
        <v>0.99999479771287803</v>
      </c>
      <c r="GU20" s="353">
        <f ca="1">IF($GB20&gt;CDS.Tenor,"-",BW20*DW20*FW20)</f>
        <v>0.99999898058850245</v>
      </c>
      <c r="GV20" s="353">
        <f ca="1">IF($GB20&gt;CDS.Tenor,"-",BX20*DX20*FX20)</f>
        <v>0.99999981977175978</v>
      </c>
      <c r="GW20" s="354">
        <f ca="1">IF($GB20&gt;CDS.Tenor,"-",BY20*DY20*FY20)</f>
        <v>0.99999997126197648</v>
      </c>
      <c r="GX20" s="42"/>
      <c r="GY20" s="42"/>
      <c r="GZ20" s="358">
        <f t="shared" si="179"/>
        <v>4</v>
      </c>
      <c r="HA20" s="362">
        <f t="shared" ca="1" si="180"/>
        <v>0.93381561763585152</v>
      </c>
      <c r="HB20" s="363">
        <f t="shared" ca="1" si="181"/>
        <v>3.8825383194663887E-3</v>
      </c>
    </row>
    <row r="21" spans="2:210" x14ac:dyDescent="0.3">
      <c r="B21" s="116" t="s">
        <v>124</v>
      </c>
      <c r="C21" s="160"/>
      <c r="D21" s="379">
        <f ca="1">SUM($P$4:$P$44)</f>
        <v>-429759.49298107048</v>
      </c>
      <c r="I21" s="370">
        <f t="shared" si="86"/>
        <v>4.25</v>
      </c>
      <c r="J21" s="371">
        <f t="shared" si="87"/>
        <v>-25000</v>
      </c>
      <c r="K21" s="348">
        <f t="shared" ca="1" si="88"/>
        <v>0.9299599101806979</v>
      </c>
      <c r="L21" s="348">
        <f t="shared" ca="1" si="89"/>
        <v>3.855707455153623E-3</v>
      </c>
      <c r="M21" s="372" cm="1">
        <f t="array" ref="M21">IF($I21&gt;CDS.Tenor,"-",cubicInterpolation(CurveResults.Times,CurveResults.DFs,$I21))</f>
        <v>0.83819214507342643</v>
      </c>
      <c r="N21" s="371">
        <f t="shared" ca="1" si="90"/>
        <v>-19487.127298666255</v>
      </c>
      <c r="O21" s="371">
        <f t="shared" ca="1" si="91"/>
        <v>-40.39779628263522</v>
      </c>
      <c r="P21" s="373">
        <f t="shared" ca="1" si="92"/>
        <v>-19527.525094948891</v>
      </c>
      <c r="S21" s="370">
        <f t="shared" si="93"/>
        <v>4.25</v>
      </c>
      <c r="T21" s="371">
        <f t="shared" si="94"/>
        <v>6000000</v>
      </c>
      <c r="U21" s="348">
        <f ca="1">IF($I21&gt;CDS.Tenor,"-",HA21)</f>
        <v>0.9299599101806979</v>
      </c>
      <c r="V21" s="348">
        <f t="shared" ca="1" si="95"/>
        <v>3.855707455153623E-3</v>
      </c>
      <c r="W21" s="372" cm="1">
        <f t="array" ref="W21">IF($S21&gt;CDS.Tenor,"-",cubicInterpolation(CurveResults.Times,CurveResults.DFs,$I21))</f>
        <v>0.83819214507342643</v>
      </c>
      <c r="X21" s="373">
        <f t="shared" ca="1" si="96"/>
        <v>19390.942215664905</v>
      </c>
      <c r="AA21" s="358">
        <f t="shared" si="97"/>
        <v>4.25</v>
      </c>
      <c r="AB21" s="343" cm="1">
        <f t="array" aca="1" ref="AB21" ca="1">IF($AA21&gt;CDS.Tenor,"-",flatInterpolation(Z21,INDIRECT(HazardRateTimes1),INDIRECT(HazardRateValues1)))</f>
        <v>5.0000000000000001E-3</v>
      </c>
      <c r="AC21" s="10">
        <f t="shared" ca="1" si="98"/>
        <v>0.97897419042636069</v>
      </c>
      <c r="AD21" s="10">
        <f t="shared" ca="1" si="99"/>
        <v>2.1025809573639309E-2</v>
      </c>
      <c r="AE21" s="81">
        <f t="shared" ca="1" si="100"/>
        <v>-2.0330089464663921</v>
      </c>
      <c r="AG21" s="358">
        <f t="shared" si="101"/>
        <v>4.25</v>
      </c>
      <c r="AH21" s="353">
        <f t="shared" ca="1" si="182"/>
        <v>0.80048584443229098</v>
      </c>
      <c r="AI21" s="353">
        <f t="shared" ca="1" si="182"/>
        <v>0.69708364274792267</v>
      </c>
      <c r="AJ21" s="353">
        <f t="shared" ca="1" si="182"/>
        <v>0.5748376807701685</v>
      </c>
      <c r="AK21" s="353">
        <f t="shared" ca="1" si="182"/>
        <v>0.4448741884507027</v>
      </c>
      <c r="AL21" s="353">
        <f t="shared" ca="1" si="182"/>
        <v>0.32062584431171604</v>
      </c>
      <c r="AM21" s="353">
        <f t="shared" ca="1" si="182"/>
        <v>0.21380843700648408</v>
      </c>
      <c r="AN21" s="353">
        <f t="shared" ca="1" si="182"/>
        <v>0.13122841936483229</v>
      </c>
      <c r="AO21" s="353">
        <f t="shared" ca="1" si="182"/>
        <v>7.3818321279868371E-2</v>
      </c>
      <c r="AP21" s="353">
        <f t="shared" ca="1" si="182"/>
        <v>3.7927748689649043E-2</v>
      </c>
      <c r="AQ21" s="353">
        <f t="shared" ca="1" si="182"/>
        <v>1.7751091486328727E-2</v>
      </c>
      <c r="AR21" s="353">
        <f t="shared" ca="1" si="183"/>
        <v>7.5512767725896416E-3</v>
      </c>
      <c r="AS21" s="353">
        <f t="shared" ca="1" si="183"/>
        <v>2.914601638735595E-3</v>
      </c>
      <c r="AT21" s="353">
        <f t="shared" ca="1" si="183"/>
        <v>1.0192532967150327E-3</v>
      </c>
      <c r="AU21" s="353">
        <f t="shared" ca="1" si="183"/>
        <v>3.2256956821331557E-4</v>
      </c>
      <c r="AV21" s="353">
        <f t="shared" ca="1" si="183"/>
        <v>9.2296872576981114E-5</v>
      </c>
      <c r="AW21" s="353">
        <f t="shared" ca="1" si="183"/>
        <v>2.3857675062970088E-5</v>
      </c>
      <c r="AX21" s="353">
        <f t="shared" ca="1" si="183"/>
        <v>5.5674833023467755E-6</v>
      </c>
      <c r="AY21" s="353">
        <f t="shared" ca="1" si="183"/>
        <v>1.1722960435732475E-6</v>
      </c>
      <c r="AZ21" s="353">
        <f t="shared" ca="1" si="183"/>
        <v>2.2261694613104677E-7</v>
      </c>
      <c r="BA21" s="353">
        <f t="shared" ca="1" si="183"/>
        <v>3.8110697349335739E-8</v>
      </c>
      <c r="BB21" s="354">
        <f t="shared" ca="1" si="183"/>
        <v>5.8796755432769038E-9</v>
      </c>
      <c r="BD21" s="358">
        <f t="shared" si="104"/>
        <v>4.25</v>
      </c>
      <c r="BE21" s="353">
        <f t="shared" ca="1" si="105"/>
        <v>0.19951415556770902</v>
      </c>
      <c r="BF21" s="353">
        <f t="shared" ca="1" si="106"/>
        <v>0.30291635725207733</v>
      </c>
      <c r="BG21" s="353">
        <f t="shared" ca="1" si="107"/>
        <v>0.4251623192298315</v>
      </c>
      <c r="BH21" s="353">
        <f t="shared" ca="1" si="108"/>
        <v>0.5551258115492973</v>
      </c>
      <c r="BI21" s="353">
        <f t="shared" ca="1" si="109"/>
        <v>0.67937415568828396</v>
      </c>
      <c r="BJ21" s="353">
        <f t="shared" ca="1" si="110"/>
        <v>0.78619156299351589</v>
      </c>
      <c r="BK21" s="353">
        <f t="shared" ca="1" si="111"/>
        <v>0.86877158063516768</v>
      </c>
      <c r="BL21" s="353">
        <f t="shared" ca="1" si="112"/>
        <v>0.92618167872013157</v>
      </c>
      <c r="BM21" s="353">
        <f t="shared" ca="1" si="113"/>
        <v>0.96207225131035101</v>
      </c>
      <c r="BN21" s="353">
        <f t="shared" ca="1" si="114"/>
        <v>0.9822489085136713</v>
      </c>
      <c r="BO21" s="353">
        <f t="shared" ca="1" si="115"/>
        <v>0.9924487232274104</v>
      </c>
      <c r="BP21" s="353">
        <f t="shared" ca="1" si="116"/>
        <v>0.99708539836126442</v>
      </c>
      <c r="BQ21" s="353">
        <f t="shared" ca="1" si="117"/>
        <v>0.99898074670328496</v>
      </c>
      <c r="BR21" s="353">
        <f t="shared" ca="1" si="118"/>
        <v>0.9996774304317867</v>
      </c>
      <c r="BS21" s="353">
        <f t="shared" ca="1" si="119"/>
        <v>0.99990770312742305</v>
      </c>
      <c r="BT21" s="353">
        <f t="shared" ca="1" si="120"/>
        <v>0.99997614232493703</v>
      </c>
      <c r="BU21" s="353">
        <f t="shared" ca="1" si="121"/>
        <v>0.99999443251669762</v>
      </c>
      <c r="BV21" s="353">
        <f t="shared" ca="1" si="122"/>
        <v>0.99999882770395643</v>
      </c>
      <c r="BW21" s="353">
        <f t="shared" ca="1" si="123"/>
        <v>0.9999997773830539</v>
      </c>
      <c r="BX21" s="353">
        <f t="shared" ca="1" si="124"/>
        <v>0.99999996188930262</v>
      </c>
      <c r="BY21" s="354">
        <f t="shared" ca="1" si="125"/>
        <v>0.99999999412032448</v>
      </c>
      <c r="BZ21" s="17"/>
      <c r="CA21" s="17"/>
      <c r="CB21" s="343" cm="1">
        <f t="array" aca="1" ref="CB21" ca="1">IF($AA21&gt;CDS.Tenor,"-",flatInterpolation(AA21,INDIRECT(HazardRateTimes2),INDIRECT(HazardRateValues2)))</f>
        <v>5.8333333333333336E-3</v>
      </c>
      <c r="CC21" s="10">
        <f t="shared" ca="1" si="126"/>
        <v>0.97551312276038826</v>
      </c>
      <c r="CD21" s="10">
        <f t="shared" ca="1" si="127"/>
        <v>2.4486877239611737E-2</v>
      </c>
      <c r="CE21" s="81">
        <f t="shared" ca="1" si="128"/>
        <v>-1.9688200896580532</v>
      </c>
      <c r="CG21" s="358">
        <f t="shared" si="129"/>
        <v>4.25</v>
      </c>
      <c r="CH21" s="353">
        <f t="shared" ca="1" si="184"/>
        <v>0.82123406680459365</v>
      </c>
      <c r="CI21" s="353">
        <f t="shared" ca="1" si="184"/>
        <v>0.72332623831024945</v>
      </c>
      <c r="CJ21" s="353">
        <f t="shared" ca="1" si="184"/>
        <v>0.60465880048848542</v>
      </c>
      <c r="CK21" s="353">
        <f t="shared" ca="1" si="184"/>
        <v>0.47532033772287524</v>
      </c>
      <c r="CL21" s="353">
        <f t="shared" ca="1" si="184"/>
        <v>0.34855334465863919</v>
      </c>
      <c r="CM21" s="353">
        <f t="shared" ca="1" si="184"/>
        <v>0.23682407540912012</v>
      </c>
      <c r="CN21" s="353">
        <f t="shared" ca="1" si="184"/>
        <v>0.14826981853795707</v>
      </c>
      <c r="CO21" s="353">
        <f t="shared" ca="1" si="184"/>
        <v>8.5154814500697812E-2</v>
      </c>
      <c r="CP21" s="353">
        <f t="shared" ca="1" si="184"/>
        <v>4.4703281772681701E-2</v>
      </c>
      <c r="CQ21" s="353">
        <f t="shared" ca="1" si="184"/>
        <v>2.1389399432785616E-2</v>
      </c>
      <c r="CR21" s="353">
        <f t="shared" ca="1" si="185"/>
        <v>9.306557881389033E-3</v>
      </c>
      <c r="CS21" s="353">
        <f t="shared" ca="1" si="185"/>
        <v>3.6754272642903789E-3</v>
      </c>
      <c r="CT21" s="353">
        <f t="shared" ca="1" si="185"/>
        <v>1.3155418017937255E-3</v>
      </c>
      <c r="CU21" s="353">
        <f t="shared" ca="1" si="185"/>
        <v>4.2623541013048092E-4</v>
      </c>
      <c r="CV21" s="353">
        <f t="shared" ca="1" si="185"/>
        <v>1.2488412516354705E-4</v>
      </c>
      <c r="CW21" s="353">
        <f t="shared" ca="1" si="185"/>
        <v>3.3061132125416667E-5</v>
      </c>
      <c r="CX21" s="353">
        <f t="shared" ca="1" si="185"/>
        <v>7.9027978953851963E-6</v>
      </c>
      <c r="CY21" s="353">
        <f t="shared" ca="1" si="185"/>
        <v>1.7046873272700289E-6</v>
      </c>
      <c r="CZ21" s="353">
        <f t="shared" ca="1" si="185"/>
        <v>3.3166240920334026E-7</v>
      </c>
      <c r="DA21" s="353">
        <f t="shared" ca="1" si="185"/>
        <v>5.8177369980846928E-8</v>
      </c>
      <c r="DB21" s="354">
        <f t="shared" ca="1" si="185"/>
        <v>9.1973533507873193E-9</v>
      </c>
      <c r="DD21" s="358">
        <f t="shared" si="130"/>
        <v>4.25</v>
      </c>
      <c r="DE21" s="353">
        <f t="shared" ca="1" si="131"/>
        <v>0.17876593319540635</v>
      </c>
      <c r="DF21" s="353">
        <f t="shared" ca="1" si="132"/>
        <v>0.27667376168975055</v>
      </c>
      <c r="DG21" s="353">
        <f t="shared" ca="1" si="133"/>
        <v>0.39534119951151458</v>
      </c>
      <c r="DH21" s="353">
        <f t="shared" ca="1" si="134"/>
        <v>0.52467966227712481</v>
      </c>
      <c r="DI21" s="353">
        <f t="shared" ca="1" si="135"/>
        <v>0.65144665534136081</v>
      </c>
      <c r="DJ21" s="353">
        <f t="shared" ca="1" si="136"/>
        <v>0.76317592459087991</v>
      </c>
      <c r="DK21" s="353">
        <f t="shared" ca="1" si="137"/>
        <v>0.85173018146204293</v>
      </c>
      <c r="DL21" s="353">
        <f t="shared" ca="1" si="138"/>
        <v>0.91484518549930216</v>
      </c>
      <c r="DM21" s="353">
        <f t="shared" ca="1" si="139"/>
        <v>0.95529671822731832</v>
      </c>
      <c r="DN21" s="353">
        <f t="shared" ca="1" si="140"/>
        <v>0.97861060056721438</v>
      </c>
      <c r="DO21" s="353">
        <f t="shared" ca="1" si="141"/>
        <v>0.99069344211861099</v>
      </c>
      <c r="DP21" s="353">
        <f t="shared" ca="1" si="142"/>
        <v>0.99632457273570962</v>
      </c>
      <c r="DQ21" s="353">
        <f t="shared" ca="1" si="143"/>
        <v>0.99868445819820628</v>
      </c>
      <c r="DR21" s="353">
        <f t="shared" ca="1" si="144"/>
        <v>0.99957376458986957</v>
      </c>
      <c r="DS21" s="353">
        <f t="shared" ca="1" si="145"/>
        <v>0.99987511587483646</v>
      </c>
      <c r="DT21" s="353">
        <f t="shared" ca="1" si="146"/>
        <v>0.99996693886787458</v>
      </c>
      <c r="DU21" s="353">
        <f t="shared" ca="1" si="147"/>
        <v>0.99999209720210458</v>
      </c>
      <c r="DV21" s="353">
        <f t="shared" ca="1" si="148"/>
        <v>0.9999982953126727</v>
      </c>
      <c r="DW21" s="353">
        <f t="shared" ca="1" si="149"/>
        <v>0.9999996683375908</v>
      </c>
      <c r="DX21" s="353">
        <f t="shared" ca="1" si="150"/>
        <v>0.99999994182262997</v>
      </c>
      <c r="DY21" s="354">
        <f t="shared" ca="1" si="151"/>
        <v>0.99999999080264668</v>
      </c>
      <c r="DZ21" s="17"/>
      <c r="EA21" s="17"/>
      <c r="EB21" s="343" cm="1">
        <f t="array" aca="1" ref="EB21" ca="1">IF($AA21&gt;CDS.Tenor,"-",flatInterpolation(CC21,INDIRECT(HazardRateTimes3),INDIRECT(HazardRateValues3)))</f>
        <v>7.4999999999999997E-3</v>
      </c>
      <c r="EC21" s="10">
        <f t="shared" ca="1" si="152"/>
        <v>0.96862765296873066</v>
      </c>
      <c r="ED21" s="10">
        <f t="shared" ca="1" si="153"/>
        <v>3.1372347031269343E-2</v>
      </c>
      <c r="EE21" s="81">
        <f t="shared" ca="1" si="154"/>
        <v>-1.8609963363894626</v>
      </c>
      <c r="EG21" s="358">
        <f t="shared" si="155"/>
        <v>4.25</v>
      </c>
      <c r="EH21" s="353">
        <f t="shared" ca="1" si="186"/>
        <v>0.85289996141991342</v>
      </c>
      <c r="EI21" s="353">
        <f t="shared" ca="1" si="186"/>
        <v>0.76473760769087806</v>
      </c>
      <c r="EJ21" s="353">
        <f t="shared" ca="1" si="186"/>
        <v>0.65331970888699564</v>
      </c>
      <c r="EK21" s="353">
        <f t="shared" ca="1" si="186"/>
        <v>0.52669791721287629</v>
      </c>
      <c r="EL21" s="353">
        <f t="shared" ca="1" si="186"/>
        <v>0.39729495585740243</v>
      </c>
      <c r="EM21" s="353">
        <f t="shared" ca="1" si="186"/>
        <v>0.27837291798181518</v>
      </c>
      <c r="EN21" s="353">
        <f t="shared" ca="1" si="186"/>
        <v>0.18009352573274195</v>
      </c>
      <c r="EO21" s="353">
        <f t="shared" ca="1" si="186"/>
        <v>0.10705639074788319</v>
      </c>
      <c r="EP21" s="353">
        <f t="shared" ca="1" si="186"/>
        <v>5.8246837415585465E-2</v>
      </c>
      <c r="EQ21" s="353">
        <f t="shared" ca="1" si="186"/>
        <v>2.891467991991355E-2</v>
      </c>
      <c r="ER21" s="353">
        <f t="shared" ca="1" si="187"/>
        <v>1.306359335743601E-2</v>
      </c>
      <c r="ES21" s="353">
        <f t="shared" ca="1" si="187"/>
        <v>5.3608173494149383E-3</v>
      </c>
      <c r="ET21" s="353">
        <f t="shared" ca="1" si="187"/>
        <v>1.9948831098920206E-3</v>
      </c>
      <c r="EU21" s="353">
        <f t="shared" ca="1" si="187"/>
        <v>6.7227668296816593E-4</v>
      </c>
      <c r="EV21" s="353">
        <f t="shared" ca="1" si="187"/>
        <v>2.0495234137945687E-4</v>
      </c>
      <c r="EW21" s="353">
        <f t="shared" ca="1" si="187"/>
        <v>5.6473453101097921E-5</v>
      </c>
      <c r="EX21" s="353">
        <f t="shared" ca="1" si="187"/>
        <v>1.4054011165190264E-5</v>
      </c>
      <c r="EY21" s="353">
        <f t="shared" ca="1" si="187"/>
        <v>3.156828901338746E-6</v>
      </c>
      <c r="EZ21" s="353">
        <f t="shared" ca="1" si="187"/>
        <v>6.3968944912684376E-7</v>
      </c>
      <c r="FA21" s="353">
        <f t="shared" ca="1" si="187"/>
        <v>1.1688577386344687E-7</v>
      </c>
      <c r="FB21" s="354">
        <f t="shared" ca="1" si="187"/>
        <v>1.9251450573862631E-8</v>
      </c>
      <c r="FD21" s="358">
        <f t="shared" si="156"/>
        <v>4.25</v>
      </c>
      <c r="FE21" s="353">
        <f t="shared" ca="1" si="157"/>
        <v>0.14710003858008658</v>
      </c>
      <c r="FF21" s="353">
        <f t="shared" ca="1" si="158"/>
        <v>0.23526239230912194</v>
      </c>
      <c r="FG21" s="353">
        <f t="shared" ca="1" si="159"/>
        <v>0.34668029111300436</v>
      </c>
      <c r="FH21" s="353">
        <f t="shared" ca="1" si="160"/>
        <v>0.47330208278712371</v>
      </c>
      <c r="FI21" s="353">
        <f t="shared" ca="1" si="161"/>
        <v>0.60270504414259762</v>
      </c>
      <c r="FJ21" s="353">
        <f t="shared" ca="1" si="162"/>
        <v>0.72162708201818482</v>
      </c>
      <c r="FK21" s="353">
        <f t="shared" ca="1" si="163"/>
        <v>0.81990647426725805</v>
      </c>
      <c r="FL21" s="353">
        <f t="shared" ca="1" si="164"/>
        <v>0.8929436092521168</v>
      </c>
      <c r="FM21" s="353">
        <f t="shared" ca="1" si="165"/>
        <v>0.94175316258441455</v>
      </c>
      <c r="FN21" s="353">
        <f t="shared" ca="1" si="166"/>
        <v>0.97108532008008641</v>
      </c>
      <c r="FO21" s="353">
        <f t="shared" ca="1" si="167"/>
        <v>0.98693640664256399</v>
      </c>
      <c r="FP21" s="353">
        <f t="shared" ca="1" si="168"/>
        <v>0.99463918265058504</v>
      </c>
      <c r="FQ21" s="353">
        <f t="shared" ca="1" si="169"/>
        <v>0.99800511689010796</v>
      </c>
      <c r="FR21" s="353">
        <f t="shared" ca="1" si="170"/>
        <v>0.99932772331703179</v>
      </c>
      <c r="FS21" s="353">
        <f t="shared" ca="1" si="171"/>
        <v>0.99979504765862059</v>
      </c>
      <c r="FT21" s="353">
        <f t="shared" ca="1" si="172"/>
        <v>0.99994352654689889</v>
      </c>
      <c r="FU21" s="353">
        <f t="shared" ca="1" si="173"/>
        <v>0.99998594598883483</v>
      </c>
      <c r="FV21" s="353">
        <f t="shared" ca="1" si="174"/>
        <v>0.99999684317109871</v>
      </c>
      <c r="FW21" s="353">
        <f t="shared" ca="1" si="175"/>
        <v>0.99999936031055092</v>
      </c>
      <c r="FX21" s="353">
        <f t="shared" ca="1" si="176"/>
        <v>0.99999988311422616</v>
      </c>
      <c r="FY21" s="354">
        <f t="shared" ca="1" si="177"/>
        <v>0.99999998074854946</v>
      </c>
      <c r="GB21" s="358">
        <f t="shared" si="178"/>
        <v>4.25</v>
      </c>
      <c r="GC21" s="353">
        <f ca="1">IF($GB21&gt;CDS.Tenor,"-",BE21*DE21*FE21)</f>
        <v>5.2465191376768186E-3</v>
      </c>
      <c r="GD21" s="353">
        <f ca="1">IF($GB21&gt;CDS.Tenor,"-",BF21*DF21*FF21)</f>
        <v>1.9717107728142204E-2</v>
      </c>
      <c r="GE21" s="353">
        <f ca="1">IF($GB21&gt;CDS.Tenor,"-",BG21*DG21*FG21)</f>
        <v>5.8271472894666561E-2</v>
      </c>
      <c r="GF21" s="353">
        <f ca="1">IF($GB21&gt;CDS.Tenor,"-",BH21*DH21*FH21)</f>
        <v>0.13785549023901372</v>
      </c>
      <c r="GG21" s="353">
        <f ca="1">IF($GB21&gt;CDS.Tenor,"-",BI21*DI21*FI21)</f>
        <v>0.26674280054356952</v>
      </c>
      <c r="GH21" s="353">
        <f ca="1">IF($GB21&gt;CDS.Tenor,"-",BJ21*DJ21*FJ21)</f>
        <v>0.43297803378972388</v>
      </c>
      <c r="GI21" s="353">
        <f ca="1">IF($GB21&gt;CDS.Tenor,"-",BK21*DK21*FK21)</f>
        <v>0.6066971551338034</v>
      </c>
      <c r="GJ21" s="353">
        <f ca="1">IF($GB21&gt;CDS.Tenor,"-",BL21*DL21*FL21)</f>
        <v>0.75660259415428877</v>
      </c>
      <c r="GK21" s="353">
        <f ca="1">IF($GB21&gt;CDS.Tenor,"-",BM21*DM21*FM21)</f>
        <v>0.86553186594349152</v>
      </c>
      <c r="GL21" s="353">
        <f ca="1">IF($GB21&gt;CDS.Tenor,"-",BN21*DN21*FN21)</f>
        <v>0.93344527063834726</v>
      </c>
      <c r="GM21" s="353">
        <f ca="1">IF($GB21&gt;CDS.Tenor,"-",BO21*DO21*FO21)</f>
        <v>0.97036815421751577</v>
      </c>
      <c r="GN21" s="353">
        <f ca="1">IF($GB21&gt;CDS.Tenor,"-",BP21*DP21*FP21)</f>
        <v>0.98809513666790938</v>
      </c>
      <c r="GO21" s="353">
        <f ca="1">IF($GB21&gt;CDS.Tenor,"-",BQ21*DQ21*FQ21)</f>
        <v>0.99567631763034514</v>
      </c>
      <c r="GP21" s="353">
        <f ca="1">IF($GB21&gt;CDS.Tenor,"-",BR21*DR21*FR21)</f>
        <v>0.99857955914095553</v>
      </c>
      <c r="GQ21" s="353">
        <f ca="1">IF($GB21&gt;CDS.Tenor,"-",BS21*DS21*FS21)</f>
        <v>0.99957792269668588</v>
      </c>
      <c r="GR21" s="353">
        <f ca="1">IF($GB21&gt;CDS.Tenor,"-",BT21*DT21*FT21)</f>
        <v>0.99988661174282922</v>
      </c>
      <c r="GS21" s="353">
        <f ca="1">IF($GB21&gt;CDS.Tenor,"-",BU21*DU21*FU21)</f>
        <v>0.99997247594094663</v>
      </c>
      <c r="GT21" s="353">
        <f ca="1">IF($GB21&gt;CDS.Tenor,"-",BV21*DV21*FV21)</f>
        <v>0.99999396619880843</v>
      </c>
      <c r="GU21" s="353">
        <f ca="1">IF($GB21&gt;CDS.Tenor,"-",BW21*DW21*FW21)</f>
        <v>0.99999880603162405</v>
      </c>
      <c r="GV21" s="353">
        <f ca="1">IF($GB21&gt;CDS.Tenor,"-",BX21*DX21*FX21)</f>
        <v>0.99999978682617219</v>
      </c>
      <c r="GW21" s="354">
        <f ca="1">IF($GB21&gt;CDS.Tenor,"-",BY21*DY21*FY21)</f>
        <v>0.99999996567152094</v>
      </c>
      <c r="GX21" s="42"/>
      <c r="GY21" s="42"/>
      <c r="GZ21" s="358">
        <f t="shared" si="179"/>
        <v>4.25</v>
      </c>
      <c r="HA21" s="362">
        <f t="shared" ca="1" si="180"/>
        <v>0.9299599101806979</v>
      </c>
      <c r="HB21" s="363">
        <f t="shared" ca="1" si="181"/>
        <v>3.855707455153623E-3</v>
      </c>
    </row>
    <row r="22" spans="2:210" x14ac:dyDescent="0.3">
      <c r="B22" s="116" t="s">
        <v>125</v>
      </c>
      <c r="C22" s="160"/>
      <c r="D22" s="379">
        <f ca="1">SUM($X$5:$X$44)</f>
        <v>439088.86475028499</v>
      </c>
      <c r="I22" s="370">
        <f t="shared" si="86"/>
        <v>4.5</v>
      </c>
      <c r="J22" s="371">
        <f t="shared" si="87"/>
        <v>-25000</v>
      </c>
      <c r="K22" s="348">
        <f t="shared" ca="1" si="88"/>
        <v>0.92613038319160135</v>
      </c>
      <c r="L22" s="348">
        <f t="shared" ca="1" si="89"/>
        <v>3.8295269890965544E-3</v>
      </c>
      <c r="M22" s="372" cm="1">
        <f t="array" ref="M22">IF($I22&gt;CDS.Tenor,"-",cubicInterpolation(CurveResults.Times,CurveResults.DFs,$I22))</f>
        <v>0.8303546218014306</v>
      </c>
      <c r="N22" s="371">
        <f t="shared" ca="1" si="90"/>
        <v>-19225.416101846902</v>
      </c>
      <c r="O22" s="371">
        <f t="shared" ca="1" si="91"/>
        <v>-39.74831793387051</v>
      </c>
      <c r="P22" s="373">
        <f t="shared" ca="1" si="92"/>
        <v>-19265.164419780773</v>
      </c>
      <c r="S22" s="370">
        <f t="shared" si="93"/>
        <v>4.5</v>
      </c>
      <c r="T22" s="371">
        <f t="shared" si="94"/>
        <v>6000000</v>
      </c>
      <c r="U22" s="348">
        <f ca="1">IF($I22&gt;CDS.Tenor,"-",HA22)</f>
        <v>0.92613038319160135</v>
      </c>
      <c r="V22" s="348">
        <f t="shared" ca="1" si="95"/>
        <v>3.8295269890965544E-3</v>
      </c>
      <c r="W22" s="372" cm="1">
        <f t="array" ref="W22">IF($S22&gt;CDS.Tenor,"-",cubicInterpolation(CurveResults.Times,CurveResults.DFs,$I22))</f>
        <v>0.8303546218014306</v>
      </c>
      <c r="X22" s="373">
        <f t="shared" ca="1" si="96"/>
        <v>19079.192608257843</v>
      </c>
      <c r="AA22" s="358">
        <f t="shared" si="97"/>
        <v>4.5</v>
      </c>
      <c r="AB22" s="343" cm="1">
        <f t="array" aca="1" ref="AB22" ca="1">IF($AA22&gt;CDS.Tenor,"-",flatInterpolation(Z22,INDIRECT(HazardRateTimes1),INDIRECT(HazardRateValues1)))</f>
        <v>5.0000000000000001E-3</v>
      </c>
      <c r="AC22" s="10">
        <f t="shared" ca="1" si="98"/>
        <v>0.97775123719333712</v>
      </c>
      <c r="AD22" s="10">
        <f t="shared" ca="1" si="99"/>
        <v>2.2248762806662881E-2</v>
      </c>
      <c r="AE22" s="81">
        <f t="shared" ca="1" si="100"/>
        <v>-2.0093736207925192</v>
      </c>
      <c r="AG22" s="358">
        <f t="shared" si="101"/>
        <v>4.5</v>
      </c>
      <c r="AH22" s="353">
        <f t="shared" ca="1" si="182"/>
        <v>0.80828873525627531</v>
      </c>
      <c r="AI22" s="353">
        <f t="shared" ca="1" si="182"/>
        <v>0.70687583004143506</v>
      </c>
      <c r="AJ22" s="353">
        <f t="shared" ca="1" si="182"/>
        <v>0.58587784249823038</v>
      </c>
      <c r="AK22" s="353">
        <f t="shared" ca="1" si="182"/>
        <v>0.45605678617446321</v>
      </c>
      <c r="AL22" s="353">
        <f t="shared" ca="1" si="182"/>
        <v>0.33080194772031607</v>
      </c>
      <c r="AM22" s="353">
        <f t="shared" ca="1" si="182"/>
        <v>0.22212783428565736</v>
      </c>
      <c r="AN22" s="353">
        <f t="shared" ca="1" si="182"/>
        <v>0.13733887730034552</v>
      </c>
      <c r="AO22" s="353">
        <f t="shared" ca="1" si="182"/>
        <v>7.7850383231688872E-2</v>
      </c>
      <c r="AP22" s="353">
        <f t="shared" ca="1" si="182"/>
        <v>4.0318047396095846E-2</v>
      </c>
      <c r="AQ22" s="353">
        <f t="shared" ca="1" si="182"/>
        <v>1.9024150977180836E-2</v>
      </c>
      <c r="AR22" s="353">
        <f t="shared" ca="1" si="183"/>
        <v>8.1604162743586072E-3</v>
      </c>
      <c r="AS22" s="353">
        <f t="shared" ca="1" si="183"/>
        <v>3.1764539252784147E-3</v>
      </c>
      <c r="AT22" s="353">
        <f t="shared" ca="1" si="183"/>
        <v>1.1203803888093394E-3</v>
      </c>
      <c r="AU22" s="353">
        <f t="shared" ca="1" si="183"/>
        <v>3.5765688917776146E-4</v>
      </c>
      <c r="AV22" s="353">
        <f t="shared" ca="1" si="183"/>
        <v>1.0323402945064287E-4</v>
      </c>
      <c r="AW22" s="353">
        <f t="shared" ca="1" si="183"/>
        <v>2.6920556699865398E-5</v>
      </c>
      <c r="AX22" s="353">
        <f t="shared" ca="1" si="183"/>
        <v>6.3380806815272298E-6</v>
      </c>
      <c r="AY22" s="353">
        <f t="shared" ca="1" si="183"/>
        <v>1.3464752796987934E-6</v>
      </c>
      <c r="AZ22" s="353">
        <f t="shared" ca="1" si="183"/>
        <v>2.5798708586964773E-7</v>
      </c>
      <c r="BA22" s="353">
        <f t="shared" ca="1" si="183"/>
        <v>4.456350484706597E-8</v>
      </c>
      <c r="BB22" s="354">
        <f t="shared" ca="1" si="183"/>
        <v>6.9373016979557585E-9</v>
      </c>
      <c r="BD22" s="358">
        <f t="shared" si="104"/>
        <v>4.5</v>
      </c>
      <c r="BE22" s="353">
        <f t="shared" ca="1" si="105"/>
        <v>0.19171126474372469</v>
      </c>
      <c r="BF22" s="353">
        <f t="shared" ca="1" si="106"/>
        <v>0.29312416995856494</v>
      </c>
      <c r="BG22" s="353">
        <f t="shared" ca="1" si="107"/>
        <v>0.41412215750176962</v>
      </c>
      <c r="BH22" s="353">
        <f t="shared" ca="1" si="108"/>
        <v>0.54394321382553679</v>
      </c>
      <c r="BI22" s="353">
        <f t="shared" ca="1" si="109"/>
        <v>0.66919805227968387</v>
      </c>
      <c r="BJ22" s="353">
        <f t="shared" ca="1" si="110"/>
        <v>0.77787216571434259</v>
      </c>
      <c r="BK22" s="353">
        <f t="shared" ca="1" si="111"/>
        <v>0.86266112269965445</v>
      </c>
      <c r="BL22" s="353">
        <f t="shared" ca="1" si="112"/>
        <v>0.92214961676831109</v>
      </c>
      <c r="BM22" s="353">
        <f t="shared" ca="1" si="113"/>
        <v>0.95968195260390421</v>
      </c>
      <c r="BN22" s="353">
        <f t="shared" ca="1" si="114"/>
        <v>0.9809758490228192</v>
      </c>
      <c r="BO22" s="353">
        <f t="shared" ca="1" si="115"/>
        <v>0.9918395837256414</v>
      </c>
      <c r="BP22" s="353">
        <f t="shared" ca="1" si="116"/>
        <v>0.99682354607472157</v>
      </c>
      <c r="BQ22" s="353">
        <f t="shared" ca="1" si="117"/>
        <v>0.99887961961119065</v>
      </c>
      <c r="BR22" s="353">
        <f t="shared" ca="1" si="118"/>
        <v>0.99964234311082223</v>
      </c>
      <c r="BS22" s="353">
        <f t="shared" ca="1" si="119"/>
        <v>0.99989676597054933</v>
      </c>
      <c r="BT22" s="353">
        <f t="shared" ca="1" si="120"/>
        <v>0.99997307944330016</v>
      </c>
      <c r="BU22" s="353">
        <f t="shared" ca="1" si="121"/>
        <v>0.99999366191931849</v>
      </c>
      <c r="BV22" s="353">
        <f t="shared" ca="1" si="122"/>
        <v>0.99999865352472028</v>
      </c>
      <c r="BW22" s="353">
        <f t="shared" ca="1" si="123"/>
        <v>0.99999974201291408</v>
      </c>
      <c r="BX22" s="353">
        <f t="shared" ca="1" si="124"/>
        <v>0.99999995543649511</v>
      </c>
      <c r="BY22" s="354">
        <f t="shared" ca="1" si="125"/>
        <v>0.99999999306269827</v>
      </c>
      <c r="BZ22" s="17"/>
      <c r="CA22" s="17"/>
      <c r="CB22" s="343" cm="1">
        <f t="array" aca="1" ref="CB22" ca="1">IF($AA22&gt;CDS.Tenor,"-",flatInterpolation(AA22,INDIRECT(HazardRateTimes2),INDIRECT(HazardRateValues2)))</f>
        <v>5.8333333333333336E-3</v>
      </c>
      <c r="CC22" s="10">
        <f t="shared" ca="1" si="126"/>
        <v>0.97409153628178158</v>
      </c>
      <c r="CD22" s="10">
        <f t="shared" ca="1" si="127"/>
        <v>2.5908463718218422E-2</v>
      </c>
      <c r="CE22" s="81">
        <f t="shared" ca="1" si="128"/>
        <v>-1.9446515751293791</v>
      </c>
      <c r="CG22" s="358">
        <f t="shared" si="129"/>
        <v>4.5</v>
      </c>
      <c r="CH22" s="353">
        <f t="shared" ca="1" si="184"/>
        <v>0.82868083290997752</v>
      </c>
      <c r="CI22" s="353">
        <f t="shared" ca="1" si="184"/>
        <v>0.73291014127849241</v>
      </c>
      <c r="CJ22" s="353">
        <f t="shared" ca="1" si="184"/>
        <v>0.61574005135029308</v>
      </c>
      <c r="CK22" s="353">
        <f t="shared" ca="1" si="184"/>
        <v>0.48683117327112591</v>
      </c>
      <c r="CL22" s="353">
        <f t="shared" ca="1" si="184"/>
        <v>0.3592956278183721</v>
      </c>
      <c r="CM22" s="353">
        <f t="shared" ca="1" si="184"/>
        <v>0.24583061632785075</v>
      </c>
      <c r="CN22" s="353">
        <f t="shared" ca="1" si="184"/>
        <v>0.15505390135423</v>
      </c>
      <c r="CO22" s="353">
        <f t="shared" ca="1" si="184"/>
        <v>8.9745694481638077E-2</v>
      </c>
      <c r="CP22" s="353">
        <f t="shared" ca="1" si="184"/>
        <v>4.7494362649619926E-2</v>
      </c>
      <c r="CQ22" s="353">
        <f t="shared" ca="1" si="184"/>
        <v>2.2913875415861856E-2</v>
      </c>
      <c r="CR22" s="353">
        <f t="shared" ca="1" si="185"/>
        <v>1.0054624776283697E-2</v>
      </c>
      <c r="CS22" s="353">
        <f t="shared" ca="1" si="185"/>
        <v>4.0052130766858986E-3</v>
      </c>
      <c r="CT22" s="353">
        <f t="shared" ca="1" si="185"/>
        <v>1.4461574419740925E-3</v>
      </c>
      <c r="CU22" s="353">
        <f t="shared" ca="1" si="185"/>
        <v>4.7271155335512448E-4</v>
      </c>
      <c r="CV22" s="353">
        <f t="shared" ca="1" si="185"/>
        <v>1.3974131463634839E-4</v>
      </c>
      <c r="CW22" s="353">
        <f t="shared" ca="1" si="185"/>
        <v>3.7328056293468516E-5</v>
      </c>
      <c r="CX22" s="353">
        <f t="shared" ca="1" si="185"/>
        <v>9.0037409833485676E-6</v>
      </c>
      <c r="CY22" s="353">
        <f t="shared" ca="1" si="185"/>
        <v>1.9598907502694922E-6</v>
      </c>
      <c r="CZ22" s="353">
        <f t="shared" ca="1" si="185"/>
        <v>3.8480953738889144E-7</v>
      </c>
      <c r="DA22" s="353">
        <f t="shared" ca="1" si="185"/>
        <v>6.8120996183280569E-8</v>
      </c>
      <c r="DB22" s="354">
        <f t="shared" ca="1" si="185"/>
        <v>1.0868757431127071E-8</v>
      </c>
      <c r="DD22" s="358">
        <f t="shared" si="130"/>
        <v>4.5</v>
      </c>
      <c r="DE22" s="353">
        <f t="shared" ca="1" si="131"/>
        <v>0.17131916709002248</v>
      </c>
      <c r="DF22" s="353">
        <f t="shared" ca="1" si="132"/>
        <v>0.26708985872150759</v>
      </c>
      <c r="DG22" s="353">
        <f t="shared" ca="1" si="133"/>
        <v>0.38425994864970692</v>
      </c>
      <c r="DH22" s="353">
        <f t="shared" ca="1" si="134"/>
        <v>0.51316882672887409</v>
      </c>
      <c r="DI22" s="353">
        <f t="shared" ca="1" si="135"/>
        <v>0.6407043721816279</v>
      </c>
      <c r="DJ22" s="353">
        <f t="shared" ca="1" si="136"/>
        <v>0.75416938367214925</v>
      </c>
      <c r="DK22" s="353">
        <f t="shared" ca="1" si="137"/>
        <v>0.84494609864576997</v>
      </c>
      <c r="DL22" s="353">
        <f t="shared" ca="1" si="138"/>
        <v>0.91025430551836195</v>
      </c>
      <c r="DM22" s="353">
        <f t="shared" ca="1" si="139"/>
        <v>0.95250563735038007</v>
      </c>
      <c r="DN22" s="353">
        <f t="shared" ca="1" si="140"/>
        <v>0.97708612458413813</v>
      </c>
      <c r="DO22" s="353">
        <f t="shared" ca="1" si="141"/>
        <v>0.98994537522371628</v>
      </c>
      <c r="DP22" s="353">
        <f t="shared" ca="1" si="142"/>
        <v>0.99599478692331411</v>
      </c>
      <c r="DQ22" s="353">
        <f t="shared" ca="1" si="143"/>
        <v>0.99855384255802593</v>
      </c>
      <c r="DR22" s="353">
        <f t="shared" ca="1" si="144"/>
        <v>0.99952728844664485</v>
      </c>
      <c r="DS22" s="353">
        <f t="shared" ca="1" si="145"/>
        <v>0.99986025868536366</v>
      </c>
      <c r="DT22" s="353">
        <f t="shared" ca="1" si="146"/>
        <v>0.99996267194370658</v>
      </c>
      <c r="DU22" s="353">
        <f t="shared" ca="1" si="147"/>
        <v>0.99999099625901666</v>
      </c>
      <c r="DV22" s="353">
        <f t="shared" ca="1" si="148"/>
        <v>0.99999804010924975</v>
      </c>
      <c r="DW22" s="353">
        <f t="shared" ca="1" si="149"/>
        <v>0.99999961519046265</v>
      </c>
      <c r="DX22" s="353">
        <f t="shared" ca="1" si="150"/>
        <v>0.99999993187900382</v>
      </c>
      <c r="DY22" s="354">
        <f t="shared" ca="1" si="151"/>
        <v>0.99999998913124255</v>
      </c>
      <c r="DZ22" s="17"/>
      <c r="EA22" s="17"/>
      <c r="EB22" s="343" cm="1">
        <f t="array" aca="1" ref="EB22" ca="1">IF($AA22&gt;CDS.Tenor,"-",flatInterpolation(CC22,INDIRECT(HazardRateTimes3),INDIRECT(HazardRateValues3)))</f>
        <v>7.4999999999999997E-3</v>
      </c>
      <c r="EC22" s="10">
        <f t="shared" ca="1" si="152"/>
        <v>0.96681317772154307</v>
      </c>
      <c r="ED22" s="10">
        <f t="shared" ca="1" si="153"/>
        <v>3.3186822278456929E-2</v>
      </c>
      <c r="EE22" s="81">
        <f t="shared" ca="1" si="154"/>
        <v>-1.8358919090949912</v>
      </c>
      <c r="EG22" s="358">
        <f t="shared" si="155"/>
        <v>4.5</v>
      </c>
      <c r="EH22" s="353">
        <f t="shared" ca="1" si="186"/>
        <v>0.85969673432338656</v>
      </c>
      <c r="EI22" s="353">
        <f t="shared" ca="1" si="186"/>
        <v>0.77386349770241236</v>
      </c>
      <c r="EJ22" s="353">
        <f t="shared" ca="1" si="186"/>
        <v>0.66432799326943393</v>
      </c>
      <c r="EK22" s="353">
        <f t="shared" ca="1" si="186"/>
        <v>0.53862779487050094</v>
      </c>
      <c r="EL22" s="353">
        <f t="shared" ca="1" si="186"/>
        <v>0.40891009131372169</v>
      </c>
      <c r="EM22" s="353">
        <f t="shared" ca="1" si="186"/>
        <v>0.28853270274207299</v>
      </c>
      <c r="EN22" s="353">
        <f t="shared" ca="1" si="186"/>
        <v>0.1880774548961302</v>
      </c>
      <c r="EO22" s="353">
        <f t="shared" ca="1" si="186"/>
        <v>0.11269303702753167</v>
      </c>
      <c r="EP22" s="353">
        <f t="shared" ca="1" si="186"/>
        <v>6.1822008493095652E-2</v>
      </c>
      <c r="EQ22" s="353">
        <f t="shared" ca="1" si="186"/>
        <v>3.0951932204721335E-2</v>
      </c>
      <c r="ER22" s="353">
        <f t="shared" ca="1" si="187"/>
        <v>1.4106546357371602E-2</v>
      </c>
      <c r="ES22" s="353">
        <f t="shared" ca="1" si="187"/>
        <v>5.8405028600573379E-3</v>
      </c>
      <c r="ET22" s="353">
        <f t="shared" ca="1" si="187"/>
        <v>2.1930907549074503E-3</v>
      </c>
      <c r="EU22" s="353">
        <f t="shared" ca="1" si="187"/>
        <v>7.4585606581033942E-4</v>
      </c>
      <c r="EV22" s="353">
        <f t="shared" ca="1" si="187"/>
        <v>2.2949173448998653E-4</v>
      </c>
      <c r="EW22" s="353">
        <f t="shared" ca="1" si="187"/>
        <v>6.3826095299868374E-5</v>
      </c>
      <c r="EX22" s="353">
        <f t="shared" ca="1" si="187"/>
        <v>1.6033235327076165E-5</v>
      </c>
      <c r="EY22" s="353">
        <f t="shared" ca="1" si="187"/>
        <v>3.6354793522748548E-6</v>
      </c>
      <c r="EZ22" s="353">
        <f t="shared" ca="1" si="187"/>
        <v>7.4368479339397765E-7</v>
      </c>
      <c r="FA22" s="353">
        <f t="shared" ca="1" si="187"/>
        <v>1.3718508299056363E-7</v>
      </c>
      <c r="FB22" s="354">
        <f t="shared" ca="1" si="187"/>
        <v>2.2811209213978127E-8</v>
      </c>
      <c r="FD22" s="358">
        <f t="shared" si="156"/>
        <v>4.5</v>
      </c>
      <c r="FE22" s="353">
        <f t="shared" ca="1" si="157"/>
        <v>0.14030326567661344</v>
      </c>
      <c r="FF22" s="353">
        <f t="shared" ca="1" si="158"/>
        <v>0.22613650229758764</v>
      </c>
      <c r="FG22" s="353">
        <f t="shared" ca="1" si="159"/>
        <v>0.33567200673056607</v>
      </c>
      <c r="FH22" s="353">
        <f t="shared" ca="1" si="160"/>
        <v>0.46137220512949906</v>
      </c>
      <c r="FI22" s="353">
        <f t="shared" ca="1" si="161"/>
        <v>0.59108990868627831</v>
      </c>
      <c r="FJ22" s="353">
        <f t="shared" ca="1" si="162"/>
        <v>0.71146729725792701</v>
      </c>
      <c r="FK22" s="353">
        <f t="shared" ca="1" si="163"/>
        <v>0.81192254510386985</v>
      </c>
      <c r="FL22" s="353">
        <f t="shared" ca="1" si="164"/>
        <v>0.88730696297246836</v>
      </c>
      <c r="FM22" s="353">
        <f t="shared" ca="1" si="165"/>
        <v>0.9381779915069044</v>
      </c>
      <c r="FN22" s="353">
        <f t="shared" ca="1" si="166"/>
        <v>0.96904806779527863</v>
      </c>
      <c r="FO22" s="353">
        <f t="shared" ca="1" si="167"/>
        <v>0.98589345364262837</v>
      </c>
      <c r="FP22" s="353">
        <f t="shared" ca="1" si="168"/>
        <v>0.99415949713994267</v>
      </c>
      <c r="FQ22" s="353">
        <f t="shared" ca="1" si="169"/>
        <v>0.99780690924509252</v>
      </c>
      <c r="FR22" s="353">
        <f t="shared" ca="1" si="170"/>
        <v>0.99925414393418965</v>
      </c>
      <c r="FS22" s="353">
        <f t="shared" ca="1" si="171"/>
        <v>0.99977050826551006</v>
      </c>
      <c r="FT22" s="353">
        <f t="shared" ca="1" si="172"/>
        <v>0.99993617390470013</v>
      </c>
      <c r="FU22" s="353">
        <f t="shared" ca="1" si="173"/>
        <v>0.99998396676467294</v>
      </c>
      <c r="FV22" s="353">
        <f t="shared" ca="1" si="174"/>
        <v>0.99999636452064777</v>
      </c>
      <c r="FW22" s="353">
        <f t="shared" ca="1" si="175"/>
        <v>0.99999925631520659</v>
      </c>
      <c r="FX22" s="353">
        <f t="shared" ca="1" si="176"/>
        <v>0.99999986281491704</v>
      </c>
      <c r="FY22" s="354">
        <f t="shared" ca="1" si="177"/>
        <v>0.99999997718879075</v>
      </c>
      <c r="GB22" s="358">
        <f t="shared" si="178"/>
        <v>4.5</v>
      </c>
      <c r="GC22" s="353">
        <f ca="1">IF($GB22&gt;CDS.Tenor,"-",BE22*DE22*FE22)</f>
        <v>4.6080943892089811E-3</v>
      </c>
      <c r="GD22" s="353">
        <f ca="1">IF($GB22&gt;CDS.Tenor,"-",BF22*DF22*FF22)</f>
        <v>1.7704338282306022E-2</v>
      </c>
      <c r="GE22" s="353">
        <f ca="1">IF($GB22&gt;CDS.Tenor,"-",BG22*DG22*FG22)</f>
        <v>5.341567406374334E-2</v>
      </c>
      <c r="GF22" s="353">
        <f ca="1">IF($GB22&gt;CDS.Tenor,"-",BH22*DH22*FH22)</f>
        <v>0.1287849924574746</v>
      </c>
      <c r="GG22" s="353">
        <f ca="1">IF($GB22&gt;CDS.Tenor,"-",BI22*DI22*FI22)</f>
        <v>0.25343459678817076</v>
      </c>
      <c r="GH22" s="353">
        <f ca="1">IF($GB22&gt;CDS.Tenor,"-",BJ22*DJ22*FJ22)</f>
        <v>0.41738042005268028</v>
      </c>
      <c r="GI22" s="353">
        <f ca="1">IF($GB22&gt;CDS.Tenor,"-",BK22*DK22*FK22)</f>
        <v>0.59181208882338043</v>
      </c>
      <c r="GJ22" s="353">
        <f ca="1">IF($GB22&gt;CDS.Tenor,"-",BL22*DL22*FL22)</f>
        <v>0.74479717638072274</v>
      </c>
      <c r="GK22" s="353">
        <f ca="1">IF($GB22&gt;CDS.Tenor,"-",BM22*DM22*FM22)</f>
        <v>0.85759081925976921</v>
      </c>
      <c r="GL22" s="353">
        <f ca="1">IF($GB22&gt;CDS.Tenor,"-",BN22*DN22*FN22)</f>
        <v>0.92883052890312034</v>
      </c>
      <c r="GM22" s="353">
        <f ca="1">IF($GB22&gt;CDS.Tenor,"-",BO22*DO22*FO22)</f>
        <v>0.96801625639557354</v>
      </c>
      <c r="GN22" s="353">
        <f ca="1">IF($GB22&gt;CDS.Tenor,"-",BP22*DP22*FP22)</f>
        <v>0.98703242275437586</v>
      </c>
      <c r="GO22" s="353">
        <f ca="1">IF($GB22&gt;CDS.Tenor,"-",BQ22*DQ22*FQ22)</f>
        <v>0.99524761675778761</v>
      </c>
      <c r="GP22" s="353">
        <f ca="1">IF($GB22&gt;CDS.Tenor,"-",BR22*DR22*FR22)</f>
        <v>0.99842456376943922</v>
      </c>
      <c r="GQ22" s="353">
        <f ca="1">IF($GB22&gt;CDS.Tenor,"-",BS22*DS22*FS22)</f>
        <v>0.99952760310500455</v>
      </c>
      <c r="GR22" s="353">
        <f ca="1">IF($GB22&gt;CDS.Tenor,"-",BT22*DT22*FT22)</f>
        <v>0.99987193039727285</v>
      </c>
      <c r="GS22" s="353">
        <f ca="1">IF($GB22&gt;CDS.Tenor,"-",BU22*DU22*FU22)</f>
        <v>0.99996862524605268</v>
      </c>
      <c r="GT22" s="353">
        <f ca="1">IF($GB22&gt;CDS.Tenor,"-",BV22*DV22*FV22)</f>
        <v>0.99999305816927686</v>
      </c>
      <c r="GU22" s="353">
        <f ca="1">IF($GB22&gt;CDS.Tenor,"-",BW22*DW22*FW22)</f>
        <v>0.99999861351916064</v>
      </c>
      <c r="GV22" s="353">
        <f ca="1">IF($GB22&gt;CDS.Tenor,"-",BX22*DX22*FX22)</f>
        <v>0.99999975013043441</v>
      </c>
      <c r="GW22" s="354">
        <f ca="1">IF($GB22&gt;CDS.Tenor,"-",BY22*DY22*FY22)</f>
        <v>0.99999995938273212</v>
      </c>
      <c r="GX22" s="42"/>
      <c r="GY22" s="42"/>
      <c r="GZ22" s="358">
        <f t="shared" si="179"/>
        <v>4.5</v>
      </c>
      <c r="HA22" s="362">
        <f t="shared" ca="1" si="180"/>
        <v>0.92613038319160135</v>
      </c>
      <c r="HB22" s="363">
        <f t="shared" ca="1" si="181"/>
        <v>3.8295269890965544E-3</v>
      </c>
    </row>
    <row r="23" spans="2:210" x14ac:dyDescent="0.3">
      <c r="B23" s="116" t="s">
        <v>49</v>
      </c>
      <c r="C23" s="160"/>
      <c r="D23" s="380">
        <f ca="1">ABS(CDS.PremiumLegPV/CDS.CreditSpread)</f>
        <v>42975949.29810705</v>
      </c>
      <c r="I23" s="370">
        <f t="shared" si="86"/>
        <v>4.75</v>
      </c>
      <c r="J23" s="371">
        <f t="shared" si="87"/>
        <v>-25000</v>
      </c>
      <c r="K23" s="348">
        <f t="shared" ca="1" si="88"/>
        <v>0.92232643492073318</v>
      </c>
      <c r="L23" s="348">
        <f t="shared" ca="1" si="89"/>
        <v>3.8039482708681627E-3</v>
      </c>
      <c r="M23" s="372" cm="1">
        <f t="array" ref="M23">IF($I23&gt;CDS.Tenor,"-",cubicInterpolation(CurveResults.Times,CurveResults.DFs,$I23))</f>
        <v>0.82262044965312253</v>
      </c>
      <c r="N23" s="371">
        <f t="shared" ca="1" si="90"/>
        <v>-18968.114665536374</v>
      </c>
      <c r="O23" s="371">
        <f t="shared" ca="1" si="91"/>
        <v>-39.115070462984825</v>
      </c>
      <c r="P23" s="373">
        <f t="shared" ca="1" si="92"/>
        <v>-19007.229735999357</v>
      </c>
      <c r="S23" s="370">
        <f t="shared" si="93"/>
        <v>4.75</v>
      </c>
      <c r="T23" s="371">
        <f t="shared" si="94"/>
        <v>6000000</v>
      </c>
      <c r="U23" s="348">
        <f ca="1">IF($I23&gt;CDS.Tenor,"-",HA23)</f>
        <v>0.92232643492073318</v>
      </c>
      <c r="V23" s="348">
        <f t="shared" ca="1" si="95"/>
        <v>3.8039482708681627E-3</v>
      </c>
      <c r="W23" s="372" cm="1">
        <f t="array" ref="W23">IF($S23&gt;CDS.Tenor,"-",cubicInterpolation(CurveResults.Times,CurveResults.DFs,$I23))</f>
        <v>0.82262044965312253</v>
      </c>
      <c r="X23" s="373">
        <f t="shared" ca="1" si="96"/>
        <v>18775.233822232716</v>
      </c>
      <c r="AA23" s="358">
        <f t="shared" si="97"/>
        <v>4.75</v>
      </c>
      <c r="AB23" s="343" cm="1">
        <f t="array" aca="1" ref="AB23" ca="1">IF($AA23&gt;CDS.Tenor,"-",flatInterpolation(Z23,INDIRECT(HazardRateTimes1),INDIRECT(HazardRateValues1)))</f>
        <v>5.0000000000000001E-3</v>
      </c>
      <c r="AC23" s="10">
        <f t="shared" ca="1" si="98"/>
        <v>0.97652981169682063</v>
      </c>
      <c r="AD23" s="10">
        <f t="shared" ca="1" si="99"/>
        <v>2.3470188303179373E-2</v>
      </c>
      <c r="AE23" s="81">
        <f t="shared" ca="1" si="100"/>
        <v>-1.9868377787094025</v>
      </c>
      <c r="AG23" s="358">
        <f t="shared" si="101"/>
        <v>4.75</v>
      </c>
      <c r="AH23" s="353">
        <f t="shared" ca="1" si="182"/>
        <v>0.81555193383622859</v>
      </c>
      <c r="AI23" s="353">
        <f t="shared" ca="1" si="182"/>
        <v>0.71607343836463822</v>
      </c>
      <c r="AJ23" s="353">
        <f t="shared" ca="1" si="182"/>
        <v>0.59634173251152667</v>
      </c>
      <c r="AK23" s="353">
        <f t="shared" ca="1" si="182"/>
        <v>0.46675183280493093</v>
      </c>
      <c r="AL23" s="353">
        <f t="shared" ca="1" si="182"/>
        <v>0.34062267069129271</v>
      </c>
      <c r="AM23" s="353">
        <f t="shared" ca="1" si="182"/>
        <v>0.23022952201704991</v>
      </c>
      <c r="AN23" s="353">
        <f t="shared" ca="1" si="182"/>
        <v>0.14334340428521591</v>
      </c>
      <c r="AO23" s="353">
        <f t="shared" ca="1" si="182"/>
        <v>8.1848480571229398E-2</v>
      </c>
      <c r="AP23" s="353">
        <f t="shared" ca="1" si="182"/>
        <v>4.2709706004242148E-2</v>
      </c>
      <c r="AQ23" s="353">
        <f t="shared" ca="1" si="182"/>
        <v>2.0309485796412279E-2</v>
      </c>
      <c r="AR23" s="353">
        <f t="shared" ca="1" si="183"/>
        <v>8.7810060539124171E-3</v>
      </c>
      <c r="AS23" s="353">
        <f t="shared" ca="1" si="183"/>
        <v>3.4456472128044694E-3</v>
      </c>
      <c r="AT23" s="353">
        <f t="shared" ca="1" si="183"/>
        <v>1.2252851246606787E-3</v>
      </c>
      <c r="AU23" s="353">
        <f t="shared" ca="1" si="183"/>
        <v>3.9438488441492526E-4</v>
      </c>
      <c r="AV23" s="353">
        <f t="shared" ca="1" si="183"/>
        <v>1.147863867543079E-4</v>
      </c>
      <c r="AW23" s="353">
        <f t="shared" ca="1" si="183"/>
        <v>3.018504609622758E-5</v>
      </c>
      <c r="AX23" s="353">
        <f t="shared" ca="1" si="183"/>
        <v>7.1668452423627276E-6</v>
      </c>
      <c r="AY23" s="353">
        <f t="shared" ca="1" si="183"/>
        <v>1.5354998854252504E-6</v>
      </c>
      <c r="AZ23" s="353">
        <f t="shared" ca="1" si="183"/>
        <v>2.9671969644230804E-7</v>
      </c>
      <c r="BA23" s="353">
        <f t="shared" ca="1" si="183"/>
        <v>5.1693782751018265E-8</v>
      </c>
      <c r="BB23" s="354">
        <f t="shared" ca="1" si="183"/>
        <v>8.1165558203706062E-9</v>
      </c>
      <c r="BD23" s="358">
        <f t="shared" si="104"/>
        <v>4.75</v>
      </c>
      <c r="BE23" s="353">
        <f t="shared" ca="1" si="105"/>
        <v>0.18444806616377141</v>
      </c>
      <c r="BF23" s="353">
        <f t="shared" ca="1" si="106"/>
        <v>0.28392656163536178</v>
      </c>
      <c r="BG23" s="353">
        <f t="shared" ca="1" si="107"/>
        <v>0.40365826748847333</v>
      </c>
      <c r="BH23" s="353">
        <f t="shared" ca="1" si="108"/>
        <v>0.53324816719506907</v>
      </c>
      <c r="BI23" s="353">
        <f t="shared" ca="1" si="109"/>
        <v>0.65937732930870729</v>
      </c>
      <c r="BJ23" s="353">
        <f t="shared" ca="1" si="110"/>
        <v>0.76977047798295006</v>
      </c>
      <c r="BK23" s="353">
        <f t="shared" ca="1" si="111"/>
        <v>0.85665659571478403</v>
      </c>
      <c r="BL23" s="353">
        <f t="shared" ca="1" si="112"/>
        <v>0.9181515194287706</v>
      </c>
      <c r="BM23" s="353">
        <f t="shared" ca="1" si="113"/>
        <v>0.95729029399575782</v>
      </c>
      <c r="BN23" s="353">
        <f t="shared" ca="1" si="114"/>
        <v>0.97969051420358777</v>
      </c>
      <c r="BO23" s="353">
        <f t="shared" ca="1" si="115"/>
        <v>0.99121899394608759</v>
      </c>
      <c r="BP23" s="353">
        <f t="shared" ca="1" si="116"/>
        <v>0.99655435278719551</v>
      </c>
      <c r="BQ23" s="353">
        <f t="shared" ca="1" si="117"/>
        <v>0.99877471487533931</v>
      </c>
      <c r="BR23" s="353">
        <f t="shared" ca="1" si="118"/>
        <v>0.9996056151155851</v>
      </c>
      <c r="BS23" s="353">
        <f t="shared" ca="1" si="119"/>
        <v>0.99988521361324567</v>
      </c>
      <c r="BT23" s="353">
        <f t="shared" ca="1" si="120"/>
        <v>0.9999698149539038</v>
      </c>
      <c r="BU23" s="353">
        <f t="shared" ca="1" si="121"/>
        <v>0.99999283315475762</v>
      </c>
      <c r="BV23" s="353">
        <f t="shared" ca="1" si="122"/>
        <v>0.99999846450011454</v>
      </c>
      <c r="BW23" s="353">
        <f t="shared" ca="1" si="123"/>
        <v>0.99999970328030352</v>
      </c>
      <c r="BX23" s="353">
        <f t="shared" ca="1" si="124"/>
        <v>0.9999999483062173</v>
      </c>
      <c r="BY23" s="354">
        <f t="shared" ca="1" si="125"/>
        <v>0.99999999188344413</v>
      </c>
      <c r="BZ23" s="17"/>
      <c r="CA23" s="17"/>
      <c r="CB23" s="343" cm="1">
        <f t="array" aca="1" ref="CB23" ca="1">IF($AA23&gt;CDS.Tenor,"-",flatInterpolation(AA23,INDIRECT(HazardRateTimes2),INDIRECT(HazardRateValues2)))</f>
        <v>5.8333333333333336E-3</v>
      </c>
      <c r="CC23" s="10">
        <f t="shared" ca="1" si="126"/>
        <v>0.97267202143918785</v>
      </c>
      <c r="CD23" s="10">
        <f t="shared" ca="1" si="127"/>
        <v>2.7327978560812149E-2</v>
      </c>
      <c r="CE23" s="81">
        <f t="shared" ca="1" si="128"/>
        <v>-1.9216012029742389</v>
      </c>
      <c r="CG23" s="358">
        <f t="shared" si="129"/>
        <v>4.75</v>
      </c>
      <c r="CH23" s="353">
        <f t="shared" ca="1" si="184"/>
        <v>0.83559549441463687</v>
      </c>
      <c r="CI23" s="353">
        <f t="shared" ca="1" si="184"/>
        <v>0.74189182000306308</v>
      </c>
      <c r="CJ23" s="353">
        <f t="shared" ca="1" si="184"/>
        <v>0.62622135973545257</v>
      </c>
      <c r="CK23" s="353">
        <f t="shared" ca="1" si="184"/>
        <v>0.49781983674952679</v>
      </c>
      <c r="CL23" s="353">
        <f t="shared" ca="1" si="184"/>
        <v>0.369645753882068</v>
      </c>
      <c r="CM23" s="353">
        <f t="shared" ca="1" si="184"/>
        <v>0.25458887558790078</v>
      </c>
      <c r="CN23" s="353">
        <f t="shared" ca="1" si="184"/>
        <v>0.16171217048891268</v>
      </c>
      <c r="CO23" s="353">
        <f t="shared" ca="1" si="184"/>
        <v>9.4293231951507447E-2</v>
      </c>
      <c r="CP23" s="353">
        <f t="shared" ca="1" si="184"/>
        <v>5.0284737942195325E-2</v>
      </c>
      <c r="CQ23" s="353">
        <f t="shared" ca="1" si="184"/>
        <v>2.4452102099005724E-2</v>
      </c>
      <c r="CR23" s="353">
        <f t="shared" ca="1" si="185"/>
        <v>1.0816439662271155E-2</v>
      </c>
      <c r="CS23" s="353">
        <f t="shared" ca="1" si="185"/>
        <v>4.344174254017839E-3</v>
      </c>
      <c r="CT23" s="353">
        <f t="shared" ca="1" si="185"/>
        <v>1.5816520007509108E-3</v>
      </c>
      <c r="CU23" s="353">
        <f t="shared" ca="1" si="185"/>
        <v>5.2137077315635378E-4</v>
      </c>
      <c r="CV23" s="353">
        <f t="shared" ca="1" si="185"/>
        <v>1.5544059761471099E-4</v>
      </c>
      <c r="CW23" s="353">
        <f t="shared" ca="1" si="185"/>
        <v>4.1878627181944442E-5</v>
      </c>
      <c r="CX23" s="353">
        <f t="shared" ca="1" si="185"/>
        <v>1.0188754599261396E-5</v>
      </c>
      <c r="CY23" s="353">
        <f t="shared" ca="1" si="185"/>
        <v>2.2371283857973071E-6</v>
      </c>
      <c r="CZ23" s="353">
        <f t="shared" ca="1" si="185"/>
        <v>4.4308053067938007E-7</v>
      </c>
      <c r="DA23" s="353">
        <f t="shared" ca="1" si="185"/>
        <v>7.9124323823299582E-8</v>
      </c>
      <c r="DB23" s="354">
        <f t="shared" ca="1" si="185"/>
        <v>1.2735425321860062E-8</v>
      </c>
      <c r="DD23" s="358">
        <f t="shared" si="130"/>
        <v>4.75</v>
      </c>
      <c r="DE23" s="353">
        <f t="shared" ca="1" si="131"/>
        <v>0.16440450558536313</v>
      </c>
      <c r="DF23" s="353">
        <f t="shared" ca="1" si="132"/>
        <v>0.25810817999693692</v>
      </c>
      <c r="DG23" s="353">
        <f t="shared" ca="1" si="133"/>
        <v>0.37377864026454743</v>
      </c>
      <c r="DH23" s="353">
        <f t="shared" ca="1" si="134"/>
        <v>0.50218016325047321</v>
      </c>
      <c r="DI23" s="353">
        <f t="shared" ca="1" si="135"/>
        <v>0.630354246117932</v>
      </c>
      <c r="DJ23" s="353">
        <f t="shared" ca="1" si="136"/>
        <v>0.74541112441209922</v>
      </c>
      <c r="DK23" s="353">
        <f t="shared" ca="1" si="137"/>
        <v>0.83828782951108738</v>
      </c>
      <c r="DL23" s="353">
        <f t="shared" ca="1" si="138"/>
        <v>0.90570676804849259</v>
      </c>
      <c r="DM23" s="353">
        <f t="shared" ca="1" si="139"/>
        <v>0.94971526205780465</v>
      </c>
      <c r="DN23" s="353">
        <f t="shared" ca="1" si="140"/>
        <v>0.97554789790099428</v>
      </c>
      <c r="DO23" s="353">
        <f t="shared" ca="1" si="141"/>
        <v>0.98918356033772881</v>
      </c>
      <c r="DP23" s="353">
        <f t="shared" ca="1" si="142"/>
        <v>0.99565582574598221</v>
      </c>
      <c r="DQ23" s="353">
        <f t="shared" ca="1" si="143"/>
        <v>0.99841834799924911</v>
      </c>
      <c r="DR23" s="353">
        <f t="shared" ca="1" si="144"/>
        <v>0.99947862922684361</v>
      </c>
      <c r="DS23" s="353">
        <f t="shared" ca="1" si="145"/>
        <v>0.99984455940238526</v>
      </c>
      <c r="DT23" s="353">
        <f t="shared" ca="1" si="146"/>
        <v>0.99995812137281803</v>
      </c>
      <c r="DU23" s="353">
        <f t="shared" ca="1" si="147"/>
        <v>0.99998981124540076</v>
      </c>
      <c r="DV23" s="353">
        <f t="shared" ca="1" si="148"/>
        <v>0.99999776287161424</v>
      </c>
      <c r="DW23" s="353">
        <f t="shared" ca="1" si="149"/>
        <v>0.99999955691946929</v>
      </c>
      <c r="DX23" s="353">
        <f t="shared" ca="1" si="150"/>
        <v>0.99999992087567613</v>
      </c>
      <c r="DY23" s="354">
        <f t="shared" ca="1" si="151"/>
        <v>0.99999998726457473</v>
      </c>
      <c r="DZ23" s="17"/>
      <c r="EA23" s="17"/>
      <c r="EB23" s="343" cm="1">
        <f t="array" aca="1" ref="EB23" ca="1">IF($AA23&gt;CDS.Tenor,"-",flatInterpolation(CC23,INDIRECT(HazardRateTimes3),INDIRECT(HazardRateValues3)))</f>
        <v>7.4999999999999997E-3</v>
      </c>
      <c r="EC23" s="10">
        <f t="shared" ca="1" si="152"/>
        <v>0.96500210142792919</v>
      </c>
      <c r="ED23" s="10">
        <f t="shared" ca="1" si="153"/>
        <v>3.4997898572070807E-2</v>
      </c>
      <c r="EE23" s="81">
        <f t="shared" ca="1" si="154"/>
        <v>-1.8119378695098969</v>
      </c>
      <c r="EG23" s="358">
        <f t="shared" si="155"/>
        <v>4.75</v>
      </c>
      <c r="EH23" s="353">
        <f t="shared" ca="1" si="186"/>
        <v>0.86598018657627729</v>
      </c>
      <c r="EI23" s="353">
        <f t="shared" ca="1" si="186"/>
        <v>0.78238152657384097</v>
      </c>
      <c r="EJ23" s="353">
        <f t="shared" ca="1" si="186"/>
        <v>0.67470211937705871</v>
      </c>
      <c r="EK23" s="353">
        <f t="shared" ca="1" si="186"/>
        <v>0.5499788325405468</v>
      </c>
      <c r="EL23" s="353">
        <f t="shared" ca="1" si="186"/>
        <v>0.42006821660667915</v>
      </c>
      <c r="EM23" s="353">
        <f t="shared" ca="1" si="186"/>
        <v>0.29838683823157264</v>
      </c>
      <c r="EN23" s="353">
        <f t="shared" ca="1" si="186"/>
        <v>0.19589584708127428</v>
      </c>
      <c r="EO23" s="353">
        <f t="shared" ca="1" si="186"/>
        <v>0.11826602365196634</v>
      </c>
      <c r="EP23" s="353">
        <f t="shared" ca="1" si="186"/>
        <v>6.5390873955333426E-2</v>
      </c>
      <c r="EQ23" s="353">
        <f t="shared" ca="1" si="186"/>
        <v>3.3005192355613749E-2</v>
      </c>
      <c r="ER23" s="353">
        <f t="shared" ca="1" si="187"/>
        <v>1.516782495749051E-2</v>
      </c>
      <c r="ES23" s="353">
        <f t="shared" ca="1" si="187"/>
        <v>6.3333207464899956E-3</v>
      </c>
      <c r="ET23" s="353">
        <f t="shared" ca="1" si="187"/>
        <v>2.3986869828910586E-3</v>
      </c>
      <c r="EU23" s="353">
        <f t="shared" ca="1" si="187"/>
        <v>8.2291366056242593E-4</v>
      </c>
      <c r="EV23" s="353">
        <f t="shared" ca="1" si="187"/>
        <v>2.5543874817837627E-4</v>
      </c>
      <c r="EW23" s="353">
        <f t="shared" ca="1" si="187"/>
        <v>7.1675395480609342E-5</v>
      </c>
      <c r="EX23" s="353">
        <f t="shared" ca="1" si="187"/>
        <v>1.8166506772474877E-5</v>
      </c>
      <c r="EY23" s="353">
        <f t="shared" ca="1" si="187"/>
        <v>4.1563536487371848E-6</v>
      </c>
      <c r="EZ23" s="353">
        <f t="shared" ca="1" si="187"/>
        <v>8.5794404042476369E-7</v>
      </c>
      <c r="FA23" s="353">
        <f t="shared" ca="1" si="187"/>
        <v>1.5970264733365274E-7</v>
      </c>
      <c r="FB23" s="354">
        <f t="shared" ca="1" si="187"/>
        <v>2.6797996737171396E-8</v>
      </c>
      <c r="FD23" s="358">
        <f t="shared" si="156"/>
        <v>4.75</v>
      </c>
      <c r="FE23" s="353">
        <f t="shared" ca="1" si="157"/>
        <v>0.13401981342372271</v>
      </c>
      <c r="FF23" s="353">
        <f t="shared" ca="1" si="158"/>
        <v>0.21761847342615903</v>
      </c>
      <c r="FG23" s="353">
        <f t="shared" ca="1" si="159"/>
        <v>0.32529788062294129</v>
      </c>
      <c r="FH23" s="353">
        <f t="shared" ca="1" si="160"/>
        <v>0.4500211674594532</v>
      </c>
      <c r="FI23" s="353">
        <f t="shared" ca="1" si="161"/>
        <v>0.57993178339332085</v>
      </c>
      <c r="FJ23" s="353">
        <f t="shared" ca="1" si="162"/>
        <v>0.70161316176842736</v>
      </c>
      <c r="FK23" s="353">
        <f t="shared" ca="1" si="163"/>
        <v>0.80410415291872572</v>
      </c>
      <c r="FL23" s="353">
        <f t="shared" ca="1" si="164"/>
        <v>0.88173397634803363</v>
      </c>
      <c r="FM23" s="353">
        <f t="shared" ca="1" si="165"/>
        <v>0.93460912604466662</v>
      </c>
      <c r="FN23" s="353">
        <f t="shared" ca="1" si="166"/>
        <v>0.96699480764438628</v>
      </c>
      <c r="FO23" s="353">
        <f t="shared" ca="1" si="167"/>
        <v>0.98483217504250953</v>
      </c>
      <c r="FP23" s="353">
        <f t="shared" ca="1" si="168"/>
        <v>0.99366667925351004</v>
      </c>
      <c r="FQ23" s="353">
        <f t="shared" ca="1" si="169"/>
        <v>0.99760131301710897</v>
      </c>
      <c r="FR23" s="353">
        <f t="shared" ca="1" si="170"/>
        <v>0.99917708633943758</v>
      </c>
      <c r="FS23" s="353">
        <f t="shared" ca="1" si="171"/>
        <v>0.99974456125182165</v>
      </c>
      <c r="FT23" s="353">
        <f t="shared" ca="1" si="172"/>
        <v>0.99992832460451941</v>
      </c>
      <c r="FU23" s="353">
        <f t="shared" ca="1" si="173"/>
        <v>0.99998183349322756</v>
      </c>
      <c r="FV23" s="353">
        <f t="shared" ca="1" si="174"/>
        <v>0.9999958436463513</v>
      </c>
      <c r="FW23" s="353">
        <f t="shared" ca="1" si="175"/>
        <v>0.99999914205595952</v>
      </c>
      <c r="FX23" s="353">
        <f t="shared" ca="1" si="176"/>
        <v>0.99999984029735267</v>
      </c>
      <c r="FY23" s="354">
        <f t="shared" ca="1" si="177"/>
        <v>0.99999997320200329</v>
      </c>
      <c r="GB23" s="358">
        <f t="shared" si="178"/>
        <v>4.75</v>
      </c>
      <c r="GC23" s="353">
        <f ca="1">IF($GB23&gt;CDS.Tenor,"-",BE23*DE23*FE23)</f>
        <v>4.0640293026994482E-3</v>
      </c>
      <c r="GD23" s="353">
        <f ca="1">IF($GB23&gt;CDS.Tenor,"-",BF23*DF23*FF23)</f>
        <v>1.5947901735722737E-2</v>
      </c>
      <c r="GE23" s="353">
        <f ca="1">IF($GB23&gt;CDS.Tenor,"-",BG23*DG23*FG23)</f>
        <v>4.9080566347207338E-2</v>
      </c>
      <c r="GF23" s="353">
        <f ca="1">IF($GB23&gt;CDS.Tenor,"-",BH23*DH23*FH23)</f>
        <v>0.12050966160785695</v>
      </c>
      <c r="GG23" s="353">
        <f ca="1">IF($GB23&gt;CDS.Tenor,"-",BI23*DI23*FI23)</f>
        <v>0.24104359996867886</v>
      </c>
      <c r="GH23" s="353">
        <f ca="1">IF($GB23&gt;CDS.Tenor,"-",BJ23*DJ23*FJ23)</f>
        <v>0.4025824592000089</v>
      </c>
      <c r="GI23" s="353">
        <f ca="1">IF($GB23&gt;CDS.Tenor,"-",BK23*DK23*FK23)</f>
        <v>0.57744713259326297</v>
      </c>
      <c r="GJ23" s="353">
        <f ca="1">IF($GB23&gt;CDS.Tenor,"-",BL23*DL23*FL23)</f>
        <v>0.73322885300580587</v>
      </c>
      <c r="GK23" s="353">
        <f ca="1">IF($GB23&gt;CDS.Tenor,"-",BM23*DM23*FM23)</f>
        <v>0.84970287996154481</v>
      </c>
      <c r="GL23" s="353">
        <f ca="1">IF($GB23&gt;CDS.Tenor,"-",BN23*DN23*FN23)</f>
        <v>0.92419080349182881</v>
      </c>
      <c r="GM23" s="353">
        <f ca="1">IF($GB23&gt;CDS.Tenor,"-",BO23*DO23*FO23)</f>
        <v>0.9656255185465028</v>
      </c>
      <c r="GN23" s="353">
        <f ca="1">IF($GB23&gt;CDS.Tenor,"-",BP23*DP23*FP23)</f>
        <v>0.98594106691624495</v>
      </c>
      <c r="GO23" s="353">
        <f ca="1">IF($GB23&gt;CDS.Tenor,"-",BQ23*DQ23*FQ23)</f>
        <v>0.99480304218131621</v>
      </c>
      <c r="GP23" s="353">
        <f ca="1">IF($GB23&gt;CDS.Tenor,"-",BR23*DR23*FR23)</f>
        <v>0.99826228972125064</v>
      </c>
      <c r="GQ23" s="353">
        <f ca="1">IF($GB23&gt;CDS.Tenor,"-",BS23*DS23*FS23)</f>
        <v>0.99947442113180207</v>
      </c>
      <c r="GR23" s="353">
        <f ca="1">IF($GB23&gt;CDS.Tenor,"-",BT23*DT23*FT23)</f>
        <v>0.99985626736045119</v>
      </c>
      <c r="GS23" s="353">
        <f ca="1">IF($GB23&gt;CDS.Tenor,"-",BU23*DU23*FU23)</f>
        <v>0.99996447828169654</v>
      </c>
      <c r="GT23" s="353">
        <f ca="1">IF($GB23&gt;CDS.Tenor,"-",BV23*DV23*FV23)</f>
        <v>0.99999207103719556</v>
      </c>
      <c r="GU23" s="353">
        <f ca="1">IF($GB23&gt;CDS.Tenor,"-",BW23*DW23*FW23)</f>
        <v>0.9999984022564985</v>
      </c>
      <c r="GV23" s="353">
        <f ca="1">IF($GB23&gt;CDS.Tenor,"-",BX23*DX23*FX23)</f>
        <v>0.99999970947927108</v>
      </c>
      <c r="GW23" s="354">
        <f ca="1">IF($GB23&gt;CDS.Tenor,"-",BY23*DY23*FY23)</f>
        <v>0.99999995235002281</v>
      </c>
      <c r="GX23" s="42"/>
      <c r="GY23" s="42"/>
      <c r="GZ23" s="358">
        <f t="shared" si="179"/>
        <v>4.75</v>
      </c>
      <c r="HA23" s="362">
        <f t="shared" ca="1" si="180"/>
        <v>0.92232643492073318</v>
      </c>
      <c r="HB23" s="363">
        <f t="shared" ca="1" si="181"/>
        <v>3.8039482708681627E-3</v>
      </c>
    </row>
    <row r="24" spans="2:210" x14ac:dyDescent="0.3">
      <c r="B24" s="116" t="s">
        <v>126</v>
      </c>
      <c r="C24" s="160"/>
      <c r="D24" s="381">
        <f ca="1">D23*0.01%</f>
        <v>4297.5949298107053</v>
      </c>
      <c r="I24" s="370">
        <f t="shared" si="86"/>
        <v>5</v>
      </c>
      <c r="J24" s="371">
        <f t="shared" si="87"/>
        <v>-25000</v>
      </c>
      <c r="K24" s="348">
        <f t="shared" ca="1" si="88"/>
        <v>0.91854750604160029</v>
      </c>
      <c r="L24" s="348">
        <f t="shared" ca="1" si="89"/>
        <v>3.7789288791328923E-3</v>
      </c>
      <c r="M24" s="372" cm="1">
        <f t="array" ref="M24">IF($I24&gt;CDS.Tenor,"-",cubicInterpolation(CurveResults.Times,CurveResults.DFs,$I24))</f>
        <v>0.81496171728417521</v>
      </c>
      <c r="N24" s="371">
        <f t="shared" ca="1" si="90"/>
        <v>-18714.526323268972</v>
      </c>
      <c r="O24" s="371">
        <f t="shared" ca="1" si="91"/>
        <v>-38.49602961041132</v>
      </c>
      <c r="P24" s="373">
        <f t="shared" ca="1" si="92"/>
        <v>-18753.022352879383</v>
      </c>
      <c r="S24" s="370">
        <f t="shared" si="93"/>
        <v>5</v>
      </c>
      <c r="T24" s="371">
        <f t="shared" si="94"/>
        <v>6000000</v>
      </c>
      <c r="U24" s="348">
        <f ca="1">IF($I24&gt;CDS.Tenor,"-",HA24)</f>
        <v>0.91854750604160029</v>
      </c>
      <c r="V24" s="348">
        <f t="shared" ca="1" si="95"/>
        <v>3.7789288791328923E-3</v>
      </c>
      <c r="W24" s="372" cm="1">
        <f t="array" ref="W24">IF($S24&gt;CDS.Tenor,"-",cubicInterpolation(CurveResults.Times,CurveResults.DFs,$I24))</f>
        <v>0.81496171728417521</v>
      </c>
      <c r="X24" s="373">
        <f t="shared" ca="1" si="96"/>
        <v>18478.094212997432</v>
      </c>
      <c r="AA24" s="358">
        <f t="shared" si="97"/>
        <v>5</v>
      </c>
      <c r="AB24" s="343" cm="1">
        <f t="array" aca="1" ref="AB24" ca="1">IF($AA24&gt;CDS.Tenor,"-",flatInterpolation(Z24,INDIRECT(HazardRateTimes1),INDIRECT(HazardRateValues1)))</f>
        <v>5.0000000000000001E-3</v>
      </c>
      <c r="AC24" s="10">
        <f t="shared" ca="1" si="98"/>
        <v>0.9753099120283335</v>
      </c>
      <c r="AD24" s="10">
        <f t="shared" ca="1" si="99"/>
        <v>2.4690087971666497E-2</v>
      </c>
      <c r="AE24" s="81">
        <f t="shared" ca="1" si="100"/>
        <v>-1.9652943777417422</v>
      </c>
      <c r="AG24" s="358">
        <f t="shared" si="101"/>
        <v>5</v>
      </c>
      <c r="AH24" s="353">
        <f t="shared" ca="1" si="182"/>
        <v>0.82233292140883807</v>
      </c>
      <c r="AI24" s="353">
        <f t="shared" ca="1" si="182"/>
        <v>0.72473477669335884</v>
      </c>
      <c r="AJ24" s="353">
        <f t="shared" ca="1" si="182"/>
        <v>0.60628085579202617</v>
      </c>
      <c r="AK24" s="353">
        <f t="shared" ca="1" si="182"/>
        <v>0.47699848914632265</v>
      </c>
      <c r="AL24" s="353">
        <f t="shared" ca="1" si="182"/>
        <v>0.35011313113726683</v>
      </c>
      <c r="AM24" s="353">
        <f t="shared" ca="1" si="182"/>
        <v>0.238126545244607</v>
      </c>
      <c r="AN24" s="353">
        <f t="shared" ca="1" si="182"/>
        <v>0.14924691786484096</v>
      </c>
      <c r="AO24" s="353">
        <f t="shared" ca="1" si="182"/>
        <v>8.5813348605243353E-2</v>
      </c>
      <c r="AP24" s="353">
        <f t="shared" ca="1" si="182"/>
        <v>4.5102018597186752E-2</v>
      </c>
      <c r="AQ24" s="353">
        <f t="shared" ca="1" si="182"/>
        <v>2.1606301123656486E-2</v>
      </c>
      <c r="AR24" s="353">
        <f t="shared" ca="1" si="183"/>
        <v>9.4125584137851031E-3</v>
      </c>
      <c r="AS24" s="353">
        <f t="shared" ca="1" si="183"/>
        <v>3.7219667599632305E-3</v>
      </c>
      <c r="AT24" s="353">
        <f t="shared" ca="1" si="183"/>
        <v>1.3338988909050908E-3</v>
      </c>
      <c r="AU24" s="353">
        <f t="shared" ca="1" si="183"/>
        <v>4.3274051761370269E-4</v>
      </c>
      <c r="AV24" s="353">
        <f t="shared" ca="1" si="183"/>
        <v>1.2695509443324588E-4</v>
      </c>
      <c r="AW24" s="353">
        <f t="shared" ca="1" si="183"/>
        <v>3.3653458880177371E-5</v>
      </c>
      <c r="AX24" s="353">
        <f t="shared" ca="1" si="183"/>
        <v>8.0549989150575291E-6</v>
      </c>
      <c r="AY24" s="353">
        <f t="shared" ca="1" si="183"/>
        <v>1.7398225160670871E-6</v>
      </c>
      <c r="AZ24" s="353">
        <f t="shared" ca="1" si="183"/>
        <v>3.3894918720075778E-7</v>
      </c>
      <c r="BA24" s="353">
        <f t="shared" ca="1" si="183"/>
        <v>5.9535049611418533E-8</v>
      </c>
      <c r="BB24" s="354">
        <f t="shared" ca="1" si="183"/>
        <v>9.424615748046986E-9</v>
      </c>
      <c r="BD24" s="358">
        <f t="shared" si="104"/>
        <v>5</v>
      </c>
      <c r="BE24" s="353">
        <f t="shared" ca="1" si="105"/>
        <v>0.17766707859116193</v>
      </c>
      <c r="BF24" s="353">
        <f t="shared" ca="1" si="106"/>
        <v>0.27526522330664116</v>
      </c>
      <c r="BG24" s="353">
        <f t="shared" ca="1" si="107"/>
        <v>0.39371914420797383</v>
      </c>
      <c r="BH24" s="353">
        <f t="shared" ca="1" si="108"/>
        <v>0.52300151085367741</v>
      </c>
      <c r="BI24" s="353">
        <f t="shared" ca="1" si="109"/>
        <v>0.64988686886273317</v>
      </c>
      <c r="BJ24" s="353">
        <f t="shared" ca="1" si="110"/>
        <v>0.76187345475539303</v>
      </c>
      <c r="BK24" s="353">
        <f t="shared" ca="1" si="111"/>
        <v>0.85075308213515899</v>
      </c>
      <c r="BL24" s="353">
        <f t="shared" ca="1" si="112"/>
        <v>0.91418665139475663</v>
      </c>
      <c r="BM24" s="353">
        <f t="shared" ca="1" si="113"/>
        <v>0.95489798140281323</v>
      </c>
      <c r="BN24" s="353">
        <f t="shared" ca="1" si="114"/>
        <v>0.97839369887634353</v>
      </c>
      <c r="BO24" s="353">
        <f t="shared" ca="1" si="115"/>
        <v>0.99058744158621492</v>
      </c>
      <c r="BP24" s="353">
        <f t="shared" ca="1" si="116"/>
        <v>0.99627803324003672</v>
      </c>
      <c r="BQ24" s="353">
        <f t="shared" ca="1" si="117"/>
        <v>0.99866610110909493</v>
      </c>
      <c r="BR24" s="353">
        <f t="shared" ca="1" si="118"/>
        <v>0.99956725948238634</v>
      </c>
      <c r="BS24" s="353">
        <f t="shared" ca="1" si="119"/>
        <v>0.99987304490556672</v>
      </c>
      <c r="BT24" s="353">
        <f t="shared" ca="1" si="120"/>
        <v>0.99996634654111982</v>
      </c>
      <c r="BU24" s="353">
        <f t="shared" ca="1" si="121"/>
        <v>0.9999919450010849</v>
      </c>
      <c r="BV24" s="353">
        <f t="shared" ca="1" si="122"/>
        <v>0.99999826017748394</v>
      </c>
      <c r="BW24" s="353">
        <f t="shared" ca="1" si="123"/>
        <v>0.99999966105081284</v>
      </c>
      <c r="BX24" s="353">
        <f t="shared" ca="1" si="124"/>
        <v>0.99999994046495044</v>
      </c>
      <c r="BY24" s="354">
        <f t="shared" ca="1" si="125"/>
        <v>0.99999999057538425</v>
      </c>
      <c r="BZ24" s="17"/>
      <c r="CA24" s="17"/>
      <c r="CB24" s="343" cm="1">
        <f t="array" aca="1" ref="CB24" ca="1">IF($AA24&gt;CDS.Tenor,"-",flatInterpolation(AA24,INDIRECT(HazardRateTimes2),INDIRECT(HazardRateValues2)))</f>
        <v>5.8333333333333336E-3</v>
      </c>
      <c r="CC24" s="10">
        <f t="shared" ca="1" si="126"/>
        <v>0.97125457521367298</v>
      </c>
      <c r="CD24" s="10">
        <f t="shared" ca="1" si="127"/>
        <v>2.8745424786327023E-2</v>
      </c>
      <c r="CE24" s="81">
        <f t="shared" ca="1" si="128"/>
        <v>-1.8995602749883329</v>
      </c>
      <c r="CG24" s="358">
        <f t="shared" si="129"/>
        <v>5</v>
      </c>
      <c r="CH24" s="353">
        <f t="shared" ca="1" si="184"/>
        <v>0.84203568842986376</v>
      </c>
      <c r="CI24" s="353">
        <f t="shared" ca="1" si="184"/>
        <v>0.75033131868701708</v>
      </c>
      <c r="CJ24" s="353">
        <f t="shared" ca="1" si="184"/>
        <v>0.63615722029510913</v>
      </c>
      <c r="CK24" s="353">
        <f t="shared" ca="1" si="184"/>
        <v>0.50832893531955647</v>
      </c>
      <c r="CL24" s="353">
        <f t="shared" ca="1" si="184"/>
        <v>0.37963186932782383</v>
      </c>
      <c r="CM24" s="353">
        <f t="shared" ca="1" si="184"/>
        <v>0.26311396296194078</v>
      </c>
      <c r="CN24" s="353">
        <f t="shared" ca="1" si="184"/>
        <v>0.1682505817587121</v>
      </c>
      <c r="CO24" s="353">
        <f t="shared" ca="1" si="184"/>
        <v>9.8798459898275598E-2</v>
      </c>
      <c r="CP24" s="353">
        <f t="shared" ca="1" si="184"/>
        <v>5.3073634740238379E-2</v>
      </c>
      <c r="CQ24" s="353">
        <f t="shared" ca="1" si="184"/>
        <v>2.6003128738446037E-2</v>
      </c>
      <c r="CR24" s="353">
        <f t="shared" ca="1" si="185"/>
        <v>1.1591395955542216E-2</v>
      </c>
      <c r="CS24" s="353">
        <f t="shared" ca="1" si="185"/>
        <v>4.6920357022849444E-3</v>
      </c>
      <c r="CT24" s="353">
        <f t="shared" ca="1" si="185"/>
        <v>1.7219354807363177E-3</v>
      </c>
      <c r="CU24" s="353">
        <f t="shared" ca="1" si="185"/>
        <v>5.7219583309142262E-4</v>
      </c>
      <c r="CV24" s="353">
        <f t="shared" ca="1" si="185"/>
        <v>1.7198383137524809E-4</v>
      </c>
      <c r="CW24" s="353">
        <f t="shared" ca="1" si="185"/>
        <v>4.6716272808818421E-5</v>
      </c>
      <c r="CX24" s="353">
        <f t="shared" ca="1" si="185"/>
        <v>1.1459676416042257E-5</v>
      </c>
      <c r="CY24" s="353">
        <f t="shared" ca="1" si="185"/>
        <v>2.5370962672043784E-6</v>
      </c>
      <c r="CZ24" s="353">
        <f t="shared" ca="1" si="185"/>
        <v>5.0668707686056152E-7</v>
      </c>
      <c r="DA24" s="353">
        <f t="shared" ca="1" si="185"/>
        <v>9.1241460584559742E-8</v>
      </c>
      <c r="DB24" s="354">
        <f t="shared" ca="1" si="185"/>
        <v>1.4809237125030245E-8</v>
      </c>
      <c r="DD24" s="358">
        <f t="shared" si="130"/>
        <v>5</v>
      </c>
      <c r="DE24" s="353">
        <f t="shared" ca="1" si="131"/>
        <v>0.15796431157013624</v>
      </c>
      <c r="DF24" s="353">
        <f t="shared" ca="1" si="132"/>
        <v>0.24966868131298292</v>
      </c>
      <c r="DG24" s="353">
        <f t="shared" ca="1" si="133"/>
        <v>0.36384277970489087</v>
      </c>
      <c r="DH24" s="353">
        <f t="shared" ca="1" si="134"/>
        <v>0.49167106468044353</v>
      </c>
      <c r="DI24" s="353">
        <f t="shared" ca="1" si="135"/>
        <v>0.62036813067217622</v>
      </c>
      <c r="DJ24" s="353">
        <f t="shared" ca="1" si="136"/>
        <v>0.73688603703805922</v>
      </c>
      <c r="DK24" s="353">
        <f t="shared" ca="1" si="137"/>
        <v>0.8317494182412879</v>
      </c>
      <c r="DL24" s="353">
        <f t="shared" ca="1" si="138"/>
        <v>0.90120154010172437</v>
      </c>
      <c r="DM24" s="353">
        <f t="shared" ca="1" si="139"/>
        <v>0.94692636525976159</v>
      </c>
      <c r="DN24" s="353">
        <f t="shared" ca="1" si="140"/>
        <v>0.97399687126155399</v>
      </c>
      <c r="DO24" s="353">
        <f t="shared" ca="1" si="141"/>
        <v>0.98840860404445774</v>
      </c>
      <c r="DP24" s="353">
        <f t="shared" ca="1" si="142"/>
        <v>0.99530796429771506</v>
      </c>
      <c r="DQ24" s="353">
        <f t="shared" ca="1" si="143"/>
        <v>0.99827806451926371</v>
      </c>
      <c r="DR24" s="353">
        <f t="shared" ca="1" si="144"/>
        <v>0.99942780416690857</v>
      </c>
      <c r="DS24" s="353">
        <f t="shared" ca="1" si="145"/>
        <v>0.99982801616862471</v>
      </c>
      <c r="DT24" s="353">
        <f t="shared" ca="1" si="146"/>
        <v>0.99995328372719117</v>
      </c>
      <c r="DU24" s="353">
        <f t="shared" ca="1" si="147"/>
        <v>0.99998854032358397</v>
      </c>
      <c r="DV24" s="353">
        <f t="shared" ca="1" si="148"/>
        <v>0.99999746290373281</v>
      </c>
      <c r="DW24" s="353">
        <f t="shared" ca="1" si="149"/>
        <v>0.99999949331292315</v>
      </c>
      <c r="DX24" s="353">
        <f t="shared" ca="1" si="150"/>
        <v>0.99999990875853939</v>
      </c>
      <c r="DY24" s="354">
        <f t="shared" ca="1" si="151"/>
        <v>0.99999998519076283</v>
      </c>
      <c r="DZ24" s="17"/>
      <c r="EA24" s="17"/>
      <c r="EB24" s="343" cm="1">
        <f t="array" aca="1" ref="EB24" ca="1">IF($AA24&gt;CDS.Tenor,"-",flatInterpolation(CC24,INDIRECT(HazardRateTimes3),INDIRECT(HazardRateValues3)))</f>
        <v>7.4999999999999997E-3</v>
      </c>
      <c r="EC24" s="10">
        <f t="shared" ca="1" si="152"/>
        <v>0.96319441772082204</v>
      </c>
      <c r="ED24" s="10">
        <f t="shared" ca="1" si="153"/>
        <v>3.6805582279177962E-2</v>
      </c>
      <c r="EE24" s="81">
        <f t="shared" ca="1" si="154"/>
        <v>-1.7890226706768328</v>
      </c>
      <c r="EG24" s="358">
        <f t="shared" si="155"/>
        <v>5</v>
      </c>
      <c r="EH24" s="353">
        <f t="shared" ca="1" si="186"/>
        <v>0.87180757991312463</v>
      </c>
      <c r="EI24" s="353">
        <f t="shared" ca="1" si="186"/>
        <v>0.79035407922514445</v>
      </c>
      <c r="EJ24" s="353">
        <f t="shared" ca="1" si="186"/>
        <v>0.68450134632749382</v>
      </c>
      <c r="EK24" s="353">
        <f t="shared" ca="1" si="186"/>
        <v>0.56079958826727949</v>
      </c>
      <c r="EL24" s="353">
        <f t="shared" ca="1" si="186"/>
        <v>0.4308030356359106</v>
      </c>
      <c r="EM24" s="353">
        <f t="shared" ca="1" si="186"/>
        <v>0.30795444282559925</v>
      </c>
      <c r="EN24" s="353">
        <f t="shared" ca="1" si="186"/>
        <v>0.20355680482830493</v>
      </c>
      <c r="EO24" s="353">
        <f t="shared" ca="1" si="186"/>
        <v>0.12377707265204768</v>
      </c>
      <c r="EP24" s="353">
        <f t="shared" ca="1" si="186"/>
        <v>6.8952569842768541E-2</v>
      </c>
      <c r="EQ24" s="353">
        <f t="shared" ca="1" si="186"/>
        <v>3.5073193401391298E-2</v>
      </c>
      <c r="ER24" s="353">
        <f t="shared" ca="1" si="187"/>
        <v>1.6246563087628688E-2</v>
      </c>
      <c r="ES24" s="353">
        <f t="shared" ca="1" si="187"/>
        <v>6.8388574155266559E-3</v>
      </c>
      <c r="ET24" s="353">
        <f t="shared" ca="1" si="187"/>
        <v>2.6115306101693724E-3</v>
      </c>
      <c r="EU24" s="353">
        <f t="shared" ca="1" si="187"/>
        <v>9.03421838314801E-4</v>
      </c>
      <c r="EV24" s="353">
        <f t="shared" ca="1" si="187"/>
        <v>2.8279714837352305E-4</v>
      </c>
      <c r="EW24" s="353">
        <f t="shared" ca="1" si="187"/>
        <v>8.0027823760106729E-5</v>
      </c>
      <c r="EX24" s="353">
        <f t="shared" ca="1" si="187"/>
        <v>2.0457406959792085E-5</v>
      </c>
      <c r="EY24" s="353">
        <f t="shared" ca="1" si="187"/>
        <v>4.7208627336214912E-6</v>
      </c>
      <c r="EZ24" s="353">
        <f t="shared" ca="1" si="187"/>
        <v>9.8291441122358114E-7</v>
      </c>
      <c r="FA24" s="353">
        <f t="shared" ca="1" si="187"/>
        <v>1.8455769130861547E-7</v>
      </c>
      <c r="FB24" s="354">
        <f t="shared" ca="1" si="187"/>
        <v>3.1239125526490053E-8</v>
      </c>
      <c r="FD24" s="358">
        <f t="shared" si="156"/>
        <v>5</v>
      </c>
      <c r="FE24" s="353">
        <f t="shared" ca="1" si="157"/>
        <v>0.12819242008687537</v>
      </c>
      <c r="FF24" s="353">
        <f t="shared" ca="1" si="158"/>
        <v>0.20964592077485555</v>
      </c>
      <c r="FG24" s="353">
        <f t="shared" ca="1" si="159"/>
        <v>0.31549865367250618</v>
      </c>
      <c r="FH24" s="353">
        <f t="shared" ca="1" si="160"/>
        <v>0.43920041173272051</v>
      </c>
      <c r="FI24" s="353">
        <f t="shared" ca="1" si="161"/>
        <v>0.5691969643640894</v>
      </c>
      <c r="FJ24" s="353">
        <f t="shared" ca="1" si="162"/>
        <v>0.69204555717440075</v>
      </c>
      <c r="FK24" s="353">
        <f t="shared" ca="1" si="163"/>
        <v>0.79644319517169504</v>
      </c>
      <c r="FL24" s="353">
        <f t="shared" ca="1" si="164"/>
        <v>0.87622292734795226</v>
      </c>
      <c r="FM24" s="353">
        <f t="shared" ca="1" si="165"/>
        <v>0.93104743015723146</v>
      </c>
      <c r="FN24" s="353">
        <f t="shared" ca="1" si="166"/>
        <v>0.96492680659860874</v>
      </c>
      <c r="FO24" s="353">
        <f t="shared" ca="1" si="167"/>
        <v>0.98375343691237127</v>
      </c>
      <c r="FP24" s="353">
        <f t="shared" ca="1" si="168"/>
        <v>0.9931611425844733</v>
      </c>
      <c r="FQ24" s="353">
        <f t="shared" ca="1" si="169"/>
        <v>0.99738846938983061</v>
      </c>
      <c r="FR24" s="353">
        <f t="shared" ca="1" si="170"/>
        <v>0.99909657816168518</v>
      </c>
      <c r="FS24" s="353">
        <f t="shared" ca="1" si="171"/>
        <v>0.99971720285162646</v>
      </c>
      <c r="FT24" s="353">
        <f t="shared" ca="1" si="172"/>
        <v>0.99991997217623985</v>
      </c>
      <c r="FU24" s="353">
        <f t="shared" ca="1" si="173"/>
        <v>0.99997954259304023</v>
      </c>
      <c r="FV24" s="353">
        <f t="shared" ca="1" si="174"/>
        <v>0.99999527913726638</v>
      </c>
      <c r="FW24" s="353">
        <f t="shared" ca="1" si="175"/>
        <v>0.9999990170855888</v>
      </c>
      <c r="FX24" s="353">
        <f t="shared" ca="1" si="176"/>
        <v>0.99999981544230865</v>
      </c>
      <c r="FY24" s="354">
        <f t="shared" ca="1" si="177"/>
        <v>0.99999996876087449</v>
      </c>
      <c r="GB24" s="358">
        <f t="shared" si="178"/>
        <v>5</v>
      </c>
      <c r="GC24" s="353">
        <f ca="1">IF($GB24&gt;CDS.Tenor,"-",BE24*DE24*FE24)</f>
        <v>3.5977276739182838E-3</v>
      </c>
      <c r="GD24" s="353">
        <f ca="1">IF($GB24&gt;CDS.Tenor,"-",BF24*DF24*FF24)</f>
        <v>1.4407937983963847E-2</v>
      </c>
      <c r="GE24" s="353">
        <f ca="1">IF($GB24&gt;CDS.Tenor,"-",BG24*DG24*FG24)</f>
        <v>4.5195771443270492E-2</v>
      </c>
      <c r="GF24" s="353">
        <f ca="1">IF($GB24&gt;CDS.Tenor,"-",BH24*DH24*FH24)</f>
        <v>0.11293806236235374</v>
      </c>
      <c r="GG24" s="353">
        <f ca="1">IF($GB24&gt;CDS.Tenor,"-",BI24*DI24*FI24)</f>
        <v>0.22948262897512564</v>
      </c>
      <c r="GH24" s="353">
        <f ca="1">IF($GB24&gt;CDS.Tenor,"-",BJ24*DJ24*FJ24)</f>
        <v>0.38852400270448939</v>
      </c>
      <c r="GI24" s="353">
        <f ca="1">IF($GB24&gt;CDS.Tenor,"-",BK24*DK24*FK24)</f>
        <v>0.56357386221573413</v>
      </c>
      <c r="GJ24" s="353">
        <f ca="1">IF($GB24&gt;CDS.Tenor,"-",BL24*DL24*FL24)</f>
        <v>0.72189064467906738</v>
      </c>
      <c r="GK24" s="353">
        <f ca="1">IF($GB24&gt;CDS.Tenor,"-",BM24*DM24*FM24)</f>
        <v>0.84186991477317319</v>
      </c>
      <c r="GL24" s="353">
        <f ca="1">IF($GB24&gt;CDS.Tenor,"-",BN24*DN24*FN24)</f>
        <v>0.91952931768507762</v>
      </c>
      <c r="GM24" s="353">
        <f ca="1">IF($GB24&gt;CDS.Tenor,"-",BO24*DO24*FO24)</f>
        <v>0.96319805672806957</v>
      </c>
      <c r="GN24" s="353">
        <f ca="1">IF($GB24&gt;CDS.Tenor,"-",BP24*DP24*FP24)</f>
        <v>0.98482202645520212</v>
      </c>
      <c r="GO24" s="353">
        <f ca="1">IF($GB24&gt;CDS.Tenor,"-",BQ24*DQ24*FQ24)</f>
        <v>0.99434290631262545</v>
      </c>
      <c r="GP24" s="353">
        <f ca="1">IF($GB24&gt;CDS.Tenor,"-",BR24*DR24*FR24)</f>
        <v>0.99809279708104803</v>
      </c>
      <c r="GQ24" s="353">
        <f ca="1">IF($GB24&gt;CDS.Tenor,"-",BS24*DS24*FS24)</f>
        <v>0.99941837029294256</v>
      </c>
      <c r="GR24" s="353">
        <f ca="1">IF($GB24&gt;CDS.Tenor,"-",BT24*DT24*FT24)</f>
        <v>0.99983961044840397</v>
      </c>
      <c r="GS24" s="353">
        <f ca="1">IF($GB24&gt;CDS.Tenor,"-",BU24*DU24*FU24)</f>
        <v>0.99996002840923459</v>
      </c>
      <c r="GT24" s="353">
        <f ca="1">IF($GB24&gt;CDS.Tenor,"-",BV24*DV24*FV24)</f>
        <v>0.99999100224308801</v>
      </c>
      <c r="GU24" s="353">
        <f ca="1">IF($GB24&gt;CDS.Tenor,"-",BW24*DW24*FW24)</f>
        <v>0.99999817145032777</v>
      </c>
      <c r="GV24" s="353">
        <f ca="1">IF($GB24&gt;CDS.Tenor,"-",BX24*DX24*FX24)</f>
        <v>0.99999966466583179</v>
      </c>
      <c r="GW24" s="354">
        <f ca="1">IF($GB24&gt;CDS.Tenor,"-",BY24*DY24*FY24)</f>
        <v>0.99999994452702246</v>
      </c>
      <c r="GX24" s="42"/>
      <c r="GY24" s="42"/>
      <c r="GZ24" s="358">
        <f t="shared" si="179"/>
        <v>5</v>
      </c>
      <c r="HA24" s="362">
        <f t="shared" ca="1" si="180"/>
        <v>0.91854750604160029</v>
      </c>
      <c r="HB24" s="363">
        <f t="shared" ca="1" si="181"/>
        <v>3.7789288791328923E-3</v>
      </c>
    </row>
    <row r="25" spans="2:210" x14ac:dyDescent="0.3">
      <c r="B25" s="116" t="s">
        <v>110</v>
      </c>
      <c r="C25" s="160"/>
      <c r="D25" s="382">
        <f ca="1">ABS(D22/D23)</f>
        <v>1.0217083553047318E-2</v>
      </c>
      <c r="I25" s="370">
        <f t="shared" si="86"/>
        <v>5.25</v>
      </c>
      <c r="J25" s="371" t="str">
        <f t="shared" si="87"/>
        <v>-</v>
      </c>
      <c r="K25" s="348" t="str">
        <f t="shared" si="88"/>
        <v>-</v>
      </c>
      <c r="L25" s="348" t="str">
        <f t="shared" si="89"/>
        <v>-</v>
      </c>
      <c r="M25" s="372" t="str" cm="1">
        <f t="array" ref="M25">IF($I25&gt;CDS.Tenor,"-",cubicInterpolation(CurveResults.Times,CurveResults.DFs,$I25))</f>
        <v>-</v>
      </c>
      <c r="N25" s="371" t="str">
        <f t="shared" si="90"/>
        <v>-</v>
      </c>
      <c r="O25" s="371" t="str">
        <f t="shared" si="91"/>
        <v>-</v>
      </c>
      <c r="P25" s="373" t="str">
        <f t="shared" si="92"/>
        <v>-</v>
      </c>
      <c r="S25" s="370">
        <f t="shared" si="93"/>
        <v>5.25</v>
      </c>
      <c r="T25" s="371" t="str">
        <f t="shared" si="94"/>
        <v>-</v>
      </c>
      <c r="U25" s="348" t="str">
        <f>IF($I25&gt;CDS.Tenor,"-",HA25)</f>
        <v>-</v>
      </c>
      <c r="V25" s="348" t="str">
        <f t="shared" si="95"/>
        <v>-</v>
      </c>
      <c r="W25" s="372" t="str" cm="1">
        <f t="array" ref="W25">IF($S25&gt;CDS.Tenor,"-",cubicInterpolation(CurveResults.Times,CurveResults.DFs,$I25))</f>
        <v>-</v>
      </c>
      <c r="X25" s="373" t="str">
        <f t="shared" si="96"/>
        <v>-</v>
      </c>
      <c r="AA25" s="358">
        <f t="shared" si="97"/>
        <v>5.25</v>
      </c>
      <c r="AB25" s="343" t="str" cm="1">
        <f t="array" aca="1" ref="AB25" ca="1">IF($AA25&gt;CDS.Tenor,"-",flatInterpolation(Z25,INDIRECT(HazardRateTimes1),INDIRECT(HazardRateValues1)))</f>
        <v>-</v>
      </c>
      <c r="AC25" s="10" t="str">
        <f t="shared" si="98"/>
        <v>-</v>
      </c>
      <c r="AD25" s="10" t="str">
        <f t="shared" si="99"/>
        <v>-</v>
      </c>
      <c r="AE25" s="81" t="str">
        <f t="shared" si="100"/>
        <v>-</v>
      </c>
      <c r="AG25" s="358">
        <f t="shared" si="101"/>
        <v>5.25</v>
      </c>
      <c r="AH25" s="353" t="str">
        <f t="shared" ref="AH25:AQ34" si="188">IF($AA25&gt;CDS.Tenor,"-",_xlfn.NORM.S.DIST(($AE25-SQRT(ImpliedCorrelation)*AH$3)/SQRT(1-ImpliedCorrelation),TRUE))</f>
        <v>-</v>
      </c>
      <c r="AI25" s="353" t="str">
        <f t="shared" si="188"/>
        <v>-</v>
      </c>
      <c r="AJ25" s="353" t="str">
        <f t="shared" si="188"/>
        <v>-</v>
      </c>
      <c r="AK25" s="353" t="str">
        <f t="shared" si="188"/>
        <v>-</v>
      </c>
      <c r="AL25" s="353" t="str">
        <f t="shared" si="188"/>
        <v>-</v>
      </c>
      <c r="AM25" s="353" t="str">
        <f t="shared" si="188"/>
        <v>-</v>
      </c>
      <c r="AN25" s="353" t="str">
        <f t="shared" si="188"/>
        <v>-</v>
      </c>
      <c r="AO25" s="353" t="str">
        <f t="shared" si="188"/>
        <v>-</v>
      </c>
      <c r="AP25" s="353" t="str">
        <f t="shared" si="188"/>
        <v>-</v>
      </c>
      <c r="AQ25" s="353" t="str">
        <f t="shared" si="188"/>
        <v>-</v>
      </c>
      <c r="AR25" s="353" t="str">
        <f t="shared" ref="AR25:BB34" si="189">IF($AA25&gt;CDS.Tenor,"-",_xlfn.NORM.S.DIST(($AE25-SQRT(ImpliedCorrelation)*AR$3)/SQRT(1-ImpliedCorrelation),TRUE))</f>
        <v>-</v>
      </c>
      <c r="AS25" s="353" t="str">
        <f t="shared" si="189"/>
        <v>-</v>
      </c>
      <c r="AT25" s="353" t="str">
        <f t="shared" si="189"/>
        <v>-</v>
      </c>
      <c r="AU25" s="353" t="str">
        <f t="shared" si="189"/>
        <v>-</v>
      </c>
      <c r="AV25" s="353" t="str">
        <f t="shared" si="189"/>
        <v>-</v>
      </c>
      <c r="AW25" s="353" t="str">
        <f t="shared" si="189"/>
        <v>-</v>
      </c>
      <c r="AX25" s="353" t="str">
        <f t="shared" si="189"/>
        <v>-</v>
      </c>
      <c r="AY25" s="353" t="str">
        <f t="shared" si="189"/>
        <v>-</v>
      </c>
      <c r="AZ25" s="353" t="str">
        <f t="shared" si="189"/>
        <v>-</v>
      </c>
      <c r="BA25" s="353" t="str">
        <f t="shared" si="189"/>
        <v>-</v>
      </c>
      <c r="BB25" s="354" t="str">
        <f t="shared" si="189"/>
        <v>-</v>
      </c>
      <c r="BD25" s="358">
        <f t="shared" si="104"/>
        <v>5.25</v>
      </c>
      <c r="BE25" s="353" t="str">
        <f t="shared" si="105"/>
        <v>-</v>
      </c>
      <c r="BF25" s="353" t="str">
        <f t="shared" si="106"/>
        <v>-</v>
      </c>
      <c r="BG25" s="353" t="str">
        <f t="shared" si="107"/>
        <v>-</v>
      </c>
      <c r="BH25" s="353" t="str">
        <f t="shared" si="108"/>
        <v>-</v>
      </c>
      <c r="BI25" s="353" t="str">
        <f t="shared" si="109"/>
        <v>-</v>
      </c>
      <c r="BJ25" s="353" t="str">
        <f t="shared" si="110"/>
        <v>-</v>
      </c>
      <c r="BK25" s="353" t="str">
        <f t="shared" si="111"/>
        <v>-</v>
      </c>
      <c r="BL25" s="353" t="str">
        <f t="shared" si="112"/>
        <v>-</v>
      </c>
      <c r="BM25" s="353" t="str">
        <f t="shared" si="113"/>
        <v>-</v>
      </c>
      <c r="BN25" s="353" t="str">
        <f t="shared" si="114"/>
        <v>-</v>
      </c>
      <c r="BO25" s="353" t="str">
        <f t="shared" si="115"/>
        <v>-</v>
      </c>
      <c r="BP25" s="353" t="str">
        <f t="shared" si="116"/>
        <v>-</v>
      </c>
      <c r="BQ25" s="353" t="str">
        <f t="shared" si="117"/>
        <v>-</v>
      </c>
      <c r="BR25" s="353" t="str">
        <f t="shared" si="118"/>
        <v>-</v>
      </c>
      <c r="BS25" s="353" t="str">
        <f t="shared" si="119"/>
        <v>-</v>
      </c>
      <c r="BT25" s="353" t="str">
        <f t="shared" si="120"/>
        <v>-</v>
      </c>
      <c r="BU25" s="353" t="str">
        <f t="shared" si="121"/>
        <v>-</v>
      </c>
      <c r="BV25" s="353" t="str">
        <f t="shared" si="122"/>
        <v>-</v>
      </c>
      <c r="BW25" s="353" t="str">
        <f t="shared" si="123"/>
        <v>-</v>
      </c>
      <c r="BX25" s="353" t="str">
        <f t="shared" si="124"/>
        <v>-</v>
      </c>
      <c r="BY25" s="354" t="str">
        <f t="shared" si="125"/>
        <v>-</v>
      </c>
      <c r="BZ25" s="17"/>
      <c r="CA25" s="17"/>
      <c r="CB25" s="343" t="str" cm="1">
        <f t="array" aca="1" ref="CB25" ca="1">IF($AA25&gt;CDS.Tenor,"-",flatInterpolation(AA25,INDIRECT(HazardRateTimes2),INDIRECT(HazardRateValues2)))</f>
        <v>-</v>
      </c>
      <c r="CC25" s="10" t="str">
        <f t="shared" si="126"/>
        <v>-</v>
      </c>
      <c r="CD25" s="10" t="str">
        <f t="shared" si="127"/>
        <v>-</v>
      </c>
      <c r="CE25" s="81" t="str">
        <f t="shared" si="128"/>
        <v>-</v>
      </c>
      <c r="CG25" s="358">
        <f t="shared" si="129"/>
        <v>5.25</v>
      </c>
      <c r="CH25" s="353" t="str">
        <f t="shared" ref="CH25:CQ34" si="190">IF($AA25&gt;CDS.Tenor,"-",_xlfn.NORM.S.DIST(($CE25-SQRT(ImpliedCorrelation)*CH$3)/SQRT(1-ImpliedCorrelation),TRUE))</f>
        <v>-</v>
      </c>
      <c r="CI25" s="353" t="str">
        <f t="shared" si="190"/>
        <v>-</v>
      </c>
      <c r="CJ25" s="353" t="str">
        <f t="shared" si="190"/>
        <v>-</v>
      </c>
      <c r="CK25" s="353" t="str">
        <f t="shared" si="190"/>
        <v>-</v>
      </c>
      <c r="CL25" s="353" t="str">
        <f t="shared" si="190"/>
        <v>-</v>
      </c>
      <c r="CM25" s="353" t="str">
        <f t="shared" si="190"/>
        <v>-</v>
      </c>
      <c r="CN25" s="353" t="str">
        <f t="shared" si="190"/>
        <v>-</v>
      </c>
      <c r="CO25" s="353" t="str">
        <f t="shared" si="190"/>
        <v>-</v>
      </c>
      <c r="CP25" s="353" t="str">
        <f t="shared" si="190"/>
        <v>-</v>
      </c>
      <c r="CQ25" s="353" t="str">
        <f t="shared" si="190"/>
        <v>-</v>
      </c>
      <c r="CR25" s="353" t="str">
        <f t="shared" ref="CR25:DB34" si="191">IF($AA25&gt;CDS.Tenor,"-",_xlfn.NORM.S.DIST(($CE25-SQRT(ImpliedCorrelation)*CR$3)/SQRT(1-ImpliedCorrelation),TRUE))</f>
        <v>-</v>
      </c>
      <c r="CS25" s="353" t="str">
        <f t="shared" si="191"/>
        <v>-</v>
      </c>
      <c r="CT25" s="353" t="str">
        <f t="shared" si="191"/>
        <v>-</v>
      </c>
      <c r="CU25" s="353" t="str">
        <f t="shared" si="191"/>
        <v>-</v>
      </c>
      <c r="CV25" s="353" t="str">
        <f t="shared" si="191"/>
        <v>-</v>
      </c>
      <c r="CW25" s="353" t="str">
        <f t="shared" si="191"/>
        <v>-</v>
      </c>
      <c r="CX25" s="353" t="str">
        <f t="shared" si="191"/>
        <v>-</v>
      </c>
      <c r="CY25" s="353" t="str">
        <f t="shared" si="191"/>
        <v>-</v>
      </c>
      <c r="CZ25" s="353" t="str">
        <f t="shared" si="191"/>
        <v>-</v>
      </c>
      <c r="DA25" s="353" t="str">
        <f t="shared" si="191"/>
        <v>-</v>
      </c>
      <c r="DB25" s="354" t="str">
        <f t="shared" si="191"/>
        <v>-</v>
      </c>
      <c r="DD25" s="358">
        <f t="shared" si="130"/>
        <v>5.25</v>
      </c>
      <c r="DE25" s="353" t="str">
        <f t="shared" si="131"/>
        <v>-</v>
      </c>
      <c r="DF25" s="353" t="str">
        <f t="shared" si="132"/>
        <v>-</v>
      </c>
      <c r="DG25" s="353" t="str">
        <f t="shared" si="133"/>
        <v>-</v>
      </c>
      <c r="DH25" s="353" t="str">
        <f t="shared" si="134"/>
        <v>-</v>
      </c>
      <c r="DI25" s="353" t="str">
        <f t="shared" si="135"/>
        <v>-</v>
      </c>
      <c r="DJ25" s="353" t="str">
        <f t="shared" si="136"/>
        <v>-</v>
      </c>
      <c r="DK25" s="353" t="str">
        <f t="shared" si="137"/>
        <v>-</v>
      </c>
      <c r="DL25" s="353" t="str">
        <f t="shared" si="138"/>
        <v>-</v>
      </c>
      <c r="DM25" s="353" t="str">
        <f t="shared" si="139"/>
        <v>-</v>
      </c>
      <c r="DN25" s="353" t="str">
        <f t="shared" si="140"/>
        <v>-</v>
      </c>
      <c r="DO25" s="353" t="str">
        <f t="shared" si="141"/>
        <v>-</v>
      </c>
      <c r="DP25" s="353" t="str">
        <f t="shared" si="142"/>
        <v>-</v>
      </c>
      <c r="DQ25" s="353" t="str">
        <f t="shared" si="143"/>
        <v>-</v>
      </c>
      <c r="DR25" s="353" t="str">
        <f t="shared" si="144"/>
        <v>-</v>
      </c>
      <c r="DS25" s="353" t="str">
        <f t="shared" si="145"/>
        <v>-</v>
      </c>
      <c r="DT25" s="353" t="str">
        <f t="shared" si="146"/>
        <v>-</v>
      </c>
      <c r="DU25" s="353" t="str">
        <f t="shared" si="147"/>
        <v>-</v>
      </c>
      <c r="DV25" s="353" t="str">
        <f t="shared" si="148"/>
        <v>-</v>
      </c>
      <c r="DW25" s="353" t="str">
        <f t="shared" si="149"/>
        <v>-</v>
      </c>
      <c r="DX25" s="353" t="str">
        <f t="shared" si="150"/>
        <v>-</v>
      </c>
      <c r="DY25" s="354" t="str">
        <f t="shared" si="151"/>
        <v>-</v>
      </c>
      <c r="DZ25" s="17"/>
      <c r="EA25" s="17"/>
      <c r="EB25" s="343" t="str" cm="1">
        <f t="array" aca="1" ref="EB25" ca="1">IF($AA25&gt;CDS.Tenor,"-",flatInterpolation(CC25,INDIRECT(HazardRateTimes3),INDIRECT(HazardRateValues3)))</f>
        <v>-</v>
      </c>
      <c r="EC25" s="10" t="str">
        <f t="shared" si="152"/>
        <v>-</v>
      </c>
      <c r="ED25" s="10" t="str">
        <f t="shared" si="153"/>
        <v>-</v>
      </c>
      <c r="EE25" s="81" t="str">
        <f t="shared" si="154"/>
        <v>-</v>
      </c>
      <c r="EG25" s="358">
        <f t="shared" si="155"/>
        <v>5.25</v>
      </c>
      <c r="EH25" s="353" t="str">
        <f t="shared" ref="EH25:EQ34" si="192">IF($AA25&gt;CDS.Tenor,"-",_xlfn.NORM.S.DIST(($EE25-SQRT(ImpliedCorrelation)*EH$3)/SQRT(1-ImpliedCorrelation),TRUE))</f>
        <v>-</v>
      </c>
      <c r="EI25" s="353" t="str">
        <f t="shared" si="192"/>
        <v>-</v>
      </c>
      <c r="EJ25" s="353" t="str">
        <f t="shared" si="192"/>
        <v>-</v>
      </c>
      <c r="EK25" s="353" t="str">
        <f t="shared" si="192"/>
        <v>-</v>
      </c>
      <c r="EL25" s="353" t="str">
        <f t="shared" si="192"/>
        <v>-</v>
      </c>
      <c r="EM25" s="353" t="str">
        <f t="shared" si="192"/>
        <v>-</v>
      </c>
      <c r="EN25" s="353" t="str">
        <f t="shared" si="192"/>
        <v>-</v>
      </c>
      <c r="EO25" s="353" t="str">
        <f t="shared" si="192"/>
        <v>-</v>
      </c>
      <c r="EP25" s="353" t="str">
        <f t="shared" si="192"/>
        <v>-</v>
      </c>
      <c r="EQ25" s="353" t="str">
        <f t="shared" si="192"/>
        <v>-</v>
      </c>
      <c r="ER25" s="353" t="str">
        <f t="shared" ref="ER25:FB34" si="193">IF($AA25&gt;CDS.Tenor,"-",_xlfn.NORM.S.DIST(($EE25-SQRT(ImpliedCorrelation)*ER$3)/SQRT(1-ImpliedCorrelation),TRUE))</f>
        <v>-</v>
      </c>
      <c r="ES25" s="353" t="str">
        <f t="shared" si="193"/>
        <v>-</v>
      </c>
      <c r="ET25" s="353" t="str">
        <f t="shared" si="193"/>
        <v>-</v>
      </c>
      <c r="EU25" s="353" t="str">
        <f t="shared" si="193"/>
        <v>-</v>
      </c>
      <c r="EV25" s="353" t="str">
        <f t="shared" si="193"/>
        <v>-</v>
      </c>
      <c r="EW25" s="353" t="str">
        <f t="shared" si="193"/>
        <v>-</v>
      </c>
      <c r="EX25" s="353" t="str">
        <f t="shared" si="193"/>
        <v>-</v>
      </c>
      <c r="EY25" s="353" t="str">
        <f t="shared" si="193"/>
        <v>-</v>
      </c>
      <c r="EZ25" s="353" t="str">
        <f t="shared" si="193"/>
        <v>-</v>
      </c>
      <c r="FA25" s="353" t="str">
        <f t="shared" si="193"/>
        <v>-</v>
      </c>
      <c r="FB25" s="354" t="str">
        <f t="shared" si="193"/>
        <v>-</v>
      </c>
      <c r="FD25" s="358">
        <f t="shared" si="156"/>
        <v>5.25</v>
      </c>
      <c r="FE25" s="353" t="str">
        <f t="shared" si="157"/>
        <v>-</v>
      </c>
      <c r="FF25" s="353" t="str">
        <f t="shared" si="158"/>
        <v>-</v>
      </c>
      <c r="FG25" s="353" t="str">
        <f t="shared" si="159"/>
        <v>-</v>
      </c>
      <c r="FH25" s="353" t="str">
        <f t="shared" si="160"/>
        <v>-</v>
      </c>
      <c r="FI25" s="353" t="str">
        <f t="shared" si="161"/>
        <v>-</v>
      </c>
      <c r="FJ25" s="353" t="str">
        <f t="shared" si="162"/>
        <v>-</v>
      </c>
      <c r="FK25" s="353" t="str">
        <f t="shared" si="163"/>
        <v>-</v>
      </c>
      <c r="FL25" s="353" t="str">
        <f t="shared" si="164"/>
        <v>-</v>
      </c>
      <c r="FM25" s="353" t="str">
        <f t="shared" si="165"/>
        <v>-</v>
      </c>
      <c r="FN25" s="353" t="str">
        <f t="shared" si="166"/>
        <v>-</v>
      </c>
      <c r="FO25" s="353" t="str">
        <f t="shared" si="167"/>
        <v>-</v>
      </c>
      <c r="FP25" s="353" t="str">
        <f t="shared" si="168"/>
        <v>-</v>
      </c>
      <c r="FQ25" s="353" t="str">
        <f t="shared" si="169"/>
        <v>-</v>
      </c>
      <c r="FR25" s="353" t="str">
        <f t="shared" si="170"/>
        <v>-</v>
      </c>
      <c r="FS25" s="353" t="str">
        <f t="shared" si="171"/>
        <v>-</v>
      </c>
      <c r="FT25" s="353" t="str">
        <f t="shared" si="172"/>
        <v>-</v>
      </c>
      <c r="FU25" s="353" t="str">
        <f t="shared" si="173"/>
        <v>-</v>
      </c>
      <c r="FV25" s="353" t="str">
        <f t="shared" si="174"/>
        <v>-</v>
      </c>
      <c r="FW25" s="353" t="str">
        <f t="shared" si="175"/>
        <v>-</v>
      </c>
      <c r="FX25" s="353" t="str">
        <f t="shared" si="176"/>
        <v>-</v>
      </c>
      <c r="FY25" s="354" t="str">
        <f t="shared" si="177"/>
        <v>-</v>
      </c>
      <c r="GB25" s="358">
        <f t="shared" si="178"/>
        <v>5.25</v>
      </c>
      <c r="GC25" s="353" t="str">
        <f>IF($GB25&gt;CDS.Tenor,"-",BE25*DE25*FE25)</f>
        <v>-</v>
      </c>
      <c r="GD25" s="353" t="str">
        <f>IF($GB25&gt;CDS.Tenor,"-",BF25*DF25*FF25)</f>
        <v>-</v>
      </c>
      <c r="GE25" s="353" t="str">
        <f>IF($GB25&gt;CDS.Tenor,"-",BG25*DG25*FG25)</f>
        <v>-</v>
      </c>
      <c r="GF25" s="353" t="str">
        <f>IF($GB25&gt;CDS.Tenor,"-",BH25*DH25*FH25)</f>
        <v>-</v>
      </c>
      <c r="GG25" s="353" t="str">
        <f>IF($GB25&gt;CDS.Tenor,"-",BI25*DI25*FI25)</f>
        <v>-</v>
      </c>
      <c r="GH25" s="353" t="str">
        <f>IF($GB25&gt;CDS.Tenor,"-",BJ25*DJ25*FJ25)</f>
        <v>-</v>
      </c>
      <c r="GI25" s="353" t="str">
        <f>IF($GB25&gt;CDS.Tenor,"-",BK25*DK25*FK25)</f>
        <v>-</v>
      </c>
      <c r="GJ25" s="353" t="str">
        <f>IF($GB25&gt;CDS.Tenor,"-",BL25*DL25*FL25)</f>
        <v>-</v>
      </c>
      <c r="GK25" s="353" t="str">
        <f>IF($GB25&gt;CDS.Tenor,"-",BM25*DM25*FM25)</f>
        <v>-</v>
      </c>
      <c r="GL25" s="353" t="str">
        <f>IF($GB25&gt;CDS.Tenor,"-",BN25*DN25*FN25)</f>
        <v>-</v>
      </c>
      <c r="GM25" s="353" t="str">
        <f>IF($GB25&gt;CDS.Tenor,"-",BO25*DO25*FO25)</f>
        <v>-</v>
      </c>
      <c r="GN25" s="353" t="str">
        <f>IF($GB25&gt;CDS.Tenor,"-",BP25*DP25*FP25)</f>
        <v>-</v>
      </c>
      <c r="GO25" s="353" t="str">
        <f>IF($GB25&gt;CDS.Tenor,"-",BQ25*DQ25*FQ25)</f>
        <v>-</v>
      </c>
      <c r="GP25" s="353" t="str">
        <f>IF($GB25&gt;CDS.Tenor,"-",BR25*DR25*FR25)</f>
        <v>-</v>
      </c>
      <c r="GQ25" s="353" t="str">
        <f>IF($GB25&gt;CDS.Tenor,"-",BS25*DS25*FS25)</f>
        <v>-</v>
      </c>
      <c r="GR25" s="353" t="str">
        <f>IF($GB25&gt;CDS.Tenor,"-",BT25*DT25*FT25)</f>
        <v>-</v>
      </c>
      <c r="GS25" s="353" t="str">
        <f>IF($GB25&gt;CDS.Tenor,"-",BU25*DU25*FU25)</f>
        <v>-</v>
      </c>
      <c r="GT25" s="353" t="str">
        <f>IF($GB25&gt;CDS.Tenor,"-",BV25*DV25*FV25)</f>
        <v>-</v>
      </c>
      <c r="GU25" s="353" t="str">
        <f>IF($GB25&gt;CDS.Tenor,"-",BW25*DW25*FW25)</f>
        <v>-</v>
      </c>
      <c r="GV25" s="353" t="str">
        <f>IF($GB25&gt;CDS.Tenor,"-",BX25*DX25*FX25)</f>
        <v>-</v>
      </c>
      <c r="GW25" s="354" t="str">
        <f>IF($GB25&gt;CDS.Tenor,"-",BY25*DY25*FY25)</f>
        <v>-</v>
      </c>
      <c r="GX25" s="42"/>
      <c r="GY25" s="42"/>
      <c r="GZ25" s="358">
        <f t="shared" si="179"/>
        <v>5.25</v>
      </c>
      <c r="HA25" s="362" t="str">
        <f t="shared" si="180"/>
        <v>-</v>
      </c>
      <c r="HB25" s="363" t="str">
        <f t="shared" si="181"/>
        <v>-</v>
      </c>
    </row>
    <row r="26" spans="2:210" x14ac:dyDescent="0.3">
      <c r="B26" s="112" t="s">
        <v>67</v>
      </c>
      <c r="C26" s="161"/>
      <c r="D26" s="383">
        <f ca="1">D25*10000</f>
        <v>102.17083553047318</v>
      </c>
      <c r="I26" s="370">
        <f t="shared" si="86"/>
        <v>5.5</v>
      </c>
      <c r="J26" s="371" t="str">
        <f t="shared" si="87"/>
        <v>-</v>
      </c>
      <c r="K26" s="348" t="str">
        <f t="shared" si="88"/>
        <v>-</v>
      </c>
      <c r="L26" s="348" t="str">
        <f t="shared" si="89"/>
        <v>-</v>
      </c>
      <c r="M26" s="372" t="str" cm="1">
        <f t="array" ref="M26">IF($I26&gt;CDS.Tenor,"-",cubicInterpolation(CurveResults.Times,CurveResults.DFs,$I26))</f>
        <v>-</v>
      </c>
      <c r="N26" s="371" t="str">
        <f t="shared" si="90"/>
        <v>-</v>
      </c>
      <c r="O26" s="371" t="str">
        <f t="shared" si="91"/>
        <v>-</v>
      </c>
      <c r="P26" s="373" t="str">
        <f t="shared" si="92"/>
        <v>-</v>
      </c>
      <c r="S26" s="370">
        <f t="shared" si="93"/>
        <v>5.5</v>
      </c>
      <c r="T26" s="371" t="str">
        <f t="shared" si="94"/>
        <v>-</v>
      </c>
      <c r="U26" s="348" t="str">
        <f>IF($I26&gt;CDS.Tenor,"-",HA26)</f>
        <v>-</v>
      </c>
      <c r="V26" s="348" t="str">
        <f t="shared" si="95"/>
        <v>-</v>
      </c>
      <c r="W26" s="372" t="str" cm="1">
        <f t="array" ref="W26">IF($S26&gt;CDS.Tenor,"-",cubicInterpolation(CurveResults.Times,CurveResults.DFs,$I26))</f>
        <v>-</v>
      </c>
      <c r="X26" s="373" t="str">
        <f t="shared" si="96"/>
        <v>-</v>
      </c>
      <c r="AA26" s="358">
        <f t="shared" si="97"/>
        <v>5.5</v>
      </c>
      <c r="AB26" s="343" t="str" cm="1">
        <f t="array" aca="1" ref="AB26" ca="1">IF($AA26&gt;CDS.Tenor,"-",flatInterpolation(Z26,INDIRECT(HazardRateTimes1),INDIRECT(HazardRateValues1)))</f>
        <v>-</v>
      </c>
      <c r="AC26" s="10" t="str">
        <f t="shared" si="98"/>
        <v>-</v>
      </c>
      <c r="AD26" s="10" t="str">
        <f t="shared" si="99"/>
        <v>-</v>
      </c>
      <c r="AE26" s="81" t="str">
        <f t="shared" si="100"/>
        <v>-</v>
      </c>
      <c r="AG26" s="358">
        <f t="shared" si="101"/>
        <v>5.5</v>
      </c>
      <c r="AH26" s="353" t="str">
        <f t="shared" si="188"/>
        <v>-</v>
      </c>
      <c r="AI26" s="353" t="str">
        <f t="shared" si="188"/>
        <v>-</v>
      </c>
      <c r="AJ26" s="353" t="str">
        <f t="shared" si="188"/>
        <v>-</v>
      </c>
      <c r="AK26" s="353" t="str">
        <f t="shared" si="188"/>
        <v>-</v>
      </c>
      <c r="AL26" s="353" t="str">
        <f t="shared" si="188"/>
        <v>-</v>
      </c>
      <c r="AM26" s="353" t="str">
        <f t="shared" si="188"/>
        <v>-</v>
      </c>
      <c r="AN26" s="353" t="str">
        <f t="shared" si="188"/>
        <v>-</v>
      </c>
      <c r="AO26" s="353" t="str">
        <f t="shared" si="188"/>
        <v>-</v>
      </c>
      <c r="AP26" s="353" t="str">
        <f t="shared" si="188"/>
        <v>-</v>
      </c>
      <c r="AQ26" s="353" t="str">
        <f t="shared" si="188"/>
        <v>-</v>
      </c>
      <c r="AR26" s="353" t="str">
        <f t="shared" si="189"/>
        <v>-</v>
      </c>
      <c r="AS26" s="353" t="str">
        <f t="shared" si="189"/>
        <v>-</v>
      </c>
      <c r="AT26" s="353" t="str">
        <f t="shared" si="189"/>
        <v>-</v>
      </c>
      <c r="AU26" s="353" t="str">
        <f t="shared" si="189"/>
        <v>-</v>
      </c>
      <c r="AV26" s="353" t="str">
        <f t="shared" si="189"/>
        <v>-</v>
      </c>
      <c r="AW26" s="353" t="str">
        <f t="shared" si="189"/>
        <v>-</v>
      </c>
      <c r="AX26" s="353" t="str">
        <f t="shared" si="189"/>
        <v>-</v>
      </c>
      <c r="AY26" s="353" t="str">
        <f t="shared" si="189"/>
        <v>-</v>
      </c>
      <c r="AZ26" s="353" t="str">
        <f t="shared" si="189"/>
        <v>-</v>
      </c>
      <c r="BA26" s="353" t="str">
        <f t="shared" si="189"/>
        <v>-</v>
      </c>
      <c r="BB26" s="354" t="str">
        <f t="shared" si="189"/>
        <v>-</v>
      </c>
      <c r="BD26" s="358">
        <f t="shared" si="104"/>
        <v>5.5</v>
      </c>
      <c r="BE26" s="353" t="str">
        <f t="shared" si="105"/>
        <v>-</v>
      </c>
      <c r="BF26" s="353" t="str">
        <f t="shared" si="106"/>
        <v>-</v>
      </c>
      <c r="BG26" s="353" t="str">
        <f t="shared" si="107"/>
        <v>-</v>
      </c>
      <c r="BH26" s="353" t="str">
        <f t="shared" si="108"/>
        <v>-</v>
      </c>
      <c r="BI26" s="353" t="str">
        <f t="shared" si="109"/>
        <v>-</v>
      </c>
      <c r="BJ26" s="353" t="str">
        <f t="shared" si="110"/>
        <v>-</v>
      </c>
      <c r="BK26" s="353" t="str">
        <f t="shared" si="111"/>
        <v>-</v>
      </c>
      <c r="BL26" s="353" t="str">
        <f t="shared" si="112"/>
        <v>-</v>
      </c>
      <c r="BM26" s="353" t="str">
        <f t="shared" si="113"/>
        <v>-</v>
      </c>
      <c r="BN26" s="353" t="str">
        <f t="shared" si="114"/>
        <v>-</v>
      </c>
      <c r="BO26" s="353" t="str">
        <f t="shared" si="115"/>
        <v>-</v>
      </c>
      <c r="BP26" s="353" t="str">
        <f t="shared" si="116"/>
        <v>-</v>
      </c>
      <c r="BQ26" s="353" t="str">
        <f t="shared" si="117"/>
        <v>-</v>
      </c>
      <c r="BR26" s="353" t="str">
        <f t="shared" si="118"/>
        <v>-</v>
      </c>
      <c r="BS26" s="353" t="str">
        <f t="shared" si="119"/>
        <v>-</v>
      </c>
      <c r="BT26" s="353" t="str">
        <f t="shared" si="120"/>
        <v>-</v>
      </c>
      <c r="BU26" s="353" t="str">
        <f t="shared" si="121"/>
        <v>-</v>
      </c>
      <c r="BV26" s="353" t="str">
        <f t="shared" si="122"/>
        <v>-</v>
      </c>
      <c r="BW26" s="353" t="str">
        <f t="shared" si="123"/>
        <v>-</v>
      </c>
      <c r="BX26" s="353" t="str">
        <f t="shared" si="124"/>
        <v>-</v>
      </c>
      <c r="BY26" s="354" t="str">
        <f t="shared" si="125"/>
        <v>-</v>
      </c>
      <c r="BZ26" s="17"/>
      <c r="CA26" s="17"/>
      <c r="CB26" s="343" t="str" cm="1">
        <f t="array" aca="1" ref="CB26" ca="1">IF($AA26&gt;CDS.Tenor,"-",flatInterpolation(AA26,INDIRECT(HazardRateTimes2),INDIRECT(HazardRateValues2)))</f>
        <v>-</v>
      </c>
      <c r="CC26" s="10" t="str">
        <f t="shared" si="126"/>
        <v>-</v>
      </c>
      <c r="CD26" s="10" t="str">
        <f t="shared" si="127"/>
        <v>-</v>
      </c>
      <c r="CE26" s="81" t="str">
        <f t="shared" si="128"/>
        <v>-</v>
      </c>
      <c r="CG26" s="358">
        <f t="shared" si="129"/>
        <v>5.5</v>
      </c>
      <c r="CH26" s="353" t="str">
        <f t="shared" si="190"/>
        <v>-</v>
      </c>
      <c r="CI26" s="353" t="str">
        <f t="shared" si="190"/>
        <v>-</v>
      </c>
      <c r="CJ26" s="353" t="str">
        <f t="shared" si="190"/>
        <v>-</v>
      </c>
      <c r="CK26" s="353" t="str">
        <f t="shared" si="190"/>
        <v>-</v>
      </c>
      <c r="CL26" s="353" t="str">
        <f t="shared" si="190"/>
        <v>-</v>
      </c>
      <c r="CM26" s="353" t="str">
        <f t="shared" si="190"/>
        <v>-</v>
      </c>
      <c r="CN26" s="353" t="str">
        <f t="shared" si="190"/>
        <v>-</v>
      </c>
      <c r="CO26" s="353" t="str">
        <f t="shared" si="190"/>
        <v>-</v>
      </c>
      <c r="CP26" s="353" t="str">
        <f t="shared" si="190"/>
        <v>-</v>
      </c>
      <c r="CQ26" s="353" t="str">
        <f t="shared" si="190"/>
        <v>-</v>
      </c>
      <c r="CR26" s="353" t="str">
        <f t="shared" si="191"/>
        <v>-</v>
      </c>
      <c r="CS26" s="353" t="str">
        <f t="shared" si="191"/>
        <v>-</v>
      </c>
      <c r="CT26" s="353" t="str">
        <f t="shared" si="191"/>
        <v>-</v>
      </c>
      <c r="CU26" s="353" t="str">
        <f t="shared" si="191"/>
        <v>-</v>
      </c>
      <c r="CV26" s="353" t="str">
        <f t="shared" si="191"/>
        <v>-</v>
      </c>
      <c r="CW26" s="353" t="str">
        <f t="shared" si="191"/>
        <v>-</v>
      </c>
      <c r="CX26" s="353" t="str">
        <f t="shared" si="191"/>
        <v>-</v>
      </c>
      <c r="CY26" s="353" t="str">
        <f t="shared" si="191"/>
        <v>-</v>
      </c>
      <c r="CZ26" s="353" t="str">
        <f t="shared" si="191"/>
        <v>-</v>
      </c>
      <c r="DA26" s="353" t="str">
        <f t="shared" si="191"/>
        <v>-</v>
      </c>
      <c r="DB26" s="354" t="str">
        <f t="shared" si="191"/>
        <v>-</v>
      </c>
      <c r="DD26" s="358">
        <f t="shared" si="130"/>
        <v>5.5</v>
      </c>
      <c r="DE26" s="353" t="str">
        <f t="shared" si="131"/>
        <v>-</v>
      </c>
      <c r="DF26" s="353" t="str">
        <f t="shared" si="132"/>
        <v>-</v>
      </c>
      <c r="DG26" s="353" t="str">
        <f t="shared" si="133"/>
        <v>-</v>
      </c>
      <c r="DH26" s="353" t="str">
        <f t="shared" si="134"/>
        <v>-</v>
      </c>
      <c r="DI26" s="353" t="str">
        <f t="shared" si="135"/>
        <v>-</v>
      </c>
      <c r="DJ26" s="353" t="str">
        <f t="shared" si="136"/>
        <v>-</v>
      </c>
      <c r="DK26" s="353" t="str">
        <f t="shared" si="137"/>
        <v>-</v>
      </c>
      <c r="DL26" s="353" t="str">
        <f t="shared" si="138"/>
        <v>-</v>
      </c>
      <c r="DM26" s="353" t="str">
        <f t="shared" si="139"/>
        <v>-</v>
      </c>
      <c r="DN26" s="353" t="str">
        <f t="shared" si="140"/>
        <v>-</v>
      </c>
      <c r="DO26" s="353" t="str">
        <f t="shared" si="141"/>
        <v>-</v>
      </c>
      <c r="DP26" s="353" t="str">
        <f t="shared" si="142"/>
        <v>-</v>
      </c>
      <c r="DQ26" s="353" t="str">
        <f t="shared" si="143"/>
        <v>-</v>
      </c>
      <c r="DR26" s="353" t="str">
        <f t="shared" si="144"/>
        <v>-</v>
      </c>
      <c r="DS26" s="353" t="str">
        <f t="shared" si="145"/>
        <v>-</v>
      </c>
      <c r="DT26" s="353" t="str">
        <f t="shared" si="146"/>
        <v>-</v>
      </c>
      <c r="DU26" s="353" t="str">
        <f t="shared" si="147"/>
        <v>-</v>
      </c>
      <c r="DV26" s="353" t="str">
        <f t="shared" si="148"/>
        <v>-</v>
      </c>
      <c r="DW26" s="353" t="str">
        <f t="shared" si="149"/>
        <v>-</v>
      </c>
      <c r="DX26" s="353" t="str">
        <f t="shared" si="150"/>
        <v>-</v>
      </c>
      <c r="DY26" s="354" t="str">
        <f t="shared" si="151"/>
        <v>-</v>
      </c>
      <c r="DZ26" s="17"/>
      <c r="EA26" s="17"/>
      <c r="EB26" s="343" t="str" cm="1">
        <f t="array" aca="1" ref="EB26" ca="1">IF($AA26&gt;CDS.Tenor,"-",flatInterpolation(CC26,INDIRECT(HazardRateTimes3),INDIRECT(HazardRateValues3)))</f>
        <v>-</v>
      </c>
      <c r="EC26" s="10" t="str">
        <f t="shared" si="152"/>
        <v>-</v>
      </c>
      <c r="ED26" s="10" t="str">
        <f t="shared" si="153"/>
        <v>-</v>
      </c>
      <c r="EE26" s="81" t="str">
        <f t="shared" si="154"/>
        <v>-</v>
      </c>
      <c r="EG26" s="358">
        <f t="shared" si="155"/>
        <v>5.5</v>
      </c>
      <c r="EH26" s="353" t="str">
        <f t="shared" si="192"/>
        <v>-</v>
      </c>
      <c r="EI26" s="353" t="str">
        <f t="shared" si="192"/>
        <v>-</v>
      </c>
      <c r="EJ26" s="353" t="str">
        <f t="shared" si="192"/>
        <v>-</v>
      </c>
      <c r="EK26" s="353" t="str">
        <f t="shared" si="192"/>
        <v>-</v>
      </c>
      <c r="EL26" s="353" t="str">
        <f t="shared" si="192"/>
        <v>-</v>
      </c>
      <c r="EM26" s="353" t="str">
        <f t="shared" si="192"/>
        <v>-</v>
      </c>
      <c r="EN26" s="353" t="str">
        <f t="shared" si="192"/>
        <v>-</v>
      </c>
      <c r="EO26" s="353" t="str">
        <f t="shared" si="192"/>
        <v>-</v>
      </c>
      <c r="EP26" s="353" t="str">
        <f t="shared" si="192"/>
        <v>-</v>
      </c>
      <c r="EQ26" s="353" t="str">
        <f t="shared" si="192"/>
        <v>-</v>
      </c>
      <c r="ER26" s="353" t="str">
        <f t="shared" si="193"/>
        <v>-</v>
      </c>
      <c r="ES26" s="353" t="str">
        <f t="shared" si="193"/>
        <v>-</v>
      </c>
      <c r="ET26" s="353" t="str">
        <f t="shared" si="193"/>
        <v>-</v>
      </c>
      <c r="EU26" s="353" t="str">
        <f t="shared" si="193"/>
        <v>-</v>
      </c>
      <c r="EV26" s="353" t="str">
        <f t="shared" si="193"/>
        <v>-</v>
      </c>
      <c r="EW26" s="353" t="str">
        <f t="shared" si="193"/>
        <v>-</v>
      </c>
      <c r="EX26" s="353" t="str">
        <f t="shared" si="193"/>
        <v>-</v>
      </c>
      <c r="EY26" s="353" t="str">
        <f t="shared" si="193"/>
        <v>-</v>
      </c>
      <c r="EZ26" s="353" t="str">
        <f t="shared" si="193"/>
        <v>-</v>
      </c>
      <c r="FA26" s="353" t="str">
        <f t="shared" si="193"/>
        <v>-</v>
      </c>
      <c r="FB26" s="354" t="str">
        <f t="shared" si="193"/>
        <v>-</v>
      </c>
      <c r="FD26" s="358">
        <f t="shared" si="156"/>
        <v>5.5</v>
      </c>
      <c r="FE26" s="353" t="str">
        <f t="shared" si="157"/>
        <v>-</v>
      </c>
      <c r="FF26" s="353" t="str">
        <f t="shared" si="158"/>
        <v>-</v>
      </c>
      <c r="FG26" s="353" t="str">
        <f t="shared" si="159"/>
        <v>-</v>
      </c>
      <c r="FH26" s="353" t="str">
        <f t="shared" si="160"/>
        <v>-</v>
      </c>
      <c r="FI26" s="353" t="str">
        <f t="shared" si="161"/>
        <v>-</v>
      </c>
      <c r="FJ26" s="353" t="str">
        <f t="shared" si="162"/>
        <v>-</v>
      </c>
      <c r="FK26" s="353" t="str">
        <f t="shared" si="163"/>
        <v>-</v>
      </c>
      <c r="FL26" s="353" t="str">
        <f t="shared" si="164"/>
        <v>-</v>
      </c>
      <c r="FM26" s="353" t="str">
        <f t="shared" si="165"/>
        <v>-</v>
      </c>
      <c r="FN26" s="353" t="str">
        <f t="shared" si="166"/>
        <v>-</v>
      </c>
      <c r="FO26" s="353" t="str">
        <f t="shared" si="167"/>
        <v>-</v>
      </c>
      <c r="FP26" s="353" t="str">
        <f t="shared" si="168"/>
        <v>-</v>
      </c>
      <c r="FQ26" s="353" t="str">
        <f t="shared" si="169"/>
        <v>-</v>
      </c>
      <c r="FR26" s="353" t="str">
        <f t="shared" si="170"/>
        <v>-</v>
      </c>
      <c r="FS26" s="353" t="str">
        <f t="shared" si="171"/>
        <v>-</v>
      </c>
      <c r="FT26" s="353" t="str">
        <f t="shared" si="172"/>
        <v>-</v>
      </c>
      <c r="FU26" s="353" t="str">
        <f t="shared" si="173"/>
        <v>-</v>
      </c>
      <c r="FV26" s="353" t="str">
        <f t="shared" si="174"/>
        <v>-</v>
      </c>
      <c r="FW26" s="353" t="str">
        <f t="shared" si="175"/>
        <v>-</v>
      </c>
      <c r="FX26" s="353" t="str">
        <f t="shared" si="176"/>
        <v>-</v>
      </c>
      <c r="FY26" s="354" t="str">
        <f t="shared" si="177"/>
        <v>-</v>
      </c>
      <c r="GB26" s="358">
        <f t="shared" si="178"/>
        <v>5.5</v>
      </c>
      <c r="GC26" s="353" t="str">
        <f>IF($GB26&gt;CDS.Tenor,"-",BE26*DE26*FE26)</f>
        <v>-</v>
      </c>
      <c r="GD26" s="353" t="str">
        <f>IF($GB26&gt;CDS.Tenor,"-",BF26*DF26*FF26)</f>
        <v>-</v>
      </c>
      <c r="GE26" s="353" t="str">
        <f>IF($GB26&gt;CDS.Tenor,"-",BG26*DG26*FG26)</f>
        <v>-</v>
      </c>
      <c r="GF26" s="353" t="str">
        <f>IF($GB26&gt;CDS.Tenor,"-",BH26*DH26*FH26)</f>
        <v>-</v>
      </c>
      <c r="GG26" s="353" t="str">
        <f>IF($GB26&gt;CDS.Tenor,"-",BI26*DI26*FI26)</f>
        <v>-</v>
      </c>
      <c r="GH26" s="353" t="str">
        <f>IF($GB26&gt;CDS.Tenor,"-",BJ26*DJ26*FJ26)</f>
        <v>-</v>
      </c>
      <c r="GI26" s="353" t="str">
        <f>IF($GB26&gt;CDS.Tenor,"-",BK26*DK26*FK26)</f>
        <v>-</v>
      </c>
      <c r="GJ26" s="353" t="str">
        <f>IF($GB26&gt;CDS.Tenor,"-",BL26*DL26*FL26)</f>
        <v>-</v>
      </c>
      <c r="GK26" s="353" t="str">
        <f>IF($GB26&gt;CDS.Tenor,"-",BM26*DM26*FM26)</f>
        <v>-</v>
      </c>
      <c r="GL26" s="353" t="str">
        <f>IF($GB26&gt;CDS.Tenor,"-",BN26*DN26*FN26)</f>
        <v>-</v>
      </c>
      <c r="GM26" s="353" t="str">
        <f>IF($GB26&gt;CDS.Tenor,"-",BO26*DO26*FO26)</f>
        <v>-</v>
      </c>
      <c r="GN26" s="353" t="str">
        <f>IF($GB26&gt;CDS.Tenor,"-",BP26*DP26*FP26)</f>
        <v>-</v>
      </c>
      <c r="GO26" s="353" t="str">
        <f>IF($GB26&gt;CDS.Tenor,"-",BQ26*DQ26*FQ26)</f>
        <v>-</v>
      </c>
      <c r="GP26" s="353" t="str">
        <f>IF($GB26&gt;CDS.Tenor,"-",BR26*DR26*FR26)</f>
        <v>-</v>
      </c>
      <c r="GQ26" s="353" t="str">
        <f>IF($GB26&gt;CDS.Tenor,"-",BS26*DS26*FS26)</f>
        <v>-</v>
      </c>
      <c r="GR26" s="353" t="str">
        <f>IF($GB26&gt;CDS.Tenor,"-",BT26*DT26*FT26)</f>
        <v>-</v>
      </c>
      <c r="GS26" s="353" t="str">
        <f>IF($GB26&gt;CDS.Tenor,"-",BU26*DU26*FU26)</f>
        <v>-</v>
      </c>
      <c r="GT26" s="353" t="str">
        <f>IF($GB26&gt;CDS.Tenor,"-",BV26*DV26*FV26)</f>
        <v>-</v>
      </c>
      <c r="GU26" s="353" t="str">
        <f>IF($GB26&gt;CDS.Tenor,"-",BW26*DW26*FW26)</f>
        <v>-</v>
      </c>
      <c r="GV26" s="353" t="str">
        <f>IF($GB26&gt;CDS.Tenor,"-",BX26*DX26*FX26)</f>
        <v>-</v>
      </c>
      <c r="GW26" s="354" t="str">
        <f>IF($GB26&gt;CDS.Tenor,"-",BY26*DY26*FY26)</f>
        <v>-</v>
      </c>
      <c r="GX26" s="42"/>
      <c r="GY26" s="42"/>
      <c r="GZ26" s="358">
        <f t="shared" si="179"/>
        <v>5.5</v>
      </c>
      <c r="HA26" s="362" t="str">
        <f t="shared" si="180"/>
        <v>-</v>
      </c>
      <c r="HB26" s="363" t="str">
        <f t="shared" si="181"/>
        <v>-</v>
      </c>
    </row>
    <row r="27" spans="2:210" x14ac:dyDescent="0.3">
      <c r="I27" s="370">
        <f t="shared" si="86"/>
        <v>5.75</v>
      </c>
      <c r="J27" s="371" t="str">
        <f t="shared" si="87"/>
        <v>-</v>
      </c>
      <c r="K27" s="348" t="str">
        <f t="shared" si="88"/>
        <v>-</v>
      </c>
      <c r="L27" s="348" t="str">
        <f t="shared" si="89"/>
        <v>-</v>
      </c>
      <c r="M27" s="372" t="str" cm="1">
        <f t="array" ref="M27">IF($I27&gt;CDS.Tenor,"-",cubicInterpolation(CurveResults.Times,CurveResults.DFs,$I27))</f>
        <v>-</v>
      </c>
      <c r="N27" s="371" t="str">
        <f t="shared" si="90"/>
        <v>-</v>
      </c>
      <c r="O27" s="371" t="str">
        <f t="shared" si="91"/>
        <v>-</v>
      </c>
      <c r="P27" s="373" t="str">
        <f t="shared" si="92"/>
        <v>-</v>
      </c>
      <c r="S27" s="370">
        <f t="shared" si="93"/>
        <v>5.75</v>
      </c>
      <c r="T27" s="371" t="str">
        <f t="shared" si="94"/>
        <v>-</v>
      </c>
      <c r="U27" s="348" t="str">
        <f>IF($I27&gt;CDS.Tenor,"-",HA27)</f>
        <v>-</v>
      </c>
      <c r="V27" s="348" t="str">
        <f t="shared" si="95"/>
        <v>-</v>
      </c>
      <c r="W27" s="372" t="str" cm="1">
        <f t="array" ref="W27">IF($S27&gt;CDS.Tenor,"-",cubicInterpolation(CurveResults.Times,CurveResults.DFs,$I27))</f>
        <v>-</v>
      </c>
      <c r="X27" s="373" t="str">
        <f t="shared" si="96"/>
        <v>-</v>
      </c>
      <c r="AA27" s="358">
        <f t="shared" si="97"/>
        <v>5.75</v>
      </c>
      <c r="AB27" s="343" t="str" cm="1">
        <f t="array" aca="1" ref="AB27" ca="1">IF($AA27&gt;CDS.Tenor,"-",flatInterpolation(Z27,INDIRECT(HazardRateTimes1),INDIRECT(HazardRateValues1)))</f>
        <v>-</v>
      </c>
      <c r="AC27" s="10" t="str">
        <f t="shared" si="98"/>
        <v>-</v>
      </c>
      <c r="AD27" s="10" t="str">
        <f t="shared" si="99"/>
        <v>-</v>
      </c>
      <c r="AE27" s="81" t="str">
        <f t="shared" si="100"/>
        <v>-</v>
      </c>
      <c r="AG27" s="358">
        <f t="shared" si="101"/>
        <v>5.75</v>
      </c>
      <c r="AH27" s="353" t="str">
        <f t="shared" si="188"/>
        <v>-</v>
      </c>
      <c r="AI27" s="353" t="str">
        <f t="shared" si="188"/>
        <v>-</v>
      </c>
      <c r="AJ27" s="353" t="str">
        <f t="shared" si="188"/>
        <v>-</v>
      </c>
      <c r="AK27" s="353" t="str">
        <f t="shared" si="188"/>
        <v>-</v>
      </c>
      <c r="AL27" s="353" t="str">
        <f t="shared" si="188"/>
        <v>-</v>
      </c>
      <c r="AM27" s="353" t="str">
        <f t="shared" si="188"/>
        <v>-</v>
      </c>
      <c r="AN27" s="353" t="str">
        <f t="shared" si="188"/>
        <v>-</v>
      </c>
      <c r="AO27" s="353" t="str">
        <f t="shared" si="188"/>
        <v>-</v>
      </c>
      <c r="AP27" s="353" t="str">
        <f t="shared" si="188"/>
        <v>-</v>
      </c>
      <c r="AQ27" s="353" t="str">
        <f t="shared" si="188"/>
        <v>-</v>
      </c>
      <c r="AR27" s="353" t="str">
        <f t="shared" si="189"/>
        <v>-</v>
      </c>
      <c r="AS27" s="353" t="str">
        <f t="shared" si="189"/>
        <v>-</v>
      </c>
      <c r="AT27" s="353" t="str">
        <f t="shared" si="189"/>
        <v>-</v>
      </c>
      <c r="AU27" s="353" t="str">
        <f t="shared" si="189"/>
        <v>-</v>
      </c>
      <c r="AV27" s="353" t="str">
        <f t="shared" si="189"/>
        <v>-</v>
      </c>
      <c r="AW27" s="353" t="str">
        <f t="shared" si="189"/>
        <v>-</v>
      </c>
      <c r="AX27" s="353" t="str">
        <f t="shared" si="189"/>
        <v>-</v>
      </c>
      <c r="AY27" s="353" t="str">
        <f t="shared" si="189"/>
        <v>-</v>
      </c>
      <c r="AZ27" s="353" t="str">
        <f t="shared" si="189"/>
        <v>-</v>
      </c>
      <c r="BA27" s="353" t="str">
        <f t="shared" si="189"/>
        <v>-</v>
      </c>
      <c r="BB27" s="354" t="str">
        <f t="shared" si="189"/>
        <v>-</v>
      </c>
      <c r="BD27" s="358">
        <f t="shared" si="104"/>
        <v>5.75</v>
      </c>
      <c r="BE27" s="353" t="str">
        <f t="shared" si="105"/>
        <v>-</v>
      </c>
      <c r="BF27" s="353" t="str">
        <f t="shared" si="106"/>
        <v>-</v>
      </c>
      <c r="BG27" s="353" t="str">
        <f t="shared" si="107"/>
        <v>-</v>
      </c>
      <c r="BH27" s="353" t="str">
        <f t="shared" si="108"/>
        <v>-</v>
      </c>
      <c r="BI27" s="353" t="str">
        <f t="shared" si="109"/>
        <v>-</v>
      </c>
      <c r="BJ27" s="353" t="str">
        <f t="shared" si="110"/>
        <v>-</v>
      </c>
      <c r="BK27" s="353" t="str">
        <f t="shared" si="111"/>
        <v>-</v>
      </c>
      <c r="BL27" s="353" t="str">
        <f t="shared" si="112"/>
        <v>-</v>
      </c>
      <c r="BM27" s="353" t="str">
        <f t="shared" si="113"/>
        <v>-</v>
      </c>
      <c r="BN27" s="353" t="str">
        <f t="shared" si="114"/>
        <v>-</v>
      </c>
      <c r="BO27" s="353" t="str">
        <f t="shared" si="115"/>
        <v>-</v>
      </c>
      <c r="BP27" s="353" t="str">
        <f t="shared" si="116"/>
        <v>-</v>
      </c>
      <c r="BQ27" s="353" t="str">
        <f t="shared" si="117"/>
        <v>-</v>
      </c>
      <c r="BR27" s="353" t="str">
        <f t="shared" si="118"/>
        <v>-</v>
      </c>
      <c r="BS27" s="353" t="str">
        <f t="shared" si="119"/>
        <v>-</v>
      </c>
      <c r="BT27" s="353" t="str">
        <f t="shared" si="120"/>
        <v>-</v>
      </c>
      <c r="BU27" s="353" t="str">
        <f t="shared" si="121"/>
        <v>-</v>
      </c>
      <c r="BV27" s="353" t="str">
        <f t="shared" si="122"/>
        <v>-</v>
      </c>
      <c r="BW27" s="353" t="str">
        <f t="shared" si="123"/>
        <v>-</v>
      </c>
      <c r="BX27" s="353" t="str">
        <f t="shared" si="124"/>
        <v>-</v>
      </c>
      <c r="BY27" s="354" t="str">
        <f t="shared" si="125"/>
        <v>-</v>
      </c>
      <c r="BZ27" s="17"/>
      <c r="CA27" s="17"/>
      <c r="CB27" s="343" t="str" cm="1">
        <f t="array" aca="1" ref="CB27" ca="1">IF($AA27&gt;CDS.Tenor,"-",flatInterpolation(AA27,INDIRECT(HazardRateTimes2),INDIRECT(HazardRateValues2)))</f>
        <v>-</v>
      </c>
      <c r="CC27" s="10" t="str">
        <f t="shared" si="126"/>
        <v>-</v>
      </c>
      <c r="CD27" s="10" t="str">
        <f t="shared" si="127"/>
        <v>-</v>
      </c>
      <c r="CE27" s="81" t="str">
        <f t="shared" si="128"/>
        <v>-</v>
      </c>
      <c r="CG27" s="358">
        <f t="shared" si="129"/>
        <v>5.75</v>
      </c>
      <c r="CH27" s="353" t="str">
        <f t="shared" si="190"/>
        <v>-</v>
      </c>
      <c r="CI27" s="353" t="str">
        <f t="shared" si="190"/>
        <v>-</v>
      </c>
      <c r="CJ27" s="353" t="str">
        <f t="shared" si="190"/>
        <v>-</v>
      </c>
      <c r="CK27" s="353" t="str">
        <f t="shared" si="190"/>
        <v>-</v>
      </c>
      <c r="CL27" s="353" t="str">
        <f t="shared" si="190"/>
        <v>-</v>
      </c>
      <c r="CM27" s="353" t="str">
        <f t="shared" si="190"/>
        <v>-</v>
      </c>
      <c r="CN27" s="353" t="str">
        <f t="shared" si="190"/>
        <v>-</v>
      </c>
      <c r="CO27" s="353" t="str">
        <f t="shared" si="190"/>
        <v>-</v>
      </c>
      <c r="CP27" s="353" t="str">
        <f t="shared" si="190"/>
        <v>-</v>
      </c>
      <c r="CQ27" s="353" t="str">
        <f t="shared" si="190"/>
        <v>-</v>
      </c>
      <c r="CR27" s="353" t="str">
        <f t="shared" si="191"/>
        <v>-</v>
      </c>
      <c r="CS27" s="353" t="str">
        <f t="shared" si="191"/>
        <v>-</v>
      </c>
      <c r="CT27" s="353" t="str">
        <f t="shared" si="191"/>
        <v>-</v>
      </c>
      <c r="CU27" s="353" t="str">
        <f t="shared" si="191"/>
        <v>-</v>
      </c>
      <c r="CV27" s="353" t="str">
        <f t="shared" si="191"/>
        <v>-</v>
      </c>
      <c r="CW27" s="353" t="str">
        <f t="shared" si="191"/>
        <v>-</v>
      </c>
      <c r="CX27" s="353" t="str">
        <f t="shared" si="191"/>
        <v>-</v>
      </c>
      <c r="CY27" s="353" t="str">
        <f t="shared" si="191"/>
        <v>-</v>
      </c>
      <c r="CZ27" s="353" t="str">
        <f t="shared" si="191"/>
        <v>-</v>
      </c>
      <c r="DA27" s="353" t="str">
        <f t="shared" si="191"/>
        <v>-</v>
      </c>
      <c r="DB27" s="354" t="str">
        <f t="shared" si="191"/>
        <v>-</v>
      </c>
      <c r="DD27" s="358">
        <f t="shared" si="130"/>
        <v>5.75</v>
      </c>
      <c r="DE27" s="353" t="str">
        <f t="shared" si="131"/>
        <v>-</v>
      </c>
      <c r="DF27" s="353" t="str">
        <f t="shared" si="132"/>
        <v>-</v>
      </c>
      <c r="DG27" s="353" t="str">
        <f t="shared" si="133"/>
        <v>-</v>
      </c>
      <c r="DH27" s="353" t="str">
        <f t="shared" si="134"/>
        <v>-</v>
      </c>
      <c r="DI27" s="353" t="str">
        <f t="shared" si="135"/>
        <v>-</v>
      </c>
      <c r="DJ27" s="353" t="str">
        <f t="shared" si="136"/>
        <v>-</v>
      </c>
      <c r="DK27" s="353" t="str">
        <f t="shared" si="137"/>
        <v>-</v>
      </c>
      <c r="DL27" s="353" t="str">
        <f t="shared" si="138"/>
        <v>-</v>
      </c>
      <c r="DM27" s="353" t="str">
        <f t="shared" si="139"/>
        <v>-</v>
      </c>
      <c r="DN27" s="353" t="str">
        <f t="shared" si="140"/>
        <v>-</v>
      </c>
      <c r="DO27" s="353" t="str">
        <f t="shared" si="141"/>
        <v>-</v>
      </c>
      <c r="DP27" s="353" t="str">
        <f t="shared" si="142"/>
        <v>-</v>
      </c>
      <c r="DQ27" s="353" t="str">
        <f t="shared" si="143"/>
        <v>-</v>
      </c>
      <c r="DR27" s="353" t="str">
        <f t="shared" si="144"/>
        <v>-</v>
      </c>
      <c r="DS27" s="353" t="str">
        <f t="shared" si="145"/>
        <v>-</v>
      </c>
      <c r="DT27" s="353" t="str">
        <f t="shared" si="146"/>
        <v>-</v>
      </c>
      <c r="DU27" s="353" t="str">
        <f t="shared" si="147"/>
        <v>-</v>
      </c>
      <c r="DV27" s="353" t="str">
        <f t="shared" si="148"/>
        <v>-</v>
      </c>
      <c r="DW27" s="353" t="str">
        <f t="shared" si="149"/>
        <v>-</v>
      </c>
      <c r="DX27" s="353" t="str">
        <f t="shared" si="150"/>
        <v>-</v>
      </c>
      <c r="DY27" s="354" t="str">
        <f t="shared" si="151"/>
        <v>-</v>
      </c>
      <c r="DZ27" s="17"/>
      <c r="EA27" s="17"/>
      <c r="EB27" s="343" t="str" cm="1">
        <f t="array" aca="1" ref="EB27" ca="1">IF($AA27&gt;CDS.Tenor,"-",flatInterpolation(CC27,INDIRECT(HazardRateTimes3),INDIRECT(HazardRateValues3)))</f>
        <v>-</v>
      </c>
      <c r="EC27" s="10" t="str">
        <f t="shared" si="152"/>
        <v>-</v>
      </c>
      <c r="ED27" s="10" t="str">
        <f t="shared" si="153"/>
        <v>-</v>
      </c>
      <c r="EE27" s="81" t="str">
        <f t="shared" si="154"/>
        <v>-</v>
      </c>
      <c r="EG27" s="358">
        <f t="shared" si="155"/>
        <v>5.75</v>
      </c>
      <c r="EH27" s="353" t="str">
        <f t="shared" si="192"/>
        <v>-</v>
      </c>
      <c r="EI27" s="353" t="str">
        <f t="shared" si="192"/>
        <v>-</v>
      </c>
      <c r="EJ27" s="353" t="str">
        <f t="shared" si="192"/>
        <v>-</v>
      </c>
      <c r="EK27" s="353" t="str">
        <f t="shared" si="192"/>
        <v>-</v>
      </c>
      <c r="EL27" s="353" t="str">
        <f t="shared" si="192"/>
        <v>-</v>
      </c>
      <c r="EM27" s="353" t="str">
        <f t="shared" si="192"/>
        <v>-</v>
      </c>
      <c r="EN27" s="353" t="str">
        <f t="shared" si="192"/>
        <v>-</v>
      </c>
      <c r="EO27" s="353" t="str">
        <f t="shared" si="192"/>
        <v>-</v>
      </c>
      <c r="EP27" s="353" t="str">
        <f t="shared" si="192"/>
        <v>-</v>
      </c>
      <c r="EQ27" s="353" t="str">
        <f t="shared" si="192"/>
        <v>-</v>
      </c>
      <c r="ER27" s="353" t="str">
        <f t="shared" si="193"/>
        <v>-</v>
      </c>
      <c r="ES27" s="353" t="str">
        <f t="shared" si="193"/>
        <v>-</v>
      </c>
      <c r="ET27" s="353" t="str">
        <f t="shared" si="193"/>
        <v>-</v>
      </c>
      <c r="EU27" s="353" t="str">
        <f t="shared" si="193"/>
        <v>-</v>
      </c>
      <c r="EV27" s="353" t="str">
        <f t="shared" si="193"/>
        <v>-</v>
      </c>
      <c r="EW27" s="353" t="str">
        <f t="shared" si="193"/>
        <v>-</v>
      </c>
      <c r="EX27" s="353" t="str">
        <f t="shared" si="193"/>
        <v>-</v>
      </c>
      <c r="EY27" s="353" t="str">
        <f t="shared" si="193"/>
        <v>-</v>
      </c>
      <c r="EZ27" s="353" t="str">
        <f t="shared" si="193"/>
        <v>-</v>
      </c>
      <c r="FA27" s="353" t="str">
        <f t="shared" si="193"/>
        <v>-</v>
      </c>
      <c r="FB27" s="354" t="str">
        <f t="shared" si="193"/>
        <v>-</v>
      </c>
      <c r="FD27" s="358">
        <f t="shared" si="156"/>
        <v>5.75</v>
      </c>
      <c r="FE27" s="353" t="str">
        <f t="shared" si="157"/>
        <v>-</v>
      </c>
      <c r="FF27" s="353" t="str">
        <f t="shared" si="158"/>
        <v>-</v>
      </c>
      <c r="FG27" s="353" t="str">
        <f t="shared" si="159"/>
        <v>-</v>
      </c>
      <c r="FH27" s="353" t="str">
        <f t="shared" si="160"/>
        <v>-</v>
      </c>
      <c r="FI27" s="353" t="str">
        <f t="shared" si="161"/>
        <v>-</v>
      </c>
      <c r="FJ27" s="353" t="str">
        <f t="shared" si="162"/>
        <v>-</v>
      </c>
      <c r="FK27" s="353" t="str">
        <f t="shared" si="163"/>
        <v>-</v>
      </c>
      <c r="FL27" s="353" t="str">
        <f t="shared" si="164"/>
        <v>-</v>
      </c>
      <c r="FM27" s="353" t="str">
        <f t="shared" si="165"/>
        <v>-</v>
      </c>
      <c r="FN27" s="353" t="str">
        <f t="shared" si="166"/>
        <v>-</v>
      </c>
      <c r="FO27" s="353" t="str">
        <f t="shared" si="167"/>
        <v>-</v>
      </c>
      <c r="FP27" s="353" t="str">
        <f t="shared" si="168"/>
        <v>-</v>
      </c>
      <c r="FQ27" s="353" t="str">
        <f t="shared" si="169"/>
        <v>-</v>
      </c>
      <c r="FR27" s="353" t="str">
        <f t="shared" si="170"/>
        <v>-</v>
      </c>
      <c r="FS27" s="353" t="str">
        <f t="shared" si="171"/>
        <v>-</v>
      </c>
      <c r="FT27" s="353" t="str">
        <f t="shared" si="172"/>
        <v>-</v>
      </c>
      <c r="FU27" s="353" t="str">
        <f t="shared" si="173"/>
        <v>-</v>
      </c>
      <c r="FV27" s="353" t="str">
        <f t="shared" si="174"/>
        <v>-</v>
      </c>
      <c r="FW27" s="353" t="str">
        <f t="shared" si="175"/>
        <v>-</v>
      </c>
      <c r="FX27" s="353" t="str">
        <f t="shared" si="176"/>
        <v>-</v>
      </c>
      <c r="FY27" s="354" t="str">
        <f t="shared" si="177"/>
        <v>-</v>
      </c>
      <c r="GB27" s="358">
        <f t="shared" si="178"/>
        <v>5.75</v>
      </c>
      <c r="GC27" s="353" t="str">
        <f>IF($GB27&gt;CDS.Tenor,"-",BE27*DE27*FE27)</f>
        <v>-</v>
      </c>
      <c r="GD27" s="353" t="str">
        <f>IF($GB27&gt;CDS.Tenor,"-",BF27*DF27*FF27)</f>
        <v>-</v>
      </c>
      <c r="GE27" s="353" t="str">
        <f>IF($GB27&gt;CDS.Tenor,"-",BG27*DG27*FG27)</f>
        <v>-</v>
      </c>
      <c r="GF27" s="353" t="str">
        <f>IF($GB27&gt;CDS.Tenor,"-",BH27*DH27*FH27)</f>
        <v>-</v>
      </c>
      <c r="GG27" s="353" t="str">
        <f>IF($GB27&gt;CDS.Tenor,"-",BI27*DI27*FI27)</f>
        <v>-</v>
      </c>
      <c r="GH27" s="353" t="str">
        <f>IF($GB27&gt;CDS.Tenor,"-",BJ27*DJ27*FJ27)</f>
        <v>-</v>
      </c>
      <c r="GI27" s="353" t="str">
        <f>IF($GB27&gt;CDS.Tenor,"-",BK27*DK27*FK27)</f>
        <v>-</v>
      </c>
      <c r="GJ27" s="353" t="str">
        <f>IF($GB27&gt;CDS.Tenor,"-",BL27*DL27*FL27)</f>
        <v>-</v>
      </c>
      <c r="GK27" s="353" t="str">
        <f>IF($GB27&gt;CDS.Tenor,"-",BM27*DM27*FM27)</f>
        <v>-</v>
      </c>
      <c r="GL27" s="353" t="str">
        <f>IF($GB27&gt;CDS.Tenor,"-",BN27*DN27*FN27)</f>
        <v>-</v>
      </c>
      <c r="GM27" s="353" t="str">
        <f>IF($GB27&gt;CDS.Tenor,"-",BO27*DO27*FO27)</f>
        <v>-</v>
      </c>
      <c r="GN27" s="353" t="str">
        <f>IF($GB27&gt;CDS.Tenor,"-",BP27*DP27*FP27)</f>
        <v>-</v>
      </c>
      <c r="GO27" s="353" t="str">
        <f>IF($GB27&gt;CDS.Tenor,"-",BQ27*DQ27*FQ27)</f>
        <v>-</v>
      </c>
      <c r="GP27" s="353" t="str">
        <f>IF($GB27&gt;CDS.Tenor,"-",BR27*DR27*FR27)</f>
        <v>-</v>
      </c>
      <c r="GQ27" s="353" t="str">
        <f>IF($GB27&gt;CDS.Tenor,"-",BS27*DS27*FS27)</f>
        <v>-</v>
      </c>
      <c r="GR27" s="353" t="str">
        <f>IF($GB27&gt;CDS.Tenor,"-",BT27*DT27*FT27)</f>
        <v>-</v>
      </c>
      <c r="GS27" s="353" t="str">
        <f>IF($GB27&gt;CDS.Tenor,"-",BU27*DU27*FU27)</f>
        <v>-</v>
      </c>
      <c r="GT27" s="353" t="str">
        <f>IF($GB27&gt;CDS.Tenor,"-",BV27*DV27*FV27)</f>
        <v>-</v>
      </c>
      <c r="GU27" s="353" t="str">
        <f>IF($GB27&gt;CDS.Tenor,"-",BW27*DW27*FW27)</f>
        <v>-</v>
      </c>
      <c r="GV27" s="353" t="str">
        <f>IF($GB27&gt;CDS.Tenor,"-",BX27*DX27*FX27)</f>
        <v>-</v>
      </c>
      <c r="GW27" s="354" t="str">
        <f>IF($GB27&gt;CDS.Tenor,"-",BY27*DY27*FY27)</f>
        <v>-</v>
      </c>
      <c r="GX27" s="42"/>
      <c r="GY27" s="42"/>
      <c r="GZ27" s="358">
        <f t="shared" si="179"/>
        <v>5.75</v>
      </c>
      <c r="HA27" s="362" t="str">
        <f t="shared" si="180"/>
        <v>-</v>
      </c>
      <c r="HB27" s="363" t="str">
        <f t="shared" si="181"/>
        <v>-</v>
      </c>
    </row>
    <row r="28" spans="2:210" x14ac:dyDescent="0.3">
      <c r="I28" s="370">
        <f t="shared" si="86"/>
        <v>6</v>
      </c>
      <c r="J28" s="371" t="str">
        <f t="shared" si="87"/>
        <v>-</v>
      </c>
      <c r="K28" s="348" t="str">
        <f t="shared" si="88"/>
        <v>-</v>
      </c>
      <c r="L28" s="348" t="str">
        <f t="shared" si="89"/>
        <v>-</v>
      </c>
      <c r="M28" s="372" t="str" cm="1">
        <f t="array" ref="M28">IF($I28&gt;CDS.Tenor,"-",cubicInterpolation(CurveResults.Times,CurveResults.DFs,$I28))</f>
        <v>-</v>
      </c>
      <c r="N28" s="371" t="str">
        <f t="shared" si="90"/>
        <v>-</v>
      </c>
      <c r="O28" s="371" t="str">
        <f t="shared" si="91"/>
        <v>-</v>
      </c>
      <c r="P28" s="373" t="str">
        <f t="shared" si="92"/>
        <v>-</v>
      </c>
      <c r="S28" s="370">
        <f t="shared" si="93"/>
        <v>6</v>
      </c>
      <c r="T28" s="371" t="str">
        <f t="shared" si="94"/>
        <v>-</v>
      </c>
      <c r="U28" s="348" t="str">
        <f>IF($I28&gt;CDS.Tenor,"-",HA28)</f>
        <v>-</v>
      </c>
      <c r="V28" s="348" t="str">
        <f t="shared" si="95"/>
        <v>-</v>
      </c>
      <c r="W28" s="372" t="str" cm="1">
        <f t="array" ref="W28">IF($S28&gt;CDS.Tenor,"-",cubicInterpolation(CurveResults.Times,CurveResults.DFs,$I28))</f>
        <v>-</v>
      </c>
      <c r="X28" s="373" t="str">
        <f t="shared" si="96"/>
        <v>-</v>
      </c>
      <c r="AA28" s="358">
        <f t="shared" si="97"/>
        <v>6</v>
      </c>
      <c r="AB28" s="343" t="str" cm="1">
        <f t="array" aca="1" ref="AB28" ca="1">IF($AA28&gt;CDS.Tenor,"-",flatInterpolation(Z28,INDIRECT(HazardRateTimes1),INDIRECT(HazardRateValues1)))</f>
        <v>-</v>
      </c>
      <c r="AC28" s="10" t="str">
        <f t="shared" si="98"/>
        <v>-</v>
      </c>
      <c r="AD28" s="10" t="str">
        <f t="shared" si="99"/>
        <v>-</v>
      </c>
      <c r="AE28" s="81" t="str">
        <f t="shared" si="100"/>
        <v>-</v>
      </c>
      <c r="AG28" s="358">
        <f t="shared" si="101"/>
        <v>6</v>
      </c>
      <c r="AH28" s="353" t="str">
        <f t="shared" si="188"/>
        <v>-</v>
      </c>
      <c r="AI28" s="353" t="str">
        <f t="shared" si="188"/>
        <v>-</v>
      </c>
      <c r="AJ28" s="353" t="str">
        <f t="shared" si="188"/>
        <v>-</v>
      </c>
      <c r="AK28" s="353" t="str">
        <f t="shared" si="188"/>
        <v>-</v>
      </c>
      <c r="AL28" s="353" t="str">
        <f t="shared" si="188"/>
        <v>-</v>
      </c>
      <c r="AM28" s="353" t="str">
        <f t="shared" si="188"/>
        <v>-</v>
      </c>
      <c r="AN28" s="353" t="str">
        <f t="shared" si="188"/>
        <v>-</v>
      </c>
      <c r="AO28" s="353" t="str">
        <f t="shared" si="188"/>
        <v>-</v>
      </c>
      <c r="AP28" s="353" t="str">
        <f t="shared" si="188"/>
        <v>-</v>
      </c>
      <c r="AQ28" s="353" t="str">
        <f t="shared" si="188"/>
        <v>-</v>
      </c>
      <c r="AR28" s="353" t="str">
        <f t="shared" si="189"/>
        <v>-</v>
      </c>
      <c r="AS28" s="353" t="str">
        <f t="shared" si="189"/>
        <v>-</v>
      </c>
      <c r="AT28" s="353" t="str">
        <f t="shared" si="189"/>
        <v>-</v>
      </c>
      <c r="AU28" s="353" t="str">
        <f t="shared" si="189"/>
        <v>-</v>
      </c>
      <c r="AV28" s="353" t="str">
        <f t="shared" si="189"/>
        <v>-</v>
      </c>
      <c r="AW28" s="353" t="str">
        <f t="shared" si="189"/>
        <v>-</v>
      </c>
      <c r="AX28" s="353" t="str">
        <f t="shared" si="189"/>
        <v>-</v>
      </c>
      <c r="AY28" s="353" t="str">
        <f t="shared" si="189"/>
        <v>-</v>
      </c>
      <c r="AZ28" s="353" t="str">
        <f t="shared" si="189"/>
        <v>-</v>
      </c>
      <c r="BA28" s="353" t="str">
        <f t="shared" si="189"/>
        <v>-</v>
      </c>
      <c r="BB28" s="354" t="str">
        <f t="shared" si="189"/>
        <v>-</v>
      </c>
      <c r="BD28" s="358">
        <f t="shared" si="104"/>
        <v>6</v>
      </c>
      <c r="BE28" s="353" t="str">
        <f t="shared" si="105"/>
        <v>-</v>
      </c>
      <c r="BF28" s="353" t="str">
        <f t="shared" si="106"/>
        <v>-</v>
      </c>
      <c r="BG28" s="353" t="str">
        <f t="shared" si="107"/>
        <v>-</v>
      </c>
      <c r="BH28" s="353" t="str">
        <f t="shared" si="108"/>
        <v>-</v>
      </c>
      <c r="BI28" s="353" t="str">
        <f t="shared" si="109"/>
        <v>-</v>
      </c>
      <c r="BJ28" s="353" t="str">
        <f t="shared" si="110"/>
        <v>-</v>
      </c>
      <c r="BK28" s="353" t="str">
        <f t="shared" si="111"/>
        <v>-</v>
      </c>
      <c r="BL28" s="353" t="str">
        <f t="shared" si="112"/>
        <v>-</v>
      </c>
      <c r="BM28" s="353" t="str">
        <f t="shared" si="113"/>
        <v>-</v>
      </c>
      <c r="BN28" s="353" t="str">
        <f t="shared" si="114"/>
        <v>-</v>
      </c>
      <c r="BO28" s="353" t="str">
        <f t="shared" si="115"/>
        <v>-</v>
      </c>
      <c r="BP28" s="353" t="str">
        <f t="shared" si="116"/>
        <v>-</v>
      </c>
      <c r="BQ28" s="353" t="str">
        <f t="shared" si="117"/>
        <v>-</v>
      </c>
      <c r="BR28" s="353" t="str">
        <f t="shared" si="118"/>
        <v>-</v>
      </c>
      <c r="BS28" s="353" t="str">
        <f t="shared" si="119"/>
        <v>-</v>
      </c>
      <c r="BT28" s="353" t="str">
        <f t="shared" si="120"/>
        <v>-</v>
      </c>
      <c r="BU28" s="353" t="str">
        <f t="shared" si="121"/>
        <v>-</v>
      </c>
      <c r="BV28" s="353" t="str">
        <f t="shared" si="122"/>
        <v>-</v>
      </c>
      <c r="BW28" s="353" t="str">
        <f t="shared" si="123"/>
        <v>-</v>
      </c>
      <c r="BX28" s="353" t="str">
        <f t="shared" si="124"/>
        <v>-</v>
      </c>
      <c r="BY28" s="354" t="str">
        <f t="shared" si="125"/>
        <v>-</v>
      </c>
      <c r="BZ28" s="17"/>
      <c r="CA28" s="17"/>
      <c r="CB28" s="343" t="str" cm="1">
        <f t="array" aca="1" ref="CB28" ca="1">IF($AA28&gt;CDS.Tenor,"-",flatInterpolation(AA28,INDIRECT(HazardRateTimes2),INDIRECT(HazardRateValues2)))</f>
        <v>-</v>
      </c>
      <c r="CC28" s="10" t="str">
        <f t="shared" si="126"/>
        <v>-</v>
      </c>
      <c r="CD28" s="10" t="str">
        <f t="shared" si="127"/>
        <v>-</v>
      </c>
      <c r="CE28" s="81" t="str">
        <f t="shared" si="128"/>
        <v>-</v>
      </c>
      <c r="CG28" s="358">
        <f t="shared" si="129"/>
        <v>6</v>
      </c>
      <c r="CH28" s="353" t="str">
        <f t="shared" si="190"/>
        <v>-</v>
      </c>
      <c r="CI28" s="353" t="str">
        <f t="shared" si="190"/>
        <v>-</v>
      </c>
      <c r="CJ28" s="353" t="str">
        <f t="shared" si="190"/>
        <v>-</v>
      </c>
      <c r="CK28" s="353" t="str">
        <f t="shared" si="190"/>
        <v>-</v>
      </c>
      <c r="CL28" s="353" t="str">
        <f t="shared" si="190"/>
        <v>-</v>
      </c>
      <c r="CM28" s="353" t="str">
        <f t="shared" si="190"/>
        <v>-</v>
      </c>
      <c r="CN28" s="353" t="str">
        <f t="shared" si="190"/>
        <v>-</v>
      </c>
      <c r="CO28" s="353" t="str">
        <f t="shared" si="190"/>
        <v>-</v>
      </c>
      <c r="CP28" s="353" t="str">
        <f t="shared" si="190"/>
        <v>-</v>
      </c>
      <c r="CQ28" s="353" t="str">
        <f t="shared" si="190"/>
        <v>-</v>
      </c>
      <c r="CR28" s="353" t="str">
        <f t="shared" si="191"/>
        <v>-</v>
      </c>
      <c r="CS28" s="353" t="str">
        <f t="shared" si="191"/>
        <v>-</v>
      </c>
      <c r="CT28" s="353" t="str">
        <f t="shared" si="191"/>
        <v>-</v>
      </c>
      <c r="CU28" s="353" t="str">
        <f t="shared" si="191"/>
        <v>-</v>
      </c>
      <c r="CV28" s="353" t="str">
        <f t="shared" si="191"/>
        <v>-</v>
      </c>
      <c r="CW28" s="353" t="str">
        <f t="shared" si="191"/>
        <v>-</v>
      </c>
      <c r="CX28" s="353" t="str">
        <f t="shared" si="191"/>
        <v>-</v>
      </c>
      <c r="CY28" s="353" t="str">
        <f t="shared" si="191"/>
        <v>-</v>
      </c>
      <c r="CZ28" s="353" t="str">
        <f t="shared" si="191"/>
        <v>-</v>
      </c>
      <c r="DA28" s="353" t="str">
        <f t="shared" si="191"/>
        <v>-</v>
      </c>
      <c r="DB28" s="354" t="str">
        <f t="shared" si="191"/>
        <v>-</v>
      </c>
      <c r="DD28" s="358">
        <f t="shared" si="130"/>
        <v>6</v>
      </c>
      <c r="DE28" s="353" t="str">
        <f t="shared" si="131"/>
        <v>-</v>
      </c>
      <c r="DF28" s="353" t="str">
        <f t="shared" si="132"/>
        <v>-</v>
      </c>
      <c r="DG28" s="353" t="str">
        <f t="shared" si="133"/>
        <v>-</v>
      </c>
      <c r="DH28" s="353" t="str">
        <f t="shared" si="134"/>
        <v>-</v>
      </c>
      <c r="DI28" s="353" t="str">
        <f t="shared" si="135"/>
        <v>-</v>
      </c>
      <c r="DJ28" s="353" t="str">
        <f t="shared" si="136"/>
        <v>-</v>
      </c>
      <c r="DK28" s="353" t="str">
        <f t="shared" si="137"/>
        <v>-</v>
      </c>
      <c r="DL28" s="353" t="str">
        <f t="shared" si="138"/>
        <v>-</v>
      </c>
      <c r="DM28" s="353" t="str">
        <f t="shared" si="139"/>
        <v>-</v>
      </c>
      <c r="DN28" s="353" t="str">
        <f t="shared" si="140"/>
        <v>-</v>
      </c>
      <c r="DO28" s="353" t="str">
        <f t="shared" si="141"/>
        <v>-</v>
      </c>
      <c r="DP28" s="353" t="str">
        <f t="shared" si="142"/>
        <v>-</v>
      </c>
      <c r="DQ28" s="353" t="str">
        <f t="shared" si="143"/>
        <v>-</v>
      </c>
      <c r="DR28" s="353" t="str">
        <f t="shared" si="144"/>
        <v>-</v>
      </c>
      <c r="DS28" s="353" t="str">
        <f t="shared" si="145"/>
        <v>-</v>
      </c>
      <c r="DT28" s="353" t="str">
        <f t="shared" si="146"/>
        <v>-</v>
      </c>
      <c r="DU28" s="353" t="str">
        <f t="shared" si="147"/>
        <v>-</v>
      </c>
      <c r="DV28" s="353" t="str">
        <f t="shared" si="148"/>
        <v>-</v>
      </c>
      <c r="DW28" s="353" t="str">
        <f t="shared" si="149"/>
        <v>-</v>
      </c>
      <c r="DX28" s="353" t="str">
        <f t="shared" si="150"/>
        <v>-</v>
      </c>
      <c r="DY28" s="354" t="str">
        <f t="shared" si="151"/>
        <v>-</v>
      </c>
      <c r="DZ28" s="17"/>
      <c r="EA28" s="17"/>
      <c r="EB28" s="343" t="str" cm="1">
        <f t="array" aca="1" ref="EB28" ca="1">IF($AA28&gt;CDS.Tenor,"-",flatInterpolation(CC28,INDIRECT(HazardRateTimes3),INDIRECT(HazardRateValues3)))</f>
        <v>-</v>
      </c>
      <c r="EC28" s="10" t="str">
        <f t="shared" si="152"/>
        <v>-</v>
      </c>
      <c r="ED28" s="10" t="str">
        <f t="shared" si="153"/>
        <v>-</v>
      </c>
      <c r="EE28" s="81" t="str">
        <f t="shared" si="154"/>
        <v>-</v>
      </c>
      <c r="EG28" s="358">
        <f t="shared" si="155"/>
        <v>6</v>
      </c>
      <c r="EH28" s="353" t="str">
        <f t="shared" si="192"/>
        <v>-</v>
      </c>
      <c r="EI28" s="353" t="str">
        <f t="shared" si="192"/>
        <v>-</v>
      </c>
      <c r="EJ28" s="353" t="str">
        <f t="shared" si="192"/>
        <v>-</v>
      </c>
      <c r="EK28" s="353" t="str">
        <f t="shared" si="192"/>
        <v>-</v>
      </c>
      <c r="EL28" s="353" t="str">
        <f t="shared" si="192"/>
        <v>-</v>
      </c>
      <c r="EM28" s="353" t="str">
        <f t="shared" si="192"/>
        <v>-</v>
      </c>
      <c r="EN28" s="353" t="str">
        <f t="shared" si="192"/>
        <v>-</v>
      </c>
      <c r="EO28" s="353" t="str">
        <f t="shared" si="192"/>
        <v>-</v>
      </c>
      <c r="EP28" s="353" t="str">
        <f t="shared" si="192"/>
        <v>-</v>
      </c>
      <c r="EQ28" s="353" t="str">
        <f t="shared" si="192"/>
        <v>-</v>
      </c>
      <c r="ER28" s="353" t="str">
        <f t="shared" si="193"/>
        <v>-</v>
      </c>
      <c r="ES28" s="353" t="str">
        <f t="shared" si="193"/>
        <v>-</v>
      </c>
      <c r="ET28" s="353" t="str">
        <f t="shared" si="193"/>
        <v>-</v>
      </c>
      <c r="EU28" s="353" t="str">
        <f t="shared" si="193"/>
        <v>-</v>
      </c>
      <c r="EV28" s="353" t="str">
        <f t="shared" si="193"/>
        <v>-</v>
      </c>
      <c r="EW28" s="353" t="str">
        <f t="shared" si="193"/>
        <v>-</v>
      </c>
      <c r="EX28" s="353" t="str">
        <f t="shared" si="193"/>
        <v>-</v>
      </c>
      <c r="EY28" s="353" t="str">
        <f t="shared" si="193"/>
        <v>-</v>
      </c>
      <c r="EZ28" s="353" t="str">
        <f t="shared" si="193"/>
        <v>-</v>
      </c>
      <c r="FA28" s="353" t="str">
        <f t="shared" si="193"/>
        <v>-</v>
      </c>
      <c r="FB28" s="354" t="str">
        <f t="shared" si="193"/>
        <v>-</v>
      </c>
      <c r="FD28" s="358">
        <f t="shared" si="156"/>
        <v>6</v>
      </c>
      <c r="FE28" s="353" t="str">
        <f t="shared" si="157"/>
        <v>-</v>
      </c>
      <c r="FF28" s="353" t="str">
        <f t="shared" si="158"/>
        <v>-</v>
      </c>
      <c r="FG28" s="353" t="str">
        <f t="shared" si="159"/>
        <v>-</v>
      </c>
      <c r="FH28" s="353" t="str">
        <f t="shared" si="160"/>
        <v>-</v>
      </c>
      <c r="FI28" s="353" t="str">
        <f t="shared" si="161"/>
        <v>-</v>
      </c>
      <c r="FJ28" s="353" t="str">
        <f t="shared" si="162"/>
        <v>-</v>
      </c>
      <c r="FK28" s="353" t="str">
        <f t="shared" si="163"/>
        <v>-</v>
      </c>
      <c r="FL28" s="353" t="str">
        <f t="shared" si="164"/>
        <v>-</v>
      </c>
      <c r="FM28" s="353" t="str">
        <f t="shared" si="165"/>
        <v>-</v>
      </c>
      <c r="FN28" s="353" t="str">
        <f t="shared" si="166"/>
        <v>-</v>
      </c>
      <c r="FO28" s="353" t="str">
        <f t="shared" si="167"/>
        <v>-</v>
      </c>
      <c r="FP28" s="353" t="str">
        <f t="shared" si="168"/>
        <v>-</v>
      </c>
      <c r="FQ28" s="353" t="str">
        <f t="shared" si="169"/>
        <v>-</v>
      </c>
      <c r="FR28" s="353" t="str">
        <f t="shared" si="170"/>
        <v>-</v>
      </c>
      <c r="FS28" s="353" t="str">
        <f t="shared" si="171"/>
        <v>-</v>
      </c>
      <c r="FT28" s="353" t="str">
        <f t="shared" si="172"/>
        <v>-</v>
      </c>
      <c r="FU28" s="353" t="str">
        <f t="shared" si="173"/>
        <v>-</v>
      </c>
      <c r="FV28" s="353" t="str">
        <f t="shared" si="174"/>
        <v>-</v>
      </c>
      <c r="FW28" s="353" t="str">
        <f t="shared" si="175"/>
        <v>-</v>
      </c>
      <c r="FX28" s="353" t="str">
        <f t="shared" si="176"/>
        <v>-</v>
      </c>
      <c r="FY28" s="354" t="str">
        <f t="shared" si="177"/>
        <v>-</v>
      </c>
      <c r="GB28" s="358">
        <f t="shared" si="178"/>
        <v>6</v>
      </c>
      <c r="GC28" s="353" t="str">
        <f>IF($GB28&gt;CDS.Tenor,"-",BE28*DE28*FE28)</f>
        <v>-</v>
      </c>
      <c r="GD28" s="353" t="str">
        <f>IF($GB28&gt;CDS.Tenor,"-",BF28*DF28*FF28)</f>
        <v>-</v>
      </c>
      <c r="GE28" s="353" t="str">
        <f>IF($GB28&gt;CDS.Tenor,"-",BG28*DG28*FG28)</f>
        <v>-</v>
      </c>
      <c r="GF28" s="353" t="str">
        <f>IF($GB28&gt;CDS.Tenor,"-",BH28*DH28*FH28)</f>
        <v>-</v>
      </c>
      <c r="GG28" s="353" t="str">
        <f>IF($GB28&gt;CDS.Tenor,"-",BI28*DI28*FI28)</f>
        <v>-</v>
      </c>
      <c r="GH28" s="353" t="str">
        <f>IF($GB28&gt;CDS.Tenor,"-",BJ28*DJ28*FJ28)</f>
        <v>-</v>
      </c>
      <c r="GI28" s="353" t="str">
        <f>IF($GB28&gt;CDS.Tenor,"-",BK28*DK28*FK28)</f>
        <v>-</v>
      </c>
      <c r="GJ28" s="353" t="str">
        <f>IF($GB28&gt;CDS.Tenor,"-",BL28*DL28*FL28)</f>
        <v>-</v>
      </c>
      <c r="GK28" s="353" t="str">
        <f>IF($GB28&gt;CDS.Tenor,"-",BM28*DM28*FM28)</f>
        <v>-</v>
      </c>
      <c r="GL28" s="353" t="str">
        <f>IF($GB28&gt;CDS.Tenor,"-",BN28*DN28*FN28)</f>
        <v>-</v>
      </c>
      <c r="GM28" s="353" t="str">
        <f>IF($GB28&gt;CDS.Tenor,"-",BO28*DO28*FO28)</f>
        <v>-</v>
      </c>
      <c r="GN28" s="353" t="str">
        <f>IF($GB28&gt;CDS.Tenor,"-",BP28*DP28*FP28)</f>
        <v>-</v>
      </c>
      <c r="GO28" s="353" t="str">
        <f>IF($GB28&gt;CDS.Tenor,"-",BQ28*DQ28*FQ28)</f>
        <v>-</v>
      </c>
      <c r="GP28" s="353" t="str">
        <f>IF($GB28&gt;CDS.Tenor,"-",BR28*DR28*FR28)</f>
        <v>-</v>
      </c>
      <c r="GQ28" s="353" t="str">
        <f>IF($GB28&gt;CDS.Tenor,"-",BS28*DS28*FS28)</f>
        <v>-</v>
      </c>
      <c r="GR28" s="353" t="str">
        <f>IF($GB28&gt;CDS.Tenor,"-",BT28*DT28*FT28)</f>
        <v>-</v>
      </c>
      <c r="GS28" s="353" t="str">
        <f>IF($GB28&gt;CDS.Tenor,"-",BU28*DU28*FU28)</f>
        <v>-</v>
      </c>
      <c r="GT28" s="353" t="str">
        <f>IF($GB28&gt;CDS.Tenor,"-",BV28*DV28*FV28)</f>
        <v>-</v>
      </c>
      <c r="GU28" s="353" t="str">
        <f>IF($GB28&gt;CDS.Tenor,"-",BW28*DW28*FW28)</f>
        <v>-</v>
      </c>
      <c r="GV28" s="353" t="str">
        <f>IF($GB28&gt;CDS.Tenor,"-",BX28*DX28*FX28)</f>
        <v>-</v>
      </c>
      <c r="GW28" s="354" t="str">
        <f>IF($GB28&gt;CDS.Tenor,"-",BY28*DY28*FY28)</f>
        <v>-</v>
      </c>
      <c r="GX28" s="42"/>
      <c r="GY28" s="42"/>
      <c r="GZ28" s="358">
        <f t="shared" si="179"/>
        <v>6</v>
      </c>
      <c r="HA28" s="362" t="str">
        <f t="shared" si="180"/>
        <v>-</v>
      </c>
      <c r="HB28" s="363" t="str">
        <f t="shared" si="181"/>
        <v>-</v>
      </c>
    </row>
    <row r="29" spans="2:210" x14ac:dyDescent="0.3">
      <c r="I29" s="370">
        <f t="shared" si="86"/>
        <v>6.25</v>
      </c>
      <c r="J29" s="371" t="str">
        <f t="shared" si="87"/>
        <v>-</v>
      </c>
      <c r="K29" s="348" t="str">
        <f t="shared" si="88"/>
        <v>-</v>
      </c>
      <c r="L29" s="348" t="str">
        <f t="shared" si="89"/>
        <v>-</v>
      </c>
      <c r="M29" s="372" t="str" cm="1">
        <f t="array" ref="M29">IF($I29&gt;CDS.Tenor,"-",cubicInterpolation(CurveResults.Times,CurveResults.DFs,$I29))</f>
        <v>-</v>
      </c>
      <c r="N29" s="371" t="str">
        <f t="shared" si="90"/>
        <v>-</v>
      </c>
      <c r="O29" s="371" t="str">
        <f t="shared" si="91"/>
        <v>-</v>
      </c>
      <c r="P29" s="373" t="str">
        <f t="shared" si="92"/>
        <v>-</v>
      </c>
      <c r="S29" s="370">
        <f t="shared" si="93"/>
        <v>6.25</v>
      </c>
      <c r="T29" s="371" t="str">
        <f t="shared" si="94"/>
        <v>-</v>
      </c>
      <c r="U29" s="348" t="str">
        <f>IF($I29&gt;CDS.Tenor,"-",HA29)</f>
        <v>-</v>
      </c>
      <c r="V29" s="348" t="str">
        <f t="shared" si="95"/>
        <v>-</v>
      </c>
      <c r="W29" s="372" t="str" cm="1">
        <f t="array" ref="W29">IF($S29&gt;CDS.Tenor,"-",cubicInterpolation(CurveResults.Times,CurveResults.DFs,$I29))</f>
        <v>-</v>
      </c>
      <c r="X29" s="373" t="str">
        <f t="shared" si="96"/>
        <v>-</v>
      </c>
      <c r="AA29" s="358">
        <f t="shared" si="97"/>
        <v>6.25</v>
      </c>
      <c r="AB29" s="343" t="str" cm="1">
        <f t="array" aca="1" ref="AB29" ca="1">IF($AA29&gt;CDS.Tenor,"-",flatInterpolation(Z29,INDIRECT(HazardRateTimes1),INDIRECT(HazardRateValues1)))</f>
        <v>-</v>
      </c>
      <c r="AC29" s="10" t="str">
        <f t="shared" si="98"/>
        <v>-</v>
      </c>
      <c r="AD29" s="10" t="str">
        <f t="shared" si="99"/>
        <v>-</v>
      </c>
      <c r="AE29" s="81" t="str">
        <f t="shared" si="100"/>
        <v>-</v>
      </c>
      <c r="AG29" s="358">
        <f t="shared" si="101"/>
        <v>6.25</v>
      </c>
      <c r="AH29" s="353" t="str">
        <f t="shared" si="188"/>
        <v>-</v>
      </c>
      <c r="AI29" s="353" t="str">
        <f t="shared" si="188"/>
        <v>-</v>
      </c>
      <c r="AJ29" s="353" t="str">
        <f t="shared" si="188"/>
        <v>-</v>
      </c>
      <c r="AK29" s="353" t="str">
        <f t="shared" si="188"/>
        <v>-</v>
      </c>
      <c r="AL29" s="353" t="str">
        <f t="shared" si="188"/>
        <v>-</v>
      </c>
      <c r="AM29" s="353" t="str">
        <f t="shared" si="188"/>
        <v>-</v>
      </c>
      <c r="AN29" s="353" t="str">
        <f t="shared" si="188"/>
        <v>-</v>
      </c>
      <c r="AO29" s="353" t="str">
        <f t="shared" si="188"/>
        <v>-</v>
      </c>
      <c r="AP29" s="353" t="str">
        <f t="shared" si="188"/>
        <v>-</v>
      </c>
      <c r="AQ29" s="353" t="str">
        <f t="shared" si="188"/>
        <v>-</v>
      </c>
      <c r="AR29" s="353" t="str">
        <f t="shared" si="189"/>
        <v>-</v>
      </c>
      <c r="AS29" s="353" t="str">
        <f t="shared" si="189"/>
        <v>-</v>
      </c>
      <c r="AT29" s="353" t="str">
        <f t="shared" si="189"/>
        <v>-</v>
      </c>
      <c r="AU29" s="353" t="str">
        <f t="shared" si="189"/>
        <v>-</v>
      </c>
      <c r="AV29" s="353" t="str">
        <f t="shared" si="189"/>
        <v>-</v>
      </c>
      <c r="AW29" s="353" t="str">
        <f t="shared" si="189"/>
        <v>-</v>
      </c>
      <c r="AX29" s="353" t="str">
        <f t="shared" si="189"/>
        <v>-</v>
      </c>
      <c r="AY29" s="353" t="str">
        <f t="shared" si="189"/>
        <v>-</v>
      </c>
      <c r="AZ29" s="353" t="str">
        <f t="shared" si="189"/>
        <v>-</v>
      </c>
      <c r="BA29" s="353" t="str">
        <f t="shared" si="189"/>
        <v>-</v>
      </c>
      <c r="BB29" s="354" t="str">
        <f t="shared" si="189"/>
        <v>-</v>
      </c>
      <c r="BD29" s="358">
        <f t="shared" si="104"/>
        <v>6.25</v>
      </c>
      <c r="BE29" s="353" t="str">
        <f t="shared" si="105"/>
        <v>-</v>
      </c>
      <c r="BF29" s="353" t="str">
        <f t="shared" si="106"/>
        <v>-</v>
      </c>
      <c r="BG29" s="353" t="str">
        <f t="shared" si="107"/>
        <v>-</v>
      </c>
      <c r="BH29" s="353" t="str">
        <f t="shared" si="108"/>
        <v>-</v>
      </c>
      <c r="BI29" s="353" t="str">
        <f t="shared" si="109"/>
        <v>-</v>
      </c>
      <c r="BJ29" s="353" t="str">
        <f t="shared" si="110"/>
        <v>-</v>
      </c>
      <c r="BK29" s="353" t="str">
        <f t="shared" si="111"/>
        <v>-</v>
      </c>
      <c r="BL29" s="353" t="str">
        <f t="shared" si="112"/>
        <v>-</v>
      </c>
      <c r="BM29" s="353" t="str">
        <f t="shared" si="113"/>
        <v>-</v>
      </c>
      <c r="BN29" s="353" t="str">
        <f t="shared" si="114"/>
        <v>-</v>
      </c>
      <c r="BO29" s="353" t="str">
        <f t="shared" si="115"/>
        <v>-</v>
      </c>
      <c r="BP29" s="353" t="str">
        <f t="shared" si="116"/>
        <v>-</v>
      </c>
      <c r="BQ29" s="353" t="str">
        <f t="shared" si="117"/>
        <v>-</v>
      </c>
      <c r="BR29" s="353" t="str">
        <f t="shared" si="118"/>
        <v>-</v>
      </c>
      <c r="BS29" s="353" t="str">
        <f t="shared" si="119"/>
        <v>-</v>
      </c>
      <c r="BT29" s="353" t="str">
        <f t="shared" si="120"/>
        <v>-</v>
      </c>
      <c r="BU29" s="353" t="str">
        <f t="shared" si="121"/>
        <v>-</v>
      </c>
      <c r="BV29" s="353" t="str">
        <f t="shared" si="122"/>
        <v>-</v>
      </c>
      <c r="BW29" s="353" t="str">
        <f t="shared" si="123"/>
        <v>-</v>
      </c>
      <c r="BX29" s="353" t="str">
        <f t="shared" si="124"/>
        <v>-</v>
      </c>
      <c r="BY29" s="354" t="str">
        <f t="shared" si="125"/>
        <v>-</v>
      </c>
      <c r="BZ29" s="17"/>
      <c r="CA29" s="17"/>
      <c r="CB29" s="343" t="str" cm="1">
        <f t="array" aca="1" ref="CB29" ca="1">IF($AA29&gt;CDS.Tenor,"-",flatInterpolation(AA29,INDIRECT(HazardRateTimes2),INDIRECT(HazardRateValues2)))</f>
        <v>-</v>
      </c>
      <c r="CC29" s="10" t="str">
        <f t="shared" si="126"/>
        <v>-</v>
      </c>
      <c r="CD29" s="10" t="str">
        <f t="shared" si="127"/>
        <v>-</v>
      </c>
      <c r="CE29" s="81" t="str">
        <f t="shared" si="128"/>
        <v>-</v>
      </c>
      <c r="CG29" s="358">
        <f t="shared" si="129"/>
        <v>6.25</v>
      </c>
      <c r="CH29" s="353" t="str">
        <f t="shared" si="190"/>
        <v>-</v>
      </c>
      <c r="CI29" s="353" t="str">
        <f t="shared" si="190"/>
        <v>-</v>
      </c>
      <c r="CJ29" s="353" t="str">
        <f t="shared" si="190"/>
        <v>-</v>
      </c>
      <c r="CK29" s="353" t="str">
        <f t="shared" si="190"/>
        <v>-</v>
      </c>
      <c r="CL29" s="353" t="str">
        <f t="shared" si="190"/>
        <v>-</v>
      </c>
      <c r="CM29" s="353" t="str">
        <f t="shared" si="190"/>
        <v>-</v>
      </c>
      <c r="CN29" s="353" t="str">
        <f t="shared" si="190"/>
        <v>-</v>
      </c>
      <c r="CO29" s="353" t="str">
        <f t="shared" si="190"/>
        <v>-</v>
      </c>
      <c r="CP29" s="353" t="str">
        <f t="shared" si="190"/>
        <v>-</v>
      </c>
      <c r="CQ29" s="353" t="str">
        <f t="shared" si="190"/>
        <v>-</v>
      </c>
      <c r="CR29" s="353" t="str">
        <f t="shared" si="191"/>
        <v>-</v>
      </c>
      <c r="CS29" s="353" t="str">
        <f t="shared" si="191"/>
        <v>-</v>
      </c>
      <c r="CT29" s="353" t="str">
        <f t="shared" si="191"/>
        <v>-</v>
      </c>
      <c r="CU29" s="353" t="str">
        <f t="shared" si="191"/>
        <v>-</v>
      </c>
      <c r="CV29" s="353" t="str">
        <f t="shared" si="191"/>
        <v>-</v>
      </c>
      <c r="CW29" s="353" t="str">
        <f t="shared" si="191"/>
        <v>-</v>
      </c>
      <c r="CX29" s="353" t="str">
        <f t="shared" si="191"/>
        <v>-</v>
      </c>
      <c r="CY29" s="353" t="str">
        <f t="shared" si="191"/>
        <v>-</v>
      </c>
      <c r="CZ29" s="353" t="str">
        <f t="shared" si="191"/>
        <v>-</v>
      </c>
      <c r="DA29" s="353" t="str">
        <f t="shared" si="191"/>
        <v>-</v>
      </c>
      <c r="DB29" s="354" t="str">
        <f t="shared" si="191"/>
        <v>-</v>
      </c>
      <c r="DD29" s="358">
        <f t="shared" si="130"/>
        <v>6.25</v>
      </c>
      <c r="DE29" s="353" t="str">
        <f t="shared" si="131"/>
        <v>-</v>
      </c>
      <c r="DF29" s="353" t="str">
        <f t="shared" si="132"/>
        <v>-</v>
      </c>
      <c r="DG29" s="353" t="str">
        <f t="shared" si="133"/>
        <v>-</v>
      </c>
      <c r="DH29" s="353" t="str">
        <f t="shared" si="134"/>
        <v>-</v>
      </c>
      <c r="DI29" s="353" t="str">
        <f t="shared" si="135"/>
        <v>-</v>
      </c>
      <c r="DJ29" s="353" t="str">
        <f t="shared" si="136"/>
        <v>-</v>
      </c>
      <c r="DK29" s="353" t="str">
        <f t="shared" si="137"/>
        <v>-</v>
      </c>
      <c r="DL29" s="353" t="str">
        <f t="shared" si="138"/>
        <v>-</v>
      </c>
      <c r="DM29" s="353" t="str">
        <f t="shared" si="139"/>
        <v>-</v>
      </c>
      <c r="DN29" s="353" t="str">
        <f t="shared" si="140"/>
        <v>-</v>
      </c>
      <c r="DO29" s="353" t="str">
        <f t="shared" si="141"/>
        <v>-</v>
      </c>
      <c r="DP29" s="353" t="str">
        <f t="shared" si="142"/>
        <v>-</v>
      </c>
      <c r="DQ29" s="353" t="str">
        <f t="shared" si="143"/>
        <v>-</v>
      </c>
      <c r="DR29" s="353" t="str">
        <f t="shared" si="144"/>
        <v>-</v>
      </c>
      <c r="DS29" s="353" t="str">
        <f t="shared" si="145"/>
        <v>-</v>
      </c>
      <c r="DT29" s="353" t="str">
        <f t="shared" si="146"/>
        <v>-</v>
      </c>
      <c r="DU29" s="353" t="str">
        <f t="shared" si="147"/>
        <v>-</v>
      </c>
      <c r="DV29" s="353" t="str">
        <f t="shared" si="148"/>
        <v>-</v>
      </c>
      <c r="DW29" s="353" t="str">
        <f t="shared" si="149"/>
        <v>-</v>
      </c>
      <c r="DX29" s="353" t="str">
        <f t="shared" si="150"/>
        <v>-</v>
      </c>
      <c r="DY29" s="354" t="str">
        <f t="shared" si="151"/>
        <v>-</v>
      </c>
      <c r="DZ29" s="17"/>
      <c r="EA29" s="17"/>
      <c r="EB29" s="343" t="str" cm="1">
        <f t="array" aca="1" ref="EB29" ca="1">IF($AA29&gt;CDS.Tenor,"-",flatInterpolation(CC29,INDIRECT(HazardRateTimes3),INDIRECT(HazardRateValues3)))</f>
        <v>-</v>
      </c>
      <c r="EC29" s="10" t="str">
        <f t="shared" si="152"/>
        <v>-</v>
      </c>
      <c r="ED29" s="10" t="str">
        <f t="shared" si="153"/>
        <v>-</v>
      </c>
      <c r="EE29" s="81" t="str">
        <f t="shared" si="154"/>
        <v>-</v>
      </c>
      <c r="EG29" s="358">
        <f t="shared" si="155"/>
        <v>6.25</v>
      </c>
      <c r="EH29" s="353" t="str">
        <f t="shared" si="192"/>
        <v>-</v>
      </c>
      <c r="EI29" s="353" t="str">
        <f t="shared" si="192"/>
        <v>-</v>
      </c>
      <c r="EJ29" s="353" t="str">
        <f t="shared" si="192"/>
        <v>-</v>
      </c>
      <c r="EK29" s="353" t="str">
        <f t="shared" si="192"/>
        <v>-</v>
      </c>
      <c r="EL29" s="353" t="str">
        <f t="shared" si="192"/>
        <v>-</v>
      </c>
      <c r="EM29" s="353" t="str">
        <f t="shared" si="192"/>
        <v>-</v>
      </c>
      <c r="EN29" s="353" t="str">
        <f t="shared" si="192"/>
        <v>-</v>
      </c>
      <c r="EO29" s="353" t="str">
        <f t="shared" si="192"/>
        <v>-</v>
      </c>
      <c r="EP29" s="353" t="str">
        <f t="shared" si="192"/>
        <v>-</v>
      </c>
      <c r="EQ29" s="353" t="str">
        <f t="shared" si="192"/>
        <v>-</v>
      </c>
      <c r="ER29" s="353" t="str">
        <f t="shared" si="193"/>
        <v>-</v>
      </c>
      <c r="ES29" s="353" t="str">
        <f t="shared" si="193"/>
        <v>-</v>
      </c>
      <c r="ET29" s="353" t="str">
        <f t="shared" si="193"/>
        <v>-</v>
      </c>
      <c r="EU29" s="353" t="str">
        <f t="shared" si="193"/>
        <v>-</v>
      </c>
      <c r="EV29" s="353" t="str">
        <f t="shared" si="193"/>
        <v>-</v>
      </c>
      <c r="EW29" s="353" t="str">
        <f t="shared" si="193"/>
        <v>-</v>
      </c>
      <c r="EX29" s="353" t="str">
        <f t="shared" si="193"/>
        <v>-</v>
      </c>
      <c r="EY29" s="353" t="str">
        <f t="shared" si="193"/>
        <v>-</v>
      </c>
      <c r="EZ29" s="353" t="str">
        <f t="shared" si="193"/>
        <v>-</v>
      </c>
      <c r="FA29" s="353" t="str">
        <f t="shared" si="193"/>
        <v>-</v>
      </c>
      <c r="FB29" s="354" t="str">
        <f t="shared" si="193"/>
        <v>-</v>
      </c>
      <c r="FD29" s="358">
        <f t="shared" si="156"/>
        <v>6.25</v>
      </c>
      <c r="FE29" s="353" t="str">
        <f t="shared" si="157"/>
        <v>-</v>
      </c>
      <c r="FF29" s="353" t="str">
        <f t="shared" si="158"/>
        <v>-</v>
      </c>
      <c r="FG29" s="353" t="str">
        <f t="shared" si="159"/>
        <v>-</v>
      </c>
      <c r="FH29" s="353" t="str">
        <f t="shared" si="160"/>
        <v>-</v>
      </c>
      <c r="FI29" s="353" t="str">
        <f t="shared" si="161"/>
        <v>-</v>
      </c>
      <c r="FJ29" s="353" t="str">
        <f t="shared" si="162"/>
        <v>-</v>
      </c>
      <c r="FK29" s="353" t="str">
        <f t="shared" si="163"/>
        <v>-</v>
      </c>
      <c r="FL29" s="353" t="str">
        <f t="shared" si="164"/>
        <v>-</v>
      </c>
      <c r="FM29" s="353" t="str">
        <f t="shared" si="165"/>
        <v>-</v>
      </c>
      <c r="FN29" s="353" t="str">
        <f t="shared" si="166"/>
        <v>-</v>
      </c>
      <c r="FO29" s="353" t="str">
        <f t="shared" si="167"/>
        <v>-</v>
      </c>
      <c r="FP29" s="353" t="str">
        <f t="shared" si="168"/>
        <v>-</v>
      </c>
      <c r="FQ29" s="353" t="str">
        <f t="shared" si="169"/>
        <v>-</v>
      </c>
      <c r="FR29" s="353" t="str">
        <f t="shared" si="170"/>
        <v>-</v>
      </c>
      <c r="FS29" s="353" t="str">
        <f t="shared" si="171"/>
        <v>-</v>
      </c>
      <c r="FT29" s="353" t="str">
        <f t="shared" si="172"/>
        <v>-</v>
      </c>
      <c r="FU29" s="353" t="str">
        <f t="shared" si="173"/>
        <v>-</v>
      </c>
      <c r="FV29" s="353" t="str">
        <f t="shared" si="174"/>
        <v>-</v>
      </c>
      <c r="FW29" s="353" t="str">
        <f t="shared" si="175"/>
        <v>-</v>
      </c>
      <c r="FX29" s="353" t="str">
        <f t="shared" si="176"/>
        <v>-</v>
      </c>
      <c r="FY29" s="354" t="str">
        <f t="shared" si="177"/>
        <v>-</v>
      </c>
      <c r="GB29" s="358">
        <f t="shared" si="178"/>
        <v>6.25</v>
      </c>
      <c r="GC29" s="353" t="str">
        <f>IF($GB29&gt;CDS.Tenor,"-",BE29*DE29*FE29)</f>
        <v>-</v>
      </c>
      <c r="GD29" s="353" t="str">
        <f>IF($GB29&gt;CDS.Tenor,"-",BF29*DF29*FF29)</f>
        <v>-</v>
      </c>
      <c r="GE29" s="353" t="str">
        <f>IF($GB29&gt;CDS.Tenor,"-",BG29*DG29*FG29)</f>
        <v>-</v>
      </c>
      <c r="GF29" s="353" t="str">
        <f>IF($GB29&gt;CDS.Tenor,"-",BH29*DH29*FH29)</f>
        <v>-</v>
      </c>
      <c r="GG29" s="353" t="str">
        <f>IF($GB29&gt;CDS.Tenor,"-",BI29*DI29*FI29)</f>
        <v>-</v>
      </c>
      <c r="GH29" s="353" t="str">
        <f>IF($GB29&gt;CDS.Tenor,"-",BJ29*DJ29*FJ29)</f>
        <v>-</v>
      </c>
      <c r="GI29" s="353" t="str">
        <f>IF($GB29&gt;CDS.Tenor,"-",BK29*DK29*FK29)</f>
        <v>-</v>
      </c>
      <c r="GJ29" s="353" t="str">
        <f>IF($GB29&gt;CDS.Tenor,"-",BL29*DL29*FL29)</f>
        <v>-</v>
      </c>
      <c r="GK29" s="353" t="str">
        <f>IF($GB29&gt;CDS.Tenor,"-",BM29*DM29*FM29)</f>
        <v>-</v>
      </c>
      <c r="GL29" s="353" t="str">
        <f>IF($GB29&gt;CDS.Tenor,"-",BN29*DN29*FN29)</f>
        <v>-</v>
      </c>
      <c r="GM29" s="353" t="str">
        <f>IF($GB29&gt;CDS.Tenor,"-",BO29*DO29*FO29)</f>
        <v>-</v>
      </c>
      <c r="GN29" s="353" t="str">
        <f>IF($GB29&gt;CDS.Tenor,"-",BP29*DP29*FP29)</f>
        <v>-</v>
      </c>
      <c r="GO29" s="353" t="str">
        <f>IF($GB29&gt;CDS.Tenor,"-",BQ29*DQ29*FQ29)</f>
        <v>-</v>
      </c>
      <c r="GP29" s="353" t="str">
        <f>IF($GB29&gt;CDS.Tenor,"-",BR29*DR29*FR29)</f>
        <v>-</v>
      </c>
      <c r="GQ29" s="353" t="str">
        <f>IF($GB29&gt;CDS.Tenor,"-",BS29*DS29*FS29)</f>
        <v>-</v>
      </c>
      <c r="GR29" s="353" t="str">
        <f>IF($GB29&gt;CDS.Tenor,"-",BT29*DT29*FT29)</f>
        <v>-</v>
      </c>
      <c r="GS29" s="353" t="str">
        <f>IF($GB29&gt;CDS.Tenor,"-",BU29*DU29*FU29)</f>
        <v>-</v>
      </c>
      <c r="GT29" s="353" t="str">
        <f>IF($GB29&gt;CDS.Tenor,"-",BV29*DV29*FV29)</f>
        <v>-</v>
      </c>
      <c r="GU29" s="353" t="str">
        <f>IF($GB29&gt;CDS.Tenor,"-",BW29*DW29*FW29)</f>
        <v>-</v>
      </c>
      <c r="GV29" s="353" t="str">
        <f>IF($GB29&gt;CDS.Tenor,"-",BX29*DX29*FX29)</f>
        <v>-</v>
      </c>
      <c r="GW29" s="354" t="str">
        <f>IF($GB29&gt;CDS.Tenor,"-",BY29*DY29*FY29)</f>
        <v>-</v>
      </c>
      <c r="GX29" s="42"/>
      <c r="GY29" s="42"/>
      <c r="GZ29" s="358">
        <f t="shared" si="179"/>
        <v>6.25</v>
      </c>
      <c r="HA29" s="362" t="str">
        <f t="shared" si="180"/>
        <v>-</v>
      </c>
      <c r="HB29" s="363" t="str">
        <f t="shared" si="181"/>
        <v>-</v>
      </c>
    </row>
    <row r="30" spans="2:210" x14ac:dyDescent="0.3">
      <c r="I30" s="370">
        <f t="shared" si="86"/>
        <v>6.5</v>
      </c>
      <c r="J30" s="371" t="str">
        <f t="shared" si="87"/>
        <v>-</v>
      </c>
      <c r="K30" s="348" t="str">
        <f t="shared" si="88"/>
        <v>-</v>
      </c>
      <c r="L30" s="348" t="str">
        <f t="shared" si="89"/>
        <v>-</v>
      </c>
      <c r="M30" s="372" t="str" cm="1">
        <f t="array" ref="M30">IF($I30&gt;CDS.Tenor,"-",cubicInterpolation(CurveResults.Times,CurveResults.DFs,$I30))</f>
        <v>-</v>
      </c>
      <c r="N30" s="371" t="str">
        <f t="shared" si="90"/>
        <v>-</v>
      </c>
      <c r="O30" s="371" t="str">
        <f t="shared" si="91"/>
        <v>-</v>
      </c>
      <c r="P30" s="373" t="str">
        <f t="shared" si="92"/>
        <v>-</v>
      </c>
      <c r="S30" s="370">
        <f t="shared" si="93"/>
        <v>6.5</v>
      </c>
      <c r="T30" s="371" t="str">
        <f t="shared" si="94"/>
        <v>-</v>
      </c>
      <c r="U30" s="348" t="str">
        <f>IF($I30&gt;CDS.Tenor,"-",HA30)</f>
        <v>-</v>
      </c>
      <c r="V30" s="348" t="str">
        <f t="shared" si="95"/>
        <v>-</v>
      </c>
      <c r="W30" s="372" t="str" cm="1">
        <f t="array" ref="W30">IF($S30&gt;CDS.Tenor,"-",cubicInterpolation(CurveResults.Times,CurveResults.DFs,$I30))</f>
        <v>-</v>
      </c>
      <c r="X30" s="373" t="str">
        <f t="shared" si="96"/>
        <v>-</v>
      </c>
      <c r="AA30" s="358">
        <f t="shared" si="97"/>
        <v>6.5</v>
      </c>
      <c r="AB30" s="343" t="str" cm="1">
        <f t="array" aca="1" ref="AB30" ca="1">IF($AA30&gt;CDS.Tenor,"-",flatInterpolation(Z30,INDIRECT(HazardRateTimes1),INDIRECT(HazardRateValues1)))</f>
        <v>-</v>
      </c>
      <c r="AC30" s="10" t="str">
        <f t="shared" si="98"/>
        <v>-</v>
      </c>
      <c r="AD30" s="10" t="str">
        <f t="shared" si="99"/>
        <v>-</v>
      </c>
      <c r="AE30" s="81" t="str">
        <f t="shared" si="100"/>
        <v>-</v>
      </c>
      <c r="AG30" s="358">
        <f t="shared" si="101"/>
        <v>6.5</v>
      </c>
      <c r="AH30" s="353" t="str">
        <f t="shared" si="188"/>
        <v>-</v>
      </c>
      <c r="AI30" s="353" t="str">
        <f t="shared" si="188"/>
        <v>-</v>
      </c>
      <c r="AJ30" s="353" t="str">
        <f t="shared" si="188"/>
        <v>-</v>
      </c>
      <c r="AK30" s="353" t="str">
        <f t="shared" si="188"/>
        <v>-</v>
      </c>
      <c r="AL30" s="353" t="str">
        <f t="shared" si="188"/>
        <v>-</v>
      </c>
      <c r="AM30" s="353" t="str">
        <f t="shared" si="188"/>
        <v>-</v>
      </c>
      <c r="AN30" s="353" t="str">
        <f t="shared" si="188"/>
        <v>-</v>
      </c>
      <c r="AO30" s="353" t="str">
        <f t="shared" si="188"/>
        <v>-</v>
      </c>
      <c r="AP30" s="353" t="str">
        <f t="shared" si="188"/>
        <v>-</v>
      </c>
      <c r="AQ30" s="353" t="str">
        <f t="shared" si="188"/>
        <v>-</v>
      </c>
      <c r="AR30" s="353" t="str">
        <f t="shared" si="189"/>
        <v>-</v>
      </c>
      <c r="AS30" s="353" t="str">
        <f t="shared" si="189"/>
        <v>-</v>
      </c>
      <c r="AT30" s="353" t="str">
        <f t="shared" si="189"/>
        <v>-</v>
      </c>
      <c r="AU30" s="353" t="str">
        <f t="shared" si="189"/>
        <v>-</v>
      </c>
      <c r="AV30" s="353" t="str">
        <f t="shared" si="189"/>
        <v>-</v>
      </c>
      <c r="AW30" s="353" t="str">
        <f t="shared" si="189"/>
        <v>-</v>
      </c>
      <c r="AX30" s="353" t="str">
        <f t="shared" si="189"/>
        <v>-</v>
      </c>
      <c r="AY30" s="353" t="str">
        <f t="shared" si="189"/>
        <v>-</v>
      </c>
      <c r="AZ30" s="353" t="str">
        <f t="shared" si="189"/>
        <v>-</v>
      </c>
      <c r="BA30" s="353" t="str">
        <f t="shared" si="189"/>
        <v>-</v>
      </c>
      <c r="BB30" s="354" t="str">
        <f t="shared" si="189"/>
        <v>-</v>
      </c>
      <c r="BD30" s="358">
        <f t="shared" si="104"/>
        <v>6.5</v>
      </c>
      <c r="BE30" s="353" t="str">
        <f t="shared" si="105"/>
        <v>-</v>
      </c>
      <c r="BF30" s="353" t="str">
        <f t="shared" si="106"/>
        <v>-</v>
      </c>
      <c r="BG30" s="353" t="str">
        <f t="shared" si="107"/>
        <v>-</v>
      </c>
      <c r="BH30" s="353" t="str">
        <f t="shared" si="108"/>
        <v>-</v>
      </c>
      <c r="BI30" s="353" t="str">
        <f t="shared" si="109"/>
        <v>-</v>
      </c>
      <c r="BJ30" s="353" t="str">
        <f t="shared" si="110"/>
        <v>-</v>
      </c>
      <c r="BK30" s="353" t="str">
        <f t="shared" si="111"/>
        <v>-</v>
      </c>
      <c r="BL30" s="353" t="str">
        <f t="shared" si="112"/>
        <v>-</v>
      </c>
      <c r="BM30" s="353" t="str">
        <f t="shared" si="113"/>
        <v>-</v>
      </c>
      <c r="BN30" s="353" t="str">
        <f t="shared" si="114"/>
        <v>-</v>
      </c>
      <c r="BO30" s="353" t="str">
        <f t="shared" si="115"/>
        <v>-</v>
      </c>
      <c r="BP30" s="353" t="str">
        <f t="shared" si="116"/>
        <v>-</v>
      </c>
      <c r="BQ30" s="353" t="str">
        <f t="shared" si="117"/>
        <v>-</v>
      </c>
      <c r="BR30" s="353" t="str">
        <f t="shared" si="118"/>
        <v>-</v>
      </c>
      <c r="BS30" s="353" t="str">
        <f t="shared" si="119"/>
        <v>-</v>
      </c>
      <c r="BT30" s="353" t="str">
        <f t="shared" si="120"/>
        <v>-</v>
      </c>
      <c r="BU30" s="353" t="str">
        <f t="shared" si="121"/>
        <v>-</v>
      </c>
      <c r="BV30" s="353" t="str">
        <f t="shared" si="122"/>
        <v>-</v>
      </c>
      <c r="BW30" s="353" t="str">
        <f t="shared" si="123"/>
        <v>-</v>
      </c>
      <c r="BX30" s="353" t="str">
        <f t="shared" si="124"/>
        <v>-</v>
      </c>
      <c r="BY30" s="354" t="str">
        <f t="shared" si="125"/>
        <v>-</v>
      </c>
      <c r="BZ30" s="17"/>
      <c r="CA30" s="17"/>
      <c r="CB30" s="343" t="str" cm="1">
        <f t="array" aca="1" ref="CB30" ca="1">IF($AA30&gt;CDS.Tenor,"-",flatInterpolation(AA30,INDIRECT(HazardRateTimes2),INDIRECT(HazardRateValues2)))</f>
        <v>-</v>
      </c>
      <c r="CC30" s="10" t="str">
        <f t="shared" si="126"/>
        <v>-</v>
      </c>
      <c r="CD30" s="10" t="str">
        <f t="shared" si="127"/>
        <v>-</v>
      </c>
      <c r="CE30" s="81" t="str">
        <f t="shared" si="128"/>
        <v>-</v>
      </c>
      <c r="CG30" s="358">
        <f t="shared" si="129"/>
        <v>6.5</v>
      </c>
      <c r="CH30" s="353" t="str">
        <f t="shared" si="190"/>
        <v>-</v>
      </c>
      <c r="CI30" s="353" t="str">
        <f t="shared" si="190"/>
        <v>-</v>
      </c>
      <c r="CJ30" s="353" t="str">
        <f t="shared" si="190"/>
        <v>-</v>
      </c>
      <c r="CK30" s="353" t="str">
        <f t="shared" si="190"/>
        <v>-</v>
      </c>
      <c r="CL30" s="353" t="str">
        <f t="shared" si="190"/>
        <v>-</v>
      </c>
      <c r="CM30" s="353" t="str">
        <f t="shared" si="190"/>
        <v>-</v>
      </c>
      <c r="CN30" s="353" t="str">
        <f t="shared" si="190"/>
        <v>-</v>
      </c>
      <c r="CO30" s="353" t="str">
        <f t="shared" si="190"/>
        <v>-</v>
      </c>
      <c r="CP30" s="353" t="str">
        <f t="shared" si="190"/>
        <v>-</v>
      </c>
      <c r="CQ30" s="353" t="str">
        <f t="shared" si="190"/>
        <v>-</v>
      </c>
      <c r="CR30" s="353" t="str">
        <f t="shared" si="191"/>
        <v>-</v>
      </c>
      <c r="CS30" s="353" t="str">
        <f t="shared" si="191"/>
        <v>-</v>
      </c>
      <c r="CT30" s="353" t="str">
        <f t="shared" si="191"/>
        <v>-</v>
      </c>
      <c r="CU30" s="353" t="str">
        <f t="shared" si="191"/>
        <v>-</v>
      </c>
      <c r="CV30" s="353" t="str">
        <f t="shared" si="191"/>
        <v>-</v>
      </c>
      <c r="CW30" s="353" t="str">
        <f t="shared" si="191"/>
        <v>-</v>
      </c>
      <c r="CX30" s="353" t="str">
        <f t="shared" si="191"/>
        <v>-</v>
      </c>
      <c r="CY30" s="353" t="str">
        <f t="shared" si="191"/>
        <v>-</v>
      </c>
      <c r="CZ30" s="353" t="str">
        <f t="shared" si="191"/>
        <v>-</v>
      </c>
      <c r="DA30" s="353" t="str">
        <f t="shared" si="191"/>
        <v>-</v>
      </c>
      <c r="DB30" s="354" t="str">
        <f t="shared" si="191"/>
        <v>-</v>
      </c>
      <c r="DD30" s="358">
        <f t="shared" si="130"/>
        <v>6.5</v>
      </c>
      <c r="DE30" s="353" t="str">
        <f t="shared" si="131"/>
        <v>-</v>
      </c>
      <c r="DF30" s="353" t="str">
        <f t="shared" si="132"/>
        <v>-</v>
      </c>
      <c r="DG30" s="353" t="str">
        <f t="shared" si="133"/>
        <v>-</v>
      </c>
      <c r="DH30" s="353" t="str">
        <f t="shared" si="134"/>
        <v>-</v>
      </c>
      <c r="DI30" s="353" t="str">
        <f t="shared" si="135"/>
        <v>-</v>
      </c>
      <c r="DJ30" s="353" t="str">
        <f t="shared" si="136"/>
        <v>-</v>
      </c>
      <c r="DK30" s="353" t="str">
        <f t="shared" si="137"/>
        <v>-</v>
      </c>
      <c r="DL30" s="353" t="str">
        <f t="shared" si="138"/>
        <v>-</v>
      </c>
      <c r="DM30" s="353" t="str">
        <f t="shared" si="139"/>
        <v>-</v>
      </c>
      <c r="DN30" s="353" t="str">
        <f t="shared" si="140"/>
        <v>-</v>
      </c>
      <c r="DO30" s="353" t="str">
        <f t="shared" si="141"/>
        <v>-</v>
      </c>
      <c r="DP30" s="353" t="str">
        <f t="shared" si="142"/>
        <v>-</v>
      </c>
      <c r="DQ30" s="353" t="str">
        <f t="shared" si="143"/>
        <v>-</v>
      </c>
      <c r="DR30" s="353" t="str">
        <f t="shared" si="144"/>
        <v>-</v>
      </c>
      <c r="DS30" s="353" t="str">
        <f t="shared" si="145"/>
        <v>-</v>
      </c>
      <c r="DT30" s="353" t="str">
        <f t="shared" si="146"/>
        <v>-</v>
      </c>
      <c r="DU30" s="353" t="str">
        <f t="shared" si="147"/>
        <v>-</v>
      </c>
      <c r="DV30" s="353" t="str">
        <f t="shared" si="148"/>
        <v>-</v>
      </c>
      <c r="DW30" s="353" t="str">
        <f t="shared" si="149"/>
        <v>-</v>
      </c>
      <c r="DX30" s="353" t="str">
        <f t="shared" si="150"/>
        <v>-</v>
      </c>
      <c r="DY30" s="354" t="str">
        <f t="shared" si="151"/>
        <v>-</v>
      </c>
      <c r="DZ30" s="17"/>
      <c r="EA30" s="17"/>
      <c r="EB30" s="343" t="str" cm="1">
        <f t="array" aca="1" ref="EB30" ca="1">IF($AA30&gt;CDS.Tenor,"-",flatInterpolation(CC30,INDIRECT(HazardRateTimes3),INDIRECT(HazardRateValues3)))</f>
        <v>-</v>
      </c>
      <c r="EC30" s="10" t="str">
        <f t="shared" si="152"/>
        <v>-</v>
      </c>
      <c r="ED30" s="10" t="str">
        <f t="shared" si="153"/>
        <v>-</v>
      </c>
      <c r="EE30" s="81" t="str">
        <f t="shared" si="154"/>
        <v>-</v>
      </c>
      <c r="EG30" s="358">
        <f t="shared" si="155"/>
        <v>6.5</v>
      </c>
      <c r="EH30" s="353" t="str">
        <f t="shared" si="192"/>
        <v>-</v>
      </c>
      <c r="EI30" s="353" t="str">
        <f t="shared" si="192"/>
        <v>-</v>
      </c>
      <c r="EJ30" s="353" t="str">
        <f t="shared" si="192"/>
        <v>-</v>
      </c>
      <c r="EK30" s="353" t="str">
        <f t="shared" si="192"/>
        <v>-</v>
      </c>
      <c r="EL30" s="353" t="str">
        <f t="shared" si="192"/>
        <v>-</v>
      </c>
      <c r="EM30" s="353" t="str">
        <f t="shared" si="192"/>
        <v>-</v>
      </c>
      <c r="EN30" s="353" t="str">
        <f t="shared" si="192"/>
        <v>-</v>
      </c>
      <c r="EO30" s="353" t="str">
        <f t="shared" si="192"/>
        <v>-</v>
      </c>
      <c r="EP30" s="353" t="str">
        <f t="shared" si="192"/>
        <v>-</v>
      </c>
      <c r="EQ30" s="353" t="str">
        <f t="shared" si="192"/>
        <v>-</v>
      </c>
      <c r="ER30" s="353" t="str">
        <f t="shared" si="193"/>
        <v>-</v>
      </c>
      <c r="ES30" s="353" t="str">
        <f t="shared" si="193"/>
        <v>-</v>
      </c>
      <c r="ET30" s="353" t="str">
        <f t="shared" si="193"/>
        <v>-</v>
      </c>
      <c r="EU30" s="353" t="str">
        <f t="shared" si="193"/>
        <v>-</v>
      </c>
      <c r="EV30" s="353" t="str">
        <f t="shared" si="193"/>
        <v>-</v>
      </c>
      <c r="EW30" s="353" t="str">
        <f t="shared" si="193"/>
        <v>-</v>
      </c>
      <c r="EX30" s="353" t="str">
        <f t="shared" si="193"/>
        <v>-</v>
      </c>
      <c r="EY30" s="353" t="str">
        <f t="shared" si="193"/>
        <v>-</v>
      </c>
      <c r="EZ30" s="353" t="str">
        <f t="shared" si="193"/>
        <v>-</v>
      </c>
      <c r="FA30" s="353" t="str">
        <f t="shared" si="193"/>
        <v>-</v>
      </c>
      <c r="FB30" s="354" t="str">
        <f t="shared" si="193"/>
        <v>-</v>
      </c>
      <c r="FD30" s="358">
        <f t="shared" si="156"/>
        <v>6.5</v>
      </c>
      <c r="FE30" s="353" t="str">
        <f t="shared" si="157"/>
        <v>-</v>
      </c>
      <c r="FF30" s="353" t="str">
        <f t="shared" si="158"/>
        <v>-</v>
      </c>
      <c r="FG30" s="353" t="str">
        <f t="shared" si="159"/>
        <v>-</v>
      </c>
      <c r="FH30" s="353" t="str">
        <f t="shared" si="160"/>
        <v>-</v>
      </c>
      <c r="FI30" s="353" t="str">
        <f t="shared" si="161"/>
        <v>-</v>
      </c>
      <c r="FJ30" s="353" t="str">
        <f t="shared" si="162"/>
        <v>-</v>
      </c>
      <c r="FK30" s="353" t="str">
        <f t="shared" si="163"/>
        <v>-</v>
      </c>
      <c r="FL30" s="353" t="str">
        <f t="shared" si="164"/>
        <v>-</v>
      </c>
      <c r="FM30" s="353" t="str">
        <f t="shared" si="165"/>
        <v>-</v>
      </c>
      <c r="FN30" s="353" t="str">
        <f t="shared" si="166"/>
        <v>-</v>
      </c>
      <c r="FO30" s="353" t="str">
        <f t="shared" si="167"/>
        <v>-</v>
      </c>
      <c r="FP30" s="353" t="str">
        <f t="shared" si="168"/>
        <v>-</v>
      </c>
      <c r="FQ30" s="353" t="str">
        <f t="shared" si="169"/>
        <v>-</v>
      </c>
      <c r="FR30" s="353" t="str">
        <f t="shared" si="170"/>
        <v>-</v>
      </c>
      <c r="FS30" s="353" t="str">
        <f t="shared" si="171"/>
        <v>-</v>
      </c>
      <c r="FT30" s="353" t="str">
        <f t="shared" si="172"/>
        <v>-</v>
      </c>
      <c r="FU30" s="353" t="str">
        <f t="shared" si="173"/>
        <v>-</v>
      </c>
      <c r="FV30" s="353" t="str">
        <f t="shared" si="174"/>
        <v>-</v>
      </c>
      <c r="FW30" s="353" t="str">
        <f t="shared" si="175"/>
        <v>-</v>
      </c>
      <c r="FX30" s="353" t="str">
        <f t="shared" si="176"/>
        <v>-</v>
      </c>
      <c r="FY30" s="354" t="str">
        <f t="shared" si="177"/>
        <v>-</v>
      </c>
      <c r="GB30" s="358">
        <f t="shared" si="178"/>
        <v>6.5</v>
      </c>
      <c r="GC30" s="353" t="str">
        <f>IF($GB30&gt;CDS.Tenor,"-",BE30*DE30*FE30)</f>
        <v>-</v>
      </c>
      <c r="GD30" s="353" t="str">
        <f>IF($GB30&gt;CDS.Tenor,"-",BF30*DF30*FF30)</f>
        <v>-</v>
      </c>
      <c r="GE30" s="353" t="str">
        <f>IF($GB30&gt;CDS.Tenor,"-",BG30*DG30*FG30)</f>
        <v>-</v>
      </c>
      <c r="GF30" s="353" t="str">
        <f>IF($GB30&gt;CDS.Tenor,"-",BH30*DH30*FH30)</f>
        <v>-</v>
      </c>
      <c r="GG30" s="353" t="str">
        <f>IF($GB30&gt;CDS.Tenor,"-",BI30*DI30*FI30)</f>
        <v>-</v>
      </c>
      <c r="GH30" s="353" t="str">
        <f>IF($GB30&gt;CDS.Tenor,"-",BJ30*DJ30*FJ30)</f>
        <v>-</v>
      </c>
      <c r="GI30" s="353" t="str">
        <f>IF($GB30&gt;CDS.Tenor,"-",BK30*DK30*FK30)</f>
        <v>-</v>
      </c>
      <c r="GJ30" s="353" t="str">
        <f>IF($GB30&gt;CDS.Tenor,"-",BL30*DL30*FL30)</f>
        <v>-</v>
      </c>
      <c r="GK30" s="353" t="str">
        <f>IF($GB30&gt;CDS.Tenor,"-",BM30*DM30*FM30)</f>
        <v>-</v>
      </c>
      <c r="GL30" s="353" t="str">
        <f>IF($GB30&gt;CDS.Tenor,"-",BN30*DN30*FN30)</f>
        <v>-</v>
      </c>
      <c r="GM30" s="353" t="str">
        <f>IF($GB30&gt;CDS.Tenor,"-",BO30*DO30*FO30)</f>
        <v>-</v>
      </c>
      <c r="GN30" s="353" t="str">
        <f>IF($GB30&gt;CDS.Tenor,"-",BP30*DP30*FP30)</f>
        <v>-</v>
      </c>
      <c r="GO30" s="353" t="str">
        <f>IF($GB30&gt;CDS.Tenor,"-",BQ30*DQ30*FQ30)</f>
        <v>-</v>
      </c>
      <c r="GP30" s="353" t="str">
        <f>IF($GB30&gt;CDS.Tenor,"-",BR30*DR30*FR30)</f>
        <v>-</v>
      </c>
      <c r="GQ30" s="353" t="str">
        <f>IF($GB30&gt;CDS.Tenor,"-",BS30*DS30*FS30)</f>
        <v>-</v>
      </c>
      <c r="GR30" s="353" t="str">
        <f>IF($GB30&gt;CDS.Tenor,"-",BT30*DT30*FT30)</f>
        <v>-</v>
      </c>
      <c r="GS30" s="353" t="str">
        <f>IF($GB30&gt;CDS.Tenor,"-",BU30*DU30*FU30)</f>
        <v>-</v>
      </c>
      <c r="GT30" s="353" t="str">
        <f>IF($GB30&gt;CDS.Tenor,"-",BV30*DV30*FV30)</f>
        <v>-</v>
      </c>
      <c r="GU30" s="353" t="str">
        <f>IF($GB30&gt;CDS.Tenor,"-",BW30*DW30*FW30)</f>
        <v>-</v>
      </c>
      <c r="GV30" s="353" t="str">
        <f>IF($GB30&gt;CDS.Tenor,"-",BX30*DX30*FX30)</f>
        <v>-</v>
      </c>
      <c r="GW30" s="354" t="str">
        <f>IF($GB30&gt;CDS.Tenor,"-",BY30*DY30*FY30)</f>
        <v>-</v>
      </c>
      <c r="GX30" s="42"/>
      <c r="GY30" s="42"/>
      <c r="GZ30" s="358">
        <f t="shared" si="179"/>
        <v>6.5</v>
      </c>
      <c r="HA30" s="362" t="str">
        <f t="shared" si="180"/>
        <v>-</v>
      </c>
      <c r="HB30" s="363" t="str">
        <f t="shared" si="181"/>
        <v>-</v>
      </c>
    </row>
    <row r="31" spans="2:210" x14ac:dyDescent="0.3">
      <c r="I31" s="370">
        <f t="shared" si="86"/>
        <v>6.75</v>
      </c>
      <c r="J31" s="371" t="str">
        <f t="shared" si="87"/>
        <v>-</v>
      </c>
      <c r="K31" s="348" t="str">
        <f t="shared" si="88"/>
        <v>-</v>
      </c>
      <c r="L31" s="348" t="str">
        <f t="shared" si="89"/>
        <v>-</v>
      </c>
      <c r="M31" s="372" t="str" cm="1">
        <f t="array" ref="M31">IF($I31&gt;CDS.Tenor,"-",cubicInterpolation(CurveResults.Times,CurveResults.DFs,$I31))</f>
        <v>-</v>
      </c>
      <c r="N31" s="371" t="str">
        <f t="shared" si="90"/>
        <v>-</v>
      </c>
      <c r="O31" s="371" t="str">
        <f t="shared" si="91"/>
        <v>-</v>
      </c>
      <c r="P31" s="373" t="str">
        <f t="shared" si="92"/>
        <v>-</v>
      </c>
      <c r="S31" s="370">
        <f t="shared" si="93"/>
        <v>6.75</v>
      </c>
      <c r="T31" s="371" t="str">
        <f t="shared" si="94"/>
        <v>-</v>
      </c>
      <c r="U31" s="348" t="str">
        <f>IF($I31&gt;CDS.Tenor,"-",HA31)</f>
        <v>-</v>
      </c>
      <c r="V31" s="348" t="str">
        <f t="shared" si="95"/>
        <v>-</v>
      </c>
      <c r="W31" s="372" t="str" cm="1">
        <f t="array" ref="W31">IF($S31&gt;CDS.Tenor,"-",cubicInterpolation(CurveResults.Times,CurveResults.DFs,$I31))</f>
        <v>-</v>
      </c>
      <c r="X31" s="373" t="str">
        <f t="shared" si="96"/>
        <v>-</v>
      </c>
      <c r="AA31" s="358">
        <f t="shared" si="97"/>
        <v>6.75</v>
      </c>
      <c r="AB31" s="343" t="str" cm="1">
        <f t="array" aca="1" ref="AB31" ca="1">IF($AA31&gt;CDS.Tenor,"-",flatInterpolation(Z31,INDIRECT(HazardRateTimes1),INDIRECT(HazardRateValues1)))</f>
        <v>-</v>
      </c>
      <c r="AC31" s="10" t="str">
        <f t="shared" si="98"/>
        <v>-</v>
      </c>
      <c r="AD31" s="10" t="str">
        <f t="shared" si="99"/>
        <v>-</v>
      </c>
      <c r="AE31" s="81" t="str">
        <f t="shared" si="100"/>
        <v>-</v>
      </c>
      <c r="AG31" s="358">
        <f t="shared" si="101"/>
        <v>6.75</v>
      </c>
      <c r="AH31" s="353" t="str">
        <f t="shared" si="188"/>
        <v>-</v>
      </c>
      <c r="AI31" s="353" t="str">
        <f t="shared" si="188"/>
        <v>-</v>
      </c>
      <c r="AJ31" s="353" t="str">
        <f t="shared" si="188"/>
        <v>-</v>
      </c>
      <c r="AK31" s="353" t="str">
        <f t="shared" si="188"/>
        <v>-</v>
      </c>
      <c r="AL31" s="353" t="str">
        <f t="shared" si="188"/>
        <v>-</v>
      </c>
      <c r="AM31" s="353" t="str">
        <f t="shared" si="188"/>
        <v>-</v>
      </c>
      <c r="AN31" s="353" t="str">
        <f t="shared" si="188"/>
        <v>-</v>
      </c>
      <c r="AO31" s="353" t="str">
        <f t="shared" si="188"/>
        <v>-</v>
      </c>
      <c r="AP31" s="353" t="str">
        <f t="shared" si="188"/>
        <v>-</v>
      </c>
      <c r="AQ31" s="353" t="str">
        <f t="shared" si="188"/>
        <v>-</v>
      </c>
      <c r="AR31" s="353" t="str">
        <f t="shared" si="189"/>
        <v>-</v>
      </c>
      <c r="AS31" s="353" t="str">
        <f t="shared" si="189"/>
        <v>-</v>
      </c>
      <c r="AT31" s="353" t="str">
        <f t="shared" si="189"/>
        <v>-</v>
      </c>
      <c r="AU31" s="353" t="str">
        <f t="shared" si="189"/>
        <v>-</v>
      </c>
      <c r="AV31" s="353" t="str">
        <f t="shared" si="189"/>
        <v>-</v>
      </c>
      <c r="AW31" s="353" t="str">
        <f t="shared" si="189"/>
        <v>-</v>
      </c>
      <c r="AX31" s="353" t="str">
        <f t="shared" si="189"/>
        <v>-</v>
      </c>
      <c r="AY31" s="353" t="str">
        <f t="shared" si="189"/>
        <v>-</v>
      </c>
      <c r="AZ31" s="353" t="str">
        <f t="shared" si="189"/>
        <v>-</v>
      </c>
      <c r="BA31" s="353" t="str">
        <f t="shared" si="189"/>
        <v>-</v>
      </c>
      <c r="BB31" s="354" t="str">
        <f t="shared" si="189"/>
        <v>-</v>
      </c>
      <c r="BD31" s="358">
        <f t="shared" si="104"/>
        <v>6.75</v>
      </c>
      <c r="BE31" s="353" t="str">
        <f t="shared" si="105"/>
        <v>-</v>
      </c>
      <c r="BF31" s="353" t="str">
        <f t="shared" si="106"/>
        <v>-</v>
      </c>
      <c r="BG31" s="353" t="str">
        <f t="shared" si="107"/>
        <v>-</v>
      </c>
      <c r="BH31" s="353" t="str">
        <f t="shared" si="108"/>
        <v>-</v>
      </c>
      <c r="BI31" s="353" t="str">
        <f t="shared" si="109"/>
        <v>-</v>
      </c>
      <c r="BJ31" s="353" t="str">
        <f t="shared" si="110"/>
        <v>-</v>
      </c>
      <c r="BK31" s="353" t="str">
        <f t="shared" si="111"/>
        <v>-</v>
      </c>
      <c r="BL31" s="353" t="str">
        <f t="shared" si="112"/>
        <v>-</v>
      </c>
      <c r="BM31" s="353" t="str">
        <f t="shared" si="113"/>
        <v>-</v>
      </c>
      <c r="BN31" s="353" t="str">
        <f t="shared" si="114"/>
        <v>-</v>
      </c>
      <c r="BO31" s="353" t="str">
        <f t="shared" si="115"/>
        <v>-</v>
      </c>
      <c r="BP31" s="353" t="str">
        <f t="shared" si="116"/>
        <v>-</v>
      </c>
      <c r="BQ31" s="353" t="str">
        <f t="shared" si="117"/>
        <v>-</v>
      </c>
      <c r="BR31" s="353" t="str">
        <f t="shared" si="118"/>
        <v>-</v>
      </c>
      <c r="BS31" s="353" t="str">
        <f t="shared" si="119"/>
        <v>-</v>
      </c>
      <c r="BT31" s="353" t="str">
        <f t="shared" si="120"/>
        <v>-</v>
      </c>
      <c r="BU31" s="353" t="str">
        <f t="shared" si="121"/>
        <v>-</v>
      </c>
      <c r="BV31" s="353" t="str">
        <f t="shared" si="122"/>
        <v>-</v>
      </c>
      <c r="BW31" s="353" t="str">
        <f t="shared" si="123"/>
        <v>-</v>
      </c>
      <c r="BX31" s="353" t="str">
        <f t="shared" si="124"/>
        <v>-</v>
      </c>
      <c r="BY31" s="354" t="str">
        <f t="shared" si="125"/>
        <v>-</v>
      </c>
      <c r="BZ31" s="17"/>
      <c r="CA31" s="17"/>
      <c r="CB31" s="343" t="str" cm="1">
        <f t="array" aca="1" ref="CB31" ca="1">IF($AA31&gt;CDS.Tenor,"-",flatInterpolation(AA31,INDIRECT(HazardRateTimes2),INDIRECT(HazardRateValues2)))</f>
        <v>-</v>
      </c>
      <c r="CC31" s="10" t="str">
        <f t="shared" si="126"/>
        <v>-</v>
      </c>
      <c r="CD31" s="10" t="str">
        <f t="shared" si="127"/>
        <v>-</v>
      </c>
      <c r="CE31" s="81" t="str">
        <f t="shared" si="128"/>
        <v>-</v>
      </c>
      <c r="CG31" s="358">
        <f t="shared" si="129"/>
        <v>6.75</v>
      </c>
      <c r="CH31" s="353" t="str">
        <f t="shared" si="190"/>
        <v>-</v>
      </c>
      <c r="CI31" s="353" t="str">
        <f t="shared" si="190"/>
        <v>-</v>
      </c>
      <c r="CJ31" s="353" t="str">
        <f t="shared" si="190"/>
        <v>-</v>
      </c>
      <c r="CK31" s="353" t="str">
        <f t="shared" si="190"/>
        <v>-</v>
      </c>
      <c r="CL31" s="353" t="str">
        <f t="shared" si="190"/>
        <v>-</v>
      </c>
      <c r="CM31" s="353" t="str">
        <f t="shared" si="190"/>
        <v>-</v>
      </c>
      <c r="CN31" s="353" t="str">
        <f t="shared" si="190"/>
        <v>-</v>
      </c>
      <c r="CO31" s="353" t="str">
        <f t="shared" si="190"/>
        <v>-</v>
      </c>
      <c r="CP31" s="353" t="str">
        <f t="shared" si="190"/>
        <v>-</v>
      </c>
      <c r="CQ31" s="353" t="str">
        <f t="shared" si="190"/>
        <v>-</v>
      </c>
      <c r="CR31" s="353" t="str">
        <f t="shared" si="191"/>
        <v>-</v>
      </c>
      <c r="CS31" s="353" t="str">
        <f t="shared" si="191"/>
        <v>-</v>
      </c>
      <c r="CT31" s="353" t="str">
        <f t="shared" si="191"/>
        <v>-</v>
      </c>
      <c r="CU31" s="353" t="str">
        <f t="shared" si="191"/>
        <v>-</v>
      </c>
      <c r="CV31" s="353" t="str">
        <f t="shared" si="191"/>
        <v>-</v>
      </c>
      <c r="CW31" s="353" t="str">
        <f t="shared" si="191"/>
        <v>-</v>
      </c>
      <c r="CX31" s="353" t="str">
        <f t="shared" si="191"/>
        <v>-</v>
      </c>
      <c r="CY31" s="353" t="str">
        <f t="shared" si="191"/>
        <v>-</v>
      </c>
      <c r="CZ31" s="353" t="str">
        <f t="shared" si="191"/>
        <v>-</v>
      </c>
      <c r="DA31" s="353" t="str">
        <f t="shared" si="191"/>
        <v>-</v>
      </c>
      <c r="DB31" s="354" t="str">
        <f t="shared" si="191"/>
        <v>-</v>
      </c>
      <c r="DD31" s="358">
        <f t="shared" si="130"/>
        <v>6.75</v>
      </c>
      <c r="DE31" s="353" t="str">
        <f t="shared" si="131"/>
        <v>-</v>
      </c>
      <c r="DF31" s="353" t="str">
        <f t="shared" si="132"/>
        <v>-</v>
      </c>
      <c r="DG31" s="353" t="str">
        <f t="shared" si="133"/>
        <v>-</v>
      </c>
      <c r="DH31" s="353" t="str">
        <f t="shared" si="134"/>
        <v>-</v>
      </c>
      <c r="DI31" s="353" t="str">
        <f t="shared" si="135"/>
        <v>-</v>
      </c>
      <c r="DJ31" s="353" t="str">
        <f t="shared" si="136"/>
        <v>-</v>
      </c>
      <c r="DK31" s="353" t="str">
        <f t="shared" si="137"/>
        <v>-</v>
      </c>
      <c r="DL31" s="353" t="str">
        <f t="shared" si="138"/>
        <v>-</v>
      </c>
      <c r="DM31" s="353" t="str">
        <f t="shared" si="139"/>
        <v>-</v>
      </c>
      <c r="DN31" s="353" t="str">
        <f t="shared" si="140"/>
        <v>-</v>
      </c>
      <c r="DO31" s="353" t="str">
        <f t="shared" si="141"/>
        <v>-</v>
      </c>
      <c r="DP31" s="353" t="str">
        <f t="shared" si="142"/>
        <v>-</v>
      </c>
      <c r="DQ31" s="353" t="str">
        <f t="shared" si="143"/>
        <v>-</v>
      </c>
      <c r="DR31" s="353" t="str">
        <f t="shared" si="144"/>
        <v>-</v>
      </c>
      <c r="DS31" s="353" t="str">
        <f t="shared" si="145"/>
        <v>-</v>
      </c>
      <c r="DT31" s="353" t="str">
        <f t="shared" si="146"/>
        <v>-</v>
      </c>
      <c r="DU31" s="353" t="str">
        <f t="shared" si="147"/>
        <v>-</v>
      </c>
      <c r="DV31" s="353" t="str">
        <f t="shared" si="148"/>
        <v>-</v>
      </c>
      <c r="DW31" s="353" t="str">
        <f t="shared" si="149"/>
        <v>-</v>
      </c>
      <c r="DX31" s="353" t="str">
        <f t="shared" si="150"/>
        <v>-</v>
      </c>
      <c r="DY31" s="354" t="str">
        <f t="shared" si="151"/>
        <v>-</v>
      </c>
      <c r="DZ31" s="17"/>
      <c r="EA31" s="17"/>
      <c r="EB31" s="343" t="str" cm="1">
        <f t="array" aca="1" ref="EB31" ca="1">IF($AA31&gt;CDS.Tenor,"-",flatInterpolation(CC31,INDIRECT(HazardRateTimes3),INDIRECT(HazardRateValues3)))</f>
        <v>-</v>
      </c>
      <c r="EC31" s="10" t="str">
        <f t="shared" si="152"/>
        <v>-</v>
      </c>
      <c r="ED31" s="10" t="str">
        <f t="shared" si="153"/>
        <v>-</v>
      </c>
      <c r="EE31" s="81" t="str">
        <f t="shared" si="154"/>
        <v>-</v>
      </c>
      <c r="EG31" s="358">
        <f t="shared" si="155"/>
        <v>6.75</v>
      </c>
      <c r="EH31" s="353" t="str">
        <f t="shared" si="192"/>
        <v>-</v>
      </c>
      <c r="EI31" s="353" t="str">
        <f t="shared" si="192"/>
        <v>-</v>
      </c>
      <c r="EJ31" s="353" t="str">
        <f t="shared" si="192"/>
        <v>-</v>
      </c>
      <c r="EK31" s="353" t="str">
        <f t="shared" si="192"/>
        <v>-</v>
      </c>
      <c r="EL31" s="353" t="str">
        <f t="shared" si="192"/>
        <v>-</v>
      </c>
      <c r="EM31" s="353" t="str">
        <f t="shared" si="192"/>
        <v>-</v>
      </c>
      <c r="EN31" s="353" t="str">
        <f t="shared" si="192"/>
        <v>-</v>
      </c>
      <c r="EO31" s="353" t="str">
        <f t="shared" si="192"/>
        <v>-</v>
      </c>
      <c r="EP31" s="353" t="str">
        <f t="shared" si="192"/>
        <v>-</v>
      </c>
      <c r="EQ31" s="353" t="str">
        <f t="shared" si="192"/>
        <v>-</v>
      </c>
      <c r="ER31" s="353" t="str">
        <f t="shared" si="193"/>
        <v>-</v>
      </c>
      <c r="ES31" s="353" t="str">
        <f t="shared" si="193"/>
        <v>-</v>
      </c>
      <c r="ET31" s="353" t="str">
        <f t="shared" si="193"/>
        <v>-</v>
      </c>
      <c r="EU31" s="353" t="str">
        <f t="shared" si="193"/>
        <v>-</v>
      </c>
      <c r="EV31" s="353" t="str">
        <f t="shared" si="193"/>
        <v>-</v>
      </c>
      <c r="EW31" s="353" t="str">
        <f t="shared" si="193"/>
        <v>-</v>
      </c>
      <c r="EX31" s="353" t="str">
        <f t="shared" si="193"/>
        <v>-</v>
      </c>
      <c r="EY31" s="353" t="str">
        <f t="shared" si="193"/>
        <v>-</v>
      </c>
      <c r="EZ31" s="353" t="str">
        <f t="shared" si="193"/>
        <v>-</v>
      </c>
      <c r="FA31" s="353" t="str">
        <f t="shared" si="193"/>
        <v>-</v>
      </c>
      <c r="FB31" s="354" t="str">
        <f t="shared" si="193"/>
        <v>-</v>
      </c>
      <c r="FD31" s="358">
        <f t="shared" si="156"/>
        <v>6.75</v>
      </c>
      <c r="FE31" s="353" t="str">
        <f t="shared" si="157"/>
        <v>-</v>
      </c>
      <c r="FF31" s="353" t="str">
        <f t="shared" si="158"/>
        <v>-</v>
      </c>
      <c r="FG31" s="353" t="str">
        <f t="shared" si="159"/>
        <v>-</v>
      </c>
      <c r="FH31" s="353" t="str">
        <f t="shared" si="160"/>
        <v>-</v>
      </c>
      <c r="FI31" s="353" t="str">
        <f t="shared" si="161"/>
        <v>-</v>
      </c>
      <c r="FJ31" s="353" t="str">
        <f t="shared" si="162"/>
        <v>-</v>
      </c>
      <c r="FK31" s="353" t="str">
        <f t="shared" si="163"/>
        <v>-</v>
      </c>
      <c r="FL31" s="353" t="str">
        <f t="shared" si="164"/>
        <v>-</v>
      </c>
      <c r="FM31" s="353" t="str">
        <f t="shared" si="165"/>
        <v>-</v>
      </c>
      <c r="FN31" s="353" t="str">
        <f t="shared" si="166"/>
        <v>-</v>
      </c>
      <c r="FO31" s="353" t="str">
        <f t="shared" si="167"/>
        <v>-</v>
      </c>
      <c r="FP31" s="353" t="str">
        <f t="shared" si="168"/>
        <v>-</v>
      </c>
      <c r="FQ31" s="353" t="str">
        <f t="shared" si="169"/>
        <v>-</v>
      </c>
      <c r="FR31" s="353" t="str">
        <f t="shared" si="170"/>
        <v>-</v>
      </c>
      <c r="FS31" s="353" t="str">
        <f t="shared" si="171"/>
        <v>-</v>
      </c>
      <c r="FT31" s="353" t="str">
        <f t="shared" si="172"/>
        <v>-</v>
      </c>
      <c r="FU31" s="353" t="str">
        <f t="shared" si="173"/>
        <v>-</v>
      </c>
      <c r="FV31" s="353" t="str">
        <f t="shared" si="174"/>
        <v>-</v>
      </c>
      <c r="FW31" s="353" t="str">
        <f t="shared" si="175"/>
        <v>-</v>
      </c>
      <c r="FX31" s="353" t="str">
        <f t="shared" si="176"/>
        <v>-</v>
      </c>
      <c r="FY31" s="354" t="str">
        <f t="shared" si="177"/>
        <v>-</v>
      </c>
      <c r="GB31" s="358">
        <f t="shared" si="178"/>
        <v>6.75</v>
      </c>
      <c r="GC31" s="353" t="str">
        <f>IF($GB31&gt;CDS.Tenor,"-",BE31*DE31*FE31)</f>
        <v>-</v>
      </c>
      <c r="GD31" s="353" t="str">
        <f>IF($GB31&gt;CDS.Tenor,"-",BF31*DF31*FF31)</f>
        <v>-</v>
      </c>
      <c r="GE31" s="353" t="str">
        <f>IF($GB31&gt;CDS.Tenor,"-",BG31*DG31*FG31)</f>
        <v>-</v>
      </c>
      <c r="GF31" s="353" t="str">
        <f>IF($GB31&gt;CDS.Tenor,"-",BH31*DH31*FH31)</f>
        <v>-</v>
      </c>
      <c r="GG31" s="353" t="str">
        <f>IF($GB31&gt;CDS.Tenor,"-",BI31*DI31*FI31)</f>
        <v>-</v>
      </c>
      <c r="GH31" s="353" t="str">
        <f>IF($GB31&gt;CDS.Tenor,"-",BJ31*DJ31*FJ31)</f>
        <v>-</v>
      </c>
      <c r="GI31" s="353" t="str">
        <f>IF($GB31&gt;CDS.Tenor,"-",BK31*DK31*FK31)</f>
        <v>-</v>
      </c>
      <c r="GJ31" s="353" t="str">
        <f>IF($GB31&gt;CDS.Tenor,"-",BL31*DL31*FL31)</f>
        <v>-</v>
      </c>
      <c r="GK31" s="353" t="str">
        <f>IF($GB31&gt;CDS.Tenor,"-",BM31*DM31*FM31)</f>
        <v>-</v>
      </c>
      <c r="GL31" s="353" t="str">
        <f>IF($GB31&gt;CDS.Tenor,"-",BN31*DN31*FN31)</f>
        <v>-</v>
      </c>
      <c r="GM31" s="353" t="str">
        <f>IF($GB31&gt;CDS.Tenor,"-",BO31*DO31*FO31)</f>
        <v>-</v>
      </c>
      <c r="GN31" s="353" t="str">
        <f>IF($GB31&gt;CDS.Tenor,"-",BP31*DP31*FP31)</f>
        <v>-</v>
      </c>
      <c r="GO31" s="353" t="str">
        <f>IF($GB31&gt;CDS.Tenor,"-",BQ31*DQ31*FQ31)</f>
        <v>-</v>
      </c>
      <c r="GP31" s="353" t="str">
        <f>IF($GB31&gt;CDS.Tenor,"-",BR31*DR31*FR31)</f>
        <v>-</v>
      </c>
      <c r="GQ31" s="353" t="str">
        <f>IF($GB31&gt;CDS.Tenor,"-",BS31*DS31*FS31)</f>
        <v>-</v>
      </c>
      <c r="GR31" s="353" t="str">
        <f>IF($GB31&gt;CDS.Tenor,"-",BT31*DT31*FT31)</f>
        <v>-</v>
      </c>
      <c r="GS31" s="353" t="str">
        <f>IF($GB31&gt;CDS.Tenor,"-",BU31*DU31*FU31)</f>
        <v>-</v>
      </c>
      <c r="GT31" s="353" t="str">
        <f>IF($GB31&gt;CDS.Tenor,"-",BV31*DV31*FV31)</f>
        <v>-</v>
      </c>
      <c r="GU31" s="353" t="str">
        <f>IF($GB31&gt;CDS.Tenor,"-",BW31*DW31*FW31)</f>
        <v>-</v>
      </c>
      <c r="GV31" s="353" t="str">
        <f>IF($GB31&gt;CDS.Tenor,"-",BX31*DX31*FX31)</f>
        <v>-</v>
      </c>
      <c r="GW31" s="354" t="str">
        <f>IF($GB31&gt;CDS.Tenor,"-",BY31*DY31*FY31)</f>
        <v>-</v>
      </c>
      <c r="GX31" s="42"/>
      <c r="GY31" s="42"/>
      <c r="GZ31" s="358">
        <f t="shared" si="179"/>
        <v>6.75</v>
      </c>
      <c r="HA31" s="362" t="str">
        <f t="shared" si="180"/>
        <v>-</v>
      </c>
      <c r="HB31" s="363" t="str">
        <f t="shared" si="181"/>
        <v>-</v>
      </c>
    </row>
    <row r="32" spans="2:210" x14ac:dyDescent="0.3">
      <c r="I32" s="370">
        <f t="shared" si="86"/>
        <v>7</v>
      </c>
      <c r="J32" s="371" t="str">
        <f t="shared" si="87"/>
        <v>-</v>
      </c>
      <c r="K32" s="348" t="str">
        <f t="shared" si="88"/>
        <v>-</v>
      </c>
      <c r="L32" s="348" t="str">
        <f t="shared" si="89"/>
        <v>-</v>
      </c>
      <c r="M32" s="372" t="str" cm="1">
        <f t="array" ref="M32">IF($I32&gt;CDS.Tenor,"-",cubicInterpolation(CurveResults.Times,CurveResults.DFs,$I32))</f>
        <v>-</v>
      </c>
      <c r="N32" s="371" t="str">
        <f t="shared" si="90"/>
        <v>-</v>
      </c>
      <c r="O32" s="371" t="str">
        <f t="shared" si="91"/>
        <v>-</v>
      </c>
      <c r="P32" s="373" t="str">
        <f t="shared" si="92"/>
        <v>-</v>
      </c>
      <c r="S32" s="370">
        <f t="shared" si="93"/>
        <v>7</v>
      </c>
      <c r="T32" s="371" t="str">
        <f t="shared" si="94"/>
        <v>-</v>
      </c>
      <c r="U32" s="348" t="str">
        <f>IF($I32&gt;CDS.Tenor,"-",HA32)</f>
        <v>-</v>
      </c>
      <c r="V32" s="348" t="str">
        <f t="shared" si="95"/>
        <v>-</v>
      </c>
      <c r="W32" s="372" t="str" cm="1">
        <f t="array" ref="W32">IF($S32&gt;CDS.Tenor,"-",cubicInterpolation(CurveResults.Times,CurveResults.DFs,$I32))</f>
        <v>-</v>
      </c>
      <c r="X32" s="373" t="str">
        <f t="shared" si="96"/>
        <v>-</v>
      </c>
      <c r="AA32" s="358">
        <f t="shared" si="97"/>
        <v>7</v>
      </c>
      <c r="AB32" s="343" t="str" cm="1">
        <f t="array" aca="1" ref="AB32" ca="1">IF($AA32&gt;CDS.Tenor,"-",flatInterpolation(Z32,INDIRECT(HazardRateTimes1),INDIRECT(HazardRateValues1)))</f>
        <v>-</v>
      </c>
      <c r="AC32" s="10" t="str">
        <f t="shared" si="98"/>
        <v>-</v>
      </c>
      <c r="AD32" s="10" t="str">
        <f t="shared" si="99"/>
        <v>-</v>
      </c>
      <c r="AE32" s="81" t="str">
        <f t="shared" si="100"/>
        <v>-</v>
      </c>
      <c r="AG32" s="358">
        <f t="shared" si="101"/>
        <v>7</v>
      </c>
      <c r="AH32" s="353" t="str">
        <f t="shared" si="188"/>
        <v>-</v>
      </c>
      <c r="AI32" s="353" t="str">
        <f t="shared" si="188"/>
        <v>-</v>
      </c>
      <c r="AJ32" s="353" t="str">
        <f t="shared" si="188"/>
        <v>-</v>
      </c>
      <c r="AK32" s="353" t="str">
        <f t="shared" si="188"/>
        <v>-</v>
      </c>
      <c r="AL32" s="353" t="str">
        <f t="shared" si="188"/>
        <v>-</v>
      </c>
      <c r="AM32" s="353" t="str">
        <f t="shared" si="188"/>
        <v>-</v>
      </c>
      <c r="AN32" s="353" t="str">
        <f t="shared" si="188"/>
        <v>-</v>
      </c>
      <c r="AO32" s="353" t="str">
        <f t="shared" si="188"/>
        <v>-</v>
      </c>
      <c r="AP32" s="353" t="str">
        <f t="shared" si="188"/>
        <v>-</v>
      </c>
      <c r="AQ32" s="353" t="str">
        <f t="shared" si="188"/>
        <v>-</v>
      </c>
      <c r="AR32" s="353" t="str">
        <f t="shared" si="189"/>
        <v>-</v>
      </c>
      <c r="AS32" s="353" t="str">
        <f t="shared" si="189"/>
        <v>-</v>
      </c>
      <c r="AT32" s="353" t="str">
        <f t="shared" si="189"/>
        <v>-</v>
      </c>
      <c r="AU32" s="353" t="str">
        <f t="shared" si="189"/>
        <v>-</v>
      </c>
      <c r="AV32" s="353" t="str">
        <f t="shared" si="189"/>
        <v>-</v>
      </c>
      <c r="AW32" s="353" t="str">
        <f t="shared" si="189"/>
        <v>-</v>
      </c>
      <c r="AX32" s="353" t="str">
        <f t="shared" si="189"/>
        <v>-</v>
      </c>
      <c r="AY32" s="353" t="str">
        <f t="shared" si="189"/>
        <v>-</v>
      </c>
      <c r="AZ32" s="353" t="str">
        <f t="shared" si="189"/>
        <v>-</v>
      </c>
      <c r="BA32" s="353" t="str">
        <f t="shared" si="189"/>
        <v>-</v>
      </c>
      <c r="BB32" s="354" t="str">
        <f t="shared" si="189"/>
        <v>-</v>
      </c>
      <c r="BD32" s="358">
        <f t="shared" si="104"/>
        <v>7</v>
      </c>
      <c r="BE32" s="353" t="str">
        <f t="shared" si="105"/>
        <v>-</v>
      </c>
      <c r="BF32" s="353" t="str">
        <f t="shared" si="106"/>
        <v>-</v>
      </c>
      <c r="BG32" s="353" t="str">
        <f t="shared" si="107"/>
        <v>-</v>
      </c>
      <c r="BH32" s="353" t="str">
        <f t="shared" si="108"/>
        <v>-</v>
      </c>
      <c r="BI32" s="353" t="str">
        <f t="shared" si="109"/>
        <v>-</v>
      </c>
      <c r="BJ32" s="353" t="str">
        <f t="shared" si="110"/>
        <v>-</v>
      </c>
      <c r="BK32" s="353" t="str">
        <f t="shared" si="111"/>
        <v>-</v>
      </c>
      <c r="BL32" s="353" t="str">
        <f t="shared" si="112"/>
        <v>-</v>
      </c>
      <c r="BM32" s="353" t="str">
        <f t="shared" si="113"/>
        <v>-</v>
      </c>
      <c r="BN32" s="353" t="str">
        <f t="shared" si="114"/>
        <v>-</v>
      </c>
      <c r="BO32" s="353" t="str">
        <f t="shared" si="115"/>
        <v>-</v>
      </c>
      <c r="BP32" s="353" t="str">
        <f t="shared" si="116"/>
        <v>-</v>
      </c>
      <c r="BQ32" s="353" t="str">
        <f t="shared" si="117"/>
        <v>-</v>
      </c>
      <c r="BR32" s="353" t="str">
        <f t="shared" si="118"/>
        <v>-</v>
      </c>
      <c r="BS32" s="353" t="str">
        <f t="shared" si="119"/>
        <v>-</v>
      </c>
      <c r="BT32" s="353" t="str">
        <f t="shared" si="120"/>
        <v>-</v>
      </c>
      <c r="BU32" s="353" t="str">
        <f t="shared" si="121"/>
        <v>-</v>
      </c>
      <c r="BV32" s="353" t="str">
        <f t="shared" si="122"/>
        <v>-</v>
      </c>
      <c r="BW32" s="353" t="str">
        <f t="shared" si="123"/>
        <v>-</v>
      </c>
      <c r="BX32" s="353" t="str">
        <f t="shared" si="124"/>
        <v>-</v>
      </c>
      <c r="BY32" s="354" t="str">
        <f t="shared" si="125"/>
        <v>-</v>
      </c>
      <c r="BZ32" s="17"/>
      <c r="CA32" s="17"/>
      <c r="CB32" s="343" t="str" cm="1">
        <f t="array" aca="1" ref="CB32" ca="1">IF($AA32&gt;CDS.Tenor,"-",flatInterpolation(AA32,INDIRECT(HazardRateTimes2),INDIRECT(HazardRateValues2)))</f>
        <v>-</v>
      </c>
      <c r="CC32" s="10" t="str">
        <f t="shared" si="126"/>
        <v>-</v>
      </c>
      <c r="CD32" s="10" t="str">
        <f t="shared" si="127"/>
        <v>-</v>
      </c>
      <c r="CE32" s="81" t="str">
        <f t="shared" si="128"/>
        <v>-</v>
      </c>
      <c r="CG32" s="358">
        <f t="shared" si="129"/>
        <v>7</v>
      </c>
      <c r="CH32" s="353" t="str">
        <f t="shared" si="190"/>
        <v>-</v>
      </c>
      <c r="CI32" s="353" t="str">
        <f t="shared" si="190"/>
        <v>-</v>
      </c>
      <c r="CJ32" s="353" t="str">
        <f t="shared" si="190"/>
        <v>-</v>
      </c>
      <c r="CK32" s="353" t="str">
        <f t="shared" si="190"/>
        <v>-</v>
      </c>
      <c r="CL32" s="353" t="str">
        <f t="shared" si="190"/>
        <v>-</v>
      </c>
      <c r="CM32" s="353" t="str">
        <f t="shared" si="190"/>
        <v>-</v>
      </c>
      <c r="CN32" s="353" t="str">
        <f t="shared" si="190"/>
        <v>-</v>
      </c>
      <c r="CO32" s="353" t="str">
        <f t="shared" si="190"/>
        <v>-</v>
      </c>
      <c r="CP32" s="353" t="str">
        <f t="shared" si="190"/>
        <v>-</v>
      </c>
      <c r="CQ32" s="353" t="str">
        <f t="shared" si="190"/>
        <v>-</v>
      </c>
      <c r="CR32" s="353" t="str">
        <f t="shared" si="191"/>
        <v>-</v>
      </c>
      <c r="CS32" s="353" t="str">
        <f t="shared" si="191"/>
        <v>-</v>
      </c>
      <c r="CT32" s="353" t="str">
        <f t="shared" si="191"/>
        <v>-</v>
      </c>
      <c r="CU32" s="353" t="str">
        <f t="shared" si="191"/>
        <v>-</v>
      </c>
      <c r="CV32" s="353" t="str">
        <f t="shared" si="191"/>
        <v>-</v>
      </c>
      <c r="CW32" s="353" t="str">
        <f t="shared" si="191"/>
        <v>-</v>
      </c>
      <c r="CX32" s="353" t="str">
        <f t="shared" si="191"/>
        <v>-</v>
      </c>
      <c r="CY32" s="353" t="str">
        <f t="shared" si="191"/>
        <v>-</v>
      </c>
      <c r="CZ32" s="353" t="str">
        <f t="shared" si="191"/>
        <v>-</v>
      </c>
      <c r="DA32" s="353" t="str">
        <f t="shared" si="191"/>
        <v>-</v>
      </c>
      <c r="DB32" s="354" t="str">
        <f t="shared" si="191"/>
        <v>-</v>
      </c>
      <c r="DD32" s="358">
        <f t="shared" si="130"/>
        <v>7</v>
      </c>
      <c r="DE32" s="353" t="str">
        <f t="shared" si="131"/>
        <v>-</v>
      </c>
      <c r="DF32" s="353" t="str">
        <f t="shared" si="132"/>
        <v>-</v>
      </c>
      <c r="DG32" s="353" t="str">
        <f t="shared" si="133"/>
        <v>-</v>
      </c>
      <c r="DH32" s="353" t="str">
        <f t="shared" si="134"/>
        <v>-</v>
      </c>
      <c r="DI32" s="353" t="str">
        <f t="shared" si="135"/>
        <v>-</v>
      </c>
      <c r="DJ32" s="353" t="str">
        <f t="shared" si="136"/>
        <v>-</v>
      </c>
      <c r="DK32" s="353" t="str">
        <f t="shared" si="137"/>
        <v>-</v>
      </c>
      <c r="DL32" s="353" t="str">
        <f t="shared" si="138"/>
        <v>-</v>
      </c>
      <c r="DM32" s="353" t="str">
        <f t="shared" si="139"/>
        <v>-</v>
      </c>
      <c r="DN32" s="353" t="str">
        <f t="shared" si="140"/>
        <v>-</v>
      </c>
      <c r="DO32" s="353" t="str">
        <f t="shared" si="141"/>
        <v>-</v>
      </c>
      <c r="DP32" s="353" t="str">
        <f t="shared" si="142"/>
        <v>-</v>
      </c>
      <c r="DQ32" s="353" t="str">
        <f t="shared" si="143"/>
        <v>-</v>
      </c>
      <c r="DR32" s="353" t="str">
        <f t="shared" si="144"/>
        <v>-</v>
      </c>
      <c r="DS32" s="353" t="str">
        <f t="shared" si="145"/>
        <v>-</v>
      </c>
      <c r="DT32" s="353" t="str">
        <f t="shared" si="146"/>
        <v>-</v>
      </c>
      <c r="DU32" s="353" t="str">
        <f t="shared" si="147"/>
        <v>-</v>
      </c>
      <c r="DV32" s="353" t="str">
        <f t="shared" si="148"/>
        <v>-</v>
      </c>
      <c r="DW32" s="353" t="str">
        <f t="shared" si="149"/>
        <v>-</v>
      </c>
      <c r="DX32" s="353" t="str">
        <f t="shared" si="150"/>
        <v>-</v>
      </c>
      <c r="DY32" s="354" t="str">
        <f t="shared" si="151"/>
        <v>-</v>
      </c>
      <c r="DZ32" s="17"/>
      <c r="EA32" s="17"/>
      <c r="EB32" s="343" t="str" cm="1">
        <f t="array" aca="1" ref="EB32" ca="1">IF($AA32&gt;CDS.Tenor,"-",flatInterpolation(CC32,INDIRECT(HazardRateTimes3),INDIRECT(HazardRateValues3)))</f>
        <v>-</v>
      </c>
      <c r="EC32" s="10" t="str">
        <f t="shared" si="152"/>
        <v>-</v>
      </c>
      <c r="ED32" s="10" t="str">
        <f t="shared" si="153"/>
        <v>-</v>
      </c>
      <c r="EE32" s="81" t="str">
        <f t="shared" si="154"/>
        <v>-</v>
      </c>
      <c r="EG32" s="358">
        <f t="shared" si="155"/>
        <v>7</v>
      </c>
      <c r="EH32" s="353" t="str">
        <f t="shared" si="192"/>
        <v>-</v>
      </c>
      <c r="EI32" s="353" t="str">
        <f t="shared" si="192"/>
        <v>-</v>
      </c>
      <c r="EJ32" s="353" t="str">
        <f t="shared" si="192"/>
        <v>-</v>
      </c>
      <c r="EK32" s="353" t="str">
        <f t="shared" si="192"/>
        <v>-</v>
      </c>
      <c r="EL32" s="353" t="str">
        <f t="shared" si="192"/>
        <v>-</v>
      </c>
      <c r="EM32" s="353" t="str">
        <f t="shared" si="192"/>
        <v>-</v>
      </c>
      <c r="EN32" s="353" t="str">
        <f t="shared" si="192"/>
        <v>-</v>
      </c>
      <c r="EO32" s="353" t="str">
        <f t="shared" si="192"/>
        <v>-</v>
      </c>
      <c r="EP32" s="353" t="str">
        <f t="shared" si="192"/>
        <v>-</v>
      </c>
      <c r="EQ32" s="353" t="str">
        <f t="shared" si="192"/>
        <v>-</v>
      </c>
      <c r="ER32" s="353" t="str">
        <f t="shared" si="193"/>
        <v>-</v>
      </c>
      <c r="ES32" s="353" t="str">
        <f t="shared" si="193"/>
        <v>-</v>
      </c>
      <c r="ET32" s="353" t="str">
        <f t="shared" si="193"/>
        <v>-</v>
      </c>
      <c r="EU32" s="353" t="str">
        <f t="shared" si="193"/>
        <v>-</v>
      </c>
      <c r="EV32" s="353" t="str">
        <f t="shared" si="193"/>
        <v>-</v>
      </c>
      <c r="EW32" s="353" t="str">
        <f t="shared" si="193"/>
        <v>-</v>
      </c>
      <c r="EX32" s="353" t="str">
        <f t="shared" si="193"/>
        <v>-</v>
      </c>
      <c r="EY32" s="353" t="str">
        <f t="shared" si="193"/>
        <v>-</v>
      </c>
      <c r="EZ32" s="353" t="str">
        <f t="shared" si="193"/>
        <v>-</v>
      </c>
      <c r="FA32" s="353" t="str">
        <f t="shared" si="193"/>
        <v>-</v>
      </c>
      <c r="FB32" s="354" t="str">
        <f t="shared" si="193"/>
        <v>-</v>
      </c>
      <c r="FD32" s="358">
        <f t="shared" si="156"/>
        <v>7</v>
      </c>
      <c r="FE32" s="353" t="str">
        <f t="shared" si="157"/>
        <v>-</v>
      </c>
      <c r="FF32" s="353" t="str">
        <f t="shared" si="158"/>
        <v>-</v>
      </c>
      <c r="FG32" s="353" t="str">
        <f t="shared" si="159"/>
        <v>-</v>
      </c>
      <c r="FH32" s="353" t="str">
        <f t="shared" si="160"/>
        <v>-</v>
      </c>
      <c r="FI32" s="353" t="str">
        <f t="shared" si="161"/>
        <v>-</v>
      </c>
      <c r="FJ32" s="353" t="str">
        <f t="shared" si="162"/>
        <v>-</v>
      </c>
      <c r="FK32" s="353" t="str">
        <f t="shared" si="163"/>
        <v>-</v>
      </c>
      <c r="FL32" s="353" t="str">
        <f t="shared" si="164"/>
        <v>-</v>
      </c>
      <c r="FM32" s="353" t="str">
        <f t="shared" si="165"/>
        <v>-</v>
      </c>
      <c r="FN32" s="353" t="str">
        <f t="shared" si="166"/>
        <v>-</v>
      </c>
      <c r="FO32" s="353" t="str">
        <f t="shared" si="167"/>
        <v>-</v>
      </c>
      <c r="FP32" s="353" t="str">
        <f t="shared" si="168"/>
        <v>-</v>
      </c>
      <c r="FQ32" s="353" t="str">
        <f t="shared" si="169"/>
        <v>-</v>
      </c>
      <c r="FR32" s="353" t="str">
        <f t="shared" si="170"/>
        <v>-</v>
      </c>
      <c r="FS32" s="353" t="str">
        <f t="shared" si="171"/>
        <v>-</v>
      </c>
      <c r="FT32" s="353" t="str">
        <f t="shared" si="172"/>
        <v>-</v>
      </c>
      <c r="FU32" s="353" t="str">
        <f t="shared" si="173"/>
        <v>-</v>
      </c>
      <c r="FV32" s="353" t="str">
        <f t="shared" si="174"/>
        <v>-</v>
      </c>
      <c r="FW32" s="353" t="str">
        <f t="shared" si="175"/>
        <v>-</v>
      </c>
      <c r="FX32" s="353" t="str">
        <f t="shared" si="176"/>
        <v>-</v>
      </c>
      <c r="FY32" s="354" t="str">
        <f t="shared" si="177"/>
        <v>-</v>
      </c>
      <c r="GB32" s="358">
        <f t="shared" si="178"/>
        <v>7</v>
      </c>
      <c r="GC32" s="353" t="str">
        <f>IF($GB32&gt;CDS.Tenor,"-",BE32*DE32*FE32)</f>
        <v>-</v>
      </c>
      <c r="GD32" s="353" t="str">
        <f>IF($GB32&gt;CDS.Tenor,"-",BF32*DF32*FF32)</f>
        <v>-</v>
      </c>
      <c r="GE32" s="353" t="str">
        <f>IF($GB32&gt;CDS.Tenor,"-",BG32*DG32*FG32)</f>
        <v>-</v>
      </c>
      <c r="GF32" s="353" t="str">
        <f>IF($GB32&gt;CDS.Tenor,"-",BH32*DH32*FH32)</f>
        <v>-</v>
      </c>
      <c r="GG32" s="353" t="str">
        <f>IF($GB32&gt;CDS.Tenor,"-",BI32*DI32*FI32)</f>
        <v>-</v>
      </c>
      <c r="GH32" s="353" t="str">
        <f>IF($GB32&gt;CDS.Tenor,"-",BJ32*DJ32*FJ32)</f>
        <v>-</v>
      </c>
      <c r="GI32" s="353" t="str">
        <f>IF($GB32&gt;CDS.Tenor,"-",BK32*DK32*FK32)</f>
        <v>-</v>
      </c>
      <c r="GJ32" s="353" t="str">
        <f>IF($GB32&gt;CDS.Tenor,"-",BL32*DL32*FL32)</f>
        <v>-</v>
      </c>
      <c r="GK32" s="353" t="str">
        <f>IF($GB32&gt;CDS.Tenor,"-",BM32*DM32*FM32)</f>
        <v>-</v>
      </c>
      <c r="GL32" s="353" t="str">
        <f>IF($GB32&gt;CDS.Tenor,"-",BN32*DN32*FN32)</f>
        <v>-</v>
      </c>
      <c r="GM32" s="353" t="str">
        <f>IF($GB32&gt;CDS.Tenor,"-",BO32*DO32*FO32)</f>
        <v>-</v>
      </c>
      <c r="GN32" s="353" t="str">
        <f>IF($GB32&gt;CDS.Tenor,"-",BP32*DP32*FP32)</f>
        <v>-</v>
      </c>
      <c r="GO32" s="353" t="str">
        <f>IF($GB32&gt;CDS.Tenor,"-",BQ32*DQ32*FQ32)</f>
        <v>-</v>
      </c>
      <c r="GP32" s="353" t="str">
        <f>IF($GB32&gt;CDS.Tenor,"-",BR32*DR32*FR32)</f>
        <v>-</v>
      </c>
      <c r="GQ32" s="353" t="str">
        <f>IF($GB32&gt;CDS.Tenor,"-",BS32*DS32*FS32)</f>
        <v>-</v>
      </c>
      <c r="GR32" s="353" t="str">
        <f>IF($GB32&gt;CDS.Tenor,"-",BT32*DT32*FT32)</f>
        <v>-</v>
      </c>
      <c r="GS32" s="353" t="str">
        <f>IF($GB32&gt;CDS.Tenor,"-",BU32*DU32*FU32)</f>
        <v>-</v>
      </c>
      <c r="GT32" s="353" t="str">
        <f>IF($GB32&gt;CDS.Tenor,"-",BV32*DV32*FV32)</f>
        <v>-</v>
      </c>
      <c r="GU32" s="353" t="str">
        <f>IF($GB32&gt;CDS.Tenor,"-",BW32*DW32*FW32)</f>
        <v>-</v>
      </c>
      <c r="GV32" s="353" t="str">
        <f>IF($GB32&gt;CDS.Tenor,"-",BX32*DX32*FX32)</f>
        <v>-</v>
      </c>
      <c r="GW32" s="354" t="str">
        <f>IF($GB32&gt;CDS.Tenor,"-",BY32*DY32*FY32)</f>
        <v>-</v>
      </c>
      <c r="GX32" s="42"/>
      <c r="GY32" s="42"/>
      <c r="GZ32" s="358">
        <f t="shared" si="179"/>
        <v>7</v>
      </c>
      <c r="HA32" s="362" t="str">
        <f t="shared" si="180"/>
        <v>-</v>
      </c>
      <c r="HB32" s="363" t="str">
        <f t="shared" si="181"/>
        <v>-</v>
      </c>
    </row>
    <row r="33" spans="9:210" x14ac:dyDescent="0.3">
      <c r="I33" s="370">
        <f t="shared" si="86"/>
        <v>7.25</v>
      </c>
      <c r="J33" s="371" t="str">
        <f t="shared" si="87"/>
        <v>-</v>
      </c>
      <c r="K33" s="348" t="str">
        <f t="shared" si="88"/>
        <v>-</v>
      </c>
      <c r="L33" s="348" t="str">
        <f t="shared" si="89"/>
        <v>-</v>
      </c>
      <c r="M33" s="372" t="str" cm="1">
        <f t="array" ref="M33">IF($I33&gt;CDS.Tenor,"-",cubicInterpolation(CurveResults.Times,CurveResults.DFs,$I33))</f>
        <v>-</v>
      </c>
      <c r="N33" s="371" t="str">
        <f t="shared" si="90"/>
        <v>-</v>
      </c>
      <c r="O33" s="371" t="str">
        <f t="shared" si="91"/>
        <v>-</v>
      </c>
      <c r="P33" s="373" t="str">
        <f t="shared" si="92"/>
        <v>-</v>
      </c>
      <c r="S33" s="370">
        <f t="shared" si="93"/>
        <v>7.25</v>
      </c>
      <c r="T33" s="371" t="str">
        <f t="shared" si="94"/>
        <v>-</v>
      </c>
      <c r="U33" s="348" t="str">
        <f>IF($I33&gt;CDS.Tenor,"-",HA33)</f>
        <v>-</v>
      </c>
      <c r="V33" s="348" t="str">
        <f t="shared" si="95"/>
        <v>-</v>
      </c>
      <c r="W33" s="372" t="str" cm="1">
        <f t="array" ref="W33">IF($S33&gt;CDS.Tenor,"-",cubicInterpolation(CurveResults.Times,CurveResults.DFs,$I33))</f>
        <v>-</v>
      </c>
      <c r="X33" s="373" t="str">
        <f t="shared" si="96"/>
        <v>-</v>
      </c>
      <c r="AA33" s="358">
        <f t="shared" si="97"/>
        <v>7.25</v>
      </c>
      <c r="AB33" s="343" t="str" cm="1">
        <f t="array" aca="1" ref="AB33" ca="1">IF($AA33&gt;CDS.Tenor,"-",flatInterpolation(Z33,INDIRECT(HazardRateTimes1),INDIRECT(HazardRateValues1)))</f>
        <v>-</v>
      </c>
      <c r="AC33" s="10" t="str">
        <f t="shared" si="98"/>
        <v>-</v>
      </c>
      <c r="AD33" s="10" t="str">
        <f t="shared" si="99"/>
        <v>-</v>
      </c>
      <c r="AE33" s="81" t="str">
        <f t="shared" si="100"/>
        <v>-</v>
      </c>
      <c r="AG33" s="358">
        <f t="shared" si="101"/>
        <v>7.25</v>
      </c>
      <c r="AH33" s="353" t="str">
        <f t="shared" si="188"/>
        <v>-</v>
      </c>
      <c r="AI33" s="353" t="str">
        <f t="shared" si="188"/>
        <v>-</v>
      </c>
      <c r="AJ33" s="353" t="str">
        <f t="shared" si="188"/>
        <v>-</v>
      </c>
      <c r="AK33" s="353" t="str">
        <f t="shared" si="188"/>
        <v>-</v>
      </c>
      <c r="AL33" s="353" t="str">
        <f t="shared" si="188"/>
        <v>-</v>
      </c>
      <c r="AM33" s="353" t="str">
        <f t="shared" si="188"/>
        <v>-</v>
      </c>
      <c r="AN33" s="353" t="str">
        <f t="shared" si="188"/>
        <v>-</v>
      </c>
      <c r="AO33" s="353" t="str">
        <f t="shared" si="188"/>
        <v>-</v>
      </c>
      <c r="AP33" s="353" t="str">
        <f t="shared" si="188"/>
        <v>-</v>
      </c>
      <c r="AQ33" s="353" t="str">
        <f t="shared" si="188"/>
        <v>-</v>
      </c>
      <c r="AR33" s="353" t="str">
        <f t="shared" si="189"/>
        <v>-</v>
      </c>
      <c r="AS33" s="353" t="str">
        <f t="shared" si="189"/>
        <v>-</v>
      </c>
      <c r="AT33" s="353" t="str">
        <f t="shared" si="189"/>
        <v>-</v>
      </c>
      <c r="AU33" s="353" t="str">
        <f t="shared" si="189"/>
        <v>-</v>
      </c>
      <c r="AV33" s="353" t="str">
        <f t="shared" si="189"/>
        <v>-</v>
      </c>
      <c r="AW33" s="353" t="str">
        <f t="shared" si="189"/>
        <v>-</v>
      </c>
      <c r="AX33" s="353" t="str">
        <f t="shared" si="189"/>
        <v>-</v>
      </c>
      <c r="AY33" s="353" t="str">
        <f t="shared" si="189"/>
        <v>-</v>
      </c>
      <c r="AZ33" s="353" t="str">
        <f t="shared" si="189"/>
        <v>-</v>
      </c>
      <c r="BA33" s="353" t="str">
        <f t="shared" si="189"/>
        <v>-</v>
      </c>
      <c r="BB33" s="354" t="str">
        <f t="shared" si="189"/>
        <v>-</v>
      </c>
      <c r="BD33" s="358">
        <f t="shared" si="104"/>
        <v>7.25</v>
      </c>
      <c r="BE33" s="353" t="str">
        <f t="shared" si="105"/>
        <v>-</v>
      </c>
      <c r="BF33" s="353" t="str">
        <f t="shared" si="106"/>
        <v>-</v>
      </c>
      <c r="BG33" s="353" t="str">
        <f t="shared" si="107"/>
        <v>-</v>
      </c>
      <c r="BH33" s="353" t="str">
        <f t="shared" si="108"/>
        <v>-</v>
      </c>
      <c r="BI33" s="353" t="str">
        <f t="shared" si="109"/>
        <v>-</v>
      </c>
      <c r="BJ33" s="353" t="str">
        <f t="shared" si="110"/>
        <v>-</v>
      </c>
      <c r="BK33" s="353" t="str">
        <f t="shared" si="111"/>
        <v>-</v>
      </c>
      <c r="BL33" s="353" t="str">
        <f t="shared" si="112"/>
        <v>-</v>
      </c>
      <c r="BM33" s="353" t="str">
        <f t="shared" si="113"/>
        <v>-</v>
      </c>
      <c r="BN33" s="353" t="str">
        <f t="shared" si="114"/>
        <v>-</v>
      </c>
      <c r="BO33" s="353" t="str">
        <f t="shared" si="115"/>
        <v>-</v>
      </c>
      <c r="BP33" s="353" t="str">
        <f t="shared" si="116"/>
        <v>-</v>
      </c>
      <c r="BQ33" s="353" t="str">
        <f t="shared" si="117"/>
        <v>-</v>
      </c>
      <c r="BR33" s="353" t="str">
        <f t="shared" si="118"/>
        <v>-</v>
      </c>
      <c r="BS33" s="353" t="str">
        <f t="shared" si="119"/>
        <v>-</v>
      </c>
      <c r="BT33" s="353" t="str">
        <f t="shared" si="120"/>
        <v>-</v>
      </c>
      <c r="BU33" s="353" t="str">
        <f t="shared" si="121"/>
        <v>-</v>
      </c>
      <c r="BV33" s="353" t="str">
        <f t="shared" si="122"/>
        <v>-</v>
      </c>
      <c r="BW33" s="353" t="str">
        <f t="shared" si="123"/>
        <v>-</v>
      </c>
      <c r="BX33" s="353" t="str">
        <f t="shared" si="124"/>
        <v>-</v>
      </c>
      <c r="BY33" s="354" t="str">
        <f t="shared" si="125"/>
        <v>-</v>
      </c>
      <c r="BZ33" s="17"/>
      <c r="CA33" s="17"/>
      <c r="CB33" s="343" t="str" cm="1">
        <f t="array" aca="1" ref="CB33" ca="1">IF($AA33&gt;CDS.Tenor,"-",flatInterpolation(AA33,INDIRECT(HazardRateTimes2),INDIRECT(HazardRateValues2)))</f>
        <v>-</v>
      </c>
      <c r="CC33" s="10" t="str">
        <f t="shared" si="126"/>
        <v>-</v>
      </c>
      <c r="CD33" s="10" t="str">
        <f t="shared" si="127"/>
        <v>-</v>
      </c>
      <c r="CE33" s="81" t="str">
        <f t="shared" si="128"/>
        <v>-</v>
      </c>
      <c r="CG33" s="358">
        <f t="shared" si="129"/>
        <v>7.25</v>
      </c>
      <c r="CH33" s="353" t="str">
        <f t="shared" si="190"/>
        <v>-</v>
      </c>
      <c r="CI33" s="353" t="str">
        <f t="shared" si="190"/>
        <v>-</v>
      </c>
      <c r="CJ33" s="353" t="str">
        <f t="shared" si="190"/>
        <v>-</v>
      </c>
      <c r="CK33" s="353" t="str">
        <f t="shared" si="190"/>
        <v>-</v>
      </c>
      <c r="CL33" s="353" t="str">
        <f t="shared" si="190"/>
        <v>-</v>
      </c>
      <c r="CM33" s="353" t="str">
        <f t="shared" si="190"/>
        <v>-</v>
      </c>
      <c r="CN33" s="353" t="str">
        <f t="shared" si="190"/>
        <v>-</v>
      </c>
      <c r="CO33" s="353" t="str">
        <f t="shared" si="190"/>
        <v>-</v>
      </c>
      <c r="CP33" s="353" t="str">
        <f t="shared" si="190"/>
        <v>-</v>
      </c>
      <c r="CQ33" s="353" t="str">
        <f t="shared" si="190"/>
        <v>-</v>
      </c>
      <c r="CR33" s="353" t="str">
        <f t="shared" si="191"/>
        <v>-</v>
      </c>
      <c r="CS33" s="353" t="str">
        <f t="shared" si="191"/>
        <v>-</v>
      </c>
      <c r="CT33" s="353" t="str">
        <f t="shared" si="191"/>
        <v>-</v>
      </c>
      <c r="CU33" s="353" t="str">
        <f t="shared" si="191"/>
        <v>-</v>
      </c>
      <c r="CV33" s="353" t="str">
        <f t="shared" si="191"/>
        <v>-</v>
      </c>
      <c r="CW33" s="353" t="str">
        <f t="shared" si="191"/>
        <v>-</v>
      </c>
      <c r="CX33" s="353" t="str">
        <f t="shared" si="191"/>
        <v>-</v>
      </c>
      <c r="CY33" s="353" t="str">
        <f t="shared" si="191"/>
        <v>-</v>
      </c>
      <c r="CZ33" s="353" t="str">
        <f t="shared" si="191"/>
        <v>-</v>
      </c>
      <c r="DA33" s="353" t="str">
        <f t="shared" si="191"/>
        <v>-</v>
      </c>
      <c r="DB33" s="354" t="str">
        <f t="shared" si="191"/>
        <v>-</v>
      </c>
      <c r="DD33" s="358">
        <f t="shared" si="130"/>
        <v>7.25</v>
      </c>
      <c r="DE33" s="353" t="str">
        <f t="shared" si="131"/>
        <v>-</v>
      </c>
      <c r="DF33" s="353" t="str">
        <f t="shared" si="132"/>
        <v>-</v>
      </c>
      <c r="DG33" s="353" t="str">
        <f t="shared" si="133"/>
        <v>-</v>
      </c>
      <c r="DH33" s="353" t="str">
        <f t="shared" si="134"/>
        <v>-</v>
      </c>
      <c r="DI33" s="353" t="str">
        <f t="shared" si="135"/>
        <v>-</v>
      </c>
      <c r="DJ33" s="353" t="str">
        <f t="shared" si="136"/>
        <v>-</v>
      </c>
      <c r="DK33" s="353" t="str">
        <f t="shared" si="137"/>
        <v>-</v>
      </c>
      <c r="DL33" s="353" t="str">
        <f t="shared" si="138"/>
        <v>-</v>
      </c>
      <c r="DM33" s="353" t="str">
        <f t="shared" si="139"/>
        <v>-</v>
      </c>
      <c r="DN33" s="353" t="str">
        <f t="shared" si="140"/>
        <v>-</v>
      </c>
      <c r="DO33" s="353" t="str">
        <f t="shared" si="141"/>
        <v>-</v>
      </c>
      <c r="DP33" s="353" t="str">
        <f t="shared" si="142"/>
        <v>-</v>
      </c>
      <c r="DQ33" s="353" t="str">
        <f t="shared" si="143"/>
        <v>-</v>
      </c>
      <c r="DR33" s="353" t="str">
        <f t="shared" si="144"/>
        <v>-</v>
      </c>
      <c r="DS33" s="353" t="str">
        <f t="shared" si="145"/>
        <v>-</v>
      </c>
      <c r="DT33" s="353" t="str">
        <f t="shared" si="146"/>
        <v>-</v>
      </c>
      <c r="DU33" s="353" t="str">
        <f t="shared" si="147"/>
        <v>-</v>
      </c>
      <c r="DV33" s="353" t="str">
        <f t="shared" si="148"/>
        <v>-</v>
      </c>
      <c r="DW33" s="353" t="str">
        <f t="shared" si="149"/>
        <v>-</v>
      </c>
      <c r="DX33" s="353" t="str">
        <f t="shared" si="150"/>
        <v>-</v>
      </c>
      <c r="DY33" s="354" t="str">
        <f t="shared" si="151"/>
        <v>-</v>
      </c>
      <c r="DZ33" s="17"/>
      <c r="EA33" s="17"/>
      <c r="EB33" s="343" t="str" cm="1">
        <f t="array" aca="1" ref="EB33" ca="1">IF($AA33&gt;CDS.Tenor,"-",flatInterpolation(CC33,INDIRECT(HazardRateTimes3),INDIRECT(HazardRateValues3)))</f>
        <v>-</v>
      </c>
      <c r="EC33" s="10" t="str">
        <f t="shared" si="152"/>
        <v>-</v>
      </c>
      <c r="ED33" s="10" t="str">
        <f t="shared" si="153"/>
        <v>-</v>
      </c>
      <c r="EE33" s="81" t="str">
        <f t="shared" si="154"/>
        <v>-</v>
      </c>
      <c r="EG33" s="358">
        <f t="shared" si="155"/>
        <v>7.25</v>
      </c>
      <c r="EH33" s="353" t="str">
        <f t="shared" si="192"/>
        <v>-</v>
      </c>
      <c r="EI33" s="353" t="str">
        <f t="shared" si="192"/>
        <v>-</v>
      </c>
      <c r="EJ33" s="353" t="str">
        <f t="shared" si="192"/>
        <v>-</v>
      </c>
      <c r="EK33" s="353" t="str">
        <f t="shared" si="192"/>
        <v>-</v>
      </c>
      <c r="EL33" s="353" t="str">
        <f t="shared" si="192"/>
        <v>-</v>
      </c>
      <c r="EM33" s="353" t="str">
        <f t="shared" si="192"/>
        <v>-</v>
      </c>
      <c r="EN33" s="353" t="str">
        <f t="shared" si="192"/>
        <v>-</v>
      </c>
      <c r="EO33" s="353" t="str">
        <f t="shared" si="192"/>
        <v>-</v>
      </c>
      <c r="EP33" s="353" t="str">
        <f t="shared" si="192"/>
        <v>-</v>
      </c>
      <c r="EQ33" s="353" t="str">
        <f t="shared" si="192"/>
        <v>-</v>
      </c>
      <c r="ER33" s="353" t="str">
        <f t="shared" si="193"/>
        <v>-</v>
      </c>
      <c r="ES33" s="353" t="str">
        <f t="shared" si="193"/>
        <v>-</v>
      </c>
      <c r="ET33" s="353" t="str">
        <f t="shared" si="193"/>
        <v>-</v>
      </c>
      <c r="EU33" s="353" t="str">
        <f t="shared" si="193"/>
        <v>-</v>
      </c>
      <c r="EV33" s="353" t="str">
        <f t="shared" si="193"/>
        <v>-</v>
      </c>
      <c r="EW33" s="353" t="str">
        <f t="shared" si="193"/>
        <v>-</v>
      </c>
      <c r="EX33" s="353" t="str">
        <f t="shared" si="193"/>
        <v>-</v>
      </c>
      <c r="EY33" s="353" t="str">
        <f t="shared" si="193"/>
        <v>-</v>
      </c>
      <c r="EZ33" s="353" t="str">
        <f t="shared" si="193"/>
        <v>-</v>
      </c>
      <c r="FA33" s="353" t="str">
        <f t="shared" si="193"/>
        <v>-</v>
      </c>
      <c r="FB33" s="354" t="str">
        <f t="shared" si="193"/>
        <v>-</v>
      </c>
      <c r="FD33" s="358">
        <f t="shared" si="156"/>
        <v>7.25</v>
      </c>
      <c r="FE33" s="353" t="str">
        <f t="shared" si="157"/>
        <v>-</v>
      </c>
      <c r="FF33" s="353" t="str">
        <f t="shared" si="158"/>
        <v>-</v>
      </c>
      <c r="FG33" s="353" t="str">
        <f t="shared" si="159"/>
        <v>-</v>
      </c>
      <c r="FH33" s="353" t="str">
        <f t="shared" si="160"/>
        <v>-</v>
      </c>
      <c r="FI33" s="353" t="str">
        <f t="shared" si="161"/>
        <v>-</v>
      </c>
      <c r="FJ33" s="353" t="str">
        <f t="shared" si="162"/>
        <v>-</v>
      </c>
      <c r="FK33" s="353" t="str">
        <f t="shared" si="163"/>
        <v>-</v>
      </c>
      <c r="FL33" s="353" t="str">
        <f t="shared" si="164"/>
        <v>-</v>
      </c>
      <c r="FM33" s="353" t="str">
        <f t="shared" si="165"/>
        <v>-</v>
      </c>
      <c r="FN33" s="353" t="str">
        <f t="shared" si="166"/>
        <v>-</v>
      </c>
      <c r="FO33" s="353" t="str">
        <f t="shared" si="167"/>
        <v>-</v>
      </c>
      <c r="FP33" s="353" t="str">
        <f t="shared" si="168"/>
        <v>-</v>
      </c>
      <c r="FQ33" s="353" t="str">
        <f t="shared" si="169"/>
        <v>-</v>
      </c>
      <c r="FR33" s="353" t="str">
        <f t="shared" si="170"/>
        <v>-</v>
      </c>
      <c r="FS33" s="353" t="str">
        <f t="shared" si="171"/>
        <v>-</v>
      </c>
      <c r="FT33" s="353" t="str">
        <f t="shared" si="172"/>
        <v>-</v>
      </c>
      <c r="FU33" s="353" t="str">
        <f t="shared" si="173"/>
        <v>-</v>
      </c>
      <c r="FV33" s="353" t="str">
        <f t="shared" si="174"/>
        <v>-</v>
      </c>
      <c r="FW33" s="353" t="str">
        <f t="shared" si="175"/>
        <v>-</v>
      </c>
      <c r="FX33" s="353" t="str">
        <f t="shared" si="176"/>
        <v>-</v>
      </c>
      <c r="FY33" s="354" t="str">
        <f t="shared" si="177"/>
        <v>-</v>
      </c>
      <c r="GB33" s="358">
        <f t="shared" si="178"/>
        <v>7.25</v>
      </c>
      <c r="GC33" s="353" t="str">
        <f>IF($GB33&gt;CDS.Tenor,"-",BE33*DE33*FE33)</f>
        <v>-</v>
      </c>
      <c r="GD33" s="353" t="str">
        <f>IF($GB33&gt;CDS.Tenor,"-",BF33*DF33*FF33)</f>
        <v>-</v>
      </c>
      <c r="GE33" s="353" t="str">
        <f>IF($GB33&gt;CDS.Tenor,"-",BG33*DG33*FG33)</f>
        <v>-</v>
      </c>
      <c r="GF33" s="353" t="str">
        <f>IF($GB33&gt;CDS.Tenor,"-",BH33*DH33*FH33)</f>
        <v>-</v>
      </c>
      <c r="GG33" s="353" t="str">
        <f>IF($GB33&gt;CDS.Tenor,"-",BI33*DI33*FI33)</f>
        <v>-</v>
      </c>
      <c r="GH33" s="353" t="str">
        <f>IF($GB33&gt;CDS.Tenor,"-",BJ33*DJ33*FJ33)</f>
        <v>-</v>
      </c>
      <c r="GI33" s="353" t="str">
        <f>IF($GB33&gt;CDS.Tenor,"-",BK33*DK33*FK33)</f>
        <v>-</v>
      </c>
      <c r="GJ33" s="353" t="str">
        <f>IF($GB33&gt;CDS.Tenor,"-",BL33*DL33*FL33)</f>
        <v>-</v>
      </c>
      <c r="GK33" s="353" t="str">
        <f>IF($GB33&gt;CDS.Tenor,"-",BM33*DM33*FM33)</f>
        <v>-</v>
      </c>
      <c r="GL33" s="353" t="str">
        <f>IF($GB33&gt;CDS.Tenor,"-",BN33*DN33*FN33)</f>
        <v>-</v>
      </c>
      <c r="GM33" s="353" t="str">
        <f>IF($GB33&gt;CDS.Tenor,"-",BO33*DO33*FO33)</f>
        <v>-</v>
      </c>
      <c r="GN33" s="353" t="str">
        <f>IF($GB33&gt;CDS.Tenor,"-",BP33*DP33*FP33)</f>
        <v>-</v>
      </c>
      <c r="GO33" s="353" t="str">
        <f>IF($GB33&gt;CDS.Tenor,"-",BQ33*DQ33*FQ33)</f>
        <v>-</v>
      </c>
      <c r="GP33" s="353" t="str">
        <f>IF($GB33&gt;CDS.Tenor,"-",BR33*DR33*FR33)</f>
        <v>-</v>
      </c>
      <c r="GQ33" s="353" t="str">
        <f>IF($GB33&gt;CDS.Tenor,"-",BS33*DS33*FS33)</f>
        <v>-</v>
      </c>
      <c r="GR33" s="353" t="str">
        <f>IF($GB33&gt;CDS.Tenor,"-",BT33*DT33*FT33)</f>
        <v>-</v>
      </c>
      <c r="GS33" s="353" t="str">
        <f>IF($GB33&gt;CDS.Tenor,"-",BU33*DU33*FU33)</f>
        <v>-</v>
      </c>
      <c r="GT33" s="353" t="str">
        <f>IF($GB33&gt;CDS.Tenor,"-",BV33*DV33*FV33)</f>
        <v>-</v>
      </c>
      <c r="GU33" s="353" t="str">
        <f>IF($GB33&gt;CDS.Tenor,"-",BW33*DW33*FW33)</f>
        <v>-</v>
      </c>
      <c r="GV33" s="353" t="str">
        <f>IF($GB33&gt;CDS.Tenor,"-",BX33*DX33*FX33)</f>
        <v>-</v>
      </c>
      <c r="GW33" s="354" t="str">
        <f>IF($GB33&gt;CDS.Tenor,"-",BY33*DY33*FY33)</f>
        <v>-</v>
      </c>
      <c r="GX33" s="42"/>
      <c r="GY33" s="42"/>
      <c r="GZ33" s="358">
        <f t="shared" si="179"/>
        <v>7.25</v>
      </c>
      <c r="HA33" s="362" t="str">
        <f t="shared" si="180"/>
        <v>-</v>
      </c>
      <c r="HB33" s="363" t="str">
        <f t="shared" si="181"/>
        <v>-</v>
      </c>
    </row>
    <row r="34" spans="9:210" x14ac:dyDescent="0.3">
      <c r="I34" s="370">
        <f t="shared" si="86"/>
        <v>7.5</v>
      </c>
      <c r="J34" s="371" t="str">
        <f t="shared" si="87"/>
        <v>-</v>
      </c>
      <c r="K34" s="348" t="str">
        <f t="shared" si="88"/>
        <v>-</v>
      </c>
      <c r="L34" s="348" t="str">
        <f t="shared" si="89"/>
        <v>-</v>
      </c>
      <c r="M34" s="372" t="str" cm="1">
        <f t="array" ref="M34">IF($I34&gt;CDS.Tenor,"-",cubicInterpolation(CurveResults.Times,CurveResults.DFs,$I34))</f>
        <v>-</v>
      </c>
      <c r="N34" s="371" t="str">
        <f t="shared" si="90"/>
        <v>-</v>
      </c>
      <c r="O34" s="371" t="str">
        <f t="shared" si="91"/>
        <v>-</v>
      </c>
      <c r="P34" s="373" t="str">
        <f t="shared" si="92"/>
        <v>-</v>
      </c>
      <c r="S34" s="370">
        <f t="shared" si="93"/>
        <v>7.5</v>
      </c>
      <c r="T34" s="371" t="str">
        <f t="shared" si="94"/>
        <v>-</v>
      </c>
      <c r="U34" s="348" t="str">
        <f>IF($I34&gt;CDS.Tenor,"-",HA34)</f>
        <v>-</v>
      </c>
      <c r="V34" s="348" t="str">
        <f t="shared" si="95"/>
        <v>-</v>
      </c>
      <c r="W34" s="372" t="str" cm="1">
        <f t="array" ref="W34">IF($S34&gt;CDS.Tenor,"-",cubicInterpolation(CurveResults.Times,CurveResults.DFs,$I34))</f>
        <v>-</v>
      </c>
      <c r="X34" s="373" t="str">
        <f t="shared" si="96"/>
        <v>-</v>
      </c>
      <c r="AA34" s="358">
        <f t="shared" si="97"/>
        <v>7.5</v>
      </c>
      <c r="AB34" s="343" t="str" cm="1">
        <f t="array" aca="1" ref="AB34" ca="1">IF($AA34&gt;CDS.Tenor,"-",flatInterpolation(Z34,INDIRECT(HazardRateTimes1),INDIRECT(HazardRateValues1)))</f>
        <v>-</v>
      </c>
      <c r="AC34" s="10" t="str">
        <f t="shared" si="98"/>
        <v>-</v>
      </c>
      <c r="AD34" s="10" t="str">
        <f t="shared" si="99"/>
        <v>-</v>
      </c>
      <c r="AE34" s="81" t="str">
        <f t="shared" si="100"/>
        <v>-</v>
      </c>
      <c r="AG34" s="358">
        <f t="shared" si="101"/>
        <v>7.5</v>
      </c>
      <c r="AH34" s="353" t="str">
        <f t="shared" si="188"/>
        <v>-</v>
      </c>
      <c r="AI34" s="353" t="str">
        <f t="shared" si="188"/>
        <v>-</v>
      </c>
      <c r="AJ34" s="353" t="str">
        <f t="shared" si="188"/>
        <v>-</v>
      </c>
      <c r="AK34" s="353" t="str">
        <f t="shared" si="188"/>
        <v>-</v>
      </c>
      <c r="AL34" s="353" t="str">
        <f t="shared" si="188"/>
        <v>-</v>
      </c>
      <c r="AM34" s="353" t="str">
        <f t="shared" si="188"/>
        <v>-</v>
      </c>
      <c r="AN34" s="353" t="str">
        <f t="shared" si="188"/>
        <v>-</v>
      </c>
      <c r="AO34" s="353" t="str">
        <f t="shared" si="188"/>
        <v>-</v>
      </c>
      <c r="AP34" s="353" t="str">
        <f t="shared" si="188"/>
        <v>-</v>
      </c>
      <c r="AQ34" s="353" t="str">
        <f t="shared" si="188"/>
        <v>-</v>
      </c>
      <c r="AR34" s="353" t="str">
        <f t="shared" si="189"/>
        <v>-</v>
      </c>
      <c r="AS34" s="353" t="str">
        <f t="shared" si="189"/>
        <v>-</v>
      </c>
      <c r="AT34" s="353" t="str">
        <f t="shared" si="189"/>
        <v>-</v>
      </c>
      <c r="AU34" s="353" t="str">
        <f t="shared" si="189"/>
        <v>-</v>
      </c>
      <c r="AV34" s="353" t="str">
        <f t="shared" si="189"/>
        <v>-</v>
      </c>
      <c r="AW34" s="353" t="str">
        <f t="shared" si="189"/>
        <v>-</v>
      </c>
      <c r="AX34" s="353" t="str">
        <f t="shared" si="189"/>
        <v>-</v>
      </c>
      <c r="AY34" s="353" t="str">
        <f t="shared" si="189"/>
        <v>-</v>
      </c>
      <c r="AZ34" s="353" t="str">
        <f t="shared" si="189"/>
        <v>-</v>
      </c>
      <c r="BA34" s="353" t="str">
        <f t="shared" si="189"/>
        <v>-</v>
      </c>
      <c r="BB34" s="354" t="str">
        <f t="shared" si="189"/>
        <v>-</v>
      </c>
      <c r="BD34" s="358">
        <f t="shared" si="104"/>
        <v>7.5</v>
      </c>
      <c r="BE34" s="353" t="str">
        <f t="shared" si="105"/>
        <v>-</v>
      </c>
      <c r="BF34" s="353" t="str">
        <f t="shared" si="106"/>
        <v>-</v>
      </c>
      <c r="BG34" s="353" t="str">
        <f t="shared" si="107"/>
        <v>-</v>
      </c>
      <c r="BH34" s="353" t="str">
        <f t="shared" si="108"/>
        <v>-</v>
      </c>
      <c r="BI34" s="353" t="str">
        <f t="shared" si="109"/>
        <v>-</v>
      </c>
      <c r="BJ34" s="353" t="str">
        <f t="shared" si="110"/>
        <v>-</v>
      </c>
      <c r="BK34" s="353" t="str">
        <f t="shared" si="111"/>
        <v>-</v>
      </c>
      <c r="BL34" s="353" t="str">
        <f t="shared" si="112"/>
        <v>-</v>
      </c>
      <c r="BM34" s="353" t="str">
        <f t="shared" si="113"/>
        <v>-</v>
      </c>
      <c r="BN34" s="353" t="str">
        <f t="shared" si="114"/>
        <v>-</v>
      </c>
      <c r="BO34" s="353" t="str">
        <f t="shared" si="115"/>
        <v>-</v>
      </c>
      <c r="BP34" s="353" t="str">
        <f t="shared" si="116"/>
        <v>-</v>
      </c>
      <c r="BQ34" s="353" t="str">
        <f t="shared" si="117"/>
        <v>-</v>
      </c>
      <c r="BR34" s="353" t="str">
        <f t="shared" si="118"/>
        <v>-</v>
      </c>
      <c r="BS34" s="353" t="str">
        <f t="shared" si="119"/>
        <v>-</v>
      </c>
      <c r="BT34" s="353" t="str">
        <f t="shared" si="120"/>
        <v>-</v>
      </c>
      <c r="BU34" s="353" t="str">
        <f t="shared" si="121"/>
        <v>-</v>
      </c>
      <c r="BV34" s="353" t="str">
        <f t="shared" si="122"/>
        <v>-</v>
      </c>
      <c r="BW34" s="353" t="str">
        <f t="shared" si="123"/>
        <v>-</v>
      </c>
      <c r="BX34" s="353" t="str">
        <f t="shared" si="124"/>
        <v>-</v>
      </c>
      <c r="BY34" s="354" t="str">
        <f t="shared" si="125"/>
        <v>-</v>
      </c>
      <c r="BZ34" s="17"/>
      <c r="CA34" s="17"/>
      <c r="CB34" s="343" t="str" cm="1">
        <f t="array" aca="1" ref="CB34" ca="1">IF($AA34&gt;CDS.Tenor,"-",flatInterpolation(AA34,INDIRECT(HazardRateTimes2),INDIRECT(HazardRateValues2)))</f>
        <v>-</v>
      </c>
      <c r="CC34" s="10" t="str">
        <f t="shared" si="126"/>
        <v>-</v>
      </c>
      <c r="CD34" s="10" t="str">
        <f t="shared" si="127"/>
        <v>-</v>
      </c>
      <c r="CE34" s="81" t="str">
        <f t="shared" si="128"/>
        <v>-</v>
      </c>
      <c r="CG34" s="358">
        <f t="shared" si="129"/>
        <v>7.5</v>
      </c>
      <c r="CH34" s="353" t="str">
        <f t="shared" si="190"/>
        <v>-</v>
      </c>
      <c r="CI34" s="353" t="str">
        <f t="shared" si="190"/>
        <v>-</v>
      </c>
      <c r="CJ34" s="353" t="str">
        <f t="shared" si="190"/>
        <v>-</v>
      </c>
      <c r="CK34" s="353" t="str">
        <f t="shared" si="190"/>
        <v>-</v>
      </c>
      <c r="CL34" s="353" t="str">
        <f t="shared" si="190"/>
        <v>-</v>
      </c>
      <c r="CM34" s="353" t="str">
        <f t="shared" si="190"/>
        <v>-</v>
      </c>
      <c r="CN34" s="353" t="str">
        <f t="shared" si="190"/>
        <v>-</v>
      </c>
      <c r="CO34" s="353" t="str">
        <f t="shared" si="190"/>
        <v>-</v>
      </c>
      <c r="CP34" s="353" t="str">
        <f t="shared" si="190"/>
        <v>-</v>
      </c>
      <c r="CQ34" s="353" t="str">
        <f t="shared" si="190"/>
        <v>-</v>
      </c>
      <c r="CR34" s="353" t="str">
        <f t="shared" si="191"/>
        <v>-</v>
      </c>
      <c r="CS34" s="353" t="str">
        <f t="shared" si="191"/>
        <v>-</v>
      </c>
      <c r="CT34" s="353" t="str">
        <f t="shared" si="191"/>
        <v>-</v>
      </c>
      <c r="CU34" s="353" t="str">
        <f t="shared" si="191"/>
        <v>-</v>
      </c>
      <c r="CV34" s="353" t="str">
        <f t="shared" si="191"/>
        <v>-</v>
      </c>
      <c r="CW34" s="353" t="str">
        <f t="shared" si="191"/>
        <v>-</v>
      </c>
      <c r="CX34" s="353" t="str">
        <f t="shared" si="191"/>
        <v>-</v>
      </c>
      <c r="CY34" s="353" t="str">
        <f t="shared" si="191"/>
        <v>-</v>
      </c>
      <c r="CZ34" s="353" t="str">
        <f t="shared" si="191"/>
        <v>-</v>
      </c>
      <c r="DA34" s="353" t="str">
        <f t="shared" si="191"/>
        <v>-</v>
      </c>
      <c r="DB34" s="354" t="str">
        <f t="shared" si="191"/>
        <v>-</v>
      </c>
      <c r="DD34" s="358">
        <f t="shared" si="130"/>
        <v>7.5</v>
      </c>
      <c r="DE34" s="353" t="str">
        <f t="shared" si="131"/>
        <v>-</v>
      </c>
      <c r="DF34" s="353" t="str">
        <f t="shared" si="132"/>
        <v>-</v>
      </c>
      <c r="DG34" s="353" t="str">
        <f t="shared" si="133"/>
        <v>-</v>
      </c>
      <c r="DH34" s="353" t="str">
        <f t="shared" si="134"/>
        <v>-</v>
      </c>
      <c r="DI34" s="353" t="str">
        <f t="shared" si="135"/>
        <v>-</v>
      </c>
      <c r="DJ34" s="353" t="str">
        <f t="shared" si="136"/>
        <v>-</v>
      </c>
      <c r="DK34" s="353" t="str">
        <f t="shared" si="137"/>
        <v>-</v>
      </c>
      <c r="DL34" s="353" t="str">
        <f t="shared" si="138"/>
        <v>-</v>
      </c>
      <c r="DM34" s="353" t="str">
        <f t="shared" si="139"/>
        <v>-</v>
      </c>
      <c r="DN34" s="353" t="str">
        <f t="shared" si="140"/>
        <v>-</v>
      </c>
      <c r="DO34" s="353" t="str">
        <f t="shared" si="141"/>
        <v>-</v>
      </c>
      <c r="DP34" s="353" t="str">
        <f t="shared" si="142"/>
        <v>-</v>
      </c>
      <c r="DQ34" s="353" t="str">
        <f t="shared" si="143"/>
        <v>-</v>
      </c>
      <c r="DR34" s="353" t="str">
        <f t="shared" si="144"/>
        <v>-</v>
      </c>
      <c r="DS34" s="353" t="str">
        <f t="shared" si="145"/>
        <v>-</v>
      </c>
      <c r="DT34" s="353" t="str">
        <f t="shared" si="146"/>
        <v>-</v>
      </c>
      <c r="DU34" s="353" t="str">
        <f t="shared" si="147"/>
        <v>-</v>
      </c>
      <c r="DV34" s="353" t="str">
        <f t="shared" si="148"/>
        <v>-</v>
      </c>
      <c r="DW34" s="353" t="str">
        <f t="shared" si="149"/>
        <v>-</v>
      </c>
      <c r="DX34" s="353" t="str">
        <f t="shared" si="150"/>
        <v>-</v>
      </c>
      <c r="DY34" s="354" t="str">
        <f t="shared" si="151"/>
        <v>-</v>
      </c>
      <c r="DZ34" s="17"/>
      <c r="EA34" s="17"/>
      <c r="EB34" s="343" t="str" cm="1">
        <f t="array" aca="1" ref="EB34" ca="1">IF($AA34&gt;CDS.Tenor,"-",flatInterpolation(CC34,INDIRECT(HazardRateTimes3),INDIRECT(HazardRateValues3)))</f>
        <v>-</v>
      </c>
      <c r="EC34" s="10" t="str">
        <f t="shared" si="152"/>
        <v>-</v>
      </c>
      <c r="ED34" s="10" t="str">
        <f t="shared" si="153"/>
        <v>-</v>
      </c>
      <c r="EE34" s="81" t="str">
        <f t="shared" si="154"/>
        <v>-</v>
      </c>
      <c r="EG34" s="358">
        <f t="shared" si="155"/>
        <v>7.5</v>
      </c>
      <c r="EH34" s="353" t="str">
        <f t="shared" si="192"/>
        <v>-</v>
      </c>
      <c r="EI34" s="353" t="str">
        <f t="shared" si="192"/>
        <v>-</v>
      </c>
      <c r="EJ34" s="353" t="str">
        <f t="shared" si="192"/>
        <v>-</v>
      </c>
      <c r="EK34" s="353" t="str">
        <f t="shared" si="192"/>
        <v>-</v>
      </c>
      <c r="EL34" s="353" t="str">
        <f t="shared" si="192"/>
        <v>-</v>
      </c>
      <c r="EM34" s="353" t="str">
        <f t="shared" si="192"/>
        <v>-</v>
      </c>
      <c r="EN34" s="353" t="str">
        <f t="shared" si="192"/>
        <v>-</v>
      </c>
      <c r="EO34" s="353" t="str">
        <f t="shared" si="192"/>
        <v>-</v>
      </c>
      <c r="EP34" s="353" t="str">
        <f t="shared" si="192"/>
        <v>-</v>
      </c>
      <c r="EQ34" s="353" t="str">
        <f t="shared" si="192"/>
        <v>-</v>
      </c>
      <c r="ER34" s="353" t="str">
        <f t="shared" si="193"/>
        <v>-</v>
      </c>
      <c r="ES34" s="353" t="str">
        <f t="shared" si="193"/>
        <v>-</v>
      </c>
      <c r="ET34" s="353" t="str">
        <f t="shared" si="193"/>
        <v>-</v>
      </c>
      <c r="EU34" s="353" t="str">
        <f t="shared" si="193"/>
        <v>-</v>
      </c>
      <c r="EV34" s="353" t="str">
        <f t="shared" si="193"/>
        <v>-</v>
      </c>
      <c r="EW34" s="353" t="str">
        <f t="shared" si="193"/>
        <v>-</v>
      </c>
      <c r="EX34" s="353" t="str">
        <f t="shared" si="193"/>
        <v>-</v>
      </c>
      <c r="EY34" s="353" t="str">
        <f t="shared" si="193"/>
        <v>-</v>
      </c>
      <c r="EZ34" s="353" t="str">
        <f t="shared" si="193"/>
        <v>-</v>
      </c>
      <c r="FA34" s="353" t="str">
        <f t="shared" si="193"/>
        <v>-</v>
      </c>
      <c r="FB34" s="354" t="str">
        <f t="shared" si="193"/>
        <v>-</v>
      </c>
      <c r="FD34" s="358">
        <f t="shared" si="156"/>
        <v>7.5</v>
      </c>
      <c r="FE34" s="353" t="str">
        <f t="shared" si="157"/>
        <v>-</v>
      </c>
      <c r="FF34" s="353" t="str">
        <f t="shared" si="158"/>
        <v>-</v>
      </c>
      <c r="FG34" s="353" t="str">
        <f t="shared" si="159"/>
        <v>-</v>
      </c>
      <c r="FH34" s="353" t="str">
        <f t="shared" si="160"/>
        <v>-</v>
      </c>
      <c r="FI34" s="353" t="str">
        <f t="shared" si="161"/>
        <v>-</v>
      </c>
      <c r="FJ34" s="353" t="str">
        <f t="shared" si="162"/>
        <v>-</v>
      </c>
      <c r="FK34" s="353" t="str">
        <f t="shared" si="163"/>
        <v>-</v>
      </c>
      <c r="FL34" s="353" t="str">
        <f t="shared" si="164"/>
        <v>-</v>
      </c>
      <c r="FM34" s="353" t="str">
        <f t="shared" si="165"/>
        <v>-</v>
      </c>
      <c r="FN34" s="353" t="str">
        <f t="shared" si="166"/>
        <v>-</v>
      </c>
      <c r="FO34" s="353" t="str">
        <f t="shared" si="167"/>
        <v>-</v>
      </c>
      <c r="FP34" s="353" t="str">
        <f t="shared" si="168"/>
        <v>-</v>
      </c>
      <c r="FQ34" s="353" t="str">
        <f t="shared" si="169"/>
        <v>-</v>
      </c>
      <c r="FR34" s="353" t="str">
        <f t="shared" si="170"/>
        <v>-</v>
      </c>
      <c r="FS34" s="353" t="str">
        <f t="shared" si="171"/>
        <v>-</v>
      </c>
      <c r="FT34" s="353" t="str">
        <f t="shared" si="172"/>
        <v>-</v>
      </c>
      <c r="FU34" s="353" t="str">
        <f t="shared" si="173"/>
        <v>-</v>
      </c>
      <c r="FV34" s="353" t="str">
        <f t="shared" si="174"/>
        <v>-</v>
      </c>
      <c r="FW34" s="353" t="str">
        <f t="shared" si="175"/>
        <v>-</v>
      </c>
      <c r="FX34" s="353" t="str">
        <f t="shared" si="176"/>
        <v>-</v>
      </c>
      <c r="FY34" s="354" t="str">
        <f t="shared" si="177"/>
        <v>-</v>
      </c>
      <c r="GB34" s="358">
        <f t="shared" si="178"/>
        <v>7.5</v>
      </c>
      <c r="GC34" s="353" t="str">
        <f>IF($GB34&gt;CDS.Tenor,"-",BE34*DE34*FE34)</f>
        <v>-</v>
      </c>
      <c r="GD34" s="353" t="str">
        <f>IF($GB34&gt;CDS.Tenor,"-",BF34*DF34*FF34)</f>
        <v>-</v>
      </c>
      <c r="GE34" s="353" t="str">
        <f>IF($GB34&gt;CDS.Tenor,"-",BG34*DG34*FG34)</f>
        <v>-</v>
      </c>
      <c r="GF34" s="353" t="str">
        <f>IF($GB34&gt;CDS.Tenor,"-",BH34*DH34*FH34)</f>
        <v>-</v>
      </c>
      <c r="GG34" s="353" t="str">
        <f>IF($GB34&gt;CDS.Tenor,"-",BI34*DI34*FI34)</f>
        <v>-</v>
      </c>
      <c r="GH34" s="353" t="str">
        <f>IF($GB34&gt;CDS.Tenor,"-",BJ34*DJ34*FJ34)</f>
        <v>-</v>
      </c>
      <c r="GI34" s="353" t="str">
        <f>IF($GB34&gt;CDS.Tenor,"-",BK34*DK34*FK34)</f>
        <v>-</v>
      </c>
      <c r="GJ34" s="353" t="str">
        <f>IF($GB34&gt;CDS.Tenor,"-",BL34*DL34*FL34)</f>
        <v>-</v>
      </c>
      <c r="GK34" s="353" t="str">
        <f>IF($GB34&gt;CDS.Tenor,"-",BM34*DM34*FM34)</f>
        <v>-</v>
      </c>
      <c r="GL34" s="353" t="str">
        <f>IF($GB34&gt;CDS.Tenor,"-",BN34*DN34*FN34)</f>
        <v>-</v>
      </c>
      <c r="GM34" s="353" t="str">
        <f>IF($GB34&gt;CDS.Tenor,"-",BO34*DO34*FO34)</f>
        <v>-</v>
      </c>
      <c r="GN34" s="353" t="str">
        <f>IF($GB34&gt;CDS.Tenor,"-",BP34*DP34*FP34)</f>
        <v>-</v>
      </c>
      <c r="GO34" s="353" t="str">
        <f>IF($GB34&gt;CDS.Tenor,"-",BQ34*DQ34*FQ34)</f>
        <v>-</v>
      </c>
      <c r="GP34" s="353" t="str">
        <f>IF($GB34&gt;CDS.Tenor,"-",BR34*DR34*FR34)</f>
        <v>-</v>
      </c>
      <c r="GQ34" s="353" t="str">
        <f>IF($GB34&gt;CDS.Tenor,"-",BS34*DS34*FS34)</f>
        <v>-</v>
      </c>
      <c r="GR34" s="353" t="str">
        <f>IF($GB34&gt;CDS.Tenor,"-",BT34*DT34*FT34)</f>
        <v>-</v>
      </c>
      <c r="GS34" s="353" t="str">
        <f>IF($GB34&gt;CDS.Tenor,"-",BU34*DU34*FU34)</f>
        <v>-</v>
      </c>
      <c r="GT34" s="353" t="str">
        <f>IF($GB34&gt;CDS.Tenor,"-",BV34*DV34*FV34)</f>
        <v>-</v>
      </c>
      <c r="GU34" s="353" t="str">
        <f>IF($GB34&gt;CDS.Tenor,"-",BW34*DW34*FW34)</f>
        <v>-</v>
      </c>
      <c r="GV34" s="353" t="str">
        <f>IF($GB34&gt;CDS.Tenor,"-",BX34*DX34*FX34)</f>
        <v>-</v>
      </c>
      <c r="GW34" s="354" t="str">
        <f>IF($GB34&gt;CDS.Tenor,"-",BY34*DY34*FY34)</f>
        <v>-</v>
      </c>
      <c r="GX34" s="42"/>
      <c r="GY34" s="42"/>
      <c r="GZ34" s="358">
        <f t="shared" si="179"/>
        <v>7.5</v>
      </c>
      <c r="HA34" s="362" t="str">
        <f t="shared" si="180"/>
        <v>-</v>
      </c>
      <c r="HB34" s="363" t="str">
        <f t="shared" si="181"/>
        <v>-</v>
      </c>
    </row>
    <row r="35" spans="9:210" x14ac:dyDescent="0.3">
      <c r="I35" s="370">
        <f t="shared" si="86"/>
        <v>7.75</v>
      </c>
      <c r="J35" s="371" t="str">
        <f t="shared" si="87"/>
        <v>-</v>
      </c>
      <c r="K35" s="348" t="str">
        <f t="shared" si="88"/>
        <v>-</v>
      </c>
      <c r="L35" s="348" t="str">
        <f t="shared" si="89"/>
        <v>-</v>
      </c>
      <c r="M35" s="372" t="str" cm="1">
        <f t="array" ref="M35">IF($I35&gt;CDS.Tenor,"-",cubicInterpolation(CurveResults.Times,CurveResults.DFs,$I35))</f>
        <v>-</v>
      </c>
      <c r="N35" s="371" t="str">
        <f t="shared" si="90"/>
        <v>-</v>
      </c>
      <c r="O35" s="371" t="str">
        <f t="shared" si="91"/>
        <v>-</v>
      </c>
      <c r="P35" s="373" t="str">
        <f t="shared" si="92"/>
        <v>-</v>
      </c>
      <c r="S35" s="370">
        <f t="shared" si="93"/>
        <v>7.75</v>
      </c>
      <c r="T35" s="371" t="str">
        <f t="shared" si="94"/>
        <v>-</v>
      </c>
      <c r="U35" s="348" t="str">
        <f>IF($I35&gt;CDS.Tenor,"-",HA35)</f>
        <v>-</v>
      </c>
      <c r="V35" s="348" t="str">
        <f t="shared" si="95"/>
        <v>-</v>
      </c>
      <c r="W35" s="372" t="str" cm="1">
        <f t="array" ref="W35">IF($S35&gt;CDS.Tenor,"-",cubicInterpolation(CurveResults.Times,CurveResults.DFs,$I35))</f>
        <v>-</v>
      </c>
      <c r="X35" s="373" t="str">
        <f t="shared" si="96"/>
        <v>-</v>
      </c>
      <c r="AA35" s="358">
        <f t="shared" si="97"/>
        <v>7.75</v>
      </c>
      <c r="AB35" s="343" t="str" cm="1">
        <f t="array" aca="1" ref="AB35" ca="1">IF($AA35&gt;CDS.Tenor,"-",flatInterpolation(Z35,INDIRECT(HazardRateTimes1),INDIRECT(HazardRateValues1)))</f>
        <v>-</v>
      </c>
      <c r="AC35" s="10" t="str">
        <f t="shared" si="98"/>
        <v>-</v>
      </c>
      <c r="AD35" s="10" t="str">
        <f t="shared" si="99"/>
        <v>-</v>
      </c>
      <c r="AE35" s="81" t="str">
        <f t="shared" si="100"/>
        <v>-</v>
      </c>
      <c r="AG35" s="358">
        <f t="shared" si="101"/>
        <v>7.75</v>
      </c>
      <c r="AH35" s="353" t="str">
        <f t="shared" ref="AH35:AQ44" si="194">IF($AA35&gt;CDS.Tenor,"-",_xlfn.NORM.S.DIST(($AE35-SQRT(ImpliedCorrelation)*AH$3)/SQRT(1-ImpliedCorrelation),TRUE))</f>
        <v>-</v>
      </c>
      <c r="AI35" s="353" t="str">
        <f t="shared" si="194"/>
        <v>-</v>
      </c>
      <c r="AJ35" s="353" t="str">
        <f t="shared" si="194"/>
        <v>-</v>
      </c>
      <c r="AK35" s="353" t="str">
        <f t="shared" si="194"/>
        <v>-</v>
      </c>
      <c r="AL35" s="353" t="str">
        <f t="shared" si="194"/>
        <v>-</v>
      </c>
      <c r="AM35" s="353" t="str">
        <f t="shared" si="194"/>
        <v>-</v>
      </c>
      <c r="AN35" s="353" t="str">
        <f t="shared" si="194"/>
        <v>-</v>
      </c>
      <c r="AO35" s="353" t="str">
        <f t="shared" si="194"/>
        <v>-</v>
      </c>
      <c r="AP35" s="353" t="str">
        <f t="shared" si="194"/>
        <v>-</v>
      </c>
      <c r="AQ35" s="353" t="str">
        <f t="shared" si="194"/>
        <v>-</v>
      </c>
      <c r="AR35" s="353" t="str">
        <f t="shared" ref="AR35:BB44" si="195">IF($AA35&gt;CDS.Tenor,"-",_xlfn.NORM.S.DIST(($AE35-SQRT(ImpliedCorrelation)*AR$3)/SQRT(1-ImpliedCorrelation),TRUE))</f>
        <v>-</v>
      </c>
      <c r="AS35" s="353" t="str">
        <f t="shared" si="195"/>
        <v>-</v>
      </c>
      <c r="AT35" s="353" t="str">
        <f t="shared" si="195"/>
        <v>-</v>
      </c>
      <c r="AU35" s="353" t="str">
        <f t="shared" si="195"/>
        <v>-</v>
      </c>
      <c r="AV35" s="353" t="str">
        <f t="shared" si="195"/>
        <v>-</v>
      </c>
      <c r="AW35" s="353" t="str">
        <f t="shared" si="195"/>
        <v>-</v>
      </c>
      <c r="AX35" s="353" t="str">
        <f t="shared" si="195"/>
        <v>-</v>
      </c>
      <c r="AY35" s="353" t="str">
        <f t="shared" si="195"/>
        <v>-</v>
      </c>
      <c r="AZ35" s="353" t="str">
        <f t="shared" si="195"/>
        <v>-</v>
      </c>
      <c r="BA35" s="353" t="str">
        <f t="shared" si="195"/>
        <v>-</v>
      </c>
      <c r="BB35" s="354" t="str">
        <f t="shared" si="195"/>
        <v>-</v>
      </c>
      <c r="BD35" s="358">
        <f t="shared" si="104"/>
        <v>7.75</v>
      </c>
      <c r="BE35" s="353" t="str">
        <f t="shared" si="105"/>
        <v>-</v>
      </c>
      <c r="BF35" s="353" t="str">
        <f t="shared" si="106"/>
        <v>-</v>
      </c>
      <c r="BG35" s="353" t="str">
        <f t="shared" si="107"/>
        <v>-</v>
      </c>
      <c r="BH35" s="353" t="str">
        <f t="shared" si="108"/>
        <v>-</v>
      </c>
      <c r="BI35" s="353" t="str">
        <f t="shared" si="109"/>
        <v>-</v>
      </c>
      <c r="BJ35" s="353" t="str">
        <f t="shared" si="110"/>
        <v>-</v>
      </c>
      <c r="BK35" s="353" t="str">
        <f t="shared" si="111"/>
        <v>-</v>
      </c>
      <c r="BL35" s="353" t="str">
        <f t="shared" si="112"/>
        <v>-</v>
      </c>
      <c r="BM35" s="353" t="str">
        <f t="shared" si="113"/>
        <v>-</v>
      </c>
      <c r="BN35" s="353" t="str">
        <f t="shared" si="114"/>
        <v>-</v>
      </c>
      <c r="BO35" s="353" t="str">
        <f t="shared" si="115"/>
        <v>-</v>
      </c>
      <c r="BP35" s="353" t="str">
        <f t="shared" si="116"/>
        <v>-</v>
      </c>
      <c r="BQ35" s="353" t="str">
        <f t="shared" si="117"/>
        <v>-</v>
      </c>
      <c r="BR35" s="353" t="str">
        <f t="shared" si="118"/>
        <v>-</v>
      </c>
      <c r="BS35" s="353" t="str">
        <f t="shared" si="119"/>
        <v>-</v>
      </c>
      <c r="BT35" s="353" t="str">
        <f t="shared" si="120"/>
        <v>-</v>
      </c>
      <c r="BU35" s="353" t="str">
        <f t="shared" si="121"/>
        <v>-</v>
      </c>
      <c r="BV35" s="353" t="str">
        <f t="shared" si="122"/>
        <v>-</v>
      </c>
      <c r="BW35" s="353" t="str">
        <f t="shared" si="123"/>
        <v>-</v>
      </c>
      <c r="BX35" s="353" t="str">
        <f t="shared" si="124"/>
        <v>-</v>
      </c>
      <c r="BY35" s="354" t="str">
        <f t="shared" si="125"/>
        <v>-</v>
      </c>
      <c r="BZ35" s="17"/>
      <c r="CA35" s="17"/>
      <c r="CB35" s="343" t="str" cm="1">
        <f t="array" aca="1" ref="CB35" ca="1">IF($AA35&gt;CDS.Tenor,"-",flatInterpolation(AA35,INDIRECT(HazardRateTimes2),INDIRECT(HazardRateValues2)))</f>
        <v>-</v>
      </c>
      <c r="CC35" s="10" t="str">
        <f t="shared" si="126"/>
        <v>-</v>
      </c>
      <c r="CD35" s="10" t="str">
        <f t="shared" si="127"/>
        <v>-</v>
      </c>
      <c r="CE35" s="81" t="str">
        <f t="shared" si="128"/>
        <v>-</v>
      </c>
      <c r="CG35" s="358">
        <f t="shared" si="129"/>
        <v>7.75</v>
      </c>
      <c r="CH35" s="353" t="str">
        <f t="shared" ref="CH35:CQ44" si="196">IF($AA35&gt;CDS.Tenor,"-",_xlfn.NORM.S.DIST(($CE35-SQRT(ImpliedCorrelation)*CH$3)/SQRT(1-ImpliedCorrelation),TRUE))</f>
        <v>-</v>
      </c>
      <c r="CI35" s="353" t="str">
        <f t="shared" si="196"/>
        <v>-</v>
      </c>
      <c r="CJ35" s="353" t="str">
        <f t="shared" si="196"/>
        <v>-</v>
      </c>
      <c r="CK35" s="353" t="str">
        <f t="shared" si="196"/>
        <v>-</v>
      </c>
      <c r="CL35" s="353" t="str">
        <f t="shared" si="196"/>
        <v>-</v>
      </c>
      <c r="CM35" s="353" t="str">
        <f t="shared" si="196"/>
        <v>-</v>
      </c>
      <c r="CN35" s="353" t="str">
        <f t="shared" si="196"/>
        <v>-</v>
      </c>
      <c r="CO35" s="353" t="str">
        <f t="shared" si="196"/>
        <v>-</v>
      </c>
      <c r="CP35" s="353" t="str">
        <f t="shared" si="196"/>
        <v>-</v>
      </c>
      <c r="CQ35" s="353" t="str">
        <f t="shared" si="196"/>
        <v>-</v>
      </c>
      <c r="CR35" s="353" t="str">
        <f t="shared" ref="CR35:DB44" si="197">IF($AA35&gt;CDS.Tenor,"-",_xlfn.NORM.S.DIST(($CE35-SQRT(ImpliedCorrelation)*CR$3)/SQRT(1-ImpliedCorrelation),TRUE))</f>
        <v>-</v>
      </c>
      <c r="CS35" s="353" t="str">
        <f t="shared" si="197"/>
        <v>-</v>
      </c>
      <c r="CT35" s="353" t="str">
        <f t="shared" si="197"/>
        <v>-</v>
      </c>
      <c r="CU35" s="353" t="str">
        <f t="shared" si="197"/>
        <v>-</v>
      </c>
      <c r="CV35" s="353" t="str">
        <f t="shared" si="197"/>
        <v>-</v>
      </c>
      <c r="CW35" s="353" t="str">
        <f t="shared" si="197"/>
        <v>-</v>
      </c>
      <c r="CX35" s="353" t="str">
        <f t="shared" si="197"/>
        <v>-</v>
      </c>
      <c r="CY35" s="353" t="str">
        <f t="shared" si="197"/>
        <v>-</v>
      </c>
      <c r="CZ35" s="353" t="str">
        <f t="shared" si="197"/>
        <v>-</v>
      </c>
      <c r="DA35" s="353" t="str">
        <f t="shared" si="197"/>
        <v>-</v>
      </c>
      <c r="DB35" s="354" t="str">
        <f t="shared" si="197"/>
        <v>-</v>
      </c>
      <c r="DD35" s="358">
        <f t="shared" si="130"/>
        <v>7.75</v>
      </c>
      <c r="DE35" s="353" t="str">
        <f t="shared" si="131"/>
        <v>-</v>
      </c>
      <c r="DF35" s="353" t="str">
        <f t="shared" si="132"/>
        <v>-</v>
      </c>
      <c r="DG35" s="353" t="str">
        <f t="shared" si="133"/>
        <v>-</v>
      </c>
      <c r="DH35" s="353" t="str">
        <f t="shared" si="134"/>
        <v>-</v>
      </c>
      <c r="DI35" s="353" t="str">
        <f t="shared" si="135"/>
        <v>-</v>
      </c>
      <c r="DJ35" s="353" t="str">
        <f t="shared" si="136"/>
        <v>-</v>
      </c>
      <c r="DK35" s="353" t="str">
        <f t="shared" si="137"/>
        <v>-</v>
      </c>
      <c r="DL35" s="353" t="str">
        <f t="shared" si="138"/>
        <v>-</v>
      </c>
      <c r="DM35" s="353" t="str">
        <f t="shared" si="139"/>
        <v>-</v>
      </c>
      <c r="DN35" s="353" t="str">
        <f t="shared" si="140"/>
        <v>-</v>
      </c>
      <c r="DO35" s="353" t="str">
        <f t="shared" si="141"/>
        <v>-</v>
      </c>
      <c r="DP35" s="353" t="str">
        <f t="shared" si="142"/>
        <v>-</v>
      </c>
      <c r="DQ35" s="353" t="str">
        <f t="shared" si="143"/>
        <v>-</v>
      </c>
      <c r="DR35" s="353" t="str">
        <f t="shared" si="144"/>
        <v>-</v>
      </c>
      <c r="DS35" s="353" t="str">
        <f t="shared" si="145"/>
        <v>-</v>
      </c>
      <c r="DT35" s="353" t="str">
        <f t="shared" si="146"/>
        <v>-</v>
      </c>
      <c r="DU35" s="353" t="str">
        <f t="shared" si="147"/>
        <v>-</v>
      </c>
      <c r="DV35" s="353" t="str">
        <f t="shared" si="148"/>
        <v>-</v>
      </c>
      <c r="DW35" s="353" t="str">
        <f t="shared" si="149"/>
        <v>-</v>
      </c>
      <c r="DX35" s="353" t="str">
        <f t="shared" si="150"/>
        <v>-</v>
      </c>
      <c r="DY35" s="354" t="str">
        <f t="shared" si="151"/>
        <v>-</v>
      </c>
      <c r="DZ35" s="17"/>
      <c r="EA35" s="17"/>
      <c r="EB35" s="343" t="str" cm="1">
        <f t="array" aca="1" ref="EB35" ca="1">IF($AA35&gt;CDS.Tenor,"-",flatInterpolation(CC35,INDIRECT(HazardRateTimes3),INDIRECT(HazardRateValues3)))</f>
        <v>-</v>
      </c>
      <c r="EC35" s="10" t="str">
        <f t="shared" si="152"/>
        <v>-</v>
      </c>
      <c r="ED35" s="10" t="str">
        <f t="shared" si="153"/>
        <v>-</v>
      </c>
      <c r="EE35" s="81" t="str">
        <f t="shared" si="154"/>
        <v>-</v>
      </c>
      <c r="EG35" s="358">
        <f t="shared" si="155"/>
        <v>7.75</v>
      </c>
      <c r="EH35" s="353" t="str">
        <f t="shared" ref="EH35:EQ44" si="198">IF($AA35&gt;CDS.Tenor,"-",_xlfn.NORM.S.DIST(($EE35-SQRT(ImpliedCorrelation)*EH$3)/SQRT(1-ImpliedCorrelation),TRUE))</f>
        <v>-</v>
      </c>
      <c r="EI35" s="353" t="str">
        <f t="shared" si="198"/>
        <v>-</v>
      </c>
      <c r="EJ35" s="353" t="str">
        <f t="shared" si="198"/>
        <v>-</v>
      </c>
      <c r="EK35" s="353" t="str">
        <f t="shared" si="198"/>
        <v>-</v>
      </c>
      <c r="EL35" s="353" t="str">
        <f t="shared" si="198"/>
        <v>-</v>
      </c>
      <c r="EM35" s="353" t="str">
        <f t="shared" si="198"/>
        <v>-</v>
      </c>
      <c r="EN35" s="353" t="str">
        <f t="shared" si="198"/>
        <v>-</v>
      </c>
      <c r="EO35" s="353" t="str">
        <f t="shared" si="198"/>
        <v>-</v>
      </c>
      <c r="EP35" s="353" t="str">
        <f t="shared" si="198"/>
        <v>-</v>
      </c>
      <c r="EQ35" s="353" t="str">
        <f t="shared" si="198"/>
        <v>-</v>
      </c>
      <c r="ER35" s="353" t="str">
        <f t="shared" ref="ER35:FB44" si="199">IF($AA35&gt;CDS.Tenor,"-",_xlfn.NORM.S.DIST(($EE35-SQRT(ImpliedCorrelation)*ER$3)/SQRT(1-ImpliedCorrelation),TRUE))</f>
        <v>-</v>
      </c>
      <c r="ES35" s="353" t="str">
        <f t="shared" si="199"/>
        <v>-</v>
      </c>
      <c r="ET35" s="353" t="str">
        <f t="shared" si="199"/>
        <v>-</v>
      </c>
      <c r="EU35" s="353" t="str">
        <f t="shared" si="199"/>
        <v>-</v>
      </c>
      <c r="EV35" s="353" t="str">
        <f t="shared" si="199"/>
        <v>-</v>
      </c>
      <c r="EW35" s="353" t="str">
        <f t="shared" si="199"/>
        <v>-</v>
      </c>
      <c r="EX35" s="353" t="str">
        <f t="shared" si="199"/>
        <v>-</v>
      </c>
      <c r="EY35" s="353" t="str">
        <f t="shared" si="199"/>
        <v>-</v>
      </c>
      <c r="EZ35" s="353" t="str">
        <f t="shared" si="199"/>
        <v>-</v>
      </c>
      <c r="FA35" s="353" t="str">
        <f t="shared" si="199"/>
        <v>-</v>
      </c>
      <c r="FB35" s="354" t="str">
        <f t="shared" si="199"/>
        <v>-</v>
      </c>
      <c r="FD35" s="358">
        <f t="shared" si="156"/>
        <v>7.75</v>
      </c>
      <c r="FE35" s="353" t="str">
        <f t="shared" si="157"/>
        <v>-</v>
      </c>
      <c r="FF35" s="353" t="str">
        <f t="shared" si="158"/>
        <v>-</v>
      </c>
      <c r="FG35" s="353" t="str">
        <f t="shared" si="159"/>
        <v>-</v>
      </c>
      <c r="FH35" s="353" t="str">
        <f t="shared" si="160"/>
        <v>-</v>
      </c>
      <c r="FI35" s="353" t="str">
        <f t="shared" si="161"/>
        <v>-</v>
      </c>
      <c r="FJ35" s="353" t="str">
        <f t="shared" si="162"/>
        <v>-</v>
      </c>
      <c r="FK35" s="353" t="str">
        <f t="shared" si="163"/>
        <v>-</v>
      </c>
      <c r="FL35" s="353" t="str">
        <f t="shared" si="164"/>
        <v>-</v>
      </c>
      <c r="FM35" s="353" t="str">
        <f t="shared" si="165"/>
        <v>-</v>
      </c>
      <c r="FN35" s="353" t="str">
        <f t="shared" si="166"/>
        <v>-</v>
      </c>
      <c r="FO35" s="353" t="str">
        <f t="shared" si="167"/>
        <v>-</v>
      </c>
      <c r="FP35" s="353" t="str">
        <f t="shared" si="168"/>
        <v>-</v>
      </c>
      <c r="FQ35" s="353" t="str">
        <f t="shared" si="169"/>
        <v>-</v>
      </c>
      <c r="FR35" s="353" t="str">
        <f t="shared" si="170"/>
        <v>-</v>
      </c>
      <c r="FS35" s="353" t="str">
        <f t="shared" si="171"/>
        <v>-</v>
      </c>
      <c r="FT35" s="353" t="str">
        <f t="shared" si="172"/>
        <v>-</v>
      </c>
      <c r="FU35" s="353" t="str">
        <f t="shared" si="173"/>
        <v>-</v>
      </c>
      <c r="FV35" s="353" t="str">
        <f t="shared" si="174"/>
        <v>-</v>
      </c>
      <c r="FW35" s="353" t="str">
        <f t="shared" si="175"/>
        <v>-</v>
      </c>
      <c r="FX35" s="353" t="str">
        <f t="shared" si="176"/>
        <v>-</v>
      </c>
      <c r="FY35" s="354" t="str">
        <f t="shared" si="177"/>
        <v>-</v>
      </c>
      <c r="GB35" s="358">
        <f t="shared" si="178"/>
        <v>7.75</v>
      </c>
      <c r="GC35" s="353" t="str">
        <f>IF($GB35&gt;CDS.Tenor,"-",BE35*DE35*FE35)</f>
        <v>-</v>
      </c>
      <c r="GD35" s="353" t="str">
        <f>IF($GB35&gt;CDS.Tenor,"-",BF35*DF35*FF35)</f>
        <v>-</v>
      </c>
      <c r="GE35" s="353" t="str">
        <f>IF($GB35&gt;CDS.Tenor,"-",BG35*DG35*FG35)</f>
        <v>-</v>
      </c>
      <c r="GF35" s="353" t="str">
        <f>IF($GB35&gt;CDS.Tenor,"-",BH35*DH35*FH35)</f>
        <v>-</v>
      </c>
      <c r="GG35" s="353" t="str">
        <f>IF($GB35&gt;CDS.Tenor,"-",BI35*DI35*FI35)</f>
        <v>-</v>
      </c>
      <c r="GH35" s="353" t="str">
        <f>IF($GB35&gt;CDS.Tenor,"-",BJ35*DJ35*FJ35)</f>
        <v>-</v>
      </c>
      <c r="GI35" s="353" t="str">
        <f>IF($GB35&gt;CDS.Tenor,"-",BK35*DK35*FK35)</f>
        <v>-</v>
      </c>
      <c r="GJ35" s="353" t="str">
        <f>IF($GB35&gt;CDS.Tenor,"-",BL35*DL35*FL35)</f>
        <v>-</v>
      </c>
      <c r="GK35" s="353" t="str">
        <f>IF($GB35&gt;CDS.Tenor,"-",BM35*DM35*FM35)</f>
        <v>-</v>
      </c>
      <c r="GL35" s="353" t="str">
        <f>IF($GB35&gt;CDS.Tenor,"-",BN35*DN35*FN35)</f>
        <v>-</v>
      </c>
      <c r="GM35" s="353" t="str">
        <f>IF($GB35&gt;CDS.Tenor,"-",BO35*DO35*FO35)</f>
        <v>-</v>
      </c>
      <c r="GN35" s="353" t="str">
        <f>IF($GB35&gt;CDS.Tenor,"-",BP35*DP35*FP35)</f>
        <v>-</v>
      </c>
      <c r="GO35" s="353" t="str">
        <f>IF($GB35&gt;CDS.Tenor,"-",BQ35*DQ35*FQ35)</f>
        <v>-</v>
      </c>
      <c r="GP35" s="353" t="str">
        <f>IF($GB35&gt;CDS.Tenor,"-",BR35*DR35*FR35)</f>
        <v>-</v>
      </c>
      <c r="GQ35" s="353" t="str">
        <f>IF($GB35&gt;CDS.Tenor,"-",BS35*DS35*FS35)</f>
        <v>-</v>
      </c>
      <c r="GR35" s="353" t="str">
        <f>IF($GB35&gt;CDS.Tenor,"-",BT35*DT35*FT35)</f>
        <v>-</v>
      </c>
      <c r="GS35" s="353" t="str">
        <f>IF($GB35&gt;CDS.Tenor,"-",BU35*DU35*FU35)</f>
        <v>-</v>
      </c>
      <c r="GT35" s="353" t="str">
        <f>IF($GB35&gt;CDS.Tenor,"-",BV35*DV35*FV35)</f>
        <v>-</v>
      </c>
      <c r="GU35" s="353" t="str">
        <f>IF($GB35&gt;CDS.Tenor,"-",BW35*DW35*FW35)</f>
        <v>-</v>
      </c>
      <c r="GV35" s="353" t="str">
        <f>IF($GB35&gt;CDS.Tenor,"-",BX35*DX35*FX35)</f>
        <v>-</v>
      </c>
      <c r="GW35" s="354" t="str">
        <f>IF($GB35&gt;CDS.Tenor,"-",BY35*DY35*FY35)</f>
        <v>-</v>
      </c>
      <c r="GX35" s="42"/>
      <c r="GY35" s="42"/>
      <c r="GZ35" s="358">
        <f t="shared" si="179"/>
        <v>7.75</v>
      </c>
      <c r="HA35" s="362" t="str">
        <f t="shared" si="180"/>
        <v>-</v>
      </c>
      <c r="HB35" s="363" t="str">
        <f t="shared" si="181"/>
        <v>-</v>
      </c>
    </row>
    <row r="36" spans="9:210" x14ac:dyDescent="0.3">
      <c r="I36" s="370">
        <f t="shared" si="86"/>
        <v>8</v>
      </c>
      <c r="J36" s="371" t="str">
        <f t="shared" si="87"/>
        <v>-</v>
      </c>
      <c r="K36" s="348" t="str">
        <f t="shared" si="88"/>
        <v>-</v>
      </c>
      <c r="L36" s="348" t="str">
        <f t="shared" si="89"/>
        <v>-</v>
      </c>
      <c r="M36" s="372" t="str" cm="1">
        <f t="array" ref="M36">IF($I36&gt;CDS.Tenor,"-",cubicInterpolation(CurveResults.Times,CurveResults.DFs,$I36))</f>
        <v>-</v>
      </c>
      <c r="N36" s="371" t="str">
        <f t="shared" si="90"/>
        <v>-</v>
      </c>
      <c r="O36" s="371" t="str">
        <f t="shared" si="91"/>
        <v>-</v>
      </c>
      <c r="P36" s="373" t="str">
        <f t="shared" si="92"/>
        <v>-</v>
      </c>
      <c r="S36" s="370">
        <f t="shared" si="93"/>
        <v>8</v>
      </c>
      <c r="T36" s="371" t="str">
        <f t="shared" si="94"/>
        <v>-</v>
      </c>
      <c r="U36" s="348" t="str">
        <f>IF($I36&gt;CDS.Tenor,"-",HA36)</f>
        <v>-</v>
      </c>
      <c r="V36" s="348" t="str">
        <f t="shared" si="95"/>
        <v>-</v>
      </c>
      <c r="W36" s="372" t="str" cm="1">
        <f t="array" ref="W36">IF($S36&gt;CDS.Tenor,"-",cubicInterpolation(CurveResults.Times,CurveResults.DFs,$I36))</f>
        <v>-</v>
      </c>
      <c r="X36" s="373" t="str">
        <f t="shared" si="96"/>
        <v>-</v>
      </c>
      <c r="AA36" s="358">
        <f t="shared" si="97"/>
        <v>8</v>
      </c>
      <c r="AB36" s="343" t="str" cm="1">
        <f t="array" aca="1" ref="AB36" ca="1">IF($AA36&gt;CDS.Tenor,"-",flatInterpolation(Z36,INDIRECT(HazardRateTimes1),INDIRECT(HazardRateValues1)))</f>
        <v>-</v>
      </c>
      <c r="AC36" s="10" t="str">
        <f t="shared" si="98"/>
        <v>-</v>
      </c>
      <c r="AD36" s="10" t="str">
        <f t="shared" si="99"/>
        <v>-</v>
      </c>
      <c r="AE36" s="81" t="str">
        <f t="shared" si="100"/>
        <v>-</v>
      </c>
      <c r="AG36" s="358">
        <f t="shared" si="101"/>
        <v>8</v>
      </c>
      <c r="AH36" s="353" t="str">
        <f t="shared" si="194"/>
        <v>-</v>
      </c>
      <c r="AI36" s="353" t="str">
        <f t="shared" si="194"/>
        <v>-</v>
      </c>
      <c r="AJ36" s="353" t="str">
        <f t="shared" si="194"/>
        <v>-</v>
      </c>
      <c r="AK36" s="353" t="str">
        <f t="shared" si="194"/>
        <v>-</v>
      </c>
      <c r="AL36" s="353" t="str">
        <f t="shared" si="194"/>
        <v>-</v>
      </c>
      <c r="AM36" s="353" t="str">
        <f t="shared" si="194"/>
        <v>-</v>
      </c>
      <c r="AN36" s="353" t="str">
        <f t="shared" si="194"/>
        <v>-</v>
      </c>
      <c r="AO36" s="353" t="str">
        <f t="shared" si="194"/>
        <v>-</v>
      </c>
      <c r="AP36" s="353" t="str">
        <f t="shared" si="194"/>
        <v>-</v>
      </c>
      <c r="AQ36" s="353" t="str">
        <f t="shared" si="194"/>
        <v>-</v>
      </c>
      <c r="AR36" s="353" t="str">
        <f t="shared" si="195"/>
        <v>-</v>
      </c>
      <c r="AS36" s="353" t="str">
        <f t="shared" si="195"/>
        <v>-</v>
      </c>
      <c r="AT36" s="353" t="str">
        <f t="shared" si="195"/>
        <v>-</v>
      </c>
      <c r="AU36" s="353" t="str">
        <f t="shared" si="195"/>
        <v>-</v>
      </c>
      <c r="AV36" s="353" t="str">
        <f t="shared" si="195"/>
        <v>-</v>
      </c>
      <c r="AW36" s="353" t="str">
        <f t="shared" si="195"/>
        <v>-</v>
      </c>
      <c r="AX36" s="353" t="str">
        <f t="shared" si="195"/>
        <v>-</v>
      </c>
      <c r="AY36" s="353" t="str">
        <f t="shared" si="195"/>
        <v>-</v>
      </c>
      <c r="AZ36" s="353" t="str">
        <f t="shared" si="195"/>
        <v>-</v>
      </c>
      <c r="BA36" s="353" t="str">
        <f t="shared" si="195"/>
        <v>-</v>
      </c>
      <c r="BB36" s="354" t="str">
        <f t="shared" si="195"/>
        <v>-</v>
      </c>
      <c r="BD36" s="358">
        <f t="shared" si="104"/>
        <v>8</v>
      </c>
      <c r="BE36" s="353" t="str">
        <f t="shared" si="105"/>
        <v>-</v>
      </c>
      <c r="BF36" s="353" t="str">
        <f t="shared" si="106"/>
        <v>-</v>
      </c>
      <c r="BG36" s="353" t="str">
        <f t="shared" si="107"/>
        <v>-</v>
      </c>
      <c r="BH36" s="353" t="str">
        <f t="shared" si="108"/>
        <v>-</v>
      </c>
      <c r="BI36" s="353" t="str">
        <f t="shared" si="109"/>
        <v>-</v>
      </c>
      <c r="BJ36" s="353" t="str">
        <f t="shared" si="110"/>
        <v>-</v>
      </c>
      <c r="BK36" s="353" t="str">
        <f t="shared" si="111"/>
        <v>-</v>
      </c>
      <c r="BL36" s="353" t="str">
        <f t="shared" si="112"/>
        <v>-</v>
      </c>
      <c r="BM36" s="353" t="str">
        <f t="shared" si="113"/>
        <v>-</v>
      </c>
      <c r="BN36" s="353" t="str">
        <f t="shared" si="114"/>
        <v>-</v>
      </c>
      <c r="BO36" s="353" t="str">
        <f t="shared" si="115"/>
        <v>-</v>
      </c>
      <c r="BP36" s="353" t="str">
        <f t="shared" si="116"/>
        <v>-</v>
      </c>
      <c r="BQ36" s="353" t="str">
        <f t="shared" si="117"/>
        <v>-</v>
      </c>
      <c r="BR36" s="353" t="str">
        <f t="shared" si="118"/>
        <v>-</v>
      </c>
      <c r="BS36" s="353" t="str">
        <f t="shared" si="119"/>
        <v>-</v>
      </c>
      <c r="BT36" s="353" t="str">
        <f t="shared" si="120"/>
        <v>-</v>
      </c>
      <c r="BU36" s="353" t="str">
        <f t="shared" si="121"/>
        <v>-</v>
      </c>
      <c r="BV36" s="353" t="str">
        <f t="shared" si="122"/>
        <v>-</v>
      </c>
      <c r="BW36" s="353" t="str">
        <f t="shared" si="123"/>
        <v>-</v>
      </c>
      <c r="BX36" s="353" t="str">
        <f t="shared" si="124"/>
        <v>-</v>
      </c>
      <c r="BY36" s="354" t="str">
        <f t="shared" si="125"/>
        <v>-</v>
      </c>
      <c r="BZ36" s="17"/>
      <c r="CA36" s="17"/>
      <c r="CB36" s="343" t="str" cm="1">
        <f t="array" aca="1" ref="CB36" ca="1">IF($AA36&gt;CDS.Tenor,"-",flatInterpolation(AA36,INDIRECT(HazardRateTimes2),INDIRECT(HazardRateValues2)))</f>
        <v>-</v>
      </c>
      <c r="CC36" s="10" t="str">
        <f t="shared" si="126"/>
        <v>-</v>
      </c>
      <c r="CD36" s="10" t="str">
        <f t="shared" si="127"/>
        <v>-</v>
      </c>
      <c r="CE36" s="81" t="str">
        <f t="shared" si="128"/>
        <v>-</v>
      </c>
      <c r="CG36" s="358">
        <f t="shared" si="129"/>
        <v>8</v>
      </c>
      <c r="CH36" s="353" t="str">
        <f t="shared" si="196"/>
        <v>-</v>
      </c>
      <c r="CI36" s="353" t="str">
        <f t="shared" si="196"/>
        <v>-</v>
      </c>
      <c r="CJ36" s="353" t="str">
        <f t="shared" si="196"/>
        <v>-</v>
      </c>
      <c r="CK36" s="353" t="str">
        <f t="shared" si="196"/>
        <v>-</v>
      </c>
      <c r="CL36" s="353" t="str">
        <f t="shared" si="196"/>
        <v>-</v>
      </c>
      <c r="CM36" s="353" t="str">
        <f t="shared" si="196"/>
        <v>-</v>
      </c>
      <c r="CN36" s="353" t="str">
        <f t="shared" si="196"/>
        <v>-</v>
      </c>
      <c r="CO36" s="353" t="str">
        <f t="shared" si="196"/>
        <v>-</v>
      </c>
      <c r="CP36" s="353" t="str">
        <f t="shared" si="196"/>
        <v>-</v>
      </c>
      <c r="CQ36" s="353" t="str">
        <f t="shared" si="196"/>
        <v>-</v>
      </c>
      <c r="CR36" s="353" t="str">
        <f t="shared" si="197"/>
        <v>-</v>
      </c>
      <c r="CS36" s="353" t="str">
        <f t="shared" si="197"/>
        <v>-</v>
      </c>
      <c r="CT36" s="353" t="str">
        <f t="shared" si="197"/>
        <v>-</v>
      </c>
      <c r="CU36" s="353" t="str">
        <f t="shared" si="197"/>
        <v>-</v>
      </c>
      <c r="CV36" s="353" t="str">
        <f t="shared" si="197"/>
        <v>-</v>
      </c>
      <c r="CW36" s="353" t="str">
        <f t="shared" si="197"/>
        <v>-</v>
      </c>
      <c r="CX36" s="353" t="str">
        <f t="shared" si="197"/>
        <v>-</v>
      </c>
      <c r="CY36" s="353" t="str">
        <f t="shared" si="197"/>
        <v>-</v>
      </c>
      <c r="CZ36" s="353" t="str">
        <f t="shared" si="197"/>
        <v>-</v>
      </c>
      <c r="DA36" s="353" t="str">
        <f t="shared" si="197"/>
        <v>-</v>
      </c>
      <c r="DB36" s="354" t="str">
        <f t="shared" si="197"/>
        <v>-</v>
      </c>
      <c r="DD36" s="358">
        <f t="shared" si="130"/>
        <v>8</v>
      </c>
      <c r="DE36" s="353" t="str">
        <f t="shared" si="131"/>
        <v>-</v>
      </c>
      <c r="DF36" s="353" t="str">
        <f t="shared" si="132"/>
        <v>-</v>
      </c>
      <c r="DG36" s="353" t="str">
        <f t="shared" si="133"/>
        <v>-</v>
      </c>
      <c r="DH36" s="353" t="str">
        <f t="shared" si="134"/>
        <v>-</v>
      </c>
      <c r="DI36" s="353" t="str">
        <f t="shared" si="135"/>
        <v>-</v>
      </c>
      <c r="DJ36" s="353" t="str">
        <f t="shared" si="136"/>
        <v>-</v>
      </c>
      <c r="DK36" s="353" t="str">
        <f t="shared" si="137"/>
        <v>-</v>
      </c>
      <c r="DL36" s="353" t="str">
        <f t="shared" si="138"/>
        <v>-</v>
      </c>
      <c r="DM36" s="353" t="str">
        <f t="shared" si="139"/>
        <v>-</v>
      </c>
      <c r="DN36" s="353" t="str">
        <f t="shared" si="140"/>
        <v>-</v>
      </c>
      <c r="DO36" s="353" t="str">
        <f t="shared" si="141"/>
        <v>-</v>
      </c>
      <c r="DP36" s="353" t="str">
        <f t="shared" si="142"/>
        <v>-</v>
      </c>
      <c r="DQ36" s="353" t="str">
        <f t="shared" si="143"/>
        <v>-</v>
      </c>
      <c r="DR36" s="353" t="str">
        <f t="shared" si="144"/>
        <v>-</v>
      </c>
      <c r="DS36" s="353" t="str">
        <f t="shared" si="145"/>
        <v>-</v>
      </c>
      <c r="DT36" s="353" t="str">
        <f t="shared" si="146"/>
        <v>-</v>
      </c>
      <c r="DU36" s="353" t="str">
        <f t="shared" si="147"/>
        <v>-</v>
      </c>
      <c r="DV36" s="353" t="str">
        <f t="shared" si="148"/>
        <v>-</v>
      </c>
      <c r="DW36" s="353" t="str">
        <f t="shared" si="149"/>
        <v>-</v>
      </c>
      <c r="DX36" s="353" t="str">
        <f t="shared" si="150"/>
        <v>-</v>
      </c>
      <c r="DY36" s="354" t="str">
        <f t="shared" si="151"/>
        <v>-</v>
      </c>
      <c r="DZ36" s="17"/>
      <c r="EA36" s="17"/>
      <c r="EB36" s="343" t="str" cm="1">
        <f t="array" aca="1" ref="EB36" ca="1">IF($AA36&gt;CDS.Tenor,"-",flatInterpolation(CC36,INDIRECT(HazardRateTimes3),INDIRECT(HazardRateValues3)))</f>
        <v>-</v>
      </c>
      <c r="EC36" s="10" t="str">
        <f t="shared" si="152"/>
        <v>-</v>
      </c>
      <c r="ED36" s="10" t="str">
        <f t="shared" si="153"/>
        <v>-</v>
      </c>
      <c r="EE36" s="81" t="str">
        <f t="shared" si="154"/>
        <v>-</v>
      </c>
      <c r="EG36" s="358">
        <f t="shared" si="155"/>
        <v>8</v>
      </c>
      <c r="EH36" s="353" t="str">
        <f t="shared" si="198"/>
        <v>-</v>
      </c>
      <c r="EI36" s="353" t="str">
        <f t="shared" si="198"/>
        <v>-</v>
      </c>
      <c r="EJ36" s="353" t="str">
        <f t="shared" si="198"/>
        <v>-</v>
      </c>
      <c r="EK36" s="353" t="str">
        <f t="shared" si="198"/>
        <v>-</v>
      </c>
      <c r="EL36" s="353" t="str">
        <f t="shared" si="198"/>
        <v>-</v>
      </c>
      <c r="EM36" s="353" t="str">
        <f t="shared" si="198"/>
        <v>-</v>
      </c>
      <c r="EN36" s="353" t="str">
        <f t="shared" si="198"/>
        <v>-</v>
      </c>
      <c r="EO36" s="353" t="str">
        <f t="shared" si="198"/>
        <v>-</v>
      </c>
      <c r="EP36" s="353" t="str">
        <f t="shared" si="198"/>
        <v>-</v>
      </c>
      <c r="EQ36" s="353" t="str">
        <f t="shared" si="198"/>
        <v>-</v>
      </c>
      <c r="ER36" s="353" t="str">
        <f t="shared" si="199"/>
        <v>-</v>
      </c>
      <c r="ES36" s="353" t="str">
        <f t="shared" si="199"/>
        <v>-</v>
      </c>
      <c r="ET36" s="353" t="str">
        <f t="shared" si="199"/>
        <v>-</v>
      </c>
      <c r="EU36" s="353" t="str">
        <f t="shared" si="199"/>
        <v>-</v>
      </c>
      <c r="EV36" s="353" t="str">
        <f t="shared" si="199"/>
        <v>-</v>
      </c>
      <c r="EW36" s="353" t="str">
        <f t="shared" si="199"/>
        <v>-</v>
      </c>
      <c r="EX36" s="353" t="str">
        <f t="shared" si="199"/>
        <v>-</v>
      </c>
      <c r="EY36" s="353" t="str">
        <f t="shared" si="199"/>
        <v>-</v>
      </c>
      <c r="EZ36" s="353" t="str">
        <f t="shared" si="199"/>
        <v>-</v>
      </c>
      <c r="FA36" s="353" t="str">
        <f t="shared" si="199"/>
        <v>-</v>
      </c>
      <c r="FB36" s="354" t="str">
        <f t="shared" si="199"/>
        <v>-</v>
      </c>
      <c r="FD36" s="358">
        <f t="shared" si="156"/>
        <v>8</v>
      </c>
      <c r="FE36" s="353" t="str">
        <f t="shared" si="157"/>
        <v>-</v>
      </c>
      <c r="FF36" s="353" t="str">
        <f t="shared" si="158"/>
        <v>-</v>
      </c>
      <c r="FG36" s="353" t="str">
        <f t="shared" si="159"/>
        <v>-</v>
      </c>
      <c r="FH36" s="353" t="str">
        <f t="shared" si="160"/>
        <v>-</v>
      </c>
      <c r="FI36" s="353" t="str">
        <f t="shared" si="161"/>
        <v>-</v>
      </c>
      <c r="FJ36" s="353" t="str">
        <f t="shared" si="162"/>
        <v>-</v>
      </c>
      <c r="FK36" s="353" t="str">
        <f t="shared" si="163"/>
        <v>-</v>
      </c>
      <c r="FL36" s="353" t="str">
        <f t="shared" si="164"/>
        <v>-</v>
      </c>
      <c r="FM36" s="353" t="str">
        <f t="shared" si="165"/>
        <v>-</v>
      </c>
      <c r="FN36" s="353" t="str">
        <f t="shared" si="166"/>
        <v>-</v>
      </c>
      <c r="FO36" s="353" t="str">
        <f t="shared" si="167"/>
        <v>-</v>
      </c>
      <c r="FP36" s="353" t="str">
        <f t="shared" si="168"/>
        <v>-</v>
      </c>
      <c r="FQ36" s="353" t="str">
        <f t="shared" si="169"/>
        <v>-</v>
      </c>
      <c r="FR36" s="353" t="str">
        <f t="shared" si="170"/>
        <v>-</v>
      </c>
      <c r="FS36" s="353" t="str">
        <f t="shared" si="171"/>
        <v>-</v>
      </c>
      <c r="FT36" s="353" t="str">
        <f t="shared" si="172"/>
        <v>-</v>
      </c>
      <c r="FU36" s="353" t="str">
        <f t="shared" si="173"/>
        <v>-</v>
      </c>
      <c r="FV36" s="353" t="str">
        <f t="shared" si="174"/>
        <v>-</v>
      </c>
      <c r="FW36" s="353" t="str">
        <f t="shared" si="175"/>
        <v>-</v>
      </c>
      <c r="FX36" s="353" t="str">
        <f t="shared" si="176"/>
        <v>-</v>
      </c>
      <c r="FY36" s="354" t="str">
        <f t="shared" si="177"/>
        <v>-</v>
      </c>
      <c r="GB36" s="358">
        <f t="shared" si="178"/>
        <v>8</v>
      </c>
      <c r="GC36" s="353" t="str">
        <f>IF($GB36&gt;CDS.Tenor,"-",BE36*DE36*FE36)</f>
        <v>-</v>
      </c>
      <c r="GD36" s="353" t="str">
        <f>IF($GB36&gt;CDS.Tenor,"-",BF36*DF36*FF36)</f>
        <v>-</v>
      </c>
      <c r="GE36" s="353" t="str">
        <f>IF($GB36&gt;CDS.Tenor,"-",BG36*DG36*FG36)</f>
        <v>-</v>
      </c>
      <c r="GF36" s="353" t="str">
        <f>IF($GB36&gt;CDS.Tenor,"-",BH36*DH36*FH36)</f>
        <v>-</v>
      </c>
      <c r="GG36" s="353" t="str">
        <f>IF($GB36&gt;CDS.Tenor,"-",BI36*DI36*FI36)</f>
        <v>-</v>
      </c>
      <c r="GH36" s="353" t="str">
        <f>IF($GB36&gt;CDS.Tenor,"-",BJ36*DJ36*FJ36)</f>
        <v>-</v>
      </c>
      <c r="GI36" s="353" t="str">
        <f>IF($GB36&gt;CDS.Tenor,"-",BK36*DK36*FK36)</f>
        <v>-</v>
      </c>
      <c r="GJ36" s="353" t="str">
        <f>IF($GB36&gt;CDS.Tenor,"-",BL36*DL36*FL36)</f>
        <v>-</v>
      </c>
      <c r="GK36" s="353" t="str">
        <f>IF($GB36&gt;CDS.Tenor,"-",BM36*DM36*FM36)</f>
        <v>-</v>
      </c>
      <c r="GL36" s="353" t="str">
        <f>IF($GB36&gt;CDS.Tenor,"-",BN36*DN36*FN36)</f>
        <v>-</v>
      </c>
      <c r="GM36" s="353" t="str">
        <f>IF($GB36&gt;CDS.Tenor,"-",BO36*DO36*FO36)</f>
        <v>-</v>
      </c>
      <c r="GN36" s="353" t="str">
        <f>IF($GB36&gt;CDS.Tenor,"-",BP36*DP36*FP36)</f>
        <v>-</v>
      </c>
      <c r="GO36" s="353" t="str">
        <f>IF($GB36&gt;CDS.Tenor,"-",BQ36*DQ36*FQ36)</f>
        <v>-</v>
      </c>
      <c r="GP36" s="353" t="str">
        <f>IF($GB36&gt;CDS.Tenor,"-",BR36*DR36*FR36)</f>
        <v>-</v>
      </c>
      <c r="GQ36" s="353" t="str">
        <f>IF($GB36&gt;CDS.Tenor,"-",BS36*DS36*FS36)</f>
        <v>-</v>
      </c>
      <c r="GR36" s="353" t="str">
        <f>IF($GB36&gt;CDS.Tenor,"-",BT36*DT36*FT36)</f>
        <v>-</v>
      </c>
      <c r="GS36" s="353" t="str">
        <f>IF($GB36&gt;CDS.Tenor,"-",BU36*DU36*FU36)</f>
        <v>-</v>
      </c>
      <c r="GT36" s="353" t="str">
        <f>IF($GB36&gt;CDS.Tenor,"-",BV36*DV36*FV36)</f>
        <v>-</v>
      </c>
      <c r="GU36" s="353" t="str">
        <f>IF($GB36&gt;CDS.Tenor,"-",BW36*DW36*FW36)</f>
        <v>-</v>
      </c>
      <c r="GV36" s="353" t="str">
        <f>IF($GB36&gt;CDS.Tenor,"-",BX36*DX36*FX36)</f>
        <v>-</v>
      </c>
      <c r="GW36" s="354" t="str">
        <f>IF($GB36&gt;CDS.Tenor,"-",BY36*DY36*FY36)</f>
        <v>-</v>
      </c>
      <c r="GX36" s="42"/>
      <c r="GY36" s="42"/>
      <c r="GZ36" s="358">
        <f t="shared" si="179"/>
        <v>8</v>
      </c>
      <c r="HA36" s="362" t="str">
        <f t="shared" si="180"/>
        <v>-</v>
      </c>
      <c r="HB36" s="363" t="str">
        <f t="shared" si="181"/>
        <v>-</v>
      </c>
    </row>
    <row r="37" spans="9:210" x14ac:dyDescent="0.3">
      <c r="I37" s="370">
        <f t="shared" si="86"/>
        <v>8.25</v>
      </c>
      <c r="J37" s="371" t="str">
        <f t="shared" si="87"/>
        <v>-</v>
      </c>
      <c r="K37" s="348" t="str">
        <f t="shared" si="88"/>
        <v>-</v>
      </c>
      <c r="L37" s="348" t="str">
        <f t="shared" si="89"/>
        <v>-</v>
      </c>
      <c r="M37" s="372" t="str" cm="1">
        <f t="array" ref="M37">IF($I37&gt;CDS.Tenor,"-",cubicInterpolation(CurveResults.Times,CurveResults.DFs,$I37))</f>
        <v>-</v>
      </c>
      <c r="N37" s="371" t="str">
        <f t="shared" si="90"/>
        <v>-</v>
      </c>
      <c r="O37" s="371" t="str">
        <f t="shared" si="91"/>
        <v>-</v>
      </c>
      <c r="P37" s="373" t="str">
        <f t="shared" si="92"/>
        <v>-</v>
      </c>
      <c r="S37" s="370">
        <f t="shared" si="93"/>
        <v>8.25</v>
      </c>
      <c r="T37" s="371" t="str">
        <f t="shared" si="94"/>
        <v>-</v>
      </c>
      <c r="U37" s="348" t="str">
        <f>IF($I37&gt;CDS.Tenor,"-",HA37)</f>
        <v>-</v>
      </c>
      <c r="V37" s="348" t="str">
        <f t="shared" si="95"/>
        <v>-</v>
      </c>
      <c r="W37" s="372" t="str" cm="1">
        <f t="array" ref="W37">IF($S37&gt;CDS.Tenor,"-",cubicInterpolation(CurveResults.Times,CurveResults.DFs,$I37))</f>
        <v>-</v>
      </c>
      <c r="X37" s="373" t="str">
        <f t="shared" si="96"/>
        <v>-</v>
      </c>
      <c r="AA37" s="358">
        <f t="shared" si="97"/>
        <v>8.25</v>
      </c>
      <c r="AB37" s="343" t="str" cm="1">
        <f t="array" aca="1" ref="AB37" ca="1">IF($AA37&gt;CDS.Tenor,"-",flatInterpolation(Z37,INDIRECT(HazardRateTimes1),INDIRECT(HazardRateValues1)))</f>
        <v>-</v>
      </c>
      <c r="AC37" s="10" t="str">
        <f t="shared" si="98"/>
        <v>-</v>
      </c>
      <c r="AD37" s="10" t="str">
        <f t="shared" si="99"/>
        <v>-</v>
      </c>
      <c r="AE37" s="81" t="str">
        <f t="shared" si="100"/>
        <v>-</v>
      </c>
      <c r="AG37" s="358">
        <f t="shared" si="101"/>
        <v>8.25</v>
      </c>
      <c r="AH37" s="353" t="str">
        <f t="shared" si="194"/>
        <v>-</v>
      </c>
      <c r="AI37" s="353" t="str">
        <f t="shared" si="194"/>
        <v>-</v>
      </c>
      <c r="AJ37" s="353" t="str">
        <f t="shared" si="194"/>
        <v>-</v>
      </c>
      <c r="AK37" s="353" t="str">
        <f t="shared" si="194"/>
        <v>-</v>
      </c>
      <c r="AL37" s="353" t="str">
        <f t="shared" si="194"/>
        <v>-</v>
      </c>
      <c r="AM37" s="353" t="str">
        <f t="shared" si="194"/>
        <v>-</v>
      </c>
      <c r="AN37" s="353" t="str">
        <f t="shared" si="194"/>
        <v>-</v>
      </c>
      <c r="AO37" s="353" t="str">
        <f t="shared" si="194"/>
        <v>-</v>
      </c>
      <c r="AP37" s="353" t="str">
        <f t="shared" si="194"/>
        <v>-</v>
      </c>
      <c r="AQ37" s="353" t="str">
        <f t="shared" si="194"/>
        <v>-</v>
      </c>
      <c r="AR37" s="353" t="str">
        <f t="shared" si="195"/>
        <v>-</v>
      </c>
      <c r="AS37" s="353" t="str">
        <f t="shared" si="195"/>
        <v>-</v>
      </c>
      <c r="AT37" s="353" t="str">
        <f t="shared" si="195"/>
        <v>-</v>
      </c>
      <c r="AU37" s="353" t="str">
        <f t="shared" si="195"/>
        <v>-</v>
      </c>
      <c r="AV37" s="353" t="str">
        <f t="shared" si="195"/>
        <v>-</v>
      </c>
      <c r="AW37" s="353" t="str">
        <f t="shared" si="195"/>
        <v>-</v>
      </c>
      <c r="AX37" s="353" t="str">
        <f t="shared" si="195"/>
        <v>-</v>
      </c>
      <c r="AY37" s="353" t="str">
        <f t="shared" si="195"/>
        <v>-</v>
      </c>
      <c r="AZ37" s="353" t="str">
        <f t="shared" si="195"/>
        <v>-</v>
      </c>
      <c r="BA37" s="353" t="str">
        <f t="shared" si="195"/>
        <v>-</v>
      </c>
      <c r="BB37" s="354" t="str">
        <f t="shared" si="195"/>
        <v>-</v>
      </c>
      <c r="BD37" s="358">
        <f t="shared" si="104"/>
        <v>8.25</v>
      </c>
      <c r="BE37" s="353" t="str">
        <f t="shared" si="105"/>
        <v>-</v>
      </c>
      <c r="BF37" s="353" t="str">
        <f t="shared" si="106"/>
        <v>-</v>
      </c>
      <c r="BG37" s="353" t="str">
        <f t="shared" si="107"/>
        <v>-</v>
      </c>
      <c r="BH37" s="353" t="str">
        <f t="shared" si="108"/>
        <v>-</v>
      </c>
      <c r="BI37" s="353" t="str">
        <f t="shared" si="109"/>
        <v>-</v>
      </c>
      <c r="BJ37" s="353" t="str">
        <f t="shared" si="110"/>
        <v>-</v>
      </c>
      <c r="BK37" s="353" t="str">
        <f t="shared" si="111"/>
        <v>-</v>
      </c>
      <c r="BL37" s="353" t="str">
        <f t="shared" si="112"/>
        <v>-</v>
      </c>
      <c r="BM37" s="353" t="str">
        <f t="shared" si="113"/>
        <v>-</v>
      </c>
      <c r="BN37" s="353" t="str">
        <f t="shared" si="114"/>
        <v>-</v>
      </c>
      <c r="BO37" s="353" t="str">
        <f t="shared" si="115"/>
        <v>-</v>
      </c>
      <c r="BP37" s="353" t="str">
        <f t="shared" si="116"/>
        <v>-</v>
      </c>
      <c r="BQ37" s="353" t="str">
        <f t="shared" si="117"/>
        <v>-</v>
      </c>
      <c r="BR37" s="353" t="str">
        <f t="shared" si="118"/>
        <v>-</v>
      </c>
      <c r="BS37" s="353" t="str">
        <f t="shared" si="119"/>
        <v>-</v>
      </c>
      <c r="BT37" s="353" t="str">
        <f t="shared" si="120"/>
        <v>-</v>
      </c>
      <c r="BU37" s="353" t="str">
        <f t="shared" si="121"/>
        <v>-</v>
      </c>
      <c r="BV37" s="353" t="str">
        <f t="shared" si="122"/>
        <v>-</v>
      </c>
      <c r="BW37" s="353" t="str">
        <f t="shared" si="123"/>
        <v>-</v>
      </c>
      <c r="BX37" s="353" t="str">
        <f t="shared" si="124"/>
        <v>-</v>
      </c>
      <c r="BY37" s="354" t="str">
        <f t="shared" si="125"/>
        <v>-</v>
      </c>
      <c r="BZ37" s="17"/>
      <c r="CA37" s="17"/>
      <c r="CB37" s="343" t="str" cm="1">
        <f t="array" aca="1" ref="CB37" ca="1">IF($AA37&gt;CDS.Tenor,"-",flatInterpolation(AA37,INDIRECT(HazardRateTimes2),INDIRECT(HazardRateValues2)))</f>
        <v>-</v>
      </c>
      <c r="CC37" s="10" t="str">
        <f t="shared" si="126"/>
        <v>-</v>
      </c>
      <c r="CD37" s="10" t="str">
        <f t="shared" si="127"/>
        <v>-</v>
      </c>
      <c r="CE37" s="81" t="str">
        <f t="shared" si="128"/>
        <v>-</v>
      </c>
      <c r="CG37" s="358">
        <f t="shared" si="129"/>
        <v>8.25</v>
      </c>
      <c r="CH37" s="353" t="str">
        <f t="shared" si="196"/>
        <v>-</v>
      </c>
      <c r="CI37" s="353" t="str">
        <f t="shared" si="196"/>
        <v>-</v>
      </c>
      <c r="CJ37" s="353" t="str">
        <f t="shared" si="196"/>
        <v>-</v>
      </c>
      <c r="CK37" s="353" t="str">
        <f t="shared" si="196"/>
        <v>-</v>
      </c>
      <c r="CL37" s="353" t="str">
        <f t="shared" si="196"/>
        <v>-</v>
      </c>
      <c r="CM37" s="353" t="str">
        <f t="shared" si="196"/>
        <v>-</v>
      </c>
      <c r="CN37" s="353" t="str">
        <f t="shared" si="196"/>
        <v>-</v>
      </c>
      <c r="CO37" s="353" t="str">
        <f t="shared" si="196"/>
        <v>-</v>
      </c>
      <c r="CP37" s="353" t="str">
        <f t="shared" si="196"/>
        <v>-</v>
      </c>
      <c r="CQ37" s="353" t="str">
        <f t="shared" si="196"/>
        <v>-</v>
      </c>
      <c r="CR37" s="353" t="str">
        <f t="shared" si="197"/>
        <v>-</v>
      </c>
      <c r="CS37" s="353" t="str">
        <f t="shared" si="197"/>
        <v>-</v>
      </c>
      <c r="CT37" s="353" t="str">
        <f t="shared" si="197"/>
        <v>-</v>
      </c>
      <c r="CU37" s="353" t="str">
        <f t="shared" si="197"/>
        <v>-</v>
      </c>
      <c r="CV37" s="353" t="str">
        <f t="shared" si="197"/>
        <v>-</v>
      </c>
      <c r="CW37" s="353" t="str">
        <f t="shared" si="197"/>
        <v>-</v>
      </c>
      <c r="CX37" s="353" t="str">
        <f t="shared" si="197"/>
        <v>-</v>
      </c>
      <c r="CY37" s="353" t="str">
        <f t="shared" si="197"/>
        <v>-</v>
      </c>
      <c r="CZ37" s="353" t="str">
        <f t="shared" si="197"/>
        <v>-</v>
      </c>
      <c r="DA37" s="353" t="str">
        <f t="shared" si="197"/>
        <v>-</v>
      </c>
      <c r="DB37" s="354" t="str">
        <f t="shared" si="197"/>
        <v>-</v>
      </c>
      <c r="DD37" s="358">
        <f t="shared" si="130"/>
        <v>8.25</v>
      </c>
      <c r="DE37" s="353" t="str">
        <f t="shared" si="131"/>
        <v>-</v>
      </c>
      <c r="DF37" s="353" t="str">
        <f t="shared" si="132"/>
        <v>-</v>
      </c>
      <c r="DG37" s="353" t="str">
        <f t="shared" si="133"/>
        <v>-</v>
      </c>
      <c r="DH37" s="353" t="str">
        <f t="shared" si="134"/>
        <v>-</v>
      </c>
      <c r="DI37" s="353" t="str">
        <f t="shared" si="135"/>
        <v>-</v>
      </c>
      <c r="DJ37" s="353" t="str">
        <f t="shared" si="136"/>
        <v>-</v>
      </c>
      <c r="DK37" s="353" t="str">
        <f t="shared" si="137"/>
        <v>-</v>
      </c>
      <c r="DL37" s="353" t="str">
        <f t="shared" si="138"/>
        <v>-</v>
      </c>
      <c r="DM37" s="353" t="str">
        <f t="shared" si="139"/>
        <v>-</v>
      </c>
      <c r="DN37" s="353" t="str">
        <f t="shared" si="140"/>
        <v>-</v>
      </c>
      <c r="DO37" s="353" t="str">
        <f t="shared" si="141"/>
        <v>-</v>
      </c>
      <c r="DP37" s="353" t="str">
        <f t="shared" si="142"/>
        <v>-</v>
      </c>
      <c r="DQ37" s="353" t="str">
        <f t="shared" si="143"/>
        <v>-</v>
      </c>
      <c r="DR37" s="353" t="str">
        <f t="shared" si="144"/>
        <v>-</v>
      </c>
      <c r="DS37" s="353" t="str">
        <f t="shared" si="145"/>
        <v>-</v>
      </c>
      <c r="DT37" s="353" t="str">
        <f t="shared" si="146"/>
        <v>-</v>
      </c>
      <c r="DU37" s="353" t="str">
        <f t="shared" si="147"/>
        <v>-</v>
      </c>
      <c r="DV37" s="353" t="str">
        <f t="shared" si="148"/>
        <v>-</v>
      </c>
      <c r="DW37" s="353" t="str">
        <f t="shared" si="149"/>
        <v>-</v>
      </c>
      <c r="DX37" s="353" t="str">
        <f t="shared" si="150"/>
        <v>-</v>
      </c>
      <c r="DY37" s="354" t="str">
        <f t="shared" si="151"/>
        <v>-</v>
      </c>
      <c r="DZ37" s="17"/>
      <c r="EA37" s="17"/>
      <c r="EB37" s="343" t="str" cm="1">
        <f t="array" aca="1" ref="EB37" ca="1">IF($AA37&gt;CDS.Tenor,"-",flatInterpolation(CC37,INDIRECT(HazardRateTimes3),INDIRECT(HazardRateValues3)))</f>
        <v>-</v>
      </c>
      <c r="EC37" s="10" t="str">
        <f t="shared" si="152"/>
        <v>-</v>
      </c>
      <c r="ED37" s="10" t="str">
        <f t="shared" si="153"/>
        <v>-</v>
      </c>
      <c r="EE37" s="81" t="str">
        <f t="shared" si="154"/>
        <v>-</v>
      </c>
      <c r="EG37" s="358">
        <f t="shared" si="155"/>
        <v>8.25</v>
      </c>
      <c r="EH37" s="353" t="str">
        <f t="shared" si="198"/>
        <v>-</v>
      </c>
      <c r="EI37" s="353" t="str">
        <f t="shared" si="198"/>
        <v>-</v>
      </c>
      <c r="EJ37" s="353" t="str">
        <f t="shared" si="198"/>
        <v>-</v>
      </c>
      <c r="EK37" s="353" t="str">
        <f t="shared" si="198"/>
        <v>-</v>
      </c>
      <c r="EL37" s="353" t="str">
        <f t="shared" si="198"/>
        <v>-</v>
      </c>
      <c r="EM37" s="353" t="str">
        <f t="shared" si="198"/>
        <v>-</v>
      </c>
      <c r="EN37" s="353" t="str">
        <f t="shared" si="198"/>
        <v>-</v>
      </c>
      <c r="EO37" s="353" t="str">
        <f t="shared" si="198"/>
        <v>-</v>
      </c>
      <c r="EP37" s="353" t="str">
        <f t="shared" si="198"/>
        <v>-</v>
      </c>
      <c r="EQ37" s="353" t="str">
        <f t="shared" si="198"/>
        <v>-</v>
      </c>
      <c r="ER37" s="353" t="str">
        <f t="shared" si="199"/>
        <v>-</v>
      </c>
      <c r="ES37" s="353" t="str">
        <f t="shared" si="199"/>
        <v>-</v>
      </c>
      <c r="ET37" s="353" t="str">
        <f t="shared" si="199"/>
        <v>-</v>
      </c>
      <c r="EU37" s="353" t="str">
        <f t="shared" si="199"/>
        <v>-</v>
      </c>
      <c r="EV37" s="353" t="str">
        <f t="shared" si="199"/>
        <v>-</v>
      </c>
      <c r="EW37" s="353" t="str">
        <f t="shared" si="199"/>
        <v>-</v>
      </c>
      <c r="EX37" s="353" t="str">
        <f t="shared" si="199"/>
        <v>-</v>
      </c>
      <c r="EY37" s="353" t="str">
        <f t="shared" si="199"/>
        <v>-</v>
      </c>
      <c r="EZ37" s="353" t="str">
        <f t="shared" si="199"/>
        <v>-</v>
      </c>
      <c r="FA37" s="353" t="str">
        <f t="shared" si="199"/>
        <v>-</v>
      </c>
      <c r="FB37" s="354" t="str">
        <f t="shared" si="199"/>
        <v>-</v>
      </c>
      <c r="FD37" s="358">
        <f t="shared" si="156"/>
        <v>8.25</v>
      </c>
      <c r="FE37" s="353" t="str">
        <f t="shared" si="157"/>
        <v>-</v>
      </c>
      <c r="FF37" s="353" t="str">
        <f t="shared" si="158"/>
        <v>-</v>
      </c>
      <c r="FG37" s="353" t="str">
        <f t="shared" si="159"/>
        <v>-</v>
      </c>
      <c r="FH37" s="353" t="str">
        <f t="shared" si="160"/>
        <v>-</v>
      </c>
      <c r="FI37" s="353" t="str">
        <f t="shared" si="161"/>
        <v>-</v>
      </c>
      <c r="FJ37" s="353" t="str">
        <f t="shared" si="162"/>
        <v>-</v>
      </c>
      <c r="FK37" s="353" t="str">
        <f t="shared" si="163"/>
        <v>-</v>
      </c>
      <c r="FL37" s="353" t="str">
        <f t="shared" si="164"/>
        <v>-</v>
      </c>
      <c r="FM37" s="353" t="str">
        <f t="shared" si="165"/>
        <v>-</v>
      </c>
      <c r="FN37" s="353" t="str">
        <f t="shared" si="166"/>
        <v>-</v>
      </c>
      <c r="FO37" s="353" t="str">
        <f t="shared" si="167"/>
        <v>-</v>
      </c>
      <c r="FP37" s="353" t="str">
        <f t="shared" si="168"/>
        <v>-</v>
      </c>
      <c r="FQ37" s="353" t="str">
        <f t="shared" si="169"/>
        <v>-</v>
      </c>
      <c r="FR37" s="353" t="str">
        <f t="shared" si="170"/>
        <v>-</v>
      </c>
      <c r="FS37" s="353" t="str">
        <f t="shared" si="171"/>
        <v>-</v>
      </c>
      <c r="FT37" s="353" t="str">
        <f t="shared" si="172"/>
        <v>-</v>
      </c>
      <c r="FU37" s="353" t="str">
        <f t="shared" si="173"/>
        <v>-</v>
      </c>
      <c r="FV37" s="353" t="str">
        <f t="shared" si="174"/>
        <v>-</v>
      </c>
      <c r="FW37" s="353" t="str">
        <f t="shared" si="175"/>
        <v>-</v>
      </c>
      <c r="FX37" s="353" t="str">
        <f t="shared" si="176"/>
        <v>-</v>
      </c>
      <c r="FY37" s="354" t="str">
        <f t="shared" si="177"/>
        <v>-</v>
      </c>
      <c r="GB37" s="358">
        <f t="shared" si="178"/>
        <v>8.25</v>
      </c>
      <c r="GC37" s="353" t="str">
        <f>IF($GB37&gt;CDS.Tenor,"-",BE37*DE37*FE37)</f>
        <v>-</v>
      </c>
      <c r="GD37" s="353" t="str">
        <f>IF($GB37&gt;CDS.Tenor,"-",BF37*DF37*FF37)</f>
        <v>-</v>
      </c>
      <c r="GE37" s="353" t="str">
        <f>IF($GB37&gt;CDS.Tenor,"-",BG37*DG37*FG37)</f>
        <v>-</v>
      </c>
      <c r="GF37" s="353" t="str">
        <f>IF($GB37&gt;CDS.Tenor,"-",BH37*DH37*FH37)</f>
        <v>-</v>
      </c>
      <c r="GG37" s="353" t="str">
        <f>IF($GB37&gt;CDS.Tenor,"-",BI37*DI37*FI37)</f>
        <v>-</v>
      </c>
      <c r="GH37" s="353" t="str">
        <f>IF($GB37&gt;CDS.Tenor,"-",BJ37*DJ37*FJ37)</f>
        <v>-</v>
      </c>
      <c r="GI37" s="353" t="str">
        <f>IF($GB37&gt;CDS.Tenor,"-",BK37*DK37*FK37)</f>
        <v>-</v>
      </c>
      <c r="GJ37" s="353" t="str">
        <f>IF($GB37&gt;CDS.Tenor,"-",BL37*DL37*FL37)</f>
        <v>-</v>
      </c>
      <c r="GK37" s="353" t="str">
        <f>IF($GB37&gt;CDS.Tenor,"-",BM37*DM37*FM37)</f>
        <v>-</v>
      </c>
      <c r="GL37" s="353" t="str">
        <f>IF($GB37&gt;CDS.Tenor,"-",BN37*DN37*FN37)</f>
        <v>-</v>
      </c>
      <c r="GM37" s="353" t="str">
        <f>IF($GB37&gt;CDS.Tenor,"-",BO37*DO37*FO37)</f>
        <v>-</v>
      </c>
      <c r="GN37" s="353" t="str">
        <f>IF($GB37&gt;CDS.Tenor,"-",BP37*DP37*FP37)</f>
        <v>-</v>
      </c>
      <c r="GO37" s="353" t="str">
        <f>IF($GB37&gt;CDS.Tenor,"-",BQ37*DQ37*FQ37)</f>
        <v>-</v>
      </c>
      <c r="GP37" s="353" t="str">
        <f>IF($GB37&gt;CDS.Tenor,"-",BR37*DR37*FR37)</f>
        <v>-</v>
      </c>
      <c r="GQ37" s="353" t="str">
        <f>IF($GB37&gt;CDS.Tenor,"-",BS37*DS37*FS37)</f>
        <v>-</v>
      </c>
      <c r="GR37" s="353" t="str">
        <f>IF($GB37&gt;CDS.Tenor,"-",BT37*DT37*FT37)</f>
        <v>-</v>
      </c>
      <c r="GS37" s="353" t="str">
        <f>IF($GB37&gt;CDS.Tenor,"-",BU37*DU37*FU37)</f>
        <v>-</v>
      </c>
      <c r="GT37" s="353" t="str">
        <f>IF($GB37&gt;CDS.Tenor,"-",BV37*DV37*FV37)</f>
        <v>-</v>
      </c>
      <c r="GU37" s="353" t="str">
        <f>IF($GB37&gt;CDS.Tenor,"-",BW37*DW37*FW37)</f>
        <v>-</v>
      </c>
      <c r="GV37" s="353" t="str">
        <f>IF($GB37&gt;CDS.Tenor,"-",BX37*DX37*FX37)</f>
        <v>-</v>
      </c>
      <c r="GW37" s="354" t="str">
        <f>IF($GB37&gt;CDS.Tenor,"-",BY37*DY37*FY37)</f>
        <v>-</v>
      </c>
      <c r="GX37" s="42"/>
      <c r="GY37" s="42"/>
      <c r="GZ37" s="358">
        <f t="shared" si="179"/>
        <v>8.25</v>
      </c>
      <c r="HA37" s="362" t="str">
        <f t="shared" si="180"/>
        <v>-</v>
      </c>
      <c r="HB37" s="363" t="str">
        <f t="shared" si="181"/>
        <v>-</v>
      </c>
    </row>
    <row r="38" spans="9:210" x14ac:dyDescent="0.3">
      <c r="I38" s="370">
        <f t="shared" si="86"/>
        <v>8.5</v>
      </c>
      <c r="J38" s="371" t="str">
        <f t="shared" si="87"/>
        <v>-</v>
      </c>
      <c r="K38" s="348" t="str">
        <f t="shared" si="88"/>
        <v>-</v>
      </c>
      <c r="L38" s="348" t="str">
        <f t="shared" si="89"/>
        <v>-</v>
      </c>
      <c r="M38" s="372" t="str" cm="1">
        <f t="array" ref="M38">IF($I38&gt;CDS.Tenor,"-",cubicInterpolation(CurveResults.Times,CurveResults.DFs,$I38))</f>
        <v>-</v>
      </c>
      <c r="N38" s="371" t="str">
        <f t="shared" si="90"/>
        <v>-</v>
      </c>
      <c r="O38" s="371" t="str">
        <f t="shared" si="91"/>
        <v>-</v>
      </c>
      <c r="P38" s="373" t="str">
        <f t="shared" si="92"/>
        <v>-</v>
      </c>
      <c r="S38" s="370">
        <f t="shared" si="93"/>
        <v>8.5</v>
      </c>
      <c r="T38" s="371" t="str">
        <f t="shared" si="94"/>
        <v>-</v>
      </c>
      <c r="U38" s="348" t="str">
        <f>IF($I38&gt;CDS.Tenor,"-",HA38)</f>
        <v>-</v>
      </c>
      <c r="V38" s="348" t="str">
        <f t="shared" si="95"/>
        <v>-</v>
      </c>
      <c r="W38" s="372" t="str" cm="1">
        <f t="array" ref="W38">IF($S38&gt;CDS.Tenor,"-",cubicInterpolation(CurveResults.Times,CurveResults.DFs,$I38))</f>
        <v>-</v>
      </c>
      <c r="X38" s="373" t="str">
        <f t="shared" si="96"/>
        <v>-</v>
      </c>
      <c r="AA38" s="358">
        <f t="shared" si="97"/>
        <v>8.5</v>
      </c>
      <c r="AB38" s="343" t="str" cm="1">
        <f t="array" aca="1" ref="AB38" ca="1">IF($AA38&gt;CDS.Tenor,"-",flatInterpolation(Z38,INDIRECT(HazardRateTimes1),INDIRECT(HazardRateValues1)))</f>
        <v>-</v>
      </c>
      <c r="AC38" s="10" t="str">
        <f t="shared" si="98"/>
        <v>-</v>
      </c>
      <c r="AD38" s="10" t="str">
        <f t="shared" si="99"/>
        <v>-</v>
      </c>
      <c r="AE38" s="81" t="str">
        <f t="shared" si="100"/>
        <v>-</v>
      </c>
      <c r="AG38" s="358">
        <f t="shared" si="101"/>
        <v>8.5</v>
      </c>
      <c r="AH38" s="353" t="str">
        <f t="shared" si="194"/>
        <v>-</v>
      </c>
      <c r="AI38" s="353" t="str">
        <f t="shared" si="194"/>
        <v>-</v>
      </c>
      <c r="AJ38" s="353" t="str">
        <f t="shared" si="194"/>
        <v>-</v>
      </c>
      <c r="AK38" s="353" t="str">
        <f t="shared" si="194"/>
        <v>-</v>
      </c>
      <c r="AL38" s="353" t="str">
        <f t="shared" si="194"/>
        <v>-</v>
      </c>
      <c r="AM38" s="353" t="str">
        <f t="shared" si="194"/>
        <v>-</v>
      </c>
      <c r="AN38" s="353" t="str">
        <f t="shared" si="194"/>
        <v>-</v>
      </c>
      <c r="AO38" s="353" t="str">
        <f t="shared" si="194"/>
        <v>-</v>
      </c>
      <c r="AP38" s="353" t="str">
        <f t="shared" si="194"/>
        <v>-</v>
      </c>
      <c r="AQ38" s="353" t="str">
        <f t="shared" si="194"/>
        <v>-</v>
      </c>
      <c r="AR38" s="353" t="str">
        <f t="shared" si="195"/>
        <v>-</v>
      </c>
      <c r="AS38" s="353" t="str">
        <f t="shared" si="195"/>
        <v>-</v>
      </c>
      <c r="AT38" s="353" t="str">
        <f t="shared" si="195"/>
        <v>-</v>
      </c>
      <c r="AU38" s="353" t="str">
        <f t="shared" si="195"/>
        <v>-</v>
      </c>
      <c r="AV38" s="353" t="str">
        <f t="shared" si="195"/>
        <v>-</v>
      </c>
      <c r="AW38" s="353" t="str">
        <f t="shared" si="195"/>
        <v>-</v>
      </c>
      <c r="AX38" s="353" t="str">
        <f t="shared" si="195"/>
        <v>-</v>
      </c>
      <c r="AY38" s="353" t="str">
        <f t="shared" si="195"/>
        <v>-</v>
      </c>
      <c r="AZ38" s="353" t="str">
        <f t="shared" si="195"/>
        <v>-</v>
      </c>
      <c r="BA38" s="353" t="str">
        <f t="shared" si="195"/>
        <v>-</v>
      </c>
      <c r="BB38" s="354" t="str">
        <f t="shared" si="195"/>
        <v>-</v>
      </c>
      <c r="BD38" s="358">
        <f t="shared" si="104"/>
        <v>8.5</v>
      </c>
      <c r="BE38" s="353" t="str">
        <f t="shared" si="105"/>
        <v>-</v>
      </c>
      <c r="BF38" s="353" t="str">
        <f t="shared" si="106"/>
        <v>-</v>
      </c>
      <c r="BG38" s="353" t="str">
        <f t="shared" si="107"/>
        <v>-</v>
      </c>
      <c r="BH38" s="353" t="str">
        <f t="shared" si="108"/>
        <v>-</v>
      </c>
      <c r="BI38" s="353" t="str">
        <f t="shared" si="109"/>
        <v>-</v>
      </c>
      <c r="BJ38" s="353" t="str">
        <f t="shared" si="110"/>
        <v>-</v>
      </c>
      <c r="BK38" s="353" t="str">
        <f t="shared" si="111"/>
        <v>-</v>
      </c>
      <c r="BL38" s="353" t="str">
        <f t="shared" si="112"/>
        <v>-</v>
      </c>
      <c r="BM38" s="353" t="str">
        <f t="shared" si="113"/>
        <v>-</v>
      </c>
      <c r="BN38" s="353" t="str">
        <f t="shared" si="114"/>
        <v>-</v>
      </c>
      <c r="BO38" s="353" t="str">
        <f t="shared" si="115"/>
        <v>-</v>
      </c>
      <c r="BP38" s="353" t="str">
        <f t="shared" si="116"/>
        <v>-</v>
      </c>
      <c r="BQ38" s="353" t="str">
        <f t="shared" si="117"/>
        <v>-</v>
      </c>
      <c r="BR38" s="353" t="str">
        <f t="shared" si="118"/>
        <v>-</v>
      </c>
      <c r="BS38" s="353" t="str">
        <f t="shared" si="119"/>
        <v>-</v>
      </c>
      <c r="BT38" s="353" t="str">
        <f t="shared" si="120"/>
        <v>-</v>
      </c>
      <c r="BU38" s="353" t="str">
        <f t="shared" si="121"/>
        <v>-</v>
      </c>
      <c r="BV38" s="353" t="str">
        <f t="shared" si="122"/>
        <v>-</v>
      </c>
      <c r="BW38" s="353" t="str">
        <f t="shared" si="123"/>
        <v>-</v>
      </c>
      <c r="BX38" s="353" t="str">
        <f t="shared" si="124"/>
        <v>-</v>
      </c>
      <c r="BY38" s="354" t="str">
        <f t="shared" si="125"/>
        <v>-</v>
      </c>
      <c r="BZ38" s="17"/>
      <c r="CA38" s="17"/>
      <c r="CB38" s="343" t="str" cm="1">
        <f t="array" aca="1" ref="CB38" ca="1">IF($AA38&gt;CDS.Tenor,"-",flatInterpolation(AA38,INDIRECT(HazardRateTimes2),INDIRECT(HazardRateValues2)))</f>
        <v>-</v>
      </c>
      <c r="CC38" s="10" t="str">
        <f t="shared" si="126"/>
        <v>-</v>
      </c>
      <c r="CD38" s="10" t="str">
        <f t="shared" si="127"/>
        <v>-</v>
      </c>
      <c r="CE38" s="81" t="str">
        <f t="shared" si="128"/>
        <v>-</v>
      </c>
      <c r="CG38" s="358">
        <f t="shared" si="129"/>
        <v>8.5</v>
      </c>
      <c r="CH38" s="353" t="str">
        <f t="shared" si="196"/>
        <v>-</v>
      </c>
      <c r="CI38" s="353" t="str">
        <f t="shared" si="196"/>
        <v>-</v>
      </c>
      <c r="CJ38" s="353" t="str">
        <f t="shared" si="196"/>
        <v>-</v>
      </c>
      <c r="CK38" s="353" t="str">
        <f t="shared" si="196"/>
        <v>-</v>
      </c>
      <c r="CL38" s="353" t="str">
        <f t="shared" si="196"/>
        <v>-</v>
      </c>
      <c r="CM38" s="353" t="str">
        <f t="shared" si="196"/>
        <v>-</v>
      </c>
      <c r="CN38" s="353" t="str">
        <f t="shared" si="196"/>
        <v>-</v>
      </c>
      <c r="CO38" s="353" t="str">
        <f t="shared" si="196"/>
        <v>-</v>
      </c>
      <c r="CP38" s="353" t="str">
        <f t="shared" si="196"/>
        <v>-</v>
      </c>
      <c r="CQ38" s="353" t="str">
        <f t="shared" si="196"/>
        <v>-</v>
      </c>
      <c r="CR38" s="353" t="str">
        <f t="shared" si="197"/>
        <v>-</v>
      </c>
      <c r="CS38" s="353" t="str">
        <f t="shared" si="197"/>
        <v>-</v>
      </c>
      <c r="CT38" s="353" t="str">
        <f t="shared" si="197"/>
        <v>-</v>
      </c>
      <c r="CU38" s="353" t="str">
        <f t="shared" si="197"/>
        <v>-</v>
      </c>
      <c r="CV38" s="353" t="str">
        <f t="shared" si="197"/>
        <v>-</v>
      </c>
      <c r="CW38" s="353" t="str">
        <f t="shared" si="197"/>
        <v>-</v>
      </c>
      <c r="CX38" s="353" t="str">
        <f t="shared" si="197"/>
        <v>-</v>
      </c>
      <c r="CY38" s="353" t="str">
        <f t="shared" si="197"/>
        <v>-</v>
      </c>
      <c r="CZ38" s="353" t="str">
        <f t="shared" si="197"/>
        <v>-</v>
      </c>
      <c r="DA38" s="353" t="str">
        <f t="shared" si="197"/>
        <v>-</v>
      </c>
      <c r="DB38" s="354" t="str">
        <f t="shared" si="197"/>
        <v>-</v>
      </c>
      <c r="DD38" s="358">
        <f t="shared" si="130"/>
        <v>8.5</v>
      </c>
      <c r="DE38" s="353" t="str">
        <f t="shared" si="131"/>
        <v>-</v>
      </c>
      <c r="DF38" s="353" t="str">
        <f t="shared" si="132"/>
        <v>-</v>
      </c>
      <c r="DG38" s="353" t="str">
        <f t="shared" si="133"/>
        <v>-</v>
      </c>
      <c r="DH38" s="353" t="str">
        <f t="shared" si="134"/>
        <v>-</v>
      </c>
      <c r="DI38" s="353" t="str">
        <f t="shared" si="135"/>
        <v>-</v>
      </c>
      <c r="DJ38" s="353" t="str">
        <f t="shared" si="136"/>
        <v>-</v>
      </c>
      <c r="DK38" s="353" t="str">
        <f t="shared" si="137"/>
        <v>-</v>
      </c>
      <c r="DL38" s="353" t="str">
        <f t="shared" si="138"/>
        <v>-</v>
      </c>
      <c r="DM38" s="353" t="str">
        <f t="shared" si="139"/>
        <v>-</v>
      </c>
      <c r="DN38" s="353" t="str">
        <f t="shared" si="140"/>
        <v>-</v>
      </c>
      <c r="DO38" s="353" t="str">
        <f t="shared" si="141"/>
        <v>-</v>
      </c>
      <c r="DP38" s="353" t="str">
        <f t="shared" si="142"/>
        <v>-</v>
      </c>
      <c r="DQ38" s="353" t="str">
        <f t="shared" si="143"/>
        <v>-</v>
      </c>
      <c r="DR38" s="353" t="str">
        <f t="shared" si="144"/>
        <v>-</v>
      </c>
      <c r="DS38" s="353" t="str">
        <f t="shared" si="145"/>
        <v>-</v>
      </c>
      <c r="DT38" s="353" t="str">
        <f t="shared" si="146"/>
        <v>-</v>
      </c>
      <c r="DU38" s="353" t="str">
        <f t="shared" si="147"/>
        <v>-</v>
      </c>
      <c r="DV38" s="353" t="str">
        <f t="shared" si="148"/>
        <v>-</v>
      </c>
      <c r="DW38" s="353" t="str">
        <f t="shared" si="149"/>
        <v>-</v>
      </c>
      <c r="DX38" s="353" t="str">
        <f t="shared" si="150"/>
        <v>-</v>
      </c>
      <c r="DY38" s="354" t="str">
        <f t="shared" si="151"/>
        <v>-</v>
      </c>
      <c r="DZ38" s="17"/>
      <c r="EA38" s="17"/>
      <c r="EB38" s="343" t="str" cm="1">
        <f t="array" aca="1" ref="EB38" ca="1">IF($AA38&gt;CDS.Tenor,"-",flatInterpolation(CC38,INDIRECT(HazardRateTimes3),INDIRECT(HazardRateValues3)))</f>
        <v>-</v>
      </c>
      <c r="EC38" s="10" t="str">
        <f t="shared" si="152"/>
        <v>-</v>
      </c>
      <c r="ED38" s="10" t="str">
        <f t="shared" si="153"/>
        <v>-</v>
      </c>
      <c r="EE38" s="81" t="str">
        <f t="shared" si="154"/>
        <v>-</v>
      </c>
      <c r="EG38" s="358">
        <f t="shared" si="155"/>
        <v>8.5</v>
      </c>
      <c r="EH38" s="353" t="str">
        <f t="shared" si="198"/>
        <v>-</v>
      </c>
      <c r="EI38" s="353" t="str">
        <f t="shared" si="198"/>
        <v>-</v>
      </c>
      <c r="EJ38" s="353" t="str">
        <f t="shared" si="198"/>
        <v>-</v>
      </c>
      <c r="EK38" s="353" t="str">
        <f t="shared" si="198"/>
        <v>-</v>
      </c>
      <c r="EL38" s="353" t="str">
        <f t="shared" si="198"/>
        <v>-</v>
      </c>
      <c r="EM38" s="353" t="str">
        <f t="shared" si="198"/>
        <v>-</v>
      </c>
      <c r="EN38" s="353" t="str">
        <f t="shared" si="198"/>
        <v>-</v>
      </c>
      <c r="EO38" s="353" t="str">
        <f t="shared" si="198"/>
        <v>-</v>
      </c>
      <c r="EP38" s="353" t="str">
        <f t="shared" si="198"/>
        <v>-</v>
      </c>
      <c r="EQ38" s="353" t="str">
        <f t="shared" si="198"/>
        <v>-</v>
      </c>
      <c r="ER38" s="353" t="str">
        <f t="shared" si="199"/>
        <v>-</v>
      </c>
      <c r="ES38" s="353" t="str">
        <f t="shared" si="199"/>
        <v>-</v>
      </c>
      <c r="ET38" s="353" t="str">
        <f t="shared" si="199"/>
        <v>-</v>
      </c>
      <c r="EU38" s="353" t="str">
        <f t="shared" si="199"/>
        <v>-</v>
      </c>
      <c r="EV38" s="353" t="str">
        <f t="shared" si="199"/>
        <v>-</v>
      </c>
      <c r="EW38" s="353" t="str">
        <f t="shared" si="199"/>
        <v>-</v>
      </c>
      <c r="EX38" s="353" t="str">
        <f t="shared" si="199"/>
        <v>-</v>
      </c>
      <c r="EY38" s="353" t="str">
        <f t="shared" si="199"/>
        <v>-</v>
      </c>
      <c r="EZ38" s="353" t="str">
        <f t="shared" si="199"/>
        <v>-</v>
      </c>
      <c r="FA38" s="353" t="str">
        <f t="shared" si="199"/>
        <v>-</v>
      </c>
      <c r="FB38" s="354" t="str">
        <f t="shared" si="199"/>
        <v>-</v>
      </c>
      <c r="FD38" s="358">
        <f t="shared" si="156"/>
        <v>8.5</v>
      </c>
      <c r="FE38" s="353" t="str">
        <f t="shared" si="157"/>
        <v>-</v>
      </c>
      <c r="FF38" s="353" t="str">
        <f t="shared" si="158"/>
        <v>-</v>
      </c>
      <c r="FG38" s="353" t="str">
        <f t="shared" si="159"/>
        <v>-</v>
      </c>
      <c r="FH38" s="353" t="str">
        <f t="shared" si="160"/>
        <v>-</v>
      </c>
      <c r="FI38" s="353" t="str">
        <f t="shared" si="161"/>
        <v>-</v>
      </c>
      <c r="FJ38" s="353" t="str">
        <f t="shared" si="162"/>
        <v>-</v>
      </c>
      <c r="FK38" s="353" t="str">
        <f t="shared" si="163"/>
        <v>-</v>
      </c>
      <c r="FL38" s="353" t="str">
        <f t="shared" si="164"/>
        <v>-</v>
      </c>
      <c r="FM38" s="353" t="str">
        <f t="shared" si="165"/>
        <v>-</v>
      </c>
      <c r="FN38" s="353" t="str">
        <f t="shared" si="166"/>
        <v>-</v>
      </c>
      <c r="FO38" s="353" t="str">
        <f t="shared" si="167"/>
        <v>-</v>
      </c>
      <c r="FP38" s="353" t="str">
        <f t="shared" si="168"/>
        <v>-</v>
      </c>
      <c r="FQ38" s="353" t="str">
        <f t="shared" si="169"/>
        <v>-</v>
      </c>
      <c r="FR38" s="353" t="str">
        <f t="shared" si="170"/>
        <v>-</v>
      </c>
      <c r="FS38" s="353" t="str">
        <f t="shared" si="171"/>
        <v>-</v>
      </c>
      <c r="FT38" s="353" t="str">
        <f t="shared" si="172"/>
        <v>-</v>
      </c>
      <c r="FU38" s="353" t="str">
        <f t="shared" si="173"/>
        <v>-</v>
      </c>
      <c r="FV38" s="353" t="str">
        <f t="shared" si="174"/>
        <v>-</v>
      </c>
      <c r="FW38" s="353" t="str">
        <f t="shared" si="175"/>
        <v>-</v>
      </c>
      <c r="FX38" s="353" t="str">
        <f t="shared" si="176"/>
        <v>-</v>
      </c>
      <c r="FY38" s="354" t="str">
        <f t="shared" si="177"/>
        <v>-</v>
      </c>
      <c r="GB38" s="358">
        <f t="shared" si="178"/>
        <v>8.5</v>
      </c>
      <c r="GC38" s="353" t="str">
        <f>IF($GB38&gt;CDS.Tenor,"-",BE38*DE38*FE38)</f>
        <v>-</v>
      </c>
      <c r="GD38" s="353" t="str">
        <f>IF($GB38&gt;CDS.Tenor,"-",BF38*DF38*FF38)</f>
        <v>-</v>
      </c>
      <c r="GE38" s="353" t="str">
        <f>IF($GB38&gt;CDS.Tenor,"-",BG38*DG38*FG38)</f>
        <v>-</v>
      </c>
      <c r="GF38" s="353" t="str">
        <f>IF($GB38&gt;CDS.Tenor,"-",BH38*DH38*FH38)</f>
        <v>-</v>
      </c>
      <c r="GG38" s="353" t="str">
        <f>IF($GB38&gt;CDS.Tenor,"-",BI38*DI38*FI38)</f>
        <v>-</v>
      </c>
      <c r="GH38" s="353" t="str">
        <f>IF($GB38&gt;CDS.Tenor,"-",BJ38*DJ38*FJ38)</f>
        <v>-</v>
      </c>
      <c r="GI38" s="353" t="str">
        <f>IF($GB38&gt;CDS.Tenor,"-",BK38*DK38*FK38)</f>
        <v>-</v>
      </c>
      <c r="GJ38" s="353" t="str">
        <f>IF($GB38&gt;CDS.Tenor,"-",BL38*DL38*FL38)</f>
        <v>-</v>
      </c>
      <c r="GK38" s="353" t="str">
        <f>IF($GB38&gt;CDS.Tenor,"-",BM38*DM38*FM38)</f>
        <v>-</v>
      </c>
      <c r="GL38" s="353" t="str">
        <f>IF($GB38&gt;CDS.Tenor,"-",BN38*DN38*FN38)</f>
        <v>-</v>
      </c>
      <c r="GM38" s="353" t="str">
        <f>IF($GB38&gt;CDS.Tenor,"-",BO38*DO38*FO38)</f>
        <v>-</v>
      </c>
      <c r="GN38" s="353" t="str">
        <f>IF($GB38&gt;CDS.Tenor,"-",BP38*DP38*FP38)</f>
        <v>-</v>
      </c>
      <c r="GO38" s="353" t="str">
        <f>IF($GB38&gt;CDS.Tenor,"-",BQ38*DQ38*FQ38)</f>
        <v>-</v>
      </c>
      <c r="GP38" s="353" t="str">
        <f>IF($GB38&gt;CDS.Tenor,"-",BR38*DR38*FR38)</f>
        <v>-</v>
      </c>
      <c r="GQ38" s="353" t="str">
        <f>IF($GB38&gt;CDS.Tenor,"-",BS38*DS38*FS38)</f>
        <v>-</v>
      </c>
      <c r="GR38" s="353" t="str">
        <f>IF($GB38&gt;CDS.Tenor,"-",BT38*DT38*FT38)</f>
        <v>-</v>
      </c>
      <c r="GS38" s="353" t="str">
        <f>IF($GB38&gt;CDS.Tenor,"-",BU38*DU38*FU38)</f>
        <v>-</v>
      </c>
      <c r="GT38" s="353" t="str">
        <f>IF($GB38&gt;CDS.Tenor,"-",BV38*DV38*FV38)</f>
        <v>-</v>
      </c>
      <c r="GU38" s="353" t="str">
        <f>IF($GB38&gt;CDS.Tenor,"-",BW38*DW38*FW38)</f>
        <v>-</v>
      </c>
      <c r="GV38" s="353" t="str">
        <f>IF($GB38&gt;CDS.Tenor,"-",BX38*DX38*FX38)</f>
        <v>-</v>
      </c>
      <c r="GW38" s="354" t="str">
        <f>IF($GB38&gt;CDS.Tenor,"-",BY38*DY38*FY38)</f>
        <v>-</v>
      </c>
      <c r="GX38" s="42"/>
      <c r="GY38" s="42"/>
      <c r="GZ38" s="358">
        <f t="shared" si="179"/>
        <v>8.5</v>
      </c>
      <c r="HA38" s="362" t="str">
        <f t="shared" si="180"/>
        <v>-</v>
      </c>
      <c r="HB38" s="363" t="str">
        <f t="shared" si="181"/>
        <v>-</v>
      </c>
    </row>
    <row r="39" spans="9:210" x14ac:dyDescent="0.3">
      <c r="I39" s="370">
        <f t="shared" si="86"/>
        <v>8.75</v>
      </c>
      <c r="J39" s="371" t="str">
        <f t="shared" si="87"/>
        <v>-</v>
      </c>
      <c r="K39" s="348" t="str">
        <f t="shared" si="88"/>
        <v>-</v>
      </c>
      <c r="L39" s="348" t="str">
        <f t="shared" si="89"/>
        <v>-</v>
      </c>
      <c r="M39" s="372" t="str" cm="1">
        <f t="array" ref="M39">IF($I39&gt;CDS.Tenor,"-",cubicInterpolation(CurveResults.Times,CurveResults.DFs,$I39))</f>
        <v>-</v>
      </c>
      <c r="N39" s="371" t="str">
        <f t="shared" si="90"/>
        <v>-</v>
      </c>
      <c r="O39" s="371" t="str">
        <f t="shared" si="91"/>
        <v>-</v>
      </c>
      <c r="P39" s="373" t="str">
        <f t="shared" si="92"/>
        <v>-</v>
      </c>
      <c r="S39" s="370">
        <f t="shared" si="93"/>
        <v>8.75</v>
      </c>
      <c r="T39" s="371" t="str">
        <f t="shared" si="94"/>
        <v>-</v>
      </c>
      <c r="U39" s="348" t="str">
        <f>IF($I39&gt;CDS.Tenor,"-",HA39)</f>
        <v>-</v>
      </c>
      <c r="V39" s="348" t="str">
        <f t="shared" si="95"/>
        <v>-</v>
      </c>
      <c r="W39" s="372" t="str" cm="1">
        <f t="array" ref="W39">IF($S39&gt;CDS.Tenor,"-",cubicInterpolation(CurveResults.Times,CurveResults.DFs,$I39))</f>
        <v>-</v>
      </c>
      <c r="X39" s="373" t="str">
        <f t="shared" si="96"/>
        <v>-</v>
      </c>
      <c r="AA39" s="358">
        <f t="shared" si="97"/>
        <v>8.75</v>
      </c>
      <c r="AB39" s="343" t="str" cm="1">
        <f t="array" aca="1" ref="AB39" ca="1">IF($AA39&gt;CDS.Tenor,"-",flatInterpolation(Z39,INDIRECT(HazardRateTimes1),INDIRECT(HazardRateValues1)))</f>
        <v>-</v>
      </c>
      <c r="AC39" s="10" t="str">
        <f t="shared" si="98"/>
        <v>-</v>
      </c>
      <c r="AD39" s="10" t="str">
        <f t="shared" si="99"/>
        <v>-</v>
      </c>
      <c r="AE39" s="81" t="str">
        <f t="shared" si="100"/>
        <v>-</v>
      </c>
      <c r="AG39" s="358">
        <f t="shared" si="101"/>
        <v>8.75</v>
      </c>
      <c r="AH39" s="353" t="str">
        <f t="shared" si="194"/>
        <v>-</v>
      </c>
      <c r="AI39" s="353" t="str">
        <f t="shared" si="194"/>
        <v>-</v>
      </c>
      <c r="AJ39" s="353" t="str">
        <f t="shared" si="194"/>
        <v>-</v>
      </c>
      <c r="AK39" s="353" t="str">
        <f t="shared" si="194"/>
        <v>-</v>
      </c>
      <c r="AL39" s="353" t="str">
        <f t="shared" si="194"/>
        <v>-</v>
      </c>
      <c r="AM39" s="353" t="str">
        <f t="shared" si="194"/>
        <v>-</v>
      </c>
      <c r="AN39" s="353" t="str">
        <f t="shared" si="194"/>
        <v>-</v>
      </c>
      <c r="AO39" s="353" t="str">
        <f t="shared" si="194"/>
        <v>-</v>
      </c>
      <c r="AP39" s="353" t="str">
        <f t="shared" si="194"/>
        <v>-</v>
      </c>
      <c r="AQ39" s="353" t="str">
        <f t="shared" si="194"/>
        <v>-</v>
      </c>
      <c r="AR39" s="353" t="str">
        <f t="shared" si="195"/>
        <v>-</v>
      </c>
      <c r="AS39" s="353" t="str">
        <f t="shared" si="195"/>
        <v>-</v>
      </c>
      <c r="AT39" s="353" t="str">
        <f t="shared" si="195"/>
        <v>-</v>
      </c>
      <c r="AU39" s="353" t="str">
        <f t="shared" si="195"/>
        <v>-</v>
      </c>
      <c r="AV39" s="353" t="str">
        <f t="shared" si="195"/>
        <v>-</v>
      </c>
      <c r="AW39" s="353" t="str">
        <f t="shared" si="195"/>
        <v>-</v>
      </c>
      <c r="AX39" s="353" t="str">
        <f t="shared" si="195"/>
        <v>-</v>
      </c>
      <c r="AY39" s="353" t="str">
        <f t="shared" si="195"/>
        <v>-</v>
      </c>
      <c r="AZ39" s="353" t="str">
        <f t="shared" si="195"/>
        <v>-</v>
      </c>
      <c r="BA39" s="353" t="str">
        <f t="shared" si="195"/>
        <v>-</v>
      </c>
      <c r="BB39" s="354" t="str">
        <f t="shared" si="195"/>
        <v>-</v>
      </c>
      <c r="BD39" s="358">
        <f t="shared" si="104"/>
        <v>8.75</v>
      </c>
      <c r="BE39" s="353" t="str">
        <f t="shared" si="105"/>
        <v>-</v>
      </c>
      <c r="BF39" s="353" t="str">
        <f t="shared" si="106"/>
        <v>-</v>
      </c>
      <c r="BG39" s="353" t="str">
        <f t="shared" si="107"/>
        <v>-</v>
      </c>
      <c r="BH39" s="353" t="str">
        <f t="shared" si="108"/>
        <v>-</v>
      </c>
      <c r="BI39" s="353" t="str">
        <f t="shared" si="109"/>
        <v>-</v>
      </c>
      <c r="BJ39" s="353" t="str">
        <f t="shared" si="110"/>
        <v>-</v>
      </c>
      <c r="BK39" s="353" t="str">
        <f t="shared" si="111"/>
        <v>-</v>
      </c>
      <c r="BL39" s="353" t="str">
        <f t="shared" si="112"/>
        <v>-</v>
      </c>
      <c r="BM39" s="353" t="str">
        <f t="shared" si="113"/>
        <v>-</v>
      </c>
      <c r="BN39" s="353" t="str">
        <f t="shared" si="114"/>
        <v>-</v>
      </c>
      <c r="BO39" s="353" t="str">
        <f t="shared" si="115"/>
        <v>-</v>
      </c>
      <c r="BP39" s="353" t="str">
        <f t="shared" si="116"/>
        <v>-</v>
      </c>
      <c r="BQ39" s="353" t="str">
        <f t="shared" si="117"/>
        <v>-</v>
      </c>
      <c r="BR39" s="353" t="str">
        <f t="shared" si="118"/>
        <v>-</v>
      </c>
      <c r="BS39" s="353" t="str">
        <f t="shared" si="119"/>
        <v>-</v>
      </c>
      <c r="BT39" s="353" t="str">
        <f t="shared" si="120"/>
        <v>-</v>
      </c>
      <c r="BU39" s="353" t="str">
        <f t="shared" si="121"/>
        <v>-</v>
      </c>
      <c r="BV39" s="353" t="str">
        <f t="shared" si="122"/>
        <v>-</v>
      </c>
      <c r="BW39" s="353" t="str">
        <f t="shared" si="123"/>
        <v>-</v>
      </c>
      <c r="BX39" s="353" t="str">
        <f t="shared" si="124"/>
        <v>-</v>
      </c>
      <c r="BY39" s="354" t="str">
        <f t="shared" si="125"/>
        <v>-</v>
      </c>
      <c r="BZ39" s="17"/>
      <c r="CA39" s="17"/>
      <c r="CB39" s="343" t="str" cm="1">
        <f t="array" aca="1" ref="CB39" ca="1">IF($AA39&gt;CDS.Tenor,"-",flatInterpolation(AA39,INDIRECT(HazardRateTimes2),INDIRECT(HazardRateValues2)))</f>
        <v>-</v>
      </c>
      <c r="CC39" s="10" t="str">
        <f t="shared" si="126"/>
        <v>-</v>
      </c>
      <c r="CD39" s="10" t="str">
        <f t="shared" si="127"/>
        <v>-</v>
      </c>
      <c r="CE39" s="81" t="str">
        <f t="shared" si="128"/>
        <v>-</v>
      </c>
      <c r="CG39" s="358">
        <f t="shared" si="129"/>
        <v>8.75</v>
      </c>
      <c r="CH39" s="353" t="str">
        <f t="shared" si="196"/>
        <v>-</v>
      </c>
      <c r="CI39" s="353" t="str">
        <f t="shared" si="196"/>
        <v>-</v>
      </c>
      <c r="CJ39" s="353" t="str">
        <f t="shared" si="196"/>
        <v>-</v>
      </c>
      <c r="CK39" s="353" t="str">
        <f t="shared" si="196"/>
        <v>-</v>
      </c>
      <c r="CL39" s="353" t="str">
        <f t="shared" si="196"/>
        <v>-</v>
      </c>
      <c r="CM39" s="353" t="str">
        <f t="shared" si="196"/>
        <v>-</v>
      </c>
      <c r="CN39" s="353" t="str">
        <f t="shared" si="196"/>
        <v>-</v>
      </c>
      <c r="CO39" s="353" t="str">
        <f t="shared" si="196"/>
        <v>-</v>
      </c>
      <c r="CP39" s="353" t="str">
        <f t="shared" si="196"/>
        <v>-</v>
      </c>
      <c r="CQ39" s="353" t="str">
        <f t="shared" si="196"/>
        <v>-</v>
      </c>
      <c r="CR39" s="353" t="str">
        <f t="shared" si="197"/>
        <v>-</v>
      </c>
      <c r="CS39" s="353" t="str">
        <f t="shared" si="197"/>
        <v>-</v>
      </c>
      <c r="CT39" s="353" t="str">
        <f t="shared" si="197"/>
        <v>-</v>
      </c>
      <c r="CU39" s="353" t="str">
        <f t="shared" si="197"/>
        <v>-</v>
      </c>
      <c r="CV39" s="353" t="str">
        <f t="shared" si="197"/>
        <v>-</v>
      </c>
      <c r="CW39" s="353" t="str">
        <f t="shared" si="197"/>
        <v>-</v>
      </c>
      <c r="CX39" s="353" t="str">
        <f t="shared" si="197"/>
        <v>-</v>
      </c>
      <c r="CY39" s="353" t="str">
        <f t="shared" si="197"/>
        <v>-</v>
      </c>
      <c r="CZ39" s="353" t="str">
        <f t="shared" si="197"/>
        <v>-</v>
      </c>
      <c r="DA39" s="353" t="str">
        <f t="shared" si="197"/>
        <v>-</v>
      </c>
      <c r="DB39" s="354" t="str">
        <f t="shared" si="197"/>
        <v>-</v>
      </c>
      <c r="DD39" s="358">
        <f t="shared" si="130"/>
        <v>8.75</v>
      </c>
      <c r="DE39" s="353" t="str">
        <f t="shared" si="131"/>
        <v>-</v>
      </c>
      <c r="DF39" s="353" t="str">
        <f t="shared" si="132"/>
        <v>-</v>
      </c>
      <c r="DG39" s="353" t="str">
        <f t="shared" si="133"/>
        <v>-</v>
      </c>
      <c r="DH39" s="353" t="str">
        <f t="shared" si="134"/>
        <v>-</v>
      </c>
      <c r="DI39" s="353" t="str">
        <f t="shared" si="135"/>
        <v>-</v>
      </c>
      <c r="DJ39" s="353" t="str">
        <f t="shared" si="136"/>
        <v>-</v>
      </c>
      <c r="DK39" s="353" t="str">
        <f t="shared" si="137"/>
        <v>-</v>
      </c>
      <c r="DL39" s="353" t="str">
        <f t="shared" si="138"/>
        <v>-</v>
      </c>
      <c r="DM39" s="353" t="str">
        <f t="shared" si="139"/>
        <v>-</v>
      </c>
      <c r="DN39" s="353" t="str">
        <f t="shared" si="140"/>
        <v>-</v>
      </c>
      <c r="DO39" s="353" t="str">
        <f t="shared" si="141"/>
        <v>-</v>
      </c>
      <c r="DP39" s="353" t="str">
        <f t="shared" si="142"/>
        <v>-</v>
      </c>
      <c r="DQ39" s="353" t="str">
        <f t="shared" si="143"/>
        <v>-</v>
      </c>
      <c r="DR39" s="353" t="str">
        <f t="shared" si="144"/>
        <v>-</v>
      </c>
      <c r="DS39" s="353" t="str">
        <f t="shared" si="145"/>
        <v>-</v>
      </c>
      <c r="DT39" s="353" t="str">
        <f t="shared" si="146"/>
        <v>-</v>
      </c>
      <c r="DU39" s="353" t="str">
        <f t="shared" si="147"/>
        <v>-</v>
      </c>
      <c r="DV39" s="353" t="str">
        <f t="shared" si="148"/>
        <v>-</v>
      </c>
      <c r="DW39" s="353" t="str">
        <f t="shared" si="149"/>
        <v>-</v>
      </c>
      <c r="DX39" s="353" t="str">
        <f t="shared" si="150"/>
        <v>-</v>
      </c>
      <c r="DY39" s="354" t="str">
        <f t="shared" si="151"/>
        <v>-</v>
      </c>
      <c r="DZ39" s="17"/>
      <c r="EA39" s="17"/>
      <c r="EB39" s="343" t="str" cm="1">
        <f t="array" aca="1" ref="EB39" ca="1">IF($AA39&gt;CDS.Tenor,"-",flatInterpolation(CC39,INDIRECT(HazardRateTimes3),INDIRECT(HazardRateValues3)))</f>
        <v>-</v>
      </c>
      <c r="EC39" s="10" t="str">
        <f t="shared" si="152"/>
        <v>-</v>
      </c>
      <c r="ED39" s="10" t="str">
        <f t="shared" si="153"/>
        <v>-</v>
      </c>
      <c r="EE39" s="81" t="str">
        <f t="shared" si="154"/>
        <v>-</v>
      </c>
      <c r="EG39" s="358">
        <f t="shared" si="155"/>
        <v>8.75</v>
      </c>
      <c r="EH39" s="353" t="str">
        <f t="shared" si="198"/>
        <v>-</v>
      </c>
      <c r="EI39" s="353" t="str">
        <f t="shared" si="198"/>
        <v>-</v>
      </c>
      <c r="EJ39" s="353" t="str">
        <f t="shared" si="198"/>
        <v>-</v>
      </c>
      <c r="EK39" s="353" t="str">
        <f t="shared" si="198"/>
        <v>-</v>
      </c>
      <c r="EL39" s="353" t="str">
        <f t="shared" si="198"/>
        <v>-</v>
      </c>
      <c r="EM39" s="353" t="str">
        <f t="shared" si="198"/>
        <v>-</v>
      </c>
      <c r="EN39" s="353" t="str">
        <f t="shared" si="198"/>
        <v>-</v>
      </c>
      <c r="EO39" s="353" t="str">
        <f t="shared" si="198"/>
        <v>-</v>
      </c>
      <c r="EP39" s="353" t="str">
        <f t="shared" si="198"/>
        <v>-</v>
      </c>
      <c r="EQ39" s="353" t="str">
        <f t="shared" si="198"/>
        <v>-</v>
      </c>
      <c r="ER39" s="353" t="str">
        <f t="shared" si="199"/>
        <v>-</v>
      </c>
      <c r="ES39" s="353" t="str">
        <f t="shared" si="199"/>
        <v>-</v>
      </c>
      <c r="ET39" s="353" t="str">
        <f t="shared" si="199"/>
        <v>-</v>
      </c>
      <c r="EU39" s="353" t="str">
        <f t="shared" si="199"/>
        <v>-</v>
      </c>
      <c r="EV39" s="353" t="str">
        <f t="shared" si="199"/>
        <v>-</v>
      </c>
      <c r="EW39" s="353" t="str">
        <f t="shared" si="199"/>
        <v>-</v>
      </c>
      <c r="EX39" s="353" t="str">
        <f t="shared" si="199"/>
        <v>-</v>
      </c>
      <c r="EY39" s="353" t="str">
        <f t="shared" si="199"/>
        <v>-</v>
      </c>
      <c r="EZ39" s="353" t="str">
        <f t="shared" si="199"/>
        <v>-</v>
      </c>
      <c r="FA39" s="353" t="str">
        <f t="shared" si="199"/>
        <v>-</v>
      </c>
      <c r="FB39" s="354" t="str">
        <f t="shared" si="199"/>
        <v>-</v>
      </c>
      <c r="FD39" s="358">
        <f t="shared" si="156"/>
        <v>8.75</v>
      </c>
      <c r="FE39" s="353" t="str">
        <f t="shared" si="157"/>
        <v>-</v>
      </c>
      <c r="FF39" s="353" t="str">
        <f t="shared" si="158"/>
        <v>-</v>
      </c>
      <c r="FG39" s="353" t="str">
        <f t="shared" si="159"/>
        <v>-</v>
      </c>
      <c r="FH39" s="353" t="str">
        <f t="shared" si="160"/>
        <v>-</v>
      </c>
      <c r="FI39" s="353" t="str">
        <f t="shared" si="161"/>
        <v>-</v>
      </c>
      <c r="FJ39" s="353" t="str">
        <f t="shared" si="162"/>
        <v>-</v>
      </c>
      <c r="FK39" s="353" t="str">
        <f t="shared" si="163"/>
        <v>-</v>
      </c>
      <c r="FL39" s="353" t="str">
        <f t="shared" si="164"/>
        <v>-</v>
      </c>
      <c r="FM39" s="353" t="str">
        <f t="shared" si="165"/>
        <v>-</v>
      </c>
      <c r="FN39" s="353" t="str">
        <f t="shared" si="166"/>
        <v>-</v>
      </c>
      <c r="FO39" s="353" t="str">
        <f t="shared" si="167"/>
        <v>-</v>
      </c>
      <c r="FP39" s="353" t="str">
        <f t="shared" si="168"/>
        <v>-</v>
      </c>
      <c r="FQ39" s="353" t="str">
        <f t="shared" si="169"/>
        <v>-</v>
      </c>
      <c r="FR39" s="353" t="str">
        <f t="shared" si="170"/>
        <v>-</v>
      </c>
      <c r="FS39" s="353" t="str">
        <f t="shared" si="171"/>
        <v>-</v>
      </c>
      <c r="FT39" s="353" t="str">
        <f t="shared" si="172"/>
        <v>-</v>
      </c>
      <c r="FU39" s="353" t="str">
        <f t="shared" si="173"/>
        <v>-</v>
      </c>
      <c r="FV39" s="353" t="str">
        <f t="shared" si="174"/>
        <v>-</v>
      </c>
      <c r="FW39" s="353" t="str">
        <f t="shared" si="175"/>
        <v>-</v>
      </c>
      <c r="FX39" s="353" t="str">
        <f t="shared" si="176"/>
        <v>-</v>
      </c>
      <c r="FY39" s="354" t="str">
        <f t="shared" si="177"/>
        <v>-</v>
      </c>
      <c r="GB39" s="358">
        <f t="shared" si="178"/>
        <v>8.75</v>
      </c>
      <c r="GC39" s="353" t="str">
        <f>IF($GB39&gt;CDS.Tenor,"-",BE39*DE39*FE39)</f>
        <v>-</v>
      </c>
      <c r="GD39" s="353" t="str">
        <f>IF($GB39&gt;CDS.Tenor,"-",BF39*DF39*FF39)</f>
        <v>-</v>
      </c>
      <c r="GE39" s="353" t="str">
        <f>IF($GB39&gt;CDS.Tenor,"-",BG39*DG39*FG39)</f>
        <v>-</v>
      </c>
      <c r="GF39" s="353" t="str">
        <f>IF($GB39&gt;CDS.Tenor,"-",BH39*DH39*FH39)</f>
        <v>-</v>
      </c>
      <c r="GG39" s="353" t="str">
        <f>IF($GB39&gt;CDS.Tenor,"-",BI39*DI39*FI39)</f>
        <v>-</v>
      </c>
      <c r="GH39" s="353" t="str">
        <f>IF($GB39&gt;CDS.Tenor,"-",BJ39*DJ39*FJ39)</f>
        <v>-</v>
      </c>
      <c r="GI39" s="353" t="str">
        <f>IF($GB39&gt;CDS.Tenor,"-",BK39*DK39*FK39)</f>
        <v>-</v>
      </c>
      <c r="GJ39" s="353" t="str">
        <f>IF($GB39&gt;CDS.Tenor,"-",BL39*DL39*FL39)</f>
        <v>-</v>
      </c>
      <c r="GK39" s="353" t="str">
        <f>IF($GB39&gt;CDS.Tenor,"-",BM39*DM39*FM39)</f>
        <v>-</v>
      </c>
      <c r="GL39" s="353" t="str">
        <f>IF($GB39&gt;CDS.Tenor,"-",BN39*DN39*FN39)</f>
        <v>-</v>
      </c>
      <c r="GM39" s="353" t="str">
        <f>IF($GB39&gt;CDS.Tenor,"-",BO39*DO39*FO39)</f>
        <v>-</v>
      </c>
      <c r="GN39" s="353" t="str">
        <f>IF($GB39&gt;CDS.Tenor,"-",BP39*DP39*FP39)</f>
        <v>-</v>
      </c>
      <c r="GO39" s="353" t="str">
        <f>IF($GB39&gt;CDS.Tenor,"-",BQ39*DQ39*FQ39)</f>
        <v>-</v>
      </c>
      <c r="GP39" s="353" t="str">
        <f>IF($GB39&gt;CDS.Tenor,"-",BR39*DR39*FR39)</f>
        <v>-</v>
      </c>
      <c r="GQ39" s="353" t="str">
        <f>IF($GB39&gt;CDS.Tenor,"-",BS39*DS39*FS39)</f>
        <v>-</v>
      </c>
      <c r="GR39" s="353" t="str">
        <f>IF($GB39&gt;CDS.Tenor,"-",BT39*DT39*FT39)</f>
        <v>-</v>
      </c>
      <c r="GS39" s="353" t="str">
        <f>IF($GB39&gt;CDS.Tenor,"-",BU39*DU39*FU39)</f>
        <v>-</v>
      </c>
      <c r="GT39" s="353" t="str">
        <f>IF($GB39&gt;CDS.Tenor,"-",BV39*DV39*FV39)</f>
        <v>-</v>
      </c>
      <c r="GU39" s="353" t="str">
        <f>IF($GB39&gt;CDS.Tenor,"-",BW39*DW39*FW39)</f>
        <v>-</v>
      </c>
      <c r="GV39" s="353" t="str">
        <f>IF($GB39&gt;CDS.Tenor,"-",BX39*DX39*FX39)</f>
        <v>-</v>
      </c>
      <c r="GW39" s="354" t="str">
        <f>IF($GB39&gt;CDS.Tenor,"-",BY39*DY39*FY39)</f>
        <v>-</v>
      </c>
      <c r="GX39" s="42"/>
      <c r="GY39" s="42"/>
      <c r="GZ39" s="358">
        <f t="shared" si="179"/>
        <v>8.75</v>
      </c>
      <c r="HA39" s="362" t="str">
        <f t="shared" si="180"/>
        <v>-</v>
      </c>
      <c r="HB39" s="363" t="str">
        <f t="shared" si="181"/>
        <v>-</v>
      </c>
    </row>
    <row r="40" spans="9:210" x14ac:dyDescent="0.3">
      <c r="I40" s="370">
        <f t="shared" si="86"/>
        <v>9</v>
      </c>
      <c r="J40" s="371" t="str">
        <f t="shared" si="87"/>
        <v>-</v>
      </c>
      <c r="K40" s="348" t="str">
        <f t="shared" si="88"/>
        <v>-</v>
      </c>
      <c r="L40" s="348" t="str">
        <f t="shared" si="89"/>
        <v>-</v>
      </c>
      <c r="M40" s="372" t="str" cm="1">
        <f t="array" ref="M40">IF($I40&gt;CDS.Tenor,"-",cubicInterpolation(CurveResults.Times,CurveResults.DFs,$I40))</f>
        <v>-</v>
      </c>
      <c r="N40" s="371" t="str">
        <f t="shared" si="90"/>
        <v>-</v>
      </c>
      <c r="O40" s="371" t="str">
        <f t="shared" si="91"/>
        <v>-</v>
      </c>
      <c r="P40" s="373" t="str">
        <f t="shared" si="92"/>
        <v>-</v>
      </c>
      <c r="S40" s="370">
        <f t="shared" si="93"/>
        <v>9</v>
      </c>
      <c r="T40" s="371" t="str">
        <f t="shared" si="94"/>
        <v>-</v>
      </c>
      <c r="U40" s="348" t="str">
        <f>IF($I40&gt;CDS.Tenor,"-",HA40)</f>
        <v>-</v>
      </c>
      <c r="V40" s="348" t="str">
        <f t="shared" si="95"/>
        <v>-</v>
      </c>
      <c r="W40" s="372" t="str" cm="1">
        <f t="array" ref="W40">IF($S40&gt;CDS.Tenor,"-",cubicInterpolation(CurveResults.Times,CurveResults.DFs,$I40))</f>
        <v>-</v>
      </c>
      <c r="X40" s="373" t="str">
        <f t="shared" si="96"/>
        <v>-</v>
      </c>
      <c r="AA40" s="358">
        <f t="shared" si="97"/>
        <v>9</v>
      </c>
      <c r="AB40" s="343" t="str" cm="1">
        <f t="array" aca="1" ref="AB40" ca="1">IF($AA40&gt;CDS.Tenor,"-",flatInterpolation(Z40,INDIRECT(HazardRateTimes1),INDIRECT(HazardRateValues1)))</f>
        <v>-</v>
      </c>
      <c r="AC40" s="10" t="str">
        <f t="shared" si="98"/>
        <v>-</v>
      </c>
      <c r="AD40" s="10" t="str">
        <f t="shared" si="99"/>
        <v>-</v>
      </c>
      <c r="AE40" s="81" t="str">
        <f t="shared" si="100"/>
        <v>-</v>
      </c>
      <c r="AG40" s="358">
        <f t="shared" si="101"/>
        <v>9</v>
      </c>
      <c r="AH40" s="353" t="str">
        <f t="shared" si="194"/>
        <v>-</v>
      </c>
      <c r="AI40" s="353" t="str">
        <f t="shared" si="194"/>
        <v>-</v>
      </c>
      <c r="AJ40" s="353" t="str">
        <f t="shared" si="194"/>
        <v>-</v>
      </c>
      <c r="AK40" s="353" t="str">
        <f t="shared" si="194"/>
        <v>-</v>
      </c>
      <c r="AL40" s="353" t="str">
        <f t="shared" si="194"/>
        <v>-</v>
      </c>
      <c r="AM40" s="353" t="str">
        <f t="shared" si="194"/>
        <v>-</v>
      </c>
      <c r="AN40" s="353" t="str">
        <f t="shared" si="194"/>
        <v>-</v>
      </c>
      <c r="AO40" s="353" t="str">
        <f t="shared" si="194"/>
        <v>-</v>
      </c>
      <c r="AP40" s="353" t="str">
        <f t="shared" si="194"/>
        <v>-</v>
      </c>
      <c r="AQ40" s="353" t="str">
        <f t="shared" si="194"/>
        <v>-</v>
      </c>
      <c r="AR40" s="353" t="str">
        <f t="shared" si="195"/>
        <v>-</v>
      </c>
      <c r="AS40" s="353" t="str">
        <f t="shared" si="195"/>
        <v>-</v>
      </c>
      <c r="AT40" s="353" t="str">
        <f t="shared" si="195"/>
        <v>-</v>
      </c>
      <c r="AU40" s="353" t="str">
        <f t="shared" si="195"/>
        <v>-</v>
      </c>
      <c r="AV40" s="353" t="str">
        <f t="shared" si="195"/>
        <v>-</v>
      </c>
      <c r="AW40" s="353" t="str">
        <f t="shared" si="195"/>
        <v>-</v>
      </c>
      <c r="AX40" s="353" t="str">
        <f t="shared" si="195"/>
        <v>-</v>
      </c>
      <c r="AY40" s="353" t="str">
        <f t="shared" si="195"/>
        <v>-</v>
      </c>
      <c r="AZ40" s="353" t="str">
        <f t="shared" si="195"/>
        <v>-</v>
      </c>
      <c r="BA40" s="353" t="str">
        <f t="shared" si="195"/>
        <v>-</v>
      </c>
      <c r="BB40" s="354" t="str">
        <f t="shared" si="195"/>
        <v>-</v>
      </c>
      <c r="BD40" s="358">
        <f t="shared" si="104"/>
        <v>9</v>
      </c>
      <c r="BE40" s="353" t="str">
        <f t="shared" si="105"/>
        <v>-</v>
      </c>
      <c r="BF40" s="353" t="str">
        <f t="shared" si="106"/>
        <v>-</v>
      </c>
      <c r="BG40" s="353" t="str">
        <f t="shared" si="107"/>
        <v>-</v>
      </c>
      <c r="BH40" s="353" t="str">
        <f t="shared" si="108"/>
        <v>-</v>
      </c>
      <c r="BI40" s="353" t="str">
        <f t="shared" si="109"/>
        <v>-</v>
      </c>
      <c r="BJ40" s="353" t="str">
        <f t="shared" si="110"/>
        <v>-</v>
      </c>
      <c r="BK40" s="353" t="str">
        <f t="shared" si="111"/>
        <v>-</v>
      </c>
      <c r="BL40" s="353" t="str">
        <f t="shared" si="112"/>
        <v>-</v>
      </c>
      <c r="BM40" s="353" t="str">
        <f t="shared" si="113"/>
        <v>-</v>
      </c>
      <c r="BN40" s="353" t="str">
        <f t="shared" si="114"/>
        <v>-</v>
      </c>
      <c r="BO40" s="353" t="str">
        <f t="shared" si="115"/>
        <v>-</v>
      </c>
      <c r="BP40" s="353" t="str">
        <f t="shared" si="116"/>
        <v>-</v>
      </c>
      <c r="BQ40" s="353" t="str">
        <f t="shared" si="117"/>
        <v>-</v>
      </c>
      <c r="BR40" s="353" t="str">
        <f t="shared" si="118"/>
        <v>-</v>
      </c>
      <c r="BS40" s="353" t="str">
        <f t="shared" si="119"/>
        <v>-</v>
      </c>
      <c r="BT40" s="353" t="str">
        <f t="shared" si="120"/>
        <v>-</v>
      </c>
      <c r="BU40" s="353" t="str">
        <f t="shared" si="121"/>
        <v>-</v>
      </c>
      <c r="BV40" s="353" t="str">
        <f t="shared" si="122"/>
        <v>-</v>
      </c>
      <c r="BW40" s="353" t="str">
        <f t="shared" si="123"/>
        <v>-</v>
      </c>
      <c r="BX40" s="353" t="str">
        <f t="shared" si="124"/>
        <v>-</v>
      </c>
      <c r="BY40" s="354" t="str">
        <f t="shared" si="125"/>
        <v>-</v>
      </c>
      <c r="BZ40" s="17"/>
      <c r="CA40" s="17"/>
      <c r="CB40" s="343" t="str" cm="1">
        <f t="array" aca="1" ref="CB40" ca="1">IF($AA40&gt;CDS.Tenor,"-",flatInterpolation(AA40,INDIRECT(HazardRateTimes2),INDIRECT(HazardRateValues2)))</f>
        <v>-</v>
      </c>
      <c r="CC40" s="10" t="str">
        <f t="shared" si="126"/>
        <v>-</v>
      </c>
      <c r="CD40" s="10" t="str">
        <f t="shared" si="127"/>
        <v>-</v>
      </c>
      <c r="CE40" s="81" t="str">
        <f t="shared" si="128"/>
        <v>-</v>
      </c>
      <c r="CG40" s="358">
        <f t="shared" si="129"/>
        <v>9</v>
      </c>
      <c r="CH40" s="353" t="str">
        <f t="shared" si="196"/>
        <v>-</v>
      </c>
      <c r="CI40" s="353" t="str">
        <f t="shared" si="196"/>
        <v>-</v>
      </c>
      <c r="CJ40" s="353" t="str">
        <f t="shared" si="196"/>
        <v>-</v>
      </c>
      <c r="CK40" s="353" t="str">
        <f t="shared" si="196"/>
        <v>-</v>
      </c>
      <c r="CL40" s="353" t="str">
        <f t="shared" si="196"/>
        <v>-</v>
      </c>
      <c r="CM40" s="353" t="str">
        <f t="shared" si="196"/>
        <v>-</v>
      </c>
      <c r="CN40" s="353" t="str">
        <f t="shared" si="196"/>
        <v>-</v>
      </c>
      <c r="CO40" s="353" t="str">
        <f t="shared" si="196"/>
        <v>-</v>
      </c>
      <c r="CP40" s="353" t="str">
        <f t="shared" si="196"/>
        <v>-</v>
      </c>
      <c r="CQ40" s="353" t="str">
        <f t="shared" si="196"/>
        <v>-</v>
      </c>
      <c r="CR40" s="353" t="str">
        <f t="shared" si="197"/>
        <v>-</v>
      </c>
      <c r="CS40" s="353" t="str">
        <f t="shared" si="197"/>
        <v>-</v>
      </c>
      <c r="CT40" s="353" t="str">
        <f t="shared" si="197"/>
        <v>-</v>
      </c>
      <c r="CU40" s="353" t="str">
        <f t="shared" si="197"/>
        <v>-</v>
      </c>
      <c r="CV40" s="353" t="str">
        <f t="shared" si="197"/>
        <v>-</v>
      </c>
      <c r="CW40" s="353" t="str">
        <f t="shared" si="197"/>
        <v>-</v>
      </c>
      <c r="CX40" s="353" t="str">
        <f t="shared" si="197"/>
        <v>-</v>
      </c>
      <c r="CY40" s="353" t="str">
        <f t="shared" si="197"/>
        <v>-</v>
      </c>
      <c r="CZ40" s="353" t="str">
        <f t="shared" si="197"/>
        <v>-</v>
      </c>
      <c r="DA40" s="353" t="str">
        <f t="shared" si="197"/>
        <v>-</v>
      </c>
      <c r="DB40" s="354" t="str">
        <f t="shared" si="197"/>
        <v>-</v>
      </c>
      <c r="DD40" s="358">
        <f t="shared" si="130"/>
        <v>9</v>
      </c>
      <c r="DE40" s="353" t="str">
        <f t="shared" si="131"/>
        <v>-</v>
      </c>
      <c r="DF40" s="353" t="str">
        <f t="shared" si="132"/>
        <v>-</v>
      </c>
      <c r="DG40" s="353" t="str">
        <f t="shared" si="133"/>
        <v>-</v>
      </c>
      <c r="DH40" s="353" t="str">
        <f t="shared" si="134"/>
        <v>-</v>
      </c>
      <c r="DI40" s="353" t="str">
        <f t="shared" si="135"/>
        <v>-</v>
      </c>
      <c r="DJ40" s="353" t="str">
        <f t="shared" si="136"/>
        <v>-</v>
      </c>
      <c r="DK40" s="353" t="str">
        <f t="shared" si="137"/>
        <v>-</v>
      </c>
      <c r="DL40" s="353" t="str">
        <f t="shared" si="138"/>
        <v>-</v>
      </c>
      <c r="DM40" s="353" t="str">
        <f t="shared" si="139"/>
        <v>-</v>
      </c>
      <c r="DN40" s="353" t="str">
        <f t="shared" si="140"/>
        <v>-</v>
      </c>
      <c r="DO40" s="353" t="str">
        <f t="shared" si="141"/>
        <v>-</v>
      </c>
      <c r="DP40" s="353" t="str">
        <f t="shared" si="142"/>
        <v>-</v>
      </c>
      <c r="DQ40" s="353" t="str">
        <f t="shared" si="143"/>
        <v>-</v>
      </c>
      <c r="DR40" s="353" t="str">
        <f t="shared" si="144"/>
        <v>-</v>
      </c>
      <c r="DS40" s="353" t="str">
        <f t="shared" si="145"/>
        <v>-</v>
      </c>
      <c r="DT40" s="353" t="str">
        <f t="shared" si="146"/>
        <v>-</v>
      </c>
      <c r="DU40" s="353" t="str">
        <f t="shared" si="147"/>
        <v>-</v>
      </c>
      <c r="DV40" s="353" t="str">
        <f t="shared" si="148"/>
        <v>-</v>
      </c>
      <c r="DW40" s="353" t="str">
        <f t="shared" si="149"/>
        <v>-</v>
      </c>
      <c r="DX40" s="353" t="str">
        <f t="shared" si="150"/>
        <v>-</v>
      </c>
      <c r="DY40" s="354" t="str">
        <f t="shared" si="151"/>
        <v>-</v>
      </c>
      <c r="DZ40" s="17"/>
      <c r="EA40" s="17"/>
      <c r="EB40" s="343" t="str" cm="1">
        <f t="array" aca="1" ref="EB40" ca="1">IF($AA40&gt;CDS.Tenor,"-",flatInterpolation(CC40,INDIRECT(HazardRateTimes3),INDIRECT(HazardRateValues3)))</f>
        <v>-</v>
      </c>
      <c r="EC40" s="10" t="str">
        <f t="shared" si="152"/>
        <v>-</v>
      </c>
      <c r="ED40" s="10" t="str">
        <f t="shared" si="153"/>
        <v>-</v>
      </c>
      <c r="EE40" s="81" t="str">
        <f t="shared" si="154"/>
        <v>-</v>
      </c>
      <c r="EG40" s="358">
        <f t="shared" si="155"/>
        <v>9</v>
      </c>
      <c r="EH40" s="353" t="str">
        <f t="shared" si="198"/>
        <v>-</v>
      </c>
      <c r="EI40" s="353" t="str">
        <f t="shared" si="198"/>
        <v>-</v>
      </c>
      <c r="EJ40" s="353" t="str">
        <f t="shared" si="198"/>
        <v>-</v>
      </c>
      <c r="EK40" s="353" t="str">
        <f t="shared" si="198"/>
        <v>-</v>
      </c>
      <c r="EL40" s="353" t="str">
        <f t="shared" si="198"/>
        <v>-</v>
      </c>
      <c r="EM40" s="353" t="str">
        <f t="shared" si="198"/>
        <v>-</v>
      </c>
      <c r="EN40" s="353" t="str">
        <f t="shared" si="198"/>
        <v>-</v>
      </c>
      <c r="EO40" s="353" t="str">
        <f t="shared" si="198"/>
        <v>-</v>
      </c>
      <c r="EP40" s="353" t="str">
        <f t="shared" si="198"/>
        <v>-</v>
      </c>
      <c r="EQ40" s="353" t="str">
        <f t="shared" si="198"/>
        <v>-</v>
      </c>
      <c r="ER40" s="353" t="str">
        <f t="shared" si="199"/>
        <v>-</v>
      </c>
      <c r="ES40" s="353" t="str">
        <f t="shared" si="199"/>
        <v>-</v>
      </c>
      <c r="ET40" s="353" t="str">
        <f t="shared" si="199"/>
        <v>-</v>
      </c>
      <c r="EU40" s="353" t="str">
        <f t="shared" si="199"/>
        <v>-</v>
      </c>
      <c r="EV40" s="353" t="str">
        <f t="shared" si="199"/>
        <v>-</v>
      </c>
      <c r="EW40" s="353" t="str">
        <f t="shared" si="199"/>
        <v>-</v>
      </c>
      <c r="EX40" s="353" t="str">
        <f t="shared" si="199"/>
        <v>-</v>
      </c>
      <c r="EY40" s="353" t="str">
        <f t="shared" si="199"/>
        <v>-</v>
      </c>
      <c r="EZ40" s="353" t="str">
        <f t="shared" si="199"/>
        <v>-</v>
      </c>
      <c r="FA40" s="353" t="str">
        <f t="shared" si="199"/>
        <v>-</v>
      </c>
      <c r="FB40" s="354" t="str">
        <f t="shared" si="199"/>
        <v>-</v>
      </c>
      <c r="FD40" s="358">
        <f t="shared" si="156"/>
        <v>9</v>
      </c>
      <c r="FE40" s="353" t="str">
        <f t="shared" si="157"/>
        <v>-</v>
      </c>
      <c r="FF40" s="353" t="str">
        <f t="shared" si="158"/>
        <v>-</v>
      </c>
      <c r="FG40" s="353" t="str">
        <f t="shared" si="159"/>
        <v>-</v>
      </c>
      <c r="FH40" s="353" t="str">
        <f t="shared" si="160"/>
        <v>-</v>
      </c>
      <c r="FI40" s="353" t="str">
        <f t="shared" si="161"/>
        <v>-</v>
      </c>
      <c r="FJ40" s="353" t="str">
        <f t="shared" si="162"/>
        <v>-</v>
      </c>
      <c r="FK40" s="353" t="str">
        <f t="shared" si="163"/>
        <v>-</v>
      </c>
      <c r="FL40" s="353" t="str">
        <f t="shared" si="164"/>
        <v>-</v>
      </c>
      <c r="FM40" s="353" t="str">
        <f t="shared" si="165"/>
        <v>-</v>
      </c>
      <c r="FN40" s="353" t="str">
        <f t="shared" si="166"/>
        <v>-</v>
      </c>
      <c r="FO40" s="353" t="str">
        <f t="shared" si="167"/>
        <v>-</v>
      </c>
      <c r="FP40" s="353" t="str">
        <f t="shared" si="168"/>
        <v>-</v>
      </c>
      <c r="FQ40" s="353" t="str">
        <f t="shared" si="169"/>
        <v>-</v>
      </c>
      <c r="FR40" s="353" t="str">
        <f t="shared" si="170"/>
        <v>-</v>
      </c>
      <c r="FS40" s="353" t="str">
        <f t="shared" si="171"/>
        <v>-</v>
      </c>
      <c r="FT40" s="353" t="str">
        <f t="shared" si="172"/>
        <v>-</v>
      </c>
      <c r="FU40" s="353" t="str">
        <f t="shared" si="173"/>
        <v>-</v>
      </c>
      <c r="FV40" s="353" t="str">
        <f t="shared" si="174"/>
        <v>-</v>
      </c>
      <c r="FW40" s="353" t="str">
        <f t="shared" si="175"/>
        <v>-</v>
      </c>
      <c r="FX40" s="353" t="str">
        <f t="shared" si="176"/>
        <v>-</v>
      </c>
      <c r="FY40" s="354" t="str">
        <f t="shared" si="177"/>
        <v>-</v>
      </c>
      <c r="GB40" s="358">
        <f t="shared" si="178"/>
        <v>9</v>
      </c>
      <c r="GC40" s="353" t="str">
        <f>IF($GB40&gt;CDS.Tenor,"-",BE40*DE40*FE40)</f>
        <v>-</v>
      </c>
      <c r="GD40" s="353" t="str">
        <f>IF($GB40&gt;CDS.Tenor,"-",BF40*DF40*FF40)</f>
        <v>-</v>
      </c>
      <c r="GE40" s="353" t="str">
        <f>IF($GB40&gt;CDS.Tenor,"-",BG40*DG40*FG40)</f>
        <v>-</v>
      </c>
      <c r="GF40" s="353" t="str">
        <f>IF($GB40&gt;CDS.Tenor,"-",BH40*DH40*FH40)</f>
        <v>-</v>
      </c>
      <c r="GG40" s="353" t="str">
        <f>IF($GB40&gt;CDS.Tenor,"-",BI40*DI40*FI40)</f>
        <v>-</v>
      </c>
      <c r="GH40" s="353" t="str">
        <f>IF($GB40&gt;CDS.Tenor,"-",BJ40*DJ40*FJ40)</f>
        <v>-</v>
      </c>
      <c r="GI40" s="353" t="str">
        <f>IF($GB40&gt;CDS.Tenor,"-",BK40*DK40*FK40)</f>
        <v>-</v>
      </c>
      <c r="GJ40" s="353" t="str">
        <f>IF($GB40&gt;CDS.Tenor,"-",BL40*DL40*FL40)</f>
        <v>-</v>
      </c>
      <c r="GK40" s="353" t="str">
        <f>IF($GB40&gt;CDS.Tenor,"-",BM40*DM40*FM40)</f>
        <v>-</v>
      </c>
      <c r="GL40" s="353" t="str">
        <f>IF($GB40&gt;CDS.Tenor,"-",BN40*DN40*FN40)</f>
        <v>-</v>
      </c>
      <c r="GM40" s="353" t="str">
        <f>IF($GB40&gt;CDS.Tenor,"-",BO40*DO40*FO40)</f>
        <v>-</v>
      </c>
      <c r="GN40" s="353" t="str">
        <f>IF($GB40&gt;CDS.Tenor,"-",BP40*DP40*FP40)</f>
        <v>-</v>
      </c>
      <c r="GO40" s="353" t="str">
        <f>IF($GB40&gt;CDS.Tenor,"-",BQ40*DQ40*FQ40)</f>
        <v>-</v>
      </c>
      <c r="GP40" s="353" t="str">
        <f>IF($GB40&gt;CDS.Tenor,"-",BR40*DR40*FR40)</f>
        <v>-</v>
      </c>
      <c r="GQ40" s="353" t="str">
        <f>IF($GB40&gt;CDS.Tenor,"-",BS40*DS40*FS40)</f>
        <v>-</v>
      </c>
      <c r="GR40" s="353" t="str">
        <f>IF($GB40&gt;CDS.Tenor,"-",BT40*DT40*FT40)</f>
        <v>-</v>
      </c>
      <c r="GS40" s="353" t="str">
        <f>IF($GB40&gt;CDS.Tenor,"-",BU40*DU40*FU40)</f>
        <v>-</v>
      </c>
      <c r="GT40" s="353" t="str">
        <f>IF($GB40&gt;CDS.Tenor,"-",BV40*DV40*FV40)</f>
        <v>-</v>
      </c>
      <c r="GU40" s="353" t="str">
        <f>IF($GB40&gt;CDS.Tenor,"-",BW40*DW40*FW40)</f>
        <v>-</v>
      </c>
      <c r="GV40" s="353" t="str">
        <f>IF($GB40&gt;CDS.Tenor,"-",BX40*DX40*FX40)</f>
        <v>-</v>
      </c>
      <c r="GW40" s="354" t="str">
        <f>IF($GB40&gt;CDS.Tenor,"-",BY40*DY40*FY40)</f>
        <v>-</v>
      </c>
      <c r="GX40" s="42"/>
      <c r="GY40" s="42"/>
      <c r="GZ40" s="358">
        <f t="shared" si="179"/>
        <v>9</v>
      </c>
      <c r="HA40" s="362" t="str">
        <f t="shared" si="180"/>
        <v>-</v>
      </c>
      <c r="HB40" s="363" t="str">
        <f t="shared" si="181"/>
        <v>-</v>
      </c>
    </row>
    <row r="41" spans="9:210" x14ac:dyDescent="0.3">
      <c r="I41" s="370">
        <f t="shared" si="86"/>
        <v>9.25</v>
      </c>
      <c r="J41" s="371" t="str">
        <f t="shared" si="87"/>
        <v>-</v>
      </c>
      <c r="K41" s="348" t="str">
        <f t="shared" si="88"/>
        <v>-</v>
      </c>
      <c r="L41" s="348" t="str">
        <f t="shared" si="89"/>
        <v>-</v>
      </c>
      <c r="M41" s="372" t="str" cm="1">
        <f t="array" ref="M41">IF($I41&gt;CDS.Tenor,"-",cubicInterpolation(CurveResults.Times,CurveResults.DFs,$I41))</f>
        <v>-</v>
      </c>
      <c r="N41" s="371" t="str">
        <f t="shared" si="90"/>
        <v>-</v>
      </c>
      <c r="O41" s="371" t="str">
        <f t="shared" si="91"/>
        <v>-</v>
      </c>
      <c r="P41" s="373" t="str">
        <f t="shared" si="92"/>
        <v>-</v>
      </c>
      <c r="S41" s="370">
        <f t="shared" si="93"/>
        <v>9.25</v>
      </c>
      <c r="T41" s="371" t="str">
        <f t="shared" si="94"/>
        <v>-</v>
      </c>
      <c r="U41" s="348" t="str">
        <f>IF($I41&gt;CDS.Tenor,"-",HA41)</f>
        <v>-</v>
      </c>
      <c r="V41" s="348" t="str">
        <f t="shared" si="95"/>
        <v>-</v>
      </c>
      <c r="W41" s="372" t="str" cm="1">
        <f t="array" ref="W41">IF($S41&gt;CDS.Tenor,"-",cubicInterpolation(CurveResults.Times,CurveResults.DFs,$I41))</f>
        <v>-</v>
      </c>
      <c r="X41" s="373" t="str">
        <f t="shared" si="96"/>
        <v>-</v>
      </c>
      <c r="AA41" s="358">
        <f t="shared" si="97"/>
        <v>9.25</v>
      </c>
      <c r="AB41" s="343" t="str" cm="1">
        <f t="array" aca="1" ref="AB41" ca="1">IF($AA41&gt;CDS.Tenor,"-",flatInterpolation(Z41,INDIRECT(HazardRateTimes1),INDIRECT(HazardRateValues1)))</f>
        <v>-</v>
      </c>
      <c r="AC41" s="10" t="str">
        <f t="shared" si="98"/>
        <v>-</v>
      </c>
      <c r="AD41" s="10" t="str">
        <f t="shared" si="99"/>
        <v>-</v>
      </c>
      <c r="AE41" s="81" t="str">
        <f t="shared" si="100"/>
        <v>-</v>
      </c>
      <c r="AG41" s="358">
        <f t="shared" si="101"/>
        <v>9.25</v>
      </c>
      <c r="AH41" s="353" t="str">
        <f t="shared" si="194"/>
        <v>-</v>
      </c>
      <c r="AI41" s="353" t="str">
        <f t="shared" si="194"/>
        <v>-</v>
      </c>
      <c r="AJ41" s="353" t="str">
        <f t="shared" si="194"/>
        <v>-</v>
      </c>
      <c r="AK41" s="353" t="str">
        <f t="shared" si="194"/>
        <v>-</v>
      </c>
      <c r="AL41" s="353" t="str">
        <f t="shared" si="194"/>
        <v>-</v>
      </c>
      <c r="AM41" s="353" t="str">
        <f t="shared" si="194"/>
        <v>-</v>
      </c>
      <c r="AN41" s="353" t="str">
        <f t="shared" si="194"/>
        <v>-</v>
      </c>
      <c r="AO41" s="353" t="str">
        <f t="shared" si="194"/>
        <v>-</v>
      </c>
      <c r="AP41" s="353" t="str">
        <f t="shared" si="194"/>
        <v>-</v>
      </c>
      <c r="AQ41" s="353" t="str">
        <f t="shared" si="194"/>
        <v>-</v>
      </c>
      <c r="AR41" s="353" t="str">
        <f t="shared" si="195"/>
        <v>-</v>
      </c>
      <c r="AS41" s="353" t="str">
        <f t="shared" si="195"/>
        <v>-</v>
      </c>
      <c r="AT41" s="353" t="str">
        <f t="shared" si="195"/>
        <v>-</v>
      </c>
      <c r="AU41" s="353" t="str">
        <f t="shared" si="195"/>
        <v>-</v>
      </c>
      <c r="AV41" s="353" t="str">
        <f t="shared" si="195"/>
        <v>-</v>
      </c>
      <c r="AW41" s="353" t="str">
        <f t="shared" si="195"/>
        <v>-</v>
      </c>
      <c r="AX41" s="353" t="str">
        <f t="shared" si="195"/>
        <v>-</v>
      </c>
      <c r="AY41" s="353" t="str">
        <f t="shared" si="195"/>
        <v>-</v>
      </c>
      <c r="AZ41" s="353" t="str">
        <f t="shared" si="195"/>
        <v>-</v>
      </c>
      <c r="BA41" s="353" t="str">
        <f t="shared" si="195"/>
        <v>-</v>
      </c>
      <c r="BB41" s="354" t="str">
        <f t="shared" si="195"/>
        <v>-</v>
      </c>
      <c r="BD41" s="358">
        <f t="shared" si="104"/>
        <v>9.25</v>
      </c>
      <c r="BE41" s="353" t="str">
        <f t="shared" si="105"/>
        <v>-</v>
      </c>
      <c r="BF41" s="353" t="str">
        <f t="shared" si="106"/>
        <v>-</v>
      </c>
      <c r="BG41" s="353" t="str">
        <f t="shared" si="107"/>
        <v>-</v>
      </c>
      <c r="BH41" s="353" t="str">
        <f t="shared" si="108"/>
        <v>-</v>
      </c>
      <c r="BI41" s="353" t="str">
        <f t="shared" si="109"/>
        <v>-</v>
      </c>
      <c r="BJ41" s="353" t="str">
        <f t="shared" si="110"/>
        <v>-</v>
      </c>
      <c r="BK41" s="353" t="str">
        <f t="shared" si="111"/>
        <v>-</v>
      </c>
      <c r="BL41" s="353" t="str">
        <f t="shared" si="112"/>
        <v>-</v>
      </c>
      <c r="BM41" s="353" t="str">
        <f t="shared" si="113"/>
        <v>-</v>
      </c>
      <c r="BN41" s="353" t="str">
        <f t="shared" si="114"/>
        <v>-</v>
      </c>
      <c r="BO41" s="353" t="str">
        <f t="shared" si="115"/>
        <v>-</v>
      </c>
      <c r="BP41" s="353" t="str">
        <f t="shared" si="116"/>
        <v>-</v>
      </c>
      <c r="BQ41" s="353" t="str">
        <f t="shared" si="117"/>
        <v>-</v>
      </c>
      <c r="BR41" s="353" t="str">
        <f t="shared" si="118"/>
        <v>-</v>
      </c>
      <c r="BS41" s="353" t="str">
        <f t="shared" si="119"/>
        <v>-</v>
      </c>
      <c r="BT41" s="353" t="str">
        <f t="shared" si="120"/>
        <v>-</v>
      </c>
      <c r="BU41" s="353" t="str">
        <f t="shared" si="121"/>
        <v>-</v>
      </c>
      <c r="BV41" s="353" t="str">
        <f t="shared" si="122"/>
        <v>-</v>
      </c>
      <c r="BW41" s="353" t="str">
        <f t="shared" si="123"/>
        <v>-</v>
      </c>
      <c r="BX41" s="353" t="str">
        <f t="shared" si="124"/>
        <v>-</v>
      </c>
      <c r="BY41" s="354" t="str">
        <f t="shared" si="125"/>
        <v>-</v>
      </c>
      <c r="BZ41" s="17"/>
      <c r="CA41" s="17"/>
      <c r="CB41" s="343" t="str" cm="1">
        <f t="array" aca="1" ref="CB41" ca="1">IF($AA41&gt;CDS.Tenor,"-",flatInterpolation(AA41,INDIRECT(HazardRateTimes2),INDIRECT(HazardRateValues2)))</f>
        <v>-</v>
      </c>
      <c r="CC41" s="10" t="str">
        <f t="shared" si="126"/>
        <v>-</v>
      </c>
      <c r="CD41" s="10" t="str">
        <f t="shared" si="127"/>
        <v>-</v>
      </c>
      <c r="CE41" s="81" t="str">
        <f t="shared" si="128"/>
        <v>-</v>
      </c>
      <c r="CG41" s="358">
        <f t="shared" si="129"/>
        <v>9.25</v>
      </c>
      <c r="CH41" s="353" t="str">
        <f t="shared" si="196"/>
        <v>-</v>
      </c>
      <c r="CI41" s="353" t="str">
        <f t="shared" si="196"/>
        <v>-</v>
      </c>
      <c r="CJ41" s="353" t="str">
        <f t="shared" si="196"/>
        <v>-</v>
      </c>
      <c r="CK41" s="353" t="str">
        <f t="shared" si="196"/>
        <v>-</v>
      </c>
      <c r="CL41" s="353" t="str">
        <f t="shared" si="196"/>
        <v>-</v>
      </c>
      <c r="CM41" s="353" t="str">
        <f t="shared" si="196"/>
        <v>-</v>
      </c>
      <c r="CN41" s="353" t="str">
        <f t="shared" si="196"/>
        <v>-</v>
      </c>
      <c r="CO41" s="353" t="str">
        <f t="shared" si="196"/>
        <v>-</v>
      </c>
      <c r="CP41" s="353" t="str">
        <f t="shared" si="196"/>
        <v>-</v>
      </c>
      <c r="CQ41" s="353" t="str">
        <f t="shared" si="196"/>
        <v>-</v>
      </c>
      <c r="CR41" s="353" t="str">
        <f t="shared" si="197"/>
        <v>-</v>
      </c>
      <c r="CS41" s="353" t="str">
        <f t="shared" si="197"/>
        <v>-</v>
      </c>
      <c r="CT41" s="353" t="str">
        <f t="shared" si="197"/>
        <v>-</v>
      </c>
      <c r="CU41" s="353" t="str">
        <f t="shared" si="197"/>
        <v>-</v>
      </c>
      <c r="CV41" s="353" t="str">
        <f t="shared" si="197"/>
        <v>-</v>
      </c>
      <c r="CW41" s="353" t="str">
        <f t="shared" si="197"/>
        <v>-</v>
      </c>
      <c r="CX41" s="353" t="str">
        <f t="shared" si="197"/>
        <v>-</v>
      </c>
      <c r="CY41" s="353" t="str">
        <f t="shared" si="197"/>
        <v>-</v>
      </c>
      <c r="CZ41" s="353" t="str">
        <f t="shared" si="197"/>
        <v>-</v>
      </c>
      <c r="DA41" s="353" t="str">
        <f t="shared" si="197"/>
        <v>-</v>
      </c>
      <c r="DB41" s="354" t="str">
        <f t="shared" si="197"/>
        <v>-</v>
      </c>
      <c r="DD41" s="358">
        <f t="shared" si="130"/>
        <v>9.25</v>
      </c>
      <c r="DE41" s="353" t="str">
        <f t="shared" si="131"/>
        <v>-</v>
      </c>
      <c r="DF41" s="353" t="str">
        <f t="shared" si="132"/>
        <v>-</v>
      </c>
      <c r="DG41" s="353" t="str">
        <f t="shared" si="133"/>
        <v>-</v>
      </c>
      <c r="DH41" s="353" t="str">
        <f t="shared" si="134"/>
        <v>-</v>
      </c>
      <c r="DI41" s="353" t="str">
        <f t="shared" si="135"/>
        <v>-</v>
      </c>
      <c r="DJ41" s="353" t="str">
        <f t="shared" si="136"/>
        <v>-</v>
      </c>
      <c r="DK41" s="353" t="str">
        <f t="shared" si="137"/>
        <v>-</v>
      </c>
      <c r="DL41" s="353" t="str">
        <f t="shared" si="138"/>
        <v>-</v>
      </c>
      <c r="DM41" s="353" t="str">
        <f t="shared" si="139"/>
        <v>-</v>
      </c>
      <c r="DN41" s="353" t="str">
        <f t="shared" si="140"/>
        <v>-</v>
      </c>
      <c r="DO41" s="353" t="str">
        <f t="shared" si="141"/>
        <v>-</v>
      </c>
      <c r="DP41" s="353" t="str">
        <f t="shared" si="142"/>
        <v>-</v>
      </c>
      <c r="DQ41" s="353" t="str">
        <f t="shared" si="143"/>
        <v>-</v>
      </c>
      <c r="DR41" s="353" t="str">
        <f t="shared" si="144"/>
        <v>-</v>
      </c>
      <c r="DS41" s="353" t="str">
        <f t="shared" si="145"/>
        <v>-</v>
      </c>
      <c r="DT41" s="353" t="str">
        <f t="shared" si="146"/>
        <v>-</v>
      </c>
      <c r="DU41" s="353" t="str">
        <f t="shared" si="147"/>
        <v>-</v>
      </c>
      <c r="DV41" s="353" t="str">
        <f t="shared" si="148"/>
        <v>-</v>
      </c>
      <c r="DW41" s="353" t="str">
        <f t="shared" si="149"/>
        <v>-</v>
      </c>
      <c r="DX41" s="353" t="str">
        <f t="shared" si="150"/>
        <v>-</v>
      </c>
      <c r="DY41" s="354" t="str">
        <f t="shared" si="151"/>
        <v>-</v>
      </c>
      <c r="DZ41" s="17"/>
      <c r="EA41" s="17"/>
      <c r="EB41" s="343" t="str" cm="1">
        <f t="array" aca="1" ref="EB41" ca="1">IF($AA41&gt;CDS.Tenor,"-",flatInterpolation(CC41,INDIRECT(HazardRateTimes3),INDIRECT(HazardRateValues3)))</f>
        <v>-</v>
      </c>
      <c r="EC41" s="10" t="str">
        <f t="shared" si="152"/>
        <v>-</v>
      </c>
      <c r="ED41" s="10" t="str">
        <f t="shared" si="153"/>
        <v>-</v>
      </c>
      <c r="EE41" s="81" t="str">
        <f t="shared" si="154"/>
        <v>-</v>
      </c>
      <c r="EG41" s="358">
        <f t="shared" si="155"/>
        <v>9.25</v>
      </c>
      <c r="EH41" s="353" t="str">
        <f t="shared" si="198"/>
        <v>-</v>
      </c>
      <c r="EI41" s="353" t="str">
        <f t="shared" si="198"/>
        <v>-</v>
      </c>
      <c r="EJ41" s="353" t="str">
        <f t="shared" si="198"/>
        <v>-</v>
      </c>
      <c r="EK41" s="353" t="str">
        <f t="shared" si="198"/>
        <v>-</v>
      </c>
      <c r="EL41" s="353" t="str">
        <f t="shared" si="198"/>
        <v>-</v>
      </c>
      <c r="EM41" s="353" t="str">
        <f t="shared" si="198"/>
        <v>-</v>
      </c>
      <c r="EN41" s="353" t="str">
        <f t="shared" si="198"/>
        <v>-</v>
      </c>
      <c r="EO41" s="353" t="str">
        <f t="shared" si="198"/>
        <v>-</v>
      </c>
      <c r="EP41" s="353" t="str">
        <f t="shared" si="198"/>
        <v>-</v>
      </c>
      <c r="EQ41" s="353" t="str">
        <f t="shared" si="198"/>
        <v>-</v>
      </c>
      <c r="ER41" s="353" t="str">
        <f t="shared" si="199"/>
        <v>-</v>
      </c>
      <c r="ES41" s="353" t="str">
        <f t="shared" si="199"/>
        <v>-</v>
      </c>
      <c r="ET41" s="353" t="str">
        <f t="shared" si="199"/>
        <v>-</v>
      </c>
      <c r="EU41" s="353" t="str">
        <f t="shared" si="199"/>
        <v>-</v>
      </c>
      <c r="EV41" s="353" t="str">
        <f t="shared" si="199"/>
        <v>-</v>
      </c>
      <c r="EW41" s="353" t="str">
        <f t="shared" si="199"/>
        <v>-</v>
      </c>
      <c r="EX41" s="353" t="str">
        <f t="shared" si="199"/>
        <v>-</v>
      </c>
      <c r="EY41" s="353" t="str">
        <f t="shared" si="199"/>
        <v>-</v>
      </c>
      <c r="EZ41" s="353" t="str">
        <f t="shared" si="199"/>
        <v>-</v>
      </c>
      <c r="FA41" s="353" t="str">
        <f t="shared" si="199"/>
        <v>-</v>
      </c>
      <c r="FB41" s="354" t="str">
        <f t="shared" si="199"/>
        <v>-</v>
      </c>
      <c r="FD41" s="358">
        <f t="shared" si="156"/>
        <v>9.25</v>
      </c>
      <c r="FE41" s="353" t="str">
        <f t="shared" si="157"/>
        <v>-</v>
      </c>
      <c r="FF41" s="353" t="str">
        <f t="shared" si="158"/>
        <v>-</v>
      </c>
      <c r="FG41" s="353" t="str">
        <f t="shared" si="159"/>
        <v>-</v>
      </c>
      <c r="FH41" s="353" t="str">
        <f t="shared" si="160"/>
        <v>-</v>
      </c>
      <c r="FI41" s="353" t="str">
        <f t="shared" si="161"/>
        <v>-</v>
      </c>
      <c r="FJ41" s="353" t="str">
        <f t="shared" si="162"/>
        <v>-</v>
      </c>
      <c r="FK41" s="353" t="str">
        <f t="shared" si="163"/>
        <v>-</v>
      </c>
      <c r="FL41" s="353" t="str">
        <f t="shared" si="164"/>
        <v>-</v>
      </c>
      <c r="FM41" s="353" t="str">
        <f t="shared" si="165"/>
        <v>-</v>
      </c>
      <c r="FN41" s="353" t="str">
        <f t="shared" si="166"/>
        <v>-</v>
      </c>
      <c r="FO41" s="353" t="str">
        <f t="shared" si="167"/>
        <v>-</v>
      </c>
      <c r="FP41" s="353" t="str">
        <f t="shared" si="168"/>
        <v>-</v>
      </c>
      <c r="FQ41" s="353" t="str">
        <f t="shared" si="169"/>
        <v>-</v>
      </c>
      <c r="FR41" s="353" t="str">
        <f t="shared" si="170"/>
        <v>-</v>
      </c>
      <c r="FS41" s="353" t="str">
        <f t="shared" si="171"/>
        <v>-</v>
      </c>
      <c r="FT41" s="353" t="str">
        <f t="shared" si="172"/>
        <v>-</v>
      </c>
      <c r="FU41" s="353" t="str">
        <f t="shared" si="173"/>
        <v>-</v>
      </c>
      <c r="FV41" s="353" t="str">
        <f t="shared" si="174"/>
        <v>-</v>
      </c>
      <c r="FW41" s="353" t="str">
        <f t="shared" si="175"/>
        <v>-</v>
      </c>
      <c r="FX41" s="353" t="str">
        <f t="shared" si="176"/>
        <v>-</v>
      </c>
      <c r="FY41" s="354" t="str">
        <f t="shared" si="177"/>
        <v>-</v>
      </c>
      <c r="GB41" s="358">
        <f t="shared" si="178"/>
        <v>9.25</v>
      </c>
      <c r="GC41" s="353" t="str">
        <f>IF($GB41&gt;CDS.Tenor,"-",BE41*DE41*FE41)</f>
        <v>-</v>
      </c>
      <c r="GD41" s="353" t="str">
        <f>IF($GB41&gt;CDS.Tenor,"-",BF41*DF41*FF41)</f>
        <v>-</v>
      </c>
      <c r="GE41" s="353" t="str">
        <f>IF($GB41&gt;CDS.Tenor,"-",BG41*DG41*FG41)</f>
        <v>-</v>
      </c>
      <c r="GF41" s="353" t="str">
        <f>IF($GB41&gt;CDS.Tenor,"-",BH41*DH41*FH41)</f>
        <v>-</v>
      </c>
      <c r="GG41" s="353" t="str">
        <f>IF($GB41&gt;CDS.Tenor,"-",BI41*DI41*FI41)</f>
        <v>-</v>
      </c>
      <c r="GH41" s="353" t="str">
        <f>IF($GB41&gt;CDS.Tenor,"-",BJ41*DJ41*FJ41)</f>
        <v>-</v>
      </c>
      <c r="GI41" s="353" t="str">
        <f>IF($GB41&gt;CDS.Tenor,"-",BK41*DK41*FK41)</f>
        <v>-</v>
      </c>
      <c r="GJ41" s="353" t="str">
        <f>IF($GB41&gt;CDS.Tenor,"-",BL41*DL41*FL41)</f>
        <v>-</v>
      </c>
      <c r="GK41" s="353" t="str">
        <f>IF($GB41&gt;CDS.Tenor,"-",BM41*DM41*FM41)</f>
        <v>-</v>
      </c>
      <c r="GL41" s="353" t="str">
        <f>IF($GB41&gt;CDS.Tenor,"-",BN41*DN41*FN41)</f>
        <v>-</v>
      </c>
      <c r="GM41" s="353" t="str">
        <f>IF($GB41&gt;CDS.Tenor,"-",BO41*DO41*FO41)</f>
        <v>-</v>
      </c>
      <c r="GN41" s="353" t="str">
        <f>IF($GB41&gt;CDS.Tenor,"-",BP41*DP41*FP41)</f>
        <v>-</v>
      </c>
      <c r="GO41" s="353" t="str">
        <f>IF($GB41&gt;CDS.Tenor,"-",BQ41*DQ41*FQ41)</f>
        <v>-</v>
      </c>
      <c r="GP41" s="353" t="str">
        <f>IF($GB41&gt;CDS.Tenor,"-",BR41*DR41*FR41)</f>
        <v>-</v>
      </c>
      <c r="GQ41" s="353" t="str">
        <f>IF($GB41&gt;CDS.Tenor,"-",BS41*DS41*FS41)</f>
        <v>-</v>
      </c>
      <c r="GR41" s="353" t="str">
        <f>IF($GB41&gt;CDS.Tenor,"-",BT41*DT41*FT41)</f>
        <v>-</v>
      </c>
      <c r="GS41" s="353" t="str">
        <f>IF($GB41&gt;CDS.Tenor,"-",BU41*DU41*FU41)</f>
        <v>-</v>
      </c>
      <c r="GT41" s="353" t="str">
        <f>IF($GB41&gt;CDS.Tenor,"-",BV41*DV41*FV41)</f>
        <v>-</v>
      </c>
      <c r="GU41" s="353" t="str">
        <f>IF($GB41&gt;CDS.Tenor,"-",BW41*DW41*FW41)</f>
        <v>-</v>
      </c>
      <c r="GV41" s="353" t="str">
        <f>IF($GB41&gt;CDS.Tenor,"-",BX41*DX41*FX41)</f>
        <v>-</v>
      </c>
      <c r="GW41" s="354" t="str">
        <f>IF($GB41&gt;CDS.Tenor,"-",BY41*DY41*FY41)</f>
        <v>-</v>
      </c>
      <c r="GX41" s="42"/>
      <c r="GY41" s="42"/>
      <c r="GZ41" s="358">
        <f t="shared" si="179"/>
        <v>9.25</v>
      </c>
      <c r="HA41" s="362" t="str">
        <f t="shared" si="180"/>
        <v>-</v>
      </c>
      <c r="HB41" s="363" t="str">
        <f t="shared" si="181"/>
        <v>-</v>
      </c>
    </row>
    <row r="42" spans="9:210" x14ac:dyDescent="0.3">
      <c r="I42" s="370">
        <f t="shared" si="86"/>
        <v>9.5</v>
      </c>
      <c r="J42" s="371" t="str">
        <f t="shared" si="87"/>
        <v>-</v>
      </c>
      <c r="K42" s="348" t="str">
        <f t="shared" si="88"/>
        <v>-</v>
      </c>
      <c r="L42" s="348" t="str">
        <f t="shared" si="89"/>
        <v>-</v>
      </c>
      <c r="M42" s="372" t="str" cm="1">
        <f t="array" ref="M42">IF($I42&gt;CDS.Tenor,"-",cubicInterpolation(CurveResults.Times,CurveResults.DFs,$I42))</f>
        <v>-</v>
      </c>
      <c r="N42" s="371" t="str">
        <f t="shared" si="90"/>
        <v>-</v>
      </c>
      <c r="O42" s="371" t="str">
        <f t="shared" si="91"/>
        <v>-</v>
      </c>
      <c r="P42" s="373" t="str">
        <f t="shared" si="92"/>
        <v>-</v>
      </c>
      <c r="S42" s="370">
        <f t="shared" si="93"/>
        <v>9.5</v>
      </c>
      <c r="T42" s="371" t="str">
        <f t="shared" si="94"/>
        <v>-</v>
      </c>
      <c r="U42" s="348" t="str">
        <f>IF($I42&gt;CDS.Tenor,"-",HA42)</f>
        <v>-</v>
      </c>
      <c r="V42" s="348" t="str">
        <f t="shared" si="95"/>
        <v>-</v>
      </c>
      <c r="W42" s="372" t="str" cm="1">
        <f t="array" ref="W42">IF($S42&gt;CDS.Tenor,"-",cubicInterpolation(CurveResults.Times,CurveResults.DFs,$I42))</f>
        <v>-</v>
      </c>
      <c r="X42" s="373" t="str">
        <f t="shared" si="96"/>
        <v>-</v>
      </c>
      <c r="AA42" s="358">
        <f t="shared" si="97"/>
        <v>9.5</v>
      </c>
      <c r="AB42" s="343" t="str" cm="1">
        <f t="array" aca="1" ref="AB42" ca="1">IF($AA42&gt;CDS.Tenor,"-",flatInterpolation(Z42,INDIRECT(HazardRateTimes1),INDIRECT(HazardRateValues1)))</f>
        <v>-</v>
      </c>
      <c r="AC42" s="10" t="str">
        <f t="shared" si="98"/>
        <v>-</v>
      </c>
      <c r="AD42" s="10" t="str">
        <f t="shared" si="99"/>
        <v>-</v>
      </c>
      <c r="AE42" s="81" t="str">
        <f t="shared" si="100"/>
        <v>-</v>
      </c>
      <c r="AG42" s="358">
        <f t="shared" si="101"/>
        <v>9.5</v>
      </c>
      <c r="AH42" s="353" t="str">
        <f t="shared" si="194"/>
        <v>-</v>
      </c>
      <c r="AI42" s="353" t="str">
        <f t="shared" si="194"/>
        <v>-</v>
      </c>
      <c r="AJ42" s="353" t="str">
        <f t="shared" si="194"/>
        <v>-</v>
      </c>
      <c r="AK42" s="353" t="str">
        <f t="shared" si="194"/>
        <v>-</v>
      </c>
      <c r="AL42" s="353" t="str">
        <f t="shared" si="194"/>
        <v>-</v>
      </c>
      <c r="AM42" s="353" t="str">
        <f t="shared" si="194"/>
        <v>-</v>
      </c>
      <c r="AN42" s="353" t="str">
        <f t="shared" si="194"/>
        <v>-</v>
      </c>
      <c r="AO42" s="353" t="str">
        <f t="shared" si="194"/>
        <v>-</v>
      </c>
      <c r="AP42" s="353" t="str">
        <f t="shared" si="194"/>
        <v>-</v>
      </c>
      <c r="AQ42" s="353" t="str">
        <f t="shared" si="194"/>
        <v>-</v>
      </c>
      <c r="AR42" s="353" t="str">
        <f t="shared" si="195"/>
        <v>-</v>
      </c>
      <c r="AS42" s="353" t="str">
        <f t="shared" si="195"/>
        <v>-</v>
      </c>
      <c r="AT42" s="353" t="str">
        <f t="shared" si="195"/>
        <v>-</v>
      </c>
      <c r="AU42" s="353" t="str">
        <f t="shared" si="195"/>
        <v>-</v>
      </c>
      <c r="AV42" s="353" t="str">
        <f t="shared" si="195"/>
        <v>-</v>
      </c>
      <c r="AW42" s="353" t="str">
        <f t="shared" si="195"/>
        <v>-</v>
      </c>
      <c r="AX42" s="353" t="str">
        <f t="shared" si="195"/>
        <v>-</v>
      </c>
      <c r="AY42" s="353" t="str">
        <f t="shared" si="195"/>
        <v>-</v>
      </c>
      <c r="AZ42" s="353" t="str">
        <f t="shared" si="195"/>
        <v>-</v>
      </c>
      <c r="BA42" s="353" t="str">
        <f t="shared" si="195"/>
        <v>-</v>
      </c>
      <c r="BB42" s="354" t="str">
        <f t="shared" si="195"/>
        <v>-</v>
      </c>
      <c r="BD42" s="358">
        <f t="shared" si="104"/>
        <v>9.5</v>
      </c>
      <c r="BE42" s="353" t="str">
        <f t="shared" si="105"/>
        <v>-</v>
      </c>
      <c r="BF42" s="353" t="str">
        <f t="shared" si="106"/>
        <v>-</v>
      </c>
      <c r="BG42" s="353" t="str">
        <f t="shared" si="107"/>
        <v>-</v>
      </c>
      <c r="BH42" s="353" t="str">
        <f t="shared" si="108"/>
        <v>-</v>
      </c>
      <c r="BI42" s="353" t="str">
        <f t="shared" si="109"/>
        <v>-</v>
      </c>
      <c r="BJ42" s="353" t="str">
        <f t="shared" si="110"/>
        <v>-</v>
      </c>
      <c r="BK42" s="353" t="str">
        <f t="shared" si="111"/>
        <v>-</v>
      </c>
      <c r="BL42" s="353" t="str">
        <f t="shared" si="112"/>
        <v>-</v>
      </c>
      <c r="BM42" s="353" t="str">
        <f t="shared" si="113"/>
        <v>-</v>
      </c>
      <c r="BN42" s="353" t="str">
        <f t="shared" si="114"/>
        <v>-</v>
      </c>
      <c r="BO42" s="353" t="str">
        <f t="shared" si="115"/>
        <v>-</v>
      </c>
      <c r="BP42" s="353" t="str">
        <f t="shared" si="116"/>
        <v>-</v>
      </c>
      <c r="BQ42" s="353" t="str">
        <f t="shared" si="117"/>
        <v>-</v>
      </c>
      <c r="BR42" s="353" t="str">
        <f t="shared" si="118"/>
        <v>-</v>
      </c>
      <c r="BS42" s="353" t="str">
        <f t="shared" si="119"/>
        <v>-</v>
      </c>
      <c r="BT42" s="353" t="str">
        <f t="shared" si="120"/>
        <v>-</v>
      </c>
      <c r="BU42" s="353" t="str">
        <f t="shared" si="121"/>
        <v>-</v>
      </c>
      <c r="BV42" s="353" t="str">
        <f t="shared" si="122"/>
        <v>-</v>
      </c>
      <c r="BW42" s="353" t="str">
        <f t="shared" si="123"/>
        <v>-</v>
      </c>
      <c r="BX42" s="353" t="str">
        <f t="shared" si="124"/>
        <v>-</v>
      </c>
      <c r="BY42" s="354" t="str">
        <f t="shared" si="125"/>
        <v>-</v>
      </c>
      <c r="BZ42" s="17"/>
      <c r="CA42" s="17"/>
      <c r="CB42" s="343" t="str" cm="1">
        <f t="array" aca="1" ref="CB42" ca="1">IF($AA42&gt;CDS.Tenor,"-",flatInterpolation(AA42,INDIRECT(HazardRateTimes2),INDIRECT(HazardRateValues2)))</f>
        <v>-</v>
      </c>
      <c r="CC42" s="10" t="str">
        <f t="shared" si="126"/>
        <v>-</v>
      </c>
      <c r="CD42" s="10" t="str">
        <f t="shared" si="127"/>
        <v>-</v>
      </c>
      <c r="CE42" s="81" t="str">
        <f t="shared" si="128"/>
        <v>-</v>
      </c>
      <c r="CG42" s="358">
        <f t="shared" si="129"/>
        <v>9.5</v>
      </c>
      <c r="CH42" s="353" t="str">
        <f t="shared" si="196"/>
        <v>-</v>
      </c>
      <c r="CI42" s="353" t="str">
        <f t="shared" si="196"/>
        <v>-</v>
      </c>
      <c r="CJ42" s="353" t="str">
        <f t="shared" si="196"/>
        <v>-</v>
      </c>
      <c r="CK42" s="353" t="str">
        <f t="shared" si="196"/>
        <v>-</v>
      </c>
      <c r="CL42" s="353" t="str">
        <f t="shared" si="196"/>
        <v>-</v>
      </c>
      <c r="CM42" s="353" t="str">
        <f t="shared" si="196"/>
        <v>-</v>
      </c>
      <c r="CN42" s="353" t="str">
        <f t="shared" si="196"/>
        <v>-</v>
      </c>
      <c r="CO42" s="353" t="str">
        <f t="shared" si="196"/>
        <v>-</v>
      </c>
      <c r="CP42" s="353" t="str">
        <f t="shared" si="196"/>
        <v>-</v>
      </c>
      <c r="CQ42" s="353" t="str">
        <f t="shared" si="196"/>
        <v>-</v>
      </c>
      <c r="CR42" s="353" t="str">
        <f t="shared" si="197"/>
        <v>-</v>
      </c>
      <c r="CS42" s="353" t="str">
        <f t="shared" si="197"/>
        <v>-</v>
      </c>
      <c r="CT42" s="353" t="str">
        <f t="shared" si="197"/>
        <v>-</v>
      </c>
      <c r="CU42" s="353" t="str">
        <f t="shared" si="197"/>
        <v>-</v>
      </c>
      <c r="CV42" s="353" t="str">
        <f t="shared" si="197"/>
        <v>-</v>
      </c>
      <c r="CW42" s="353" t="str">
        <f t="shared" si="197"/>
        <v>-</v>
      </c>
      <c r="CX42" s="353" t="str">
        <f t="shared" si="197"/>
        <v>-</v>
      </c>
      <c r="CY42" s="353" t="str">
        <f t="shared" si="197"/>
        <v>-</v>
      </c>
      <c r="CZ42" s="353" t="str">
        <f t="shared" si="197"/>
        <v>-</v>
      </c>
      <c r="DA42" s="353" t="str">
        <f t="shared" si="197"/>
        <v>-</v>
      </c>
      <c r="DB42" s="354" t="str">
        <f t="shared" si="197"/>
        <v>-</v>
      </c>
      <c r="DD42" s="358">
        <f t="shared" si="130"/>
        <v>9.5</v>
      </c>
      <c r="DE42" s="353" t="str">
        <f t="shared" si="131"/>
        <v>-</v>
      </c>
      <c r="DF42" s="353" t="str">
        <f t="shared" si="132"/>
        <v>-</v>
      </c>
      <c r="DG42" s="353" t="str">
        <f t="shared" si="133"/>
        <v>-</v>
      </c>
      <c r="DH42" s="353" t="str">
        <f t="shared" si="134"/>
        <v>-</v>
      </c>
      <c r="DI42" s="353" t="str">
        <f t="shared" si="135"/>
        <v>-</v>
      </c>
      <c r="DJ42" s="353" t="str">
        <f t="shared" si="136"/>
        <v>-</v>
      </c>
      <c r="DK42" s="353" t="str">
        <f t="shared" si="137"/>
        <v>-</v>
      </c>
      <c r="DL42" s="353" t="str">
        <f t="shared" si="138"/>
        <v>-</v>
      </c>
      <c r="DM42" s="353" t="str">
        <f t="shared" si="139"/>
        <v>-</v>
      </c>
      <c r="DN42" s="353" t="str">
        <f t="shared" si="140"/>
        <v>-</v>
      </c>
      <c r="DO42" s="353" t="str">
        <f t="shared" si="141"/>
        <v>-</v>
      </c>
      <c r="DP42" s="353" t="str">
        <f t="shared" si="142"/>
        <v>-</v>
      </c>
      <c r="DQ42" s="353" t="str">
        <f t="shared" si="143"/>
        <v>-</v>
      </c>
      <c r="DR42" s="353" t="str">
        <f t="shared" si="144"/>
        <v>-</v>
      </c>
      <c r="DS42" s="353" t="str">
        <f t="shared" si="145"/>
        <v>-</v>
      </c>
      <c r="DT42" s="353" t="str">
        <f t="shared" si="146"/>
        <v>-</v>
      </c>
      <c r="DU42" s="353" t="str">
        <f t="shared" si="147"/>
        <v>-</v>
      </c>
      <c r="DV42" s="353" t="str">
        <f t="shared" si="148"/>
        <v>-</v>
      </c>
      <c r="DW42" s="353" t="str">
        <f t="shared" si="149"/>
        <v>-</v>
      </c>
      <c r="DX42" s="353" t="str">
        <f t="shared" si="150"/>
        <v>-</v>
      </c>
      <c r="DY42" s="354" t="str">
        <f t="shared" si="151"/>
        <v>-</v>
      </c>
      <c r="DZ42" s="17"/>
      <c r="EA42" s="17"/>
      <c r="EB42" s="343" t="str" cm="1">
        <f t="array" aca="1" ref="EB42" ca="1">IF($AA42&gt;CDS.Tenor,"-",flatInterpolation(CC42,INDIRECT(HazardRateTimes3),INDIRECT(HazardRateValues3)))</f>
        <v>-</v>
      </c>
      <c r="EC42" s="10" t="str">
        <f t="shared" si="152"/>
        <v>-</v>
      </c>
      <c r="ED42" s="10" t="str">
        <f t="shared" si="153"/>
        <v>-</v>
      </c>
      <c r="EE42" s="81" t="str">
        <f t="shared" si="154"/>
        <v>-</v>
      </c>
      <c r="EG42" s="358">
        <f t="shared" si="155"/>
        <v>9.5</v>
      </c>
      <c r="EH42" s="353" t="str">
        <f t="shared" si="198"/>
        <v>-</v>
      </c>
      <c r="EI42" s="353" t="str">
        <f t="shared" si="198"/>
        <v>-</v>
      </c>
      <c r="EJ42" s="353" t="str">
        <f t="shared" si="198"/>
        <v>-</v>
      </c>
      <c r="EK42" s="353" t="str">
        <f t="shared" si="198"/>
        <v>-</v>
      </c>
      <c r="EL42" s="353" t="str">
        <f t="shared" si="198"/>
        <v>-</v>
      </c>
      <c r="EM42" s="353" t="str">
        <f t="shared" si="198"/>
        <v>-</v>
      </c>
      <c r="EN42" s="353" t="str">
        <f t="shared" si="198"/>
        <v>-</v>
      </c>
      <c r="EO42" s="353" t="str">
        <f t="shared" si="198"/>
        <v>-</v>
      </c>
      <c r="EP42" s="353" t="str">
        <f t="shared" si="198"/>
        <v>-</v>
      </c>
      <c r="EQ42" s="353" t="str">
        <f t="shared" si="198"/>
        <v>-</v>
      </c>
      <c r="ER42" s="353" t="str">
        <f t="shared" si="199"/>
        <v>-</v>
      </c>
      <c r="ES42" s="353" t="str">
        <f t="shared" si="199"/>
        <v>-</v>
      </c>
      <c r="ET42" s="353" t="str">
        <f t="shared" si="199"/>
        <v>-</v>
      </c>
      <c r="EU42" s="353" t="str">
        <f t="shared" si="199"/>
        <v>-</v>
      </c>
      <c r="EV42" s="353" t="str">
        <f t="shared" si="199"/>
        <v>-</v>
      </c>
      <c r="EW42" s="353" t="str">
        <f t="shared" si="199"/>
        <v>-</v>
      </c>
      <c r="EX42" s="353" t="str">
        <f t="shared" si="199"/>
        <v>-</v>
      </c>
      <c r="EY42" s="353" t="str">
        <f t="shared" si="199"/>
        <v>-</v>
      </c>
      <c r="EZ42" s="353" t="str">
        <f t="shared" si="199"/>
        <v>-</v>
      </c>
      <c r="FA42" s="353" t="str">
        <f t="shared" si="199"/>
        <v>-</v>
      </c>
      <c r="FB42" s="354" t="str">
        <f t="shared" si="199"/>
        <v>-</v>
      </c>
      <c r="FD42" s="358">
        <f t="shared" si="156"/>
        <v>9.5</v>
      </c>
      <c r="FE42" s="353" t="str">
        <f t="shared" si="157"/>
        <v>-</v>
      </c>
      <c r="FF42" s="353" t="str">
        <f t="shared" si="158"/>
        <v>-</v>
      </c>
      <c r="FG42" s="353" t="str">
        <f t="shared" si="159"/>
        <v>-</v>
      </c>
      <c r="FH42" s="353" t="str">
        <f t="shared" si="160"/>
        <v>-</v>
      </c>
      <c r="FI42" s="353" t="str">
        <f t="shared" si="161"/>
        <v>-</v>
      </c>
      <c r="FJ42" s="353" t="str">
        <f t="shared" si="162"/>
        <v>-</v>
      </c>
      <c r="FK42" s="353" t="str">
        <f t="shared" si="163"/>
        <v>-</v>
      </c>
      <c r="FL42" s="353" t="str">
        <f t="shared" si="164"/>
        <v>-</v>
      </c>
      <c r="FM42" s="353" t="str">
        <f t="shared" si="165"/>
        <v>-</v>
      </c>
      <c r="FN42" s="353" t="str">
        <f t="shared" si="166"/>
        <v>-</v>
      </c>
      <c r="FO42" s="353" t="str">
        <f t="shared" si="167"/>
        <v>-</v>
      </c>
      <c r="FP42" s="353" t="str">
        <f t="shared" si="168"/>
        <v>-</v>
      </c>
      <c r="FQ42" s="353" t="str">
        <f t="shared" si="169"/>
        <v>-</v>
      </c>
      <c r="FR42" s="353" t="str">
        <f t="shared" si="170"/>
        <v>-</v>
      </c>
      <c r="FS42" s="353" t="str">
        <f t="shared" si="171"/>
        <v>-</v>
      </c>
      <c r="FT42" s="353" t="str">
        <f t="shared" si="172"/>
        <v>-</v>
      </c>
      <c r="FU42" s="353" t="str">
        <f t="shared" si="173"/>
        <v>-</v>
      </c>
      <c r="FV42" s="353" t="str">
        <f t="shared" si="174"/>
        <v>-</v>
      </c>
      <c r="FW42" s="353" t="str">
        <f t="shared" si="175"/>
        <v>-</v>
      </c>
      <c r="FX42" s="353" t="str">
        <f t="shared" si="176"/>
        <v>-</v>
      </c>
      <c r="FY42" s="354" t="str">
        <f t="shared" si="177"/>
        <v>-</v>
      </c>
      <c r="GB42" s="358">
        <f t="shared" si="178"/>
        <v>9.5</v>
      </c>
      <c r="GC42" s="353" t="str">
        <f>IF($GB42&gt;CDS.Tenor,"-",BE42*DE42*FE42)</f>
        <v>-</v>
      </c>
      <c r="GD42" s="353" t="str">
        <f>IF($GB42&gt;CDS.Tenor,"-",BF42*DF42*FF42)</f>
        <v>-</v>
      </c>
      <c r="GE42" s="353" t="str">
        <f>IF($GB42&gt;CDS.Tenor,"-",BG42*DG42*FG42)</f>
        <v>-</v>
      </c>
      <c r="GF42" s="353" t="str">
        <f>IF($GB42&gt;CDS.Tenor,"-",BH42*DH42*FH42)</f>
        <v>-</v>
      </c>
      <c r="GG42" s="353" t="str">
        <f>IF($GB42&gt;CDS.Tenor,"-",BI42*DI42*FI42)</f>
        <v>-</v>
      </c>
      <c r="GH42" s="353" t="str">
        <f>IF($GB42&gt;CDS.Tenor,"-",BJ42*DJ42*FJ42)</f>
        <v>-</v>
      </c>
      <c r="GI42" s="353" t="str">
        <f>IF($GB42&gt;CDS.Tenor,"-",BK42*DK42*FK42)</f>
        <v>-</v>
      </c>
      <c r="GJ42" s="353" t="str">
        <f>IF($GB42&gt;CDS.Tenor,"-",BL42*DL42*FL42)</f>
        <v>-</v>
      </c>
      <c r="GK42" s="353" t="str">
        <f>IF($GB42&gt;CDS.Tenor,"-",BM42*DM42*FM42)</f>
        <v>-</v>
      </c>
      <c r="GL42" s="353" t="str">
        <f>IF($GB42&gt;CDS.Tenor,"-",BN42*DN42*FN42)</f>
        <v>-</v>
      </c>
      <c r="GM42" s="353" t="str">
        <f>IF($GB42&gt;CDS.Tenor,"-",BO42*DO42*FO42)</f>
        <v>-</v>
      </c>
      <c r="GN42" s="353" t="str">
        <f>IF($GB42&gt;CDS.Tenor,"-",BP42*DP42*FP42)</f>
        <v>-</v>
      </c>
      <c r="GO42" s="353" t="str">
        <f>IF($GB42&gt;CDS.Tenor,"-",BQ42*DQ42*FQ42)</f>
        <v>-</v>
      </c>
      <c r="GP42" s="353" t="str">
        <f>IF($GB42&gt;CDS.Tenor,"-",BR42*DR42*FR42)</f>
        <v>-</v>
      </c>
      <c r="GQ42" s="353" t="str">
        <f>IF($GB42&gt;CDS.Tenor,"-",BS42*DS42*FS42)</f>
        <v>-</v>
      </c>
      <c r="GR42" s="353" t="str">
        <f>IF($GB42&gt;CDS.Tenor,"-",BT42*DT42*FT42)</f>
        <v>-</v>
      </c>
      <c r="GS42" s="353" t="str">
        <f>IF($GB42&gt;CDS.Tenor,"-",BU42*DU42*FU42)</f>
        <v>-</v>
      </c>
      <c r="GT42" s="353" t="str">
        <f>IF($GB42&gt;CDS.Tenor,"-",BV42*DV42*FV42)</f>
        <v>-</v>
      </c>
      <c r="GU42" s="353" t="str">
        <f>IF($GB42&gt;CDS.Tenor,"-",BW42*DW42*FW42)</f>
        <v>-</v>
      </c>
      <c r="GV42" s="353" t="str">
        <f>IF($GB42&gt;CDS.Tenor,"-",BX42*DX42*FX42)</f>
        <v>-</v>
      </c>
      <c r="GW42" s="354" t="str">
        <f>IF($GB42&gt;CDS.Tenor,"-",BY42*DY42*FY42)</f>
        <v>-</v>
      </c>
      <c r="GX42" s="42"/>
      <c r="GY42" s="42"/>
      <c r="GZ42" s="358">
        <f t="shared" si="179"/>
        <v>9.5</v>
      </c>
      <c r="HA42" s="362" t="str">
        <f t="shared" si="180"/>
        <v>-</v>
      </c>
      <c r="HB42" s="363" t="str">
        <f t="shared" si="181"/>
        <v>-</v>
      </c>
    </row>
    <row r="43" spans="9:210" x14ac:dyDescent="0.3">
      <c r="I43" s="370">
        <f t="shared" si="86"/>
        <v>9.75</v>
      </c>
      <c r="J43" s="371" t="str">
        <f t="shared" si="87"/>
        <v>-</v>
      </c>
      <c r="K43" s="348" t="str">
        <f t="shared" si="88"/>
        <v>-</v>
      </c>
      <c r="L43" s="348" t="str">
        <f t="shared" si="89"/>
        <v>-</v>
      </c>
      <c r="M43" s="372" t="str" cm="1">
        <f t="array" ref="M43">IF($I43&gt;CDS.Tenor,"-",cubicInterpolation(CurveResults.Times,CurveResults.DFs,$I43))</f>
        <v>-</v>
      </c>
      <c r="N43" s="371" t="str">
        <f t="shared" si="90"/>
        <v>-</v>
      </c>
      <c r="O43" s="371" t="str">
        <f t="shared" si="91"/>
        <v>-</v>
      </c>
      <c r="P43" s="373" t="str">
        <f t="shared" si="92"/>
        <v>-</v>
      </c>
      <c r="S43" s="370">
        <f t="shared" si="93"/>
        <v>9.75</v>
      </c>
      <c r="T43" s="371" t="str">
        <f t="shared" si="94"/>
        <v>-</v>
      </c>
      <c r="U43" s="348" t="str">
        <f>IF($I43&gt;CDS.Tenor,"-",HA43)</f>
        <v>-</v>
      </c>
      <c r="V43" s="348" t="str">
        <f t="shared" si="95"/>
        <v>-</v>
      </c>
      <c r="W43" s="372" t="str" cm="1">
        <f t="array" ref="W43">IF($S43&gt;CDS.Tenor,"-",cubicInterpolation(CurveResults.Times,CurveResults.DFs,$I43))</f>
        <v>-</v>
      </c>
      <c r="X43" s="373" t="str">
        <f t="shared" si="96"/>
        <v>-</v>
      </c>
      <c r="AA43" s="358">
        <f t="shared" si="97"/>
        <v>9.75</v>
      </c>
      <c r="AB43" s="343" t="str" cm="1">
        <f t="array" aca="1" ref="AB43" ca="1">IF($AA43&gt;CDS.Tenor,"-",flatInterpolation(Z43,INDIRECT(HazardRateTimes1),INDIRECT(HazardRateValues1)))</f>
        <v>-</v>
      </c>
      <c r="AC43" s="10" t="str">
        <f t="shared" si="98"/>
        <v>-</v>
      </c>
      <c r="AD43" s="10" t="str">
        <f t="shared" si="99"/>
        <v>-</v>
      </c>
      <c r="AE43" s="81" t="str">
        <f t="shared" si="100"/>
        <v>-</v>
      </c>
      <c r="AG43" s="358">
        <f t="shared" si="101"/>
        <v>9.75</v>
      </c>
      <c r="AH43" s="353" t="str">
        <f t="shared" si="194"/>
        <v>-</v>
      </c>
      <c r="AI43" s="353" t="str">
        <f t="shared" si="194"/>
        <v>-</v>
      </c>
      <c r="AJ43" s="353" t="str">
        <f t="shared" si="194"/>
        <v>-</v>
      </c>
      <c r="AK43" s="353" t="str">
        <f t="shared" si="194"/>
        <v>-</v>
      </c>
      <c r="AL43" s="353" t="str">
        <f t="shared" si="194"/>
        <v>-</v>
      </c>
      <c r="AM43" s="353" t="str">
        <f t="shared" si="194"/>
        <v>-</v>
      </c>
      <c r="AN43" s="353" t="str">
        <f t="shared" si="194"/>
        <v>-</v>
      </c>
      <c r="AO43" s="353" t="str">
        <f t="shared" si="194"/>
        <v>-</v>
      </c>
      <c r="AP43" s="353" t="str">
        <f t="shared" si="194"/>
        <v>-</v>
      </c>
      <c r="AQ43" s="353" t="str">
        <f t="shared" si="194"/>
        <v>-</v>
      </c>
      <c r="AR43" s="353" t="str">
        <f t="shared" si="195"/>
        <v>-</v>
      </c>
      <c r="AS43" s="353" t="str">
        <f t="shared" si="195"/>
        <v>-</v>
      </c>
      <c r="AT43" s="353" t="str">
        <f t="shared" si="195"/>
        <v>-</v>
      </c>
      <c r="AU43" s="353" t="str">
        <f t="shared" si="195"/>
        <v>-</v>
      </c>
      <c r="AV43" s="353" t="str">
        <f t="shared" si="195"/>
        <v>-</v>
      </c>
      <c r="AW43" s="353" t="str">
        <f t="shared" si="195"/>
        <v>-</v>
      </c>
      <c r="AX43" s="353" t="str">
        <f t="shared" si="195"/>
        <v>-</v>
      </c>
      <c r="AY43" s="353" t="str">
        <f t="shared" si="195"/>
        <v>-</v>
      </c>
      <c r="AZ43" s="353" t="str">
        <f t="shared" si="195"/>
        <v>-</v>
      </c>
      <c r="BA43" s="353" t="str">
        <f t="shared" si="195"/>
        <v>-</v>
      </c>
      <c r="BB43" s="354" t="str">
        <f t="shared" si="195"/>
        <v>-</v>
      </c>
      <c r="BD43" s="358">
        <f t="shared" si="104"/>
        <v>9.75</v>
      </c>
      <c r="BE43" s="353" t="str">
        <f t="shared" si="105"/>
        <v>-</v>
      </c>
      <c r="BF43" s="353" t="str">
        <f t="shared" si="106"/>
        <v>-</v>
      </c>
      <c r="BG43" s="353" t="str">
        <f t="shared" si="107"/>
        <v>-</v>
      </c>
      <c r="BH43" s="353" t="str">
        <f t="shared" si="108"/>
        <v>-</v>
      </c>
      <c r="BI43" s="353" t="str">
        <f t="shared" si="109"/>
        <v>-</v>
      </c>
      <c r="BJ43" s="353" t="str">
        <f t="shared" si="110"/>
        <v>-</v>
      </c>
      <c r="BK43" s="353" t="str">
        <f t="shared" si="111"/>
        <v>-</v>
      </c>
      <c r="BL43" s="353" t="str">
        <f t="shared" si="112"/>
        <v>-</v>
      </c>
      <c r="BM43" s="353" t="str">
        <f t="shared" si="113"/>
        <v>-</v>
      </c>
      <c r="BN43" s="353" t="str">
        <f t="shared" si="114"/>
        <v>-</v>
      </c>
      <c r="BO43" s="353" t="str">
        <f t="shared" si="115"/>
        <v>-</v>
      </c>
      <c r="BP43" s="353" t="str">
        <f t="shared" si="116"/>
        <v>-</v>
      </c>
      <c r="BQ43" s="353" t="str">
        <f t="shared" si="117"/>
        <v>-</v>
      </c>
      <c r="BR43" s="353" t="str">
        <f t="shared" si="118"/>
        <v>-</v>
      </c>
      <c r="BS43" s="353" t="str">
        <f t="shared" si="119"/>
        <v>-</v>
      </c>
      <c r="BT43" s="353" t="str">
        <f t="shared" si="120"/>
        <v>-</v>
      </c>
      <c r="BU43" s="353" t="str">
        <f t="shared" si="121"/>
        <v>-</v>
      </c>
      <c r="BV43" s="353" t="str">
        <f t="shared" si="122"/>
        <v>-</v>
      </c>
      <c r="BW43" s="353" t="str">
        <f t="shared" si="123"/>
        <v>-</v>
      </c>
      <c r="BX43" s="353" t="str">
        <f t="shared" si="124"/>
        <v>-</v>
      </c>
      <c r="BY43" s="354" t="str">
        <f t="shared" si="125"/>
        <v>-</v>
      </c>
      <c r="BZ43" s="17"/>
      <c r="CA43" s="17"/>
      <c r="CB43" s="343" t="str" cm="1">
        <f t="array" aca="1" ref="CB43" ca="1">IF($AA43&gt;CDS.Tenor,"-",flatInterpolation(AA43,INDIRECT(HazardRateTimes2),INDIRECT(HazardRateValues2)))</f>
        <v>-</v>
      </c>
      <c r="CC43" s="10" t="str">
        <f t="shared" si="126"/>
        <v>-</v>
      </c>
      <c r="CD43" s="10" t="str">
        <f t="shared" si="127"/>
        <v>-</v>
      </c>
      <c r="CE43" s="81" t="str">
        <f t="shared" si="128"/>
        <v>-</v>
      </c>
      <c r="CG43" s="358">
        <f t="shared" si="129"/>
        <v>9.75</v>
      </c>
      <c r="CH43" s="353" t="str">
        <f t="shared" si="196"/>
        <v>-</v>
      </c>
      <c r="CI43" s="353" t="str">
        <f t="shared" si="196"/>
        <v>-</v>
      </c>
      <c r="CJ43" s="353" t="str">
        <f t="shared" si="196"/>
        <v>-</v>
      </c>
      <c r="CK43" s="353" t="str">
        <f t="shared" si="196"/>
        <v>-</v>
      </c>
      <c r="CL43" s="353" t="str">
        <f t="shared" si="196"/>
        <v>-</v>
      </c>
      <c r="CM43" s="353" t="str">
        <f t="shared" si="196"/>
        <v>-</v>
      </c>
      <c r="CN43" s="353" t="str">
        <f t="shared" si="196"/>
        <v>-</v>
      </c>
      <c r="CO43" s="353" t="str">
        <f t="shared" si="196"/>
        <v>-</v>
      </c>
      <c r="CP43" s="353" t="str">
        <f t="shared" si="196"/>
        <v>-</v>
      </c>
      <c r="CQ43" s="353" t="str">
        <f t="shared" si="196"/>
        <v>-</v>
      </c>
      <c r="CR43" s="353" t="str">
        <f t="shared" si="197"/>
        <v>-</v>
      </c>
      <c r="CS43" s="353" t="str">
        <f t="shared" si="197"/>
        <v>-</v>
      </c>
      <c r="CT43" s="353" t="str">
        <f t="shared" si="197"/>
        <v>-</v>
      </c>
      <c r="CU43" s="353" t="str">
        <f t="shared" si="197"/>
        <v>-</v>
      </c>
      <c r="CV43" s="353" t="str">
        <f t="shared" si="197"/>
        <v>-</v>
      </c>
      <c r="CW43" s="353" t="str">
        <f t="shared" si="197"/>
        <v>-</v>
      </c>
      <c r="CX43" s="353" t="str">
        <f t="shared" si="197"/>
        <v>-</v>
      </c>
      <c r="CY43" s="353" t="str">
        <f t="shared" si="197"/>
        <v>-</v>
      </c>
      <c r="CZ43" s="353" t="str">
        <f t="shared" si="197"/>
        <v>-</v>
      </c>
      <c r="DA43" s="353" t="str">
        <f t="shared" si="197"/>
        <v>-</v>
      </c>
      <c r="DB43" s="354" t="str">
        <f t="shared" si="197"/>
        <v>-</v>
      </c>
      <c r="DD43" s="358">
        <f t="shared" si="130"/>
        <v>9.75</v>
      </c>
      <c r="DE43" s="353" t="str">
        <f t="shared" si="131"/>
        <v>-</v>
      </c>
      <c r="DF43" s="353" t="str">
        <f t="shared" si="132"/>
        <v>-</v>
      </c>
      <c r="DG43" s="353" t="str">
        <f t="shared" si="133"/>
        <v>-</v>
      </c>
      <c r="DH43" s="353" t="str">
        <f t="shared" si="134"/>
        <v>-</v>
      </c>
      <c r="DI43" s="353" t="str">
        <f t="shared" si="135"/>
        <v>-</v>
      </c>
      <c r="DJ43" s="353" t="str">
        <f t="shared" si="136"/>
        <v>-</v>
      </c>
      <c r="DK43" s="353" t="str">
        <f t="shared" si="137"/>
        <v>-</v>
      </c>
      <c r="DL43" s="353" t="str">
        <f t="shared" si="138"/>
        <v>-</v>
      </c>
      <c r="DM43" s="353" t="str">
        <f t="shared" si="139"/>
        <v>-</v>
      </c>
      <c r="DN43" s="353" t="str">
        <f t="shared" si="140"/>
        <v>-</v>
      </c>
      <c r="DO43" s="353" t="str">
        <f t="shared" si="141"/>
        <v>-</v>
      </c>
      <c r="DP43" s="353" t="str">
        <f t="shared" si="142"/>
        <v>-</v>
      </c>
      <c r="DQ43" s="353" t="str">
        <f t="shared" si="143"/>
        <v>-</v>
      </c>
      <c r="DR43" s="353" t="str">
        <f t="shared" si="144"/>
        <v>-</v>
      </c>
      <c r="DS43" s="353" t="str">
        <f t="shared" si="145"/>
        <v>-</v>
      </c>
      <c r="DT43" s="353" t="str">
        <f t="shared" si="146"/>
        <v>-</v>
      </c>
      <c r="DU43" s="353" t="str">
        <f t="shared" si="147"/>
        <v>-</v>
      </c>
      <c r="DV43" s="353" t="str">
        <f t="shared" si="148"/>
        <v>-</v>
      </c>
      <c r="DW43" s="353" t="str">
        <f t="shared" si="149"/>
        <v>-</v>
      </c>
      <c r="DX43" s="353" t="str">
        <f t="shared" si="150"/>
        <v>-</v>
      </c>
      <c r="DY43" s="354" t="str">
        <f t="shared" si="151"/>
        <v>-</v>
      </c>
      <c r="DZ43" s="17"/>
      <c r="EA43" s="17"/>
      <c r="EB43" s="343" t="str" cm="1">
        <f t="array" aca="1" ref="EB43" ca="1">IF($AA43&gt;CDS.Tenor,"-",flatInterpolation(CC43,INDIRECT(HazardRateTimes3),INDIRECT(HazardRateValues3)))</f>
        <v>-</v>
      </c>
      <c r="EC43" s="10" t="str">
        <f t="shared" si="152"/>
        <v>-</v>
      </c>
      <c r="ED43" s="10" t="str">
        <f t="shared" si="153"/>
        <v>-</v>
      </c>
      <c r="EE43" s="81" t="str">
        <f t="shared" si="154"/>
        <v>-</v>
      </c>
      <c r="EG43" s="358">
        <f t="shared" si="155"/>
        <v>9.75</v>
      </c>
      <c r="EH43" s="353" t="str">
        <f t="shared" si="198"/>
        <v>-</v>
      </c>
      <c r="EI43" s="353" t="str">
        <f t="shared" si="198"/>
        <v>-</v>
      </c>
      <c r="EJ43" s="353" t="str">
        <f t="shared" si="198"/>
        <v>-</v>
      </c>
      <c r="EK43" s="353" t="str">
        <f t="shared" si="198"/>
        <v>-</v>
      </c>
      <c r="EL43" s="353" t="str">
        <f t="shared" si="198"/>
        <v>-</v>
      </c>
      <c r="EM43" s="353" t="str">
        <f t="shared" si="198"/>
        <v>-</v>
      </c>
      <c r="EN43" s="353" t="str">
        <f t="shared" si="198"/>
        <v>-</v>
      </c>
      <c r="EO43" s="353" t="str">
        <f t="shared" si="198"/>
        <v>-</v>
      </c>
      <c r="EP43" s="353" t="str">
        <f t="shared" si="198"/>
        <v>-</v>
      </c>
      <c r="EQ43" s="353" t="str">
        <f t="shared" si="198"/>
        <v>-</v>
      </c>
      <c r="ER43" s="353" t="str">
        <f t="shared" si="199"/>
        <v>-</v>
      </c>
      <c r="ES43" s="353" t="str">
        <f t="shared" si="199"/>
        <v>-</v>
      </c>
      <c r="ET43" s="353" t="str">
        <f t="shared" si="199"/>
        <v>-</v>
      </c>
      <c r="EU43" s="353" t="str">
        <f t="shared" si="199"/>
        <v>-</v>
      </c>
      <c r="EV43" s="353" t="str">
        <f t="shared" si="199"/>
        <v>-</v>
      </c>
      <c r="EW43" s="353" t="str">
        <f t="shared" si="199"/>
        <v>-</v>
      </c>
      <c r="EX43" s="353" t="str">
        <f t="shared" si="199"/>
        <v>-</v>
      </c>
      <c r="EY43" s="353" t="str">
        <f t="shared" si="199"/>
        <v>-</v>
      </c>
      <c r="EZ43" s="353" t="str">
        <f t="shared" si="199"/>
        <v>-</v>
      </c>
      <c r="FA43" s="353" t="str">
        <f t="shared" si="199"/>
        <v>-</v>
      </c>
      <c r="FB43" s="354" t="str">
        <f t="shared" si="199"/>
        <v>-</v>
      </c>
      <c r="FD43" s="358">
        <f t="shared" si="156"/>
        <v>9.75</v>
      </c>
      <c r="FE43" s="353" t="str">
        <f t="shared" si="157"/>
        <v>-</v>
      </c>
      <c r="FF43" s="353" t="str">
        <f t="shared" si="158"/>
        <v>-</v>
      </c>
      <c r="FG43" s="353" t="str">
        <f t="shared" si="159"/>
        <v>-</v>
      </c>
      <c r="FH43" s="353" t="str">
        <f t="shared" si="160"/>
        <v>-</v>
      </c>
      <c r="FI43" s="353" t="str">
        <f t="shared" si="161"/>
        <v>-</v>
      </c>
      <c r="FJ43" s="353" t="str">
        <f t="shared" si="162"/>
        <v>-</v>
      </c>
      <c r="FK43" s="353" t="str">
        <f t="shared" si="163"/>
        <v>-</v>
      </c>
      <c r="FL43" s="353" t="str">
        <f t="shared" si="164"/>
        <v>-</v>
      </c>
      <c r="FM43" s="353" t="str">
        <f t="shared" si="165"/>
        <v>-</v>
      </c>
      <c r="FN43" s="353" t="str">
        <f t="shared" si="166"/>
        <v>-</v>
      </c>
      <c r="FO43" s="353" t="str">
        <f t="shared" si="167"/>
        <v>-</v>
      </c>
      <c r="FP43" s="353" t="str">
        <f t="shared" si="168"/>
        <v>-</v>
      </c>
      <c r="FQ43" s="353" t="str">
        <f t="shared" si="169"/>
        <v>-</v>
      </c>
      <c r="FR43" s="353" t="str">
        <f t="shared" si="170"/>
        <v>-</v>
      </c>
      <c r="FS43" s="353" t="str">
        <f t="shared" si="171"/>
        <v>-</v>
      </c>
      <c r="FT43" s="353" t="str">
        <f t="shared" si="172"/>
        <v>-</v>
      </c>
      <c r="FU43" s="353" t="str">
        <f t="shared" si="173"/>
        <v>-</v>
      </c>
      <c r="FV43" s="353" t="str">
        <f t="shared" si="174"/>
        <v>-</v>
      </c>
      <c r="FW43" s="353" t="str">
        <f t="shared" si="175"/>
        <v>-</v>
      </c>
      <c r="FX43" s="353" t="str">
        <f t="shared" si="176"/>
        <v>-</v>
      </c>
      <c r="FY43" s="354" t="str">
        <f t="shared" si="177"/>
        <v>-</v>
      </c>
      <c r="GB43" s="358">
        <f t="shared" si="178"/>
        <v>9.75</v>
      </c>
      <c r="GC43" s="353" t="str">
        <f>IF($GB43&gt;CDS.Tenor,"-",BE43*DE43*FE43)</f>
        <v>-</v>
      </c>
      <c r="GD43" s="353" t="str">
        <f>IF($GB43&gt;CDS.Tenor,"-",BF43*DF43*FF43)</f>
        <v>-</v>
      </c>
      <c r="GE43" s="353" t="str">
        <f>IF($GB43&gt;CDS.Tenor,"-",BG43*DG43*FG43)</f>
        <v>-</v>
      </c>
      <c r="GF43" s="353" t="str">
        <f>IF($GB43&gt;CDS.Tenor,"-",BH43*DH43*FH43)</f>
        <v>-</v>
      </c>
      <c r="GG43" s="353" t="str">
        <f>IF($GB43&gt;CDS.Tenor,"-",BI43*DI43*FI43)</f>
        <v>-</v>
      </c>
      <c r="GH43" s="353" t="str">
        <f>IF($GB43&gt;CDS.Tenor,"-",BJ43*DJ43*FJ43)</f>
        <v>-</v>
      </c>
      <c r="GI43" s="353" t="str">
        <f>IF($GB43&gt;CDS.Tenor,"-",BK43*DK43*FK43)</f>
        <v>-</v>
      </c>
      <c r="GJ43" s="353" t="str">
        <f>IF($GB43&gt;CDS.Tenor,"-",BL43*DL43*FL43)</f>
        <v>-</v>
      </c>
      <c r="GK43" s="353" t="str">
        <f>IF($GB43&gt;CDS.Tenor,"-",BM43*DM43*FM43)</f>
        <v>-</v>
      </c>
      <c r="GL43" s="353" t="str">
        <f>IF($GB43&gt;CDS.Tenor,"-",BN43*DN43*FN43)</f>
        <v>-</v>
      </c>
      <c r="GM43" s="353" t="str">
        <f>IF($GB43&gt;CDS.Tenor,"-",BO43*DO43*FO43)</f>
        <v>-</v>
      </c>
      <c r="GN43" s="353" t="str">
        <f>IF($GB43&gt;CDS.Tenor,"-",BP43*DP43*FP43)</f>
        <v>-</v>
      </c>
      <c r="GO43" s="353" t="str">
        <f>IF($GB43&gt;CDS.Tenor,"-",BQ43*DQ43*FQ43)</f>
        <v>-</v>
      </c>
      <c r="GP43" s="353" t="str">
        <f>IF($GB43&gt;CDS.Tenor,"-",BR43*DR43*FR43)</f>
        <v>-</v>
      </c>
      <c r="GQ43" s="353" t="str">
        <f>IF($GB43&gt;CDS.Tenor,"-",BS43*DS43*FS43)</f>
        <v>-</v>
      </c>
      <c r="GR43" s="353" t="str">
        <f>IF($GB43&gt;CDS.Tenor,"-",BT43*DT43*FT43)</f>
        <v>-</v>
      </c>
      <c r="GS43" s="353" t="str">
        <f>IF($GB43&gt;CDS.Tenor,"-",BU43*DU43*FU43)</f>
        <v>-</v>
      </c>
      <c r="GT43" s="353" t="str">
        <f>IF($GB43&gt;CDS.Tenor,"-",BV43*DV43*FV43)</f>
        <v>-</v>
      </c>
      <c r="GU43" s="353" t="str">
        <f>IF($GB43&gt;CDS.Tenor,"-",BW43*DW43*FW43)</f>
        <v>-</v>
      </c>
      <c r="GV43" s="353" t="str">
        <f>IF($GB43&gt;CDS.Tenor,"-",BX43*DX43*FX43)</f>
        <v>-</v>
      </c>
      <c r="GW43" s="354" t="str">
        <f>IF($GB43&gt;CDS.Tenor,"-",BY43*DY43*FY43)</f>
        <v>-</v>
      </c>
      <c r="GX43" s="42"/>
      <c r="GY43" s="42"/>
      <c r="GZ43" s="358">
        <f t="shared" si="179"/>
        <v>9.75</v>
      </c>
      <c r="HA43" s="362" t="str">
        <f t="shared" si="180"/>
        <v>-</v>
      </c>
      <c r="HB43" s="363" t="str">
        <f t="shared" si="181"/>
        <v>-</v>
      </c>
    </row>
    <row r="44" spans="9:210" x14ac:dyDescent="0.3">
      <c r="I44" s="374">
        <f t="shared" si="86"/>
        <v>10</v>
      </c>
      <c r="J44" s="375" t="str">
        <f t="shared" si="87"/>
        <v>-</v>
      </c>
      <c r="K44" s="349" t="str">
        <f t="shared" si="88"/>
        <v>-</v>
      </c>
      <c r="L44" s="349" t="str">
        <f t="shared" si="89"/>
        <v>-</v>
      </c>
      <c r="M44" s="376" t="str" cm="1">
        <f t="array" ref="M44">IF($I44&gt;CDS.Tenor,"-",cubicInterpolation(CurveResults.Times,CurveResults.DFs,$I44))</f>
        <v>-</v>
      </c>
      <c r="N44" s="375" t="str">
        <f t="shared" si="90"/>
        <v>-</v>
      </c>
      <c r="O44" s="375" t="str">
        <f t="shared" si="91"/>
        <v>-</v>
      </c>
      <c r="P44" s="377" t="str">
        <f t="shared" si="92"/>
        <v>-</v>
      </c>
      <c r="S44" s="374">
        <f t="shared" si="93"/>
        <v>10</v>
      </c>
      <c r="T44" s="375" t="str">
        <f t="shared" si="94"/>
        <v>-</v>
      </c>
      <c r="U44" s="349" t="str">
        <f>IF($I44&gt;CDS.Tenor,"-",HA44)</f>
        <v>-</v>
      </c>
      <c r="V44" s="349" t="str">
        <f t="shared" si="95"/>
        <v>-</v>
      </c>
      <c r="W44" s="376" t="str" cm="1">
        <f t="array" ref="W44">IF($S44&gt;CDS.Tenor,"-",cubicInterpolation(CurveResults.Times,CurveResults.DFs,$I44))</f>
        <v>-</v>
      </c>
      <c r="X44" s="377" t="str">
        <f t="shared" si="96"/>
        <v>-</v>
      </c>
      <c r="AA44" s="359">
        <f t="shared" si="97"/>
        <v>10</v>
      </c>
      <c r="AB44" s="344" t="str" cm="1">
        <f t="array" aca="1" ref="AB44" ca="1">IF($AA44&gt;CDS.Tenor,"-",flatInterpolation(Z44,INDIRECT(HazardRateTimes1),INDIRECT(HazardRateValues1)))</f>
        <v>-</v>
      </c>
      <c r="AC44" s="131" t="str">
        <f t="shared" si="98"/>
        <v>-</v>
      </c>
      <c r="AD44" s="131" t="str">
        <f t="shared" si="99"/>
        <v>-</v>
      </c>
      <c r="AE44" s="82" t="str">
        <f t="shared" si="100"/>
        <v>-</v>
      </c>
      <c r="AF44" s="17"/>
      <c r="AG44" s="359">
        <f t="shared" si="101"/>
        <v>10</v>
      </c>
      <c r="AH44" s="355" t="str">
        <f t="shared" si="194"/>
        <v>-</v>
      </c>
      <c r="AI44" s="355" t="str">
        <f t="shared" si="194"/>
        <v>-</v>
      </c>
      <c r="AJ44" s="355" t="str">
        <f t="shared" si="194"/>
        <v>-</v>
      </c>
      <c r="AK44" s="355" t="str">
        <f t="shared" si="194"/>
        <v>-</v>
      </c>
      <c r="AL44" s="355" t="str">
        <f t="shared" si="194"/>
        <v>-</v>
      </c>
      <c r="AM44" s="355" t="str">
        <f t="shared" si="194"/>
        <v>-</v>
      </c>
      <c r="AN44" s="355" t="str">
        <f t="shared" si="194"/>
        <v>-</v>
      </c>
      <c r="AO44" s="355" t="str">
        <f t="shared" si="194"/>
        <v>-</v>
      </c>
      <c r="AP44" s="355" t="str">
        <f t="shared" si="194"/>
        <v>-</v>
      </c>
      <c r="AQ44" s="355" t="str">
        <f t="shared" si="194"/>
        <v>-</v>
      </c>
      <c r="AR44" s="355" t="str">
        <f t="shared" si="195"/>
        <v>-</v>
      </c>
      <c r="AS44" s="355" t="str">
        <f t="shared" si="195"/>
        <v>-</v>
      </c>
      <c r="AT44" s="355" t="str">
        <f t="shared" si="195"/>
        <v>-</v>
      </c>
      <c r="AU44" s="355" t="str">
        <f t="shared" si="195"/>
        <v>-</v>
      </c>
      <c r="AV44" s="355" t="str">
        <f t="shared" si="195"/>
        <v>-</v>
      </c>
      <c r="AW44" s="355" t="str">
        <f t="shared" si="195"/>
        <v>-</v>
      </c>
      <c r="AX44" s="355" t="str">
        <f t="shared" si="195"/>
        <v>-</v>
      </c>
      <c r="AY44" s="355" t="str">
        <f t="shared" si="195"/>
        <v>-</v>
      </c>
      <c r="AZ44" s="355" t="str">
        <f t="shared" si="195"/>
        <v>-</v>
      </c>
      <c r="BA44" s="355" t="str">
        <f t="shared" si="195"/>
        <v>-</v>
      </c>
      <c r="BB44" s="356" t="str">
        <f t="shared" si="195"/>
        <v>-</v>
      </c>
      <c r="BC44" s="17"/>
      <c r="BD44" s="359">
        <f t="shared" si="104"/>
        <v>10</v>
      </c>
      <c r="BE44" s="355" t="str">
        <f t="shared" si="105"/>
        <v>-</v>
      </c>
      <c r="BF44" s="355" t="str">
        <f t="shared" si="106"/>
        <v>-</v>
      </c>
      <c r="BG44" s="355" t="str">
        <f t="shared" si="107"/>
        <v>-</v>
      </c>
      <c r="BH44" s="355" t="str">
        <f t="shared" si="108"/>
        <v>-</v>
      </c>
      <c r="BI44" s="355" t="str">
        <f t="shared" si="109"/>
        <v>-</v>
      </c>
      <c r="BJ44" s="355" t="str">
        <f t="shared" si="110"/>
        <v>-</v>
      </c>
      <c r="BK44" s="355" t="str">
        <f t="shared" si="111"/>
        <v>-</v>
      </c>
      <c r="BL44" s="355" t="str">
        <f t="shared" si="112"/>
        <v>-</v>
      </c>
      <c r="BM44" s="355" t="str">
        <f t="shared" si="113"/>
        <v>-</v>
      </c>
      <c r="BN44" s="355" t="str">
        <f t="shared" si="114"/>
        <v>-</v>
      </c>
      <c r="BO44" s="355" t="str">
        <f t="shared" si="115"/>
        <v>-</v>
      </c>
      <c r="BP44" s="355" t="str">
        <f t="shared" si="116"/>
        <v>-</v>
      </c>
      <c r="BQ44" s="355" t="str">
        <f t="shared" si="117"/>
        <v>-</v>
      </c>
      <c r="BR44" s="355" t="str">
        <f t="shared" si="118"/>
        <v>-</v>
      </c>
      <c r="BS44" s="355" t="str">
        <f t="shared" si="119"/>
        <v>-</v>
      </c>
      <c r="BT44" s="355" t="str">
        <f t="shared" si="120"/>
        <v>-</v>
      </c>
      <c r="BU44" s="355" t="str">
        <f t="shared" si="121"/>
        <v>-</v>
      </c>
      <c r="BV44" s="355" t="str">
        <f t="shared" si="122"/>
        <v>-</v>
      </c>
      <c r="BW44" s="355" t="str">
        <f t="shared" si="123"/>
        <v>-</v>
      </c>
      <c r="BX44" s="355" t="str">
        <f t="shared" si="124"/>
        <v>-</v>
      </c>
      <c r="BY44" s="356" t="str">
        <f t="shared" si="125"/>
        <v>-</v>
      </c>
      <c r="BZ44" s="17"/>
      <c r="CA44" s="17"/>
      <c r="CB44" s="344" t="str" cm="1">
        <f t="array" aca="1" ref="CB44" ca="1">IF($AA44&gt;CDS.Tenor,"-",flatInterpolation(AA44,INDIRECT(HazardRateTimes2),INDIRECT(HazardRateValues2)))</f>
        <v>-</v>
      </c>
      <c r="CC44" s="131" t="str">
        <f t="shared" si="126"/>
        <v>-</v>
      </c>
      <c r="CD44" s="131" t="str">
        <f t="shared" si="127"/>
        <v>-</v>
      </c>
      <c r="CE44" s="82" t="str">
        <f t="shared" si="128"/>
        <v>-</v>
      </c>
      <c r="CF44" s="17"/>
      <c r="CG44" s="359">
        <f t="shared" si="129"/>
        <v>10</v>
      </c>
      <c r="CH44" s="355" t="str">
        <f t="shared" si="196"/>
        <v>-</v>
      </c>
      <c r="CI44" s="355" t="str">
        <f t="shared" si="196"/>
        <v>-</v>
      </c>
      <c r="CJ44" s="355" t="str">
        <f t="shared" si="196"/>
        <v>-</v>
      </c>
      <c r="CK44" s="355" t="str">
        <f t="shared" si="196"/>
        <v>-</v>
      </c>
      <c r="CL44" s="355" t="str">
        <f t="shared" si="196"/>
        <v>-</v>
      </c>
      <c r="CM44" s="355" t="str">
        <f t="shared" si="196"/>
        <v>-</v>
      </c>
      <c r="CN44" s="355" t="str">
        <f t="shared" si="196"/>
        <v>-</v>
      </c>
      <c r="CO44" s="355" t="str">
        <f t="shared" si="196"/>
        <v>-</v>
      </c>
      <c r="CP44" s="355" t="str">
        <f t="shared" si="196"/>
        <v>-</v>
      </c>
      <c r="CQ44" s="355" t="str">
        <f t="shared" si="196"/>
        <v>-</v>
      </c>
      <c r="CR44" s="355" t="str">
        <f t="shared" si="197"/>
        <v>-</v>
      </c>
      <c r="CS44" s="355" t="str">
        <f t="shared" si="197"/>
        <v>-</v>
      </c>
      <c r="CT44" s="355" t="str">
        <f t="shared" si="197"/>
        <v>-</v>
      </c>
      <c r="CU44" s="355" t="str">
        <f t="shared" si="197"/>
        <v>-</v>
      </c>
      <c r="CV44" s="355" t="str">
        <f t="shared" si="197"/>
        <v>-</v>
      </c>
      <c r="CW44" s="355" t="str">
        <f t="shared" si="197"/>
        <v>-</v>
      </c>
      <c r="CX44" s="355" t="str">
        <f t="shared" si="197"/>
        <v>-</v>
      </c>
      <c r="CY44" s="355" t="str">
        <f t="shared" si="197"/>
        <v>-</v>
      </c>
      <c r="CZ44" s="355" t="str">
        <f t="shared" si="197"/>
        <v>-</v>
      </c>
      <c r="DA44" s="355" t="str">
        <f t="shared" si="197"/>
        <v>-</v>
      </c>
      <c r="DB44" s="356" t="str">
        <f t="shared" si="197"/>
        <v>-</v>
      </c>
      <c r="DC44" s="17"/>
      <c r="DD44" s="359">
        <f t="shared" si="130"/>
        <v>10</v>
      </c>
      <c r="DE44" s="355" t="str">
        <f t="shared" si="131"/>
        <v>-</v>
      </c>
      <c r="DF44" s="355" t="str">
        <f t="shared" si="132"/>
        <v>-</v>
      </c>
      <c r="DG44" s="355" t="str">
        <f t="shared" si="133"/>
        <v>-</v>
      </c>
      <c r="DH44" s="355" t="str">
        <f t="shared" si="134"/>
        <v>-</v>
      </c>
      <c r="DI44" s="355" t="str">
        <f t="shared" si="135"/>
        <v>-</v>
      </c>
      <c r="DJ44" s="355" t="str">
        <f t="shared" si="136"/>
        <v>-</v>
      </c>
      <c r="DK44" s="355" t="str">
        <f t="shared" si="137"/>
        <v>-</v>
      </c>
      <c r="DL44" s="355" t="str">
        <f t="shared" si="138"/>
        <v>-</v>
      </c>
      <c r="DM44" s="355" t="str">
        <f t="shared" si="139"/>
        <v>-</v>
      </c>
      <c r="DN44" s="355" t="str">
        <f t="shared" si="140"/>
        <v>-</v>
      </c>
      <c r="DO44" s="355" t="str">
        <f t="shared" si="141"/>
        <v>-</v>
      </c>
      <c r="DP44" s="355" t="str">
        <f t="shared" si="142"/>
        <v>-</v>
      </c>
      <c r="DQ44" s="355" t="str">
        <f t="shared" si="143"/>
        <v>-</v>
      </c>
      <c r="DR44" s="355" t="str">
        <f t="shared" si="144"/>
        <v>-</v>
      </c>
      <c r="DS44" s="355" t="str">
        <f t="shared" si="145"/>
        <v>-</v>
      </c>
      <c r="DT44" s="355" t="str">
        <f t="shared" si="146"/>
        <v>-</v>
      </c>
      <c r="DU44" s="355" t="str">
        <f t="shared" si="147"/>
        <v>-</v>
      </c>
      <c r="DV44" s="355" t="str">
        <f t="shared" si="148"/>
        <v>-</v>
      </c>
      <c r="DW44" s="355" t="str">
        <f t="shared" si="149"/>
        <v>-</v>
      </c>
      <c r="DX44" s="355" t="str">
        <f t="shared" si="150"/>
        <v>-</v>
      </c>
      <c r="DY44" s="356" t="str">
        <f t="shared" si="151"/>
        <v>-</v>
      </c>
      <c r="DZ44" s="17"/>
      <c r="EA44" s="17"/>
      <c r="EB44" s="344" t="str" cm="1">
        <f t="array" aca="1" ref="EB44" ca="1">IF($AA44&gt;CDS.Tenor,"-",flatInterpolation(CC44,INDIRECT(HazardRateTimes3),INDIRECT(HazardRateValues3)))</f>
        <v>-</v>
      </c>
      <c r="EC44" s="131" t="str">
        <f t="shared" si="152"/>
        <v>-</v>
      </c>
      <c r="ED44" s="131" t="str">
        <f t="shared" si="153"/>
        <v>-</v>
      </c>
      <c r="EE44" s="82" t="str">
        <f t="shared" si="154"/>
        <v>-</v>
      </c>
      <c r="EF44" s="17"/>
      <c r="EG44" s="359">
        <f t="shared" si="155"/>
        <v>10</v>
      </c>
      <c r="EH44" s="355" t="str">
        <f t="shared" si="198"/>
        <v>-</v>
      </c>
      <c r="EI44" s="355" t="str">
        <f t="shared" si="198"/>
        <v>-</v>
      </c>
      <c r="EJ44" s="355" t="str">
        <f t="shared" si="198"/>
        <v>-</v>
      </c>
      <c r="EK44" s="355" t="str">
        <f t="shared" si="198"/>
        <v>-</v>
      </c>
      <c r="EL44" s="355" t="str">
        <f t="shared" si="198"/>
        <v>-</v>
      </c>
      <c r="EM44" s="355" t="str">
        <f t="shared" si="198"/>
        <v>-</v>
      </c>
      <c r="EN44" s="355" t="str">
        <f t="shared" si="198"/>
        <v>-</v>
      </c>
      <c r="EO44" s="355" t="str">
        <f t="shared" si="198"/>
        <v>-</v>
      </c>
      <c r="EP44" s="355" t="str">
        <f t="shared" si="198"/>
        <v>-</v>
      </c>
      <c r="EQ44" s="355" t="str">
        <f t="shared" si="198"/>
        <v>-</v>
      </c>
      <c r="ER44" s="355" t="str">
        <f t="shared" si="199"/>
        <v>-</v>
      </c>
      <c r="ES44" s="355" t="str">
        <f t="shared" si="199"/>
        <v>-</v>
      </c>
      <c r="ET44" s="355" t="str">
        <f t="shared" si="199"/>
        <v>-</v>
      </c>
      <c r="EU44" s="355" t="str">
        <f t="shared" si="199"/>
        <v>-</v>
      </c>
      <c r="EV44" s="355" t="str">
        <f t="shared" si="199"/>
        <v>-</v>
      </c>
      <c r="EW44" s="355" t="str">
        <f t="shared" si="199"/>
        <v>-</v>
      </c>
      <c r="EX44" s="355" t="str">
        <f t="shared" si="199"/>
        <v>-</v>
      </c>
      <c r="EY44" s="355" t="str">
        <f t="shared" si="199"/>
        <v>-</v>
      </c>
      <c r="EZ44" s="355" t="str">
        <f t="shared" si="199"/>
        <v>-</v>
      </c>
      <c r="FA44" s="355" t="str">
        <f t="shared" si="199"/>
        <v>-</v>
      </c>
      <c r="FB44" s="356" t="str">
        <f t="shared" si="199"/>
        <v>-</v>
      </c>
      <c r="FC44" s="17"/>
      <c r="FD44" s="359">
        <f t="shared" si="156"/>
        <v>10</v>
      </c>
      <c r="FE44" s="355" t="str">
        <f t="shared" si="157"/>
        <v>-</v>
      </c>
      <c r="FF44" s="355" t="str">
        <f t="shared" si="158"/>
        <v>-</v>
      </c>
      <c r="FG44" s="355" t="str">
        <f t="shared" si="159"/>
        <v>-</v>
      </c>
      <c r="FH44" s="355" t="str">
        <f t="shared" si="160"/>
        <v>-</v>
      </c>
      <c r="FI44" s="355" t="str">
        <f t="shared" si="161"/>
        <v>-</v>
      </c>
      <c r="FJ44" s="355" t="str">
        <f t="shared" si="162"/>
        <v>-</v>
      </c>
      <c r="FK44" s="355" t="str">
        <f t="shared" si="163"/>
        <v>-</v>
      </c>
      <c r="FL44" s="355" t="str">
        <f t="shared" si="164"/>
        <v>-</v>
      </c>
      <c r="FM44" s="355" t="str">
        <f t="shared" si="165"/>
        <v>-</v>
      </c>
      <c r="FN44" s="355" t="str">
        <f t="shared" si="166"/>
        <v>-</v>
      </c>
      <c r="FO44" s="355" t="str">
        <f t="shared" si="167"/>
        <v>-</v>
      </c>
      <c r="FP44" s="355" t="str">
        <f t="shared" si="168"/>
        <v>-</v>
      </c>
      <c r="FQ44" s="355" t="str">
        <f t="shared" si="169"/>
        <v>-</v>
      </c>
      <c r="FR44" s="355" t="str">
        <f t="shared" si="170"/>
        <v>-</v>
      </c>
      <c r="FS44" s="355" t="str">
        <f t="shared" si="171"/>
        <v>-</v>
      </c>
      <c r="FT44" s="355" t="str">
        <f t="shared" si="172"/>
        <v>-</v>
      </c>
      <c r="FU44" s="355" t="str">
        <f t="shared" si="173"/>
        <v>-</v>
      </c>
      <c r="FV44" s="355" t="str">
        <f t="shared" si="174"/>
        <v>-</v>
      </c>
      <c r="FW44" s="355" t="str">
        <f t="shared" si="175"/>
        <v>-</v>
      </c>
      <c r="FX44" s="355" t="str">
        <f t="shared" si="176"/>
        <v>-</v>
      </c>
      <c r="FY44" s="356" t="str">
        <f t="shared" si="177"/>
        <v>-</v>
      </c>
      <c r="GB44" s="359">
        <f t="shared" si="178"/>
        <v>10</v>
      </c>
      <c r="GC44" s="355" t="str">
        <f>IF($GB44&gt;CDS.Tenor,"-",BE44*DE44*FE44)</f>
        <v>-</v>
      </c>
      <c r="GD44" s="355" t="str">
        <f>IF($GB44&gt;CDS.Tenor,"-",BF44*DF44*FF44)</f>
        <v>-</v>
      </c>
      <c r="GE44" s="355" t="str">
        <f>IF($GB44&gt;CDS.Tenor,"-",BG44*DG44*FG44)</f>
        <v>-</v>
      </c>
      <c r="GF44" s="355" t="str">
        <f>IF($GB44&gt;CDS.Tenor,"-",BH44*DH44*FH44)</f>
        <v>-</v>
      </c>
      <c r="GG44" s="355" t="str">
        <f>IF($GB44&gt;CDS.Tenor,"-",BI44*DI44*FI44)</f>
        <v>-</v>
      </c>
      <c r="GH44" s="355" t="str">
        <f>IF($GB44&gt;CDS.Tenor,"-",BJ44*DJ44*FJ44)</f>
        <v>-</v>
      </c>
      <c r="GI44" s="355" t="str">
        <f>IF($GB44&gt;CDS.Tenor,"-",BK44*DK44*FK44)</f>
        <v>-</v>
      </c>
      <c r="GJ44" s="355" t="str">
        <f>IF($GB44&gt;CDS.Tenor,"-",BL44*DL44*FL44)</f>
        <v>-</v>
      </c>
      <c r="GK44" s="355" t="str">
        <f>IF($GB44&gt;CDS.Tenor,"-",BM44*DM44*FM44)</f>
        <v>-</v>
      </c>
      <c r="GL44" s="355" t="str">
        <f>IF($GB44&gt;CDS.Tenor,"-",BN44*DN44*FN44)</f>
        <v>-</v>
      </c>
      <c r="GM44" s="355" t="str">
        <f>IF($GB44&gt;CDS.Tenor,"-",BO44*DO44*FO44)</f>
        <v>-</v>
      </c>
      <c r="GN44" s="355" t="str">
        <f>IF($GB44&gt;CDS.Tenor,"-",BP44*DP44*FP44)</f>
        <v>-</v>
      </c>
      <c r="GO44" s="355" t="str">
        <f>IF($GB44&gt;CDS.Tenor,"-",BQ44*DQ44*FQ44)</f>
        <v>-</v>
      </c>
      <c r="GP44" s="355" t="str">
        <f>IF($GB44&gt;CDS.Tenor,"-",BR44*DR44*FR44)</f>
        <v>-</v>
      </c>
      <c r="GQ44" s="355" t="str">
        <f>IF($GB44&gt;CDS.Tenor,"-",BS44*DS44*FS44)</f>
        <v>-</v>
      </c>
      <c r="GR44" s="355" t="str">
        <f>IF($GB44&gt;CDS.Tenor,"-",BT44*DT44*FT44)</f>
        <v>-</v>
      </c>
      <c r="GS44" s="355" t="str">
        <f>IF($GB44&gt;CDS.Tenor,"-",BU44*DU44*FU44)</f>
        <v>-</v>
      </c>
      <c r="GT44" s="355" t="str">
        <f>IF($GB44&gt;CDS.Tenor,"-",BV44*DV44*FV44)</f>
        <v>-</v>
      </c>
      <c r="GU44" s="355" t="str">
        <f>IF($GB44&gt;CDS.Tenor,"-",BW44*DW44*FW44)</f>
        <v>-</v>
      </c>
      <c r="GV44" s="355" t="str">
        <f>IF($GB44&gt;CDS.Tenor,"-",BX44*DX44*FX44)</f>
        <v>-</v>
      </c>
      <c r="GW44" s="356" t="str">
        <f>IF($GB44&gt;CDS.Tenor,"-",BY44*DY44*FY44)</f>
        <v>-</v>
      </c>
      <c r="GX44" s="42"/>
      <c r="GY44" s="42"/>
      <c r="GZ44" s="359">
        <f t="shared" si="179"/>
        <v>10</v>
      </c>
      <c r="HA44" s="364" t="str">
        <f t="shared" si="180"/>
        <v>-</v>
      </c>
      <c r="HB44" s="365" t="str">
        <f t="shared" si="181"/>
        <v>-</v>
      </c>
    </row>
    <row r="45" spans="9:210" x14ac:dyDescent="0.3">
      <c r="GX45" s="42"/>
      <c r="GY45" s="42"/>
    </row>
    <row r="46" spans="9:210" x14ac:dyDescent="0.3">
      <c r="GX46" s="42"/>
      <c r="GY46" s="42"/>
    </row>
    <row r="47" spans="9:210" x14ac:dyDescent="0.3">
      <c r="AA47" s="1" t="s">
        <v>361</v>
      </c>
      <c r="CB47" s="1" t="s">
        <v>361</v>
      </c>
      <c r="EB47" s="1" t="s">
        <v>361</v>
      </c>
      <c r="GX47" s="42"/>
      <c r="GY47" s="42"/>
    </row>
    <row r="48" spans="9:210" x14ac:dyDescent="0.3">
      <c r="GX48" s="42"/>
      <c r="GY48" s="42"/>
    </row>
    <row r="49" spans="4:207" x14ac:dyDescent="0.3">
      <c r="AA49" s="394" t="str">
        <f>CreditRef1</f>
        <v>AAPL</v>
      </c>
      <c r="CB49" s="394" t="str">
        <f>CreditRef2</f>
        <v>MSFT</v>
      </c>
      <c r="EB49" s="394" t="str">
        <f>CreditRef3</f>
        <v>NVDA</v>
      </c>
      <c r="GX49" s="42"/>
      <c r="GY49" s="42"/>
    </row>
    <row r="50" spans="4:207" x14ac:dyDescent="0.3">
      <c r="AA50" s="393" t="str">
        <f>"'Credit Curve "&amp;CreditRef1&amp;"'!Calibration.Times"</f>
        <v>'Credit Curve AAPL'!Calibration.Times</v>
      </c>
      <c r="CB50" s="393" t="str">
        <f>"'Credit Curve "&amp;CreditRef2&amp;"'!Calibration.Times"</f>
        <v>'Credit Curve MSFT'!Calibration.Times</v>
      </c>
      <c r="EB50" s="393" t="str">
        <f>"'Credit Curve "&amp;CreditRef3&amp;"'!Calibration.Times"</f>
        <v>'Credit Curve NVDA'!Calibration.Times</v>
      </c>
      <c r="GX50" s="42"/>
      <c r="GY50" s="42"/>
    </row>
    <row r="51" spans="4:207" x14ac:dyDescent="0.3">
      <c r="AA51" s="393" t="str">
        <f>"'Credit Curve "&amp;CreditRef1&amp;"'!Calibration.HazardRates"</f>
        <v>'Credit Curve AAPL'!Calibration.HazardRates</v>
      </c>
      <c r="CB51" s="393" t="str">
        <f>"'Credit Curve "&amp;CreditRef2&amp;"'!Calibration.HazardRates"</f>
        <v>'Credit Curve MSFT'!Calibration.HazardRates</v>
      </c>
      <c r="EB51" s="393" t="str">
        <f>"'Credit Curve "&amp;CreditRef3&amp;"'!Calibration.HazardRates"</f>
        <v>'Credit Curve NVDA'!Calibration.HazardRates</v>
      </c>
      <c r="GX51" s="42"/>
      <c r="GY51" s="42"/>
    </row>
    <row r="52" spans="4:207" x14ac:dyDescent="0.3">
      <c r="D52" s="125"/>
      <c r="CB52" s="393"/>
      <c r="GX52" s="42"/>
      <c r="GY52" s="42"/>
    </row>
  </sheetData>
  <dataValidations count="2">
    <dataValidation type="list" allowBlank="1" showInputMessage="1" showErrorMessage="1" sqref="D7" xr:uid="{F3C77BDB-71DC-4B52-8456-839673ABF947}">
      <formula1>"AAPL,MSFT,NVDA"</formula1>
    </dataValidation>
    <dataValidation type="list" allowBlank="1" showInputMessage="1" showErrorMessage="1" sqref="D6" xr:uid="{39203EBE-B6BA-4187-BDCA-1B1E05B79462}">
      <formula1>"BUY,SELL"</formula1>
    </dataValidation>
  </dataValidations>
  <pageMargins left="0.7" right="0.7" top="0.75" bottom="0.75" header="0.3" footer="0.3"/>
  <headerFooter>
    <oddFooter>&amp;R_x000D_&amp;1#&amp;"Aptos"&amp;10&amp;K008000 [ CLASSIFICAÇÃO: PÚBLICA ]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250</vt:i4>
      </vt:variant>
    </vt:vector>
  </HeadingPairs>
  <TitlesOfParts>
    <vt:vector size="257" baseType="lpstr">
      <vt:lpstr>IR Yield Curve</vt:lpstr>
      <vt:lpstr>IR Swap</vt:lpstr>
      <vt:lpstr>Credit Curve AAPL</vt:lpstr>
      <vt:lpstr>Credit Curve MSFT</vt:lpstr>
      <vt:lpstr>Credit Curve NVDA</vt:lpstr>
      <vt:lpstr>Credit Default Swap</vt:lpstr>
      <vt:lpstr>First-to-Default CDS</vt:lpstr>
      <vt:lpstr>AnalyticalDV01</vt:lpstr>
      <vt:lpstr>Annuity_Fixed</vt:lpstr>
      <vt:lpstr>Annuity_Float</vt:lpstr>
      <vt:lpstr>ApplyBump</vt:lpstr>
      <vt:lpstr>AsOfDate</vt:lpstr>
      <vt:lpstr>'Credit Curve MSFT'!Calibration.HazardRates</vt:lpstr>
      <vt:lpstr>'Credit Curve NVDA'!Calibration.HazardRates</vt:lpstr>
      <vt:lpstr>Calibration.HazardRates</vt:lpstr>
      <vt:lpstr>'Credit Curve MSFT'!Calibration.Times</vt:lpstr>
      <vt:lpstr>'Credit Curve NVDA'!Calibration.Times</vt:lpstr>
      <vt:lpstr>Calibration.Times</vt:lpstr>
      <vt:lpstr>'First-to-Default CDS'!CDS.BuySell</vt:lpstr>
      <vt:lpstr>CDS.BuySell</vt:lpstr>
      <vt:lpstr>'First-to-Default CDS'!CDS.CreditSpread</vt:lpstr>
      <vt:lpstr>CDS.CreditSpread</vt:lpstr>
      <vt:lpstr>'First-to-Default CDS'!CDS.Notional</vt:lpstr>
      <vt:lpstr>CDS.Notional</vt:lpstr>
      <vt:lpstr>'First-to-Default CDS'!CDS.PremiumLegPV</vt:lpstr>
      <vt:lpstr>CDS.PremiumLegPV</vt:lpstr>
      <vt:lpstr>'First-to-Default CDS'!CDS.PremiumSign</vt:lpstr>
      <vt:lpstr>CDS.PremiumSign</vt:lpstr>
      <vt:lpstr>'First-to-Default CDS'!CDS.ProtectionSign</vt:lpstr>
      <vt:lpstr>CDS.ProtectionSign</vt:lpstr>
      <vt:lpstr>'First-to-Default CDS'!CDS.RecoveryRate</vt:lpstr>
      <vt:lpstr>CDS.RecoveryRate</vt:lpstr>
      <vt:lpstr>'First-to-Default CDS'!CDS.Spread</vt:lpstr>
      <vt:lpstr>CDS.Spread</vt:lpstr>
      <vt:lpstr>'First-to-Default CDS'!CDS.Tenor</vt:lpstr>
      <vt:lpstr>CDS.Tenor</vt:lpstr>
      <vt:lpstr>'First-to-Default CDS'!CDS.YearFraction</vt:lpstr>
      <vt:lpstr>CDS.YearFraction</vt:lpstr>
      <vt:lpstr>'Credit Default Swap'!CreditCurve</vt:lpstr>
      <vt:lpstr>'Credit Curve MSFT'!CreditName</vt:lpstr>
      <vt:lpstr>'Credit Curve NVDA'!CreditName</vt:lpstr>
      <vt:lpstr>CreditName</vt:lpstr>
      <vt:lpstr>'First-to-Default CDS'!CreditRef1</vt:lpstr>
      <vt:lpstr>'First-to-Default CDS'!CreditRef2</vt:lpstr>
      <vt:lpstr>'First-to-Default CDS'!CreditRef3</vt:lpstr>
      <vt:lpstr>'Credit Curve MSFT'!Currency</vt:lpstr>
      <vt:lpstr>'Credit Curve NVDA'!Currency</vt:lpstr>
      <vt:lpstr>'IR Swap'!Currency</vt:lpstr>
      <vt:lpstr>Currency</vt:lpstr>
      <vt:lpstr>CurveResults.DF.Bumped</vt:lpstr>
      <vt:lpstr>CurveResults.DFs</vt:lpstr>
      <vt:lpstr>CurveResults.Times</vt:lpstr>
      <vt:lpstr>CurveResults.USDSOFR</vt:lpstr>
      <vt:lpstr>'Credit Curve MSFT'!DiscFactors10Y</vt:lpstr>
      <vt:lpstr>'Credit Curve NVDA'!DiscFactors10Y</vt:lpstr>
      <vt:lpstr>DiscFactors10Y</vt:lpstr>
      <vt:lpstr>'Credit Curve MSFT'!DiscFactors1Y</vt:lpstr>
      <vt:lpstr>'Credit Curve NVDA'!DiscFactors1Y</vt:lpstr>
      <vt:lpstr>DiscFactors1Y</vt:lpstr>
      <vt:lpstr>'Credit Curve MSFT'!DiscFactors2Y</vt:lpstr>
      <vt:lpstr>'Credit Curve NVDA'!DiscFactors2Y</vt:lpstr>
      <vt:lpstr>DiscFactors2Y</vt:lpstr>
      <vt:lpstr>'Credit Curve MSFT'!DiscFactors3Y</vt:lpstr>
      <vt:lpstr>'Credit Curve NVDA'!DiscFactors3Y</vt:lpstr>
      <vt:lpstr>DiscFactors3Y</vt:lpstr>
      <vt:lpstr>'Credit Curve MSFT'!DiscFactors4Y</vt:lpstr>
      <vt:lpstr>'Credit Curve NVDA'!DiscFactors4Y</vt:lpstr>
      <vt:lpstr>DiscFactors4Y</vt:lpstr>
      <vt:lpstr>'Credit Curve MSFT'!DiscFactors5Y</vt:lpstr>
      <vt:lpstr>'Credit Curve NVDA'!DiscFactors5Y</vt:lpstr>
      <vt:lpstr>DiscFactors5Y</vt:lpstr>
      <vt:lpstr>'First-to-Default CDS'!dm</vt:lpstr>
      <vt:lpstr>DurationFixed</vt:lpstr>
      <vt:lpstr>DurationFloat</vt:lpstr>
      <vt:lpstr>'Credit Curve MSFT'!Epsilon</vt:lpstr>
      <vt:lpstr>'Credit Curve NVDA'!Epsilon</vt:lpstr>
      <vt:lpstr>'IR Swap'!Epsilon</vt:lpstr>
      <vt:lpstr>'IR Yield Curve'!Epsilon</vt:lpstr>
      <vt:lpstr>Epsilon</vt:lpstr>
      <vt:lpstr>'Credit Curve MSFT'!Frequency</vt:lpstr>
      <vt:lpstr>'Credit Curve NVDA'!Frequency</vt:lpstr>
      <vt:lpstr>Frequency</vt:lpstr>
      <vt:lpstr>'Credit Curve MSFT'!HazardRate10Y</vt:lpstr>
      <vt:lpstr>'Credit Curve NVDA'!HazardRate10Y</vt:lpstr>
      <vt:lpstr>HazardRate10Y</vt:lpstr>
      <vt:lpstr>'Credit Curve MSFT'!HazardRate1Y</vt:lpstr>
      <vt:lpstr>'Credit Curve NVDA'!HazardRate1Y</vt:lpstr>
      <vt:lpstr>HazardRate1Y</vt:lpstr>
      <vt:lpstr>'Credit Curve MSFT'!HazardRate2Y</vt:lpstr>
      <vt:lpstr>'Credit Curve NVDA'!HazardRate2Y</vt:lpstr>
      <vt:lpstr>HazardRate2Y</vt:lpstr>
      <vt:lpstr>'Credit Curve MSFT'!HazardRate3Y</vt:lpstr>
      <vt:lpstr>'Credit Curve NVDA'!HazardRate3Y</vt:lpstr>
      <vt:lpstr>HazardRate3Y</vt:lpstr>
      <vt:lpstr>'Credit Curve MSFT'!HazardRate4Y</vt:lpstr>
      <vt:lpstr>'Credit Curve NVDA'!HazardRate4Y</vt:lpstr>
      <vt:lpstr>HazardRate4Y</vt:lpstr>
      <vt:lpstr>'Credit Curve MSFT'!HazardRate5Y</vt:lpstr>
      <vt:lpstr>'Credit Curve NVDA'!HazardRate5Y</vt:lpstr>
      <vt:lpstr>HazardRate5Y</vt:lpstr>
      <vt:lpstr>'Credit Default Swap'!HazardRateTimes</vt:lpstr>
      <vt:lpstr>HazardRateTimes1</vt:lpstr>
      <vt:lpstr>HazardRateTimes2</vt:lpstr>
      <vt:lpstr>HazardRateTimes3</vt:lpstr>
      <vt:lpstr>'Credit Default Swap'!HazardRateValues</vt:lpstr>
      <vt:lpstr>HazardRateValues1</vt:lpstr>
      <vt:lpstr>HazardRateValues2</vt:lpstr>
      <vt:lpstr>HazardRateValues3</vt:lpstr>
      <vt:lpstr>'First-to-Default CDS'!ImpliedCorrelation</vt:lpstr>
      <vt:lpstr>'Credit Curve MSFT'!InterationResults</vt:lpstr>
      <vt:lpstr>'Credit Curve NVDA'!InterationResults</vt:lpstr>
      <vt:lpstr>'IR Swap'!InterationResults</vt:lpstr>
      <vt:lpstr>'IR Yield Curve'!InterationResults</vt:lpstr>
      <vt:lpstr>InterationResults</vt:lpstr>
      <vt:lpstr>'Credit Curve MSFT'!InterationResults1</vt:lpstr>
      <vt:lpstr>'Credit Curve NVDA'!InterationResults1</vt:lpstr>
      <vt:lpstr>'IR Swap'!InterationResults1</vt:lpstr>
      <vt:lpstr>'IR Yield Curve'!InterationResults1</vt:lpstr>
      <vt:lpstr>InterationResults1</vt:lpstr>
      <vt:lpstr>'Credit Curve MSFT'!IterationCount</vt:lpstr>
      <vt:lpstr>'Credit Curve NVDA'!IterationCount</vt:lpstr>
      <vt:lpstr>'IR Swap'!IterationCount</vt:lpstr>
      <vt:lpstr>'IR Yield Curve'!IterationCount</vt:lpstr>
      <vt:lpstr>IterationCount</vt:lpstr>
      <vt:lpstr>'Credit Curve MSFT'!LGD</vt:lpstr>
      <vt:lpstr>'Credit Curve NVDA'!LGD</vt:lpstr>
      <vt:lpstr>LGD</vt:lpstr>
      <vt:lpstr>N</vt:lpstr>
      <vt:lpstr>'Credit Curve MSFT'!Notional</vt:lpstr>
      <vt:lpstr>'Credit Curve NVDA'!Notional</vt:lpstr>
      <vt:lpstr>Notional</vt:lpstr>
      <vt:lpstr>NumericalDV01</vt:lpstr>
      <vt:lpstr>p</vt:lpstr>
      <vt:lpstr>PAYREC</vt:lpstr>
      <vt:lpstr>'Credit Curve MSFT'!PDefault10Y</vt:lpstr>
      <vt:lpstr>'Credit Curve NVDA'!PDefault10Y</vt:lpstr>
      <vt:lpstr>PDefault10Y</vt:lpstr>
      <vt:lpstr>'Credit Curve MSFT'!PDefault1Y</vt:lpstr>
      <vt:lpstr>'Credit Curve NVDA'!PDefault1Y</vt:lpstr>
      <vt:lpstr>PDefault1Y</vt:lpstr>
      <vt:lpstr>'Credit Curve MSFT'!PDefault2Y</vt:lpstr>
      <vt:lpstr>'Credit Curve NVDA'!PDefault2Y</vt:lpstr>
      <vt:lpstr>PDefault2Y</vt:lpstr>
      <vt:lpstr>'Credit Curve MSFT'!PDefault3Y</vt:lpstr>
      <vt:lpstr>'Credit Curve NVDA'!PDefault3Y</vt:lpstr>
      <vt:lpstr>PDefault3Y</vt:lpstr>
      <vt:lpstr>'Credit Curve MSFT'!PDefault4Y</vt:lpstr>
      <vt:lpstr>'Credit Curve NVDA'!PDefault4Y</vt:lpstr>
      <vt:lpstr>PDefault4Y</vt:lpstr>
      <vt:lpstr>'Credit Curve MSFT'!PDefault5Y</vt:lpstr>
      <vt:lpstr>'Credit Curve NVDA'!PDefault5Y</vt:lpstr>
      <vt:lpstr>PDefault5Y</vt:lpstr>
      <vt:lpstr>Phi</vt:lpstr>
      <vt:lpstr>'Credit Curve MSFT'!Protection10Y</vt:lpstr>
      <vt:lpstr>'Credit Curve NVDA'!Protection10Y</vt:lpstr>
      <vt:lpstr>Protection10Y</vt:lpstr>
      <vt:lpstr>'Credit Curve MSFT'!Protection1Y</vt:lpstr>
      <vt:lpstr>'Credit Curve NVDA'!Protection1Y</vt:lpstr>
      <vt:lpstr>Protection1Y</vt:lpstr>
      <vt:lpstr>'Credit Curve MSFT'!Protection2Y</vt:lpstr>
      <vt:lpstr>'Credit Curve NVDA'!Protection2Y</vt:lpstr>
      <vt:lpstr>Protection2Y</vt:lpstr>
      <vt:lpstr>'Credit Curve MSFT'!Protection3Y</vt:lpstr>
      <vt:lpstr>'Credit Curve NVDA'!Protection3Y</vt:lpstr>
      <vt:lpstr>Protection3Y</vt:lpstr>
      <vt:lpstr>'Credit Curve MSFT'!Protection4Y</vt:lpstr>
      <vt:lpstr>'Credit Curve NVDA'!Protection4Y</vt:lpstr>
      <vt:lpstr>Protection4Y</vt:lpstr>
      <vt:lpstr>'Credit Curve MSFT'!Protection5Y</vt:lpstr>
      <vt:lpstr>'Credit Curve NVDA'!Protection5Y</vt:lpstr>
      <vt:lpstr>Protection5Y</vt:lpstr>
      <vt:lpstr>'Credit Curve MSFT'!PSurvival10Y</vt:lpstr>
      <vt:lpstr>'Credit Curve NVDA'!PSurvival10Y</vt:lpstr>
      <vt:lpstr>PSurvival10Y</vt:lpstr>
      <vt:lpstr>'Credit Curve MSFT'!PSurvival1Y</vt:lpstr>
      <vt:lpstr>'Credit Curve NVDA'!PSurvival1Y</vt:lpstr>
      <vt:lpstr>PSurvival1Y</vt:lpstr>
      <vt:lpstr>'Credit Curve MSFT'!PSurvival2Y</vt:lpstr>
      <vt:lpstr>'Credit Curve NVDA'!PSurvival2Y</vt:lpstr>
      <vt:lpstr>PSurvival2Y</vt:lpstr>
      <vt:lpstr>'Credit Curve MSFT'!PSurvival3Y</vt:lpstr>
      <vt:lpstr>'Credit Curve NVDA'!PSurvival3Y</vt:lpstr>
      <vt:lpstr>PSurvival3Y</vt:lpstr>
      <vt:lpstr>'Credit Curve MSFT'!PSurvival4Y</vt:lpstr>
      <vt:lpstr>'Credit Curve NVDA'!PSurvival4Y</vt:lpstr>
      <vt:lpstr>PSurvival4Y</vt:lpstr>
      <vt:lpstr>'Credit Curve MSFT'!PSurvival5Y</vt:lpstr>
      <vt:lpstr>'Credit Curve NVDA'!PSurvival5Y</vt:lpstr>
      <vt:lpstr>PSurvival5Y</vt:lpstr>
      <vt:lpstr>PV_FixedLeg</vt:lpstr>
      <vt:lpstr>PV_FloatLeg</vt:lpstr>
      <vt:lpstr>PV_FloatSpread</vt:lpstr>
      <vt:lpstr>PV_Swap</vt:lpstr>
      <vt:lpstr>PV01_</vt:lpstr>
      <vt:lpstr>PVlets_Fixed</vt:lpstr>
      <vt:lpstr>PVlets_Float</vt:lpstr>
      <vt:lpstr>r_fixed</vt:lpstr>
      <vt:lpstr>'Credit Curve MSFT'!RecoveryRate</vt:lpstr>
      <vt:lpstr>'Credit Curve NVDA'!RecoveryRate</vt:lpstr>
      <vt:lpstr>RecoveryRate</vt:lpstr>
      <vt:lpstr>RiskPV_NoBump</vt:lpstr>
      <vt:lpstr>RiskPV_WithBump</vt:lpstr>
      <vt:lpstr>'Credit Curve MSFT'!RiskyAnnuity10Y</vt:lpstr>
      <vt:lpstr>'Credit Curve NVDA'!RiskyAnnuity10Y</vt:lpstr>
      <vt:lpstr>RiskyAnnuity10Y</vt:lpstr>
      <vt:lpstr>'Credit Curve MSFT'!RiskyAnnuity1Y</vt:lpstr>
      <vt:lpstr>'Credit Curve NVDA'!RiskyAnnuity1Y</vt:lpstr>
      <vt:lpstr>RiskyAnnuity1Y</vt:lpstr>
      <vt:lpstr>'Credit Curve MSFT'!RiskyAnnuity2Y</vt:lpstr>
      <vt:lpstr>'Credit Curve NVDA'!RiskyAnnuity2Y</vt:lpstr>
      <vt:lpstr>RiskyAnnuity2Y</vt:lpstr>
      <vt:lpstr>'Credit Curve MSFT'!RiskyAnnuity3Y</vt:lpstr>
      <vt:lpstr>'Credit Curve NVDA'!RiskyAnnuity3Y</vt:lpstr>
      <vt:lpstr>RiskyAnnuity3Y</vt:lpstr>
      <vt:lpstr>'Credit Curve MSFT'!RiskyAnnuity4Y</vt:lpstr>
      <vt:lpstr>'Credit Curve NVDA'!RiskyAnnuity4Y</vt:lpstr>
      <vt:lpstr>RiskyAnnuity4Y</vt:lpstr>
      <vt:lpstr>'Credit Curve MSFT'!RiskyAnnuity5Y</vt:lpstr>
      <vt:lpstr>'Credit Curve NVDA'!RiskyAnnuity5Y</vt:lpstr>
      <vt:lpstr>RiskyAnnuity5Y</vt:lpstr>
      <vt:lpstr>s</vt:lpstr>
      <vt:lpstr>'Credit Curve MSFT'!ShiftSize</vt:lpstr>
      <vt:lpstr>'Credit Curve NVDA'!ShiftSize</vt:lpstr>
      <vt:lpstr>ShiftSize</vt:lpstr>
      <vt:lpstr>'Credit Curve MSFT'!ShowIterations</vt:lpstr>
      <vt:lpstr>'Credit Curve NVDA'!ShowIterations</vt:lpstr>
      <vt:lpstr>'IR Swap'!ShowIterations</vt:lpstr>
      <vt:lpstr>'IR Yield Curve'!ShowIterations</vt:lpstr>
      <vt:lpstr>ShowIterations</vt:lpstr>
      <vt:lpstr>T</vt:lpstr>
      <vt:lpstr>tau_i</vt:lpstr>
      <vt:lpstr>tau_j</vt:lpstr>
      <vt:lpstr>'Credit Curve MSFT'!Tolerance</vt:lpstr>
      <vt:lpstr>'Credit Curve NVDA'!Tolerance</vt:lpstr>
      <vt:lpstr>'IR Swap'!Tolerance</vt:lpstr>
      <vt:lpstr>'IR Yield Curve'!Tolerance</vt:lpstr>
      <vt:lpstr>Tolerance</vt:lpstr>
      <vt:lpstr>'Credit Curve MSFT'!X0</vt:lpstr>
      <vt:lpstr>'Credit Curve NVDA'!X0</vt:lpstr>
      <vt:lpstr>'IR Swap'!X0</vt:lpstr>
      <vt:lpstr>'IR Yield Curve'!X0</vt:lpstr>
      <vt:lpstr>X0</vt:lpstr>
      <vt:lpstr>'Credit Curve MSFT'!Xn</vt:lpstr>
      <vt:lpstr>'Credit Curve NVDA'!Xn</vt:lpstr>
      <vt:lpstr>'IR Swap'!Xn</vt:lpstr>
      <vt:lpstr>'IR Yield Curve'!Xn</vt:lpstr>
      <vt:lpstr>Xn</vt:lpstr>
      <vt:lpstr>'Credit Curve MSFT'!XnPlus1</vt:lpstr>
      <vt:lpstr>'Credit Curve NVDA'!XnPlus1</vt:lpstr>
      <vt:lpstr>'IR Swap'!XnPlus1</vt:lpstr>
      <vt:lpstr>'IR Yield Curve'!XnPlus1</vt:lpstr>
      <vt:lpstr>XnPlus1</vt:lpstr>
      <vt:lpstr>'Credit Curve MSFT'!YearFraction</vt:lpstr>
      <vt:lpstr>'Credit Curve NVDA'!YearFraction</vt:lpstr>
      <vt:lpstr>YearFraction</vt:lpstr>
      <vt:lpstr>YieldCurveDates</vt:lpstr>
      <vt:lpstr>YieldCurveForwards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2025-10-30T16:17:06Z</dcterms:created>
  <dcterms:modified xsi:type="dcterms:W3CDTF">2026-02-11T00:23:04Z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6a9157b-bcf3-4eac-b03e-7cf007ba9fdf_Enabled">
    <vt:lpwstr>true</vt:lpwstr>
  </property>
  <property fmtid="{D5CDD505-2E9C-101B-9397-08002B2CF9AE}" pid="3" name="MSIP_Label_e6a9157b-bcf3-4eac-b03e-7cf007ba9fdf_SetDate">
    <vt:lpwstr>2026-02-09T22:33:03Z</vt:lpwstr>
  </property>
  <property fmtid="{D5CDD505-2E9C-101B-9397-08002B2CF9AE}" pid="4" name="MSIP_Label_e6a9157b-bcf3-4eac-b03e-7cf007ba9fdf_Method">
    <vt:lpwstr>Standard</vt:lpwstr>
  </property>
  <property fmtid="{D5CDD505-2E9C-101B-9397-08002B2CF9AE}" pid="5" name="MSIP_Label_e6a9157b-bcf3-4eac-b03e-7cf007ba9fdf_Name">
    <vt:lpwstr>Publica</vt:lpwstr>
  </property>
  <property fmtid="{D5CDD505-2E9C-101B-9397-08002B2CF9AE}" pid="6" name="MSIP_Label_e6a9157b-bcf3-4eac-b03e-7cf007ba9fdf_SiteId">
    <vt:lpwstr>cf56e405-d2b0-4266-b210-aa04636b6161</vt:lpwstr>
  </property>
  <property fmtid="{D5CDD505-2E9C-101B-9397-08002B2CF9AE}" pid="7" name="MSIP_Label_e6a9157b-bcf3-4eac-b03e-7cf007ba9fdf_ActionId">
    <vt:lpwstr>5eaef4ed-1353-4d7a-94b2-b8ca7c6953ae</vt:lpwstr>
  </property>
  <property fmtid="{D5CDD505-2E9C-101B-9397-08002B2CF9AE}" pid="8" name="MSIP_Label_e6a9157b-bcf3-4eac-b03e-7cf007ba9fdf_ContentBits">
    <vt:lpwstr>2</vt:lpwstr>
  </property>
  <property fmtid="{D5CDD505-2E9C-101B-9397-08002B2CF9AE}" pid="9" name="MSIP_Label_e6a9157b-bcf3-4eac-b03e-7cf007ba9fdf_Tag">
    <vt:lpwstr>10, 3, 0, 1</vt:lpwstr>
  </property>
</Properties>
</file>